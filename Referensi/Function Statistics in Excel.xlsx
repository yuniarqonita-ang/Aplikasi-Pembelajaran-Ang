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\Materi Perkuliahan PSPM 2021\08 Komputasi Statistik\02 Slide Presentasi Komputasi Statistik\"/>
    </mc:Choice>
  </mc:AlternateContent>
  <xr:revisionPtr revIDLastSave="0" documentId="8_{DD15D6C8-733F-47EE-80B9-DD6C6F114795}" xr6:coauthVersionLast="45" xr6:coauthVersionMax="45" xr10:uidLastSave="{00000000-0000-0000-0000-000000000000}"/>
  <bookViews>
    <workbookView xWindow="-120" yWindow="-120" windowWidth="20730" windowHeight="11310"/>
  </bookViews>
  <sheets>
    <sheet name="Avedev" sheetId="1" r:id="rId1"/>
    <sheet name="Average" sheetId="4" r:id="rId2"/>
    <sheet name="Averagea" sheetId="5" r:id="rId3"/>
    <sheet name="Averageif" sheetId="79" r:id="rId4"/>
    <sheet name="Averageifs" sheetId="80" r:id="rId5"/>
    <sheet name="Beta.dist" sheetId="2" r:id="rId6"/>
    <sheet name="Beta.inv" sheetId="7" r:id="rId7"/>
    <sheet name="Binom.dist" sheetId="8" r:id="rId8"/>
    <sheet name="Binom.inv" sheetId="81" r:id="rId9"/>
    <sheet name="Chisq.dist" sheetId="9" r:id="rId10"/>
    <sheet name="Chisq.dist.rt" sheetId="82" r:id="rId11"/>
    <sheet name="Chisq.Inv" sheetId="10" r:id="rId12"/>
    <sheet name="Chisq.Rt.Inv" sheetId="84" r:id="rId13"/>
    <sheet name="Chitest" sheetId="11" r:id="rId14"/>
    <sheet name="Confidence.Norm" sheetId="13" r:id="rId15"/>
    <sheet name="Confidence.T" sheetId="85" r:id="rId16"/>
    <sheet name="Correl" sheetId="3" r:id="rId17"/>
    <sheet name="Count" sheetId="14" r:id="rId18"/>
    <sheet name="Counta" sheetId="15" r:id="rId19"/>
    <sheet name="Countblank" sheetId="16" r:id="rId20"/>
    <sheet name="Countif" sheetId="17" r:id="rId21"/>
    <sheet name="Countifs" sheetId="18" r:id="rId22"/>
    <sheet name="Covariance.P" sheetId="19" r:id="rId23"/>
    <sheet name="Covariance.T" sheetId="86" r:id="rId24"/>
    <sheet name="Critbinom" sheetId="20" r:id="rId25"/>
    <sheet name="DEVSQ" sheetId="21" r:id="rId26"/>
    <sheet name="Expon.Dist" sheetId="22" r:id="rId27"/>
    <sheet name="F.dist" sheetId="23" r:id="rId28"/>
    <sheet name="F.dist. RT" sheetId="87" r:id="rId29"/>
    <sheet name="F.INV" sheetId="24" r:id="rId30"/>
    <sheet name="F.INV.RT" sheetId="88" r:id="rId31"/>
    <sheet name="Ftest" sheetId="27" r:id="rId32"/>
    <sheet name="Fisher" sheetId="25" r:id="rId33"/>
    <sheet name="Fisher.inv" sheetId="89" r:id="rId34"/>
    <sheet name="Forecast" sheetId="33" r:id="rId35"/>
    <sheet name="Frequency" sheetId="26" r:id="rId36"/>
    <sheet name="Gammadist" sheetId="28" r:id="rId37"/>
    <sheet name="Gammainv" sheetId="29" r:id="rId38"/>
    <sheet name="Gammaln" sheetId="30" r:id="rId39"/>
    <sheet name="Geomean" sheetId="31" r:id="rId40"/>
    <sheet name="Growth" sheetId="34" r:id="rId41"/>
    <sheet name="Harmean" sheetId="32" r:id="rId42"/>
    <sheet name="Hypgeomdist" sheetId="36" r:id="rId43"/>
    <sheet name="Intercept" sheetId="61" r:id="rId44"/>
    <sheet name="Kurt" sheetId="37" r:id="rId45"/>
    <sheet name="Large" sheetId="38" r:id="rId46"/>
    <sheet name="Lognorm.dist" sheetId="40" r:id="rId47"/>
    <sheet name="Loginv" sheetId="39" r:id="rId48"/>
    <sheet name="Max" sheetId="91" r:id="rId49"/>
    <sheet name="maxA" sheetId="41" r:id="rId50"/>
    <sheet name="median" sheetId="42" r:id="rId51"/>
    <sheet name="MIN" sheetId="43" r:id="rId52"/>
    <sheet name="mINA" sheetId="44" r:id="rId53"/>
    <sheet name="Mode" sheetId="45" r:id="rId54"/>
    <sheet name="negbinom.dist" sheetId="46" r:id="rId55"/>
    <sheet name="Norm.dist" sheetId="47" r:id="rId56"/>
    <sheet name="Norm.inv" sheetId="48" r:id="rId57"/>
    <sheet name="norm.s.dist" sheetId="49" r:id="rId58"/>
    <sheet name="Norm.s.inv" sheetId="50" r:id="rId59"/>
    <sheet name="Pearson" sheetId="51" r:id="rId60"/>
    <sheet name="Percentile.Exc" sheetId="52" r:id="rId61"/>
    <sheet name="Percentile.inc" sheetId="92" r:id="rId62"/>
    <sheet name="Percentrank.exc" sheetId="53" r:id="rId63"/>
    <sheet name="Percentrank.inc" sheetId="93" r:id="rId64"/>
    <sheet name="permut" sheetId="54" r:id="rId65"/>
    <sheet name="poisson" sheetId="55" r:id="rId66"/>
    <sheet name="PROB" sheetId="56" r:id="rId67"/>
    <sheet name="Quartile.Exc" sheetId="57" r:id="rId68"/>
    <sheet name="Quartile.inc" sheetId="94" r:id="rId69"/>
    <sheet name="Rank" sheetId="58" r:id="rId70"/>
    <sheet name="Rsq" sheetId="59" r:id="rId71"/>
    <sheet name="Skew" sheetId="60" r:id="rId72"/>
    <sheet name="Slope" sheetId="62" r:id="rId73"/>
    <sheet name="small" sheetId="63" r:id="rId74"/>
    <sheet name="Stnadardize" sheetId="64" r:id="rId75"/>
    <sheet name="stdev.p" sheetId="95" r:id="rId76"/>
    <sheet name="stdev.s" sheetId="65" r:id="rId77"/>
    <sheet name="stdeva" sheetId="66" r:id="rId78"/>
    <sheet name="stdevp" sheetId="67" r:id="rId79"/>
    <sheet name="stdevpa " sheetId="68" r:id="rId80"/>
    <sheet name="Steyx" sheetId="70" r:id="rId81"/>
    <sheet name="T.dist" sheetId="71" r:id="rId82"/>
    <sheet name="T.dist.2T" sheetId="96" r:id="rId83"/>
    <sheet name="T.dist.RT" sheetId="97" r:id="rId84"/>
    <sheet name="T.inv" sheetId="72" r:id="rId85"/>
    <sheet name="T.inv.2T" sheetId="99" r:id="rId86"/>
    <sheet name="trend" sheetId="73" r:id="rId87"/>
    <sheet name="T.Test" sheetId="100" r:id="rId88"/>
    <sheet name="Trimmean" sheetId="76" r:id="rId89"/>
    <sheet name="Var.p" sheetId="103" r:id="rId90"/>
    <sheet name="Var.s" sheetId="101" r:id="rId91"/>
    <sheet name="Vara" sheetId="102" r:id="rId92"/>
    <sheet name="Varpa" sheetId="104" r:id="rId93"/>
    <sheet name="Weibull" sheetId="77" r:id="rId94"/>
    <sheet name="Ztest" sheetId="78" r:id="rId9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3" i="91" l="1"/>
  <c r="C12" i="41"/>
  <c r="E12" i="32"/>
  <c r="E11" i="26"/>
  <c r="D9" i="21"/>
  <c r="D7" i="17"/>
  <c r="C12" i="78"/>
  <c r="D6" i="77"/>
  <c r="C13" i="104"/>
  <c r="C12" i="104"/>
  <c r="C13" i="102"/>
  <c r="C12" i="102"/>
  <c r="C12" i="76"/>
  <c r="H2" i="73"/>
  <c r="E11" i="70"/>
  <c r="D11" i="3"/>
  <c r="D5" i="64"/>
  <c r="C12" i="63"/>
  <c r="E11" i="62"/>
  <c r="C13" i="60"/>
  <c r="C12" i="60"/>
  <c r="D11" i="59"/>
  <c r="E13" i="58"/>
  <c r="D7" i="56"/>
  <c r="D4" i="54"/>
  <c r="E12" i="92"/>
  <c r="H11" i="92"/>
  <c r="D11" i="51"/>
  <c r="D13" i="45"/>
  <c r="C12" i="44"/>
  <c r="D13" i="43"/>
  <c r="C13" i="42"/>
  <c r="C12" i="91"/>
  <c r="C12" i="38"/>
  <c r="C13" i="37"/>
  <c r="E11" i="61"/>
  <c r="B10" i="34" a="1"/>
  <c r="B10" i="34"/>
  <c r="E12" i="31"/>
  <c r="D3" i="30"/>
  <c r="E11" i="33"/>
  <c r="D3" i="89"/>
  <c r="D3" i="25"/>
  <c r="D9" i="4"/>
  <c r="D5" i="24"/>
  <c r="D5" i="23"/>
  <c r="E5" i="13"/>
  <c r="E10" i="82"/>
  <c r="A2" i="82"/>
  <c r="D4" i="10"/>
  <c r="C7" i="2"/>
  <c r="D10" i="80"/>
  <c r="D9" i="80"/>
  <c r="E7" i="80"/>
  <c r="D9" i="79"/>
  <c r="F5" i="79"/>
  <c r="D8" i="79"/>
  <c r="C9" i="1"/>
  <c r="C10" i="1"/>
  <c r="D5" i="77"/>
  <c r="E12" i="68"/>
  <c r="E13" i="68"/>
  <c r="C12" i="67"/>
  <c r="C13" i="67"/>
  <c r="E12" i="66"/>
  <c r="E13" i="66"/>
  <c r="E12" i="58"/>
  <c r="D6" i="56"/>
  <c r="C4" i="54"/>
  <c r="H11" i="52"/>
  <c r="E12" i="52"/>
  <c r="C5" i="46"/>
  <c r="D12" i="45"/>
  <c r="C11" i="44"/>
  <c r="D12" i="43"/>
  <c r="C12" i="42"/>
  <c r="C11" i="41"/>
  <c r="C4" i="40"/>
  <c r="C12" i="37"/>
  <c r="E11" i="32"/>
  <c r="E11" i="31"/>
  <c r="D5" i="30"/>
  <c r="C2" i="26" a="1"/>
  <c r="C2" i="26"/>
  <c r="C4" i="26"/>
  <c r="D5" i="25"/>
  <c r="D8" i="21"/>
  <c r="D5" i="20"/>
  <c r="D7" i="19"/>
  <c r="D7" i="18"/>
  <c r="D8" i="18"/>
  <c r="D8" i="17"/>
  <c r="B3" i="16"/>
  <c r="C6" i="16"/>
  <c r="A6" i="15"/>
  <c r="C11" i="15"/>
  <c r="A6" i="14"/>
  <c r="C13" i="14"/>
  <c r="D3" i="11"/>
  <c r="C9" i="11"/>
  <c r="D4" i="11"/>
  <c r="D5" i="11"/>
  <c r="B6" i="11"/>
  <c r="C6" i="11"/>
  <c r="A2" i="9"/>
  <c r="D4" i="9"/>
  <c r="E10" i="9"/>
  <c r="D8" i="5"/>
  <c r="D9" i="5"/>
  <c r="D8" i="4"/>
  <c r="B11" i="34"/>
  <c r="C5" i="29"/>
  <c r="C12" i="101"/>
  <c r="D12" i="103"/>
  <c r="E18" i="100"/>
  <c r="E16" i="100"/>
  <c r="E14" i="100"/>
  <c r="D4" i="99"/>
  <c r="D4" i="96"/>
  <c r="D4" i="71"/>
  <c r="C12" i="65"/>
  <c r="C12" i="95"/>
  <c r="E13" i="94"/>
  <c r="E13" i="57"/>
  <c r="C4" i="55"/>
  <c r="D12" i="52"/>
  <c r="F12" i="53"/>
  <c r="D4" i="49"/>
  <c r="C5" i="47"/>
  <c r="C8" i="47"/>
  <c r="E5" i="47"/>
  <c r="D6" i="46"/>
  <c r="C5" i="39"/>
  <c r="C5" i="40"/>
  <c r="C7" i="36"/>
  <c r="C6" i="28"/>
  <c r="D11" i="27"/>
  <c r="D8" i="24"/>
  <c r="C5" i="87"/>
  <c r="E7" i="23"/>
  <c r="C5" i="22"/>
  <c r="D7" i="86"/>
  <c r="D9" i="19"/>
  <c r="E6" i="13"/>
  <c r="C4" i="10"/>
  <c r="D6" i="10"/>
  <c r="D5" i="81"/>
  <c r="D5" i="8"/>
  <c r="D7" i="2"/>
  <c r="E12" i="94"/>
  <c r="E12" i="57"/>
  <c r="C5" i="55"/>
  <c r="D4" i="55"/>
  <c r="E12" i="53"/>
  <c r="D12" i="92"/>
  <c r="D3" i="50"/>
  <c r="D3" i="49"/>
  <c r="C5" i="48"/>
  <c r="C6" i="47"/>
  <c r="D5" i="46"/>
  <c r="C6" i="39"/>
  <c r="C6" i="40"/>
  <c r="C6" i="36"/>
  <c r="C5" i="28"/>
  <c r="D6" i="88"/>
  <c r="D6" i="24"/>
  <c r="D7" i="23"/>
  <c r="G7" i="23"/>
  <c r="D9" i="23"/>
  <c r="C4" i="22"/>
  <c r="D10" i="19"/>
  <c r="E5" i="85"/>
  <c r="C4" i="84"/>
  <c r="C5" i="81"/>
  <c r="D6" i="8"/>
  <c r="C7" i="7"/>
  <c r="C13" i="101"/>
  <c r="D13" i="103"/>
  <c r="E19" i="100"/>
  <c r="E17" i="100"/>
  <c r="E15" i="100"/>
  <c r="D4" i="72"/>
  <c r="D4" i="97"/>
  <c r="D5" i="71"/>
  <c r="C13" i="65"/>
  <c r="C13" i="95"/>
  <c r="C5" i="9"/>
  <c r="C4" i="82"/>
  <c r="D6" i="11"/>
  <c r="B10" i="11"/>
  <c r="C11" i="14"/>
  <c r="C4" i="9"/>
  <c r="C10" i="11"/>
  <c r="E12" i="93"/>
  <c r="C5" i="26"/>
  <c r="C3" i="26"/>
  <c r="C12" i="14"/>
  <c r="B9" i="11"/>
  <c r="B13" i="11"/>
  <c r="C11" i="11"/>
  <c r="B11" i="11"/>
</calcChain>
</file>

<file path=xl/sharedStrings.xml><?xml version="1.0" encoding="utf-8"?>
<sst xmlns="http://schemas.openxmlformats.org/spreadsheetml/2006/main" count="450" uniqueCount="253">
  <si>
    <t>Data</t>
  </si>
  <si>
    <t>=AVEDEV(A2:A8)</t>
  </si>
  <si>
    <t>=AVERAGE(A2:A7)</t>
  </si>
  <si>
    <t>Kosong</t>
  </si>
  <si>
    <t>=AVERAGEA(A2:A7)</t>
  </si>
  <si>
    <t>Keterangan</t>
  </si>
  <si>
    <t>Nilai yang dievaluasi</t>
  </si>
  <si>
    <t>Parameter distribusi</t>
  </si>
  <si>
    <t>Batas bawah</t>
  </si>
  <si>
    <t>Batas atas</t>
  </si>
  <si>
    <t>Probabilitas</t>
  </si>
  <si>
    <t>Jumlah percobaan sukses</t>
  </si>
  <si>
    <t>Jumlah percobaan bebas</t>
  </si>
  <si>
    <t>Probabilitas sukses untuk masing-masing percobaan</t>
  </si>
  <si>
    <t>Nilai yang akan dievaluasi</t>
  </si>
  <si>
    <t>Degress of freedom</t>
  </si>
  <si>
    <t>Setuju</t>
  </si>
  <si>
    <t>Netral</t>
  </si>
  <si>
    <t>Tidak Setuju</t>
  </si>
  <si>
    <t>Jawaban/Jenis Kelamin</t>
  </si>
  <si>
    <t>Pria</t>
  </si>
  <si>
    <t xml:space="preserve">Wanita </t>
  </si>
  <si>
    <t>NILAI AKTUAL</t>
  </si>
  <si>
    <t>NILAI HARAPAN</t>
  </si>
  <si>
    <t>Jumlah</t>
  </si>
  <si>
    <t>CHITEST</t>
  </si>
  <si>
    <t>Tingkat signifikansi</t>
  </si>
  <si>
    <t>Standar deviasi populasi</t>
  </si>
  <si>
    <t>Contoh ukuran</t>
  </si>
  <si>
    <t>Jumlah Anggota Keluarga</t>
  </si>
  <si>
    <t>Konsumsi Air/Bulan (M Kubik)</t>
  </si>
  <si>
    <t>PARTO</t>
  </si>
  <si>
    <t>=COUNT(A2:A10)</t>
  </si>
  <si>
    <t>=COUNT(A6:A10)</t>
  </si>
  <si>
    <t>=COUNTA(A2:A10)</t>
  </si>
  <si>
    <t>=COUNTBLANK(A2:B5)</t>
  </si>
  <si>
    <t>Susu</t>
  </si>
  <si>
    <t>Pisang</t>
  </si>
  <si>
    <t>Coklat</t>
  </si>
  <si>
    <t>=COUNTIF(A2:A6;"Susu")</t>
  </si>
  <si>
    <t>=COUNTIF(B2:B6;"&gt;50")</t>
  </si>
  <si>
    <t>Data1</t>
  </si>
  <si>
    <t>Data2</t>
  </si>
  <si>
    <t>Jumlah percobaan Bernoulli</t>
  </si>
  <si>
    <t>Nilai kriteria</t>
  </si>
  <si>
    <t>Kemungkinan sukses masing-masing kriteria</t>
  </si>
  <si>
    <t>=DEVSQ(A2:A7)</t>
  </si>
  <si>
    <t>Nilai fungsi</t>
  </si>
  <si>
    <t>Nilai parameter</t>
  </si>
  <si>
    <t>Derajat bebas pembilang</t>
  </si>
  <si>
    <t>Derajat bebas penyebut</t>
  </si>
  <si>
    <t>=FISHERINV(A2)</t>
  </si>
  <si>
    <t>Nilai Fisher</t>
  </si>
  <si>
    <t>Skor</t>
  </si>
  <si>
    <t>Bin</t>
  </si>
  <si>
    <t xml:space="preserve">  </t>
  </si>
  <si>
    <t>Promosi</t>
  </si>
  <si>
    <t>Penjualan</t>
  </si>
  <si>
    <t>Nilai yang akan dicari distribusinya</t>
  </si>
  <si>
    <t>Alpha (Parameter distribusi)</t>
  </si>
  <si>
    <t>Parameter distribusi (Jika Beta =1, maka akan dihasilkan distribusi gamma standar)</t>
  </si>
  <si>
    <t>=GAMMALN(A2)</t>
  </si>
  <si>
    <t>=GEOMEAN(A2:A10)</t>
  </si>
  <si>
    <t>=HARMEAN(A2:A10)</t>
  </si>
  <si>
    <t>Bulan</t>
  </si>
  <si>
    <t>=GROWTH(B2:B8;A2:A8;A10:A11)</t>
  </si>
  <si>
    <t>Sampel</t>
  </si>
  <si>
    <t>Ukuran Sampel</t>
  </si>
  <si>
    <t>Populasi</t>
  </si>
  <si>
    <t>Ukuran populasi</t>
  </si>
  <si>
    <t>=KURT(A2;A11)</t>
  </si>
  <si>
    <t>Probabilitas untuk distribusi lognormal</t>
  </si>
  <si>
    <t>Rata-rata ln(x)</t>
  </si>
  <si>
    <t>Standard deviasi ln(x)</t>
  </si>
  <si>
    <t>Nilai yang akan dihitung dengan fungsi X</t>
  </si>
  <si>
    <t>Bandung</t>
  </si>
  <si>
    <t>=MAXA(A2;A11)</t>
  </si>
  <si>
    <t>=MEDIAN(A2:A11)</t>
  </si>
  <si>
    <t>=MIN(A2:A11)</t>
  </si>
  <si>
    <t>=MINA(A2;A11)</t>
  </si>
  <si>
    <t>=MODE(A2:A11)</t>
  </si>
  <si>
    <t>Jumlah gagal (failures)</t>
  </si>
  <si>
    <t>Jumlah ambang sukses</t>
  </si>
  <si>
    <t>Probabilitas sukses</t>
  </si>
  <si>
    <t>Rata-rata</t>
  </si>
  <si>
    <t>Standart Deviasi</t>
  </si>
  <si>
    <t xml:space="preserve">Nilai yang akan dicari </t>
  </si>
  <si>
    <t>Probabilitas pada kurva normal</t>
  </si>
  <si>
    <t>Nilai yang dicari distribusinya (Z)</t>
  </si>
  <si>
    <t>Jumlah obyek</t>
  </si>
  <si>
    <t>Jumlah obyek pada setiap permutasi</t>
  </si>
  <si>
    <t>Jumlah kejadian (x)</t>
  </si>
  <si>
    <t>Rata-rata yang diharapkan</t>
  </si>
  <si>
    <t>=SKEW(A2;A11)</t>
  </si>
  <si>
    <t>Nilai yang akan distandardized-kan</t>
  </si>
  <si>
    <t>Standard deviasi</t>
  </si>
  <si>
    <t>Kamis</t>
  </si>
  <si>
    <t xml:space="preserve">Derajat bebas </t>
  </si>
  <si>
    <t>Probabilitas distribusi t-Student dua ujung</t>
  </si>
  <si>
    <t>Periode</t>
  </si>
  <si>
    <t>Feb 2010</t>
  </si>
  <si>
    <t>Mar 2010</t>
  </si>
  <si>
    <t>Apr 2010</t>
  </si>
  <si>
    <t>Mei 2010</t>
  </si>
  <si>
    <t>Jun 2010</t>
  </si>
  <si>
    <t>Ags 2010</t>
  </si>
  <si>
    <t>Sep 2010</t>
  </si>
  <si>
    <t>Okt 2010</t>
  </si>
  <si>
    <t>Nov 2010</t>
  </si>
  <si>
    <t>Des 2010</t>
  </si>
  <si>
    <t>Jul  2010</t>
  </si>
  <si>
    <t>Jan  2010</t>
  </si>
  <si>
    <t>Feb 2011</t>
  </si>
  <si>
    <t>Jan  2011</t>
  </si>
  <si>
    <t>Mar 2011</t>
  </si>
  <si>
    <t>Apr 2011</t>
  </si>
  <si>
    <t>Mei 2011</t>
  </si>
  <si>
    <t>=STDEVA(A2:A11)</t>
  </si>
  <si>
    <t>=STDEVP(A2:A11)</t>
  </si>
  <si>
    <t>=STDEVP(A2:A11;13)</t>
  </si>
  <si>
    <t>=STDEVPA(A2:A11)</t>
  </si>
  <si>
    <t>Parameter beta</t>
  </si>
  <si>
    <t>Parameter alpha</t>
  </si>
  <si>
    <t>=AVEDEV(A2:A8;10)</t>
  </si>
  <si>
    <t>=AVERAGEIF(A2:A7,"&gt;=10")</t>
  </si>
  <si>
    <t>Masa Kerja</t>
  </si>
  <si>
    <t>Golongan</t>
  </si>
  <si>
    <t>=AVERAGEIF(B2:B7,"&gt;2",A2:A7)</t>
  </si>
  <si>
    <t>Tidak Lengkap</t>
  </si>
  <si>
    <t>Nilai Statistika I</t>
  </si>
  <si>
    <t>Nilai Statistika II</t>
  </si>
  <si>
    <t>=AVERAGEIFS(A2:A7,A2:A7,"&gt;70",A2:A7,"&lt;90")</t>
  </si>
  <si>
    <t>=AVERAGEIFS(A2:A7,A2:A7,"&gt;70",B2:B7,"&gt;70")</t>
  </si>
  <si>
    <t>=BETA.DIST(A2,A3,A4,TRUE,A5,A6)</t>
  </si>
  <si>
    <t>=BETA.INV(A2,A3,A4,A5,A6)</t>
  </si>
  <si>
    <t>=BINOM.DIST(A2,A3,A4,TRUE)</t>
  </si>
  <si>
    <t>=BINOMDIST(A2,A3,A4,FALSE)</t>
  </si>
  <si>
    <t>=BINOM.INV(A2,A3,A4)</t>
  </si>
  <si>
    <t>=CHISQ.DIST(A2,A3,FALSE)</t>
  </si>
  <si>
    <t>=CHISQ.DIST(A2,A3,TRUE)</t>
  </si>
  <si>
    <t>=CHISQ.DIST.RT(A2,A3)</t>
  </si>
  <si>
    <t>=CHISQ.INV(A2,A3)</t>
  </si>
  <si>
    <t>=CHISQ.INV.RT(A2,A3)</t>
  </si>
  <si>
    <t>=CONFIDENCE.NORM(A2,A3,A4)</t>
  </si>
  <si>
    <t>=CONFIDENCE.T(A2,A3,A4)</t>
  </si>
  <si>
    <t>=COVARIANCE.P(A2:A6,B2:B6)</t>
  </si>
  <si>
    <t>=COVARIANCE.S(A2:A6,B2:B6)</t>
  </si>
  <si>
    <t>=EXPON.DIST(A2;A3,TRUE)</t>
  </si>
  <si>
    <t>=CORREL(A2:A10,B2:B10)</t>
  </si>
  <si>
    <t>=COUNT(A2:A10,5)</t>
  </si>
  <si>
    <t>=COUNTIF(A2:A6,"Susu")</t>
  </si>
  <si>
    <t>=COUNTIF(B2:B6,"&gt;50")</t>
  </si>
  <si>
    <t>=CRITBINOM(A2,A3,A4)</t>
  </si>
  <si>
    <t>=DEVSQ(A2:A7,10)</t>
  </si>
  <si>
    <t>=EXPON.DIST(A2;A3,FALSE)</t>
  </si>
  <si>
    <t>=F.DIST(A2,A3,A4,TRUE)</t>
  </si>
  <si>
    <t>=F.DIST(A2,A3,A4,FALSE)</t>
  </si>
  <si>
    <t>=F.DIST.RT(A2,A3,A4)</t>
  </si>
  <si>
    <t>Nilai probabilitas dengan distribusi kumulatif F</t>
  </si>
  <si>
    <t>=AVERAGE(A2:A7,5)</t>
  </si>
  <si>
    <t>=AVERAGEA(A2:A7,5)</t>
  </si>
  <si>
    <t>=F.INV(A2,A3,A4)</t>
  </si>
  <si>
    <t>=F.INV.RT(A2,A3,A4)</t>
  </si>
  <si>
    <t>=F.TEST(B2:B10;A2:A10)</t>
  </si>
  <si>
    <t>=FISHER(A2)</t>
  </si>
  <si>
    <t>=FORECAST(10,B2:B10,A2:A10)</t>
  </si>
  <si>
    <t>=FREQUENCY(A2:A10,B2:B4)</t>
  </si>
  <si>
    <t>=GAMMA.DIST(A2,A3,A4,TRUE)</t>
  </si>
  <si>
    <t>=GAMMADIST(A2,A3,A4,FALSE)</t>
  </si>
  <si>
    <t>=GAMMA.INV(A2,A3,A4)</t>
  </si>
  <si>
    <t>=GEOMEAN(A2:A10,12)</t>
  </si>
  <si>
    <t>=HARMEAN(A2:A10,12)</t>
  </si>
  <si>
    <t>=HYPGEOM.DIST(A2,A3,A4,A5,TRUE)</t>
  </si>
  <si>
    <t>=HYPGEOM.DIST(A2,A3,A4,A5,FALSE)</t>
  </si>
  <si>
    <t>=INTERCEPT(B2:B10,A2:A10)</t>
  </si>
  <si>
    <t>=KURT(A2:A11,13)</t>
  </si>
  <si>
    <t>=LARGE(A2:A11,3)</t>
  </si>
  <si>
    <t>=LOGNORM.DIST(A2,A3,A4,TRUE)</t>
  </si>
  <si>
    <t>=LOGNORM.DIST(A2,A3,A4,FALSE)</t>
  </si>
  <si>
    <t>=LOGNORM.INV(A2,A3,A4)</t>
  </si>
  <si>
    <t>=MAX(A2:A11)</t>
  </si>
  <si>
    <t>=MAX(A2:A11,13)</t>
  </si>
  <si>
    <t>=MAXA(A2:A11,3)</t>
  </si>
  <si>
    <t>=MEDIAN(A2:A11,10)</t>
  </si>
  <si>
    <t>=MIN(A2:A11,0)</t>
  </si>
  <si>
    <t>=MINA(A2:A11,-3)</t>
  </si>
  <si>
    <t>=MODE(A2:A11,4)</t>
  </si>
  <si>
    <t>=NEGBINOM.DIST(A2,A3,A4,TRUE)</t>
  </si>
  <si>
    <t>=NEGBINOM.DIST(A2,A3,A4,FALSE)</t>
  </si>
  <si>
    <t>=NORM.INV(A2,A3,A4)</t>
  </si>
  <si>
    <t>=NORM.DIST(A2,A3,A4,TRUE)</t>
  </si>
  <si>
    <t>=NORM.DIST(A2,A3,A4,FALSE)</t>
  </si>
  <si>
    <t>=NORM.S.DIST(A2,TRUE)</t>
  </si>
  <si>
    <t>=NORM.S.DIST(A2,FALSE)</t>
  </si>
  <si>
    <t>=NORM.S.INV(A2)</t>
  </si>
  <si>
    <t>=PEARSON(A2:A10,B2:B10)</t>
  </si>
  <si>
    <t>=PERCENTILE.EXC(A2:A11,0.2)</t>
  </si>
  <si>
    <t>=PERCENTILE.INC(A2:A11,0.2)</t>
  </si>
  <si>
    <t>=PERCENTRANK.EXC(A2:A11,5)</t>
  </si>
  <si>
    <t>=PERCENTRANK.INC(A2:A11,5)</t>
  </si>
  <si>
    <t>=PERMUT(A2:A3)</t>
  </si>
  <si>
    <t>=POISSON(A2,A3,TRUE)</t>
  </si>
  <si>
    <t>=POISSON(A2,A3,FALSE)</t>
  </si>
  <si>
    <t>=PROB(A2:A5,B2:B5,7)</t>
  </si>
  <si>
    <t>=PROB(A2:A5,B2:B5,1,3)</t>
  </si>
  <si>
    <t>=QUARTILE.EXC(A2:A11,1)</t>
  </si>
  <si>
    <t>=QUARTILE.EXC(A2:A11,3)</t>
  </si>
  <si>
    <t>=QUARTILE.INC(A2:A11,1)</t>
  </si>
  <si>
    <t>=QUARTILE.INC(A2:A11,3)</t>
  </si>
  <si>
    <t>=RANK(4,A2:A11,0)</t>
  </si>
  <si>
    <t>=RANK(4,A2:A11,1)</t>
  </si>
  <si>
    <t>=RSQ(A2:A10,B2:B10)</t>
  </si>
  <si>
    <t>=SKEW(A2:A11,13)</t>
  </si>
  <si>
    <t>=SLOPE(B2:B10,A2:A10)</t>
  </si>
  <si>
    <t>=SMALL(A2:A11,3)</t>
  </si>
  <si>
    <t>=STANDARDIZE(A2,A3,A4)</t>
  </si>
  <si>
    <t>=STDEV.P(A2:A11)</t>
  </si>
  <si>
    <t>=STDEV.P(A2:A11,13)</t>
  </si>
  <si>
    <t>=STDEV.S(A2:A11)</t>
  </si>
  <si>
    <t>=STDEV.S(A2:A11,13)</t>
  </si>
  <si>
    <t>=STDEVPA(A2:A11,13)</t>
  </si>
  <si>
    <t>=STEYX(B2:B10,A2:A10)</t>
  </si>
  <si>
    <t>=T.DIST(A2,A3,TRUE)</t>
  </si>
  <si>
    <t>=T.DIST(A2,A3,FALSE)</t>
  </si>
  <si>
    <t>=T.DIST.2T(A2,A3)</t>
  </si>
  <si>
    <t>=T.DIST.RT(A2,A3)</t>
  </si>
  <si>
    <t>=TINV(A2,A3)</t>
  </si>
  <si>
    <t>=TINV.2T(A2,A3)</t>
  </si>
  <si>
    <t>=TREND(C2:C13,B2:B13,B14:B18,TRUE)</t>
  </si>
  <si>
    <t>=TRIMMEAN(A2:A11,0.25)</t>
  </si>
  <si>
    <t>Sampel 1</t>
  </si>
  <si>
    <t>Sampel 2</t>
  </si>
  <si>
    <t>=T.TEST(A2:A13,B2:B13,1,1)</t>
  </si>
  <si>
    <t>=T.TEST(A2:A13,B2:B13,1,2)</t>
  </si>
  <si>
    <t>=T.TEST(A2:A13,B2:B13,1,3)</t>
  </si>
  <si>
    <t>=T.TEST(A2:A13,B2:B13,2,1)</t>
  </si>
  <si>
    <t>=T.TEST(A2:A13,B2:B13,2,2)</t>
  </si>
  <si>
    <t>=T.TEST(A2:A13,B2:B13,2,3)</t>
  </si>
  <si>
    <t>=VARA(A2:A11)</t>
  </si>
  <si>
    <t>=VARA(A2:A11,13)</t>
  </si>
  <si>
    <t>=VAR.P(A2:A11)</t>
  </si>
  <si>
    <t>=VAR.P(A2:A11,13)</t>
  </si>
  <si>
    <t>=VAR.S(A2:A11)</t>
  </si>
  <si>
    <t>=VAR.S(A2:A11,13)</t>
  </si>
  <si>
    <t>=VARPA(A2:A11)</t>
  </si>
  <si>
    <t>=VARPA(A2:A11,13)</t>
  </si>
  <si>
    <t>=WEIBULL(A2,A3,A4,TRUE)</t>
  </si>
  <si>
    <t>=WEIBULL(A2,A3,A4,FALSE)</t>
  </si>
  <si>
    <t>=ZTEST(A2:A11,6)</t>
  </si>
  <si>
    <t>=STDEVA(A2:A11,13)</t>
  </si>
  <si>
    <t>Beta</t>
  </si>
  <si>
    <t>Pendapatan Istri</t>
  </si>
  <si>
    <t>Pendapatan Suami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</si>
</sst>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70" formatCode="0.000000"/>
    <numFmt numFmtId="171" formatCode="0.00000"/>
    <numFmt numFmtId="173" formatCode="0.000"/>
    <numFmt numFmtId="174" formatCode="0.0"/>
    <numFmt numFmtId="175" formatCode="0.0000000"/>
    <numFmt numFmtId="176" formatCode="0.00000000"/>
    <numFmt numFmtId="177" formatCode="0.000000000"/>
    <numFmt numFmtId="178" formatCode="0.0000000000"/>
    <numFmt numFmtId="180" formatCode="0.000000000000"/>
    <numFmt numFmtId="187" formatCode="0.00000E+00"/>
  </numFmts>
  <fonts count="9" x14ac:knownFonts="1">
    <font>
      <sz val="10"/>
      <name val="Arial"/>
      <charset val="1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sz val="12"/>
      <name val="Arial Narrow"/>
      <family val="2"/>
    </font>
    <font>
      <sz val="10"/>
      <name val="Arial"/>
      <family val="2"/>
    </font>
    <font>
      <sz val="14"/>
      <name val="Arial"/>
      <family val="2"/>
    </font>
    <font>
      <i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47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/>
    <xf numFmtId="171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/>
    <xf numFmtId="175" fontId="0" fillId="0" borderId="0" xfId="0" applyNumberFormat="1"/>
    <xf numFmtId="14" fontId="0" fillId="0" borderId="0" xfId="0" applyNumberForma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1" fontId="3" fillId="0" borderId="0" xfId="0" applyNumberFormat="1" applyFont="1"/>
    <xf numFmtId="1" fontId="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0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78" fontId="0" fillId="0" borderId="0" xfId="0" applyNumberFormat="1"/>
    <xf numFmtId="1" fontId="0" fillId="0" borderId="0" xfId="0" applyNumberFormat="1" applyAlignment="1">
      <alignment vertical="top"/>
    </xf>
    <xf numFmtId="180" fontId="0" fillId="0" borderId="0" xfId="0" applyNumberFormat="1"/>
    <xf numFmtId="174" fontId="0" fillId="0" borderId="0" xfId="0" applyNumberFormat="1"/>
    <xf numFmtId="174" fontId="0" fillId="0" borderId="0" xfId="0" applyNumberFormat="1" applyAlignment="1">
      <alignment vertical="top"/>
    </xf>
    <xf numFmtId="174" fontId="0" fillId="0" borderId="0" xfId="0" applyNumberFormat="1" applyAlignment="1">
      <alignment horizontal="right"/>
    </xf>
    <xf numFmtId="177" fontId="0" fillId="0" borderId="0" xfId="0" applyNumberFormat="1"/>
    <xf numFmtId="176" fontId="0" fillId="0" borderId="0" xfId="0" applyNumberFormat="1"/>
    <xf numFmtId="173" fontId="0" fillId="0" borderId="0" xfId="0" applyNumberForma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1" xfId="0" applyNumberFormat="1" applyBorder="1" applyAlignment="1">
      <alignment horizontal="left"/>
    </xf>
    <xf numFmtId="1" fontId="0" fillId="0" borderId="1" xfId="0" applyNumberFormat="1" applyBorder="1" applyAlignment="1">
      <alignment horizontal="right"/>
    </xf>
    <xf numFmtId="1" fontId="0" fillId="0" borderId="0" xfId="0" applyNumberForma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Fill="1" applyBorder="1" applyAlignment="1"/>
    <xf numFmtId="0" fontId="0" fillId="0" borderId="0" xfId="0" applyBorder="1"/>
    <xf numFmtId="49" fontId="3" fillId="0" borderId="0" xfId="0" applyNumberFormat="1" applyFont="1"/>
    <xf numFmtId="49" fontId="5" fillId="0" borderId="0" xfId="0" applyNumberFormat="1" applyFont="1"/>
    <xf numFmtId="0" fontId="2" fillId="0" borderId="0" xfId="0" applyFont="1" applyBorder="1" applyAlignment="1">
      <alignment horizontal="center"/>
    </xf>
    <xf numFmtId="187" fontId="0" fillId="0" borderId="0" xfId="0" applyNumberFormat="1"/>
    <xf numFmtId="0" fontId="7" fillId="0" borderId="0" xfId="0" applyFont="1"/>
    <xf numFmtId="0" fontId="7" fillId="0" borderId="0" xfId="1" applyFont="1"/>
    <xf numFmtId="0" fontId="8" fillId="0" borderId="0" xfId="0" applyFont="1" applyFill="1" applyBorder="1" applyAlignment="1">
      <alignment horizontal="centerContinuous"/>
    </xf>
    <xf numFmtId="0" fontId="2" fillId="0" borderId="0" xfId="0" applyFont="1" applyAlignment="1">
      <alignment horizontal="center"/>
    </xf>
  </cellXfs>
  <cellStyles count="2">
    <cellStyle name="Normal" xfId="0" builtinId="0"/>
    <cellStyle name="Normal_stdev.s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12</xdr:col>
      <xdr:colOff>85725</xdr:colOff>
      <xdr:row>14</xdr:row>
      <xdr:rowOff>47625</xdr:rowOff>
    </xdr:to>
    <xdr:pic>
      <xdr:nvPicPr>
        <xdr:cNvPr id="5294" name="Picture 1">
          <a:extLst>
            <a:ext uri="{FF2B5EF4-FFF2-40B4-BE49-F238E27FC236}">
              <a16:creationId xmlns:a16="http://schemas.microsoft.com/office/drawing/2014/main" id="{68F122D7-0F1B-41F5-AC60-3FD48DD09E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5075" y="323850"/>
          <a:ext cx="3133725" cy="1990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104775</xdr:rowOff>
    </xdr:from>
    <xdr:to>
      <xdr:col>12</xdr:col>
      <xdr:colOff>361950</xdr:colOff>
      <xdr:row>25</xdr:row>
      <xdr:rowOff>123825</xdr:rowOff>
    </xdr:to>
    <xdr:pic>
      <xdr:nvPicPr>
        <xdr:cNvPr id="5295" name="Picture 1">
          <a:extLst>
            <a:ext uri="{FF2B5EF4-FFF2-40B4-BE49-F238E27FC236}">
              <a16:creationId xmlns:a16="http://schemas.microsoft.com/office/drawing/2014/main" id="{DBCF0D60-341A-40F9-8613-748582A9A9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3175" y="2371725"/>
          <a:ext cx="3371850" cy="1800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12</xdr:col>
      <xdr:colOff>85725</xdr:colOff>
      <xdr:row>14</xdr:row>
      <xdr:rowOff>47625</xdr:rowOff>
    </xdr:to>
    <xdr:pic>
      <xdr:nvPicPr>
        <xdr:cNvPr id="6236" name="Picture 1">
          <a:extLst>
            <a:ext uri="{FF2B5EF4-FFF2-40B4-BE49-F238E27FC236}">
              <a16:creationId xmlns:a16="http://schemas.microsoft.com/office/drawing/2014/main" id="{F1B143DB-417E-4234-838B-EFC248658F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5075" y="323850"/>
          <a:ext cx="3133725" cy="1990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</xdr:colOff>
      <xdr:row>0</xdr:row>
      <xdr:rowOff>152400</xdr:rowOff>
    </xdr:from>
    <xdr:to>
      <xdr:col>11</xdr:col>
      <xdr:colOff>361950</xdr:colOff>
      <xdr:row>14</xdr:row>
      <xdr:rowOff>76200</xdr:rowOff>
    </xdr:to>
    <xdr:pic>
      <xdr:nvPicPr>
        <xdr:cNvPr id="38991" name="Picture 1">
          <a:extLst>
            <a:ext uri="{FF2B5EF4-FFF2-40B4-BE49-F238E27FC236}">
              <a16:creationId xmlns:a16="http://schemas.microsoft.com/office/drawing/2014/main" id="{A3C2FB5A-7728-4071-B1D9-ED8B3B1D8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7375" y="152400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12</xdr:row>
      <xdr:rowOff>0</xdr:rowOff>
    </xdr:from>
    <xdr:to>
      <xdr:col>10</xdr:col>
      <xdr:colOff>85725</xdr:colOff>
      <xdr:row>25</xdr:row>
      <xdr:rowOff>142875</xdr:rowOff>
    </xdr:to>
    <xdr:pic>
      <xdr:nvPicPr>
        <xdr:cNvPr id="41033" name="Picture 1">
          <a:extLst>
            <a:ext uri="{FF2B5EF4-FFF2-40B4-BE49-F238E27FC236}">
              <a16:creationId xmlns:a16="http://schemas.microsoft.com/office/drawing/2014/main" id="{048FEA67-D906-404E-9197-BFC7E591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8725" y="1943100"/>
          <a:ext cx="3743325" cy="224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12</xdr:col>
      <xdr:colOff>104775</xdr:colOff>
      <xdr:row>16</xdr:row>
      <xdr:rowOff>152400</xdr:rowOff>
    </xdr:to>
    <xdr:pic>
      <xdr:nvPicPr>
        <xdr:cNvPr id="8288" name="Picture 1">
          <a:extLst>
            <a:ext uri="{FF2B5EF4-FFF2-40B4-BE49-F238E27FC236}">
              <a16:creationId xmlns:a16="http://schemas.microsoft.com/office/drawing/2014/main" id="{1DEDAAF5-9B0C-4BAC-B76A-EF4AF92C6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62550" y="676275"/>
          <a:ext cx="3152775" cy="2419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11</xdr:col>
      <xdr:colOff>600075</xdr:colOff>
      <xdr:row>17</xdr:row>
      <xdr:rowOff>152400</xdr:rowOff>
    </xdr:to>
    <xdr:pic>
      <xdr:nvPicPr>
        <xdr:cNvPr id="10332" name="Picture 1">
          <a:extLst>
            <a:ext uri="{FF2B5EF4-FFF2-40B4-BE49-F238E27FC236}">
              <a16:creationId xmlns:a16="http://schemas.microsoft.com/office/drawing/2014/main" id="{A34BB84E-DDAC-443E-8230-5F5B3EA441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4825" y="161925"/>
          <a:ext cx="3038475" cy="2743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11</xdr:col>
      <xdr:colOff>600075</xdr:colOff>
      <xdr:row>17</xdr:row>
      <xdr:rowOff>152400</xdr:rowOff>
    </xdr:to>
    <xdr:pic>
      <xdr:nvPicPr>
        <xdr:cNvPr id="11356" name="Picture 1">
          <a:extLst>
            <a:ext uri="{FF2B5EF4-FFF2-40B4-BE49-F238E27FC236}">
              <a16:creationId xmlns:a16="http://schemas.microsoft.com/office/drawing/2014/main" id="{F5547710-F8EA-4839-99AA-573D0A8C4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14825" y="161925"/>
          <a:ext cx="3038475" cy="2743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12</xdr:col>
      <xdr:colOff>95250</xdr:colOff>
      <xdr:row>11</xdr:row>
      <xdr:rowOff>85725</xdr:rowOff>
    </xdr:to>
    <xdr:pic>
      <xdr:nvPicPr>
        <xdr:cNvPr id="12381" name="Picture 2">
          <a:extLst>
            <a:ext uri="{FF2B5EF4-FFF2-40B4-BE49-F238E27FC236}">
              <a16:creationId xmlns:a16="http://schemas.microsoft.com/office/drawing/2014/main" id="{61245F35-3798-40F5-9B7B-30BA7F2FC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0" y="161925"/>
          <a:ext cx="3143250" cy="1704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12</xdr:col>
      <xdr:colOff>104775</xdr:colOff>
      <xdr:row>15</xdr:row>
      <xdr:rowOff>0</xdr:rowOff>
    </xdr:to>
    <xdr:pic>
      <xdr:nvPicPr>
        <xdr:cNvPr id="13405" name="Picture 2">
          <a:extLst>
            <a:ext uri="{FF2B5EF4-FFF2-40B4-BE49-F238E27FC236}">
              <a16:creationId xmlns:a16="http://schemas.microsoft.com/office/drawing/2014/main" id="{00A297F7-93F1-47AB-AAE9-089FC2C790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0" y="323850"/>
          <a:ext cx="3152775" cy="2105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12</xdr:col>
      <xdr:colOff>95250</xdr:colOff>
      <xdr:row>12</xdr:row>
      <xdr:rowOff>95250</xdr:rowOff>
    </xdr:to>
    <xdr:pic>
      <xdr:nvPicPr>
        <xdr:cNvPr id="15452" name="Picture 1">
          <a:extLst>
            <a:ext uri="{FF2B5EF4-FFF2-40B4-BE49-F238E27FC236}">
              <a16:creationId xmlns:a16="http://schemas.microsoft.com/office/drawing/2014/main" id="{810F678A-3358-4BED-9D70-BD75C0130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0" y="161925"/>
          <a:ext cx="3143250" cy="1876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12</xdr:col>
      <xdr:colOff>95250</xdr:colOff>
      <xdr:row>12</xdr:row>
      <xdr:rowOff>95250</xdr:rowOff>
    </xdr:to>
    <xdr:pic>
      <xdr:nvPicPr>
        <xdr:cNvPr id="45122" name="Picture 1">
          <a:extLst>
            <a:ext uri="{FF2B5EF4-FFF2-40B4-BE49-F238E27FC236}">
              <a16:creationId xmlns:a16="http://schemas.microsoft.com/office/drawing/2014/main" id="{A56BA2A7-1A5E-45B8-AD6C-5ECFAE99B7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4400" y="161925"/>
          <a:ext cx="3143250" cy="1876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3</xdr:row>
      <xdr:rowOff>0</xdr:rowOff>
    </xdr:from>
    <xdr:to>
      <xdr:col>16</xdr:col>
      <xdr:colOff>66675</xdr:colOff>
      <xdr:row>16</xdr:row>
      <xdr:rowOff>104775</xdr:rowOff>
    </xdr:to>
    <xdr:pic>
      <xdr:nvPicPr>
        <xdr:cNvPr id="16476" name="Picture 1">
          <a:extLst>
            <a:ext uri="{FF2B5EF4-FFF2-40B4-BE49-F238E27FC236}">
              <a16:creationId xmlns:a16="http://schemas.microsoft.com/office/drawing/2014/main" id="{0F11ACD1-E6DB-4912-915E-4CF519D06F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0" y="485775"/>
          <a:ext cx="3114675" cy="2209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</xdr:row>
      <xdr:rowOff>0</xdr:rowOff>
    </xdr:from>
    <xdr:to>
      <xdr:col>13</xdr:col>
      <xdr:colOff>209550</xdr:colOff>
      <xdr:row>14</xdr:row>
      <xdr:rowOff>95250</xdr:rowOff>
    </xdr:to>
    <xdr:pic>
      <xdr:nvPicPr>
        <xdr:cNvPr id="19548" name="Picture 1">
          <a:extLst>
            <a:ext uri="{FF2B5EF4-FFF2-40B4-BE49-F238E27FC236}">
              <a16:creationId xmlns:a16="http://schemas.microsoft.com/office/drawing/2014/main" id="{CA90AD85-22DF-4ED4-AC32-A8B6A6C6A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161925"/>
          <a:ext cx="4476750" cy="2362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133350</xdr:colOff>
      <xdr:row>1</xdr:row>
      <xdr:rowOff>114300</xdr:rowOff>
    </xdr:from>
    <xdr:to>
      <xdr:col>14</xdr:col>
      <xdr:colOff>228600</xdr:colOff>
      <xdr:row>16</xdr:row>
      <xdr:rowOff>19050</xdr:rowOff>
    </xdr:to>
    <xdr:pic>
      <xdr:nvPicPr>
        <xdr:cNvPr id="22620" name="Picture 1">
          <a:extLst>
            <a:ext uri="{FF2B5EF4-FFF2-40B4-BE49-F238E27FC236}">
              <a16:creationId xmlns:a16="http://schemas.microsoft.com/office/drawing/2014/main" id="{0BBC82F8-0131-4BDA-9EE0-6DC95F748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0" y="276225"/>
          <a:ext cx="3143250" cy="2333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314325</xdr:colOff>
      <xdr:row>8</xdr:row>
      <xdr:rowOff>95250</xdr:rowOff>
    </xdr:from>
    <xdr:to>
      <xdr:col>13</xdr:col>
      <xdr:colOff>57150</xdr:colOff>
      <xdr:row>24</xdr:row>
      <xdr:rowOff>28575</xdr:rowOff>
    </xdr:to>
    <xdr:pic>
      <xdr:nvPicPr>
        <xdr:cNvPr id="51246" name="Picture 1">
          <a:extLst>
            <a:ext uri="{FF2B5EF4-FFF2-40B4-BE49-F238E27FC236}">
              <a16:creationId xmlns:a16="http://schemas.microsoft.com/office/drawing/2014/main" id="{3C4D7517-5AD8-4F59-9DB0-B7B16AEC6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53225" y="1390650"/>
          <a:ext cx="1571625" cy="2524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0</xdr:rowOff>
    </xdr:from>
    <xdr:to>
      <xdr:col>12</xdr:col>
      <xdr:colOff>104775</xdr:colOff>
      <xdr:row>9</xdr:row>
      <xdr:rowOff>28575</xdr:rowOff>
    </xdr:to>
    <xdr:pic>
      <xdr:nvPicPr>
        <xdr:cNvPr id="26716" name="Picture 1">
          <a:extLst>
            <a:ext uri="{FF2B5EF4-FFF2-40B4-BE49-F238E27FC236}">
              <a16:creationId xmlns:a16="http://schemas.microsoft.com/office/drawing/2014/main" id="{CC81841A-8071-415A-9CBF-C98E8543D5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4625" y="323850"/>
          <a:ext cx="3152775" cy="1162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504825</xdr:colOff>
      <xdr:row>13</xdr:row>
      <xdr:rowOff>133350</xdr:rowOff>
    </xdr:from>
    <xdr:to>
      <xdr:col>5</xdr:col>
      <xdr:colOff>504825</xdr:colOff>
      <xdr:row>17</xdr:row>
      <xdr:rowOff>114300</xdr:rowOff>
    </xdr:to>
    <xdr:sp macro="" textlink="">
      <xdr:nvSpPr>
        <xdr:cNvPr id="34908" name="Line 1">
          <a:extLst>
            <a:ext uri="{FF2B5EF4-FFF2-40B4-BE49-F238E27FC236}">
              <a16:creationId xmlns:a16="http://schemas.microsoft.com/office/drawing/2014/main" id="{2FCD1DC8-764A-4FDB-A9EC-58CFE28E4200}"/>
            </a:ext>
          </a:extLst>
        </xdr:cNvPr>
        <xdr:cNvSpPr>
          <a:spLocks noChangeShapeType="1"/>
        </xdr:cNvSpPr>
      </xdr:nvSpPr>
      <xdr:spPr bwMode="auto">
        <a:xfrm>
          <a:off x="3524250" y="2276475"/>
          <a:ext cx="0" cy="6286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76200</xdr:colOff>
      <xdr:row>0</xdr:row>
      <xdr:rowOff>133350</xdr:rowOff>
    </xdr:from>
    <xdr:to>
      <xdr:col>11</xdr:col>
      <xdr:colOff>200025</xdr:colOff>
      <xdr:row>21</xdr:row>
      <xdr:rowOff>66675</xdr:rowOff>
    </xdr:to>
    <xdr:pic>
      <xdr:nvPicPr>
        <xdr:cNvPr id="66581" name="Picture 1">
          <a:extLst>
            <a:ext uri="{FF2B5EF4-FFF2-40B4-BE49-F238E27FC236}">
              <a16:creationId xmlns:a16="http://schemas.microsoft.com/office/drawing/2014/main" id="{6FE0327E-5D50-427F-B982-70D49AD2ED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1650" y="133350"/>
          <a:ext cx="1952625" cy="3333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10</xdr:col>
      <xdr:colOff>180975</xdr:colOff>
      <xdr:row>16</xdr:row>
      <xdr:rowOff>76200</xdr:rowOff>
    </xdr:to>
    <xdr:pic>
      <xdr:nvPicPr>
        <xdr:cNvPr id="68626" name="Picture 1">
          <a:extLst>
            <a:ext uri="{FF2B5EF4-FFF2-40B4-BE49-F238E27FC236}">
              <a16:creationId xmlns:a16="http://schemas.microsoft.com/office/drawing/2014/main" id="{B8CBE45A-5BF7-488B-A330-47B50992BB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76800" y="323850"/>
          <a:ext cx="1400175" cy="2343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2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4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zoomScale="160" zoomScaleNormal="160" workbookViewId="0">
      <selection activeCell="B7" sqref="B7"/>
    </sheetView>
  </sheetViews>
  <sheetFormatPr defaultRowHeight="12.75" x14ac:dyDescent="0.2"/>
  <cols>
    <col min="1" max="1" width="8.42578125" customWidth="1"/>
    <col min="2" max="2" width="12.28515625" customWidth="1"/>
    <col min="3" max="3" width="12.7109375" bestFit="1" customWidth="1"/>
    <col min="5" max="6" width="9.140625" style="38"/>
    <col min="7" max="7" width="22.28515625" style="38" bestFit="1" customWidth="1"/>
    <col min="8" max="9" width="9.140625" style="38"/>
  </cols>
  <sheetData>
    <row r="1" spans="1:8" x14ac:dyDescent="0.2">
      <c r="A1" s="3" t="s">
        <v>0</v>
      </c>
    </row>
    <row r="2" spans="1:8" x14ac:dyDescent="0.2">
      <c r="A2">
        <v>5</v>
      </c>
    </row>
    <row r="3" spans="1:8" x14ac:dyDescent="0.2">
      <c r="A3">
        <v>7</v>
      </c>
    </row>
    <row r="4" spans="1:8" x14ac:dyDescent="0.2">
      <c r="A4">
        <v>8</v>
      </c>
      <c r="G4" s="45"/>
      <c r="H4" s="45"/>
    </row>
    <row r="5" spans="1:8" x14ac:dyDescent="0.2">
      <c r="A5">
        <v>7</v>
      </c>
      <c r="G5" s="37"/>
      <c r="H5" s="37"/>
    </row>
    <row r="6" spans="1:8" x14ac:dyDescent="0.2">
      <c r="A6">
        <v>3</v>
      </c>
      <c r="G6" s="37"/>
      <c r="H6" s="37"/>
    </row>
    <row r="7" spans="1:8" x14ac:dyDescent="0.2">
      <c r="A7">
        <v>5</v>
      </c>
      <c r="G7" s="37"/>
      <c r="H7" s="37"/>
    </row>
    <row r="8" spans="1:8" x14ac:dyDescent="0.2">
      <c r="A8">
        <v>4</v>
      </c>
      <c r="G8" s="37"/>
      <c r="H8" s="37"/>
    </row>
    <row r="9" spans="1:8" x14ac:dyDescent="0.2">
      <c r="A9" s="1" t="s">
        <v>1</v>
      </c>
      <c r="C9" s="27">
        <f>AVEDEV(A2:A8)</f>
        <v>1.510204081632653</v>
      </c>
      <c r="G9" s="37"/>
      <c r="H9" s="37"/>
    </row>
    <row r="10" spans="1:8" x14ac:dyDescent="0.2">
      <c r="A10" s="1" t="s">
        <v>123</v>
      </c>
      <c r="C10" s="27">
        <f>AVEDEV(A2:A8,10)</f>
        <v>1.875</v>
      </c>
      <c r="G10" s="37"/>
      <c r="H10" s="37"/>
    </row>
    <row r="11" spans="1:8" x14ac:dyDescent="0.2">
      <c r="G11" s="37"/>
      <c r="H11" s="37"/>
    </row>
    <row r="12" spans="1:8" x14ac:dyDescent="0.2">
      <c r="G12" s="37"/>
      <c r="H12" s="37"/>
    </row>
    <row r="13" spans="1:8" x14ac:dyDescent="0.2">
      <c r="G13" s="37"/>
      <c r="H13" s="37"/>
    </row>
    <row r="14" spans="1:8" x14ac:dyDescent="0.2">
      <c r="G14" s="37"/>
      <c r="H14" s="37"/>
    </row>
    <row r="15" spans="1:8" x14ac:dyDescent="0.2">
      <c r="G15" s="37"/>
      <c r="H15" s="37"/>
    </row>
    <row r="16" spans="1:8" x14ac:dyDescent="0.2">
      <c r="G16" s="37"/>
      <c r="H16" s="37"/>
    </row>
    <row r="17" spans="7:8" x14ac:dyDescent="0.2">
      <c r="G17" s="37"/>
      <c r="H17" s="37"/>
    </row>
    <row r="18" spans="7:8" x14ac:dyDescent="0.2">
      <c r="G18" s="37"/>
      <c r="H18" s="37"/>
    </row>
    <row r="19" spans="7:8" x14ac:dyDescent="0.2">
      <c r="G19" s="37"/>
      <c r="H19" s="37"/>
    </row>
    <row r="20" spans="7:8" x14ac:dyDescent="0.2">
      <c r="G20" s="37"/>
      <c r="H20" s="37"/>
    </row>
    <row r="21" spans="7:8" x14ac:dyDescent="0.2">
      <c r="G21" s="37"/>
      <c r="H21" s="37"/>
    </row>
  </sheetData>
  <phoneticPr fontId="1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9" sqref="D9"/>
    </sheetView>
  </sheetViews>
  <sheetFormatPr defaultRowHeight="12.75" x14ac:dyDescent="0.2"/>
  <cols>
    <col min="1" max="1" width="8.42578125" customWidth="1"/>
    <col min="2" max="2" width="11" customWidth="1"/>
    <col min="4" max="4" width="12.5703125" bestFit="1" customWidth="1"/>
  </cols>
  <sheetData>
    <row r="1" spans="1:4" x14ac:dyDescent="0.2">
      <c r="A1" s="3" t="s">
        <v>0</v>
      </c>
    </row>
    <row r="2" spans="1:4" x14ac:dyDescent="0.2">
      <c r="A2">
        <v>10</v>
      </c>
    </row>
    <row r="3" spans="1:4" x14ac:dyDescent="0.2">
      <c r="A3">
        <v>8</v>
      </c>
    </row>
    <row r="4" spans="1:4" x14ac:dyDescent="0.2">
      <c r="A4">
        <v>9</v>
      </c>
    </row>
    <row r="5" spans="1:4" x14ac:dyDescent="0.2">
      <c r="A5">
        <v>28</v>
      </c>
    </row>
    <row r="6" spans="1:4" x14ac:dyDescent="0.2">
      <c r="A6">
        <v>4</v>
      </c>
    </row>
    <row r="7" spans="1:4" x14ac:dyDescent="0.2">
      <c r="A7">
        <v>12</v>
      </c>
    </row>
    <row r="8" spans="1:4" x14ac:dyDescent="0.2">
      <c r="A8" s="1" t="s">
        <v>2</v>
      </c>
      <c r="D8" s="27">
        <f>AVERAGE(A2:A7)</f>
        <v>11.833333333333334</v>
      </c>
    </row>
    <row r="9" spans="1:4" x14ac:dyDescent="0.2">
      <c r="A9" s="1" t="s">
        <v>159</v>
      </c>
      <c r="D9" s="27">
        <f>AVERAGE(A2:A7,5)</f>
        <v>10.857142857142858</v>
      </c>
    </row>
  </sheetData>
  <phoneticPr fontId="1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H13" sqref="H13"/>
    </sheetView>
  </sheetViews>
  <sheetFormatPr defaultRowHeight="12.75" x14ac:dyDescent="0.2"/>
  <cols>
    <col min="1" max="1" width="8.42578125" customWidth="1"/>
    <col min="2" max="2" width="11" customWidth="1"/>
    <col min="4" max="4" width="11.5703125" bestFit="1" customWidth="1"/>
  </cols>
  <sheetData>
    <row r="1" spans="1:4" x14ac:dyDescent="0.2">
      <c r="A1" s="3" t="s">
        <v>0</v>
      </c>
    </row>
    <row r="2" spans="1:4" x14ac:dyDescent="0.2">
      <c r="A2">
        <v>10</v>
      </c>
    </row>
    <row r="3" spans="1:4" x14ac:dyDescent="0.2">
      <c r="A3">
        <v>8</v>
      </c>
    </row>
    <row r="4" spans="1:4" x14ac:dyDescent="0.2">
      <c r="A4">
        <v>15</v>
      </c>
    </row>
    <row r="5" spans="1:4" x14ac:dyDescent="0.2">
      <c r="A5">
        <v>3</v>
      </c>
    </row>
    <row r="6" spans="1:4" x14ac:dyDescent="0.2">
      <c r="A6" s="2" t="s">
        <v>3</v>
      </c>
    </row>
    <row r="7" spans="1:4" x14ac:dyDescent="0.2">
      <c r="A7">
        <v>9</v>
      </c>
    </row>
    <row r="8" spans="1:4" x14ac:dyDescent="0.2">
      <c r="A8" s="1" t="s">
        <v>4</v>
      </c>
      <c r="D8" s="27">
        <f>AVERAGEA(A2:A7)</f>
        <v>7.5</v>
      </c>
    </row>
    <row r="9" spans="1:4" x14ac:dyDescent="0.2">
      <c r="A9" s="1" t="s">
        <v>160</v>
      </c>
      <c r="D9" s="27">
        <f>AVERAGEA(A2:A7,5)</f>
        <v>7.1428571428571432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8" sqref="D8"/>
    </sheetView>
  </sheetViews>
  <sheetFormatPr defaultRowHeight="12.75" x14ac:dyDescent="0.2"/>
  <cols>
    <col min="1" max="1" width="12.7109375" customWidth="1"/>
    <col min="2" max="2" width="11" customWidth="1"/>
    <col min="4" max="4" width="12.5703125" bestFit="1" customWidth="1"/>
  </cols>
  <sheetData>
    <row r="1" spans="1:6" x14ac:dyDescent="0.2">
      <c r="A1" s="3" t="s">
        <v>125</v>
      </c>
      <c r="B1" s="3" t="s">
        <v>126</v>
      </c>
    </row>
    <row r="2" spans="1:6" x14ac:dyDescent="0.2">
      <c r="A2">
        <v>10</v>
      </c>
      <c r="B2">
        <v>4</v>
      </c>
      <c r="F2">
        <v>10</v>
      </c>
    </row>
    <row r="3" spans="1:6" x14ac:dyDescent="0.2">
      <c r="A3">
        <v>8</v>
      </c>
      <c r="B3">
        <v>2</v>
      </c>
      <c r="F3">
        <v>28</v>
      </c>
    </row>
    <row r="4" spans="1:6" x14ac:dyDescent="0.2">
      <c r="A4">
        <v>9</v>
      </c>
      <c r="B4">
        <v>3</v>
      </c>
      <c r="F4">
        <v>12</v>
      </c>
    </row>
    <row r="5" spans="1:6" x14ac:dyDescent="0.2">
      <c r="A5">
        <v>28</v>
      </c>
      <c r="B5">
        <v>4</v>
      </c>
      <c r="F5">
        <f>AVERAGE(F2:F4)</f>
        <v>16.666666666666668</v>
      </c>
    </row>
    <row r="6" spans="1:6" x14ac:dyDescent="0.2">
      <c r="A6">
        <v>4</v>
      </c>
      <c r="B6">
        <v>2</v>
      </c>
    </row>
    <row r="7" spans="1:6" x14ac:dyDescent="0.2">
      <c r="A7">
        <v>12</v>
      </c>
      <c r="B7">
        <v>3</v>
      </c>
    </row>
    <row r="8" spans="1:6" x14ac:dyDescent="0.2">
      <c r="A8" s="1" t="s">
        <v>124</v>
      </c>
      <c r="D8" s="27">
        <f>AVERAGEIF(A2:A7,"&gt;=10")</f>
        <v>16.666666666666668</v>
      </c>
    </row>
    <row r="9" spans="1:6" x14ac:dyDescent="0.2">
      <c r="A9" s="39" t="s">
        <v>127</v>
      </c>
      <c r="D9" s="27">
        <f>AVERAGEIF(B2:B7,"&gt;2",A2:A7)</f>
        <v>14.75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D9" sqref="D9"/>
    </sheetView>
  </sheetViews>
  <sheetFormatPr defaultRowHeight="12.75" x14ac:dyDescent="0.2"/>
  <cols>
    <col min="1" max="1" width="18" customWidth="1"/>
    <col min="2" max="2" width="26" customWidth="1"/>
    <col min="3" max="4" width="12.5703125" bestFit="1" customWidth="1"/>
  </cols>
  <sheetData>
    <row r="1" spans="1:5" x14ac:dyDescent="0.2">
      <c r="A1" s="41" t="s">
        <v>129</v>
      </c>
      <c r="B1" s="41" t="s">
        <v>130</v>
      </c>
    </row>
    <row r="2" spans="1:5" x14ac:dyDescent="0.2">
      <c r="A2" s="38">
        <v>70</v>
      </c>
      <c r="B2" s="38">
        <v>70</v>
      </c>
      <c r="E2">
        <v>10</v>
      </c>
    </row>
    <row r="3" spans="1:5" x14ac:dyDescent="0.2">
      <c r="A3" s="38">
        <v>95</v>
      </c>
      <c r="B3" s="38">
        <v>75</v>
      </c>
      <c r="E3">
        <v>28</v>
      </c>
    </row>
    <row r="4" spans="1:5" x14ac:dyDescent="0.2">
      <c r="A4" s="38">
        <v>86</v>
      </c>
      <c r="B4" s="38">
        <v>55</v>
      </c>
      <c r="E4">
        <v>12</v>
      </c>
    </row>
    <row r="5" spans="1:5" x14ac:dyDescent="0.2">
      <c r="A5" s="38">
        <v>75</v>
      </c>
      <c r="B5" s="38">
        <v>85</v>
      </c>
    </row>
    <row r="6" spans="1:5" x14ac:dyDescent="0.2">
      <c r="A6" s="38">
        <v>60</v>
      </c>
      <c r="B6" s="38">
        <v>80</v>
      </c>
    </row>
    <row r="7" spans="1:5" x14ac:dyDescent="0.2">
      <c r="A7" s="38" t="s">
        <v>128</v>
      </c>
      <c r="B7" s="38">
        <v>75</v>
      </c>
      <c r="E7">
        <f>AVERAGE(E2:E4)</f>
        <v>16.666666666666668</v>
      </c>
    </row>
    <row r="9" spans="1:5" x14ac:dyDescent="0.2">
      <c r="A9" s="39" t="s">
        <v>131</v>
      </c>
      <c r="D9" s="27">
        <f>AVERAGEIFS(A2:A7,A2:A7,"&gt;70",A2:A7,"&lt;90")</f>
        <v>80.5</v>
      </c>
    </row>
    <row r="10" spans="1:5" ht="15.75" x14ac:dyDescent="0.25">
      <c r="A10" s="40" t="s">
        <v>132</v>
      </c>
      <c r="C10" s="27"/>
      <c r="D10">
        <f>AVERAGEIFS(A2:A7,A2:A7,"&gt;70",B2:B7,"&gt;70")</f>
        <v>85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F18" sqref="F18"/>
    </sheetView>
  </sheetViews>
  <sheetFormatPr defaultRowHeight="12.75" x14ac:dyDescent="0.2"/>
  <cols>
    <col min="1" max="1" width="11.42578125" customWidth="1"/>
    <col min="2" max="2" width="37.5703125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3</v>
      </c>
      <c r="B2" t="s">
        <v>6</v>
      </c>
    </row>
    <row r="3" spans="1:4" x14ac:dyDescent="0.2">
      <c r="A3">
        <v>9</v>
      </c>
      <c r="B3" t="s">
        <v>7</v>
      </c>
    </row>
    <row r="4" spans="1:4" x14ac:dyDescent="0.2">
      <c r="A4">
        <v>11</v>
      </c>
      <c r="B4" t="s">
        <v>250</v>
      </c>
    </row>
    <row r="5" spans="1:4" x14ac:dyDescent="0.2">
      <c r="A5">
        <v>2</v>
      </c>
      <c r="B5" t="s">
        <v>8</v>
      </c>
    </row>
    <row r="6" spans="1:4" x14ac:dyDescent="0.2">
      <c r="A6">
        <v>4</v>
      </c>
      <c r="B6" t="s">
        <v>9</v>
      </c>
    </row>
    <row r="7" spans="1:4" x14ac:dyDescent="0.2">
      <c r="A7" s="1" t="s">
        <v>133</v>
      </c>
      <c r="C7">
        <f>BETADIST(A2,A3,A4,A5,A6)</f>
        <v>0.67619705200195313</v>
      </c>
      <c r="D7">
        <f>_xlfn.BETA.DIST(A2,A3,A4,TRUE,A5,A6)</f>
        <v>0.67619705200195313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F18" sqref="F18"/>
    </sheetView>
  </sheetViews>
  <sheetFormatPr defaultRowHeight="12.75" x14ac:dyDescent="0.2"/>
  <cols>
    <col min="1" max="1" width="11.42578125" customWidth="1"/>
    <col min="2" max="2" width="37.5703125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>
        <v>0.67619700000000005</v>
      </c>
      <c r="B2" t="s">
        <v>10</v>
      </c>
    </row>
    <row r="3" spans="1:3" x14ac:dyDescent="0.2">
      <c r="A3">
        <v>9</v>
      </c>
      <c r="B3" t="s">
        <v>7</v>
      </c>
    </row>
    <row r="4" spans="1:3" x14ac:dyDescent="0.2">
      <c r="A4">
        <v>11</v>
      </c>
      <c r="B4" t="s">
        <v>250</v>
      </c>
    </row>
    <row r="5" spans="1:3" x14ac:dyDescent="0.2">
      <c r="A5">
        <v>2</v>
      </c>
      <c r="B5" t="s">
        <v>8</v>
      </c>
    </row>
    <row r="6" spans="1:3" x14ac:dyDescent="0.2">
      <c r="A6">
        <v>4</v>
      </c>
      <c r="B6" t="s">
        <v>9</v>
      </c>
    </row>
    <row r="7" spans="1:3" x14ac:dyDescent="0.2">
      <c r="A7" s="1" t="s">
        <v>134</v>
      </c>
      <c r="C7">
        <f>_xlfn.BETA.INV(A2,A3,A4,A5,A6)</f>
        <v>2.9999999672072004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7" sqref="A7"/>
    </sheetView>
  </sheetViews>
  <sheetFormatPr defaultRowHeight="12.75" x14ac:dyDescent="0.2"/>
  <cols>
    <col min="1" max="1" width="11.42578125" customWidth="1"/>
    <col min="2" max="2" width="45.8554687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5</v>
      </c>
      <c r="B2" t="s">
        <v>11</v>
      </c>
    </row>
    <row r="3" spans="1:4" x14ac:dyDescent="0.2">
      <c r="A3">
        <v>10</v>
      </c>
      <c r="B3" t="s">
        <v>12</v>
      </c>
    </row>
    <row r="4" spans="1:4" x14ac:dyDescent="0.2">
      <c r="A4">
        <v>0.4</v>
      </c>
      <c r="B4" t="s">
        <v>13</v>
      </c>
    </row>
    <row r="5" spans="1:4" x14ac:dyDescent="0.2">
      <c r="A5" s="1" t="s">
        <v>135</v>
      </c>
      <c r="D5">
        <f>_xlfn.BINOM.DIST(A2,A3,A4,TRUE)</f>
        <v>0.83376138239999997</v>
      </c>
    </row>
    <row r="6" spans="1:4" x14ac:dyDescent="0.2">
      <c r="A6" s="1" t="s">
        <v>136</v>
      </c>
      <c r="D6">
        <f>_xlfn.BINOM.DIST(A2,A3,A4,FALSE)</f>
        <v>0.20065812480000006</v>
      </c>
    </row>
  </sheetData>
  <phoneticPr fontId="1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C5" sqref="C5"/>
    </sheetView>
  </sheetViews>
  <sheetFormatPr defaultRowHeight="12.75" x14ac:dyDescent="0.2"/>
  <cols>
    <col min="1" max="1" width="11.42578125" customWidth="1"/>
    <col min="2" max="2" width="45.8554687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5</v>
      </c>
      <c r="B2" t="s">
        <v>43</v>
      </c>
    </row>
    <row r="3" spans="1:4" x14ac:dyDescent="0.2">
      <c r="A3">
        <v>0.5</v>
      </c>
      <c r="B3" t="s">
        <v>13</v>
      </c>
    </row>
    <row r="4" spans="1:4" x14ac:dyDescent="0.2">
      <c r="A4">
        <v>0.75</v>
      </c>
      <c r="B4" t="s">
        <v>44</v>
      </c>
    </row>
    <row r="5" spans="1:4" x14ac:dyDescent="0.2">
      <c r="A5" s="1" t="s">
        <v>137</v>
      </c>
      <c r="C5">
        <f>_xlfn.BINOM.INV(A2,A3,A4)</f>
        <v>3</v>
      </c>
      <c r="D5">
        <f>_xlfn.BINOM.INV(6,0.5,0.75)</f>
        <v>4</v>
      </c>
    </row>
    <row r="6" spans="1:4" x14ac:dyDescent="0.2">
      <c r="A6" s="1"/>
    </row>
  </sheetData>
  <phoneticPr fontId="1" type="noConversion"/>
  <pageMargins left="0.75" right="0.75" top="1" bottom="1" header="0.5" footer="0.5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C4" sqref="C4"/>
    </sheetView>
  </sheetViews>
  <sheetFormatPr defaultRowHeight="12.75" x14ac:dyDescent="0.2"/>
  <cols>
    <col min="1" max="1" width="11.42578125" customWidth="1"/>
    <col min="2" max="2" width="45.85546875" bestFit="1" customWidth="1"/>
  </cols>
  <sheetData>
    <row r="1" spans="1:5" x14ac:dyDescent="0.2">
      <c r="A1" s="3" t="s">
        <v>0</v>
      </c>
      <c r="B1" s="3" t="s">
        <v>5</v>
      </c>
    </row>
    <row r="2" spans="1:5" x14ac:dyDescent="0.2">
      <c r="A2" s="4">
        <f>CHIINV(0.01,20)</f>
        <v>37.566234786625053</v>
      </c>
      <c r="B2" t="s">
        <v>14</v>
      </c>
    </row>
    <row r="3" spans="1:5" x14ac:dyDescent="0.2">
      <c r="A3">
        <v>20</v>
      </c>
      <c r="B3" t="s">
        <v>15</v>
      </c>
    </row>
    <row r="4" spans="1:5" x14ac:dyDescent="0.2">
      <c r="A4" s="1" t="s">
        <v>139</v>
      </c>
      <c r="C4" s="29">
        <f>_xlfn.CHISQ.DIST(A2,A3,TRUE)</f>
        <v>0.99</v>
      </c>
      <c r="D4">
        <f>CHIDIST(A2,A3)</f>
        <v>9.9999999999999967E-3</v>
      </c>
    </row>
    <row r="5" spans="1:5" x14ac:dyDescent="0.2">
      <c r="A5" s="1" t="s">
        <v>138</v>
      </c>
      <c r="C5" s="29">
        <f>_xlfn.CHISQ.DIST(A2,A3,FALSE)</f>
        <v>2.7906912458749242E-3</v>
      </c>
    </row>
    <row r="10" spans="1:5" x14ac:dyDescent="0.2">
      <c r="E10">
        <f>CHIINV(0.01,20)</f>
        <v>37.566234786625053</v>
      </c>
    </row>
  </sheetData>
  <phoneticPr fontId="1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F6" sqref="F6"/>
    </sheetView>
  </sheetViews>
  <sheetFormatPr defaultRowHeight="12.75" x14ac:dyDescent="0.2"/>
  <cols>
    <col min="1" max="1" width="11.42578125" customWidth="1"/>
    <col min="2" max="2" width="45.85546875" bestFit="1" customWidth="1"/>
  </cols>
  <sheetData>
    <row r="1" spans="1:5" x14ac:dyDescent="0.2">
      <c r="A1" s="3" t="s">
        <v>0</v>
      </c>
      <c r="B1" s="3" t="s">
        <v>5</v>
      </c>
    </row>
    <row r="2" spans="1:5" x14ac:dyDescent="0.2">
      <c r="A2" s="4">
        <f>CHIINV(0.01,20)</f>
        <v>37.566234786625053</v>
      </c>
      <c r="B2" t="s">
        <v>14</v>
      </c>
    </row>
    <row r="3" spans="1:5" x14ac:dyDescent="0.2">
      <c r="A3">
        <v>20</v>
      </c>
      <c r="B3" t="s">
        <v>15</v>
      </c>
    </row>
    <row r="4" spans="1:5" x14ac:dyDescent="0.2">
      <c r="A4" s="1" t="s">
        <v>140</v>
      </c>
      <c r="C4" s="4">
        <f>_xlfn.CHISQ.DIST.RT(A2,A3)</f>
        <v>9.9999999999999967E-3</v>
      </c>
    </row>
    <row r="5" spans="1:5" x14ac:dyDescent="0.2">
      <c r="A5" s="1"/>
      <c r="C5" s="29"/>
    </row>
    <row r="10" spans="1:5" x14ac:dyDescent="0.2">
      <c r="E10">
        <f>CHIINV(0.01,20)</f>
        <v>37.566234786625053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22" sqref="D22"/>
    </sheetView>
  </sheetViews>
  <sheetFormatPr defaultRowHeight="12.75" x14ac:dyDescent="0.2"/>
  <cols>
    <col min="1" max="1" width="11" customWidth="1"/>
    <col min="2" max="2" width="45.8554687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5">
        <v>0.01</v>
      </c>
      <c r="B2" t="s">
        <v>14</v>
      </c>
    </row>
    <row r="3" spans="1:4" x14ac:dyDescent="0.2">
      <c r="A3">
        <v>20</v>
      </c>
      <c r="B3" t="s">
        <v>15</v>
      </c>
    </row>
    <row r="4" spans="1:4" x14ac:dyDescent="0.2">
      <c r="A4" s="1" t="s">
        <v>141</v>
      </c>
      <c r="C4">
        <f>_xlfn.CHISQ.INV(A2,A3)</f>
        <v>8.2603983325463997</v>
      </c>
      <c r="D4">
        <f>CHIINV(0.01,20)</f>
        <v>37.566234786625053</v>
      </c>
    </row>
    <row r="6" spans="1:4" x14ac:dyDescent="0.2">
      <c r="D6" s="5">
        <f>_xlfn.CHISQ.DIST.RT(A2,A3)</f>
        <v>1</v>
      </c>
    </row>
  </sheetData>
  <phoneticPr fontId="1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C4" sqref="C4"/>
    </sheetView>
  </sheetViews>
  <sheetFormatPr defaultRowHeight="12.75" x14ac:dyDescent="0.2"/>
  <cols>
    <col min="1" max="1" width="11" customWidth="1"/>
    <col min="2" max="2" width="45.8554687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5">
        <v>0.01</v>
      </c>
      <c r="B2" t="s">
        <v>14</v>
      </c>
    </row>
    <row r="3" spans="1:4" x14ac:dyDescent="0.2">
      <c r="A3">
        <v>20</v>
      </c>
      <c r="B3" t="s">
        <v>15</v>
      </c>
    </row>
    <row r="4" spans="1:4" x14ac:dyDescent="0.2">
      <c r="A4" s="1" t="s">
        <v>142</v>
      </c>
      <c r="C4">
        <f>_xlfn.CHISQ.INV.RT(A2,A3)</f>
        <v>37.566234786625053</v>
      </c>
    </row>
    <row r="6" spans="1:4" x14ac:dyDescent="0.2">
      <c r="D6" s="5"/>
    </row>
  </sheetData>
  <phoneticPr fontId="1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A13" sqref="A13"/>
    </sheetView>
  </sheetViews>
  <sheetFormatPr defaultRowHeight="12.75" x14ac:dyDescent="0.2"/>
  <cols>
    <col min="1" max="1" width="13.28515625" customWidth="1"/>
    <col min="2" max="2" width="14.5703125" bestFit="1" customWidth="1"/>
    <col min="3" max="3" width="12.5703125" customWidth="1"/>
    <col min="4" max="4" width="9.5703125" customWidth="1"/>
  </cols>
  <sheetData>
    <row r="1" spans="1:4" x14ac:dyDescent="0.2">
      <c r="A1" s="46" t="s">
        <v>22</v>
      </c>
      <c r="B1" s="46"/>
      <c r="C1" s="46"/>
    </row>
    <row r="2" spans="1:4" ht="27.75" customHeight="1" x14ac:dyDescent="0.2">
      <c r="A2" s="7" t="s">
        <v>19</v>
      </c>
      <c r="B2" s="8" t="s">
        <v>20</v>
      </c>
      <c r="C2" s="8" t="s">
        <v>21</v>
      </c>
      <c r="D2" s="8" t="s">
        <v>24</v>
      </c>
    </row>
    <row r="3" spans="1:4" x14ac:dyDescent="0.2">
      <c r="A3" t="s">
        <v>16</v>
      </c>
      <c r="B3" s="6">
        <v>60</v>
      </c>
      <c r="C3" s="6">
        <v>45</v>
      </c>
      <c r="D3" s="9">
        <f>SUM(B3:C3)</f>
        <v>105</v>
      </c>
    </row>
    <row r="4" spans="1:4" x14ac:dyDescent="0.2">
      <c r="A4" t="s">
        <v>17</v>
      </c>
      <c r="B4" s="6">
        <v>15</v>
      </c>
      <c r="C4" s="6">
        <v>35</v>
      </c>
      <c r="D4" s="9">
        <f>SUM(B4:C4)</f>
        <v>50</v>
      </c>
    </row>
    <row r="5" spans="1:4" x14ac:dyDescent="0.2">
      <c r="A5" t="s">
        <v>18</v>
      </c>
      <c r="B5" s="6">
        <v>20</v>
      </c>
      <c r="C5" s="6">
        <v>25</v>
      </c>
      <c r="D5" s="9">
        <f>SUM(B5:C5)</f>
        <v>45</v>
      </c>
    </row>
    <row r="6" spans="1:4" x14ac:dyDescent="0.2">
      <c r="A6" s="3" t="s">
        <v>24</v>
      </c>
      <c r="B6" s="9">
        <f>SUM(B3:B5)</f>
        <v>95</v>
      </c>
      <c r="C6" s="9">
        <f>SUM(C3:C5)</f>
        <v>105</v>
      </c>
      <c r="D6" s="9">
        <f>SUM(D3:D5)</f>
        <v>200</v>
      </c>
    </row>
    <row r="7" spans="1:4" x14ac:dyDescent="0.2">
      <c r="A7" s="46" t="s">
        <v>23</v>
      </c>
      <c r="B7" s="46"/>
      <c r="C7" s="46"/>
    </row>
    <row r="8" spans="1:4" ht="25.5" x14ac:dyDescent="0.2">
      <c r="A8" s="7" t="s">
        <v>19</v>
      </c>
      <c r="B8" s="8" t="s">
        <v>20</v>
      </c>
      <c r="C8" s="8" t="s">
        <v>21</v>
      </c>
      <c r="D8" s="3"/>
    </row>
    <row r="9" spans="1:4" x14ac:dyDescent="0.2">
      <c r="A9" t="s">
        <v>16</v>
      </c>
      <c r="B9" s="5">
        <f t="shared" ref="B9:C11" si="0">($D3/$D$6)*B$6</f>
        <v>49.875</v>
      </c>
      <c r="C9" s="5">
        <f t="shared" si="0"/>
        <v>55.125</v>
      </c>
      <c r="D9" s="5"/>
    </row>
    <row r="10" spans="1:4" x14ac:dyDescent="0.2">
      <c r="A10" t="s">
        <v>17</v>
      </c>
      <c r="B10" s="5">
        <f t="shared" si="0"/>
        <v>23.75</v>
      </c>
      <c r="C10" s="5">
        <f t="shared" si="0"/>
        <v>26.25</v>
      </c>
      <c r="D10" s="5"/>
    </row>
    <row r="11" spans="1:4" x14ac:dyDescent="0.2">
      <c r="A11" t="s">
        <v>18</v>
      </c>
      <c r="B11" s="5">
        <f t="shared" si="0"/>
        <v>21.375</v>
      </c>
      <c r="C11" s="5">
        <f t="shared" si="0"/>
        <v>23.625</v>
      </c>
      <c r="D11" s="5"/>
    </row>
    <row r="13" spans="1:4" x14ac:dyDescent="0.2">
      <c r="A13" s="3" t="s">
        <v>25</v>
      </c>
      <c r="B13" s="10">
        <f>_xlfn.CHISQ.TEST(B3:C5,B9:C11)</f>
        <v>6.0241052612276759E-3</v>
      </c>
    </row>
    <row r="15" spans="1:4" x14ac:dyDescent="0.2">
      <c r="B15" s="3"/>
      <c r="C15" s="3"/>
    </row>
    <row r="16" spans="1:4" x14ac:dyDescent="0.2">
      <c r="B16" s="6"/>
      <c r="C16" s="6"/>
      <c r="D16" s="6"/>
    </row>
    <row r="17" spans="2:5" x14ac:dyDescent="0.2">
      <c r="B17" s="6"/>
      <c r="C17" s="6"/>
      <c r="D17" s="6"/>
    </row>
    <row r="18" spans="2:5" x14ac:dyDescent="0.2">
      <c r="B18" s="6"/>
      <c r="C18" s="6"/>
      <c r="D18" s="6"/>
    </row>
    <row r="19" spans="2:5" x14ac:dyDescent="0.2">
      <c r="B19" s="6"/>
      <c r="C19" s="6"/>
      <c r="D19" s="6"/>
      <c r="E19" s="1"/>
    </row>
  </sheetData>
  <mergeCells count="2">
    <mergeCell ref="A1:C1"/>
    <mergeCell ref="A7:C7"/>
  </mergeCells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E6" sqref="E6"/>
    </sheetView>
  </sheetViews>
  <sheetFormatPr defaultRowHeight="12.75" x14ac:dyDescent="0.2"/>
  <cols>
    <col min="1" max="1" width="11.42578125" customWidth="1"/>
    <col min="2" max="2" width="21.7109375" customWidth="1"/>
  </cols>
  <sheetData>
    <row r="1" spans="1:5" x14ac:dyDescent="0.2">
      <c r="A1" s="3" t="s">
        <v>0</v>
      </c>
      <c r="B1" s="3" t="s">
        <v>5</v>
      </c>
    </row>
    <row r="2" spans="1:5" x14ac:dyDescent="0.2">
      <c r="A2">
        <v>0.05</v>
      </c>
      <c r="B2" t="s">
        <v>26</v>
      </c>
    </row>
    <row r="3" spans="1:5" x14ac:dyDescent="0.2">
      <c r="A3">
        <v>1.25</v>
      </c>
      <c r="B3" t="s">
        <v>27</v>
      </c>
    </row>
    <row r="4" spans="1:5" x14ac:dyDescent="0.2">
      <c r="A4">
        <v>100</v>
      </c>
      <c r="B4" t="s">
        <v>28</v>
      </c>
    </row>
    <row r="5" spans="1:5" x14ac:dyDescent="0.2">
      <c r="A5" s="1" t="s">
        <v>143</v>
      </c>
      <c r="E5">
        <f>CONFIDENCE(A2,A3,A4)</f>
        <v>0.2449954980675067</v>
      </c>
    </row>
    <row r="6" spans="1:5" x14ac:dyDescent="0.2">
      <c r="E6">
        <f>_xlfn.CONFIDENCE.NORM(A2,A3,A4)</f>
        <v>0.2449954980675067</v>
      </c>
    </row>
  </sheetData>
  <phoneticPr fontId="1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E5" sqref="E5"/>
    </sheetView>
  </sheetViews>
  <sheetFormatPr defaultRowHeight="12.75" x14ac:dyDescent="0.2"/>
  <cols>
    <col min="1" max="1" width="11.42578125" customWidth="1"/>
    <col min="2" max="2" width="21.7109375" customWidth="1"/>
  </cols>
  <sheetData>
    <row r="1" spans="1:5" x14ac:dyDescent="0.2">
      <c r="A1" s="3" t="s">
        <v>0</v>
      </c>
      <c r="B1" s="3" t="s">
        <v>5</v>
      </c>
    </row>
    <row r="2" spans="1:5" x14ac:dyDescent="0.2">
      <c r="A2">
        <v>0.05</v>
      </c>
      <c r="B2" t="s">
        <v>26</v>
      </c>
    </row>
    <row r="3" spans="1:5" x14ac:dyDescent="0.2">
      <c r="A3">
        <v>1.25</v>
      </c>
      <c r="B3" t="s">
        <v>27</v>
      </c>
    </row>
    <row r="4" spans="1:5" x14ac:dyDescent="0.2">
      <c r="A4">
        <v>100</v>
      </c>
      <c r="B4" t="s">
        <v>28</v>
      </c>
    </row>
    <row r="5" spans="1:5" x14ac:dyDescent="0.2">
      <c r="A5" s="1" t="s">
        <v>144</v>
      </c>
      <c r="E5">
        <f>_xlfn.CONFIDENCE.T(A2,A3,A4)</f>
        <v>0.24802711894830207</v>
      </c>
    </row>
  </sheetData>
  <phoneticPr fontId="1" type="noConversion"/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1" sqref="D11"/>
    </sheetView>
  </sheetViews>
  <sheetFormatPr defaultRowHeight="12.75" x14ac:dyDescent="0.2"/>
  <cols>
    <col min="1" max="1" width="25.140625" bestFit="1" customWidth="1"/>
    <col min="2" max="2" width="28.42578125" customWidth="1"/>
  </cols>
  <sheetData>
    <row r="1" spans="1:4" x14ac:dyDescent="0.2">
      <c r="A1" s="3" t="s">
        <v>29</v>
      </c>
      <c r="B1" s="3" t="s">
        <v>30</v>
      </c>
    </row>
    <row r="2" spans="1:4" x14ac:dyDescent="0.2">
      <c r="A2">
        <v>4</v>
      </c>
      <c r="B2">
        <v>25</v>
      </c>
    </row>
    <row r="3" spans="1:4" x14ac:dyDescent="0.2">
      <c r="A3">
        <v>5</v>
      </c>
      <c r="B3">
        <v>32</v>
      </c>
    </row>
    <row r="4" spans="1:4" x14ac:dyDescent="0.2">
      <c r="A4">
        <v>5</v>
      </c>
      <c r="B4">
        <v>34</v>
      </c>
    </row>
    <row r="5" spans="1:4" x14ac:dyDescent="0.2">
      <c r="A5">
        <v>6</v>
      </c>
      <c r="B5">
        <v>35</v>
      </c>
    </row>
    <row r="6" spans="1:4" x14ac:dyDescent="0.2">
      <c r="A6">
        <v>7</v>
      </c>
      <c r="B6">
        <v>35</v>
      </c>
    </row>
    <row r="7" spans="1:4" x14ac:dyDescent="0.2">
      <c r="A7">
        <v>5</v>
      </c>
      <c r="B7">
        <v>34</v>
      </c>
    </row>
    <row r="8" spans="1:4" x14ac:dyDescent="0.2">
      <c r="A8">
        <v>6</v>
      </c>
      <c r="B8">
        <v>35</v>
      </c>
    </row>
    <row r="9" spans="1:4" x14ac:dyDescent="0.2">
      <c r="A9">
        <v>4</v>
      </c>
      <c r="B9">
        <v>22</v>
      </c>
    </row>
    <row r="10" spans="1:4" x14ac:dyDescent="0.2">
      <c r="A10">
        <v>4</v>
      </c>
      <c r="B10">
        <v>26</v>
      </c>
    </row>
    <row r="11" spans="1:4" x14ac:dyDescent="0.2">
      <c r="B11" s="1" t="s">
        <v>148</v>
      </c>
      <c r="D11">
        <f>CORREL(A2:A10,B2:B10)</f>
        <v>0.83802976258526962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"/>
  <cols>
    <col min="1" max="1" width="9.85546875" customWidth="1"/>
  </cols>
  <sheetData>
    <row r="1" spans="1:3" x14ac:dyDescent="0.2">
      <c r="A1" s="3" t="s">
        <v>0</v>
      </c>
    </row>
    <row r="2" spans="1:3" x14ac:dyDescent="0.2">
      <c r="A2" s="2" t="s">
        <v>31</v>
      </c>
    </row>
    <row r="3" spans="1:3" x14ac:dyDescent="0.2">
      <c r="A3" s="2">
        <v>450</v>
      </c>
    </row>
    <row r="4" spans="1:3" x14ac:dyDescent="0.2">
      <c r="A4" s="2">
        <v>0</v>
      </c>
    </row>
    <row r="5" spans="1:3" x14ac:dyDescent="0.2">
      <c r="A5" s="2"/>
    </row>
    <row r="6" spans="1:3" x14ac:dyDescent="0.2">
      <c r="A6" s="11">
        <f>DATE(2011,1,27)</f>
        <v>40570</v>
      </c>
    </row>
    <row r="7" spans="1:3" x14ac:dyDescent="0.2">
      <c r="A7" s="2">
        <v>12.45</v>
      </c>
    </row>
    <row r="8" spans="1:3" x14ac:dyDescent="0.2">
      <c r="A8" s="2">
        <v>6</v>
      </c>
    </row>
    <row r="9" spans="1:3" x14ac:dyDescent="0.2">
      <c r="A9" s="2" t="e">
        <v>#DIV/0!</v>
      </c>
    </row>
    <row r="10" spans="1:3" x14ac:dyDescent="0.2">
      <c r="A10" s="2" t="b">
        <v>0</v>
      </c>
    </row>
    <row r="11" spans="1:3" x14ac:dyDescent="0.2">
      <c r="A11" s="1" t="s">
        <v>32</v>
      </c>
      <c r="C11">
        <f>COUNT(A2:A10)</f>
        <v>5</v>
      </c>
    </row>
    <row r="12" spans="1:3" x14ac:dyDescent="0.2">
      <c r="A12" s="1" t="s">
        <v>33</v>
      </c>
      <c r="C12">
        <f>COUNT(A6:A10)</f>
        <v>3</v>
      </c>
    </row>
    <row r="13" spans="1:3" x14ac:dyDescent="0.2">
      <c r="A13" s="1" t="s">
        <v>149</v>
      </c>
      <c r="C13">
        <f>COUNT(A2:A10,5)</f>
        <v>6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1" sqref="C11"/>
    </sheetView>
  </sheetViews>
  <sheetFormatPr defaultRowHeight="12.75" x14ac:dyDescent="0.2"/>
  <cols>
    <col min="1" max="1" width="9.85546875" customWidth="1"/>
  </cols>
  <sheetData>
    <row r="1" spans="1:3" x14ac:dyDescent="0.2">
      <c r="A1" s="3" t="s">
        <v>0</v>
      </c>
    </row>
    <row r="2" spans="1:3" x14ac:dyDescent="0.2">
      <c r="A2" s="2" t="s">
        <v>31</v>
      </c>
    </row>
    <row r="3" spans="1:3" x14ac:dyDescent="0.2">
      <c r="A3" s="2">
        <v>450</v>
      </c>
    </row>
    <row r="4" spans="1:3" x14ac:dyDescent="0.2">
      <c r="A4" s="2">
        <v>0</v>
      </c>
    </row>
    <row r="5" spans="1:3" x14ac:dyDescent="0.2">
      <c r="A5" s="2"/>
    </row>
    <row r="6" spans="1:3" x14ac:dyDescent="0.2">
      <c r="A6" s="11">
        <f>DATE(2011,1,27)</f>
        <v>40570</v>
      </c>
    </row>
    <row r="7" spans="1:3" x14ac:dyDescent="0.2">
      <c r="A7" s="2">
        <v>12.45</v>
      </c>
    </row>
    <row r="8" spans="1:3" x14ac:dyDescent="0.2">
      <c r="A8" s="2">
        <v>6</v>
      </c>
    </row>
    <row r="9" spans="1:3" x14ac:dyDescent="0.2">
      <c r="A9" s="2" t="e">
        <v>#DIV/0!</v>
      </c>
    </row>
    <row r="10" spans="1:3" x14ac:dyDescent="0.2">
      <c r="A10" s="2" t="b">
        <v>0</v>
      </c>
    </row>
    <row r="11" spans="1:3" x14ac:dyDescent="0.2">
      <c r="A11" s="1" t="s">
        <v>34</v>
      </c>
      <c r="C11">
        <f>COUNTA(A2:A10)</f>
        <v>8</v>
      </c>
    </row>
    <row r="12" spans="1:3" x14ac:dyDescent="0.2">
      <c r="A12" s="1"/>
    </row>
    <row r="13" spans="1:3" x14ac:dyDescent="0.2">
      <c r="A13" s="1"/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6" sqref="C6"/>
    </sheetView>
  </sheetViews>
  <sheetFormatPr defaultRowHeight="12.75" x14ac:dyDescent="0.2"/>
  <cols>
    <col min="1" max="1" width="9.85546875" customWidth="1"/>
    <col min="2" max="2" width="15.28515625" bestFit="1" customWidth="1"/>
  </cols>
  <sheetData>
    <row r="1" spans="1:3" x14ac:dyDescent="0.2">
      <c r="A1" s="3" t="s">
        <v>0</v>
      </c>
      <c r="B1" s="3" t="s">
        <v>0</v>
      </c>
    </row>
    <row r="2" spans="1:3" x14ac:dyDescent="0.2">
      <c r="A2" s="2"/>
    </row>
    <row r="3" spans="1:3" x14ac:dyDescent="0.2">
      <c r="A3" s="2">
        <v>8</v>
      </c>
      <c r="B3" s="6" t="str">
        <f>IF(B4&lt;25,"",B4)</f>
        <v/>
      </c>
    </row>
    <row r="4" spans="1:3" x14ac:dyDescent="0.2">
      <c r="A4" s="2">
        <v>0</v>
      </c>
      <c r="B4">
        <v>20</v>
      </c>
    </row>
    <row r="5" spans="1:3" x14ac:dyDescent="0.2">
      <c r="A5" s="2">
        <v>2</v>
      </c>
      <c r="B5">
        <v>34</v>
      </c>
    </row>
    <row r="6" spans="1:3" x14ac:dyDescent="0.2">
      <c r="A6" s="1" t="s">
        <v>35</v>
      </c>
      <c r="C6">
        <f>COUNTBLANK(A2:B5)</f>
        <v>3</v>
      </c>
    </row>
    <row r="7" spans="1:3" x14ac:dyDescent="0.2">
      <c r="A7" s="1"/>
    </row>
    <row r="8" spans="1:3" x14ac:dyDescent="0.2">
      <c r="A8" s="1"/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7" sqref="D7"/>
    </sheetView>
  </sheetViews>
  <sheetFormatPr defaultRowHeight="12.75" x14ac:dyDescent="0.2"/>
  <cols>
    <col min="1" max="1" width="9.85546875" customWidth="1"/>
    <col min="2" max="2" width="15.28515625" bestFit="1" customWidth="1"/>
  </cols>
  <sheetData>
    <row r="1" spans="1:4" x14ac:dyDescent="0.2">
      <c r="A1" s="3" t="s">
        <v>0</v>
      </c>
      <c r="B1" s="3" t="s">
        <v>0</v>
      </c>
    </row>
    <row r="2" spans="1:4" x14ac:dyDescent="0.2">
      <c r="A2" s="12" t="s">
        <v>36</v>
      </c>
      <c r="B2" s="12">
        <v>42</v>
      </c>
    </row>
    <row r="3" spans="1:4" x14ac:dyDescent="0.2">
      <c r="A3" s="13" t="s">
        <v>36</v>
      </c>
      <c r="B3">
        <v>54</v>
      </c>
    </row>
    <row r="4" spans="1:4" x14ac:dyDescent="0.2">
      <c r="A4" s="13" t="s">
        <v>38</v>
      </c>
      <c r="B4" s="6">
        <v>45</v>
      </c>
    </row>
    <row r="5" spans="1:4" x14ac:dyDescent="0.2">
      <c r="A5" s="13" t="s">
        <v>36</v>
      </c>
      <c r="B5">
        <v>85</v>
      </c>
    </row>
    <row r="6" spans="1:4" x14ac:dyDescent="0.2">
      <c r="A6" s="14" t="s">
        <v>37</v>
      </c>
      <c r="B6">
        <v>75</v>
      </c>
    </row>
    <row r="7" spans="1:4" x14ac:dyDescent="0.2">
      <c r="A7" s="1" t="s">
        <v>150</v>
      </c>
      <c r="D7">
        <f>COUNTIF(A2:A6,"Susu")</f>
        <v>3</v>
      </c>
    </row>
    <row r="8" spans="1:4" x14ac:dyDescent="0.2">
      <c r="A8" s="1" t="s">
        <v>151</v>
      </c>
      <c r="D8">
        <f>COUNTIF(B2:B6,"&gt;50")</f>
        <v>3</v>
      </c>
    </row>
    <row r="9" spans="1:4" x14ac:dyDescent="0.2">
      <c r="A9" s="1"/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L14" sqref="L14"/>
    </sheetView>
  </sheetViews>
  <sheetFormatPr defaultRowHeight="12.75" x14ac:dyDescent="0.2"/>
  <cols>
    <col min="1" max="1" width="9.85546875" customWidth="1"/>
    <col min="2" max="2" width="15.28515625" bestFit="1" customWidth="1"/>
  </cols>
  <sheetData>
    <row r="1" spans="1:4" x14ac:dyDescent="0.2">
      <c r="A1" s="3" t="s">
        <v>0</v>
      </c>
      <c r="B1" s="3" t="s">
        <v>0</v>
      </c>
    </row>
    <row r="2" spans="1:4" x14ac:dyDescent="0.2">
      <c r="A2" s="12" t="s">
        <v>36</v>
      </c>
      <c r="B2" s="12">
        <v>42</v>
      </c>
    </row>
    <row r="3" spans="1:4" x14ac:dyDescent="0.2">
      <c r="A3" s="13" t="s">
        <v>36</v>
      </c>
      <c r="B3">
        <v>54</v>
      </c>
    </row>
    <row r="4" spans="1:4" x14ac:dyDescent="0.2">
      <c r="A4" s="13" t="s">
        <v>38</v>
      </c>
      <c r="B4" s="6">
        <v>45</v>
      </c>
    </row>
    <row r="5" spans="1:4" x14ac:dyDescent="0.2">
      <c r="A5" s="13" t="s">
        <v>36</v>
      </c>
      <c r="B5">
        <v>85</v>
      </c>
    </row>
    <row r="6" spans="1:4" x14ac:dyDescent="0.2">
      <c r="A6" s="14" t="s">
        <v>37</v>
      </c>
      <c r="B6">
        <v>75</v>
      </c>
    </row>
    <row r="7" spans="1:4" x14ac:dyDescent="0.2">
      <c r="A7" s="1" t="s">
        <v>39</v>
      </c>
      <c r="D7">
        <f>COUNTIF(A2:A6,"Susu")</f>
        <v>3</v>
      </c>
    </row>
    <row r="8" spans="1:4" x14ac:dyDescent="0.2">
      <c r="A8" s="1" t="s">
        <v>40</v>
      </c>
      <c r="D8">
        <f>COUNTIF(B2:B6,"&gt;50")</f>
        <v>3</v>
      </c>
    </row>
    <row r="9" spans="1:4" x14ac:dyDescent="0.2">
      <c r="A9" s="1"/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D9" sqref="D9"/>
    </sheetView>
  </sheetViews>
  <sheetFormatPr defaultRowHeight="12.75" x14ac:dyDescent="0.2"/>
  <cols>
    <col min="1" max="1" width="9.85546875" customWidth="1"/>
    <col min="2" max="2" width="15.28515625" bestFit="1" customWidth="1"/>
  </cols>
  <sheetData>
    <row r="1" spans="1:4" x14ac:dyDescent="0.2">
      <c r="A1" s="3" t="s">
        <v>41</v>
      </c>
      <c r="B1" s="3" t="s">
        <v>42</v>
      </c>
    </row>
    <row r="2" spans="1:4" x14ac:dyDescent="0.2">
      <c r="A2" s="16">
        <v>4</v>
      </c>
      <c r="B2" s="15">
        <v>10</v>
      </c>
    </row>
    <row r="3" spans="1:4" x14ac:dyDescent="0.2">
      <c r="A3" s="16">
        <v>3</v>
      </c>
      <c r="B3" s="6">
        <v>8</v>
      </c>
    </row>
    <row r="4" spans="1:4" x14ac:dyDescent="0.2">
      <c r="A4" s="16">
        <v>5</v>
      </c>
      <c r="B4" s="6">
        <v>14</v>
      </c>
    </row>
    <row r="5" spans="1:4" x14ac:dyDescent="0.2">
      <c r="A5" s="16">
        <v>8</v>
      </c>
      <c r="B5" s="6">
        <v>17</v>
      </c>
    </row>
    <row r="6" spans="1:4" x14ac:dyDescent="0.2">
      <c r="A6" s="17">
        <v>9</v>
      </c>
      <c r="B6" s="6">
        <v>21</v>
      </c>
    </row>
    <row r="7" spans="1:4" x14ac:dyDescent="0.2">
      <c r="A7" s="1" t="s">
        <v>145</v>
      </c>
      <c r="B7" s="6"/>
      <c r="D7">
        <f>COVAR(A2:A6,B2:B6)</f>
        <v>10.6</v>
      </c>
    </row>
    <row r="8" spans="1:4" x14ac:dyDescent="0.2">
      <c r="A8" s="6"/>
      <c r="B8" s="6"/>
    </row>
    <row r="9" spans="1:4" x14ac:dyDescent="0.2">
      <c r="A9" s="1"/>
      <c r="D9">
        <f>_xlfn.COVARIANCE.P(A2:A6,B2:B6)</f>
        <v>10.6</v>
      </c>
    </row>
    <row r="10" spans="1:4" x14ac:dyDescent="0.2">
      <c r="D10">
        <f>_xlfn.COVARIANCE.S(A2:A6,B2:B6)</f>
        <v>13.25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O11" sqref="O11"/>
    </sheetView>
  </sheetViews>
  <sheetFormatPr defaultRowHeight="12.75" x14ac:dyDescent="0.2"/>
  <cols>
    <col min="1" max="1" width="9.85546875" customWidth="1"/>
    <col min="2" max="2" width="15.28515625" bestFit="1" customWidth="1"/>
  </cols>
  <sheetData>
    <row r="1" spans="1:4" x14ac:dyDescent="0.2">
      <c r="A1" s="3" t="s">
        <v>41</v>
      </c>
      <c r="B1" s="3" t="s">
        <v>42</v>
      </c>
    </row>
    <row r="2" spans="1:4" x14ac:dyDescent="0.2">
      <c r="A2" s="16">
        <v>4</v>
      </c>
      <c r="B2" s="15">
        <v>10</v>
      </c>
    </row>
    <row r="3" spans="1:4" x14ac:dyDescent="0.2">
      <c r="A3" s="16">
        <v>3</v>
      </c>
      <c r="B3" s="6">
        <v>8</v>
      </c>
    </row>
    <row r="4" spans="1:4" x14ac:dyDescent="0.2">
      <c r="A4" s="16">
        <v>5</v>
      </c>
      <c r="B4" s="6">
        <v>14</v>
      </c>
    </row>
    <row r="5" spans="1:4" x14ac:dyDescent="0.2">
      <c r="A5" s="16">
        <v>8</v>
      </c>
      <c r="B5" s="6">
        <v>17</v>
      </c>
    </row>
    <row r="6" spans="1:4" x14ac:dyDescent="0.2">
      <c r="A6" s="17">
        <v>9</v>
      </c>
      <c r="B6" s="6">
        <v>21</v>
      </c>
    </row>
    <row r="7" spans="1:4" x14ac:dyDescent="0.2">
      <c r="A7" s="1" t="s">
        <v>146</v>
      </c>
      <c r="B7" s="6"/>
      <c r="D7">
        <f>_xlfn.COVARIANCE.S(A2:A6,B2:B6)</f>
        <v>13.25</v>
      </c>
    </row>
    <row r="8" spans="1:4" x14ac:dyDescent="0.2">
      <c r="A8" s="6"/>
      <c r="B8" s="6"/>
    </row>
    <row r="9" spans="1:4" x14ac:dyDescent="0.2">
      <c r="A9" s="1"/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C10" sqref="C10"/>
    </sheetView>
  </sheetViews>
  <sheetFormatPr defaultRowHeight="12.75" x14ac:dyDescent="0.2"/>
  <cols>
    <col min="1" max="1" width="11.42578125" customWidth="1"/>
    <col min="2" max="2" width="45.8554687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8</v>
      </c>
      <c r="B2" t="s">
        <v>43</v>
      </c>
    </row>
    <row r="3" spans="1:4" x14ac:dyDescent="0.2">
      <c r="A3">
        <v>0.5</v>
      </c>
      <c r="B3" t="s">
        <v>45</v>
      </c>
    </row>
    <row r="4" spans="1:4" x14ac:dyDescent="0.2">
      <c r="A4">
        <v>0.75</v>
      </c>
      <c r="B4" t="s">
        <v>44</v>
      </c>
    </row>
    <row r="5" spans="1:4" x14ac:dyDescent="0.2">
      <c r="A5" s="1" t="s">
        <v>152</v>
      </c>
      <c r="D5">
        <f>CRITBINOM(A2,A3,A4)</f>
        <v>5</v>
      </c>
    </row>
  </sheetData>
  <phoneticPr fontId="1" type="noConversion"/>
  <pageMargins left="0.75" right="0.75" top="1" bottom="1" header="0.5" footer="0.5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D9" sqref="D9"/>
    </sheetView>
  </sheetViews>
  <sheetFormatPr defaultRowHeight="12.75" x14ac:dyDescent="0.2"/>
  <cols>
    <col min="1" max="1" width="8.42578125" customWidth="1"/>
    <col min="2" max="2" width="11" customWidth="1"/>
    <col min="4" max="4" width="12.5703125" bestFit="1" customWidth="1"/>
  </cols>
  <sheetData>
    <row r="1" spans="1:4" x14ac:dyDescent="0.2">
      <c r="A1" s="3" t="s">
        <v>0</v>
      </c>
    </row>
    <row r="2" spans="1:4" x14ac:dyDescent="0.2">
      <c r="A2">
        <v>3</v>
      </c>
    </row>
    <row r="3" spans="1:4" x14ac:dyDescent="0.2">
      <c r="A3">
        <v>5</v>
      </c>
    </row>
    <row r="4" spans="1:4" x14ac:dyDescent="0.2">
      <c r="A4">
        <v>9</v>
      </c>
    </row>
    <row r="5" spans="1:4" x14ac:dyDescent="0.2">
      <c r="A5">
        <v>7</v>
      </c>
    </row>
    <row r="6" spans="1:4" x14ac:dyDescent="0.2">
      <c r="A6">
        <v>4</v>
      </c>
    </row>
    <row r="7" spans="1:4" x14ac:dyDescent="0.2">
      <c r="A7">
        <v>8</v>
      </c>
    </row>
    <row r="8" spans="1:4" x14ac:dyDescent="0.2">
      <c r="A8" s="1" t="s">
        <v>46</v>
      </c>
      <c r="D8" s="27">
        <f>DEVSQ(A2:A7)</f>
        <v>28</v>
      </c>
    </row>
    <row r="9" spans="1:4" x14ac:dyDescent="0.2">
      <c r="A9" s="1" t="s">
        <v>153</v>
      </c>
      <c r="D9" s="27">
        <f>DEVSQ(A2:A7,10)</f>
        <v>41.714285714285722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L19" sqref="L19"/>
    </sheetView>
  </sheetViews>
  <sheetFormatPr defaultRowHeight="12.75" x14ac:dyDescent="0.2"/>
  <cols>
    <col min="1" max="1" width="7.140625" customWidth="1"/>
    <col min="2" max="2" width="20" customWidth="1"/>
    <col min="3" max="3" width="11.570312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>
        <v>0.2</v>
      </c>
      <c r="B2" t="s">
        <v>47</v>
      </c>
    </row>
    <row r="3" spans="1:3" x14ac:dyDescent="0.2">
      <c r="A3">
        <v>10</v>
      </c>
      <c r="B3" t="s">
        <v>48</v>
      </c>
    </row>
    <row r="4" spans="1:3" x14ac:dyDescent="0.2">
      <c r="A4" s="1" t="s">
        <v>147</v>
      </c>
      <c r="C4" s="27">
        <f>_xlfn.EXPON.DIST(A2,A3,TRUE)</f>
        <v>0.8646647167633873</v>
      </c>
    </row>
    <row r="5" spans="1:3" x14ac:dyDescent="0.2">
      <c r="A5" s="1" t="s">
        <v>154</v>
      </c>
      <c r="C5" s="27">
        <f>_xlfn.EXPON.DIST(A2,A3,FALSE)</f>
        <v>1.353352832366127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D7" sqref="D7"/>
    </sheetView>
  </sheetViews>
  <sheetFormatPr defaultRowHeight="12.75" x14ac:dyDescent="0.2"/>
  <cols>
    <col min="1" max="1" width="11" customWidth="1"/>
    <col min="2" max="2" width="45.85546875" bestFit="1" customWidth="1"/>
  </cols>
  <sheetData>
    <row r="1" spans="1:7" x14ac:dyDescent="0.2">
      <c r="A1" s="3" t="s">
        <v>0</v>
      </c>
      <c r="B1" s="3" t="s">
        <v>5</v>
      </c>
    </row>
    <row r="2" spans="1:7" x14ac:dyDescent="0.2">
      <c r="A2" s="18">
        <v>3.2872819999999998</v>
      </c>
      <c r="B2" t="s">
        <v>14</v>
      </c>
    </row>
    <row r="3" spans="1:7" x14ac:dyDescent="0.2">
      <c r="A3">
        <v>3</v>
      </c>
      <c r="B3" t="s">
        <v>49</v>
      </c>
    </row>
    <row r="4" spans="1:7" x14ac:dyDescent="0.2">
      <c r="A4">
        <v>15</v>
      </c>
      <c r="B4" t="s">
        <v>50</v>
      </c>
    </row>
    <row r="5" spans="1:7" x14ac:dyDescent="0.2">
      <c r="A5" s="1" t="s">
        <v>155</v>
      </c>
      <c r="D5">
        <f>FDIST(3.287282,3,15)</f>
        <v>5.0004180816635879E-2</v>
      </c>
    </row>
    <row r="6" spans="1:7" x14ac:dyDescent="0.2">
      <c r="A6" s="1" t="s">
        <v>156</v>
      </c>
    </row>
    <row r="7" spans="1:7" x14ac:dyDescent="0.2">
      <c r="D7">
        <f>_xlfn.F.DIST(A2,A3,A4,TRUE)</f>
        <v>0.94999581918336418</v>
      </c>
      <c r="E7">
        <f>_xlfn.F.DIST(A2,A3,A4,FALSE)</f>
        <v>4.1766417736912746E-2</v>
      </c>
      <c r="G7">
        <f>D7+E7</f>
        <v>0.99176223692027687</v>
      </c>
    </row>
    <row r="9" spans="1:7" x14ac:dyDescent="0.2">
      <c r="D9">
        <f>_xlfn.F.DIST.RT(A2,A3,A4)</f>
        <v>5.0004180816635879E-2</v>
      </c>
    </row>
  </sheetData>
  <phoneticPr fontId="1" type="noConversion"/>
  <pageMargins left="0.75" right="0.75" top="1" bottom="1" header="0.5" footer="0.5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H17" sqref="H17"/>
    </sheetView>
  </sheetViews>
  <sheetFormatPr defaultRowHeight="12.75" x14ac:dyDescent="0.2"/>
  <cols>
    <col min="1" max="1" width="11" customWidth="1"/>
    <col min="2" max="2" width="45.8554687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 s="18">
        <v>3.2872819999999998</v>
      </c>
      <c r="B2" t="s">
        <v>14</v>
      </c>
    </row>
    <row r="3" spans="1:3" x14ac:dyDescent="0.2">
      <c r="A3">
        <v>3</v>
      </c>
      <c r="B3" t="s">
        <v>49</v>
      </c>
    </row>
    <row r="4" spans="1:3" x14ac:dyDescent="0.2">
      <c r="A4">
        <v>15</v>
      </c>
      <c r="B4" t="s">
        <v>50</v>
      </c>
    </row>
    <row r="5" spans="1:3" x14ac:dyDescent="0.2">
      <c r="A5" s="1" t="s">
        <v>157</v>
      </c>
      <c r="C5">
        <f>_xlfn.F.DIST.RT(A2,A3,A4)</f>
        <v>5.0004180816635879E-2</v>
      </c>
    </row>
    <row r="6" spans="1:3" x14ac:dyDescent="0.2">
      <c r="A6" s="1"/>
    </row>
  </sheetData>
  <phoneticPr fontId="1" type="noConversion"/>
  <pageMargins left="0.75" right="0.75" top="1" bottom="1" header="0.5" footer="0.5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8" sqref="D8"/>
    </sheetView>
  </sheetViews>
  <sheetFormatPr defaultRowHeight="12.75" x14ac:dyDescent="0.2"/>
  <cols>
    <col min="1" max="1" width="11" customWidth="1"/>
    <col min="2" max="2" width="39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18">
        <v>0.05</v>
      </c>
      <c r="B2" t="s">
        <v>158</v>
      </c>
    </row>
    <row r="3" spans="1:4" x14ac:dyDescent="0.2">
      <c r="A3">
        <v>3</v>
      </c>
      <c r="B3" t="s">
        <v>49</v>
      </c>
    </row>
    <row r="4" spans="1:4" x14ac:dyDescent="0.2">
      <c r="A4">
        <v>15</v>
      </c>
      <c r="B4" t="s">
        <v>50</v>
      </c>
    </row>
    <row r="5" spans="1:4" x14ac:dyDescent="0.2">
      <c r="A5" s="1" t="s">
        <v>161</v>
      </c>
      <c r="D5">
        <f>FINV(0.05,3,15)</f>
        <v>3.2873821046365093</v>
      </c>
    </row>
    <row r="6" spans="1:4" x14ac:dyDescent="0.2">
      <c r="D6">
        <f>_xlfn.F.INV(A2,A3,A4)</f>
        <v>0.11490462163628162</v>
      </c>
    </row>
    <row r="8" spans="1:4" x14ac:dyDescent="0.2">
      <c r="D8">
        <f>_xlfn.F.INV.RT(A2,A3,A4)</f>
        <v>3.2873821046365093</v>
      </c>
    </row>
  </sheetData>
  <phoneticPr fontId="1" type="noConversion"/>
  <pageMargins left="0.75" right="0.75" top="1" bottom="1" header="0.5" footer="0.5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8" sqref="D8"/>
    </sheetView>
  </sheetViews>
  <sheetFormatPr defaultRowHeight="12.75" x14ac:dyDescent="0.2"/>
  <cols>
    <col min="1" max="1" width="11" customWidth="1"/>
    <col min="2" max="2" width="39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18">
        <v>0.05</v>
      </c>
      <c r="B2" t="s">
        <v>158</v>
      </c>
    </row>
    <row r="3" spans="1:4" x14ac:dyDescent="0.2">
      <c r="A3">
        <v>3</v>
      </c>
      <c r="B3" t="s">
        <v>49</v>
      </c>
    </row>
    <row r="4" spans="1:4" x14ac:dyDescent="0.2">
      <c r="A4">
        <v>15</v>
      </c>
      <c r="B4" t="s">
        <v>50</v>
      </c>
    </row>
    <row r="5" spans="1:4" x14ac:dyDescent="0.2">
      <c r="A5" s="1" t="s">
        <v>162</v>
      </c>
    </row>
    <row r="6" spans="1:4" x14ac:dyDescent="0.2">
      <c r="D6">
        <f>_xlfn.F.INV.RT(A2,A3,A4)</f>
        <v>3.2873821046365093</v>
      </c>
    </row>
  </sheetData>
  <phoneticPr fontId="1" type="noConversion"/>
  <pageMargins left="0.75" right="0.75" top="1" bottom="1" header="0.5" footer="0.5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19" sqref="F19"/>
    </sheetView>
  </sheetViews>
  <sheetFormatPr defaultRowHeight="12.75" x14ac:dyDescent="0.2"/>
  <cols>
    <col min="1" max="1" width="17.7109375" customWidth="1"/>
    <col min="2" max="2" width="18.7109375" bestFit="1" customWidth="1"/>
    <col min="4" max="4" width="10.5703125" bestFit="1" customWidth="1"/>
  </cols>
  <sheetData>
    <row r="1" spans="1:7" x14ac:dyDescent="0.2">
      <c r="A1" s="3" t="s">
        <v>251</v>
      </c>
      <c r="B1" s="3" t="s">
        <v>252</v>
      </c>
    </row>
    <row r="2" spans="1:7" x14ac:dyDescent="0.2">
      <c r="A2" s="16">
        <v>7</v>
      </c>
      <c r="B2" s="15">
        <v>10</v>
      </c>
    </row>
    <row r="3" spans="1:7" x14ac:dyDescent="0.2">
      <c r="A3" s="16">
        <v>6</v>
      </c>
      <c r="B3" s="6">
        <v>13</v>
      </c>
    </row>
    <row r="4" spans="1:7" x14ac:dyDescent="0.2">
      <c r="A4" s="16">
        <v>7</v>
      </c>
      <c r="B4" s="6">
        <v>14</v>
      </c>
    </row>
    <row r="5" spans="1:7" x14ac:dyDescent="0.2">
      <c r="A5" s="16">
        <v>5</v>
      </c>
      <c r="B5" s="6">
        <v>12</v>
      </c>
    </row>
    <row r="6" spans="1:7" x14ac:dyDescent="0.2">
      <c r="A6" s="17">
        <v>8</v>
      </c>
      <c r="B6" s="6">
        <v>21</v>
      </c>
    </row>
    <row r="7" spans="1:7" x14ac:dyDescent="0.2">
      <c r="A7" s="16">
        <v>9</v>
      </c>
      <c r="B7" s="6">
        <v>14</v>
      </c>
    </row>
    <row r="8" spans="1:7" x14ac:dyDescent="0.2">
      <c r="A8" s="6">
        <v>8</v>
      </c>
      <c r="B8" s="6">
        <v>18</v>
      </c>
    </row>
    <row r="9" spans="1:7" x14ac:dyDescent="0.2">
      <c r="A9" s="6">
        <v>9</v>
      </c>
      <c r="B9" s="6">
        <v>14</v>
      </c>
    </row>
    <row r="10" spans="1:7" x14ac:dyDescent="0.2">
      <c r="A10" s="6">
        <v>7</v>
      </c>
      <c r="B10" s="6">
        <v>15</v>
      </c>
    </row>
    <row r="11" spans="1:7" x14ac:dyDescent="0.2">
      <c r="A11" s="1" t="s">
        <v>163</v>
      </c>
      <c r="B11" s="6"/>
      <c r="D11" s="28">
        <f>_xlfn.F.TEST(B2:B10,A2:A10)</f>
        <v>2.0134411950587829E-2</v>
      </c>
    </row>
    <row r="14" spans="1:7" x14ac:dyDescent="0.2">
      <c r="G14" t="s">
        <v>55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3" sqref="D3"/>
    </sheetView>
  </sheetViews>
  <sheetFormatPr defaultRowHeight="12.75" x14ac:dyDescent="0.2"/>
  <cols>
    <col min="1" max="1" width="11" customWidth="1"/>
    <col min="2" max="2" width="16.42578125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18">
        <v>0.85</v>
      </c>
      <c r="B2" t="s">
        <v>52</v>
      </c>
    </row>
    <row r="3" spans="1:4" x14ac:dyDescent="0.2">
      <c r="A3" s="1" t="s">
        <v>164</v>
      </c>
      <c r="D3" s="5">
        <f>FISHER(A2)</f>
        <v>1.2561528119880574</v>
      </c>
    </row>
    <row r="5" spans="1:4" x14ac:dyDescent="0.2">
      <c r="D5">
        <f>FISHER(A4)</f>
        <v>0</v>
      </c>
    </row>
  </sheetData>
  <phoneticPr fontId="1" type="noConversion"/>
  <pageMargins left="0.75" right="0.75" top="1" bottom="1" header="0.5" footer="0.5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D3" sqref="D3"/>
    </sheetView>
  </sheetViews>
  <sheetFormatPr defaultRowHeight="12.75" x14ac:dyDescent="0.2"/>
  <cols>
    <col min="1" max="1" width="14.42578125" customWidth="1"/>
    <col min="2" max="2" width="16.42578125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27">
        <v>1.2561528120000001</v>
      </c>
      <c r="B2" t="s">
        <v>52</v>
      </c>
    </row>
    <row r="3" spans="1:4" x14ac:dyDescent="0.2">
      <c r="A3" s="1" t="s">
        <v>51</v>
      </c>
      <c r="D3" s="27">
        <f>FISHERINV(A2)</f>
        <v>0.8500000000033141</v>
      </c>
    </row>
  </sheetData>
  <phoneticPr fontId="1" type="noConversion"/>
  <pageMargins left="0.75" right="0.75" top="1" bottom="1" header="0.5" footer="0.5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1" sqref="E11"/>
    </sheetView>
  </sheetViews>
  <sheetFormatPr defaultRowHeight="12.75" x14ac:dyDescent="0.2"/>
  <cols>
    <col min="2" max="2" width="10.5703125" customWidth="1"/>
    <col min="3" max="3" width="9" customWidth="1"/>
    <col min="4" max="4" width="7" customWidth="1"/>
    <col min="5" max="5" width="13.7109375" bestFit="1" customWidth="1"/>
  </cols>
  <sheetData>
    <row r="1" spans="1:5" x14ac:dyDescent="0.2">
      <c r="A1" s="3" t="s">
        <v>56</v>
      </c>
      <c r="B1" s="3" t="s">
        <v>57</v>
      </c>
    </row>
    <row r="2" spans="1:5" x14ac:dyDescent="0.2">
      <c r="A2">
        <v>7</v>
      </c>
      <c r="B2">
        <v>10</v>
      </c>
    </row>
    <row r="3" spans="1:5" x14ac:dyDescent="0.2">
      <c r="A3">
        <v>6</v>
      </c>
      <c r="B3">
        <v>13</v>
      </c>
    </row>
    <row r="4" spans="1:5" x14ac:dyDescent="0.2">
      <c r="A4">
        <v>7</v>
      </c>
      <c r="B4">
        <v>14</v>
      </c>
    </row>
    <row r="5" spans="1:5" x14ac:dyDescent="0.2">
      <c r="A5">
        <v>5</v>
      </c>
      <c r="B5">
        <v>12</v>
      </c>
    </row>
    <row r="6" spans="1:5" x14ac:dyDescent="0.2">
      <c r="A6">
        <v>8</v>
      </c>
      <c r="B6">
        <v>21</v>
      </c>
    </row>
    <row r="7" spans="1:5" x14ac:dyDescent="0.2">
      <c r="A7">
        <v>9</v>
      </c>
      <c r="B7">
        <v>14</v>
      </c>
    </row>
    <row r="8" spans="1:5" x14ac:dyDescent="0.2">
      <c r="A8">
        <v>8</v>
      </c>
      <c r="B8">
        <v>18</v>
      </c>
    </row>
    <row r="9" spans="1:5" x14ac:dyDescent="0.2">
      <c r="A9">
        <v>9</v>
      </c>
      <c r="B9">
        <v>14</v>
      </c>
    </row>
    <row r="10" spans="1:5" x14ac:dyDescent="0.2">
      <c r="A10">
        <v>7</v>
      </c>
      <c r="B10">
        <v>15</v>
      </c>
    </row>
    <row r="11" spans="1:5" x14ac:dyDescent="0.2">
      <c r="A11" s="1" t="s">
        <v>165</v>
      </c>
      <c r="E11" s="21">
        <f>FORECAST(10,B2:B10,A2:A10)</f>
        <v>17.285714285714285</v>
      </c>
    </row>
    <row r="12" spans="1:5" x14ac:dyDescent="0.2">
      <c r="A12" s="1"/>
      <c r="E12" s="21"/>
    </row>
  </sheetData>
  <phoneticPr fontId="1" type="noConversion"/>
  <pageMargins left="0.75" right="0.75" top="1" bottom="1" header="0.5" footer="0.5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E11" sqref="E11"/>
    </sheetView>
  </sheetViews>
  <sheetFormatPr defaultRowHeight="12.75" x14ac:dyDescent="0.2"/>
  <cols>
    <col min="3" max="3" width="9" customWidth="1"/>
    <col min="4" max="4" width="7" customWidth="1"/>
  </cols>
  <sheetData>
    <row r="1" spans="1:5" x14ac:dyDescent="0.2">
      <c r="A1" s="3" t="s">
        <v>53</v>
      </c>
      <c r="B1" s="3" t="s">
        <v>54</v>
      </c>
    </row>
    <row r="2" spans="1:5" x14ac:dyDescent="0.2">
      <c r="A2">
        <v>58</v>
      </c>
      <c r="B2">
        <v>60</v>
      </c>
      <c r="C2">
        <f t="array" ref="C2:C5">FREQUENCY(A2:A10,B2:B4)</f>
        <v>2</v>
      </c>
    </row>
    <row r="3" spans="1:5" x14ac:dyDescent="0.2">
      <c r="A3">
        <v>72</v>
      </c>
      <c r="B3">
        <v>70</v>
      </c>
      <c r="C3">
        <v>2</v>
      </c>
    </row>
    <row r="4" spans="1:5" x14ac:dyDescent="0.2">
      <c r="A4">
        <v>55</v>
      </c>
      <c r="B4">
        <v>80</v>
      </c>
      <c r="C4">
        <v>3</v>
      </c>
    </row>
    <row r="5" spans="1:5" x14ac:dyDescent="0.2">
      <c r="A5">
        <v>85</v>
      </c>
      <c r="C5">
        <v>2</v>
      </c>
    </row>
    <row r="6" spans="1:5" x14ac:dyDescent="0.2">
      <c r="A6">
        <v>90</v>
      </c>
    </row>
    <row r="7" spans="1:5" x14ac:dyDescent="0.2">
      <c r="A7">
        <v>75</v>
      </c>
    </row>
    <row r="8" spans="1:5" x14ac:dyDescent="0.2">
      <c r="A8">
        <v>78</v>
      </c>
    </row>
    <row r="9" spans="1:5" x14ac:dyDescent="0.2">
      <c r="A9">
        <v>68</v>
      </c>
    </row>
    <row r="10" spans="1:5" x14ac:dyDescent="0.2">
      <c r="A10">
        <v>68</v>
      </c>
    </row>
    <row r="11" spans="1:5" x14ac:dyDescent="0.2">
      <c r="A11" s="1" t="s">
        <v>166</v>
      </c>
      <c r="E11">
        <f>FREQUENCY(A2:A10,B2:B4)</f>
        <v>2</v>
      </c>
    </row>
  </sheetData>
  <phoneticPr fontId="1" type="noConversion"/>
  <pageMargins left="0.75" right="0.75" top="1" bottom="1" header="0.5" footer="0.5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5" sqref="C5"/>
    </sheetView>
  </sheetViews>
  <sheetFormatPr defaultRowHeight="12.75" x14ac:dyDescent="0.2"/>
  <cols>
    <col min="1" max="1" width="11" customWidth="1"/>
    <col min="2" max="2" width="45.42578125" customWidth="1"/>
    <col min="3" max="3" width="12.4257812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 s="6">
        <v>10</v>
      </c>
      <c r="B2" t="s">
        <v>58</v>
      </c>
    </row>
    <row r="3" spans="1:3" x14ac:dyDescent="0.2">
      <c r="A3">
        <v>9</v>
      </c>
      <c r="B3" t="s">
        <v>59</v>
      </c>
    </row>
    <row r="4" spans="1:3" ht="25.5" x14ac:dyDescent="0.2">
      <c r="A4" s="19">
        <v>2</v>
      </c>
      <c r="B4" s="20" t="s">
        <v>60</v>
      </c>
    </row>
    <row r="5" spans="1:3" x14ac:dyDescent="0.2">
      <c r="A5" s="1" t="s">
        <v>167</v>
      </c>
      <c r="C5">
        <f>_xlfn.GAMMA.DIST(A2,A3,A4,TRUE)</f>
        <v>6.8093634721848553E-2</v>
      </c>
    </row>
    <row r="6" spans="1:3" x14ac:dyDescent="0.2">
      <c r="A6" s="1" t="s">
        <v>168</v>
      </c>
      <c r="C6">
        <f>_xlfn.GAMMA.DIST(A2,A3,A4,FALSE)</f>
        <v>3.2639019674079374E-2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5" sqref="C5"/>
    </sheetView>
  </sheetViews>
  <sheetFormatPr defaultRowHeight="12.75" x14ac:dyDescent="0.2"/>
  <cols>
    <col min="1" max="1" width="11" customWidth="1"/>
    <col min="2" max="2" width="40.5703125" customWidth="1"/>
    <col min="3" max="3" width="12.4257812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>
        <v>6.809363082150513E-2</v>
      </c>
      <c r="B2" t="s">
        <v>58</v>
      </c>
    </row>
    <row r="3" spans="1:3" x14ac:dyDescent="0.2">
      <c r="A3">
        <v>9</v>
      </c>
      <c r="B3" t="s">
        <v>59</v>
      </c>
    </row>
    <row r="4" spans="1:3" ht="25.5" x14ac:dyDescent="0.2">
      <c r="A4" s="19">
        <v>2</v>
      </c>
      <c r="B4" s="20" t="s">
        <v>60</v>
      </c>
    </row>
    <row r="5" spans="1:3" x14ac:dyDescent="0.2">
      <c r="A5" s="1" t="s">
        <v>169</v>
      </c>
      <c r="C5">
        <f>_xlfn.GAMMA.INV(A2,A3,A4)</f>
        <v>9.9999998805005905</v>
      </c>
    </row>
    <row r="6" spans="1:3" x14ac:dyDescent="0.2">
      <c r="A6" s="1"/>
    </row>
  </sheetData>
  <phoneticPr fontId="1" type="noConversion"/>
  <pageMargins left="0.75" right="0.75" top="1" bottom="1" header="0.5" footer="0.5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3" sqref="D3"/>
    </sheetView>
  </sheetViews>
  <sheetFormatPr defaultRowHeight="12.75" x14ac:dyDescent="0.2"/>
  <cols>
    <col min="1" max="1" width="11" customWidth="1"/>
    <col min="2" max="2" width="16.42578125" customWidth="1"/>
  </cols>
  <sheetData>
    <row r="1" spans="1:4" x14ac:dyDescent="0.2">
      <c r="A1" s="3" t="s">
        <v>0</v>
      </c>
      <c r="B1" s="3"/>
    </row>
    <row r="2" spans="1:4" x14ac:dyDescent="0.2">
      <c r="A2" s="6">
        <v>5</v>
      </c>
    </row>
    <row r="3" spans="1:4" x14ac:dyDescent="0.2">
      <c r="A3" s="1" t="s">
        <v>61</v>
      </c>
      <c r="D3" s="5">
        <f>GAMMALN(A2)</f>
        <v>3.1780538303479458</v>
      </c>
    </row>
    <row r="5" spans="1:4" x14ac:dyDescent="0.2">
      <c r="D5">
        <f>FISHER(A4)</f>
        <v>0</v>
      </c>
    </row>
  </sheetData>
  <phoneticPr fontId="1" type="noConversion"/>
  <pageMargins left="0.75" right="0.75" top="1" bottom="1" header="0.5" footer="0.5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2" sqref="E12"/>
    </sheetView>
  </sheetViews>
  <sheetFormatPr defaultRowHeight="12.75" x14ac:dyDescent="0.2"/>
  <cols>
    <col min="2" max="2" width="10.5703125" customWidth="1"/>
    <col min="3" max="3" width="9" customWidth="1"/>
    <col min="4" max="4" width="7" customWidth="1"/>
  </cols>
  <sheetData>
    <row r="1" spans="1:5" x14ac:dyDescent="0.2">
      <c r="A1" s="3" t="s">
        <v>0</v>
      </c>
      <c r="B1" s="3"/>
    </row>
    <row r="2" spans="1:5" x14ac:dyDescent="0.2">
      <c r="A2">
        <v>8</v>
      </c>
    </row>
    <row r="3" spans="1:5" x14ac:dyDescent="0.2">
      <c r="A3">
        <v>7</v>
      </c>
    </row>
    <row r="4" spans="1:5" x14ac:dyDescent="0.2">
      <c r="A4">
        <v>5</v>
      </c>
    </row>
    <row r="5" spans="1:5" x14ac:dyDescent="0.2">
      <c r="A5">
        <v>9</v>
      </c>
    </row>
    <row r="6" spans="1:5" x14ac:dyDescent="0.2">
      <c r="A6">
        <v>10</v>
      </c>
    </row>
    <row r="7" spans="1:5" x14ac:dyDescent="0.2">
      <c r="A7">
        <v>7</v>
      </c>
    </row>
    <row r="8" spans="1:5" x14ac:dyDescent="0.2">
      <c r="A8">
        <v>8</v>
      </c>
    </row>
    <row r="9" spans="1:5" x14ac:dyDescent="0.2">
      <c r="A9">
        <v>7</v>
      </c>
    </row>
    <row r="10" spans="1:5" x14ac:dyDescent="0.2">
      <c r="A10">
        <v>6</v>
      </c>
    </row>
    <row r="11" spans="1:5" x14ac:dyDescent="0.2">
      <c r="A11" s="1" t="s">
        <v>62</v>
      </c>
      <c r="E11">
        <f>GEOMEAN(A2:A10)</f>
        <v>7.305478229924927</v>
      </c>
    </row>
    <row r="12" spans="1:5" x14ac:dyDescent="0.2">
      <c r="A12" s="1" t="s">
        <v>170</v>
      </c>
      <c r="E12">
        <f>GEOMEAN(A2:A10,12)</f>
        <v>7.6771833088718902</v>
      </c>
    </row>
  </sheetData>
  <phoneticPr fontId="1" type="noConversion"/>
  <pageMargins left="0.75" right="0.75" top="1" bottom="1" header="0.5" footer="0.5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E6" sqref="E6"/>
    </sheetView>
  </sheetViews>
  <sheetFormatPr defaultRowHeight="12.75" x14ac:dyDescent="0.2"/>
  <cols>
    <col min="2" max="2" width="10.5703125" customWidth="1"/>
    <col min="3" max="3" width="9" customWidth="1"/>
    <col min="4" max="4" width="11.85546875" customWidth="1"/>
    <col min="5" max="5" width="13.7109375" bestFit="1" customWidth="1"/>
  </cols>
  <sheetData>
    <row r="1" spans="1:6" x14ac:dyDescent="0.2">
      <c r="A1" s="3" t="s">
        <v>64</v>
      </c>
      <c r="B1" s="3" t="s">
        <v>57</v>
      </c>
    </row>
    <row r="2" spans="1:6" x14ac:dyDescent="0.2">
      <c r="A2">
        <v>1</v>
      </c>
      <c r="B2">
        <v>55</v>
      </c>
      <c r="F2">
        <v>11</v>
      </c>
    </row>
    <row r="3" spans="1:6" x14ac:dyDescent="0.2">
      <c r="A3">
        <v>2</v>
      </c>
      <c r="B3">
        <v>68</v>
      </c>
      <c r="F3">
        <v>12</v>
      </c>
    </row>
    <row r="4" spans="1:6" x14ac:dyDescent="0.2">
      <c r="A4">
        <v>3</v>
      </c>
      <c r="B4">
        <v>78</v>
      </c>
      <c r="F4">
        <v>13</v>
      </c>
    </row>
    <row r="5" spans="1:6" x14ac:dyDescent="0.2">
      <c r="A5">
        <v>4</v>
      </c>
      <c r="B5">
        <v>95</v>
      </c>
    </row>
    <row r="6" spans="1:6" x14ac:dyDescent="0.2">
      <c r="A6">
        <v>5</v>
      </c>
      <c r="B6">
        <v>110</v>
      </c>
    </row>
    <row r="7" spans="1:6" x14ac:dyDescent="0.2">
      <c r="A7">
        <v>6</v>
      </c>
      <c r="B7">
        <v>125</v>
      </c>
    </row>
    <row r="8" spans="1:6" x14ac:dyDescent="0.2">
      <c r="A8">
        <v>7</v>
      </c>
      <c r="B8">
        <v>135</v>
      </c>
    </row>
    <row r="9" spans="1:6" x14ac:dyDescent="0.2">
      <c r="A9" s="3" t="s">
        <v>64</v>
      </c>
      <c r="B9" s="3" t="s">
        <v>57</v>
      </c>
    </row>
    <row r="10" spans="1:6" x14ac:dyDescent="0.2">
      <c r="A10">
        <v>8</v>
      </c>
      <c r="B10">
        <f t="array" ref="B10:B11">GROWTH(B2:B7,A2:A7,A10:A11)</f>
        <v>178.21871584122559</v>
      </c>
    </row>
    <row r="11" spans="1:6" x14ac:dyDescent="0.2">
      <c r="A11">
        <v>9</v>
      </c>
      <c r="B11">
        <v>210.00977432416255</v>
      </c>
    </row>
    <row r="12" spans="1:6" x14ac:dyDescent="0.2">
      <c r="A12" s="1"/>
    </row>
    <row r="17" spans="2:9" x14ac:dyDescent="0.2">
      <c r="B17" s="1" t="s">
        <v>65</v>
      </c>
    </row>
    <row r="21" spans="2:9" x14ac:dyDescent="0.2">
      <c r="H21">
        <v>1</v>
      </c>
      <c r="I21">
        <v>30</v>
      </c>
    </row>
    <row r="22" spans="2:9" x14ac:dyDescent="0.2">
      <c r="H22">
        <v>2</v>
      </c>
      <c r="I22">
        <v>50</v>
      </c>
    </row>
    <row r="23" spans="2:9" x14ac:dyDescent="0.2">
      <c r="H23">
        <v>3</v>
      </c>
      <c r="I23">
        <v>70</v>
      </c>
    </row>
    <row r="24" spans="2:9" x14ac:dyDescent="0.2">
      <c r="H24">
        <v>4</v>
      </c>
      <c r="I24">
        <v>110</v>
      </c>
    </row>
    <row r="25" spans="2:9" x14ac:dyDescent="0.2">
      <c r="H25">
        <v>5</v>
      </c>
      <c r="I25">
        <v>140</v>
      </c>
    </row>
    <row r="26" spans="2:9" x14ac:dyDescent="0.2">
      <c r="H26">
        <v>6</v>
      </c>
      <c r="I26">
        <v>230</v>
      </c>
    </row>
    <row r="27" spans="2:9" x14ac:dyDescent="0.2">
      <c r="H27">
        <v>7</v>
      </c>
      <c r="I27">
        <v>240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2" sqref="E12"/>
    </sheetView>
  </sheetViews>
  <sheetFormatPr defaultRowHeight="12.75" x14ac:dyDescent="0.2"/>
  <cols>
    <col min="2" max="2" width="10.5703125" customWidth="1"/>
    <col min="3" max="3" width="9" customWidth="1"/>
    <col min="4" max="4" width="7" customWidth="1"/>
    <col min="5" max="5" width="12.5703125" bestFit="1" customWidth="1"/>
  </cols>
  <sheetData>
    <row r="1" spans="1:5" x14ac:dyDescent="0.2">
      <c r="A1" s="3" t="s">
        <v>0</v>
      </c>
      <c r="B1" s="3"/>
    </row>
    <row r="2" spans="1:5" x14ac:dyDescent="0.2">
      <c r="A2">
        <v>8</v>
      </c>
    </row>
    <row r="3" spans="1:5" x14ac:dyDescent="0.2">
      <c r="A3">
        <v>7</v>
      </c>
    </row>
    <row r="4" spans="1:5" x14ac:dyDescent="0.2">
      <c r="A4">
        <v>5</v>
      </c>
    </row>
    <row r="5" spans="1:5" x14ac:dyDescent="0.2">
      <c r="A5">
        <v>9</v>
      </c>
    </row>
    <row r="6" spans="1:5" x14ac:dyDescent="0.2">
      <c r="A6">
        <v>10</v>
      </c>
    </row>
    <row r="7" spans="1:5" x14ac:dyDescent="0.2">
      <c r="A7">
        <v>7</v>
      </c>
    </row>
    <row r="8" spans="1:5" x14ac:dyDescent="0.2">
      <c r="A8">
        <v>8</v>
      </c>
    </row>
    <row r="9" spans="1:5" x14ac:dyDescent="0.2">
      <c r="A9">
        <v>7</v>
      </c>
    </row>
    <row r="10" spans="1:5" x14ac:dyDescent="0.2">
      <c r="A10">
        <v>6</v>
      </c>
    </row>
    <row r="11" spans="1:5" x14ac:dyDescent="0.2">
      <c r="A11" s="1" t="s">
        <v>63</v>
      </c>
      <c r="E11" s="21">
        <f>HARMEAN(A2:A10)</f>
        <v>7.1636133922931142</v>
      </c>
    </row>
    <row r="12" spans="1:5" x14ac:dyDescent="0.2">
      <c r="A12" s="1" t="s">
        <v>171</v>
      </c>
      <c r="E12" s="21">
        <f>HARMEAN(A2:A10,12)</f>
        <v>7.4644549763033181</v>
      </c>
    </row>
  </sheetData>
  <phoneticPr fontId="1" type="noConversion"/>
  <pageMargins left="0.75" right="0.75" top="1" bottom="1" header="0.5" footer="0.5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6" sqref="C6"/>
    </sheetView>
  </sheetViews>
  <sheetFormatPr defaultRowHeight="12.75" x14ac:dyDescent="0.2"/>
  <cols>
    <col min="1" max="1" width="11" customWidth="1"/>
    <col min="2" max="2" width="40.5703125" customWidth="1"/>
    <col min="3" max="3" width="12.4257812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>
        <v>2</v>
      </c>
      <c r="B2" t="s">
        <v>66</v>
      </c>
    </row>
    <row r="3" spans="1:3" x14ac:dyDescent="0.2">
      <c r="A3">
        <v>6</v>
      </c>
      <c r="B3" t="s">
        <v>67</v>
      </c>
    </row>
    <row r="4" spans="1:3" x14ac:dyDescent="0.2">
      <c r="A4" s="19">
        <v>10</v>
      </c>
      <c r="B4" s="20" t="s">
        <v>68</v>
      </c>
    </row>
    <row r="5" spans="1:3" x14ac:dyDescent="0.2">
      <c r="A5" s="19">
        <v>30</v>
      </c>
      <c r="B5" s="20" t="s">
        <v>69</v>
      </c>
    </row>
    <row r="6" spans="1:3" x14ac:dyDescent="0.2">
      <c r="A6" s="1" t="s">
        <v>172</v>
      </c>
      <c r="C6">
        <f>_xlfn.HYPGEOM.DIST(A2,A3,A4,A5,FALSE)</f>
        <v>0.36718453959833264</v>
      </c>
    </row>
    <row r="7" spans="1:3" x14ac:dyDescent="0.2">
      <c r="A7" s="1" t="s">
        <v>173</v>
      </c>
      <c r="C7" s="28">
        <f>_xlfn.HYPGEOM.DIST(A2,A3,A4,A5,TRUE)</f>
        <v>0.69357079701907276</v>
      </c>
    </row>
  </sheetData>
  <phoneticPr fontId="1" type="noConversion"/>
  <pageMargins left="0.75" right="0.75" top="1" bottom="1" header="0.5" footer="0.5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E11" sqref="E11"/>
    </sheetView>
  </sheetViews>
  <sheetFormatPr defaultRowHeight="12.75" x14ac:dyDescent="0.2"/>
  <sheetData>
    <row r="1" spans="1:5" x14ac:dyDescent="0.2">
      <c r="A1" s="3" t="s">
        <v>56</v>
      </c>
      <c r="B1" s="3" t="s">
        <v>57</v>
      </c>
    </row>
    <row r="2" spans="1:5" x14ac:dyDescent="0.2">
      <c r="A2">
        <v>7</v>
      </c>
      <c r="B2">
        <v>10</v>
      </c>
    </row>
    <row r="3" spans="1:5" x14ac:dyDescent="0.2">
      <c r="A3">
        <v>6</v>
      </c>
      <c r="B3">
        <v>13</v>
      </c>
    </row>
    <row r="4" spans="1:5" x14ac:dyDescent="0.2">
      <c r="A4">
        <v>7</v>
      </c>
      <c r="B4">
        <v>14</v>
      </c>
    </row>
    <row r="5" spans="1:5" x14ac:dyDescent="0.2">
      <c r="A5">
        <v>5</v>
      </c>
      <c r="B5">
        <v>12</v>
      </c>
    </row>
    <row r="6" spans="1:5" x14ac:dyDescent="0.2">
      <c r="A6">
        <v>8</v>
      </c>
      <c r="B6">
        <v>21</v>
      </c>
    </row>
    <row r="7" spans="1:5" x14ac:dyDescent="0.2">
      <c r="A7">
        <v>9</v>
      </c>
      <c r="B7">
        <v>14</v>
      </c>
    </row>
    <row r="8" spans="1:5" x14ac:dyDescent="0.2">
      <c r="A8">
        <v>8</v>
      </c>
      <c r="B8">
        <v>18</v>
      </c>
    </row>
    <row r="9" spans="1:5" x14ac:dyDescent="0.2">
      <c r="A9">
        <v>9</v>
      </c>
      <c r="B9">
        <v>14</v>
      </c>
    </row>
    <row r="10" spans="1:5" x14ac:dyDescent="0.2">
      <c r="A10">
        <v>7</v>
      </c>
      <c r="B10">
        <v>15</v>
      </c>
    </row>
    <row r="11" spans="1:5" x14ac:dyDescent="0.2">
      <c r="A11" s="1" t="s">
        <v>174</v>
      </c>
      <c r="E11">
        <f>INTERCEPT(B2:B10,A2:A10)</f>
        <v>7.0476190476190466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70</v>
      </c>
      <c r="C12">
        <f>KURT(A2:A11)</f>
        <v>0.54798871034662877</v>
      </c>
    </row>
    <row r="13" spans="1:3" x14ac:dyDescent="0.2">
      <c r="A13" s="1" t="s">
        <v>175</v>
      </c>
      <c r="C13">
        <f>KURT(A2:A11,13)</f>
        <v>0.28907999999999934</v>
      </c>
    </row>
  </sheetData>
  <phoneticPr fontId="1" type="noConversion"/>
  <pageMargins left="0.75" right="0.75" top="1" bottom="1" header="0.5" footer="0.5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2" sqref="C12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176</v>
      </c>
      <c r="C12">
        <f>LARGE(A2:A11,3)</f>
        <v>7</v>
      </c>
    </row>
    <row r="13" spans="1:3" x14ac:dyDescent="0.2">
      <c r="A13" s="1"/>
    </row>
  </sheetData>
  <phoneticPr fontId="1" type="noConversion"/>
  <pageMargins left="0.75" right="0.75" top="1" bottom="1" header="0.5" footer="0.5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6" sqref="C6"/>
    </sheetView>
  </sheetViews>
  <sheetFormatPr defaultRowHeight="12.75" x14ac:dyDescent="0.2"/>
  <cols>
    <col min="1" max="1" width="11" customWidth="1"/>
    <col min="2" max="2" width="37.85546875" customWidth="1"/>
    <col min="3" max="3" width="12.4257812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>
        <v>10</v>
      </c>
      <c r="B2" t="s">
        <v>74</v>
      </c>
    </row>
    <row r="3" spans="1:3" x14ac:dyDescent="0.2">
      <c r="A3">
        <v>3.5</v>
      </c>
      <c r="B3" t="s">
        <v>72</v>
      </c>
    </row>
    <row r="4" spans="1:3" x14ac:dyDescent="0.2">
      <c r="A4" s="19">
        <v>1.2</v>
      </c>
      <c r="B4" s="20" t="s">
        <v>73</v>
      </c>
      <c r="C4">
        <f>LOGNORMDIST(A2,A3,A4)</f>
        <v>0.15917707941660797</v>
      </c>
    </row>
    <row r="5" spans="1:3" x14ac:dyDescent="0.2">
      <c r="A5" s="1" t="s">
        <v>177</v>
      </c>
      <c r="C5">
        <f>_xlfn.LOGNORM.DIST(A2,A3,A4,TRUE)</f>
        <v>0.15917707941660797</v>
      </c>
    </row>
    <row r="6" spans="1:3" x14ac:dyDescent="0.2">
      <c r="A6" s="1" t="s">
        <v>178</v>
      </c>
      <c r="C6">
        <f>_xlfn.LOGNORM.DIST(A2,A3,A4,FALSE)</f>
        <v>2.0207665644412787E-2</v>
      </c>
    </row>
  </sheetData>
  <phoneticPr fontId="1" type="noConversion"/>
  <pageMargins left="0.75" right="0.75" top="1" bottom="1" header="0.5" footer="0.5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C6" sqref="C6"/>
    </sheetView>
  </sheetViews>
  <sheetFormatPr defaultRowHeight="12.75" x14ac:dyDescent="0.2"/>
  <cols>
    <col min="1" max="1" width="16.42578125" customWidth="1"/>
    <col min="2" max="2" width="40.5703125" customWidth="1"/>
    <col min="3" max="3" width="12.42578125" bestFit="1" customWidth="1"/>
    <col min="5" max="5" width="16.28515625" customWidth="1"/>
  </cols>
  <sheetData>
    <row r="1" spans="1:5" x14ac:dyDescent="0.2">
      <c r="A1" s="3" t="s">
        <v>0</v>
      </c>
      <c r="B1" s="3" t="s">
        <v>5</v>
      </c>
    </row>
    <row r="2" spans="1:5" x14ac:dyDescent="0.2">
      <c r="A2" s="23">
        <v>0.15917707941699999</v>
      </c>
      <c r="B2" t="s">
        <v>71</v>
      </c>
    </row>
    <row r="3" spans="1:5" x14ac:dyDescent="0.2">
      <c r="A3">
        <v>3.5</v>
      </c>
      <c r="B3" t="s">
        <v>72</v>
      </c>
    </row>
    <row r="4" spans="1:5" x14ac:dyDescent="0.2">
      <c r="A4" s="19">
        <v>1.2</v>
      </c>
      <c r="B4" s="20" t="s">
        <v>73</v>
      </c>
    </row>
    <row r="5" spans="1:5" x14ac:dyDescent="0.2">
      <c r="A5" s="1" t="s">
        <v>179</v>
      </c>
      <c r="C5">
        <f>_xlfn.LOGNORM.INV(A2,A3,A4)</f>
        <v>10.000000000019417</v>
      </c>
      <c r="E5" s="23">
        <v>0.15917707941660808</v>
      </c>
    </row>
    <row r="6" spans="1:5" x14ac:dyDescent="0.2">
      <c r="A6" s="1"/>
      <c r="C6">
        <f>_xlfn.LOGNORM.INV(A2,A3,A4)</f>
        <v>10.000000000019417</v>
      </c>
    </row>
  </sheetData>
  <phoneticPr fontId="1" type="noConversion"/>
  <pageMargins left="0.75" right="0.75" top="1" bottom="1" header="0.5" footer="0.5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K6" sqref="K6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17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32" t="s">
        <v>180</v>
      </c>
      <c r="C12" s="24">
        <f>MAX(A2:A11)</f>
        <v>11</v>
      </c>
    </row>
    <row r="13" spans="1:3" x14ac:dyDescent="0.2">
      <c r="A13" s="1" t="s">
        <v>181</v>
      </c>
      <c r="C13" s="6">
        <f>MAX(A2:A10,13)</f>
        <v>13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12" sqref="C12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24">
        <v>0.4</v>
      </c>
    </row>
    <row r="3" spans="1:3" x14ac:dyDescent="0.2">
      <c r="A3" s="24">
        <v>0.5</v>
      </c>
    </row>
    <row r="4" spans="1:3" x14ac:dyDescent="0.2">
      <c r="A4" s="25">
        <v>0.7</v>
      </c>
    </row>
    <row r="5" spans="1:3" x14ac:dyDescent="0.2">
      <c r="A5" s="25">
        <v>0.3</v>
      </c>
    </row>
    <row r="6" spans="1:3" x14ac:dyDescent="0.2">
      <c r="A6" s="26" t="s">
        <v>75</v>
      </c>
    </row>
    <row r="7" spans="1:3" x14ac:dyDescent="0.2">
      <c r="A7" s="24">
        <v>0.6</v>
      </c>
    </row>
    <row r="8" spans="1:3" x14ac:dyDescent="0.2">
      <c r="A8" s="24">
        <v>0.9</v>
      </c>
    </row>
    <row r="9" spans="1:3" x14ac:dyDescent="0.2">
      <c r="A9" s="24">
        <v>0.75</v>
      </c>
    </row>
    <row r="10" spans="1:3" x14ac:dyDescent="0.2">
      <c r="A10" s="24">
        <v>0.35</v>
      </c>
    </row>
    <row r="11" spans="1:3" x14ac:dyDescent="0.2">
      <c r="A11" s="1" t="s">
        <v>76</v>
      </c>
      <c r="C11" s="24">
        <f>MAXA(A2:A10)</f>
        <v>0.9</v>
      </c>
    </row>
    <row r="12" spans="1:3" x14ac:dyDescent="0.2">
      <c r="A12" s="1" t="s">
        <v>182</v>
      </c>
      <c r="C12">
        <f>MAXA(A2:A10,3)</f>
        <v>3</v>
      </c>
    </row>
  </sheetData>
  <phoneticPr fontId="1" type="noConversion"/>
  <pageMargins left="0.75" right="0.75" top="1" bottom="1" header="0.5" footer="0.5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77</v>
      </c>
      <c r="C12" s="6">
        <f>MEDIAN(A2:A11)</f>
        <v>6</v>
      </c>
    </row>
    <row r="13" spans="1:3" x14ac:dyDescent="0.2">
      <c r="A13" s="1" t="s">
        <v>183</v>
      </c>
      <c r="C13" s="6">
        <f>MEDIAN(A2:A11,10)</f>
        <v>6</v>
      </c>
    </row>
  </sheetData>
  <phoneticPr fontId="1" type="noConversion"/>
  <pageMargins left="0.75" right="0.75" top="1" bottom="1" header="0.5" footer="0.5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D13" sqref="D13"/>
    </sheetView>
  </sheetViews>
  <sheetFormatPr defaultRowHeight="12.75" x14ac:dyDescent="0.2"/>
  <sheetData>
    <row r="1" spans="1:4" x14ac:dyDescent="0.2">
      <c r="A1" s="3" t="s">
        <v>0</v>
      </c>
    </row>
    <row r="2" spans="1:4" x14ac:dyDescent="0.2">
      <c r="A2">
        <v>4</v>
      </c>
    </row>
    <row r="3" spans="1:4" x14ac:dyDescent="0.2">
      <c r="A3">
        <v>5</v>
      </c>
    </row>
    <row r="4" spans="1:4" x14ac:dyDescent="0.2">
      <c r="A4">
        <v>7</v>
      </c>
    </row>
    <row r="5" spans="1:4" x14ac:dyDescent="0.2">
      <c r="A5">
        <v>3</v>
      </c>
    </row>
    <row r="6" spans="1:4" x14ac:dyDescent="0.2">
      <c r="A6">
        <v>5</v>
      </c>
    </row>
    <row r="7" spans="1:4" x14ac:dyDescent="0.2">
      <c r="A7">
        <v>6</v>
      </c>
    </row>
    <row r="8" spans="1:4" x14ac:dyDescent="0.2">
      <c r="A8">
        <v>7</v>
      </c>
    </row>
    <row r="9" spans="1:4" x14ac:dyDescent="0.2">
      <c r="A9">
        <v>9</v>
      </c>
    </row>
    <row r="10" spans="1:4" x14ac:dyDescent="0.2">
      <c r="A10">
        <v>6</v>
      </c>
    </row>
    <row r="11" spans="1:4" x14ac:dyDescent="0.2">
      <c r="A11">
        <v>11</v>
      </c>
    </row>
    <row r="12" spans="1:4" x14ac:dyDescent="0.2">
      <c r="A12" s="1" t="s">
        <v>78</v>
      </c>
      <c r="D12">
        <f>MIN(A2:A11)</f>
        <v>3</v>
      </c>
    </row>
    <row r="13" spans="1:4" x14ac:dyDescent="0.2">
      <c r="A13" s="1" t="s">
        <v>184</v>
      </c>
      <c r="D13">
        <f>MIN(A2:A11,0)</f>
        <v>0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C12" sqref="C12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24">
        <v>0.4</v>
      </c>
    </row>
    <row r="3" spans="1:3" x14ac:dyDescent="0.2">
      <c r="A3" s="24">
        <v>0.5</v>
      </c>
    </row>
    <row r="4" spans="1:3" x14ac:dyDescent="0.2">
      <c r="A4" s="25">
        <v>0.7</v>
      </c>
    </row>
    <row r="5" spans="1:3" x14ac:dyDescent="0.2">
      <c r="A5" s="25">
        <v>0.3</v>
      </c>
    </row>
    <row r="6" spans="1:3" x14ac:dyDescent="0.2">
      <c r="A6" s="26" t="s">
        <v>75</v>
      </c>
    </row>
    <row r="7" spans="1:3" x14ac:dyDescent="0.2">
      <c r="A7" s="24">
        <v>0.6</v>
      </c>
    </row>
    <row r="8" spans="1:3" x14ac:dyDescent="0.2">
      <c r="A8" s="24">
        <v>0.9</v>
      </c>
    </row>
    <row r="9" spans="1:3" x14ac:dyDescent="0.2">
      <c r="A9" s="24">
        <v>0.75</v>
      </c>
    </row>
    <row r="10" spans="1:3" x14ac:dyDescent="0.2">
      <c r="A10" s="24">
        <v>0.35</v>
      </c>
    </row>
    <row r="11" spans="1:3" x14ac:dyDescent="0.2">
      <c r="A11" s="1" t="s">
        <v>79</v>
      </c>
      <c r="C11" s="6">
        <f>MINA(A2:A10)</f>
        <v>0</v>
      </c>
    </row>
    <row r="12" spans="1:3" x14ac:dyDescent="0.2">
      <c r="A12" s="1" t="s">
        <v>185</v>
      </c>
      <c r="C12">
        <f>MINA(A2:A10,-3)</f>
        <v>-3</v>
      </c>
    </row>
  </sheetData>
  <phoneticPr fontId="1" type="noConversion"/>
  <pageMargins left="0.75" right="0.75" top="1" bottom="1" header="0.5" footer="0.5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D13" sqref="D13"/>
    </sheetView>
  </sheetViews>
  <sheetFormatPr defaultRowHeight="12.75" x14ac:dyDescent="0.2"/>
  <sheetData>
    <row r="1" spans="1:4" x14ac:dyDescent="0.2">
      <c r="A1" s="3" t="s">
        <v>0</v>
      </c>
    </row>
    <row r="2" spans="1:4" x14ac:dyDescent="0.2">
      <c r="A2">
        <v>4</v>
      </c>
    </row>
    <row r="3" spans="1:4" x14ac:dyDescent="0.2">
      <c r="A3">
        <v>5</v>
      </c>
    </row>
    <row r="4" spans="1:4" x14ac:dyDescent="0.2">
      <c r="A4">
        <v>7</v>
      </c>
    </row>
    <row r="5" spans="1:4" x14ac:dyDescent="0.2">
      <c r="A5">
        <v>3</v>
      </c>
    </row>
    <row r="6" spans="1:4" x14ac:dyDescent="0.2">
      <c r="A6">
        <v>5</v>
      </c>
    </row>
    <row r="7" spans="1:4" x14ac:dyDescent="0.2">
      <c r="A7">
        <v>6</v>
      </c>
    </row>
    <row r="8" spans="1:4" x14ac:dyDescent="0.2">
      <c r="A8">
        <v>5</v>
      </c>
    </row>
    <row r="9" spans="1:4" x14ac:dyDescent="0.2">
      <c r="A9">
        <v>9</v>
      </c>
    </row>
    <row r="10" spans="1:4" x14ac:dyDescent="0.2">
      <c r="A10">
        <v>6</v>
      </c>
    </row>
    <row r="11" spans="1:4" x14ac:dyDescent="0.2">
      <c r="A11">
        <v>5</v>
      </c>
    </row>
    <row r="12" spans="1:4" x14ac:dyDescent="0.2">
      <c r="A12" s="1" t="s">
        <v>80</v>
      </c>
      <c r="D12">
        <f>MODE(A2:A11)</f>
        <v>5</v>
      </c>
    </row>
    <row r="13" spans="1:4" x14ac:dyDescent="0.2">
      <c r="A13" s="1" t="s">
        <v>186</v>
      </c>
      <c r="D13">
        <f>MODE(A2:A11,4)</f>
        <v>5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D5" sqref="D5"/>
    </sheetView>
  </sheetViews>
  <sheetFormatPr defaultRowHeight="12.75" x14ac:dyDescent="0.2"/>
  <cols>
    <col min="1" max="1" width="11" customWidth="1"/>
    <col min="2" max="2" width="37.85546875" customWidth="1"/>
    <col min="3" max="3" width="12.42578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20</v>
      </c>
      <c r="B2" t="s">
        <v>81</v>
      </c>
    </row>
    <row r="3" spans="1:4" x14ac:dyDescent="0.2">
      <c r="A3">
        <v>10</v>
      </c>
      <c r="B3" t="s">
        <v>82</v>
      </c>
    </row>
    <row r="4" spans="1:4" x14ac:dyDescent="0.2">
      <c r="A4" s="19">
        <v>0.25</v>
      </c>
      <c r="B4" s="20" t="s">
        <v>83</v>
      </c>
    </row>
    <row r="5" spans="1:4" x14ac:dyDescent="0.2">
      <c r="A5" s="1" t="s">
        <v>187</v>
      </c>
      <c r="C5">
        <f>NEGBINOMDIST(A2,A3,A4)</f>
        <v>3.0288413452609672E-2</v>
      </c>
      <c r="D5">
        <f>_xlfn.NEGBINOM.DIST(A2,A3,A4,TRUE)</f>
        <v>0.19659336305048916</v>
      </c>
    </row>
    <row r="6" spans="1:4" x14ac:dyDescent="0.2">
      <c r="A6" s="1" t="s">
        <v>188</v>
      </c>
      <c r="D6">
        <f>_xlfn.NEGBINOM.DIST(A2,A3,A4,FALSE)</f>
        <v>3.0288413452609672E-2</v>
      </c>
    </row>
  </sheetData>
  <phoneticPr fontId="1" type="noConversion"/>
  <pageMargins left="0.75" right="0.75" top="1" bottom="1" header="0.5" footer="0.5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C6" sqref="C6"/>
    </sheetView>
  </sheetViews>
  <sheetFormatPr defaultRowHeight="12.75" x14ac:dyDescent="0.2"/>
  <cols>
    <col min="1" max="1" width="11" customWidth="1"/>
    <col min="2" max="2" width="37.85546875" customWidth="1"/>
    <col min="3" max="3" width="12.42578125" bestFit="1" customWidth="1"/>
  </cols>
  <sheetData>
    <row r="1" spans="1:5" x14ac:dyDescent="0.2">
      <c r="A1" s="3" t="s">
        <v>0</v>
      </c>
      <c r="B1" s="3" t="s">
        <v>5</v>
      </c>
    </row>
    <row r="2" spans="1:5" x14ac:dyDescent="0.2">
      <c r="A2">
        <v>45</v>
      </c>
      <c r="B2" t="s">
        <v>86</v>
      </c>
    </row>
    <row r="3" spans="1:5" x14ac:dyDescent="0.2">
      <c r="A3">
        <v>42</v>
      </c>
      <c r="B3" t="s">
        <v>84</v>
      </c>
    </row>
    <row r="4" spans="1:5" x14ac:dyDescent="0.2">
      <c r="A4" s="19">
        <v>2.5</v>
      </c>
      <c r="B4" s="20" t="s">
        <v>85</v>
      </c>
    </row>
    <row r="5" spans="1:5" x14ac:dyDescent="0.2">
      <c r="A5" s="1" t="s">
        <v>190</v>
      </c>
      <c r="C5">
        <f>_xlfn.NORM.DIST(A2,A3,A4,TRUE)</f>
        <v>0.88493032977829178</v>
      </c>
      <c r="E5">
        <f>_xlfn.NORM.DIST(A2,A3,A4,TRUE)</f>
        <v>0.88493032977829178</v>
      </c>
    </row>
    <row r="6" spans="1:5" x14ac:dyDescent="0.2">
      <c r="A6" s="1" t="s">
        <v>191</v>
      </c>
      <c r="C6">
        <f>_xlfn.NORM.DIST(A2,A3,A4,FALSE)</f>
        <v>7.7674421993285184E-2</v>
      </c>
    </row>
    <row r="8" spans="1:5" x14ac:dyDescent="0.2">
      <c r="C8">
        <f>AVEDEV(C5:C7)</f>
        <v>0.40362795389250328</v>
      </c>
    </row>
  </sheetData>
  <phoneticPr fontId="1" type="noConversion"/>
  <pageMargins left="0.75" right="0.75" top="1" bottom="1" header="0.5" footer="0.5"/>
  <headerFooter alignWithMargins="0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5" sqref="C5"/>
    </sheetView>
  </sheetViews>
  <sheetFormatPr defaultRowHeight="12.75" x14ac:dyDescent="0.2"/>
  <cols>
    <col min="1" max="1" width="11" customWidth="1"/>
    <col min="2" max="2" width="26.85546875" bestFit="1" customWidth="1"/>
    <col min="3" max="3" width="12.42578125" bestFit="1" customWidth="1"/>
  </cols>
  <sheetData>
    <row r="1" spans="1:3" x14ac:dyDescent="0.2">
      <c r="A1" s="3" t="s">
        <v>0</v>
      </c>
      <c r="B1" s="3" t="s">
        <v>5</v>
      </c>
    </row>
    <row r="2" spans="1:3" x14ac:dyDescent="0.2">
      <c r="A2">
        <v>0.88493032977829178</v>
      </c>
      <c r="B2" t="s">
        <v>87</v>
      </c>
    </row>
    <row r="3" spans="1:3" x14ac:dyDescent="0.2">
      <c r="A3">
        <v>42</v>
      </c>
      <c r="B3" t="s">
        <v>84</v>
      </c>
    </row>
    <row r="4" spans="1:3" x14ac:dyDescent="0.2">
      <c r="A4" s="19">
        <v>2.5</v>
      </c>
      <c r="B4" s="20" t="s">
        <v>85</v>
      </c>
    </row>
    <row r="5" spans="1:3" x14ac:dyDescent="0.2">
      <c r="A5" s="1" t="s">
        <v>189</v>
      </c>
      <c r="C5">
        <f>_xlfn.NORM.INV(A2,A3,A4)</f>
        <v>45</v>
      </c>
    </row>
  </sheetData>
  <phoneticPr fontId="1" type="noConversion"/>
  <pageMargins left="0.75" right="0.75" top="1" bottom="1" header="0.5" footer="0.5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4" sqref="D4"/>
    </sheetView>
  </sheetViews>
  <sheetFormatPr defaultRowHeight="12.75" x14ac:dyDescent="0.2"/>
  <cols>
    <col min="1" max="1" width="11" customWidth="1"/>
    <col min="2" max="2" width="31" customWidth="1"/>
    <col min="3" max="3" width="12.42578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0.88493032977829178</v>
      </c>
      <c r="B2" t="s">
        <v>88</v>
      </c>
    </row>
    <row r="3" spans="1:4" x14ac:dyDescent="0.2">
      <c r="A3" s="1" t="s">
        <v>192</v>
      </c>
      <c r="D3">
        <f>_xlfn.NORM.S.DIST(A2,TRUE)</f>
        <v>0.81190289567267349</v>
      </c>
    </row>
    <row r="4" spans="1:4" x14ac:dyDescent="0.2">
      <c r="A4" s="1" t="s">
        <v>193</v>
      </c>
      <c r="D4">
        <f>_xlfn.NORM.S.DIST(A2,FALSE)</f>
        <v>0.2696880448283509</v>
      </c>
    </row>
  </sheetData>
  <phoneticPr fontId="1" type="noConversion"/>
  <pageMargins left="0.75" right="0.75" top="1" bottom="1" header="0.5" footer="0.5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D3" sqref="D3"/>
    </sheetView>
  </sheetViews>
  <sheetFormatPr defaultRowHeight="12.75" x14ac:dyDescent="0.2"/>
  <cols>
    <col min="1" max="1" width="11" customWidth="1"/>
    <col min="2" max="2" width="28.140625" customWidth="1"/>
    <col min="3" max="3" width="12.42578125" bestFit="1" customWidth="1"/>
    <col min="4" max="4" width="9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0.81190289567267349</v>
      </c>
      <c r="B2" t="s">
        <v>10</v>
      </c>
    </row>
    <row r="3" spans="1:4" x14ac:dyDescent="0.2">
      <c r="A3" s="1" t="s">
        <v>194</v>
      </c>
      <c r="D3" s="10">
        <f>_xlfn.NORM.S.INV(A2)</f>
        <v>0.88493032977829178</v>
      </c>
    </row>
  </sheetData>
  <phoneticPr fontId="1" type="noConversion"/>
  <pageMargins left="0.75" right="0.75" top="1" bottom="1" header="0.5" footer="0.5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1" sqref="D11"/>
    </sheetView>
  </sheetViews>
  <sheetFormatPr defaultRowHeight="12.75" x14ac:dyDescent="0.2"/>
  <cols>
    <col min="1" max="1" width="25.140625" bestFit="1" customWidth="1"/>
    <col min="2" max="2" width="28.42578125" customWidth="1"/>
  </cols>
  <sheetData>
    <row r="1" spans="1:4" x14ac:dyDescent="0.2">
      <c r="A1" s="3" t="s">
        <v>29</v>
      </c>
      <c r="B1" s="3" t="s">
        <v>30</v>
      </c>
    </row>
    <row r="2" spans="1:4" x14ac:dyDescent="0.2">
      <c r="A2">
        <v>4</v>
      </c>
      <c r="B2">
        <v>25</v>
      </c>
    </row>
    <row r="3" spans="1:4" x14ac:dyDescent="0.2">
      <c r="A3">
        <v>5</v>
      </c>
      <c r="B3">
        <v>32</v>
      </c>
    </row>
    <row r="4" spans="1:4" x14ac:dyDescent="0.2">
      <c r="A4">
        <v>5</v>
      </c>
      <c r="B4">
        <v>34</v>
      </c>
    </row>
    <row r="5" spans="1:4" x14ac:dyDescent="0.2">
      <c r="A5">
        <v>6</v>
      </c>
      <c r="B5">
        <v>35</v>
      </c>
    </row>
    <row r="6" spans="1:4" x14ac:dyDescent="0.2">
      <c r="A6">
        <v>7</v>
      </c>
      <c r="B6">
        <v>35</v>
      </c>
    </row>
    <row r="7" spans="1:4" x14ac:dyDescent="0.2">
      <c r="A7">
        <v>5</v>
      </c>
      <c r="B7">
        <v>34</v>
      </c>
    </row>
    <row r="8" spans="1:4" x14ac:dyDescent="0.2">
      <c r="A8">
        <v>6</v>
      </c>
      <c r="B8">
        <v>35</v>
      </c>
    </row>
    <row r="9" spans="1:4" x14ac:dyDescent="0.2">
      <c r="A9">
        <v>4</v>
      </c>
      <c r="B9">
        <v>22</v>
      </c>
    </row>
    <row r="10" spans="1:4" x14ac:dyDescent="0.2">
      <c r="A10">
        <v>4</v>
      </c>
      <c r="B10">
        <v>26</v>
      </c>
    </row>
    <row r="11" spans="1:4" x14ac:dyDescent="0.2">
      <c r="B11" s="1" t="s">
        <v>195</v>
      </c>
      <c r="D11">
        <f>PEARSON(A2:A10,B2:B10)</f>
        <v>0.83802976258526962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H11" sqref="H11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8" x14ac:dyDescent="0.2">
      <c r="A1" s="3" t="s">
        <v>0</v>
      </c>
      <c r="H1">
        <v>1</v>
      </c>
    </row>
    <row r="2" spans="1:8" x14ac:dyDescent="0.2">
      <c r="A2" s="6">
        <v>4</v>
      </c>
      <c r="H2">
        <v>2</v>
      </c>
    </row>
    <row r="3" spans="1:8" x14ac:dyDescent="0.2">
      <c r="A3" s="6">
        <v>5</v>
      </c>
      <c r="H3">
        <v>3</v>
      </c>
    </row>
    <row r="4" spans="1:8" x14ac:dyDescent="0.2">
      <c r="A4" s="22">
        <v>7</v>
      </c>
      <c r="H4">
        <v>4</v>
      </c>
    </row>
    <row r="5" spans="1:8" x14ac:dyDescent="0.2">
      <c r="A5" s="22">
        <v>3</v>
      </c>
      <c r="H5">
        <v>5</v>
      </c>
    </row>
    <row r="6" spans="1:8" x14ac:dyDescent="0.2">
      <c r="A6" s="6">
        <v>5</v>
      </c>
      <c r="H6">
        <v>6</v>
      </c>
    </row>
    <row r="7" spans="1:8" x14ac:dyDescent="0.2">
      <c r="A7" s="6">
        <v>6</v>
      </c>
      <c r="H7">
        <v>7</v>
      </c>
    </row>
    <row r="8" spans="1:8" x14ac:dyDescent="0.2">
      <c r="A8" s="6">
        <v>7</v>
      </c>
      <c r="H8">
        <v>8</v>
      </c>
    </row>
    <row r="9" spans="1:8" x14ac:dyDescent="0.2">
      <c r="A9" s="6">
        <v>9</v>
      </c>
      <c r="H9">
        <v>9</v>
      </c>
    </row>
    <row r="10" spans="1:8" x14ac:dyDescent="0.2">
      <c r="A10" s="6">
        <v>6</v>
      </c>
      <c r="H10">
        <v>10</v>
      </c>
    </row>
    <row r="11" spans="1:8" x14ac:dyDescent="0.2">
      <c r="A11" s="6">
        <v>11</v>
      </c>
      <c r="H11">
        <f>PERCENTILE(H1:H10,0.75)</f>
        <v>7.75</v>
      </c>
    </row>
    <row r="12" spans="1:8" x14ac:dyDescent="0.2">
      <c r="A12" s="1" t="s">
        <v>196</v>
      </c>
      <c r="C12" s="6"/>
      <c r="D12">
        <f>_xlfn.PERCENTILE.EXC(A2:A11,0.2)</f>
        <v>4.2</v>
      </c>
      <c r="E12">
        <f>PERCENTRANK(A2:A11,5)</f>
        <v>0.222</v>
      </c>
    </row>
    <row r="13" spans="1:8" x14ac:dyDescent="0.2">
      <c r="A13" s="1"/>
      <c r="C13" s="6"/>
    </row>
  </sheetData>
  <phoneticPr fontId="1" type="noConversion"/>
  <pageMargins left="0.75" right="0.75" top="1" bottom="1" header="0.5" footer="0.5"/>
  <headerFooter alignWithMargins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I22" sqref="I22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8" x14ac:dyDescent="0.2">
      <c r="A1" s="3" t="s">
        <v>0</v>
      </c>
      <c r="H1">
        <v>1</v>
      </c>
    </row>
    <row r="2" spans="1:8" x14ac:dyDescent="0.2">
      <c r="A2" s="6">
        <v>4</v>
      </c>
      <c r="H2">
        <v>2</v>
      </c>
    </row>
    <row r="3" spans="1:8" x14ac:dyDescent="0.2">
      <c r="A3" s="6">
        <v>5</v>
      </c>
      <c r="H3">
        <v>3</v>
      </c>
    </row>
    <row r="4" spans="1:8" x14ac:dyDescent="0.2">
      <c r="A4" s="22">
        <v>7</v>
      </c>
      <c r="H4">
        <v>4</v>
      </c>
    </row>
    <row r="5" spans="1:8" x14ac:dyDescent="0.2">
      <c r="A5" s="22">
        <v>3</v>
      </c>
      <c r="H5">
        <v>5</v>
      </c>
    </row>
    <row r="6" spans="1:8" x14ac:dyDescent="0.2">
      <c r="A6" s="6">
        <v>5</v>
      </c>
      <c r="H6">
        <v>6</v>
      </c>
    </row>
    <row r="7" spans="1:8" x14ac:dyDescent="0.2">
      <c r="A7" s="6">
        <v>6</v>
      </c>
      <c r="H7">
        <v>7</v>
      </c>
    </row>
    <row r="8" spans="1:8" x14ac:dyDescent="0.2">
      <c r="A8" s="6">
        <v>7</v>
      </c>
      <c r="H8">
        <v>8</v>
      </c>
    </row>
    <row r="9" spans="1:8" x14ac:dyDescent="0.2">
      <c r="A9" s="6">
        <v>9</v>
      </c>
      <c r="H9">
        <v>9</v>
      </c>
    </row>
    <row r="10" spans="1:8" x14ac:dyDescent="0.2">
      <c r="A10" s="6">
        <v>6</v>
      </c>
      <c r="H10">
        <v>10</v>
      </c>
    </row>
    <row r="11" spans="1:8" x14ac:dyDescent="0.2">
      <c r="A11" s="6">
        <v>11</v>
      </c>
      <c r="H11">
        <f>PERCENTILE(H1:H10,0.75)</f>
        <v>7.75</v>
      </c>
    </row>
    <row r="12" spans="1:8" x14ac:dyDescent="0.2">
      <c r="A12" s="1" t="s">
        <v>197</v>
      </c>
      <c r="C12" s="6"/>
      <c r="D12">
        <f>_xlfn.PERCENTILE.INC(A2:A11,0.2)</f>
        <v>4.8</v>
      </c>
      <c r="E12">
        <f>PERCENTRANK(A2:A11,5)</f>
        <v>0.222</v>
      </c>
    </row>
    <row r="13" spans="1:8" x14ac:dyDescent="0.2">
      <c r="A13" s="1"/>
      <c r="C13" s="6"/>
    </row>
  </sheetData>
  <phoneticPr fontId="1" type="noConversion"/>
  <pageMargins left="0.75" right="0.75" top="1" bottom="1" header="0.5" footer="0.5"/>
  <headerFooter alignWithMargins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E12" sqref="E12"/>
    </sheetView>
  </sheetViews>
  <sheetFormatPr defaultRowHeight="12.75" x14ac:dyDescent="0.2"/>
  <cols>
    <col min="1" max="1" width="11" customWidth="1"/>
    <col min="2" max="2" width="14.7109375" customWidth="1"/>
  </cols>
  <sheetData>
    <row r="1" spans="1:6" x14ac:dyDescent="0.2">
      <c r="A1" s="3" t="s">
        <v>0</v>
      </c>
    </row>
    <row r="2" spans="1:6" x14ac:dyDescent="0.2">
      <c r="A2" s="6">
        <v>4</v>
      </c>
    </row>
    <row r="3" spans="1:6" x14ac:dyDescent="0.2">
      <c r="A3" s="6">
        <v>5</v>
      </c>
    </row>
    <row r="4" spans="1:6" x14ac:dyDescent="0.2">
      <c r="A4" s="22">
        <v>7</v>
      </c>
    </row>
    <row r="5" spans="1:6" x14ac:dyDescent="0.2">
      <c r="A5" s="22">
        <v>3</v>
      </c>
    </row>
    <row r="6" spans="1:6" x14ac:dyDescent="0.2">
      <c r="A6" s="6">
        <v>5</v>
      </c>
    </row>
    <row r="7" spans="1:6" x14ac:dyDescent="0.2">
      <c r="A7" s="6">
        <v>6</v>
      </c>
    </row>
    <row r="8" spans="1:6" x14ac:dyDescent="0.2">
      <c r="A8" s="6">
        <v>7</v>
      </c>
    </row>
    <row r="9" spans="1:6" x14ac:dyDescent="0.2">
      <c r="A9" s="6">
        <v>9</v>
      </c>
    </row>
    <row r="10" spans="1:6" x14ac:dyDescent="0.2">
      <c r="A10" s="6">
        <v>6</v>
      </c>
    </row>
    <row r="11" spans="1:6" x14ac:dyDescent="0.2">
      <c r="A11" s="6">
        <v>11</v>
      </c>
    </row>
    <row r="12" spans="1:6" x14ac:dyDescent="0.2">
      <c r="A12" s="1" t="s">
        <v>198</v>
      </c>
      <c r="C12" s="6"/>
      <c r="E12">
        <f>_xlfn.PERCENTRANK.EXC(A2:A11,5)</f>
        <v>0.27200000000000002</v>
      </c>
      <c r="F12">
        <f>_xlfn.PERCENTRANK.INC(A2:A11,5)</f>
        <v>0.222</v>
      </c>
    </row>
    <row r="13" spans="1:6" x14ac:dyDescent="0.2">
      <c r="A13" s="1"/>
      <c r="C13" s="6"/>
    </row>
  </sheetData>
  <phoneticPr fontId="1" type="noConversion"/>
  <pageMargins left="0.75" right="0.75" top="1" bottom="1" header="0.5" footer="0.5"/>
  <headerFooter alignWithMargins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13" sqref="E13"/>
    </sheetView>
  </sheetViews>
  <sheetFormatPr defaultRowHeight="12.75" x14ac:dyDescent="0.2"/>
  <cols>
    <col min="1" max="1" width="11" customWidth="1"/>
    <col min="2" max="2" width="14.7109375" customWidth="1"/>
  </cols>
  <sheetData>
    <row r="1" spans="1:5" x14ac:dyDescent="0.2">
      <c r="A1" s="3" t="s">
        <v>0</v>
      </c>
    </row>
    <row r="2" spans="1:5" x14ac:dyDescent="0.2">
      <c r="A2" s="6">
        <v>4</v>
      </c>
    </row>
    <row r="3" spans="1:5" x14ac:dyDescent="0.2">
      <c r="A3" s="6">
        <v>5</v>
      </c>
    </row>
    <row r="4" spans="1:5" x14ac:dyDescent="0.2">
      <c r="A4" s="22">
        <v>7</v>
      </c>
    </row>
    <row r="5" spans="1:5" x14ac:dyDescent="0.2">
      <c r="A5" s="22">
        <v>3</v>
      </c>
    </row>
    <row r="6" spans="1:5" x14ac:dyDescent="0.2">
      <c r="A6" s="6">
        <v>5</v>
      </c>
    </row>
    <row r="7" spans="1:5" x14ac:dyDescent="0.2">
      <c r="A7" s="6">
        <v>6</v>
      </c>
    </row>
    <row r="8" spans="1:5" x14ac:dyDescent="0.2">
      <c r="A8" s="6">
        <v>7</v>
      </c>
    </row>
    <row r="9" spans="1:5" x14ac:dyDescent="0.2">
      <c r="A9" s="6">
        <v>9</v>
      </c>
    </row>
    <row r="10" spans="1:5" x14ac:dyDescent="0.2">
      <c r="A10" s="6">
        <v>6</v>
      </c>
    </row>
    <row r="11" spans="1:5" x14ac:dyDescent="0.2">
      <c r="A11" s="6">
        <v>11</v>
      </c>
    </row>
    <row r="12" spans="1:5" x14ac:dyDescent="0.2">
      <c r="A12" s="1" t="s">
        <v>199</v>
      </c>
      <c r="C12" s="6"/>
      <c r="E12" t="e">
        <f ca="1">_xludf.PERCENTRANK.INC(A2:A11,5)</f>
        <v>#NAME?</v>
      </c>
    </row>
    <row r="13" spans="1:5" x14ac:dyDescent="0.2">
      <c r="A13" s="1"/>
      <c r="C13" s="6"/>
    </row>
  </sheetData>
  <phoneticPr fontId="1" type="noConversion"/>
  <pageMargins left="0.75" right="0.75" top="1" bottom="1" header="0.5" footer="0.5"/>
  <headerFooter alignWithMargins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4" sqref="D4"/>
    </sheetView>
  </sheetViews>
  <sheetFormatPr defaultRowHeight="12.75" x14ac:dyDescent="0.2"/>
  <cols>
    <col min="1" max="1" width="11" customWidth="1"/>
    <col min="2" max="2" width="44.140625" bestFit="1" customWidth="1"/>
    <col min="3" max="3" width="12.42578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10</v>
      </c>
      <c r="B2" t="s">
        <v>89</v>
      </c>
    </row>
    <row r="3" spans="1:4" x14ac:dyDescent="0.2">
      <c r="A3">
        <v>2</v>
      </c>
      <c r="B3" t="s">
        <v>90</v>
      </c>
    </row>
    <row r="4" spans="1:4" x14ac:dyDescent="0.2">
      <c r="A4" s="1" t="s">
        <v>200</v>
      </c>
      <c r="C4">
        <f>PERMUT(A2,A3)</f>
        <v>90</v>
      </c>
      <c r="D4">
        <f>PERMUT(A2,A3)</f>
        <v>90</v>
      </c>
    </row>
  </sheetData>
  <phoneticPr fontId="1" type="noConversion"/>
  <pageMargins left="0.75" right="0.75" top="1" bottom="1" header="0.5" footer="0.5"/>
  <headerFooter alignWithMargins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C5" sqref="C5"/>
    </sheetView>
  </sheetViews>
  <sheetFormatPr defaultRowHeight="12.75" x14ac:dyDescent="0.2"/>
  <cols>
    <col min="1" max="1" width="11" customWidth="1"/>
    <col min="2" max="2" width="44.140625" bestFit="1" customWidth="1"/>
    <col min="3" max="3" width="12.42578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2</v>
      </c>
      <c r="B2" t="s">
        <v>91</v>
      </c>
    </row>
    <row r="3" spans="1:4" x14ac:dyDescent="0.2">
      <c r="A3">
        <v>4</v>
      </c>
      <c r="B3" t="s">
        <v>92</v>
      </c>
    </row>
    <row r="4" spans="1:4" x14ac:dyDescent="0.2">
      <c r="A4" s="1" t="s">
        <v>201</v>
      </c>
      <c r="C4">
        <f>_xlfn.POISSON.DIST(A2,A3,TRUE)</f>
        <v>0.23810330555354431</v>
      </c>
      <c r="D4">
        <f>_xlfn.POISSON.DIST(A2,A3,TRUE)</f>
        <v>0.23810330555354431</v>
      </c>
    </row>
    <row r="5" spans="1:4" x14ac:dyDescent="0.2">
      <c r="A5" s="1" t="s">
        <v>202</v>
      </c>
      <c r="C5">
        <f>_xlfn.POISSON.DIST(A2,A3,FALSE)</f>
        <v>0.14652511110987346</v>
      </c>
    </row>
  </sheetData>
  <phoneticPr fontId="1" type="noConversion"/>
  <pageMargins left="0.75" right="0.75" top="1" bottom="1" header="0.5" footer="0.5"/>
  <headerFooter alignWithMargins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activeCell="D7" sqref="D7"/>
    </sheetView>
  </sheetViews>
  <sheetFormatPr defaultRowHeight="12.75" x14ac:dyDescent="0.2"/>
  <cols>
    <col min="1" max="1" width="11" customWidth="1"/>
    <col min="2" max="2" width="16.140625" customWidth="1"/>
    <col min="3" max="3" width="12.42578125" bestFit="1" customWidth="1"/>
  </cols>
  <sheetData>
    <row r="1" spans="1:4" x14ac:dyDescent="0.2">
      <c r="A1" s="3" t="s">
        <v>0</v>
      </c>
      <c r="B1" s="3" t="s">
        <v>10</v>
      </c>
    </row>
    <row r="2" spans="1:4" x14ac:dyDescent="0.2">
      <c r="A2">
        <v>9</v>
      </c>
      <c r="B2">
        <v>0.2</v>
      </c>
    </row>
    <row r="3" spans="1:4" x14ac:dyDescent="0.2">
      <c r="A3">
        <v>7</v>
      </c>
      <c r="B3">
        <v>0.3</v>
      </c>
    </row>
    <row r="4" spans="1:4" x14ac:dyDescent="0.2">
      <c r="A4">
        <v>3</v>
      </c>
      <c r="B4">
        <v>0.1</v>
      </c>
    </row>
    <row r="5" spans="1:4" x14ac:dyDescent="0.2">
      <c r="A5">
        <v>12</v>
      </c>
      <c r="B5">
        <v>0.4</v>
      </c>
    </row>
    <row r="6" spans="1:4" x14ac:dyDescent="0.2">
      <c r="A6" s="1" t="s">
        <v>203</v>
      </c>
      <c r="D6">
        <f>PROB(A2:A5,B2:B5,7)</f>
        <v>0.3</v>
      </c>
    </row>
    <row r="7" spans="1:4" x14ac:dyDescent="0.2">
      <c r="A7" s="1" t="s">
        <v>204</v>
      </c>
      <c r="D7" s="5">
        <f>PROB(A2:A5,B2:B5,1,3)</f>
        <v>0.1</v>
      </c>
    </row>
  </sheetData>
  <phoneticPr fontId="1" type="noConversion"/>
  <pageMargins left="0.75" right="0.75" top="1" bottom="1" header="0.5" footer="0.5"/>
  <headerFooter alignWithMargins="0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D22" sqref="D22"/>
    </sheetView>
  </sheetViews>
  <sheetFormatPr defaultRowHeight="12.75" x14ac:dyDescent="0.2"/>
  <cols>
    <col min="1" max="1" width="11" customWidth="1"/>
    <col min="2" max="2" width="14.7109375" customWidth="1"/>
  </cols>
  <sheetData>
    <row r="1" spans="1:5" x14ac:dyDescent="0.2">
      <c r="A1" s="3" t="s">
        <v>0</v>
      </c>
    </row>
    <row r="2" spans="1:5" x14ac:dyDescent="0.2">
      <c r="A2" s="6">
        <v>4</v>
      </c>
    </row>
    <row r="3" spans="1:5" x14ac:dyDescent="0.2">
      <c r="A3" s="6">
        <v>5</v>
      </c>
    </row>
    <row r="4" spans="1:5" x14ac:dyDescent="0.2">
      <c r="A4" s="22">
        <v>7</v>
      </c>
    </row>
    <row r="5" spans="1:5" x14ac:dyDescent="0.2">
      <c r="A5" s="22">
        <v>3</v>
      </c>
    </row>
    <row r="6" spans="1:5" x14ac:dyDescent="0.2">
      <c r="A6" s="6">
        <v>5</v>
      </c>
    </row>
    <row r="7" spans="1:5" x14ac:dyDescent="0.2">
      <c r="A7" s="6">
        <v>6</v>
      </c>
    </row>
    <row r="8" spans="1:5" x14ac:dyDescent="0.2">
      <c r="A8" s="6">
        <v>7</v>
      </c>
    </row>
    <row r="9" spans="1:5" x14ac:dyDescent="0.2">
      <c r="A9" s="6">
        <v>9</v>
      </c>
    </row>
    <row r="10" spans="1:5" x14ac:dyDescent="0.2">
      <c r="A10" s="6">
        <v>6</v>
      </c>
    </row>
    <row r="11" spans="1:5" x14ac:dyDescent="0.2">
      <c r="A11" s="6">
        <v>11</v>
      </c>
    </row>
    <row r="12" spans="1:5" x14ac:dyDescent="0.2">
      <c r="A12" s="1" t="s">
        <v>205</v>
      </c>
      <c r="C12" s="6"/>
      <c r="E12">
        <f>_xlfn.QUARTILE.EXC(A2:A11,1)</f>
        <v>4.75</v>
      </c>
    </row>
    <row r="13" spans="1:5" x14ac:dyDescent="0.2">
      <c r="A13" s="1" t="s">
        <v>206</v>
      </c>
      <c r="C13" s="6"/>
      <c r="E13">
        <f>_xlfn.QUARTILE.EXC(A2:A11,3)</f>
        <v>7.5</v>
      </c>
    </row>
  </sheetData>
  <phoneticPr fontId="1" type="noConversion"/>
  <pageMargins left="0.75" right="0.75" top="1" bottom="1" header="0.5" footer="0.5"/>
  <headerFooter alignWithMargins="0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G19" sqref="G19"/>
    </sheetView>
  </sheetViews>
  <sheetFormatPr defaultRowHeight="12.75" x14ac:dyDescent="0.2"/>
  <cols>
    <col min="1" max="1" width="11" customWidth="1"/>
    <col min="2" max="2" width="14.7109375" customWidth="1"/>
  </cols>
  <sheetData>
    <row r="1" spans="1:5" x14ac:dyDescent="0.2">
      <c r="A1" s="3" t="s">
        <v>0</v>
      </c>
    </row>
    <row r="2" spans="1:5" x14ac:dyDescent="0.2">
      <c r="A2" s="6">
        <v>4</v>
      </c>
    </row>
    <row r="3" spans="1:5" x14ac:dyDescent="0.2">
      <c r="A3" s="6">
        <v>5</v>
      </c>
    </row>
    <row r="4" spans="1:5" x14ac:dyDescent="0.2">
      <c r="A4" s="22">
        <v>7</v>
      </c>
    </row>
    <row r="5" spans="1:5" x14ac:dyDescent="0.2">
      <c r="A5" s="22">
        <v>3</v>
      </c>
    </row>
    <row r="6" spans="1:5" x14ac:dyDescent="0.2">
      <c r="A6" s="6">
        <v>5</v>
      </c>
    </row>
    <row r="7" spans="1:5" x14ac:dyDescent="0.2">
      <c r="A7" s="6">
        <v>6</v>
      </c>
    </row>
    <row r="8" spans="1:5" x14ac:dyDescent="0.2">
      <c r="A8" s="6">
        <v>7</v>
      </c>
    </row>
    <row r="9" spans="1:5" x14ac:dyDescent="0.2">
      <c r="A9" s="6">
        <v>9</v>
      </c>
    </row>
    <row r="10" spans="1:5" x14ac:dyDescent="0.2">
      <c r="A10" s="6">
        <v>6</v>
      </c>
    </row>
    <row r="11" spans="1:5" x14ac:dyDescent="0.2">
      <c r="A11" s="6">
        <v>11</v>
      </c>
    </row>
    <row r="12" spans="1:5" x14ac:dyDescent="0.2">
      <c r="A12" s="1" t="s">
        <v>207</v>
      </c>
      <c r="C12" s="6"/>
      <c r="E12">
        <f>_xlfn.QUARTILE.INC(A2:A11,1)</f>
        <v>5</v>
      </c>
    </row>
    <row r="13" spans="1:5" x14ac:dyDescent="0.2">
      <c r="A13" s="1" t="s">
        <v>208</v>
      </c>
      <c r="C13" s="6"/>
      <c r="E13">
        <f>_xlfn.QUARTILE.INC(A2:A11,3)</f>
        <v>7</v>
      </c>
    </row>
  </sheetData>
  <phoneticPr fontId="1" type="noConversion"/>
  <pageMargins left="0.75" right="0.75" top="1" bottom="1" header="0.5" footer="0.5"/>
  <headerFooter alignWithMargins="0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13" sqref="E13"/>
    </sheetView>
  </sheetViews>
  <sheetFormatPr defaultRowHeight="12.75" x14ac:dyDescent="0.2"/>
  <cols>
    <col min="1" max="1" width="11" customWidth="1"/>
    <col min="2" max="2" width="14.7109375" customWidth="1"/>
  </cols>
  <sheetData>
    <row r="1" spans="1:5" x14ac:dyDescent="0.2">
      <c r="A1" s="3" t="s">
        <v>0</v>
      </c>
    </row>
    <row r="2" spans="1:5" x14ac:dyDescent="0.2">
      <c r="A2" s="6">
        <v>4</v>
      </c>
    </row>
    <row r="3" spans="1:5" x14ac:dyDescent="0.2">
      <c r="A3" s="6">
        <v>5</v>
      </c>
    </row>
    <row r="4" spans="1:5" x14ac:dyDescent="0.2">
      <c r="A4" s="22">
        <v>7</v>
      </c>
    </row>
    <row r="5" spans="1:5" x14ac:dyDescent="0.2">
      <c r="A5" s="22">
        <v>3</v>
      </c>
    </row>
    <row r="6" spans="1:5" x14ac:dyDescent="0.2">
      <c r="A6" s="6">
        <v>5</v>
      </c>
    </row>
    <row r="7" spans="1:5" x14ac:dyDescent="0.2">
      <c r="A7" s="6">
        <v>6</v>
      </c>
    </row>
    <row r="8" spans="1:5" x14ac:dyDescent="0.2">
      <c r="A8" s="6">
        <v>7</v>
      </c>
    </row>
    <row r="9" spans="1:5" x14ac:dyDescent="0.2">
      <c r="A9" s="6">
        <v>9</v>
      </c>
    </row>
    <row r="10" spans="1:5" x14ac:dyDescent="0.2">
      <c r="A10" s="6">
        <v>6</v>
      </c>
    </row>
    <row r="11" spans="1:5" x14ac:dyDescent="0.2">
      <c r="A11" s="6">
        <v>11</v>
      </c>
    </row>
    <row r="12" spans="1:5" x14ac:dyDescent="0.2">
      <c r="A12" s="1" t="s">
        <v>209</v>
      </c>
      <c r="C12" s="6"/>
      <c r="E12">
        <f>RANK(4,A2:A11,0)</f>
        <v>9</v>
      </c>
    </row>
    <row r="13" spans="1:5" x14ac:dyDescent="0.2">
      <c r="A13" s="1" t="s">
        <v>210</v>
      </c>
      <c r="C13" s="6"/>
      <c r="E13">
        <f>RANK(4,A2:A11,1)</f>
        <v>2</v>
      </c>
    </row>
  </sheetData>
  <phoneticPr fontId="1" type="noConversion"/>
  <pageMargins left="0.75" right="0.75" top="1" bottom="1" header="0.5" footer="0.5"/>
  <headerFooter alignWithMargins="0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11" sqref="D11"/>
    </sheetView>
  </sheetViews>
  <sheetFormatPr defaultRowHeight="12.75" x14ac:dyDescent="0.2"/>
  <cols>
    <col min="1" max="1" width="25.140625" bestFit="1" customWidth="1"/>
    <col min="2" max="2" width="28.42578125" customWidth="1"/>
  </cols>
  <sheetData>
    <row r="1" spans="1:4" x14ac:dyDescent="0.2">
      <c r="A1" s="3" t="s">
        <v>29</v>
      </c>
      <c r="B1" s="3" t="s">
        <v>30</v>
      </c>
    </row>
    <row r="2" spans="1:4" x14ac:dyDescent="0.2">
      <c r="A2">
        <v>4</v>
      </c>
      <c r="B2">
        <v>25</v>
      </c>
    </row>
    <row r="3" spans="1:4" x14ac:dyDescent="0.2">
      <c r="A3">
        <v>5</v>
      </c>
      <c r="B3">
        <v>32</v>
      </c>
    </row>
    <row r="4" spans="1:4" x14ac:dyDescent="0.2">
      <c r="A4">
        <v>5</v>
      </c>
      <c r="B4">
        <v>34</v>
      </c>
    </row>
    <row r="5" spans="1:4" x14ac:dyDescent="0.2">
      <c r="A5">
        <v>6</v>
      </c>
      <c r="B5">
        <v>35</v>
      </c>
    </row>
    <row r="6" spans="1:4" x14ac:dyDescent="0.2">
      <c r="A6">
        <v>7</v>
      </c>
      <c r="B6">
        <v>35</v>
      </c>
    </row>
    <row r="7" spans="1:4" x14ac:dyDescent="0.2">
      <c r="A7">
        <v>5</v>
      </c>
      <c r="B7">
        <v>34</v>
      </c>
    </row>
    <row r="8" spans="1:4" x14ac:dyDescent="0.2">
      <c r="A8">
        <v>6</v>
      </c>
      <c r="B8">
        <v>35</v>
      </c>
    </row>
    <row r="9" spans="1:4" x14ac:dyDescent="0.2">
      <c r="A9">
        <v>4</v>
      </c>
      <c r="B9">
        <v>22</v>
      </c>
    </row>
    <row r="10" spans="1:4" x14ac:dyDescent="0.2">
      <c r="A10">
        <v>4</v>
      </c>
      <c r="B10">
        <v>26</v>
      </c>
    </row>
    <row r="11" spans="1:4" x14ac:dyDescent="0.2">
      <c r="B11" s="1" t="s">
        <v>211</v>
      </c>
      <c r="D11">
        <f>RSQ(A2:A10,B2:B10)</f>
        <v>0.70229388297872342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"/>
  <cols>
    <col min="1" max="1" width="11" customWidth="1"/>
    <col min="2" max="2" width="12.42578125" bestFit="1" customWidth="1"/>
    <col min="3" max="3" width="11.5703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93</v>
      </c>
      <c r="C12" s="27">
        <f>SKEW(A2:A11)</f>
        <v>0.75758306188133506</v>
      </c>
    </row>
    <row r="13" spans="1:3" x14ac:dyDescent="0.2">
      <c r="A13" s="1" t="s">
        <v>212</v>
      </c>
      <c r="C13">
        <f>SKEW(A2:A11,13)</f>
        <v>0.90875519255737958</v>
      </c>
    </row>
  </sheetData>
  <phoneticPr fontId="1" type="noConversion"/>
  <pageMargins left="0.75" right="0.75" top="1" bottom="1" header="0.5" footer="0.5"/>
  <headerFooter alignWithMargins="0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E11" sqref="E11"/>
    </sheetView>
  </sheetViews>
  <sheetFormatPr defaultRowHeight="12.75" x14ac:dyDescent="0.2"/>
  <sheetData>
    <row r="1" spans="1:5" x14ac:dyDescent="0.2">
      <c r="A1" s="3" t="s">
        <v>56</v>
      </c>
      <c r="B1" s="3" t="s">
        <v>57</v>
      </c>
    </row>
    <row r="2" spans="1:5" x14ac:dyDescent="0.2">
      <c r="A2">
        <v>7</v>
      </c>
      <c r="B2">
        <v>10</v>
      </c>
    </row>
    <row r="3" spans="1:5" x14ac:dyDescent="0.2">
      <c r="A3">
        <v>6</v>
      </c>
      <c r="B3">
        <v>13</v>
      </c>
    </row>
    <row r="4" spans="1:5" x14ac:dyDescent="0.2">
      <c r="A4">
        <v>7</v>
      </c>
      <c r="B4">
        <v>14</v>
      </c>
    </row>
    <row r="5" spans="1:5" x14ac:dyDescent="0.2">
      <c r="A5">
        <v>5</v>
      </c>
      <c r="B5">
        <v>12</v>
      </c>
    </row>
    <row r="6" spans="1:5" x14ac:dyDescent="0.2">
      <c r="A6">
        <v>8</v>
      </c>
      <c r="B6">
        <v>21</v>
      </c>
    </row>
    <row r="7" spans="1:5" x14ac:dyDescent="0.2">
      <c r="A7">
        <v>9</v>
      </c>
      <c r="B7">
        <v>14</v>
      </c>
    </row>
    <row r="8" spans="1:5" x14ac:dyDescent="0.2">
      <c r="A8">
        <v>8</v>
      </c>
      <c r="B8">
        <v>18</v>
      </c>
    </row>
    <row r="9" spans="1:5" x14ac:dyDescent="0.2">
      <c r="A9">
        <v>9</v>
      </c>
      <c r="B9">
        <v>14</v>
      </c>
    </row>
    <row r="10" spans="1:5" x14ac:dyDescent="0.2">
      <c r="A10">
        <v>7</v>
      </c>
      <c r="B10">
        <v>15</v>
      </c>
    </row>
    <row r="11" spans="1:5" x14ac:dyDescent="0.2">
      <c r="A11" s="1" t="s">
        <v>213</v>
      </c>
      <c r="E11">
        <f>SLOPE(B2:B10,A2:A10)</f>
        <v>1.0238095238095239</v>
      </c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2" sqref="C12"/>
    </sheetView>
  </sheetViews>
  <sheetFormatPr defaultRowHeight="12.75" x14ac:dyDescent="0.2"/>
  <cols>
    <col min="1" max="1" width="11" customWidth="1"/>
    <col min="2" max="2" width="12.42578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214</v>
      </c>
      <c r="C12">
        <f>SMALL(A2:A11,3)</f>
        <v>5</v>
      </c>
    </row>
    <row r="13" spans="1:3" x14ac:dyDescent="0.2">
      <c r="A13" s="1"/>
    </row>
  </sheetData>
  <phoneticPr fontId="1" type="noConversion"/>
  <pageMargins left="0.75" right="0.75" top="1" bottom="1" header="0.5" footer="0.5"/>
  <headerFooter alignWithMargins="0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D5" sqref="D5"/>
    </sheetView>
  </sheetViews>
  <sheetFormatPr defaultRowHeight="12.75" x14ac:dyDescent="0.2"/>
  <cols>
    <col min="1" max="1" width="11" customWidth="1"/>
    <col min="2" max="2" width="30.5703125" bestFit="1" customWidth="1"/>
    <col min="3" max="3" width="12.42578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>
        <v>40</v>
      </c>
      <c r="B2" t="s">
        <v>94</v>
      </c>
    </row>
    <row r="3" spans="1:4" x14ac:dyDescent="0.2">
      <c r="A3">
        <v>36</v>
      </c>
      <c r="B3" t="s">
        <v>84</v>
      </c>
    </row>
    <row r="4" spans="1:4" x14ac:dyDescent="0.2">
      <c r="A4">
        <v>0.25</v>
      </c>
      <c r="B4" t="s">
        <v>95</v>
      </c>
    </row>
    <row r="5" spans="1:4" x14ac:dyDescent="0.2">
      <c r="A5" s="1" t="s">
        <v>215</v>
      </c>
      <c r="D5">
        <f>STANDARDIZE(A2,A3,A4)</f>
        <v>16</v>
      </c>
    </row>
  </sheetData>
  <phoneticPr fontId="1" type="noConversion"/>
  <pageMargins left="0.75" right="0.75" top="1" bottom="1" header="0.5" footer="0.5"/>
  <headerFooter alignWithMargins="0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F12" sqref="F12"/>
    </sheetView>
  </sheetViews>
  <sheetFormatPr defaultRowHeight="12.75" x14ac:dyDescent="0.2"/>
  <cols>
    <col min="1" max="1" width="11" customWidth="1"/>
    <col min="2" max="2" width="12.42578125" bestFit="1" customWidth="1"/>
    <col min="3" max="3" width="12.5703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216</v>
      </c>
      <c r="C12" s="27">
        <f>_xlfn.STDEV.P(A2:A11)</f>
        <v>2.2383029285599392</v>
      </c>
    </row>
    <row r="13" spans="1:3" x14ac:dyDescent="0.2">
      <c r="A13" s="1" t="s">
        <v>217</v>
      </c>
      <c r="C13" s="27">
        <f>_xlfn.STDEV.P(A2:A11,13)</f>
        <v>2.8747978728803445</v>
      </c>
    </row>
  </sheetData>
  <phoneticPr fontId="1" type="noConversion"/>
  <pageMargins left="0.75" right="0.75" top="1" bottom="1" header="0.5" footer="0.5"/>
  <headerFooter alignWithMargins="0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J6" sqref="J6"/>
    </sheetView>
  </sheetViews>
  <sheetFormatPr defaultRowHeight="18" x14ac:dyDescent="0.25"/>
  <cols>
    <col min="1" max="1" width="11" customWidth="1"/>
    <col min="2" max="2" width="12.42578125" bestFit="1" customWidth="1"/>
    <col min="3" max="3" width="12.5703125" bestFit="1" customWidth="1"/>
    <col min="7" max="7" width="9.140625" style="43"/>
  </cols>
  <sheetData>
    <row r="1" spans="1:7" x14ac:dyDescent="0.25">
      <c r="A1" s="3" t="s">
        <v>0</v>
      </c>
    </row>
    <row r="2" spans="1:7" x14ac:dyDescent="0.25">
      <c r="A2" s="6">
        <v>4</v>
      </c>
      <c r="G2" s="44"/>
    </row>
    <row r="3" spans="1:7" x14ac:dyDescent="0.25">
      <c r="A3" s="6">
        <v>5</v>
      </c>
      <c r="G3" s="44"/>
    </row>
    <row r="4" spans="1:7" x14ac:dyDescent="0.25">
      <c r="A4" s="22">
        <v>7</v>
      </c>
      <c r="G4" s="44"/>
    </row>
    <row r="5" spans="1:7" x14ac:dyDescent="0.25">
      <c r="A5" s="22">
        <v>3</v>
      </c>
      <c r="G5" s="44"/>
    </row>
    <row r="6" spans="1:7" x14ac:dyDescent="0.25">
      <c r="A6" s="6">
        <v>5</v>
      </c>
      <c r="G6" s="44"/>
    </row>
    <row r="7" spans="1:7" x14ac:dyDescent="0.25">
      <c r="A7" s="6">
        <v>6</v>
      </c>
      <c r="G7" s="44"/>
    </row>
    <row r="8" spans="1:7" x14ac:dyDescent="0.25">
      <c r="A8" s="6">
        <v>7</v>
      </c>
      <c r="G8" s="44"/>
    </row>
    <row r="9" spans="1:7" x14ac:dyDescent="0.25">
      <c r="A9" s="6">
        <v>9</v>
      </c>
      <c r="G9" s="44"/>
    </row>
    <row r="10" spans="1:7" x14ac:dyDescent="0.25">
      <c r="A10" s="6">
        <v>6</v>
      </c>
      <c r="G10" s="44"/>
    </row>
    <row r="11" spans="1:7" x14ac:dyDescent="0.25">
      <c r="A11" s="6">
        <v>11</v>
      </c>
      <c r="G11" s="44"/>
    </row>
    <row r="12" spans="1:7" x14ac:dyDescent="0.25">
      <c r="A12" s="1" t="s">
        <v>218</v>
      </c>
      <c r="C12" s="27">
        <f>_xlfn.STDEV.S(A2:A11)</f>
        <v>2.3593784492248524</v>
      </c>
      <c r="G12" s="44"/>
    </row>
    <row r="13" spans="1:7" x14ac:dyDescent="0.25">
      <c r="A13" s="1" t="s">
        <v>219</v>
      </c>
      <c r="C13" s="27">
        <f>_xlfn.STDEV.S(A2:A11,13)</f>
        <v>3.0151134457776356</v>
      </c>
      <c r="G13" s="44"/>
    </row>
    <row r="14" spans="1:7" x14ac:dyDescent="0.25">
      <c r="F14" s="12"/>
    </row>
    <row r="15" spans="1:7" x14ac:dyDescent="0.25">
      <c r="F15" s="12"/>
    </row>
    <row r="16" spans="1:7" x14ac:dyDescent="0.25">
      <c r="F16" s="12"/>
    </row>
  </sheetData>
  <phoneticPr fontId="1" type="noConversion"/>
  <pageMargins left="0.75" right="0.75" top="1" bottom="1" header="0.5" footer="0.5"/>
  <pageSetup orientation="portrait" horizontalDpi="4294967293" verticalDpi="0" r:id="rId1"/>
  <headerFooter alignWithMargins="0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13" sqref="E13"/>
    </sheetView>
  </sheetViews>
  <sheetFormatPr defaultRowHeight="12.75" x14ac:dyDescent="0.2"/>
  <cols>
    <col min="2" max="2" width="11.42578125" customWidth="1"/>
    <col min="3" max="3" width="11.5703125" bestFit="1" customWidth="1"/>
    <col min="5" max="5" width="11.5703125" bestFit="1" customWidth="1"/>
  </cols>
  <sheetData>
    <row r="1" spans="1:5" x14ac:dyDescent="0.2">
      <c r="A1" s="3" t="s">
        <v>0</v>
      </c>
    </row>
    <row r="2" spans="1:5" x14ac:dyDescent="0.2">
      <c r="A2" s="6">
        <v>4</v>
      </c>
    </row>
    <row r="3" spans="1:5" x14ac:dyDescent="0.2">
      <c r="A3" s="6">
        <v>5</v>
      </c>
    </row>
    <row r="4" spans="1:5" x14ac:dyDescent="0.2">
      <c r="A4" s="22">
        <v>7</v>
      </c>
    </row>
    <row r="5" spans="1:5" x14ac:dyDescent="0.2">
      <c r="A5" s="22">
        <v>3</v>
      </c>
    </row>
    <row r="6" spans="1:5" x14ac:dyDescent="0.2">
      <c r="A6" s="6" t="s">
        <v>96</v>
      </c>
    </row>
    <row r="7" spans="1:5" x14ac:dyDescent="0.2">
      <c r="A7" s="6">
        <v>6</v>
      </c>
    </row>
    <row r="8" spans="1:5" x14ac:dyDescent="0.2">
      <c r="A8" s="6">
        <v>7</v>
      </c>
    </row>
    <row r="9" spans="1:5" x14ac:dyDescent="0.2">
      <c r="A9" s="6">
        <v>9</v>
      </c>
    </row>
    <row r="10" spans="1:5" x14ac:dyDescent="0.2">
      <c r="A10" s="6">
        <v>6</v>
      </c>
    </row>
    <row r="11" spans="1:5" x14ac:dyDescent="0.2">
      <c r="A11" s="6">
        <v>11</v>
      </c>
    </row>
    <row r="12" spans="1:5" x14ac:dyDescent="0.2">
      <c r="A12" s="1" t="s">
        <v>117</v>
      </c>
      <c r="E12" s="27">
        <f>STDEVA(A2:A11)</f>
        <v>3.0840089349921009</v>
      </c>
    </row>
    <row r="13" spans="1:5" x14ac:dyDescent="0.2">
      <c r="A13" s="1" t="s">
        <v>249</v>
      </c>
      <c r="E13" s="27">
        <f>STDEVA(A2:A11,13)</f>
        <v>3.6431754380934325</v>
      </c>
    </row>
  </sheetData>
  <phoneticPr fontId="1" type="noConversion"/>
  <pageMargins left="0.75" right="0.75" top="1" bottom="1" header="0.5" footer="0.5"/>
  <headerFooter alignWithMargins="0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F12" sqref="F12"/>
    </sheetView>
  </sheetViews>
  <sheetFormatPr defaultRowHeight="12.75" x14ac:dyDescent="0.2"/>
  <cols>
    <col min="1" max="1" width="11" customWidth="1"/>
    <col min="2" max="2" width="12.42578125" bestFit="1" customWidth="1"/>
    <col min="3" max="3" width="12.5703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118</v>
      </c>
      <c r="C12" s="27">
        <f>STDEVP(A2:A11)</f>
        <v>2.2383029285599392</v>
      </c>
    </row>
    <row r="13" spans="1:3" x14ac:dyDescent="0.2">
      <c r="A13" s="1" t="s">
        <v>119</v>
      </c>
      <c r="C13" s="27">
        <f>STDEVP(A2:A11,13)</f>
        <v>2.8747978728803445</v>
      </c>
    </row>
  </sheetData>
  <phoneticPr fontId="1" type="noConversion"/>
  <pageMargins left="0.75" right="0.75" top="1" bottom="1" header="0.5" footer="0.5"/>
  <headerFooter alignWithMargins="0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E13" sqref="E13"/>
    </sheetView>
  </sheetViews>
  <sheetFormatPr defaultRowHeight="12.75" x14ac:dyDescent="0.2"/>
  <cols>
    <col min="2" max="2" width="11.42578125" customWidth="1"/>
    <col min="3" max="3" width="11.5703125" bestFit="1" customWidth="1"/>
    <col min="5" max="5" width="11.5703125" bestFit="1" customWidth="1"/>
  </cols>
  <sheetData>
    <row r="1" spans="1:5" x14ac:dyDescent="0.2">
      <c r="A1" s="3" t="s">
        <v>0</v>
      </c>
    </row>
    <row r="2" spans="1:5" x14ac:dyDescent="0.2">
      <c r="A2" s="6">
        <v>4</v>
      </c>
    </row>
    <row r="3" spans="1:5" x14ac:dyDescent="0.2">
      <c r="A3" s="6">
        <v>5</v>
      </c>
    </row>
    <row r="4" spans="1:5" x14ac:dyDescent="0.2">
      <c r="A4" s="22">
        <v>7</v>
      </c>
    </row>
    <row r="5" spans="1:5" x14ac:dyDescent="0.2">
      <c r="A5" s="22">
        <v>3</v>
      </c>
    </row>
    <row r="6" spans="1:5" x14ac:dyDescent="0.2">
      <c r="A6" s="6" t="s">
        <v>96</v>
      </c>
    </row>
    <row r="7" spans="1:5" x14ac:dyDescent="0.2">
      <c r="A7" s="6">
        <v>6</v>
      </c>
    </row>
    <row r="8" spans="1:5" x14ac:dyDescent="0.2">
      <c r="A8" s="6">
        <v>7</v>
      </c>
    </row>
    <row r="9" spans="1:5" x14ac:dyDescent="0.2">
      <c r="A9" s="6">
        <v>9</v>
      </c>
    </row>
    <row r="10" spans="1:5" x14ac:dyDescent="0.2">
      <c r="A10" s="6">
        <v>6</v>
      </c>
    </row>
    <row r="11" spans="1:5" x14ac:dyDescent="0.2">
      <c r="A11" s="6">
        <v>11</v>
      </c>
    </row>
    <row r="12" spans="1:5" x14ac:dyDescent="0.2">
      <c r="A12" s="1" t="s">
        <v>120</v>
      </c>
      <c r="E12" s="27">
        <f>STDEVPA(A2:A11)</f>
        <v>2.925747767665559</v>
      </c>
    </row>
    <row r="13" spans="1:5" x14ac:dyDescent="0.2">
      <c r="A13" s="1" t="s">
        <v>220</v>
      </c>
      <c r="E13" s="27">
        <f>STDEVPA(A2:A11,13)</f>
        <v>3.4736314862805089</v>
      </c>
    </row>
  </sheetData>
  <phoneticPr fontId="1" type="noConversion"/>
  <pageMargins left="0.75" right="0.75" top="1" bottom="1" header="0.5" footer="0.5"/>
  <headerFooter alignWithMargins="0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1" sqref="E11"/>
    </sheetView>
  </sheetViews>
  <sheetFormatPr defaultRowHeight="12.75" x14ac:dyDescent="0.2"/>
  <cols>
    <col min="2" max="2" width="10.5703125" customWidth="1"/>
    <col min="3" max="3" width="9" customWidth="1"/>
    <col min="4" max="4" width="7" customWidth="1"/>
    <col min="5" max="5" width="13.7109375" bestFit="1" customWidth="1"/>
  </cols>
  <sheetData>
    <row r="1" spans="1:5" x14ac:dyDescent="0.2">
      <c r="A1" s="3" t="s">
        <v>56</v>
      </c>
      <c r="B1" s="3" t="s">
        <v>57</v>
      </c>
    </row>
    <row r="2" spans="1:5" x14ac:dyDescent="0.2">
      <c r="A2">
        <v>7</v>
      </c>
      <c r="B2">
        <v>10</v>
      </c>
    </row>
    <row r="3" spans="1:5" x14ac:dyDescent="0.2">
      <c r="A3">
        <v>6</v>
      </c>
      <c r="B3">
        <v>13</v>
      </c>
    </row>
    <row r="4" spans="1:5" x14ac:dyDescent="0.2">
      <c r="A4">
        <v>7</v>
      </c>
      <c r="B4">
        <v>14</v>
      </c>
    </row>
    <row r="5" spans="1:5" x14ac:dyDescent="0.2">
      <c r="A5">
        <v>5</v>
      </c>
      <c r="B5">
        <v>12</v>
      </c>
    </row>
    <row r="6" spans="1:5" x14ac:dyDescent="0.2">
      <c r="A6">
        <v>8</v>
      </c>
      <c r="B6">
        <v>21</v>
      </c>
    </row>
    <row r="7" spans="1:5" x14ac:dyDescent="0.2">
      <c r="A7">
        <v>9</v>
      </c>
      <c r="B7">
        <v>14</v>
      </c>
    </row>
    <row r="8" spans="1:5" x14ac:dyDescent="0.2">
      <c r="A8">
        <v>8</v>
      </c>
      <c r="B8">
        <v>18</v>
      </c>
    </row>
    <row r="9" spans="1:5" x14ac:dyDescent="0.2">
      <c r="A9">
        <v>9</v>
      </c>
      <c r="B9">
        <v>14</v>
      </c>
    </row>
    <row r="10" spans="1:5" x14ac:dyDescent="0.2">
      <c r="A10">
        <v>7</v>
      </c>
      <c r="B10">
        <v>15</v>
      </c>
    </row>
    <row r="11" spans="1:5" x14ac:dyDescent="0.2">
      <c r="A11" s="1" t="s">
        <v>221</v>
      </c>
      <c r="E11" s="21">
        <f>STEYX(B2:B10,A2:A10)</f>
        <v>3.1520428533983904</v>
      </c>
    </row>
    <row r="12" spans="1:5" x14ac:dyDescent="0.2">
      <c r="A12" s="1"/>
      <c r="E12" s="21"/>
    </row>
  </sheetData>
  <phoneticPr fontId="1" type="noConversion"/>
  <pageMargins left="0.75" right="0.75" top="1" bottom="1" header="0.5" footer="0.5"/>
  <headerFooter alignWithMargins="0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G11" sqref="G11"/>
    </sheetView>
  </sheetViews>
  <sheetFormatPr defaultRowHeight="12.75" x14ac:dyDescent="0.2"/>
  <cols>
    <col min="1" max="1" width="11" customWidth="1"/>
    <col min="2" max="2" width="24.7109375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29">
        <v>1.6970000000000001</v>
      </c>
      <c r="B2" t="s">
        <v>14</v>
      </c>
    </row>
    <row r="3" spans="1:4" x14ac:dyDescent="0.2">
      <c r="A3">
        <v>30</v>
      </c>
      <c r="B3" t="s">
        <v>97</v>
      </c>
    </row>
    <row r="4" spans="1:4" x14ac:dyDescent="0.2">
      <c r="A4" s="1" t="s">
        <v>222</v>
      </c>
      <c r="D4">
        <f>_xlfn.T.DIST(A2,A3,TRUE)</f>
        <v>0.94997507539691939</v>
      </c>
    </row>
    <row r="5" spans="1:4" x14ac:dyDescent="0.2">
      <c r="A5" s="1" t="s">
        <v>223</v>
      </c>
      <c r="D5">
        <f>_xlfn.T.DIST(A2,A3,FALSE)</f>
        <v>9.555801703539106E-2</v>
      </c>
    </row>
  </sheetData>
  <phoneticPr fontId="1" type="noConversion"/>
  <pageMargins left="0.75" right="0.75" top="1" bottom="1" header="0.5" footer="0.5"/>
  <headerFooter alignWithMargins="0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10" sqref="D10"/>
    </sheetView>
  </sheetViews>
  <sheetFormatPr defaultRowHeight="12.75" x14ac:dyDescent="0.2"/>
  <cols>
    <col min="1" max="1" width="11" customWidth="1"/>
    <col min="2" max="2" width="24.7109375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29">
        <v>1.6970000000000001</v>
      </c>
      <c r="B2" t="s">
        <v>14</v>
      </c>
    </row>
    <row r="3" spans="1:4" x14ac:dyDescent="0.2">
      <c r="A3">
        <v>30</v>
      </c>
      <c r="B3" t="s">
        <v>97</v>
      </c>
    </row>
    <row r="4" spans="1:4" x14ac:dyDescent="0.2">
      <c r="A4" s="1" t="s">
        <v>224</v>
      </c>
      <c r="D4">
        <f>_xlfn.T.DIST.2T(A2,A3)</f>
        <v>0.10004984920616125</v>
      </c>
    </row>
  </sheetData>
  <phoneticPr fontId="1" type="noConversion"/>
  <pageMargins left="0.75" right="0.75" top="1" bottom="1" header="0.5" footer="0.5"/>
  <headerFooter alignWithMargins="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19" sqref="D19"/>
    </sheetView>
  </sheetViews>
  <sheetFormatPr defaultRowHeight="12.75" x14ac:dyDescent="0.2"/>
  <cols>
    <col min="1" max="1" width="11" customWidth="1"/>
    <col min="2" max="2" width="24.7109375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29">
        <v>1.6970000000000001</v>
      </c>
      <c r="B2" t="s">
        <v>14</v>
      </c>
    </row>
    <row r="3" spans="1:4" x14ac:dyDescent="0.2">
      <c r="A3">
        <v>30</v>
      </c>
      <c r="B3" t="s">
        <v>97</v>
      </c>
    </row>
    <row r="4" spans="1:4" x14ac:dyDescent="0.2">
      <c r="A4" s="1" t="s">
        <v>225</v>
      </c>
      <c r="D4">
        <f>_xlfn.T.DIST.RT(A2,A3)</f>
        <v>5.0024924603080625E-2</v>
      </c>
    </row>
  </sheetData>
  <phoneticPr fontId="1" type="noConversion"/>
  <pageMargins left="0.75" right="0.75" top="1" bottom="1" header="0.5" footer="0.5"/>
  <headerFooter alignWithMargins="0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4" sqref="D4"/>
    </sheetView>
  </sheetViews>
  <sheetFormatPr defaultRowHeight="12.75" x14ac:dyDescent="0.2"/>
  <cols>
    <col min="1" max="1" width="11" customWidth="1"/>
    <col min="2" max="2" width="36.28515625" bestFit="1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5">
        <v>0.1</v>
      </c>
      <c r="B2" t="s">
        <v>98</v>
      </c>
    </row>
    <row r="3" spans="1:4" x14ac:dyDescent="0.2">
      <c r="A3">
        <v>30</v>
      </c>
      <c r="B3" t="s">
        <v>97</v>
      </c>
    </row>
    <row r="4" spans="1:4" x14ac:dyDescent="0.2">
      <c r="A4" s="1" t="s">
        <v>226</v>
      </c>
      <c r="D4">
        <f>_xlfn.T.INV(A2,A3)</f>
        <v>-1.3104150253913947</v>
      </c>
    </row>
  </sheetData>
  <phoneticPr fontId="1" type="noConversion"/>
  <pageMargins left="0.75" right="0.75" top="1" bottom="1" header="0.5" footer="0.5"/>
  <headerFooter alignWithMargins="0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activeCell="D4" sqref="D4"/>
    </sheetView>
  </sheetViews>
  <sheetFormatPr defaultRowHeight="12.75" x14ac:dyDescent="0.2"/>
  <cols>
    <col min="1" max="1" width="19.7109375" customWidth="1"/>
    <col min="2" max="2" width="36.28515625" bestFit="1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21">
        <v>0.1000049849</v>
      </c>
      <c r="B2" t="s">
        <v>98</v>
      </c>
    </row>
    <row r="3" spans="1:4" x14ac:dyDescent="0.2">
      <c r="A3">
        <v>30</v>
      </c>
      <c r="B3" t="s">
        <v>97</v>
      </c>
    </row>
    <row r="4" spans="1:4" x14ac:dyDescent="0.2">
      <c r="A4" s="1" t="s">
        <v>227</v>
      </c>
      <c r="D4">
        <f>_xlfn.T.INV.2T(0.1000049849,30)</f>
        <v>1.6972347931411491</v>
      </c>
    </row>
  </sheetData>
  <phoneticPr fontId="1" type="noConversion"/>
  <pageMargins left="0.75" right="0.75" top="1" bottom="1" header="0.5" footer="0.5"/>
  <headerFooter alignWithMargins="0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H2" sqref="H2"/>
    </sheetView>
  </sheetViews>
  <sheetFormatPr defaultRowHeight="12.75" x14ac:dyDescent="0.2"/>
  <cols>
    <col min="1" max="1" width="8.42578125" bestFit="1" customWidth="1"/>
    <col min="3" max="3" width="9.42578125" customWidth="1"/>
  </cols>
  <sheetData>
    <row r="1" spans="1:11" ht="15" x14ac:dyDescent="0.25">
      <c r="A1" s="30" t="s">
        <v>64</v>
      </c>
      <c r="B1" s="30" t="s">
        <v>99</v>
      </c>
      <c r="C1" s="31" t="s">
        <v>57</v>
      </c>
    </row>
    <row r="2" spans="1:11" x14ac:dyDescent="0.2">
      <c r="A2" s="32" t="s">
        <v>111</v>
      </c>
      <c r="B2" s="17">
        <v>1</v>
      </c>
      <c r="C2" s="2">
        <v>21</v>
      </c>
      <c r="H2">
        <f>TREND(C2:C13,B2:B13,B14:B18,TRUE)</f>
        <v>38.984848484848484</v>
      </c>
    </row>
    <row r="3" spans="1:11" x14ac:dyDescent="0.2">
      <c r="A3" s="32" t="s">
        <v>100</v>
      </c>
      <c r="B3" s="17">
        <v>2</v>
      </c>
      <c r="C3" s="2">
        <v>23</v>
      </c>
    </row>
    <row r="4" spans="1:11" x14ac:dyDescent="0.2">
      <c r="A4" s="32" t="s">
        <v>101</v>
      </c>
      <c r="B4" s="17">
        <v>3</v>
      </c>
      <c r="C4" s="2">
        <v>22</v>
      </c>
    </row>
    <row r="5" spans="1:11" x14ac:dyDescent="0.2">
      <c r="A5" s="32" t="s">
        <v>102</v>
      </c>
      <c r="B5" s="17">
        <v>4</v>
      </c>
      <c r="C5" s="2">
        <v>25</v>
      </c>
    </row>
    <row r="6" spans="1:11" x14ac:dyDescent="0.2">
      <c r="A6" s="32" t="s">
        <v>103</v>
      </c>
      <c r="B6" s="17">
        <v>5</v>
      </c>
      <c r="C6" s="2">
        <v>27</v>
      </c>
    </row>
    <row r="7" spans="1:11" x14ac:dyDescent="0.2">
      <c r="A7" s="32" t="s">
        <v>104</v>
      </c>
      <c r="B7" s="17">
        <v>6</v>
      </c>
      <c r="C7" s="2">
        <v>29</v>
      </c>
    </row>
    <row r="8" spans="1:11" x14ac:dyDescent="0.2">
      <c r="A8" s="32" t="s">
        <v>110</v>
      </c>
      <c r="B8" s="17">
        <v>7</v>
      </c>
      <c r="C8" s="2">
        <v>26</v>
      </c>
    </row>
    <row r="9" spans="1:11" x14ac:dyDescent="0.2">
      <c r="A9" s="32" t="s">
        <v>105</v>
      </c>
      <c r="B9" s="17">
        <v>8</v>
      </c>
      <c r="C9" s="2">
        <v>32</v>
      </c>
      <c r="E9" s="38"/>
      <c r="F9" s="38"/>
      <c r="G9" s="38"/>
      <c r="H9" s="38"/>
      <c r="I9" s="38"/>
      <c r="J9" s="38"/>
      <c r="K9" s="38"/>
    </row>
    <row r="10" spans="1:11" x14ac:dyDescent="0.2">
      <c r="A10" s="32" t="s">
        <v>106</v>
      </c>
      <c r="B10" s="17">
        <v>9</v>
      </c>
      <c r="C10" s="2">
        <v>35</v>
      </c>
      <c r="E10" s="38"/>
      <c r="F10" s="38"/>
      <c r="G10" s="38"/>
      <c r="H10" s="38"/>
      <c r="I10" s="38"/>
      <c r="J10" s="38"/>
      <c r="K10" s="38"/>
    </row>
    <row r="11" spans="1:11" x14ac:dyDescent="0.2">
      <c r="A11" s="32" t="s">
        <v>107</v>
      </c>
      <c r="B11" s="17">
        <v>10</v>
      </c>
      <c r="C11" s="2">
        <v>32</v>
      </c>
      <c r="E11" s="38"/>
      <c r="F11" s="38"/>
      <c r="G11" s="38"/>
      <c r="H11" s="38"/>
      <c r="I11" s="38"/>
      <c r="J11" s="38"/>
      <c r="K11" s="38"/>
    </row>
    <row r="12" spans="1:11" x14ac:dyDescent="0.2">
      <c r="A12" s="32" t="s">
        <v>108</v>
      </c>
      <c r="B12" s="17">
        <v>11</v>
      </c>
      <c r="C12" s="2">
        <v>38</v>
      </c>
      <c r="E12" s="38"/>
      <c r="F12" s="38"/>
      <c r="G12" s="38"/>
      <c r="H12" s="38"/>
      <c r="I12" s="38"/>
      <c r="J12" s="38"/>
      <c r="K12" s="38"/>
    </row>
    <row r="13" spans="1:11" ht="13.5" thickBot="1" x14ac:dyDescent="0.25">
      <c r="A13" s="33" t="s">
        <v>109</v>
      </c>
      <c r="B13" s="34">
        <v>12</v>
      </c>
      <c r="C13" s="36">
        <v>37</v>
      </c>
      <c r="E13" s="38"/>
      <c r="F13" s="38"/>
      <c r="G13" s="38"/>
      <c r="H13" s="38"/>
      <c r="I13" s="38"/>
      <c r="J13" s="38"/>
      <c r="K13" s="38"/>
    </row>
    <row r="14" spans="1:11" x14ac:dyDescent="0.2">
      <c r="A14" s="1" t="s">
        <v>113</v>
      </c>
      <c r="B14" s="35">
        <v>13</v>
      </c>
      <c r="C14" s="1" t="s">
        <v>228</v>
      </c>
      <c r="E14" s="38"/>
      <c r="F14" s="38"/>
      <c r="G14" s="38"/>
      <c r="H14" s="37"/>
      <c r="I14" s="38"/>
      <c r="J14" s="37"/>
      <c r="K14" s="38"/>
    </row>
    <row r="15" spans="1:11" x14ac:dyDescent="0.2">
      <c r="A15" s="1" t="s">
        <v>112</v>
      </c>
      <c r="B15" s="35">
        <v>14</v>
      </c>
      <c r="C15" s="29"/>
      <c r="E15" s="38"/>
      <c r="F15" s="38"/>
      <c r="G15" s="38"/>
      <c r="H15" s="37"/>
      <c r="I15" s="38"/>
      <c r="J15" s="38"/>
      <c r="K15" s="38"/>
    </row>
    <row r="16" spans="1:11" x14ac:dyDescent="0.2">
      <c r="A16" s="1" t="s">
        <v>114</v>
      </c>
      <c r="B16" s="35">
        <v>15</v>
      </c>
      <c r="C16" s="29"/>
      <c r="E16" s="38"/>
      <c r="F16" s="38"/>
      <c r="G16" s="38"/>
      <c r="H16" s="38"/>
      <c r="I16" s="38"/>
      <c r="J16" s="38"/>
      <c r="K16" s="38"/>
    </row>
    <row r="17" spans="1:11" x14ac:dyDescent="0.2">
      <c r="A17" s="1" t="s">
        <v>115</v>
      </c>
      <c r="B17" s="35">
        <v>16</v>
      </c>
      <c r="C17" s="29"/>
      <c r="E17" s="38"/>
      <c r="F17" s="38"/>
      <c r="G17" s="38"/>
      <c r="H17" s="38"/>
      <c r="I17" s="38"/>
      <c r="J17" s="38"/>
      <c r="K17" s="38"/>
    </row>
    <row r="18" spans="1:11" x14ac:dyDescent="0.2">
      <c r="A18" s="1" t="s">
        <v>116</v>
      </c>
      <c r="B18" s="35">
        <v>17</v>
      </c>
      <c r="C18" s="29"/>
      <c r="E18" s="38"/>
      <c r="F18" s="38"/>
      <c r="G18" s="38"/>
      <c r="H18" s="38"/>
      <c r="I18" s="38"/>
      <c r="J18" s="38"/>
      <c r="K18" s="38"/>
    </row>
    <row r="19" spans="1:11" x14ac:dyDescent="0.2">
      <c r="E19" s="38"/>
      <c r="F19" s="38"/>
      <c r="G19" s="38"/>
      <c r="H19" s="38"/>
      <c r="I19" s="38"/>
      <c r="J19" s="38"/>
      <c r="K19" s="38"/>
    </row>
  </sheetData>
  <phoneticPr fontId="1" type="noConversion"/>
  <pageMargins left="0.75" right="0.75" top="1" bottom="1" header="0.5" footer="0.5"/>
  <headerFooter alignWithMargins="0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selection activeCell="M17" sqref="M17"/>
    </sheetView>
  </sheetViews>
  <sheetFormatPr defaultRowHeight="12.75" x14ac:dyDescent="0.2"/>
  <cols>
    <col min="1" max="1" width="11.85546875" customWidth="1"/>
    <col min="2" max="2" width="12.5703125" customWidth="1"/>
    <col min="5" max="5" width="12.42578125" bestFit="1" customWidth="1"/>
  </cols>
  <sheetData>
    <row r="1" spans="1:5" x14ac:dyDescent="0.2">
      <c r="A1" t="s">
        <v>230</v>
      </c>
      <c r="B1" t="s">
        <v>231</v>
      </c>
    </row>
    <row r="2" spans="1:5" x14ac:dyDescent="0.2">
      <c r="A2">
        <v>135</v>
      </c>
      <c r="B2">
        <v>125</v>
      </c>
    </row>
    <row r="3" spans="1:5" x14ac:dyDescent="0.2">
      <c r="A3">
        <v>140</v>
      </c>
      <c r="B3">
        <v>120</v>
      </c>
    </row>
    <row r="4" spans="1:5" x14ac:dyDescent="0.2">
      <c r="A4">
        <v>137</v>
      </c>
      <c r="B4">
        <v>127</v>
      </c>
    </row>
    <row r="5" spans="1:5" x14ac:dyDescent="0.2">
      <c r="A5">
        <v>134</v>
      </c>
      <c r="B5">
        <v>124</v>
      </c>
    </row>
    <row r="6" spans="1:5" x14ac:dyDescent="0.2">
      <c r="A6">
        <v>130</v>
      </c>
      <c r="B6">
        <v>119</v>
      </c>
    </row>
    <row r="7" spans="1:5" x14ac:dyDescent="0.2">
      <c r="A7">
        <v>132</v>
      </c>
      <c r="B7">
        <v>122</v>
      </c>
    </row>
    <row r="8" spans="1:5" x14ac:dyDescent="0.2">
      <c r="A8">
        <v>133</v>
      </c>
      <c r="B8">
        <v>130</v>
      </c>
    </row>
    <row r="9" spans="1:5" x14ac:dyDescent="0.2">
      <c r="A9">
        <v>136</v>
      </c>
      <c r="B9">
        <v>125</v>
      </c>
    </row>
    <row r="10" spans="1:5" x14ac:dyDescent="0.2">
      <c r="A10">
        <v>138</v>
      </c>
      <c r="B10">
        <v>129</v>
      </c>
    </row>
    <row r="11" spans="1:5" x14ac:dyDescent="0.2">
      <c r="A11">
        <v>133</v>
      </c>
      <c r="B11">
        <v>120</v>
      </c>
    </row>
    <row r="12" spans="1:5" x14ac:dyDescent="0.2">
      <c r="A12">
        <v>137</v>
      </c>
      <c r="B12">
        <v>122</v>
      </c>
    </row>
    <row r="13" spans="1:5" x14ac:dyDescent="0.2">
      <c r="A13">
        <v>135</v>
      </c>
      <c r="B13">
        <v>124</v>
      </c>
    </row>
    <row r="14" spans="1:5" x14ac:dyDescent="0.2">
      <c r="A14" s="39" t="s">
        <v>232</v>
      </c>
      <c r="B14" s="1"/>
      <c r="C14" s="1"/>
      <c r="E14">
        <f>_xlfn.T.TEST(A2:A13,B2:B13,1,1)</f>
        <v>5.0919441643968358E-7</v>
      </c>
    </row>
    <row r="15" spans="1:5" x14ac:dyDescent="0.2">
      <c r="A15" s="39" t="s">
        <v>233</v>
      </c>
      <c r="B15" s="1"/>
      <c r="C15" s="1"/>
      <c r="E15" s="42">
        <f>_xlfn.T.TEST(A2:A13,B2:B13,1,2)</f>
        <v>1.0037210454301964E-8</v>
      </c>
    </row>
    <row r="16" spans="1:5" x14ac:dyDescent="0.2">
      <c r="A16" s="39" t="s">
        <v>234</v>
      </c>
      <c r="B16" s="1"/>
      <c r="C16" s="1"/>
      <c r="E16">
        <f>_xlfn.T.TEST(A2:A13,B2:B13,1,3)</f>
        <v>1.5046889974213995E-8</v>
      </c>
    </row>
    <row r="17" spans="1:5" x14ac:dyDescent="0.2">
      <c r="A17" s="39" t="s">
        <v>235</v>
      </c>
      <c r="B17" s="1"/>
      <c r="C17" s="1"/>
      <c r="E17">
        <f>_xlfn.T.TEST(A2:A13,B2:B13,2,1)</f>
        <v>1.0183888328793672E-6</v>
      </c>
    </row>
    <row r="18" spans="1:5" x14ac:dyDescent="0.2">
      <c r="A18" s="39" t="s">
        <v>236</v>
      </c>
      <c r="B18" s="1"/>
      <c r="C18" s="1"/>
      <c r="E18">
        <f>_xlfn.T.TEST(A2:A13,B2:B13,2,2)</f>
        <v>2.0074420908603928E-8</v>
      </c>
    </row>
    <row r="19" spans="1:5" x14ac:dyDescent="0.2">
      <c r="A19" s="39" t="s">
        <v>237</v>
      </c>
      <c r="B19" s="1"/>
      <c r="C19" s="1"/>
      <c r="E19">
        <f>_xlfn.T.TEST(A2:A13,B2:B13,2,3)</f>
        <v>3.0093779948427989E-8</v>
      </c>
    </row>
  </sheetData>
  <phoneticPr fontId="1" type="noConversion"/>
  <pageMargins left="0.7" right="0.7" top="0.75" bottom="0.75" header="0.3" footer="0.3"/>
  <pageSetup orientation="portrait" horizontalDpi="4294967293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C12" sqref="C12"/>
    </sheetView>
  </sheetViews>
  <sheetFormatPr defaultRowHeight="12.75" x14ac:dyDescent="0.2"/>
  <cols>
    <col min="1" max="1" width="11" customWidth="1"/>
    <col min="2" max="2" width="12.42578125" bestFit="1" customWidth="1"/>
    <col min="3" max="3" width="12.5703125" bestFit="1" customWidth="1"/>
  </cols>
  <sheetData>
    <row r="1" spans="1:8" x14ac:dyDescent="0.2">
      <c r="A1" s="3" t="s">
        <v>0</v>
      </c>
    </row>
    <row r="2" spans="1:8" x14ac:dyDescent="0.2">
      <c r="A2" s="6">
        <v>4</v>
      </c>
      <c r="G2" s="22"/>
    </row>
    <row r="3" spans="1:8" x14ac:dyDescent="0.2">
      <c r="A3" s="6">
        <v>5</v>
      </c>
      <c r="G3" s="6"/>
    </row>
    <row r="4" spans="1:8" x14ac:dyDescent="0.2">
      <c r="A4" s="22">
        <v>7</v>
      </c>
      <c r="G4" s="6"/>
    </row>
    <row r="5" spans="1:8" x14ac:dyDescent="0.2">
      <c r="A5" s="22">
        <v>3</v>
      </c>
      <c r="G5" s="6"/>
    </row>
    <row r="6" spans="1:8" x14ac:dyDescent="0.2">
      <c r="A6" s="6">
        <v>5</v>
      </c>
      <c r="G6" s="6"/>
    </row>
    <row r="7" spans="1:8" x14ac:dyDescent="0.2">
      <c r="A7" s="6">
        <v>6</v>
      </c>
      <c r="G7" s="6"/>
    </row>
    <row r="8" spans="1:8" x14ac:dyDescent="0.2">
      <c r="A8" s="6">
        <v>7</v>
      </c>
      <c r="G8" s="22"/>
    </row>
    <row r="9" spans="1:8" x14ac:dyDescent="0.2">
      <c r="A9" s="6">
        <v>9</v>
      </c>
      <c r="G9" s="6"/>
    </row>
    <row r="10" spans="1:8" x14ac:dyDescent="0.2">
      <c r="A10" s="6">
        <v>6</v>
      </c>
      <c r="G10" s="6"/>
    </row>
    <row r="11" spans="1:8" x14ac:dyDescent="0.2">
      <c r="A11" s="6">
        <v>11</v>
      </c>
      <c r="G11" s="6"/>
      <c r="H11" s="29"/>
    </row>
    <row r="12" spans="1:8" x14ac:dyDescent="0.2">
      <c r="A12" s="1" t="s">
        <v>229</v>
      </c>
      <c r="C12" s="29">
        <f>TRIMMEAN(A2:A11,0.25)</f>
        <v>6.125</v>
      </c>
    </row>
    <row r="13" spans="1:8" x14ac:dyDescent="0.2">
      <c r="A13" s="1"/>
      <c r="C13" s="27"/>
    </row>
  </sheetData>
  <phoneticPr fontId="1" type="noConversion"/>
  <pageMargins left="0.75" right="0.75" top="1" bottom="1" header="0.5" footer="0.5"/>
  <headerFooter alignWithMargins="0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D13" sqref="D13"/>
    </sheetView>
  </sheetViews>
  <sheetFormatPr defaultRowHeight="12.75" x14ac:dyDescent="0.2"/>
  <sheetData>
    <row r="1" spans="1:4" x14ac:dyDescent="0.2">
      <c r="A1" s="3" t="s">
        <v>0</v>
      </c>
    </row>
    <row r="2" spans="1:4" x14ac:dyDescent="0.2">
      <c r="A2">
        <v>4</v>
      </c>
    </row>
    <row r="3" spans="1:4" x14ac:dyDescent="0.2">
      <c r="A3">
        <v>5</v>
      </c>
    </row>
    <row r="4" spans="1:4" x14ac:dyDescent="0.2">
      <c r="A4">
        <v>7</v>
      </c>
    </row>
    <row r="5" spans="1:4" x14ac:dyDescent="0.2">
      <c r="A5">
        <v>3</v>
      </c>
    </row>
    <row r="6" spans="1:4" x14ac:dyDescent="0.2">
      <c r="A6">
        <v>5</v>
      </c>
    </row>
    <row r="7" spans="1:4" x14ac:dyDescent="0.2">
      <c r="A7">
        <v>6</v>
      </c>
    </row>
    <row r="8" spans="1:4" x14ac:dyDescent="0.2">
      <c r="A8">
        <v>7</v>
      </c>
    </row>
    <row r="9" spans="1:4" x14ac:dyDescent="0.2">
      <c r="A9">
        <v>9</v>
      </c>
    </row>
    <row r="10" spans="1:4" x14ac:dyDescent="0.2">
      <c r="A10">
        <v>6</v>
      </c>
    </row>
    <row r="11" spans="1:4" x14ac:dyDescent="0.2">
      <c r="A11">
        <v>11</v>
      </c>
    </row>
    <row r="12" spans="1:4" x14ac:dyDescent="0.2">
      <c r="A12" s="39" t="s">
        <v>240</v>
      </c>
      <c r="D12" s="29">
        <f>_xlfn.VAR.P(A2:A11)</f>
        <v>5.01</v>
      </c>
    </row>
    <row r="13" spans="1:4" x14ac:dyDescent="0.2">
      <c r="A13" s="39" t="s">
        <v>241</v>
      </c>
      <c r="D13">
        <f>_xlfn.VAR.P(A2:A11,13)</f>
        <v>8.2644628099173545</v>
      </c>
    </row>
  </sheetData>
  <phoneticPr fontId="1" type="noConversion"/>
  <pageMargins left="0.7" right="0.7" top="0.75" bottom="0.75" header="0.3" footer="0.3"/>
  <pageSetup orientation="portrait" horizontalDpi="4294967293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"/>
  <sheetData>
    <row r="1" spans="1:3" x14ac:dyDescent="0.2">
      <c r="A1" s="3" t="s">
        <v>0</v>
      </c>
    </row>
    <row r="2" spans="1:3" x14ac:dyDescent="0.2">
      <c r="A2">
        <v>4</v>
      </c>
    </row>
    <row r="3" spans="1:3" x14ac:dyDescent="0.2">
      <c r="A3">
        <v>5</v>
      </c>
    </row>
    <row r="4" spans="1:3" x14ac:dyDescent="0.2">
      <c r="A4">
        <v>7</v>
      </c>
    </row>
    <row r="5" spans="1:3" x14ac:dyDescent="0.2">
      <c r="A5">
        <v>3</v>
      </c>
    </row>
    <row r="6" spans="1:3" x14ac:dyDescent="0.2">
      <c r="A6">
        <v>5</v>
      </c>
    </row>
    <row r="7" spans="1:3" x14ac:dyDescent="0.2">
      <c r="A7">
        <v>6</v>
      </c>
    </row>
    <row r="8" spans="1:3" x14ac:dyDescent="0.2">
      <c r="A8">
        <v>7</v>
      </c>
    </row>
    <row r="9" spans="1:3" x14ac:dyDescent="0.2">
      <c r="A9">
        <v>9</v>
      </c>
    </row>
    <row r="10" spans="1:3" x14ac:dyDescent="0.2">
      <c r="A10">
        <v>6</v>
      </c>
    </row>
    <row r="11" spans="1:3" x14ac:dyDescent="0.2">
      <c r="A11">
        <v>11</v>
      </c>
    </row>
    <row r="12" spans="1:3" x14ac:dyDescent="0.2">
      <c r="A12" s="39" t="s">
        <v>242</v>
      </c>
      <c r="C12">
        <f>_xlfn.VAR.S(A2:A11)</f>
        <v>5.5666666666666691</v>
      </c>
    </row>
    <row r="13" spans="1:3" x14ac:dyDescent="0.2">
      <c r="A13" s="39" t="s">
        <v>243</v>
      </c>
      <c r="C13">
        <f>_xlfn.VAR.S(A2:A11,13)</f>
        <v>9.0909090909090882</v>
      </c>
    </row>
  </sheetData>
  <phoneticPr fontId="1" type="noConversion"/>
  <pageMargins left="0.7" right="0.7" top="0.75" bottom="0.75" header="0.3" footer="0.3"/>
  <pageSetup orientation="portrait" horizontalDpi="4294967293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M20" sqref="L20:M20"/>
    </sheetView>
  </sheetViews>
  <sheetFormatPr defaultRowHeight="12.75" x14ac:dyDescent="0.2"/>
  <cols>
    <col min="3" max="3" width="12.140625" customWidth="1"/>
  </cols>
  <sheetData>
    <row r="1" spans="1:3" x14ac:dyDescent="0.2">
      <c r="A1" s="3" t="s">
        <v>0</v>
      </c>
    </row>
    <row r="2" spans="1:3" x14ac:dyDescent="0.2">
      <c r="A2">
        <v>4</v>
      </c>
    </row>
    <row r="3" spans="1:3" x14ac:dyDescent="0.2">
      <c r="A3">
        <v>5</v>
      </c>
    </row>
    <row r="4" spans="1:3" x14ac:dyDescent="0.2">
      <c r="A4">
        <v>7</v>
      </c>
    </row>
    <row r="5" spans="1:3" x14ac:dyDescent="0.2">
      <c r="A5">
        <v>3</v>
      </c>
    </row>
    <row r="6" spans="1:3" x14ac:dyDescent="0.2">
      <c r="A6" s="12" t="s">
        <v>96</v>
      </c>
    </row>
    <row r="7" spans="1:3" x14ac:dyDescent="0.2">
      <c r="A7">
        <v>6</v>
      </c>
    </row>
    <row r="8" spans="1:3" x14ac:dyDescent="0.2">
      <c r="A8">
        <v>7</v>
      </c>
    </row>
    <row r="9" spans="1:3" x14ac:dyDescent="0.2">
      <c r="A9">
        <v>9</v>
      </c>
    </row>
    <row r="10" spans="1:3" x14ac:dyDescent="0.2">
      <c r="A10">
        <v>6</v>
      </c>
    </row>
    <row r="11" spans="1:3" x14ac:dyDescent="0.2">
      <c r="A11">
        <v>11</v>
      </c>
    </row>
    <row r="12" spans="1:3" x14ac:dyDescent="0.2">
      <c r="A12" s="39" t="s">
        <v>238</v>
      </c>
      <c r="C12">
        <f>VARA(A2:A11)</f>
        <v>9.5111111111111128</v>
      </c>
    </row>
    <row r="13" spans="1:3" x14ac:dyDescent="0.2">
      <c r="A13" s="39" t="s">
        <v>239</v>
      </c>
      <c r="C13">
        <f>VARA(A2:A11,13)</f>
        <v>13.272727272727275</v>
      </c>
    </row>
  </sheetData>
  <phoneticPr fontId="1" type="noConversion"/>
  <pageMargins left="0.7" right="0.7" top="0.75" bottom="0.75" header="0.3" footer="0.3"/>
  <pageSetup orientation="portrait" horizontalDpi="4294967293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3" sqref="C13"/>
    </sheetView>
  </sheetViews>
  <sheetFormatPr defaultRowHeight="12.75" x14ac:dyDescent="0.2"/>
  <cols>
    <col min="3" max="3" width="12.140625" customWidth="1"/>
  </cols>
  <sheetData>
    <row r="1" spans="1:3" x14ac:dyDescent="0.2">
      <c r="A1" s="3" t="s">
        <v>0</v>
      </c>
    </row>
    <row r="2" spans="1:3" x14ac:dyDescent="0.2">
      <c r="A2">
        <v>4</v>
      </c>
    </row>
    <row r="3" spans="1:3" x14ac:dyDescent="0.2">
      <c r="A3">
        <v>5</v>
      </c>
    </row>
    <row r="4" spans="1:3" x14ac:dyDescent="0.2">
      <c r="A4">
        <v>7</v>
      </c>
    </row>
    <row r="5" spans="1:3" x14ac:dyDescent="0.2">
      <c r="A5">
        <v>3</v>
      </c>
    </row>
    <row r="6" spans="1:3" x14ac:dyDescent="0.2">
      <c r="A6" s="12" t="s">
        <v>96</v>
      </c>
    </row>
    <row r="7" spans="1:3" x14ac:dyDescent="0.2">
      <c r="A7">
        <v>6</v>
      </c>
    </row>
    <row r="8" spans="1:3" x14ac:dyDescent="0.2">
      <c r="A8">
        <v>7</v>
      </c>
    </row>
    <row r="9" spans="1:3" x14ac:dyDescent="0.2">
      <c r="A9">
        <v>9</v>
      </c>
    </row>
    <row r="10" spans="1:3" x14ac:dyDescent="0.2">
      <c r="A10">
        <v>6</v>
      </c>
    </row>
    <row r="11" spans="1:3" x14ac:dyDescent="0.2">
      <c r="A11">
        <v>11</v>
      </c>
    </row>
    <row r="12" spans="1:3" x14ac:dyDescent="0.2">
      <c r="A12" s="39" t="s">
        <v>244</v>
      </c>
      <c r="C12">
        <f>VARPA(A2:A11)</f>
        <v>8.56</v>
      </c>
    </row>
    <row r="13" spans="1:3" x14ac:dyDescent="0.2">
      <c r="A13" s="39" t="s">
        <v>245</v>
      </c>
      <c r="C13">
        <f>VARPA(A2:A11,13)</f>
        <v>12.066115702479339</v>
      </c>
    </row>
  </sheetData>
  <phoneticPr fontId="1" type="noConversion"/>
  <pageMargins left="0.7" right="0.7" top="0.75" bottom="0.75" header="0.3" footer="0.3"/>
  <pageSetup orientation="portrait" horizontalDpi="4294967293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K17" sqref="K17"/>
    </sheetView>
  </sheetViews>
  <sheetFormatPr defaultRowHeight="12.75" x14ac:dyDescent="0.2"/>
  <cols>
    <col min="1" max="1" width="11" customWidth="1"/>
    <col min="2" max="2" width="24.7109375" customWidth="1"/>
    <col min="4" max="4" width="11.5703125" bestFit="1" customWidth="1"/>
  </cols>
  <sheetData>
    <row r="1" spans="1:4" x14ac:dyDescent="0.2">
      <c r="A1" s="3" t="s">
        <v>0</v>
      </c>
      <c r="B1" s="3" t="s">
        <v>5</v>
      </c>
    </row>
    <row r="2" spans="1:4" x14ac:dyDescent="0.2">
      <c r="A2" s="6">
        <v>110</v>
      </c>
      <c r="B2" t="s">
        <v>14</v>
      </c>
    </row>
    <row r="3" spans="1:4" x14ac:dyDescent="0.2">
      <c r="A3">
        <v>15</v>
      </c>
      <c r="B3" t="s">
        <v>122</v>
      </c>
    </row>
    <row r="4" spans="1:4" x14ac:dyDescent="0.2">
      <c r="A4">
        <v>100</v>
      </c>
      <c r="B4" t="s">
        <v>121</v>
      </c>
    </row>
    <row r="5" spans="1:4" x14ac:dyDescent="0.2">
      <c r="A5" s="1" t="s">
        <v>246</v>
      </c>
      <c r="D5" s="27">
        <f>WEIBULL(A2,A3,A4,TRUE)</f>
        <v>0.98465933555456642</v>
      </c>
    </row>
    <row r="6" spans="1:4" x14ac:dyDescent="0.2">
      <c r="A6" s="1" t="s">
        <v>247</v>
      </c>
      <c r="D6" s="27">
        <f>WEIBULL(A2,A3,A4,FALSE)</f>
        <v>8.7384221553145503E-3</v>
      </c>
    </row>
  </sheetData>
  <phoneticPr fontId="1" type="noConversion"/>
  <pageMargins left="0.75" right="0.75" top="1" bottom="1" header="0.5" footer="0.5"/>
  <headerFooter alignWithMargins="0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C12" sqref="C12"/>
    </sheetView>
  </sheetViews>
  <sheetFormatPr defaultRowHeight="12.75" x14ac:dyDescent="0.2"/>
  <cols>
    <col min="1" max="1" width="11" customWidth="1"/>
    <col min="2" max="2" width="12.42578125" bestFit="1" customWidth="1"/>
    <col min="3" max="3" width="12.5703125" bestFit="1" customWidth="1"/>
  </cols>
  <sheetData>
    <row r="1" spans="1:3" x14ac:dyDescent="0.2">
      <c r="A1" s="3" t="s">
        <v>0</v>
      </c>
    </row>
    <row r="2" spans="1:3" x14ac:dyDescent="0.2">
      <c r="A2" s="6">
        <v>4</v>
      </c>
    </row>
    <row r="3" spans="1:3" x14ac:dyDescent="0.2">
      <c r="A3" s="6">
        <v>5</v>
      </c>
    </row>
    <row r="4" spans="1:3" x14ac:dyDescent="0.2">
      <c r="A4" s="22">
        <v>7</v>
      </c>
    </row>
    <row r="5" spans="1:3" x14ac:dyDescent="0.2">
      <c r="A5" s="22">
        <v>3</v>
      </c>
    </row>
    <row r="6" spans="1:3" x14ac:dyDescent="0.2">
      <c r="A6" s="6">
        <v>5</v>
      </c>
    </row>
    <row r="7" spans="1:3" x14ac:dyDescent="0.2">
      <c r="A7" s="6">
        <v>6</v>
      </c>
    </row>
    <row r="8" spans="1:3" x14ac:dyDescent="0.2">
      <c r="A8" s="6">
        <v>7</v>
      </c>
    </row>
    <row r="9" spans="1:3" x14ac:dyDescent="0.2">
      <c r="A9" s="6">
        <v>9</v>
      </c>
    </row>
    <row r="10" spans="1:3" x14ac:dyDescent="0.2">
      <c r="A10" s="6">
        <v>6</v>
      </c>
    </row>
    <row r="11" spans="1:3" x14ac:dyDescent="0.2">
      <c r="A11" s="6">
        <v>11</v>
      </c>
    </row>
    <row r="12" spans="1:3" x14ac:dyDescent="0.2">
      <c r="A12" s="1" t="s">
        <v>248</v>
      </c>
      <c r="C12" s="27">
        <f>ZTEST(A2:A11,6)</f>
        <v>0.34380876851544806</v>
      </c>
    </row>
    <row r="13" spans="1:3" x14ac:dyDescent="0.2">
      <c r="A13" s="1"/>
      <c r="C13" s="27"/>
    </row>
  </sheetData>
  <phoneticPr fontId="1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95</vt:i4>
      </vt:variant>
    </vt:vector>
  </HeadingPairs>
  <TitlesOfParts>
    <vt:vector size="95" baseType="lpstr">
      <vt:lpstr>Avedev</vt:lpstr>
      <vt:lpstr>Average</vt:lpstr>
      <vt:lpstr>Averagea</vt:lpstr>
      <vt:lpstr>Averageif</vt:lpstr>
      <vt:lpstr>Averageifs</vt:lpstr>
      <vt:lpstr>Beta.dist</vt:lpstr>
      <vt:lpstr>Beta.inv</vt:lpstr>
      <vt:lpstr>Binom.dist</vt:lpstr>
      <vt:lpstr>Binom.inv</vt:lpstr>
      <vt:lpstr>Chisq.dist</vt:lpstr>
      <vt:lpstr>Chisq.dist.rt</vt:lpstr>
      <vt:lpstr>Chisq.Inv</vt:lpstr>
      <vt:lpstr>Chisq.Rt.Inv</vt:lpstr>
      <vt:lpstr>Chitest</vt:lpstr>
      <vt:lpstr>Confidence.Norm</vt:lpstr>
      <vt:lpstr>Confidence.T</vt:lpstr>
      <vt:lpstr>Correl</vt:lpstr>
      <vt:lpstr>Count</vt:lpstr>
      <vt:lpstr>Counta</vt:lpstr>
      <vt:lpstr>Countblank</vt:lpstr>
      <vt:lpstr>Countif</vt:lpstr>
      <vt:lpstr>Countifs</vt:lpstr>
      <vt:lpstr>Covariance.P</vt:lpstr>
      <vt:lpstr>Covariance.T</vt:lpstr>
      <vt:lpstr>Critbinom</vt:lpstr>
      <vt:lpstr>DEVSQ</vt:lpstr>
      <vt:lpstr>Expon.Dist</vt:lpstr>
      <vt:lpstr>F.dist</vt:lpstr>
      <vt:lpstr>F.dist. RT</vt:lpstr>
      <vt:lpstr>F.INV</vt:lpstr>
      <vt:lpstr>F.INV.RT</vt:lpstr>
      <vt:lpstr>Ftest</vt:lpstr>
      <vt:lpstr>Fisher</vt:lpstr>
      <vt:lpstr>Fisher.inv</vt:lpstr>
      <vt:lpstr>Forecast</vt:lpstr>
      <vt:lpstr>Frequency</vt:lpstr>
      <vt:lpstr>Gammadist</vt:lpstr>
      <vt:lpstr>Gammainv</vt:lpstr>
      <vt:lpstr>Gammaln</vt:lpstr>
      <vt:lpstr>Geomean</vt:lpstr>
      <vt:lpstr>Growth</vt:lpstr>
      <vt:lpstr>Harmean</vt:lpstr>
      <vt:lpstr>Hypgeomdist</vt:lpstr>
      <vt:lpstr>Intercept</vt:lpstr>
      <vt:lpstr>Kurt</vt:lpstr>
      <vt:lpstr>Large</vt:lpstr>
      <vt:lpstr>Lognorm.dist</vt:lpstr>
      <vt:lpstr>Loginv</vt:lpstr>
      <vt:lpstr>Max</vt:lpstr>
      <vt:lpstr>maxA</vt:lpstr>
      <vt:lpstr>median</vt:lpstr>
      <vt:lpstr>MIN</vt:lpstr>
      <vt:lpstr>mINA</vt:lpstr>
      <vt:lpstr>Mode</vt:lpstr>
      <vt:lpstr>negbinom.dist</vt:lpstr>
      <vt:lpstr>Norm.dist</vt:lpstr>
      <vt:lpstr>Norm.inv</vt:lpstr>
      <vt:lpstr>norm.s.dist</vt:lpstr>
      <vt:lpstr>Norm.s.inv</vt:lpstr>
      <vt:lpstr>Pearson</vt:lpstr>
      <vt:lpstr>Percentile.Exc</vt:lpstr>
      <vt:lpstr>Percentile.inc</vt:lpstr>
      <vt:lpstr>Percentrank.exc</vt:lpstr>
      <vt:lpstr>Percentrank.inc</vt:lpstr>
      <vt:lpstr>permut</vt:lpstr>
      <vt:lpstr>poisson</vt:lpstr>
      <vt:lpstr>PROB</vt:lpstr>
      <vt:lpstr>Quartile.Exc</vt:lpstr>
      <vt:lpstr>Quartile.inc</vt:lpstr>
      <vt:lpstr>Rank</vt:lpstr>
      <vt:lpstr>Rsq</vt:lpstr>
      <vt:lpstr>Skew</vt:lpstr>
      <vt:lpstr>Slope</vt:lpstr>
      <vt:lpstr>small</vt:lpstr>
      <vt:lpstr>Stnadardize</vt:lpstr>
      <vt:lpstr>stdev.p</vt:lpstr>
      <vt:lpstr>stdev.s</vt:lpstr>
      <vt:lpstr>stdeva</vt:lpstr>
      <vt:lpstr>stdevp</vt:lpstr>
      <vt:lpstr>stdevpa </vt:lpstr>
      <vt:lpstr>Steyx</vt:lpstr>
      <vt:lpstr>T.dist</vt:lpstr>
      <vt:lpstr>T.dist.2T</vt:lpstr>
      <vt:lpstr>T.dist.RT</vt:lpstr>
      <vt:lpstr>T.inv</vt:lpstr>
      <vt:lpstr>T.inv.2T</vt:lpstr>
      <vt:lpstr>trend</vt:lpstr>
      <vt:lpstr>T.Test</vt:lpstr>
      <vt:lpstr>Trimmean</vt:lpstr>
      <vt:lpstr>Var.p</vt:lpstr>
      <vt:lpstr>Var.s</vt:lpstr>
      <vt:lpstr>Vara</vt:lpstr>
      <vt:lpstr>Varpa</vt:lpstr>
      <vt:lpstr>Weibull</vt:lpstr>
      <vt:lpstr>Ztest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Suliyanto</dc:creator>
  <cp:lastModifiedBy>Mukhlis</cp:lastModifiedBy>
  <dcterms:created xsi:type="dcterms:W3CDTF">2011-01-18T13:46:02Z</dcterms:created>
  <dcterms:modified xsi:type="dcterms:W3CDTF">2023-03-30T01:14:59Z</dcterms:modified>
</cp:coreProperties>
</file>