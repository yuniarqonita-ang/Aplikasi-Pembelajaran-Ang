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59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48.xml" ContentType="application/vnd.openxmlformats-officedocument.spreadsheetml.worksheet+xml"/>
  <Override PartName="/xl/worksheets/sheet58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55.xml" ContentType="application/vnd.openxmlformats-officedocument.spreadsheetml.worksheet+xml"/>
  <Override PartName="/xl/worksheets/sheet8.xml" ContentType="application/vnd.openxmlformats-officedocument.spreadsheetml.worksheet+xml"/>
  <Override PartName="/xl/worksheets/sheet62.xml" ContentType="application/vnd.openxmlformats-officedocument.spreadsheetml.worksheet+xml"/>
  <Override PartName="/xl/worksheets/sheet54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64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vedev" sheetId="1" state="visible" r:id="rId3"/>
    <sheet name="Average" sheetId="2" state="visible" r:id="rId4"/>
    <sheet name="Averagea" sheetId="3" state="visible" r:id="rId5"/>
    <sheet name="Averageif" sheetId="4" state="visible" r:id="rId6"/>
    <sheet name="Averageifs" sheetId="5" state="visible" r:id="rId7"/>
    <sheet name="Beta.dist" sheetId="6" state="visible" r:id="rId8"/>
    <sheet name="Beta.inv" sheetId="7" state="visible" r:id="rId9"/>
    <sheet name="Binom.dist" sheetId="8" state="visible" r:id="rId10"/>
    <sheet name="Binom.inv" sheetId="9" state="visible" r:id="rId11"/>
    <sheet name="Chisq.dist" sheetId="10" state="visible" r:id="rId12"/>
    <sheet name="Chisq.dist.rt" sheetId="11" state="visible" r:id="rId13"/>
    <sheet name="Chisq.Inv" sheetId="12" state="visible" r:id="rId14"/>
    <sheet name="Chisq.Rt.Inv" sheetId="13" state="visible" r:id="rId15"/>
    <sheet name="Chitest" sheetId="14" state="visible" r:id="rId16"/>
    <sheet name="Confidence.Norm" sheetId="15" state="visible" r:id="rId17"/>
    <sheet name="Confidence.T" sheetId="16" state="visible" r:id="rId18"/>
    <sheet name="Correl" sheetId="17" state="visible" r:id="rId19"/>
    <sheet name="Count" sheetId="18" state="visible" r:id="rId20"/>
    <sheet name="Counta" sheetId="19" state="visible" r:id="rId21"/>
    <sheet name="Countblank" sheetId="20" state="visible" r:id="rId22"/>
    <sheet name="Countif" sheetId="21" state="visible" r:id="rId23"/>
    <sheet name="Countifs" sheetId="22" state="visible" r:id="rId24"/>
    <sheet name="Covariance.P" sheetId="23" state="visible" r:id="rId25"/>
    <sheet name="Covariance.T" sheetId="24" state="visible" r:id="rId26"/>
    <sheet name="Critbinom" sheetId="25" state="visible" r:id="rId27"/>
    <sheet name="DEVSQ" sheetId="26" state="visible" r:id="rId28"/>
    <sheet name="Expon.Dist" sheetId="27" state="visible" r:id="rId29"/>
    <sheet name="F.dist" sheetId="28" state="visible" r:id="rId30"/>
    <sheet name="F.dist. RT" sheetId="29" state="visible" r:id="rId31"/>
    <sheet name="F.INV" sheetId="30" state="visible" r:id="rId32"/>
    <sheet name="F.INV.RT" sheetId="31" state="visible" r:id="rId33"/>
    <sheet name="Ftest" sheetId="32" state="visible" r:id="rId34"/>
    <sheet name="Fisher" sheetId="33" state="visible" r:id="rId35"/>
    <sheet name="Fisher.inv" sheetId="34" state="visible" r:id="rId36"/>
    <sheet name="Forecast" sheetId="35" state="visible" r:id="rId37"/>
    <sheet name="Frequency" sheetId="36" state="visible" r:id="rId38"/>
    <sheet name="Gammadist" sheetId="37" state="visible" r:id="rId39"/>
    <sheet name="Gammainv" sheetId="38" state="visible" r:id="rId40"/>
    <sheet name="Gammaln" sheetId="39" state="visible" r:id="rId41"/>
    <sheet name="Geomean" sheetId="40" state="visible" r:id="rId42"/>
    <sheet name="Growth" sheetId="41" state="visible" r:id="rId43"/>
    <sheet name="Harmean" sheetId="42" state="visible" r:id="rId44"/>
    <sheet name="Hypgeomdist" sheetId="43" state="visible" r:id="rId45"/>
    <sheet name="Intercept" sheetId="44" state="visible" r:id="rId46"/>
    <sheet name="Kurt" sheetId="45" state="visible" r:id="rId47"/>
    <sheet name="Large" sheetId="46" state="visible" r:id="rId48"/>
    <sheet name="Lognorm.dist" sheetId="47" state="visible" r:id="rId49"/>
    <sheet name="Loginv" sheetId="48" state="visible" r:id="rId50"/>
    <sheet name="Max" sheetId="49" state="visible" r:id="rId51"/>
    <sheet name="maxA" sheetId="50" state="visible" r:id="rId52"/>
    <sheet name="median" sheetId="51" state="visible" r:id="rId53"/>
    <sheet name="MIN" sheetId="52" state="visible" r:id="rId54"/>
    <sheet name="mINA" sheetId="53" state="visible" r:id="rId55"/>
    <sheet name="Mode" sheetId="54" state="visible" r:id="rId56"/>
    <sheet name="negbinom.dist" sheetId="55" state="visible" r:id="rId57"/>
    <sheet name="Norm.dist" sheetId="56" state="visible" r:id="rId58"/>
    <sheet name="Norm.inv" sheetId="57" state="visible" r:id="rId59"/>
    <sheet name="norm.s.dist" sheetId="58" state="visible" r:id="rId60"/>
    <sheet name="Norm.s.inv" sheetId="59" state="visible" r:id="rId61"/>
    <sheet name="Pearson" sheetId="60" state="visible" r:id="rId62"/>
    <sheet name="Percentile.Exc" sheetId="61" state="visible" r:id="rId63"/>
    <sheet name="Percentile.inc" sheetId="62" state="visible" r:id="rId64"/>
    <sheet name="Percentrank.exc" sheetId="63" state="visible" r:id="rId65"/>
    <sheet name="Percentrank.inc" sheetId="64" state="visible" r:id="rId66"/>
    <sheet name="permut" sheetId="65" state="visible" r:id="rId67"/>
    <sheet name="poisson" sheetId="66" state="visible" r:id="rId68"/>
    <sheet name="PROB" sheetId="67" state="visible" r:id="rId69"/>
    <sheet name="Quartile.Exc" sheetId="68" state="visible" r:id="rId70"/>
    <sheet name="Quartile.inc" sheetId="69" state="visible" r:id="rId71"/>
    <sheet name="Rank" sheetId="70" state="visible" r:id="rId72"/>
    <sheet name="Rsq" sheetId="71" state="visible" r:id="rId73"/>
    <sheet name="Skew" sheetId="72" state="visible" r:id="rId74"/>
    <sheet name="Slope" sheetId="73" state="visible" r:id="rId75"/>
    <sheet name="small" sheetId="74" state="visible" r:id="rId76"/>
    <sheet name="Stnadardize" sheetId="75" state="visible" r:id="rId77"/>
    <sheet name="stdev.p" sheetId="76" state="visible" r:id="rId78"/>
    <sheet name="stdev.s" sheetId="77" state="visible" r:id="rId79"/>
    <sheet name="stdeva" sheetId="78" state="visible" r:id="rId80"/>
    <sheet name="stdevp" sheetId="79" state="visible" r:id="rId81"/>
    <sheet name="stdevpa " sheetId="80" state="visible" r:id="rId82"/>
    <sheet name="Steyx" sheetId="81" state="visible" r:id="rId83"/>
    <sheet name="T.dist" sheetId="82" state="visible" r:id="rId84"/>
    <sheet name="T.dist.2T" sheetId="83" state="visible" r:id="rId85"/>
    <sheet name="T.dist.RT" sheetId="84" state="visible" r:id="rId86"/>
    <sheet name="T.inv" sheetId="85" state="visible" r:id="rId87"/>
    <sheet name="T.inv.2T" sheetId="86" state="visible" r:id="rId88"/>
    <sheet name="trend" sheetId="87" state="visible" r:id="rId89"/>
    <sheet name="T.Test" sheetId="88" state="visible" r:id="rId90"/>
    <sheet name="Trimmean" sheetId="89" state="visible" r:id="rId91"/>
    <sheet name="Var.p" sheetId="90" state="visible" r:id="rId92"/>
    <sheet name="Var.s" sheetId="91" state="visible" r:id="rId93"/>
    <sheet name="Vara" sheetId="92" state="visible" r:id="rId94"/>
    <sheet name="Varpa" sheetId="93" state="visible" r:id="rId95"/>
    <sheet name="Weibull" sheetId="94" state="visible" r:id="rId96"/>
    <sheet name="Ztest" sheetId="95" state="visible" r:id="rId9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<sst xmlns="http://schemas.openxmlformats.org/spreadsheetml/2006/main" count="450" uniqueCount="253">
  <si>
    <t xml:space="preserve">Data</t>
  </si>
  <si>
    <t xml:space="preserve">=AVEDEV(A2:A8)</t>
  </si>
  <si>
    <t xml:space="preserve">=AVEDEV(A2:A8;10)</t>
  </si>
  <si>
    <t xml:space="preserve">=AVERAGE(A2:A7)</t>
  </si>
  <si>
    <t xml:space="preserve">=AVERAGE(A2:A7,5)</t>
  </si>
  <si>
    <t xml:space="preserve">Kosong</t>
  </si>
  <si>
    <t xml:space="preserve">=AVERAGEA(A2:A7)</t>
  </si>
  <si>
    <t xml:space="preserve">=AVERAGEA(A2:A7,5)</t>
  </si>
  <si>
    <t xml:space="preserve">Masa Kerja</t>
  </si>
  <si>
    <t xml:space="preserve">Golongan</t>
  </si>
  <si>
    <t xml:space="preserve">=AVERAGEIF(A2:A7,"&gt;=10")</t>
  </si>
  <si>
    <t xml:space="preserve">=AVERAGEIF(B2:B7,"&gt;2",A2:A7)</t>
  </si>
  <si>
    <t xml:space="preserve">Nilai Statistika I</t>
  </si>
  <si>
    <t xml:space="preserve">Nilai Statistika II</t>
  </si>
  <si>
    <t xml:space="preserve">Tidak Lengkap</t>
  </si>
  <si>
    <t xml:space="preserve">=AVERAGEIFS(A2:A7,A2:A7,"&gt;70",A2:A7,"&lt;90")</t>
  </si>
  <si>
    <t xml:space="preserve">=AVERAGEIFS(A2:A7,A2:A7,"&gt;70",B2:B7,"&gt;70")</t>
  </si>
  <si>
    <t xml:space="preserve">Keterangan</t>
  </si>
  <si>
    <t xml:space="preserve">Nilai yang dievaluasi</t>
  </si>
  <si>
    <t xml:space="preserve">Parameter distribusi</t>
  </si>
  <si>
    <t xml:space="preserve">Beta</t>
  </si>
  <si>
    <t xml:space="preserve">Batas bawah</t>
  </si>
  <si>
    <t xml:space="preserve">Batas atas</t>
  </si>
  <si>
    <t xml:space="preserve">=BETA.DIST(A2,A3,A4,TRUE,A5,A6)</t>
  </si>
  <si>
    <t xml:space="preserve">Probabilitas</t>
  </si>
  <si>
    <t xml:space="preserve">=BETA.INV(A2,A3,A4,A5,A6)</t>
  </si>
  <si>
    <t xml:space="preserve">Jumlah percobaan sukses</t>
  </si>
  <si>
    <t xml:space="preserve">Jumlah percobaan bebas</t>
  </si>
  <si>
    <t xml:space="preserve">Probabilitas sukses untuk masing-masing percobaan</t>
  </si>
  <si>
    <t xml:space="preserve">=BINOM.DIST(A2,A3,A4,TRUE)</t>
  </si>
  <si>
    <t xml:space="preserve">=BINOMDIST(A2,A3,A4,FALSE)</t>
  </si>
  <si>
    <t xml:space="preserve">Jumlah percobaan Bernoulli</t>
  </si>
  <si>
    <t xml:space="preserve">Nilai kriteria</t>
  </si>
  <si>
    <t xml:space="preserve">=BINOM.INV(A2,A3,A4)</t>
  </si>
  <si>
    <t xml:space="preserve">Nilai yang akan dievaluasi</t>
  </si>
  <si>
    <t xml:space="preserve">Degress of freedom</t>
  </si>
  <si>
    <t xml:space="preserve">=CHISQ.DIST(A2,A3,TRUE)</t>
  </si>
  <si>
    <t xml:space="preserve">=CHISQ.DIST(A2,A3,FALSE)</t>
  </si>
  <si>
    <t xml:space="preserve">=CHISQ.DIST.RT(A2,A3)</t>
  </si>
  <si>
    <t xml:space="preserve">=CHISQ.INV(A2,A3)</t>
  </si>
  <si>
    <t xml:space="preserve">=CHISQ.INV.RT(A2,A3)</t>
  </si>
  <si>
    <t xml:space="preserve">NILAI AKTUAL</t>
  </si>
  <si>
    <t xml:space="preserve">Jawaban/Jenis Kelamin</t>
  </si>
  <si>
    <t xml:space="preserve">Pria</t>
  </si>
  <si>
    <t xml:space="preserve">Wanita </t>
  </si>
  <si>
    <t xml:space="preserve">Jumlah</t>
  </si>
  <si>
    <t xml:space="preserve">Setuju</t>
  </si>
  <si>
    <t xml:space="preserve">Netral</t>
  </si>
  <si>
    <t xml:space="preserve">Tidak Setuju</t>
  </si>
  <si>
    <t xml:space="preserve">NILAI HARAPAN</t>
  </si>
  <si>
    <t xml:space="preserve">CHITEST</t>
  </si>
  <si>
    <t xml:space="preserve">Tingkat signifikansi</t>
  </si>
  <si>
    <t xml:space="preserve">Standar deviasi populasi</t>
  </si>
  <si>
    <t xml:space="preserve">Contoh ukuran</t>
  </si>
  <si>
    <t xml:space="preserve">=CONFIDENCE.NORM(A2,A3,A4)</t>
  </si>
  <si>
    <t xml:space="preserve">=CONFIDENCE.T(A2,A3,A4)</t>
  </si>
  <si>
    <t xml:space="preserve">Jumlah Anggota Keluarga</t>
  </si>
  <si>
    <t xml:space="preserve">Konsumsi Air/Bulan (M Kubik)</t>
  </si>
  <si>
    <t xml:space="preserve">=CORREL(A2:A10,B2:B10)</t>
  </si>
  <si>
    <t xml:space="preserve">PARTO</t>
  </si>
  <si>
    <t xml:space="preserve">=COUNT(A2:A10)</t>
  </si>
  <si>
    <t xml:space="preserve">=COUNT(A6:A10)</t>
  </si>
  <si>
    <t xml:space="preserve">=COUNT(A2:A10,5)</t>
  </si>
  <si>
    <t xml:space="preserve">=COUNTA(A2:A10)</t>
  </si>
  <si>
    <t xml:space="preserve">=COUNTBLANK(A2:B5)</t>
  </si>
  <si>
    <t xml:space="preserve">Susu</t>
  </si>
  <si>
    <t xml:space="preserve">Coklat</t>
  </si>
  <si>
    <t xml:space="preserve">Pisang</t>
  </si>
  <si>
    <t xml:space="preserve">=COUNTIF(A2:A6,"Susu")</t>
  </si>
  <si>
    <t xml:space="preserve">=COUNTIF(B2:B6,"&gt;50")</t>
  </si>
  <si>
    <t xml:space="preserve">=COUNTIF(A2:A6;"Susu")</t>
  </si>
  <si>
    <t xml:space="preserve">=COUNTIF(B2:B6;"&gt;50")</t>
  </si>
  <si>
    <t xml:space="preserve">Data1</t>
  </si>
  <si>
    <t xml:space="preserve">Data2</t>
  </si>
  <si>
    <t xml:space="preserve">=COVARIANCE.P(A2:A6,B2:B6)</t>
  </si>
  <si>
    <t xml:space="preserve">=COVARIANCE.S(A2:A6,B2:B6)</t>
  </si>
  <si>
    <t xml:space="preserve">Kemungkinan sukses masing-masing kriteria</t>
  </si>
  <si>
    <t xml:space="preserve">=CRITBINOM(A2,A3,A4)</t>
  </si>
  <si>
    <t xml:space="preserve">=DEVSQ(A2:A7)</t>
  </si>
  <si>
    <t xml:space="preserve">=DEVSQ(A2:A7,10)</t>
  </si>
  <si>
    <t xml:space="preserve">Nilai fungsi</t>
  </si>
  <si>
    <t xml:space="preserve">Nilai parameter</t>
  </si>
  <si>
    <t xml:space="preserve">=EXPON.DIST(A2;A3,TRUE)</t>
  </si>
  <si>
    <t xml:space="preserve">=EXPON.DIST(A2;A3,FALSE)</t>
  </si>
  <si>
    <t xml:space="preserve">Derajat bebas pembilang</t>
  </si>
  <si>
    <t xml:space="preserve">Derajat bebas penyebut</t>
  </si>
  <si>
    <t xml:space="preserve">=F.DIST(A2,A3,A4,TRUE)</t>
  </si>
  <si>
    <t xml:space="preserve">=F.DIST(A2,A3,A4,FALSE)</t>
  </si>
  <si>
    <t xml:space="preserve">=F.DIST.RT(A2,A3,A4)</t>
  </si>
  <si>
    <t xml:space="preserve">Nilai probabilitas dengan distribusi kumulatif F</t>
  </si>
  <si>
    <t xml:space="preserve">=F.INV(A2,A3,A4)</t>
  </si>
  <si>
    <t xml:space="preserve">=F.INV.RT(A2,A3,A4)</t>
  </si>
  <si>
    <t xml:space="preserve">Pendapatan Istri</t>
  </si>
  <si>
    <t xml:space="preserve">Pendapatan Suami</t>
  </si>
  <si>
    <t xml:space="preserve">=F.TEST(B2:B10;A2:A10)</t>
  </si>
  <si>
    <t xml:space="preserve">  </t>
  </si>
  <si>
    <t xml:space="preserve">Nilai Fisher</t>
  </si>
  <si>
    <t xml:space="preserve">=FISHER(A2)</t>
  </si>
  <si>
    <t xml:space="preserve">=FISHERINV(A2)</t>
  </si>
  <si>
    <t xml:space="preserve">Promosi</t>
  </si>
  <si>
    <t xml:space="preserve">Penjualan</t>
  </si>
  <si>
    <t xml:space="preserve">=FORECAST(10,B2:B10,A2:A10)</t>
  </si>
  <si>
    <t xml:space="preserve">Skor</t>
  </si>
  <si>
    <t xml:space="preserve">Bin</t>
  </si>
  <si>
    <t xml:space="preserve">=FREQUENCY(A2:A10,B2:B4)</t>
  </si>
  <si>
    <t xml:space="preserve">Nilai yang akan dicari distribusinya</t>
  </si>
  <si>
    <t xml:space="preserve">Alpha (Parameter distribusi)</t>
  </si>
  <si>
    <t xml:space="preserve">Parameter distribusi (Jika Beta =1, maka akan dihasilkan distribusi gamma standar)</t>
  </si>
  <si>
    <t xml:space="preserve">=GAMMA.DIST(A2,A3,A4,TRUE)</t>
  </si>
  <si>
    <t xml:space="preserve">=GAMMADIST(A2,A3,A4,FALSE)</t>
  </si>
  <si>
    <t xml:space="preserve">=GAMMA.INV(A2,A3,A4)</t>
  </si>
  <si>
    <t xml:space="preserve">=GAMMALN(A2)</t>
  </si>
  <si>
    <t xml:space="preserve">=GEOMEAN(A2:A10)</t>
  </si>
  <si>
    <t xml:space="preserve">=GEOMEAN(A2:A10,12)</t>
  </si>
  <si>
    <t xml:space="preserve">Bulan</t>
  </si>
  <si>
    <t xml:space="preserve">=GROWTH(B2:B8;A2:A8;A10:A11)</t>
  </si>
  <si>
    <t xml:space="preserve">=HARMEAN(A2:A10)</t>
  </si>
  <si>
    <t xml:space="preserve">=HARMEAN(A2:A10,12)</t>
  </si>
  <si>
    <t xml:space="preserve">Sampel</t>
  </si>
  <si>
    <t xml:space="preserve">Ukuran Sampel</t>
  </si>
  <si>
    <t xml:space="preserve">Populasi</t>
  </si>
  <si>
    <t xml:space="preserve">Ukuran populasi</t>
  </si>
  <si>
    <t xml:space="preserve">=HYPGEOM.DIST(A2,A3,A4,A5,TRUE)</t>
  </si>
  <si>
    <t xml:space="preserve">=HYPGEOM.DIST(A2,A3,A4,A5,FALSE)</t>
  </si>
  <si>
    <t xml:space="preserve">=INTERCEPT(B2:B10,A2:A10)</t>
  </si>
  <si>
    <t xml:space="preserve">=KURT(A2;A11)</t>
  </si>
  <si>
    <t xml:space="preserve">=KURT(A2:A11,13)</t>
  </si>
  <si>
    <t xml:space="preserve">=LARGE(A2:A11,3)</t>
  </si>
  <si>
    <t xml:space="preserve">Nilai yang akan dihitung dengan fungsi X</t>
  </si>
  <si>
    <t xml:space="preserve">Rata-rata ln(x)</t>
  </si>
  <si>
    <t xml:space="preserve">Standard deviasi ln(x)</t>
  </si>
  <si>
    <t xml:space="preserve">=LOGNORM.DIST(A2,A3,A4,TRUE)</t>
  </si>
  <si>
    <t xml:space="preserve">=LOGNORM.DIST(A2,A3,A4,FALSE)</t>
  </si>
  <si>
    <t xml:space="preserve">Probabilitas untuk distribusi lognormal</t>
  </si>
  <si>
    <t xml:space="preserve">=LOGNORM.INV(A2,A3,A4)</t>
  </si>
  <si>
    <t xml:space="preserve">=MAX(A2:A11)</t>
  </si>
  <si>
    <t xml:space="preserve">=MAX(A2:A11,13)</t>
  </si>
  <si>
    <t xml:space="preserve">Bandung</t>
  </si>
  <si>
    <t xml:space="preserve">=MAXA(A2;A11)</t>
  </si>
  <si>
    <t xml:space="preserve">=MAXA(A2:A11,3)</t>
  </si>
  <si>
    <t xml:space="preserve">=MEDIAN(A2:A11)</t>
  </si>
  <si>
    <t xml:space="preserve">=MEDIAN(A2:A11,10)</t>
  </si>
  <si>
    <t xml:space="preserve">=MIN(A2:A11)</t>
  </si>
  <si>
    <t xml:space="preserve">=MIN(A2:A11,0)</t>
  </si>
  <si>
    <t xml:space="preserve">=MINA(A2;A11)</t>
  </si>
  <si>
    <t xml:space="preserve">=MINA(A2:A11,-3)</t>
  </si>
  <si>
    <t xml:space="preserve">=MODE(A2:A11)</t>
  </si>
  <si>
    <t xml:space="preserve">=MODE(A2:A11,4)</t>
  </si>
  <si>
    <t xml:space="preserve">Jumlah gagal (failures)</t>
  </si>
  <si>
    <t xml:space="preserve">Jumlah ambang sukses</t>
  </si>
  <si>
    <t xml:space="preserve">Probabilitas sukses</t>
  </si>
  <si>
    <t xml:space="preserve">=NEGBINOM.DIST(A2,A3,A4,TRUE)</t>
  </si>
  <si>
    <t xml:space="preserve">=NEGBINOM.DIST(A2,A3,A4,FALSE)</t>
  </si>
  <si>
    <t xml:space="preserve">Nilai yang akan dicari </t>
  </si>
  <si>
    <t xml:space="preserve">Rata-rata</t>
  </si>
  <si>
    <t xml:space="preserve">Standart Deviasi</t>
  </si>
  <si>
    <t xml:space="preserve">=NORM.DIST(A2,A3,A4,TRUE)</t>
  </si>
  <si>
    <t xml:space="preserve">=NORM.DIST(A2,A3,A4,FALSE)</t>
  </si>
  <si>
    <t xml:space="preserve">Probabilitas pada kurva normal</t>
  </si>
  <si>
    <t xml:space="preserve">=NORM.INV(A2,A3,A4)</t>
  </si>
  <si>
    <t xml:space="preserve">Nilai yang dicari distribusinya (Z)</t>
  </si>
  <si>
    <t xml:space="preserve">=NORM.S.DIST(A2,TRUE)</t>
  </si>
  <si>
    <t xml:space="preserve">=NORM.S.DIST(A2,FALSE)</t>
  </si>
  <si>
    <t xml:space="preserve">=NORM.S.INV(A2)</t>
  </si>
  <si>
    <t xml:space="preserve">=PEARSON(A2:A10,B2:B10)</t>
  </si>
  <si>
    <t xml:space="preserve">=PERCENTILE.EXC(A2:A11,0.2)</t>
  </si>
  <si>
    <t xml:space="preserve">=PERCENTILE.INC(A2:A11,0.2)</t>
  </si>
  <si>
    <t xml:space="preserve">=PERCENTRANK.EXC(A2:A11,5)</t>
  </si>
  <si>
    <t xml:space="preserve">=PERCENTRANK.INC(A2:A11,5)</t>
  </si>
  <si>
    <t xml:space="preserve">Jumlah obyek</t>
  </si>
  <si>
    <t xml:space="preserve">Jumlah obyek pada setiap permutasi</t>
  </si>
  <si>
    <t xml:space="preserve">=PERMUT(A2:A3)</t>
  </si>
  <si>
    <t xml:space="preserve">Jumlah kejadian (x)</t>
  </si>
  <si>
    <t xml:space="preserve">Rata-rata yang diharapkan</t>
  </si>
  <si>
    <t xml:space="preserve">=POISSON(A2,A3,TRUE)</t>
  </si>
  <si>
    <t xml:space="preserve">=POISSON(A2,A3,FALSE)</t>
  </si>
  <si>
    <t xml:space="preserve">=PROB(A2:A5,B2:B5,7)</t>
  </si>
  <si>
    <t xml:space="preserve">=PROB(A2:A5,B2:B5,1,3)</t>
  </si>
  <si>
    <t xml:space="preserve">=QUARTILE.EXC(A2:A11,1)</t>
  </si>
  <si>
    <t xml:space="preserve">=QUARTILE.EXC(A2:A11,3)</t>
  </si>
  <si>
    <t xml:space="preserve">=QUARTILE.INC(A2:A11,1)</t>
  </si>
  <si>
    <t xml:space="preserve">=QUARTILE.INC(A2:A11,3)</t>
  </si>
  <si>
    <t xml:space="preserve">=RANK(4,A2:A11,0)</t>
  </si>
  <si>
    <t xml:space="preserve">=RANK(4,A2:A11,1)</t>
  </si>
  <si>
    <t xml:space="preserve">=RSQ(A2:A10,B2:B10)</t>
  </si>
  <si>
    <t xml:space="preserve">=SKEW(A2;A11)</t>
  </si>
  <si>
    <t xml:space="preserve">=SKEW(A2:A11,13)</t>
  </si>
  <si>
    <t xml:space="preserve">=SLOPE(B2:B10,A2:A10)</t>
  </si>
  <si>
    <t xml:space="preserve">=SMALL(A2:A11,3)</t>
  </si>
  <si>
    <t xml:space="preserve">Nilai yang akan distandardized-kan</t>
  </si>
  <si>
    <t xml:space="preserve">Standard deviasi</t>
  </si>
  <si>
    <t xml:space="preserve">=STANDARDIZE(A2,A3,A4)</t>
  </si>
  <si>
    <t xml:space="preserve">=STDEV.P(A2:A11)</t>
  </si>
  <si>
    <t xml:space="preserve">=STDEV.P(A2:A11,13)</t>
  </si>
  <si>
    <t xml:space="preserve">=STDEV.S(A2:A11)</t>
  </si>
  <si>
    <t xml:space="preserve">=STDEV.S(A2:A11,13)</t>
  </si>
  <si>
    <t xml:space="preserve">Kamis</t>
  </si>
  <si>
    <t xml:space="preserve">=STDEVA(A2:A11)</t>
  </si>
  <si>
    <t xml:space="preserve">=STDEVA(A2:A11,13)</t>
  </si>
  <si>
    <t xml:space="preserve">=STDEVP(A2:A11)</t>
  </si>
  <si>
    <t xml:space="preserve">=STDEVP(A2:A11;13)</t>
  </si>
  <si>
    <t xml:space="preserve">=STDEVPA(A2:A11)</t>
  </si>
  <si>
    <t xml:space="preserve">=STDEVPA(A2:A11,13)</t>
  </si>
  <si>
    <t xml:space="preserve">=STEYX(B2:B10,A2:A10)</t>
  </si>
  <si>
    <t xml:space="preserve">Derajat bebas </t>
  </si>
  <si>
    <t xml:space="preserve">=T.DIST(A2,A3,TRUE)</t>
  </si>
  <si>
    <t xml:space="preserve">=T.DIST(A2,A3,FALSE)</t>
  </si>
  <si>
    <t xml:space="preserve">=T.DIST.2T(A2,A3)</t>
  </si>
  <si>
    <t xml:space="preserve">=T.DIST.RT(A2,A3)</t>
  </si>
  <si>
    <t xml:space="preserve">Probabilitas distribusi t-Student dua ujung</t>
  </si>
  <si>
    <t xml:space="preserve">=TINV(A2,A3)</t>
  </si>
  <si>
    <t xml:space="preserve">=TINV.2T(A2,A3)</t>
  </si>
  <si>
    <t xml:space="preserve">Periode</t>
  </si>
  <si>
    <t xml:space="preserve">Jan  2010</t>
  </si>
  <si>
    <t xml:space="preserve">Feb 2010</t>
  </si>
  <si>
    <t xml:space="preserve">Mar 2010</t>
  </si>
  <si>
    <t xml:space="preserve">Apr 2010</t>
  </si>
  <si>
    <t xml:space="preserve">Mei 2010</t>
  </si>
  <si>
    <t xml:space="preserve">Jun 2010</t>
  </si>
  <si>
    <t xml:space="preserve">Jul  2010</t>
  </si>
  <si>
    <t xml:space="preserve">Ags 2010</t>
  </si>
  <si>
    <t xml:space="preserve">Sep 2010</t>
  </si>
  <si>
    <t xml:space="preserve">Okt 2010</t>
  </si>
  <si>
    <t xml:space="preserve">Nov 2010</t>
  </si>
  <si>
    <t xml:space="preserve">Des 2010</t>
  </si>
  <si>
    <t xml:space="preserve">Jan  2011</t>
  </si>
  <si>
    <t xml:space="preserve">=TREND(C2:C13,B2:B13,B14:B18,TRUE)</t>
  </si>
  <si>
    <t xml:space="preserve">Feb 2011</t>
  </si>
  <si>
    <t xml:space="preserve">Mar 2011</t>
  </si>
  <si>
    <t xml:space="preserve">Apr 2011</t>
  </si>
  <si>
    <t xml:space="preserve">Mei 2011</t>
  </si>
  <si>
    <t xml:space="preserve">Sampel 1</t>
  </si>
  <si>
    <t xml:space="preserve">Sampel 2</t>
  </si>
  <si>
    <t xml:space="preserve">=T.TEST(A2:A13,B2:B13,1,1)</t>
  </si>
  <si>
    <t xml:space="preserve">=T.TEST(A2:A13,B2:B13,1,2)</t>
  </si>
  <si>
    <t xml:space="preserve">=T.TEST(A2:A13,B2:B13,1,3)</t>
  </si>
  <si>
    <t xml:space="preserve">=T.TEST(A2:A13,B2:B13,2,1)</t>
  </si>
  <si>
    <t xml:space="preserve">=T.TEST(A2:A13,B2:B13,2,2)</t>
  </si>
  <si>
    <t xml:space="preserve">=T.TEST(A2:A13,B2:B13,2,3)</t>
  </si>
  <si>
    <t xml:space="preserve">=TRIMMEAN(A2:A11,0.25)</t>
  </si>
  <si>
    <t xml:space="preserve">=VAR.P(A2:A11)</t>
  </si>
  <si>
    <t xml:space="preserve">=VAR.P(A2:A11,13)</t>
  </si>
  <si>
    <t xml:space="preserve">=VAR.S(A2:A11)</t>
  </si>
  <si>
    <t xml:space="preserve">=VAR.S(A2:A11,13)</t>
  </si>
  <si>
    <t xml:space="preserve">=VARA(A2:A11)</t>
  </si>
  <si>
    <t xml:space="preserve">=VARA(A2:A11,13)</t>
  </si>
  <si>
    <t xml:space="preserve">=VARPA(A2:A11)</t>
  </si>
  <si>
    <t xml:space="preserve">=VARPA(A2:A11,13)</t>
  </si>
  <si>
    <t xml:space="preserve">Parameter alpha</t>
  </si>
  <si>
    <t xml:space="preserve">Parameter beta</t>
  </si>
  <si>
    <t xml:space="preserve">=WEIBULL(A2,A3,A4,TRUE)</t>
  </si>
  <si>
    <t xml:space="preserve">=WEIBULL(A2,A3,A4,FALSE)</t>
  </si>
  <si>
    <t xml:space="preserve">=ZTEST(A2:A11,6)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</si>
</sst>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@"/>
    <numFmt numFmtId="166" formatCode="0.000000000"/>
    <numFmt numFmtId="167" formatCode="0.00000"/>
    <numFmt numFmtId="168" formatCode="0.000"/>
    <numFmt numFmtId="169" formatCode="0.00"/>
    <numFmt numFmtId="170" formatCode="0"/>
    <numFmt numFmtId="171" formatCode="0.0000000"/>
    <numFmt numFmtId="172" formatCode="m/d/yyyy"/>
    <numFmt numFmtId="173" formatCode="0.000000"/>
    <numFmt numFmtId="174" formatCode="0.00000000"/>
    <numFmt numFmtId="175" formatCode="0.0000000000"/>
    <numFmt numFmtId="176" formatCode="0.000000000000"/>
    <numFmt numFmtId="177" formatCode="0.0"/>
    <numFmt numFmtId="178" formatCode="0.00000E+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</font>
    <font>
      <i val="true"/>
      <sz val="10"/>
      <name val="Arial"/>
      <family val="2"/>
    </font>
    <font>
      <sz val="12"/>
      <name val="Arial Narrow"/>
      <family val="2"/>
    </font>
    <font>
      <sz val="14"/>
      <name val="Arial"/>
      <family val="2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tdev.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12</xdr:col>
      <xdr:colOff>75960</xdr:colOff>
      <xdr:row>14</xdr:row>
      <xdr:rowOff>47520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6510600" y="324000"/>
          <a:ext cx="3133440" cy="199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38160</xdr:colOff>
      <xdr:row>14</xdr:row>
      <xdr:rowOff>104760</xdr:rowOff>
    </xdr:from>
    <xdr:to>
      <xdr:col>12</xdr:col>
      <xdr:colOff>352080</xdr:colOff>
      <xdr:row>25</xdr:row>
      <xdr:rowOff>117360</xdr:rowOff>
    </xdr:to>
    <xdr:pic>
      <xdr:nvPicPr>
        <xdr:cNvPr id="2" name="Picture 1"/>
        <xdr:cNvPicPr/>
      </xdr:nvPicPr>
      <xdr:blipFill>
        <a:blip r:embed="rId2"/>
        <a:stretch/>
      </xdr:blipFill>
      <xdr:spPr>
        <a:xfrm>
          <a:off x="6548760" y="2371680"/>
          <a:ext cx="3371400" cy="180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12</xdr:col>
      <xdr:colOff>75960</xdr:colOff>
      <xdr:row>14</xdr:row>
      <xdr:rowOff>43200</xdr:rowOff>
    </xdr:to>
    <xdr:pic>
      <xdr:nvPicPr>
        <xdr:cNvPr id="3" name="Picture 1"/>
        <xdr:cNvPicPr/>
      </xdr:nvPicPr>
      <xdr:blipFill>
        <a:blip r:embed="rId1"/>
        <a:stretch/>
      </xdr:blipFill>
      <xdr:spPr>
        <a:xfrm>
          <a:off x="6510600" y="324000"/>
          <a:ext cx="3133440" cy="1990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19080</xdr:colOff>
      <xdr:row>0</xdr:row>
      <xdr:rowOff>152280</xdr:rowOff>
    </xdr:from>
    <xdr:to>
      <xdr:col>11</xdr:col>
      <xdr:colOff>350640</xdr:colOff>
      <xdr:row>14</xdr:row>
      <xdr:rowOff>70560</xdr:rowOff>
    </xdr:to>
    <xdr:pic>
      <xdr:nvPicPr>
        <xdr:cNvPr id="4" name="Picture 1"/>
        <xdr:cNvPicPr/>
      </xdr:nvPicPr>
      <xdr:blipFill>
        <a:blip r:embed="rId1"/>
        <a:stretch/>
      </xdr:blipFill>
      <xdr:spPr>
        <a:xfrm>
          <a:off x="5891040" y="152280"/>
          <a:ext cx="4000320" cy="219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0</xdr:rowOff>
    </xdr:from>
    <xdr:to>
      <xdr:col>10</xdr:col>
      <xdr:colOff>73800</xdr:colOff>
      <xdr:row>25</xdr:row>
      <xdr:rowOff>135000</xdr:rowOff>
    </xdr:to>
    <xdr:pic>
      <xdr:nvPicPr>
        <xdr:cNvPr id="5" name="Picture 1"/>
        <xdr:cNvPicPr/>
      </xdr:nvPicPr>
      <xdr:blipFill>
        <a:blip r:embed="rId1"/>
        <a:stretch/>
      </xdr:blipFill>
      <xdr:spPr>
        <a:xfrm>
          <a:off x="5260320" y="1943280"/>
          <a:ext cx="3742920" cy="2247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12</xdr:col>
      <xdr:colOff>95040</xdr:colOff>
      <xdr:row>17</xdr:row>
      <xdr:rowOff>11160</xdr:rowOff>
    </xdr:to>
    <xdr:pic>
      <xdr:nvPicPr>
        <xdr:cNvPr id="6" name="Picture 1"/>
        <xdr:cNvPicPr/>
      </xdr:nvPicPr>
      <xdr:blipFill>
        <a:blip r:embed="rId1"/>
        <a:stretch/>
      </xdr:blipFill>
      <xdr:spPr>
        <a:xfrm>
          <a:off x="5358240" y="676440"/>
          <a:ext cx="3152520" cy="24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11</xdr:col>
      <xdr:colOff>591840</xdr:colOff>
      <xdr:row>17</xdr:row>
      <xdr:rowOff>149400</xdr:rowOff>
    </xdr:to>
    <xdr:pic>
      <xdr:nvPicPr>
        <xdr:cNvPr id="7" name="Picture 1"/>
        <xdr:cNvPicPr/>
      </xdr:nvPicPr>
      <xdr:blipFill>
        <a:blip r:embed="rId1"/>
        <a:stretch/>
      </xdr:blipFill>
      <xdr:spPr>
        <a:xfrm>
          <a:off x="4363560" y="162000"/>
          <a:ext cx="3038040" cy="2742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11</xdr:col>
      <xdr:colOff>591840</xdr:colOff>
      <xdr:row>17</xdr:row>
      <xdr:rowOff>149400</xdr:rowOff>
    </xdr:to>
    <xdr:pic>
      <xdr:nvPicPr>
        <xdr:cNvPr id="8" name="Picture 1"/>
        <xdr:cNvPicPr/>
      </xdr:nvPicPr>
      <xdr:blipFill>
        <a:blip r:embed="rId1"/>
        <a:stretch/>
      </xdr:blipFill>
      <xdr:spPr>
        <a:xfrm>
          <a:off x="4363560" y="162000"/>
          <a:ext cx="3038040" cy="2742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12</xdr:col>
      <xdr:colOff>85320</xdr:colOff>
      <xdr:row>11</xdr:row>
      <xdr:rowOff>83520</xdr:rowOff>
    </xdr:to>
    <xdr:pic>
      <xdr:nvPicPr>
        <xdr:cNvPr id="9" name="Picture 2"/>
        <xdr:cNvPicPr/>
      </xdr:nvPicPr>
      <xdr:blipFill>
        <a:blip r:embed="rId1"/>
        <a:stretch/>
      </xdr:blipFill>
      <xdr:spPr>
        <a:xfrm>
          <a:off x="4829760" y="162000"/>
          <a:ext cx="3142800" cy="170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12</xdr:col>
      <xdr:colOff>95040</xdr:colOff>
      <xdr:row>14</xdr:row>
      <xdr:rowOff>158400</xdr:rowOff>
    </xdr:to>
    <xdr:pic>
      <xdr:nvPicPr>
        <xdr:cNvPr id="10" name="Picture 2"/>
        <xdr:cNvPicPr/>
      </xdr:nvPicPr>
      <xdr:blipFill>
        <a:blip r:embed="rId1"/>
        <a:stretch/>
      </xdr:blipFill>
      <xdr:spPr>
        <a:xfrm>
          <a:off x="4829760" y="324000"/>
          <a:ext cx="3152520" cy="210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12</xdr:col>
      <xdr:colOff>85320</xdr:colOff>
      <xdr:row>12</xdr:row>
      <xdr:rowOff>93600</xdr:rowOff>
    </xdr:to>
    <xdr:pic>
      <xdr:nvPicPr>
        <xdr:cNvPr id="11" name="Picture 1"/>
        <xdr:cNvPicPr/>
      </xdr:nvPicPr>
      <xdr:blipFill>
        <a:blip r:embed="rId1"/>
        <a:stretch/>
      </xdr:blipFill>
      <xdr:spPr>
        <a:xfrm>
          <a:off x="4829760" y="162000"/>
          <a:ext cx="3142800" cy="1875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12</xdr:col>
      <xdr:colOff>85320</xdr:colOff>
      <xdr:row>12</xdr:row>
      <xdr:rowOff>92880</xdr:rowOff>
    </xdr:to>
    <xdr:pic>
      <xdr:nvPicPr>
        <xdr:cNvPr id="12" name="Picture 1"/>
        <xdr:cNvPicPr/>
      </xdr:nvPicPr>
      <xdr:blipFill>
        <a:blip r:embed="rId1"/>
        <a:stretch/>
      </xdr:blipFill>
      <xdr:spPr>
        <a:xfrm>
          <a:off x="4829760" y="162000"/>
          <a:ext cx="3142800" cy="1875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16</xdr:col>
      <xdr:colOff>56880</xdr:colOff>
      <xdr:row>16</xdr:row>
      <xdr:rowOff>99720</xdr:rowOff>
    </xdr:to>
    <xdr:pic>
      <xdr:nvPicPr>
        <xdr:cNvPr id="13" name="Picture 1"/>
        <xdr:cNvPicPr/>
      </xdr:nvPicPr>
      <xdr:blipFill>
        <a:blip r:embed="rId1"/>
        <a:stretch/>
      </xdr:blipFill>
      <xdr:spPr>
        <a:xfrm>
          <a:off x="7147080" y="485640"/>
          <a:ext cx="3114360" cy="2209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195840</xdr:colOff>
      <xdr:row>14</xdr:row>
      <xdr:rowOff>110880</xdr:rowOff>
    </xdr:to>
    <xdr:pic>
      <xdr:nvPicPr>
        <xdr:cNvPr id="14" name="Picture 1"/>
        <xdr:cNvPicPr/>
      </xdr:nvPicPr>
      <xdr:blipFill>
        <a:blip r:embed="rId1"/>
        <a:stretch/>
      </xdr:blipFill>
      <xdr:spPr>
        <a:xfrm>
          <a:off x="6687360" y="162000"/>
          <a:ext cx="4476240" cy="2361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133200</xdr:colOff>
      <xdr:row>1</xdr:row>
      <xdr:rowOff>114480</xdr:rowOff>
    </xdr:from>
    <xdr:to>
      <xdr:col>14</xdr:col>
      <xdr:colOff>218520</xdr:colOff>
      <xdr:row>16</xdr:row>
      <xdr:rowOff>9360</xdr:rowOff>
    </xdr:to>
    <xdr:pic>
      <xdr:nvPicPr>
        <xdr:cNvPr id="15" name="Picture 1"/>
        <xdr:cNvPicPr/>
      </xdr:nvPicPr>
      <xdr:blipFill>
        <a:blip r:embed="rId1"/>
        <a:stretch/>
      </xdr:blipFill>
      <xdr:spPr>
        <a:xfrm>
          <a:off x="6372000" y="277200"/>
          <a:ext cx="3142800" cy="233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314280</xdr:colOff>
      <xdr:row>8</xdr:row>
      <xdr:rowOff>95400</xdr:rowOff>
    </xdr:from>
    <xdr:to>
      <xdr:col>13</xdr:col>
      <xdr:colOff>56880</xdr:colOff>
      <xdr:row>24</xdr:row>
      <xdr:rowOff>28440</xdr:rowOff>
    </xdr:to>
    <xdr:pic>
      <xdr:nvPicPr>
        <xdr:cNvPr id="16" name="Picture 1"/>
        <xdr:cNvPicPr/>
      </xdr:nvPicPr>
      <xdr:blipFill>
        <a:blip r:embed="rId1"/>
        <a:stretch/>
      </xdr:blipFill>
      <xdr:spPr>
        <a:xfrm>
          <a:off x="6857280" y="1390680"/>
          <a:ext cx="1577160" cy="253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12</xdr:col>
      <xdr:colOff>94680</xdr:colOff>
      <xdr:row>9</xdr:row>
      <xdr:rowOff>27720</xdr:rowOff>
    </xdr:to>
    <xdr:pic>
      <xdr:nvPicPr>
        <xdr:cNvPr id="17" name="Picture 1"/>
        <xdr:cNvPicPr/>
      </xdr:nvPicPr>
      <xdr:blipFill>
        <a:blip r:embed="rId1"/>
        <a:stretch/>
      </xdr:blipFill>
      <xdr:spPr>
        <a:xfrm>
          <a:off x="6765120" y="324000"/>
          <a:ext cx="315252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504720</xdr:colOff>
      <xdr:row>13</xdr:row>
      <xdr:rowOff>133200</xdr:rowOff>
    </xdr:from>
    <xdr:to>
      <xdr:col>5</xdr:col>
      <xdr:colOff>504720</xdr:colOff>
      <xdr:row>17</xdr:row>
      <xdr:rowOff>114120</xdr:rowOff>
    </xdr:to>
    <xdr:sp>
      <xdr:nvSpPr>
        <xdr:cNvPr id="18" name="Line 1"/>
        <xdr:cNvSpPr/>
      </xdr:nvSpPr>
      <xdr:spPr>
        <a:xfrm>
          <a:off x="3597120" y="2251440"/>
          <a:ext cx="0" cy="628920"/>
        </a:xfrm>
        <a:prstGeom prst="line">
          <a:avLst/>
        </a:prstGeom>
        <a:ln w="9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76320</xdr:colOff>
      <xdr:row>0</xdr:row>
      <xdr:rowOff>133200</xdr:rowOff>
    </xdr:from>
    <xdr:to>
      <xdr:col>11</xdr:col>
      <xdr:colOff>199800</xdr:colOff>
      <xdr:row>21</xdr:row>
      <xdr:rowOff>66240</xdr:rowOff>
    </xdr:to>
    <xdr:pic>
      <xdr:nvPicPr>
        <xdr:cNvPr id="19" name="Picture 1"/>
        <xdr:cNvPicPr/>
      </xdr:nvPicPr>
      <xdr:blipFill>
        <a:blip r:embed="rId1"/>
        <a:stretch/>
      </xdr:blipFill>
      <xdr:spPr>
        <a:xfrm>
          <a:off x="5730840" y="133200"/>
          <a:ext cx="1958040" cy="333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0</xdr:colOff>
      <xdr:row>2</xdr:row>
      <xdr:rowOff>0</xdr:rowOff>
    </xdr:from>
    <xdr:to>
      <xdr:col>10</xdr:col>
      <xdr:colOff>180720</xdr:colOff>
      <xdr:row>16</xdr:row>
      <xdr:rowOff>75960</xdr:rowOff>
    </xdr:to>
    <xdr:pic>
      <xdr:nvPicPr>
        <xdr:cNvPr id="20" name="Picture 1"/>
        <xdr:cNvPicPr/>
      </xdr:nvPicPr>
      <xdr:blipFill>
        <a:blip r:embed="rId1"/>
        <a:stretch/>
      </xdr:blipFill>
      <xdr:spPr>
        <a:xfrm>
          <a:off x="4892040" y="324000"/>
          <a:ext cx="1403640" cy="234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0" activeCellId="0" sqref="C10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8.42"/>
    <col collapsed="false" customWidth="true" hidden="false" outlineLevel="0" max="2" min="2" style="0" width="12.29"/>
    <col collapsed="false" customWidth="true" hidden="false" outlineLevel="0" max="3" min="3" style="0" width="12.71"/>
    <col collapsed="false" customWidth="true" hidden="false" outlineLevel="0" max="6" min="5" style="1" width="9.14"/>
    <col collapsed="false" customWidth="true" hidden="false" outlineLevel="0" max="7" min="7" style="1" width="22.29"/>
    <col collapsed="false" customWidth="true" hidden="false" outlineLevel="0" max="9" min="8" style="1" width="9.14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5</v>
      </c>
    </row>
    <row r="3" customFormat="false" ht="12.75" hidden="false" customHeight="false" outlineLevel="0" collapsed="false">
      <c r="A3" s="0" t="n">
        <v>7</v>
      </c>
    </row>
    <row r="4" customFormat="false" ht="12.75" hidden="false" customHeight="false" outlineLevel="0" collapsed="false">
      <c r="A4" s="0" t="n">
        <v>8</v>
      </c>
      <c r="G4" s="3"/>
      <c r="H4" s="3"/>
    </row>
    <row r="5" customFormat="false" ht="12.75" hidden="false" customHeight="false" outlineLevel="0" collapsed="false">
      <c r="A5" s="0" t="n">
        <v>7</v>
      </c>
      <c r="G5" s="4"/>
      <c r="H5" s="4"/>
    </row>
    <row r="6" customFormat="false" ht="12.75" hidden="false" customHeight="false" outlineLevel="0" collapsed="false">
      <c r="A6" s="0" t="n">
        <v>3</v>
      </c>
      <c r="G6" s="4"/>
      <c r="H6" s="4"/>
    </row>
    <row r="7" customFormat="false" ht="12.75" hidden="false" customHeight="false" outlineLevel="0" collapsed="false">
      <c r="A7" s="0" t="n">
        <v>5</v>
      </c>
      <c r="G7" s="4"/>
      <c r="H7" s="4"/>
    </row>
    <row r="8" customFormat="false" ht="12.75" hidden="false" customHeight="false" outlineLevel="0" collapsed="false">
      <c r="A8" s="0" t="n">
        <v>4</v>
      </c>
      <c r="G8" s="4"/>
      <c r="H8" s="4"/>
    </row>
    <row r="9" customFormat="false" ht="12.75" hidden="false" customHeight="false" outlineLevel="0" collapsed="false">
      <c r="A9" s="5" t="s">
        <v>1</v>
      </c>
      <c r="C9" s="6" t="n">
        <f aca="false">AVEDEV(A2:A8)</f>
        <v>1.51020408163265</v>
      </c>
      <c r="G9" s="4"/>
      <c r="H9" s="4"/>
    </row>
    <row r="10" customFormat="false" ht="12.75" hidden="false" customHeight="false" outlineLevel="0" collapsed="false">
      <c r="A10" s="5" t="s">
        <v>2</v>
      </c>
      <c r="C10" s="6" t="n">
        <f aca="false">AVEDEV(A2:A8,10)</f>
        <v>1.875</v>
      </c>
      <c r="G10" s="4"/>
      <c r="H10" s="4"/>
    </row>
    <row r="11" customFormat="false" ht="12.75" hidden="false" customHeight="false" outlineLevel="0" collapsed="false">
      <c r="G11" s="4"/>
      <c r="H11" s="4"/>
    </row>
    <row r="12" customFormat="false" ht="12.75" hidden="false" customHeight="false" outlineLevel="0" collapsed="false">
      <c r="G12" s="4"/>
      <c r="H12" s="4"/>
    </row>
    <row r="13" customFormat="false" ht="12.75" hidden="false" customHeight="false" outlineLevel="0" collapsed="false">
      <c r="G13" s="4"/>
      <c r="H13" s="4"/>
    </row>
    <row r="14" customFormat="false" ht="12.75" hidden="false" customHeight="false" outlineLevel="0" collapsed="false">
      <c r="G14" s="4"/>
      <c r="H14" s="4"/>
    </row>
    <row r="15" customFormat="false" ht="12.75" hidden="false" customHeight="false" outlineLevel="0" collapsed="false">
      <c r="G15" s="4"/>
      <c r="H15" s="4"/>
    </row>
    <row r="16" customFormat="false" ht="12.75" hidden="false" customHeight="false" outlineLevel="0" collapsed="false">
      <c r="G16" s="4"/>
      <c r="H16" s="4"/>
    </row>
    <row r="17" customFormat="false" ht="12.75" hidden="false" customHeight="false" outlineLevel="0" collapsed="false">
      <c r="G17" s="4"/>
      <c r="H17" s="4"/>
    </row>
    <row r="18" customFormat="false" ht="12.75" hidden="false" customHeight="false" outlineLevel="0" collapsed="false">
      <c r="G18" s="4"/>
      <c r="H18" s="4"/>
    </row>
    <row r="19" customFormat="false" ht="12.75" hidden="false" customHeight="false" outlineLevel="0" collapsed="false">
      <c r="G19" s="4"/>
      <c r="H19" s="4"/>
    </row>
    <row r="20" customFormat="false" ht="12.75" hidden="false" customHeight="false" outlineLevel="0" collapsed="false">
      <c r="G20" s="4"/>
      <c r="H20" s="4"/>
    </row>
    <row r="21" customFormat="false" ht="12.75" hidden="false" customHeight="false" outlineLevel="0" collapsed="false">
      <c r="G21" s="4"/>
      <c r="H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8.42"/>
    <col collapsed="false" customWidth="true" hidden="false" outlineLevel="0" max="2" min="2" style="0" width="11"/>
    <col collapsed="false" customWidth="true" hidden="false" outlineLevel="0" max="4" min="4" style="0" width="12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10</v>
      </c>
    </row>
    <row r="3" customFormat="false" ht="12.75" hidden="false" customHeight="false" outlineLevel="0" collapsed="false">
      <c r="A3" s="0" t="n">
        <v>8</v>
      </c>
    </row>
    <row r="4" customFormat="false" ht="12.75" hidden="false" customHeight="false" outlineLevel="0" collapsed="false">
      <c r="A4" s="0" t="n">
        <v>9</v>
      </c>
    </row>
    <row r="5" customFormat="false" ht="12.75" hidden="false" customHeight="false" outlineLevel="0" collapsed="false">
      <c r="A5" s="0" t="n">
        <v>28</v>
      </c>
    </row>
    <row r="6" customFormat="false" ht="12.75" hidden="false" customHeight="false" outlineLevel="0" collapsed="false">
      <c r="A6" s="0" t="n">
        <v>4</v>
      </c>
    </row>
    <row r="7" customFormat="false" ht="12.75" hidden="false" customHeight="false" outlineLevel="0" collapsed="false">
      <c r="A7" s="0" t="n">
        <v>12</v>
      </c>
    </row>
    <row r="8" customFormat="false" ht="12.75" hidden="false" customHeight="false" outlineLevel="0" collapsed="false">
      <c r="A8" s="5" t="s">
        <v>3</v>
      </c>
      <c r="D8" s="6" t="n">
        <f aca="false">AVERAGE(A2:A7)</f>
        <v>11.8333333333333</v>
      </c>
    </row>
    <row r="9" customFormat="false" ht="12.75" hidden="false" customHeight="false" outlineLevel="0" collapsed="false">
      <c r="A9" s="5" t="s">
        <v>4</v>
      </c>
      <c r="D9" s="6" t="n">
        <f aca="false">AVERAGE(A2:A7,5)</f>
        <v>10.8571428571429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8.42"/>
    <col collapsed="false" customWidth="true" hidden="false" outlineLevel="0" max="2" min="2" style="0" width="11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10</v>
      </c>
    </row>
    <row r="3" customFormat="false" ht="12.75" hidden="false" customHeight="false" outlineLevel="0" collapsed="false">
      <c r="A3" s="0" t="n">
        <v>8</v>
      </c>
    </row>
    <row r="4" customFormat="false" ht="12.75" hidden="false" customHeight="false" outlineLevel="0" collapsed="false">
      <c r="A4" s="0" t="n">
        <v>15</v>
      </c>
    </row>
    <row r="5" customFormat="false" ht="12.75" hidden="false" customHeight="false" outlineLevel="0" collapsed="false">
      <c r="A5" s="0" t="n">
        <v>3</v>
      </c>
    </row>
    <row r="6" customFormat="false" ht="12.75" hidden="false" customHeight="false" outlineLevel="0" collapsed="false">
      <c r="A6" s="7" t="s">
        <v>5</v>
      </c>
    </row>
    <row r="7" customFormat="false" ht="12.75" hidden="false" customHeight="false" outlineLevel="0" collapsed="false">
      <c r="A7" s="0" t="n">
        <v>9</v>
      </c>
    </row>
    <row r="8" customFormat="false" ht="12.75" hidden="false" customHeight="false" outlineLevel="0" collapsed="false">
      <c r="A8" s="5" t="s">
        <v>6</v>
      </c>
      <c r="D8" s="6" t="n">
        <f aca="false">AVERAGEA(A2:A7)</f>
        <v>7.5</v>
      </c>
    </row>
    <row r="9" customFormat="false" ht="12.75" hidden="false" customHeight="false" outlineLevel="0" collapsed="false">
      <c r="A9" s="5" t="s">
        <v>7</v>
      </c>
      <c r="D9" s="6" t="n">
        <f aca="false">AVERAGEA(A2:A7,5)</f>
        <v>7.14285714285714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1"/>
    <col collapsed="false" customWidth="true" hidden="false" outlineLevel="0" max="4" min="4" style="0" width="12.57"/>
  </cols>
  <sheetData>
    <row r="1" customFormat="false" ht="12.75" hidden="false" customHeight="false" outlineLevel="0" collapsed="false">
      <c r="A1" s="2" t="s">
        <v>8</v>
      </c>
      <c r="B1" s="2" t="s">
        <v>9</v>
      </c>
    </row>
    <row r="2" customFormat="false" ht="12.75" hidden="false" customHeight="false" outlineLevel="0" collapsed="false">
      <c r="A2" s="0" t="n">
        <v>10</v>
      </c>
      <c r="B2" s="0" t="n">
        <v>4</v>
      </c>
      <c r="F2" s="0" t="n">
        <v>10</v>
      </c>
    </row>
    <row r="3" customFormat="false" ht="12.75" hidden="false" customHeight="false" outlineLevel="0" collapsed="false">
      <c r="A3" s="0" t="n">
        <v>8</v>
      </c>
      <c r="B3" s="0" t="n">
        <v>2</v>
      </c>
      <c r="F3" s="0" t="n">
        <v>28</v>
      </c>
    </row>
    <row r="4" customFormat="false" ht="12.75" hidden="false" customHeight="false" outlineLevel="0" collapsed="false">
      <c r="A4" s="0" t="n">
        <v>9</v>
      </c>
      <c r="B4" s="0" t="n">
        <v>3</v>
      </c>
      <c r="F4" s="0" t="n">
        <v>12</v>
      </c>
    </row>
    <row r="5" customFormat="false" ht="12.75" hidden="false" customHeight="false" outlineLevel="0" collapsed="false">
      <c r="A5" s="0" t="n">
        <v>28</v>
      </c>
      <c r="B5" s="0" t="n">
        <v>4</v>
      </c>
      <c r="F5" s="0" t="n">
        <f aca="false">AVERAGE(F2:F4)</f>
        <v>16.6666666666667</v>
      </c>
    </row>
    <row r="6" customFormat="false" ht="12.75" hidden="false" customHeight="false" outlineLevel="0" collapsed="false">
      <c r="A6" s="0" t="n">
        <v>4</v>
      </c>
      <c r="B6" s="0" t="n">
        <v>2</v>
      </c>
    </row>
    <row r="7" customFormat="false" ht="12.75" hidden="false" customHeight="false" outlineLevel="0" collapsed="false">
      <c r="A7" s="0" t="n">
        <v>12</v>
      </c>
      <c r="B7" s="0" t="n">
        <v>3</v>
      </c>
    </row>
    <row r="8" customFormat="false" ht="12.75" hidden="false" customHeight="false" outlineLevel="0" collapsed="false">
      <c r="A8" s="5" t="s">
        <v>10</v>
      </c>
      <c r="D8" s="6" t="n">
        <f aca="false">AVERAGEIF(A2:A7,"&gt;=10")</f>
        <v>16.6666666666667</v>
      </c>
    </row>
    <row r="9" customFormat="false" ht="12.75" hidden="false" customHeight="false" outlineLevel="0" collapsed="false">
      <c r="A9" s="8" t="s">
        <v>11</v>
      </c>
      <c r="D9" s="6" t="n">
        <f aca="false">AVERAGEIF(B2:B7,"&gt;2",A2:A7)</f>
        <v>14.75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4" min="3" style="0" width="12.57"/>
  </cols>
  <sheetData>
    <row r="1" customFormat="false" ht="12.75" hidden="false" customHeight="false" outlineLevel="0" collapsed="false">
      <c r="A1" s="9" t="s">
        <v>12</v>
      </c>
      <c r="B1" s="9" t="s">
        <v>13</v>
      </c>
    </row>
    <row r="2" customFormat="false" ht="12.75" hidden="false" customHeight="false" outlineLevel="0" collapsed="false">
      <c r="A2" s="1" t="n">
        <v>70</v>
      </c>
      <c r="B2" s="1" t="n">
        <v>70</v>
      </c>
      <c r="E2" s="0" t="n">
        <v>10</v>
      </c>
    </row>
    <row r="3" customFormat="false" ht="12.75" hidden="false" customHeight="false" outlineLevel="0" collapsed="false">
      <c r="A3" s="1" t="n">
        <v>95</v>
      </c>
      <c r="B3" s="1" t="n">
        <v>75</v>
      </c>
      <c r="E3" s="0" t="n">
        <v>28</v>
      </c>
    </row>
    <row r="4" customFormat="false" ht="12.75" hidden="false" customHeight="false" outlineLevel="0" collapsed="false">
      <c r="A4" s="1" t="n">
        <v>86</v>
      </c>
      <c r="B4" s="1" t="n">
        <v>55</v>
      </c>
      <c r="E4" s="0" t="n">
        <v>12</v>
      </c>
    </row>
    <row r="5" customFormat="false" ht="12.75" hidden="false" customHeight="false" outlineLevel="0" collapsed="false">
      <c r="A5" s="1" t="n">
        <v>75</v>
      </c>
      <c r="B5" s="1" t="n">
        <v>85</v>
      </c>
    </row>
    <row r="6" customFormat="false" ht="12.75" hidden="false" customHeight="false" outlineLevel="0" collapsed="false">
      <c r="A6" s="1" t="n">
        <v>60</v>
      </c>
      <c r="B6" s="1" t="n">
        <v>80</v>
      </c>
    </row>
    <row r="7" customFormat="false" ht="12.75" hidden="false" customHeight="false" outlineLevel="0" collapsed="false">
      <c r="A7" s="1" t="s">
        <v>14</v>
      </c>
      <c r="B7" s="1" t="n">
        <v>75</v>
      </c>
      <c r="E7" s="0" t="n">
        <f aca="false">AVERAGE(E2:E4)</f>
        <v>16.6666666666667</v>
      </c>
    </row>
    <row r="8" customFormat="false" ht="12.75" hidden="false" customHeight="false" outlineLevel="0" collapsed="false"/>
    <row r="9" customFormat="false" ht="12.75" hidden="false" customHeight="false" outlineLevel="0" collapsed="false">
      <c r="A9" s="8" t="s">
        <v>15</v>
      </c>
      <c r="D9" s="6" t="n">
        <f aca="false">AVERAGEIFS(A2:A7,A2:A7,"&gt;70",A2:A7,"&lt;90")</f>
        <v>80.5</v>
      </c>
    </row>
    <row r="10" customFormat="false" ht="15" hidden="false" customHeight="false" outlineLevel="0" collapsed="false">
      <c r="A10" s="10" t="s">
        <v>16</v>
      </c>
      <c r="C10" s="6"/>
      <c r="D10" s="0" t="n">
        <f aca="false">AVERAGEIFS(A2:A7,A2:A7,"&gt;70",B2:B7,"&gt;70")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37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3</v>
      </c>
      <c r="B2" s="0" t="s">
        <v>18</v>
      </c>
    </row>
    <row r="3" customFormat="false" ht="12.75" hidden="false" customHeight="false" outlineLevel="0" collapsed="false">
      <c r="A3" s="0" t="n">
        <v>9</v>
      </c>
      <c r="B3" s="0" t="s">
        <v>19</v>
      </c>
    </row>
    <row r="4" customFormat="false" ht="12.75" hidden="false" customHeight="false" outlineLevel="0" collapsed="false">
      <c r="A4" s="0" t="n">
        <v>11</v>
      </c>
      <c r="B4" s="0" t="s">
        <v>20</v>
      </c>
    </row>
    <row r="5" customFormat="false" ht="12.75" hidden="false" customHeight="false" outlineLevel="0" collapsed="false">
      <c r="A5" s="0" t="n">
        <v>2</v>
      </c>
      <c r="B5" s="0" t="s">
        <v>21</v>
      </c>
    </row>
    <row r="6" customFormat="false" ht="12.75" hidden="false" customHeight="false" outlineLevel="0" collapsed="false">
      <c r="A6" s="0" t="n">
        <v>4</v>
      </c>
      <c r="B6" s="0" t="s">
        <v>22</v>
      </c>
    </row>
    <row r="7" customFormat="false" ht="12.75" hidden="false" customHeight="false" outlineLevel="0" collapsed="false">
      <c r="A7" s="5" t="s">
        <v>23</v>
      </c>
      <c r="C7" s="0" t="n">
        <f aca="false">BETADIST(A2,A3,A4,A5,A6)</f>
        <v>0.676197052001953</v>
      </c>
      <c r="D7" s="0" t="n">
        <f aca="false">_xlfn.BETA.DIST(A2,A3,A4,TRUE(),A5,A6)</f>
        <v>0.676197052001953</v>
      </c>
    </row>
    <row r="8" customFormat="false" ht="12.75" hidden="false" customHeight="false" outlineLevel="0" collapsed="false"/>
    <row r="9" customFormat="false" ht="12.75" hidden="false" customHeight="false" outlineLevel="0" collapsed="false"/>
    <row r="10" customFormat="false" ht="12.75" hidden="false" customHeight="false" outlineLevel="0" collapsed="false"/>
    <row r="11" customFormat="false" ht="12.75" hidden="false" customHeight="false" outlineLevel="0" collapsed="false"/>
    <row r="12" customFormat="false" ht="12.75" hidden="false" customHeight="false" outlineLevel="0" collapsed="false"/>
    <row r="13" customFormat="false" ht="12.75" hidden="false" customHeight="false" outlineLevel="0" collapsed="false"/>
    <row r="14" customFormat="false" ht="12.75" hidden="false" customHeight="false" outlineLevel="0" collapsed="false"/>
    <row r="15" customFormat="false" ht="12.7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37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0.676197</v>
      </c>
      <c r="B2" s="0" t="s">
        <v>24</v>
      </c>
    </row>
    <row r="3" customFormat="false" ht="12.75" hidden="false" customHeight="false" outlineLevel="0" collapsed="false">
      <c r="A3" s="0" t="n">
        <v>9</v>
      </c>
      <c r="B3" s="0" t="s">
        <v>19</v>
      </c>
    </row>
    <row r="4" customFormat="false" ht="12.75" hidden="false" customHeight="false" outlineLevel="0" collapsed="false">
      <c r="A4" s="0" t="n">
        <v>11</v>
      </c>
      <c r="B4" s="0" t="s">
        <v>20</v>
      </c>
    </row>
    <row r="5" customFormat="false" ht="12.75" hidden="false" customHeight="false" outlineLevel="0" collapsed="false">
      <c r="A5" s="0" t="n">
        <v>2</v>
      </c>
      <c r="B5" s="0" t="s">
        <v>21</v>
      </c>
    </row>
    <row r="6" customFormat="false" ht="12.75" hidden="false" customHeight="false" outlineLevel="0" collapsed="false">
      <c r="A6" s="0" t="n">
        <v>4</v>
      </c>
      <c r="B6" s="0" t="s">
        <v>22</v>
      </c>
    </row>
    <row r="7" customFormat="false" ht="12.75" hidden="false" customHeight="false" outlineLevel="0" collapsed="false">
      <c r="A7" s="5" t="s">
        <v>25</v>
      </c>
      <c r="C7" s="0" t="n">
        <f aca="false">_xlfn.BETA.INV(A2,A3,A4,A5,A6)</f>
        <v>2.9999999672072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5</v>
      </c>
      <c r="B2" s="0" t="s">
        <v>26</v>
      </c>
    </row>
    <row r="3" customFormat="false" ht="12.75" hidden="false" customHeight="false" outlineLevel="0" collapsed="false">
      <c r="A3" s="0" t="n">
        <v>10</v>
      </c>
      <c r="B3" s="0" t="s">
        <v>27</v>
      </c>
    </row>
    <row r="4" customFormat="false" ht="12.75" hidden="false" customHeight="false" outlineLevel="0" collapsed="false">
      <c r="A4" s="0" t="n">
        <v>0.4</v>
      </c>
      <c r="B4" s="0" t="s">
        <v>28</v>
      </c>
    </row>
    <row r="5" customFormat="false" ht="12.75" hidden="false" customHeight="false" outlineLevel="0" collapsed="false">
      <c r="A5" s="5" t="s">
        <v>29</v>
      </c>
      <c r="D5" s="0" t="n">
        <f aca="false">_xlfn.BINOM.DIST(A2,A3,A4,TRUE())</f>
        <v>0.8337613824</v>
      </c>
    </row>
    <row r="6" customFormat="false" ht="12.75" hidden="false" customHeight="false" outlineLevel="0" collapsed="false">
      <c r="A6" s="5" t="s">
        <v>30</v>
      </c>
      <c r="D6" s="0" t="n">
        <f aca="false">_xlfn.BINOM.DIST(A2,A3,A4,FALSE())</f>
        <v>0.2006581248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5</v>
      </c>
      <c r="B2" s="0" t="s">
        <v>31</v>
      </c>
    </row>
    <row r="3" customFormat="false" ht="12.75" hidden="false" customHeight="false" outlineLevel="0" collapsed="false">
      <c r="A3" s="0" t="n">
        <v>0.5</v>
      </c>
      <c r="B3" s="0" t="s">
        <v>28</v>
      </c>
    </row>
    <row r="4" customFormat="false" ht="12.75" hidden="false" customHeight="false" outlineLevel="0" collapsed="false">
      <c r="A4" s="0" t="n">
        <v>0.75</v>
      </c>
      <c r="B4" s="0" t="s">
        <v>32</v>
      </c>
    </row>
    <row r="5" customFormat="false" ht="12.75" hidden="false" customHeight="false" outlineLevel="0" collapsed="false">
      <c r="A5" s="5" t="s">
        <v>33</v>
      </c>
      <c r="C5" s="0" t="n">
        <f aca="false">_xlfn.BINOM.INV(A2,A3,A4)</f>
        <v>3</v>
      </c>
      <c r="D5" s="0" t="n">
        <f aca="false">_xlfn.BINOM.INV(6,0.5,0.75)</f>
        <v>4</v>
      </c>
    </row>
    <row r="6" customFormat="false" ht="12.75" hidden="false" customHeight="false" outlineLevel="0" collapsed="false">
      <c r="A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1" t="n">
        <f aca="false">CHIINV(0.01,20)</f>
        <v>37.5662347866251</v>
      </c>
      <c r="B2" s="0" t="s">
        <v>34</v>
      </c>
    </row>
    <row r="3" customFormat="false" ht="12.75" hidden="false" customHeight="false" outlineLevel="0" collapsed="false">
      <c r="A3" s="0" t="n">
        <v>20</v>
      </c>
      <c r="B3" s="0" t="s">
        <v>35</v>
      </c>
    </row>
    <row r="4" customFormat="false" ht="12.75" hidden="false" customHeight="false" outlineLevel="0" collapsed="false">
      <c r="A4" s="5" t="s">
        <v>36</v>
      </c>
      <c r="C4" s="12" t="n">
        <f aca="false">_xlfn.CHISQ.DIST(A2,A3,TRUE())</f>
        <v>0.99</v>
      </c>
      <c r="D4" s="0" t="n">
        <f aca="false">CHIDIST(A2,A3)</f>
        <v>0.00999999999999984</v>
      </c>
    </row>
    <row r="5" customFormat="false" ht="12.75" hidden="false" customHeight="false" outlineLevel="0" collapsed="false">
      <c r="A5" s="5" t="s">
        <v>37</v>
      </c>
      <c r="C5" s="12" t="n">
        <f aca="false">_xlfn.CHISQ.DIST(A2,A3,FALSE())</f>
        <v>0.00279069124587492</v>
      </c>
    </row>
    <row r="6" customFormat="false" ht="12.75" hidden="false" customHeight="false" outlineLevel="0" collapsed="false"/>
    <row r="7" customFormat="false" ht="12.75" hidden="false" customHeight="false" outlineLevel="0" collapsed="false"/>
    <row r="8" customFormat="false" ht="12.75" hidden="false" customHeight="false" outlineLevel="0" collapsed="false"/>
    <row r="9" customFormat="false" ht="12.75" hidden="false" customHeight="false" outlineLevel="0" collapsed="false"/>
    <row r="10" customFormat="false" ht="12.75" hidden="false" customHeight="false" outlineLevel="0" collapsed="false">
      <c r="E10" s="0" t="n">
        <f aca="false">CHIINV(0.01,20)</f>
        <v>37.5662347866251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1" t="n">
        <f aca="false">CHIINV(0.01,20)</f>
        <v>37.5662347866251</v>
      </c>
      <c r="B2" s="0" t="s">
        <v>34</v>
      </c>
    </row>
    <row r="3" customFormat="false" ht="12.75" hidden="false" customHeight="false" outlineLevel="0" collapsed="false">
      <c r="A3" s="0" t="n">
        <v>20</v>
      </c>
      <c r="B3" s="0" t="s">
        <v>35</v>
      </c>
    </row>
    <row r="4" customFormat="false" ht="12.75" hidden="false" customHeight="false" outlineLevel="0" collapsed="false">
      <c r="A4" s="5" t="s">
        <v>38</v>
      </c>
      <c r="C4" s="11" t="n">
        <f aca="false">_xlfn.CHISQ.DIST.RT(A2,A3)</f>
        <v>0.01</v>
      </c>
    </row>
    <row r="5" customFormat="false" ht="12.75" hidden="false" customHeight="false" outlineLevel="0" collapsed="false">
      <c r="A5" s="5"/>
      <c r="C5" s="12"/>
    </row>
    <row r="6" customFormat="false" ht="12.75" hidden="false" customHeight="false" outlineLevel="0" collapsed="false"/>
    <row r="7" customFormat="false" ht="12.75" hidden="false" customHeight="false" outlineLevel="0" collapsed="false"/>
    <row r="8" customFormat="false" ht="12.75" hidden="false" customHeight="false" outlineLevel="0" collapsed="false"/>
    <row r="9" customFormat="false" ht="12.75" hidden="false" customHeight="false" outlineLevel="0" collapsed="false"/>
    <row r="10" customFormat="false" ht="12.75" hidden="false" customHeight="false" outlineLevel="0" collapsed="false">
      <c r="E10" s="0" t="n">
        <f aca="false">CHIINV(0.01,20)</f>
        <v>37.5662347866251</v>
      </c>
    </row>
    <row r="11" customFormat="false" ht="12.75" hidden="false" customHeight="false" outlineLevel="0" collapsed="false"/>
    <row r="12" customFormat="false" ht="12.75" hidden="false" customHeight="false" outlineLevel="0" collapsed="false"/>
    <row r="13" customFormat="false" ht="12.7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3" t="n">
        <v>0.01</v>
      </c>
      <c r="B2" s="0" t="s">
        <v>34</v>
      </c>
    </row>
    <row r="3" customFormat="false" ht="12.75" hidden="false" customHeight="false" outlineLevel="0" collapsed="false">
      <c r="A3" s="0" t="n">
        <v>20</v>
      </c>
      <c r="B3" s="0" t="s">
        <v>35</v>
      </c>
    </row>
    <row r="4" customFormat="false" ht="12.75" hidden="false" customHeight="false" outlineLevel="0" collapsed="false">
      <c r="A4" s="5" t="s">
        <v>39</v>
      </c>
      <c r="C4" s="0" t="n">
        <f aca="false">_xlfn.CHISQ.INV(A2,A3)</f>
        <v>8.26039833254639</v>
      </c>
      <c r="D4" s="0" t="n">
        <f aca="false">CHIINV(0.01,20)</f>
        <v>37.5662347866251</v>
      </c>
    </row>
    <row r="5" customFormat="false" ht="12.75" hidden="false" customHeight="false" outlineLevel="0" collapsed="false"/>
    <row r="6" customFormat="false" ht="12.75" hidden="false" customHeight="false" outlineLevel="0" collapsed="false">
      <c r="D6" s="13" t="n">
        <f aca="false">_xlfn.CHISQ.DIST.RT(A2,A3)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3" t="n">
        <v>0.01</v>
      </c>
      <c r="B2" s="0" t="s">
        <v>34</v>
      </c>
    </row>
    <row r="3" customFormat="false" ht="12.75" hidden="false" customHeight="false" outlineLevel="0" collapsed="false">
      <c r="A3" s="0" t="n">
        <v>20</v>
      </c>
      <c r="B3" s="0" t="s">
        <v>35</v>
      </c>
    </row>
    <row r="4" customFormat="false" ht="12.75" hidden="false" customHeight="false" outlineLevel="0" collapsed="false">
      <c r="A4" s="5" t="s">
        <v>40</v>
      </c>
      <c r="C4" s="0" t="n">
        <f aca="false">_xlfn.CHISQ.INV.RT(A2,A3)</f>
        <v>37.5662347866251</v>
      </c>
    </row>
    <row r="5" customFormat="false" ht="12.75" hidden="false" customHeight="false" outlineLevel="0" collapsed="false"/>
    <row r="6" customFormat="false" ht="12.75" hidden="false" customHeight="false" outlineLevel="0" collapsed="false">
      <c r="D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4.57"/>
    <col collapsed="false" customWidth="true" hidden="false" outlineLevel="0" max="3" min="3" style="0" width="12.57"/>
    <col collapsed="false" customWidth="true" hidden="false" outlineLevel="0" max="4" min="4" style="0" width="9.57"/>
  </cols>
  <sheetData>
    <row r="1" customFormat="false" ht="12.75" hidden="false" customHeight="false" outlineLevel="0" collapsed="false">
      <c r="A1" s="9" t="s">
        <v>41</v>
      </c>
      <c r="B1" s="9"/>
      <c r="C1" s="9"/>
    </row>
    <row r="2" customFormat="false" ht="27.75" hidden="false" customHeight="true" outlineLevel="0" collapsed="false">
      <c r="A2" s="14" t="s">
        <v>42</v>
      </c>
      <c r="B2" s="15" t="s">
        <v>43</v>
      </c>
      <c r="C2" s="15" t="s">
        <v>44</v>
      </c>
      <c r="D2" s="15" t="s">
        <v>45</v>
      </c>
    </row>
    <row r="3" customFormat="false" ht="12.75" hidden="false" customHeight="false" outlineLevel="0" collapsed="false">
      <c r="A3" s="0" t="s">
        <v>46</v>
      </c>
      <c r="B3" s="16" t="n">
        <v>60</v>
      </c>
      <c r="C3" s="16" t="n">
        <v>45</v>
      </c>
      <c r="D3" s="17" t="n">
        <f aca="false">SUM(B3:C3)</f>
        <v>105</v>
      </c>
    </row>
    <row r="4" customFormat="false" ht="12.75" hidden="false" customHeight="false" outlineLevel="0" collapsed="false">
      <c r="A4" s="0" t="s">
        <v>47</v>
      </c>
      <c r="B4" s="16" t="n">
        <v>15</v>
      </c>
      <c r="C4" s="16" t="n">
        <v>35</v>
      </c>
      <c r="D4" s="17" t="n">
        <f aca="false">SUM(B4:C4)</f>
        <v>50</v>
      </c>
    </row>
    <row r="5" customFormat="false" ht="12.75" hidden="false" customHeight="false" outlineLevel="0" collapsed="false">
      <c r="A5" s="0" t="s">
        <v>48</v>
      </c>
      <c r="B5" s="16" t="n">
        <v>20</v>
      </c>
      <c r="C5" s="16" t="n">
        <v>25</v>
      </c>
      <c r="D5" s="17" t="n">
        <f aca="false">SUM(B5:C5)</f>
        <v>45</v>
      </c>
    </row>
    <row r="6" customFormat="false" ht="12.75" hidden="false" customHeight="false" outlineLevel="0" collapsed="false">
      <c r="A6" s="2" t="s">
        <v>45</v>
      </c>
      <c r="B6" s="17" t="n">
        <f aca="false">SUM(B3:B5)</f>
        <v>95</v>
      </c>
      <c r="C6" s="17" t="n">
        <f aca="false">SUM(C3:C5)</f>
        <v>105</v>
      </c>
      <c r="D6" s="17" t="n">
        <f aca="false">SUM(D3:D5)</f>
        <v>200</v>
      </c>
    </row>
    <row r="7" customFormat="false" ht="12.75" hidden="false" customHeight="false" outlineLevel="0" collapsed="false">
      <c r="A7" s="9" t="s">
        <v>49</v>
      </c>
      <c r="B7" s="9"/>
      <c r="C7" s="9"/>
    </row>
    <row r="8" customFormat="false" ht="23.85" hidden="false" customHeight="false" outlineLevel="0" collapsed="false">
      <c r="A8" s="14" t="s">
        <v>42</v>
      </c>
      <c r="B8" s="15" t="s">
        <v>43</v>
      </c>
      <c r="C8" s="15" t="s">
        <v>44</v>
      </c>
      <c r="D8" s="2"/>
    </row>
    <row r="9" customFormat="false" ht="12.75" hidden="false" customHeight="false" outlineLevel="0" collapsed="false">
      <c r="A9" s="0" t="s">
        <v>46</v>
      </c>
      <c r="B9" s="13" t="n">
        <f aca="false">($D3/$D$6)*B$6</f>
        <v>49.875</v>
      </c>
      <c r="C9" s="13" t="n">
        <f aca="false">($D3/$D$6)*C$6</f>
        <v>55.125</v>
      </c>
      <c r="D9" s="13"/>
    </row>
    <row r="10" customFormat="false" ht="12.75" hidden="false" customHeight="false" outlineLevel="0" collapsed="false">
      <c r="A10" s="0" t="s">
        <v>47</v>
      </c>
      <c r="B10" s="13" t="n">
        <f aca="false">($D4/$D$6)*B$6</f>
        <v>23.75</v>
      </c>
      <c r="C10" s="13" t="n">
        <f aca="false">($D4/$D$6)*C$6</f>
        <v>26.25</v>
      </c>
      <c r="D10" s="13"/>
    </row>
    <row r="11" customFormat="false" ht="12.75" hidden="false" customHeight="false" outlineLevel="0" collapsed="false">
      <c r="A11" s="0" t="s">
        <v>48</v>
      </c>
      <c r="B11" s="13" t="n">
        <f aca="false">($D5/$D$6)*B$6</f>
        <v>21.375</v>
      </c>
      <c r="C11" s="13" t="n">
        <f aca="false">($D5/$D$6)*C$6</f>
        <v>23.625</v>
      </c>
      <c r="D11" s="13"/>
    </row>
    <row r="12" customFormat="false" ht="12.75" hidden="false" customHeight="false" outlineLevel="0" collapsed="false"/>
    <row r="13" customFormat="false" ht="12.75" hidden="false" customHeight="false" outlineLevel="0" collapsed="false">
      <c r="A13" s="2" t="s">
        <v>50</v>
      </c>
      <c r="B13" s="18" t="n">
        <f aca="false">_xlfn.CHISQ.TEST(B3:C5,B9:C11)</f>
        <v>0.00602410526122768</v>
      </c>
    </row>
    <row r="14" customFormat="false" ht="12.75" hidden="false" customHeight="false" outlineLevel="0" collapsed="false"/>
    <row r="15" customFormat="false" ht="12.75" hidden="false" customHeight="false" outlineLevel="0" collapsed="false">
      <c r="B15" s="2"/>
      <c r="C15" s="2"/>
    </row>
    <row r="16" customFormat="false" ht="12.75" hidden="false" customHeight="false" outlineLevel="0" collapsed="false">
      <c r="B16" s="16"/>
      <c r="C16" s="16"/>
      <c r="D16" s="16"/>
    </row>
    <row r="17" customFormat="false" ht="12.75" hidden="false" customHeight="false" outlineLevel="0" collapsed="false">
      <c r="B17" s="16"/>
      <c r="C17" s="16"/>
      <c r="D17" s="16"/>
    </row>
    <row r="18" customFormat="false" ht="12.75" hidden="false" customHeight="false" outlineLevel="0" collapsed="false">
      <c r="B18" s="16"/>
      <c r="C18" s="16"/>
      <c r="D18" s="16"/>
    </row>
    <row r="19" customFormat="false" ht="12.75" hidden="false" customHeight="false" outlineLevel="0" collapsed="false">
      <c r="B19" s="16"/>
      <c r="C19" s="16"/>
      <c r="D19" s="16"/>
      <c r="E19" s="5"/>
    </row>
  </sheetData>
  <mergeCells count="2">
    <mergeCell ref="A1:C1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1.71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0.05</v>
      </c>
      <c r="B2" s="0" t="s">
        <v>51</v>
      </c>
    </row>
    <row r="3" customFormat="false" ht="12.75" hidden="false" customHeight="false" outlineLevel="0" collapsed="false">
      <c r="A3" s="0" t="n">
        <v>1.25</v>
      </c>
      <c r="B3" s="0" t="s">
        <v>52</v>
      </c>
    </row>
    <row r="4" customFormat="false" ht="12.75" hidden="false" customHeight="false" outlineLevel="0" collapsed="false">
      <c r="A4" s="0" t="n">
        <v>100</v>
      </c>
      <c r="B4" s="0" t="s">
        <v>53</v>
      </c>
    </row>
    <row r="5" customFormat="false" ht="12.75" hidden="false" customHeight="false" outlineLevel="0" collapsed="false">
      <c r="A5" s="5" t="s">
        <v>54</v>
      </c>
      <c r="E5" s="0" t="n">
        <f aca="false">CONFIDENCE(A2,A3,A4)</f>
        <v>0.244995498067507</v>
      </c>
    </row>
    <row r="6" customFormat="false" ht="12.75" hidden="false" customHeight="false" outlineLevel="0" collapsed="false">
      <c r="E6" s="0" t="n">
        <f aca="false">_xlfn.CONFIDENCE.NORM(A2,A3,A4)</f>
        <v>0.244995498067507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1.71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0.05</v>
      </c>
      <c r="B2" s="0" t="s">
        <v>51</v>
      </c>
    </row>
    <row r="3" customFormat="false" ht="12.75" hidden="false" customHeight="false" outlineLevel="0" collapsed="false">
      <c r="A3" s="0" t="n">
        <v>1.25</v>
      </c>
      <c r="B3" s="0" t="s">
        <v>52</v>
      </c>
    </row>
    <row r="4" customFormat="false" ht="12.75" hidden="false" customHeight="false" outlineLevel="0" collapsed="false">
      <c r="A4" s="0" t="n">
        <v>100</v>
      </c>
      <c r="B4" s="0" t="s">
        <v>53</v>
      </c>
    </row>
    <row r="5" customFormat="false" ht="12.75" hidden="false" customHeight="false" outlineLevel="0" collapsed="false">
      <c r="A5" s="5" t="s">
        <v>55</v>
      </c>
      <c r="E5" s="0" t="n">
        <f aca="false">_xlfn.CONFIDENCE.T(A2,A3,A4)</f>
        <v>0.248027118948302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28.42"/>
  </cols>
  <sheetData>
    <row r="1" customFormat="false" ht="12.75" hidden="false" customHeight="false" outlineLevel="0" collapsed="false">
      <c r="A1" s="2" t="s">
        <v>56</v>
      </c>
      <c r="B1" s="2" t="s">
        <v>57</v>
      </c>
    </row>
    <row r="2" customFormat="false" ht="12.75" hidden="false" customHeight="false" outlineLevel="0" collapsed="false">
      <c r="A2" s="0" t="n">
        <v>4</v>
      </c>
      <c r="B2" s="0" t="n">
        <v>25</v>
      </c>
    </row>
    <row r="3" customFormat="false" ht="12.75" hidden="false" customHeight="false" outlineLevel="0" collapsed="false">
      <c r="A3" s="0" t="n">
        <v>5</v>
      </c>
      <c r="B3" s="0" t="n">
        <v>32</v>
      </c>
    </row>
    <row r="4" customFormat="false" ht="12.75" hidden="false" customHeight="false" outlineLevel="0" collapsed="false">
      <c r="A4" s="0" t="n">
        <v>5</v>
      </c>
      <c r="B4" s="0" t="n">
        <v>34</v>
      </c>
    </row>
    <row r="5" customFormat="false" ht="12.75" hidden="false" customHeight="false" outlineLevel="0" collapsed="false">
      <c r="A5" s="0" t="n">
        <v>6</v>
      </c>
      <c r="B5" s="0" t="n">
        <v>35</v>
      </c>
    </row>
    <row r="6" customFormat="false" ht="12.75" hidden="false" customHeight="false" outlineLevel="0" collapsed="false">
      <c r="A6" s="0" t="n">
        <v>7</v>
      </c>
      <c r="B6" s="0" t="n">
        <v>35</v>
      </c>
    </row>
    <row r="7" customFormat="false" ht="12.75" hidden="false" customHeight="false" outlineLevel="0" collapsed="false">
      <c r="A7" s="0" t="n">
        <v>5</v>
      </c>
      <c r="B7" s="0" t="n">
        <v>34</v>
      </c>
    </row>
    <row r="8" customFormat="false" ht="12.75" hidden="false" customHeight="false" outlineLevel="0" collapsed="false">
      <c r="A8" s="0" t="n">
        <v>6</v>
      </c>
      <c r="B8" s="0" t="n">
        <v>35</v>
      </c>
    </row>
    <row r="9" customFormat="false" ht="12.75" hidden="false" customHeight="false" outlineLevel="0" collapsed="false">
      <c r="A9" s="0" t="n">
        <v>4</v>
      </c>
      <c r="B9" s="0" t="n">
        <v>22</v>
      </c>
    </row>
    <row r="10" customFormat="false" ht="12.75" hidden="false" customHeight="false" outlineLevel="0" collapsed="false">
      <c r="A10" s="0" t="n">
        <v>4</v>
      </c>
      <c r="B10" s="0" t="n">
        <v>26</v>
      </c>
    </row>
    <row r="11" customFormat="false" ht="12.75" hidden="false" customHeight="false" outlineLevel="0" collapsed="false">
      <c r="B11" s="5" t="s">
        <v>58</v>
      </c>
      <c r="D11" s="0" t="n">
        <f aca="false">CORREL(A2:A10,B2:B10)</f>
        <v>0.83802976258527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86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7" t="s">
        <v>59</v>
      </c>
    </row>
    <row r="3" customFormat="false" ht="12.75" hidden="false" customHeight="false" outlineLevel="0" collapsed="false">
      <c r="A3" s="7" t="n">
        <v>450</v>
      </c>
    </row>
    <row r="4" customFormat="false" ht="12.75" hidden="false" customHeight="false" outlineLevel="0" collapsed="false">
      <c r="A4" s="7" t="n">
        <v>0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19" t="n">
        <f aca="false">DATE(2011,1,27)</f>
        <v>40570</v>
      </c>
    </row>
    <row r="7" customFormat="false" ht="12.75" hidden="false" customHeight="false" outlineLevel="0" collapsed="false">
      <c r="A7" s="7" t="n">
        <v>12.45</v>
      </c>
    </row>
    <row r="8" customFormat="false" ht="12.75" hidden="false" customHeight="false" outlineLevel="0" collapsed="false">
      <c r="A8" s="7" t="n">
        <v>6</v>
      </c>
    </row>
    <row r="9" customFormat="false" ht="12.75" hidden="false" customHeight="false" outlineLevel="0" collapsed="false">
      <c r="A9" s="7" t="e">
        <f aca="false">#DIV/0!</f>
        <v>#DIV/0!</v>
      </c>
    </row>
    <row r="10" customFormat="false" ht="12.75" hidden="false" customHeight="false" outlineLevel="0" collapsed="false">
      <c r="A10" s="20" t="b">
        <f aca="false">FALSE()</f>
        <v>0</v>
      </c>
    </row>
    <row r="11" customFormat="false" ht="12.75" hidden="false" customHeight="false" outlineLevel="0" collapsed="false">
      <c r="A11" s="5" t="s">
        <v>60</v>
      </c>
      <c r="C11" s="0" t="n">
        <f aca="false">COUNT(A2:A10)</f>
        <v>6</v>
      </c>
    </row>
    <row r="12" customFormat="false" ht="12.75" hidden="false" customHeight="false" outlineLevel="0" collapsed="false">
      <c r="A12" s="5" t="s">
        <v>61</v>
      </c>
      <c r="C12" s="0" t="n">
        <f aca="false">COUNT(A6:A10)</f>
        <v>4</v>
      </c>
    </row>
    <row r="13" customFormat="false" ht="12.75" hidden="false" customHeight="false" outlineLevel="0" collapsed="false">
      <c r="A13" s="5" t="s">
        <v>62</v>
      </c>
      <c r="C13" s="0" t="n">
        <f aca="false">COUNT(A2:A10,5)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86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7" t="s">
        <v>59</v>
      </c>
    </row>
    <row r="3" customFormat="false" ht="12.75" hidden="false" customHeight="false" outlineLevel="0" collapsed="false">
      <c r="A3" s="7" t="n">
        <v>450</v>
      </c>
    </row>
    <row r="4" customFormat="false" ht="12.75" hidden="false" customHeight="false" outlineLevel="0" collapsed="false">
      <c r="A4" s="7" t="n">
        <v>0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19" t="n">
        <f aca="false">DATE(2011,1,27)</f>
        <v>40570</v>
      </c>
    </row>
    <row r="7" customFormat="false" ht="12.75" hidden="false" customHeight="false" outlineLevel="0" collapsed="false">
      <c r="A7" s="7" t="n">
        <v>12.45</v>
      </c>
    </row>
    <row r="8" customFormat="false" ht="12.75" hidden="false" customHeight="false" outlineLevel="0" collapsed="false">
      <c r="A8" s="7" t="n">
        <v>6</v>
      </c>
    </row>
    <row r="9" customFormat="false" ht="12.75" hidden="false" customHeight="false" outlineLevel="0" collapsed="false">
      <c r="A9" s="7" t="e">
        <f aca="false">#DIV/0!</f>
        <v>#DIV/0!</v>
      </c>
    </row>
    <row r="10" customFormat="false" ht="12.75" hidden="false" customHeight="false" outlineLevel="0" collapsed="false">
      <c r="A10" s="20" t="b">
        <f aca="false">FALSE()</f>
        <v>0</v>
      </c>
    </row>
    <row r="11" customFormat="false" ht="12.75" hidden="false" customHeight="false" outlineLevel="0" collapsed="false">
      <c r="A11" s="5" t="s">
        <v>63</v>
      </c>
      <c r="C11" s="0" t="n">
        <f aca="false">COUNTA(A2:A10)</f>
        <v>8</v>
      </c>
    </row>
    <row r="12" customFormat="false" ht="12.75" hidden="false" customHeight="false" outlineLevel="0" collapsed="false">
      <c r="A12" s="5"/>
    </row>
    <row r="13" customFormat="false" ht="12.75" hidden="false" customHeight="false" outlineLevel="0" collapsed="false">
      <c r="A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5.29"/>
  </cols>
  <sheetData>
    <row r="1" customFormat="false" ht="12.75" hidden="false" customHeight="false" outlineLevel="0" collapsed="false">
      <c r="A1" s="2" t="s">
        <v>0</v>
      </c>
      <c r="B1" s="2" t="s">
        <v>0</v>
      </c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7" t="n">
        <v>8</v>
      </c>
      <c r="B3" s="16" t="str">
        <f aca="false">IF(B4&lt;25,"",B4)</f>
        <v/>
      </c>
    </row>
    <row r="4" customFormat="false" ht="12.75" hidden="false" customHeight="false" outlineLevel="0" collapsed="false">
      <c r="A4" s="7" t="n">
        <v>0</v>
      </c>
      <c r="B4" s="0" t="n">
        <v>20</v>
      </c>
    </row>
    <row r="5" customFormat="false" ht="12.75" hidden="false" customHeight="false" outlineLevel="0" collapsed="false">
      <c r="A5" s="7" t="n">
        <v>2</v>
      </c>
      <c r="B5" s="0" t="n">
        <v>34</v>
      </c>
    </row>
    <row r="6" customFormat="false" ht="12.75" hidden="false" customHeight="false" outlineLevel="0" collapsed="false">
      <c r="A6" s="5" t="s">
        <v>64</v>
      </c>
      <c r="C6" s="0" t="n">
        <f aca="false">COUNTBLANK(A2:B5)</f>
        <v>3</v>
      </c>
    </row>
    <row r="7" customFormat="false" ht="12.75" hidden="false" customHeight="false" outlineLevel="0" collapsed="false">
      <c r="A7" s="5"/>
    </row>
    <row r="8" customFormat="false" ht="12.75" hidden="false" customHeight="false" outlineLevel="0" collapsed="false">
      <c r="A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5.29"/>
  </cols>
  <sheetData>
    <row r="1" customFormat="false" ht="12.75" hidden="false" customHeight="false" outlineLevel="0" collapsed="false">
      <c r="A1" s="2" t="s">
        <v>0</v>
      </c>
      <c r="B1" s="2" t="s">
        <v>0</v>
      </c>
    </row>
    <row r="2" customFormat="false" ht="12.75" hidden="false" customHeight="false" outlineLevel="0" collapsed="false">
      <c r="A2" s="21" t="s">
        <v>65</v>
      </c>
      <c r="B2" s="21" t="n">
        <v>42</v>
      </c>
    </row>
    <row r="3" customFormat="false" ht="12.75" hidden="false" customHeight="false" outlineLevel="0" collapsed="false">
      <c r="A3" s="22" t="s">
        <v>65</v>
      </c>
      <c r="B3" s="0" t="n">
        <v>54</v>
      </c>
    </row>
    <row r="4" customFormat="false" ht="12.75" hidden="false" customHeight="false" outlineLevel="0" collapsed="false">
      <c r="A4" s="22" t="s">
        <v>66</v>
      </c>
      <c r="B4" s="16" t="n">
        <v>45</v>
      </c>
    </row>
    <row r="5" customFormat="false" ht="12.75" hidden="false" customHeight="false" outlineLevel="0" collapsed="false">
      <c r="A5" s="22" t="s">
        <v>65</v>
      </c>
      <c r="B5" s="0" t="n">
        <v>85</v>
      </c>
    </row>
    <row r="6" customFormat="false" ht="12.75" hidden="false" customHeight="false" outlineLevel="0" collapsed="false">
      <c r="A6" s="23" t="s">
        <v>67</v>
      </c>
      <c r="B6" s="0" t="n">
        <v>75</v>
      </c>
    </row>
    <row r="7" customFormat="false" ht="12.75" hidden="false" customHeight="false" outlineLevel="0" collapsed="false">
      <c r="A7" s="5" t="s">
        <v>68</v>
      </c>
      <c r="D7" s="0" t="n">
        <f aca="false">COUNTIF(A2:A6,"Susu")</f>
        <v>3</v>
      </c>
    </row>
    <row r="8" customFormat="false" ht="12.75" hidden="false" customHeight="false" outlineLevel="0" collapsed="false">
      <c r="A8" s="5" t="s">
        <v>69</v>
      </c>
      <c r="D8" s="0" t="n">
        <f aca="false">COUNTIF(B2:B6,"&gt;50")</f>
        <v>3</v>
      </c>
    </row>
    <row r="9" customFormat="false" ht="12.75" hidden="false" customHeight="false" outlineLevel="0" collapsed="false">
      <c r="A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5.29"/>
  </cols>
  <sheetData>
    <row r="1" customFormat="false" ht="12.75" hidden="false" customHeight="false" outlineLevel="0" collapsed="false">
      <c r="A1" s="2" t="s">
        <v>0</v>
      </c>
      <c r="B1" s="2" t="s">
        <v>0</v>
      </c>
    </row>
    <row r="2" customFormat="false" ht="12.75" hidden="false" customHeight="false" outlineLevel="0" collapsed="false">
      <c r="A2" s="21" t="s">
        <v>65</v>
      </c>
      <c r="B2" s="21" t="n">
        <v>42</v>
      </c>
    </row>
    <row r="3" customFormat="false" ht="12.75" hidden="false" customHeight="false" outlineLevel="0" collapsed="false">
      <c r="A3" s="22" t="s">
        <v>65</v>
      </c>
      <c r="B3" s="0" t="n">
        <v>54</v>
      </c>
    </row>
    <row r="4" customFormat="false" ht="12.75" hidden="false" customHeight="false" outlineLevel="0" collapsed="false">
      <c r="A4" s="22" t="s">
        <v>66</v>
      </c>
      <c r="B4" s="16" t="n">
        <v>45</v>
      </c>
    </row>
    <row r="5" customFormat="false" ht="12.75" hidden="false" customHeight="false" outlineLevel="0" collapsed="false">
      <c r="A5" s="22" t="s">
        <v>65</v>
      </c>
      <c r="B5" s="0" t="n">
        <v>85</v>
      </c>
    </row>
    <row r="6" customFormat="false" ht="12.75" hidden="false" customHeight="false" outlineLevel="0" collapsed="false">
      <c r="A6" s="23" t="s">
        <v>67</v>
      </c>
      <c r="B6" s="0" t="n">
        <v>75</v>
      </c>
    </row>
    <row r="7" customFormat="false" ht="12.75" hidden="false" customHeight="false" outlineLevel="0" collapsed="false">
      <c r="A7" s="5" t="s">
        <v>70</v>
      </c>
      <c r="D7" s="0" t="n">
        <f aca="false">COUNTIF(A2:A6,"Susu")</f>
        <v>3</v>
      </c>
    </row>
    <row r="8" customFormat="false" ht="12.75" hidden="false" customHeight="false" outlineLevel="0" collapsed="false">
      <c r="A8" s="5" t="s">
        <v>71</v>
      </c>
      <c r="D8" s="0" t="n">
        <f aca="false">COUNTIF(B2:B6,"&gt;50")</f>
        <v>3</v>
      </c>
    </row>
    <row r="9" customFormat="false" ht="12.75" hidden="false" customHeight="false" outlineLevel="0" collapsed="false">
      <c r="A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5.29"/>
  </cols>
  <sheetData>
    <row r="1" customFormat="false" ht="12.75" hidden="false" customHeight="false" outlineLevel="0" collapsed="false">
      <c r="A1" s="2" t="s">
        <v>72</v>
      </c>
      <c r="B1" s="2" t="s">
        <v>73</v>
      </c>
    </row>
    <row r="2" customFormat="false" ht="12.75" hidden="false" customHeight="false" outlineLevel="0" collapsed="false">
      <c r="A2" s="24" t="n">
        <v>4</v>
      </c>
      <c r="B2" s="25" t="n">
        <v>10</v>
      </c>
    </row>
    <row r="3" customFormat="false" ht="12.75" hidden="false" customHeight="false" outlineLevel="0" collapsed="false">
      <c r="A3" s="24" t="n">
        <v>3</v>
      </c>
      <c r="B3" s="16" t="n">
        <v>8</v>
      </c>
    </row>
    <row r="4" customFormat="false" ht="12.75" hidden="false" customHeight="false" outlineLevel="0" collapsed="false">
      <c r="A4" s="24" t="n">
        <v>5</v>
      </c>
      <c r="B4" s="16" t="n">
        <v>14</v>
      </c>
    </row>
    <row r="5" customFormat="false" ht="12.75" hidden="false" customHeight="false" outlineLevel="0" collapsed="false">
      <c r="A5" s="24" t="n">
        <v>8</v>
      </c>
      <c r="B5" s="16" t="n">
        <v>17</v>
      </c>
    </row>
    <row r="6" customFormat="false" ht="12.75" hidden="false" customHeight="false" outlineLevel="0" collapsed="false">
      <c r="A6" s="26" t="n">
        <v>9</v>
      </c>
      <c r="B6" s="16" t="n">
        <v>21</v>
      </c>
    </row>
    <row r="7" customFormat="false" ht="12.75" hidden="false" customHeight="false" outlineLevel="0" collapsed="false">
      <c r="A7" s="5" t="s">
        <v>74</v>
      </c>
      <c r="B7" s="16"/>
      <c r="D7" s="0" t="n">
        <f aca="false">COVAR(A2:A6,B2:B6)</f>
        <v>10.6</v>
      </c>
    </row>
    <row r="8" customFormat="false" ht="12.75" hidden="false" customHeight="false" outlineLevel="0" collapsed="false">
      <c r="A8" s="16"/>
      <c r="B8" s="16"/>
    </row>
    <row r="9" customFormat="false" ht="12.75" hidden="false" customHeight="false" outlineLevel="0" collapsed="false">
      <c r="A9" s="5"/>
      <c r="D9" s="0" t="n">
        <f aca="false">_xlfn.COVARIANCE.P(A2:A6,B2:B6)</f>
        <v>10.6</v>
      </c>
    </row>
    <row r="10" customFormat="false" ht="12.75" hidden="false" customHeight="false" outlineLevel="0" collapsed="false">
      <c r="D10" s="0" t="n">
        <f aca="false">_xlfn.COVARIANCE.S(A2:A6,B2:B6)</f>
        <v>13.25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5.29"/>
  </cols>
  <sheetData>
    <row r="1" customFormat="false" ht="12.75" hidden="false" customHeight="false" outlineLevel="0" collapsed="false">
      <c r="A1" s="2" t="s">
        <v>72</v>
      </c>
      <c r="B1" s="2" t="s">
        <v>73</v>
      </c>
    </row>
    <row r="2" customFormat="false" ht="12.75" hidden="false" customHeight="false" outlineLevel="0" collapsed="false">
      <c r="A2" s="24" t="n">
        <v>4</v>
      </c>
      <c r="B2" s="25" t="n">
        <v>10</v>
      </c>
    </row>
    <row r="3" customFormat="false" ht="12.75" hidden="false" customHeight="false" outlineLevel="0" collapsed="false">
      <c r="A3" s="24" t="n">
        <v>3</v>
      </c>
      <c r="B3" s="16" t="n">
        <v>8</v>
      </c>
    </row>
    <row r="4" customFormat="false" ht="12.75" hidden="false" customHeight="false" outlineLevel="0" collapsed="false">
      <c r="A4" s="24" t="n">
        <v>5</v>
      </c>
      <c r="B4" s="16" t="n">
        <v>14</v>
      </c>
    </row>
    <row r="5" customFormat="false" ht="12.75" hidden="false" customHeight="false" outlineLevel="0" collapsed="false">
      <c r="A5" s="24" t="n">
        <v>8</v>
      </c>
      <c r="B5" s="16" t="n">
        <v>17</v>
      </c>
    </row>
    <row r="6" customFormat="false" ht="12.75" hidden="false" customHeight="false" outlineLevel="0" collapsed="false">
      <c r="A6" s="26" t="n">
        <v>9</v>
      </c>
      <c r="B6" s="16" t="n">
        <v>21</v>
      </c>
    </row>
    <row r="7" customFormat="false" ht="12.75" hidden="false" customHeight="false" outlineLevel="0" collapsed="false">
      <c r="A7" s="5" t="s">
        <v>75</v>
      </c>
      <c r="B7" s="16"/>
      <c r="D7" s="0" t="n">
        <f aca="false">_xlfn.COVARIANCE.S(A2:A6,B2:B6)</f>
        <v>13.25</v>
      </c>
    </row>
    <row r="8" customFormat="false" ht="12.75" hidden="false" customHeight="false" outlineLevel="0" collapsed="false">
      <c r="A8" s="16"/>
      <c r="B8" s="16"/>
    </row>
    <row r="9" customFormat="false" ht="12.75" hidden="false" customHeight="false" outlineLevel="0" collapsed="false">
      <c r="A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8</v>
      </c>
      <c r="B2" s="0" t="s">
        <v>31</v>
      </c>
    </row>
    <row r="3" customFormat="false" ht="12.75" hidden="false" customHeight="false" outlineLevel="0" collapsed="false">
      <c r="A3" s="0" t="n">
        <v>0.5</v>
      </c>
      <c r="B3" s="0" t="s">
        <v>76</v>
      </c>
    </row>
    <row r="4" customFormat="false" ht="12.75" hidden="false" customHeight="false" outlineLevel="0" collapsed="false">
      <c r="A4" s="0" t="n">
        <v>0.75</v>
      </c>
      <c r="B4" s="0" t="s">
        <v>32</v>
      </c>
    </row>
    <row r="5" customFormat="false" ht="12.75" hidden="false" customHeight="false" outlineLevel="0" collapsed="false">
      <c r="A5" s="5" t="s">
        <v>77</v>
      </c>
      <c r="D5" s="0" t="n">
        <f aca="false">CRITBINOM(A2,A3,A4)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8.42"/>
    <col collapsed="false" customWidth="true" hidden="false" outlineLevel="0" max="2" min="2" style="0" width="11"/>
    <col collapsed="false" customWidth="true" hidden="false" outlineLevel="0" max="4" min="4" style="0" width="12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3</v>
      </c>
    </row>
    <row r="3" customFormat="false" ht="12.75" hidden="false" customHeight="false" outlineLevel="0" collapsed="false">
      <c r="A3" s="0" t="n">
        <v>5</v>
      </c>
    </row>
    <row r="4" customFormat="false" ht="12.75" hidden="false" customHeight="false" outlineLevel="0" collapsed="false">
      <c r="A4" s="0" t="n">
        <v>9</v>
      </c>
    </row>
    <row r="5" customFormat="false" ht="12.75" hidden="false" customHeight="false" outlineLevel="0" collapsed="false">
      <c r="A5" s="0" t="n">
        <v>7</v>
      </c>
    </row>
    <row r="6" customFormat="false" ht="12.75" hidden="false" customHeight="false" outlineLevel="0" collapsed="false">
      <c r="A6" s="0" t="n">
        <v>4</v>
      </c>
    </row>
    <row r="7" customFormat="false" ht="12.75" hidden="false" customHeight="false" outlineLevel="0" collapsed="false">
      <c r="A7" s="0" t="n">
        <v>8</v>
      </c>
    </row>
    <row r="8" customFormat="false" ht="12.75" hidden="false" customHeight="false" outlineLevel="0" collapsed="false">
      <c r="A8" s="5" t="s">
        <v>78</v>
      </c>
      <c r="D8" s="6" t="n">
        <f aca="false">DEVSQ(A2:A7)</f>
        <v>28</v>
      </c>
    </row>
    <row r="9" customFormat="false" ht="12.75" hidden="false" customHeight="false" outlineLevel="0" collapsed="false">
      <c r="A9" s="5" t="s">
        <v>79</v>
      </c>
      <c r="D9" s="6" t="n">
        <f aca="false">DEVSQ(A2:A7,10)</f>
        <v>41.7142857142857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20"/>
    <col collapsed="false" customWidth="true" hidden="false" outlineLevel="0" max="3" min="3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0.2</v>
      </c>
      <c r="B2" s="0" t="s">
        <v>80</v>
      </c>
    </row>
    <row r="3" customFormat="false" ht="12.75" hidden="false" customHeight="false" outlineLevel="0" collapsed="false">
      <c r="A3" s="0" t="n">
        <v>10</v>
      </c>
      <c r="B3" s="0" t="s">
        <v>81</v>
      </c>
    </row>
    <row r="4" customFormat="false" ht="12.75" hidden="false" customHeight="false" outlineLevel="0" collapsed="false">
      <c r="A4" s="5" t="s">
        <v>82</v>
      </c>
      <c r="C4" s="6" t="n">
        <f aca="false">_xlfn.EXPON.DIST(A2,A3,TRUE())</f>
        <v>0.864664716763387</v>
      </c>
    </row>
    <row r="5" customFormat="false" ht="12.75" hidden="false" customHeight="false" outlineLevel="0" collapsed="false">
      <c r="A5" s="5" t="s">
        <v>83</v>
      </c>
      <c r="C5" s="6" t="n">
        <f aca="false">_xlfn.EXPON.DIST(A2,A3,FALSE())</f>
        <v>1.35335283236613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27" t="n">
        <v>3.287282</v>
      </c>
      <c r="B2" s="0" t="s">
        <v>34</v>
      </c>
    </row>
    <row r="3" customFormat="false" ht="12.75" hidden="false" customHeight="false" outlineLevel="0" collapsed="false">
      <c r="A3" s="0" t="n">
        <v>3</v>
      </c>
      <c r="B3" s="0" t="s">
        <v>84</v>
      </c>
    </row>
    <row r="4" customFormat="false" ht="12.75" hidden="false" customHeight="false" outlineLevel="0" collapsed="false">
      <c r="A4" s="0" t="n">
        <v>15</v>
      </c>
      <c r="B4" s="0" t="s">
        <v>85</v>
      </c>
    </row>
    <row r="5" customFormat="false" ht="12.75" hidden="false" customHeight="false" outlineLevel="0" collapsed="false">
      <c r="A5" s="5" t="s">
        <v>86</v>
      </c>
      <c r="D5" s="0" t="n">
        <f aca="false">FDIST(3.287282,3,15)</f>
        <v>0.050004180816636</v>
      </c>
    </row>
    <row r="6" customFormat="false" ht="12.75" hidden="false" customHeight="false" outlineLevel="0" collapsed="false">
      <c r="A6" s="5" t="s">
        <v>87</v>
      </c>
    </row>
    <row r="7" customFormat="false" ht="12.75" hidden="false" customHeight="false" outlineLevel="0" collapsed="false">
      <c r="D7" s="0" t="n">
        <f aca="false">_xlfn.F.DIST(A2,A3,A4,TRUE())</f>
        <v>0.949995819183364</v>
      </c>
      <c r="E7" s="0" t="n">
        <f aca="false">_xlfn.F.DIST(A2,A3,A4,FALSE())</f>
        <v>0.0417664177369128</v>
      </c>
      <c r="G7" s="0" t="n">
        <f aca="false">D7+E7</f>
        <v>0.991762236920277</v>
      </c>
    </row>
    <row r="8" customFormat="false" ht="12.75" hidden="false" customHeight="false" outlineLevel="0" collapsed="false"/>
    <row r="9" customFormat="false" ht="12.75" hidden="false" customHeight="false" outlineLevel="0" collapsed="false">
      <c r="D9" s="0" t="n">
        <f aca="false">_xlfn.F.DIST.RT(A2,A3,A4)</f>
        <v>0.050004180816636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.85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27" t="n">
        <v>3.287282</v>
      </c>
      <c r="B2" s="0" t="s">
        <v>34</v>
      </c>
    </row>
    <row r="3" customFormat="false" ht="12.75" hidden="false" customHeight="false" outlineLevel="0" collapsed="false">
      <c r="A3" s="0" t="n">
        <v>3</v>
      </c>
      <c r="B3" s="0" t="s">
        <v>84</v>
      </c>
    </row>
    <row r="4" customFormat="false" ht="12.75" hidden="false" customHeight="false" outlineLevel="0" collapsed="false">
      <c r="A4" s="0" t="n">
        <v>15</v>
      </c>
      <c r="B4" s="0" t="s">
        <v>85</v>
      </c>
    </row>
    <row r="5" customFormat="false" ht="12.75" hidden="false" customHeight="false" outlineLevel="0" collapsed="false">
      <c r="A5" s="5" t="s">
        <v>88</v>
      </c>
      <c r="C5" s="0" t="n">
        <f aca="false">_xlfn.F.DIST.RT(A2,A3,A4)</f>
        <v>0.050004180816636</v>
      </c>
    </row>
    <row r="6" customFormat="false" ht="12.75" hidden="false" customHeight="false" outlineLevel="0" collapsed="false">
      <c r="A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9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27" t="n">
        <v>0.05</v>
      </c>
      <c r="B2" s="0" t="s">
        <v>89</v>
      </c>
    </row>
    <row r="3" customFormat="false" ht="12.75" hidden="false" customHeight="false" outlineLevel="0" collapsed="false">
      <c r="A3" s="0" t="n">
        <v>3</v>
      </c>
      <c r="B3" s="0" t="s">
        <v>84</v>
      </c>
    </row>
    <row r="4" customFormat="false" ht="12.75" hidden="false" customHeight="false" outlineLevel="0" collapsed="false">
      <c r="A4" s="0" t="n">
        <v>15</v>
      </c>
      <c r="B4" s="0" t="s">
        <v>85</v>
      </c>
    </row>
    <row r="5" customFormat="false" ht="12.75" hidden="false" customHeight="false" outlineLevel="0" collapsed="false">
      <c r="A5" s="5" t="s">
        <v>90</v>
      </c>
      <c r="D5" s="0" t="n">
        <f aca="false">FINV(0.05,3,15)</f>
        <v>3.28738210463651</v>
      </c>
    </row>
    <row r="6" customFormat="false" ht="12.75" hidden="false" customHeight="false" outlineLevel="0" collapsed="false">
      <c r="D6" s="0" t="n">
        <f aca="false">_xlfn.F.INV(A2,A3,A4)</f>
        <v>0.114904621636282</v>
      </c>
    </row>
    <row r="7" customFormat="false" ht="12.75" hidden="false" customHeight="false" outlineLevel="0" collapsed="false"/>
    <row r="8" customFormat="false" ht="12.75" hidden="false" customHeight="false" outlineLevel="0" collapsed="false">
      <c r="D8" s="0" t="n">
        <f aca="false">_xlfn.F.INV.RT(A2,A3,A4)</f>
        <v>3.28738210463651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9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27" t="n">
        <v>0.05</v>
      </c>
      <c r="B2" s="0" t="s">
        <v>89</v>
      </c>
    </row>
    <row r="3" customFormat="false" ht="12.75" hidden="false" customHeight="false" outlineLevel="0" collapsed="false">
      <c r="A3" s="0" t="n">
        <v>3</v>
      </c>
      <c r="B3" s="0" t="s">
        <v>84</v>
      </c>
    </row>
    <row r="4" customFormat="false" ht="12.75" hidden="false" customHeight="false" outlineLevel="0" collapsed="false">
      <c r="A4" s="0" t="n">
        <v>15</v>
      </c>
      <c r="B4" s="0" t="s">
        <v>85</v>
      </c>
    </row>
    <row r="5" customFormat="false" ht="12.75" hidden="false" customHeight="false" outlineLevel="0" collapsed="false">
      <c r="A5" s="5" t="s">
        <v>91</v>
      </c>
    </row>
    <row r="6" customFormat="false" ht="12.75" hidden="false" customHeight="false" outlineLevel="0" collapsed="false">
      <c r="D6" s="0" t="n">
        <f aca="false">_xlfn.F.INV.RT(A2,A3,A4)</f>
        <v>3.28738210463651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8.71"/>
    <col collapsed="false" customWidth="true" hidden="false" outlineLevel="0" max="4" min="4" style="0" width="10.57"/>
  </cols>
  <sheetData>
    <row r="1" customFormat="false" ht="12.75" hidden="false" customHeight="false" outlineLevel="0" collapsed="false">
      <c r="A1" s="2" t="s">
        <v>92</v>
      </c>
      <c r="B1" s="2" t="s">
        <v>93</v>
      </c>
    </row>
    <row r="2" customFormat="false" ht="12.75" hidden="false" customHeight="false" outlineLevel="0" collapsed="false">
      <c r="A2" s="24" t="n">
        <v>7</v>
      </c>
      <c r="B2" s="25" t="n">
        <v>10</v>
      </c>
    </row>
    <row r="3" customFormat="false" ht="12.75" hidden="false" customHeight="false" outlineLevel="0" collapsed="false">
      <c r="A3" s="24" t="n">
        <v>6</v>
      </c>
      <c r="B3" s="16" t="n">
        <v>13</v>
      </c>
    </row>
    <row r="4" customFormat="false" ht="12.75" hidden="false" customHeight="false" outlineLevel="0" collapsed="false">
      <c r="A4" s="24" t="n">
        <v>7</v>
      </c>
      <c r="B4" s="16" t="n">
        <v>14</v>
      </c>
    </row>
    <row r="5" customFormat="false" ht="12.75" hidden="false" customHeight="false" outlineLevel="0" collapsed="false">
      <c r="A5" s="24" t="n">
        <v>5</v>
      </c>
      <c r="B5" s="16" t="n">
        <v>12</v>
      </c>
    </row>
    <row r="6" customFormat="false" ht="12.75" hidden="false" customHeight="false" outlineLevel="0" collapsed="false">
      <c r="A6" s="26" t="n">
        <v>8</v>
      </c>
      <c r="B6" s="16" t="n">
        <v>21</v>
      </c>
    </row>
    <row r="7" customFormat="false" ht="12.75" hidden="false" customHeight="false" outlineLevel="0" collapsed="false">
      <c r="A7" s="24" t="n">
        <v>9</v>
      </c>
      <c r="B7" s="16" t="n">
        <v>14</v>
      </c>
    </row>
    <row r="8" customFormat="false" ht="12.75" hidden="false" customHeight="false" outlineLevel="0" collapsed="false">
      <c r="A8" s="16" t="n">
        <v>8</v>
      </c>
      <c r="B8" s="16" t="n">
        <v>18</v>
      </c>
    </row>
    <row r="9" customFormat="false" ht="12.75" hidden="false" customHeight="false" outlineLevel="0" collapsed="false">
      <c r="A9" s="16" t="n">
        <v>9</v>
      </c>
      <c r="B9" s="16" t="n">
        <v>14</v>
      </c>
    </row>
    <row r="10" customFormat="false" ht="12.75" hidden="false" customHeight="false" outlineLevel="0" collapsed="false">
      <c r="A10" s="16" t="n">
        <v>7</v>
      </c>
      <c r="B10" s="16" t="n">
        <v>15</v>
      </c>
    </row>
    <row r="11" customFormat="false" ht="12.75" hidden="false" customHeight="false" outlineLevel="0" collapsed="false">
      <c r="A11" s="5" t="s">
        <v>94</v>
      </c>
      <c r="B11" s="16"/>
      <c r="D11" s="28" t="n">
        <f aca="false">_xlfn.F.TEST(B2:B10,A2:A10)</f>
        <v>0.0201344119505878</v>
      </c>
    </row>
    <row r="12" customFormat="false" ht="12.75" hidden="false" customHeight="false" outlineLevel="0" collapsed="false"/>
    <row r="13" customFormat="false" ht="12.75" hidden="false" customHeight="false" outlineLevel="0" collapsed="false"/>
    <row r="14" customFormat="false" ht="12.75" hidden="false" customHeight="false" outlineLevel="0" collapsed="false">
      <c r="G14" s="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.43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27" t="n">
        <v>0.85</v>
      </c>
      <c r="B2" s="0" t="s">
        <v>96</v>
      </c>
    </row>
    <row r="3" customFormat="false" ht="12.75" hidden="false" customHeight="false" outlineLevel="0" collapsed="false">
      <c r="A3" s="5" t="s">
        <v>97</v>
      </c>
      <c r="D3" s="13" t="n">
        <f aca="false">FISHER(A2)</f>
        <v>1.25615281198806</v>
      </c>
    </row>
    <row r="4" customFormat="false" ht="12.75" hidden="false" customHeight="false" outlineLevel="0" collapsed="false"/>
    <row r="5" customFormat="false" ht="12.75" hidden="false" customHeight="false" outlineLevel="0" collapsed="false">
      <c r="D5" s="0" t="n">
        <f aca="false">FISHER(A4)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4.42"/>
    <col collapsed="false" customWidth="true" hidden="false" outlineLevel="0" max="2" min="2" style="0" width="16.43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6" t="n">
        <v>1.256152812</v>
      </c>
      <c r="B2" s="0" t="s">
        <v>96</v>
      </c>
    </row>
    <row r="3" customFormat="false" ht="12.75" hidden="false" customHeight="false" outlineLevel="0" collapsed="false">
      <c r="A3" s="5" t="s">
        <v>98</v>
      </c>
      <c r="D3" s="6" t="n">
        <f aca="false">FISHERINV(A2)</f>
        <v>0.850000000003314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3.71"/>
  </cols>
  <sheetData>
    <row r="1" customFormat="false" ht="12.75" hidden="false" customHeight="false" outlineLevel="0" collapsed="false">
      <c r="A1" s="2" t="s">
        <v>99</v>
      </c>
      <c r="B1" s="2" t="s">
        <v>100</v>
      </c>
    </row>
    <row r="2" customFormat="false" ht="12.75" hidden="false" customHeight="false" outlineLevel="0" collapsed="false">
      <c r="A2" s="0" t="n">
        <v>7</v>
      </c>
      <c r="B2" s="0" t="n">
        <v>10</v>
      </c>
    </row>
    <row r="3" customFormat="false" ht="12.75" hidden="false" customHeight="false" outlineLevel="0" collapsed="false">
      <c r="A3" s="0" t="n">
        <v>6</v>
      </c>
      <c r="B3" s="0" t="n">
        <v>13</v>
      </c>
    </row>
    <row r="4" customFormat="false" ht="12.75" hidden="false" customHeight="false" outlineLevel="0" collapsed="false">
      <c r="A4" s="0" t="n">
        <v>7</v>
      </c>
      <c r="B4" s="0" t="n">
        <v>14</v>
      </c>
    </row>
    <row r="5" customFormat="false" ht="12.75" hidden="false" customHeight="false" outlineLevel="0" collapsed="false">
      <c r="A5" s="0" t="n">
        <v>5</v>
      </c>
      <c r="B5" s="0" t="n">
        <v>12</v>
      </c>
    </row>
    <row r="6" customFormat="false" ht="12.75" hidden="false" customHeight="false" outlineLevel="0" collapsed="false">
      <c r="A6" s="0" t="n">
        <v>8</v>
      </c>
      <c r="B6" s="0" t="n">
        <v>21</v>
      </c>
    </row>
    <row r="7" customFormat="false" ht="12.75" hidden="false" customHeight="false" outlineLevel="0" collapsed="false">
      <c r="A7" s="0" t="n">
        <v>9</v>
      </c>
      <c r="B7" s="0" t="n">
        <v>14</v>
      </c>
    </row>
    <row r="8" customFormat="false" ht="12.75" hidden="false" customHeight="false" outlineLevel="0" collapsed="false">
      <c r="A8" s="0" t="n">
        <v>8</v>
      </c>
      <c r="B8" s="0" t="n">
        <v>18</v>
      </c>
    </row>
    <row r="9" customFormat="false" ht="12.75" hidden="false" customHeight="false" outlineLevel="0" collapsed="false">
      <c r="A9" s="0" t="n">
        <v>9</v>
      </c>
      <c r="B9" s="0" t="n">
        <v>14</v>
      </c>
    </row>
    <row r="10" customFormat="false" ht="12.75" hidden="false" customHeight="false" outlineLevel="0" collapsed="false">
      <c r="A10" s="0" t="n">
        <v>7</v>
      </c>
      <c r="B10" s="0" t="n">
        <v>15</v>
      </c>
    </row>
    <row r="11" customFormat="false" ht="12.75" hidden="false" customHeight="false" outlineLevel="0" collapsed="false">
      <c r="A11" s="5" t="s">
        <v>101</v>
      </c>
      <c r="E11" s="29" t="n">
        <f aca="false">FORECAST(10,B2:B10,A2:A10)</f>
        <v>17.2857142857143</v>
      </c>
    </row>
    <row r="12" customFormat="false" ht="12.75" hidden="false" customHeight="false" outlineLevel="0" collapsed="false">
      <c r="A12" s="5"/>
      <c r="E12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3" min="3" style="0" width="9"/>
    <col collapsed="false" customWidth="true" hidden="false" outlineLevel="0" max="4" min="4" style="0" width="7"/>
  </cols>
  <sheetData>
    <row r="1" customFormat="false" ht="12.75" hidden="false" customHeight="false" outlineLevel="0" collapsed="false">
      <c r="A1" s="2" t="s">
        <v>102</v>
      </c>
      <c r="B1" s="2" t="s">
        <v>103</v>
      </c>
    </row>
    <row r="2" customFormat="false" ht="12.75" hidden="false" customHeight="false" outlineLevel="0" collapsed="false">
      <c r="A2" s="0" t="n">
        <v>58</v>
      </c>
      <c r="B2" s="0" t="n">
        <v>60</v>
      </c>
      <c r="C2" s="0" t="n">
        <f aca="false" t="array" ref="C2:C5">FREQUENCY(A2:A10,B2:B4)</f>
        <v>2</v>
      </c>
    </row>
    <row r="3" customFormat="false" ht="12.75" hidden="false" customHeight="false" outlineLevel="0" collapsed="false">
      <c r="A3" s="0" t="n">
        <v>72</v>
      </c>
      <c r="B3" s="0" t="n">
        <v>70</v>
      </c>
      <c r="C3" s="0" t="n">
        <v>2</v>
      </c>
    </row>
    <row r="4" customFormat="false" ht="12.75" hidden="false" customHeight="false" outlineLevel="0" collapsed="false">
      <c r="A4" s="0" t="n">
        <v>55</v>
      </c>
      <c r="B4" s="0" t="n">
        <v>80</v>
      </c>
      <c r="C4" s="0" t="n">
        <v>3</v>
      </c>
    </row>
    <row r="5" customFormat="false" ht="12.75" hidden="false" customHeight="false" outlineLevel="0" collapsed="false">
      <c r="A5" s="0" t="n">
        <v>85</v>
      </c>
      <c r="C5" s="0" t="n">
        <v>2</v>
      </c>
    </row>
    <row r="6" customFormat="false" ht="12.75" hidden="false" customHeight="false" outlineLevel="0" collapsed="false">
      <c r="A6" s="0" t="n">
        <v>90</v>
      </c>
    </row>
    <row r="7" customFormat="false" ht="12.75" hidden="false" customHeight="false" outlineLevel="0" collapsed="false">
      <c r="A7" s="0" t="n">
        <v>75</v>
      </c>
    </row>
    <row r="8" customFormat="false" ht="12.75" hidden="false" customHeight="false" outlineLevel="0" collapsed="false">
      <c r="A8" s="0" t="n">
        <v>78</v>
      </c>
    </row>
    <row r="9" customFormat="false" ht="12.75" hidden="false" customHeight="false" outlineLevel="0" collapsed="false">
      <c r="A9" s="0" t="n">
        <v>68</v>
      </c>
    </row>
    <row r="10" customFormat="false" ht="12.75" hidden="false" customHeight="false" outlineLevel="0" collapsed="false">
      <c r="A10" s="0" t="n">
        <v>68</v>
      </c>
    </row>
    <row r="11" customFormat="false" ht="12.75" hidden="false" customHeight="false" outlineLevel="0" collapsed="false">
      <c r="A11" s="5" t="s">
        <v>104</v>
      </c>
      <c r="E11" s="0" t="n">
        <f aca="false">FREQUENCY(A2:A10,B2:B4)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.43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6" t="n">
        <v>10</v>
      </c>
      <c r="B2" s="0" t="s">
        <v>105</v>
      </c>
    </row>
    <row r="3" customFormat="false" ht="12.75" hidden="false" customHeight="false" outlineLevel="0" collapsed="false">
      <c r="A3" s="0" t="n">
        <v>9</v>
      </c>
      <c r="B3" s="0" t="s">
        <v>106</v>
      </c>
    </row>
    <row r="4" customFormat="false" ht="23.85" hidden="false" customHeight="false" outlineLevel="0" collapsed="false">
      <c r="A4" s="30" t="n">
        <v>2</v>
      </c>
      <c r="B4" s="31" t="s">
        <v>107</v>
      </c>
    </row>
    <row r="5" customFormat="false" ht="12.75" hidden="false" customHeight="false" outlineLevel="0" collapsed="false">
      <c r="A5" s="5" t="s">
        <v>108</v>
      </c>
      <c r="C5" s="0" t="n">
        <f aca="false">_xlfn.GAMMA.DIST(A2,A3,A4,TRUE())</f>
        <v>0.0680936347218484</v>
      </c>
    </row>
    <row r="6" customFormat="false" ht="12.75" hidden="false" customHeight="false" outlineLevel="0" collapsed="false">
      <c r="A6" s="5" t="s">
        <v>109</v>
      </c>
      <c r="C6" s="0" t="n">
        <f aca="false">_xlfn.GAMMA.DIST(A2,A3,A4,FALSE())</f>
        <v>0.0326390196740794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.57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0.0680936308215051</v>
      </c>
      <c r="B2" s="0" t="s">
        <v>105</v>
      </c>
    </row>
    <row r="3" customFormat="false" ht="12.75" hidden="false" customHeight="false" outlineLevel="0" collapsed="false">
      <c r="A3" s="0" t="n">
        <v>9</v>
      </c>
      <c r="B3" s="0" t="s">
        <v>106</v>
      </c>
    </row>
    <row r="4" customFormat="false" ht="23.85" hidden="false" customHeight="false" outlineLevel="0" collapsed="false">
      <c r="A4" s="30" t="n">
        <v>2</v>
      </c>
      <c r="B4" s="31" t="s">
        <v>107</v>
      </c>
    </row>
    <row r="5" customFormat="false" ht="12.75" hidden="false" customHeight="false" outlineLevel="0" collapsed="false">
      <c r="A5" s="5" t="s">
        <v>110</v>
      </c>
      <c r="C5" s="0" t="n">
        <f aca="false">_xlfn.GAMMA.INV(A2,A3,A4)</f>
        <v>9.99999988050059</v>
      </c>
    </row>
    <row r="6" customFormat="false" ht="12.75" hidden="false" customHeight="false" outlineLevel="0" collapsed="false">
      <c r="A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.43"/>
  </cols>
  <sheetData>
    <row r="1" customFormat="false" ht="12.75" hidden="false" customHeight="false" outlineLevel="0" collapsed="false">
      <c r="A1" s="2" t="s">
        <v>0</v>
      </c>
      <c r="B1" s="2"/>
    </row>
    <row r="2" customFormat="false" ht="12.75" hidden="false" customHeight="false" outlineLevel="0" collapsed="false">
      <c r="A2" s="16" t="n">
        <v>5</v>
      </c>
    </row>
    <row r="3" customFormat="false" ht="12.75" hidden="false" customHeight="false" outlineLevel="0" collapsed="false">
      <c r="A3" s="5" t="s">
        <v>111</v>
      </c>
      <c r="D3" s="13" t="n">
        <f aca="false">GAMMALN(A2)</f>
        <v>3.17805383034795</v>
      </c>
    </row>
    <row r="4" customFormat="false" ht="12.75" hidden="false" customHeight="false" outlineLevel="0" collapsed="false"/>
    <row r="5" customFormat="false" ht="12.75" hidden="false" customHeight="false" outlineLevel="0" collapsed="false">
      <c r="D5" s="0" t="n">
        <f aca="false">FISHER(A4)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9"/>
    <col collapsed="false" customWidth="true" hidden="false" outlineLevel="0" max="4" min="4" style="0" width="7"/>
  </cols>
  <sheetData>
    <row r="1" customFormat="false" ht="12.75" hidden="false" customHeight="false" outlineLevel="0" collapsed="false">
      <c r="A1" s="2" t="s">
        <v>0</v>
      </c>
      <c r="B1" s="2"/>
    </row>
    <row r="2" customFormat="false" ht="12.75" hidden="false" customHeight="false" outlineLevel="0" collapsed="false">
      <c r="A2" s="0" t="n">
        <v>8</v>
      </c>
    </row>
    <row r="3" customFormat="false" ht="12.75" hidden="false" customHeight="false" outlineLevel="0" collapsed="false">
      <c r="A3" s="0" t="n">
        <v>7</v>
      </c>
    </row>
    <row r="4" customFormat="false" ht="12.75" hidden="false" customHeight="false" outlineLevel="0" collapsed="false">
      <c r="A4" s="0" t="n">
        <v>5</v>
      </c>
    </row>
    <row r="5" customFormat="false" ht="12.75" hidden="false" customHeight="false" outlineLevel="0" collapsed="false">
      <c r="A5" s="0" t="n">
        <v>9</v>
      </c>
    </row>
    <row r="6" customFormat="false" ht="12.75" hidden="false" customHeight="false" outlineLevel="0" collapsed="false">
      <c r="A6" s="0" t="n">
        <v>10</v>
      </c>
    </row>
    <row r="7" customFormat="false" ht="12.75" hidden="false" customHeight="false" outlineLevel="0" collapsed="false">
      <c r="A7" s="0" t="n">
        <v>7</v>
      </c>
    </row>
    <row r="8" customFormat="false" ht="12.75" hidden="false" customHeight="false" outlineLevel="0" collapsed="false">
      <c r="A8" s="0" t="n">
        <v>8</v>
      </c>
    </row>
    <row r="9" customFormat="false" ht="12.75" hidden="false" customHeight="false" outlineLevel="0" collapsed="false">
      <c r="A9" s="0" t="n">
        <v>7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5" t="s">
        <v>112</v>
      </c>
      <c r="E11" s="0" t="n">
        <f aca="false">GEOMEAN(A2:A10)</f>
        <v>7.30547822992493</v>
      </c>
    </row>
    <row r="12" customFormat="false" ht="12.75" hidden="false" customHeight="false" outlineLevel="0" collapsed="false">
      <c r="A12" s="5" t="s">
        <v>113</v>
      </c>
      <c r="E12" s="0" t="n">
        <f aca="false">GEOMEAN(A2:A10,12)</f>
        <v>7.67718330887189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9"/>
    <col collapsed="false" customWidth="true" hidden="false" outlineLevel="0" max="4" min="4" style="0" width="11.85"/>
    <col collapsed="false" customWidth="true" hidden="false" outlineLevel="0" max="5" min="5" style="0" width="13.71"/>
  </cols>
  <sheetData>
    <row r="1" customFormat="false" ht="12.8" hidden="false" customHeight="false" outlineLevel="0" collapsed="false">
      <c r="A1" s="2" t="s">
        <v>114</v>
      </c>
      <c r="B1" s="2" t="s">
        <v>100</v>
      </c>
    </row>
    <row r="2" customFormat="false" ht="12.8" hidden="false" customHeight="false" outlineLevel="0" collapsed="false">
      <c r="A2" s="0" t="n">
        <v>1</v>
      </c>
      <c r="B2" s="0" t="n">
        <v>55</v>
      </c>
      <c r="F2" s="0" t="n">
        <v>11</v>
      </c>
    </row>
    <row r="3" customFormat="false" ht="12.8" hidden="false" customHeight="false" outlineLevel="0" collapsed="false">
      <c r="A3" s="0" t="n">
        <v>2</v>
      </c>
      <c r="B3" s="0" t="n">
        <v>68</v>
      </c>
      <c r="F3" s="0" t="n">
        <v>12</v>
      </c>
    </row>
    <row r="4" customFormat="false" ht="12.8" hidden="false" customHeight="false" outlineLevel="0" collapsed="false">
      <c r="A4" s="0" t="n">
        <v>3</v>
      </c>
      <c r="B4" s="0" t="n">
        <v>78</v>
      </c>
      <c r="F4" s="0" t="n">
        <v>13</v>
      </c>
    </row>
    <row r="5" customFormat="false" ht="12.8" hidden="false" customHeight="false" outlineLevel="0" collapsed="false">
      <c r="A5" s="0" t="n">
        <v>4</v>
      </c>
      <c r="B5" s="0" t="n">
        <v>95</v>
      </c>
    </row>
    <row r="6" customFormat="false" ht="12.8" hidden="false" customHeight="false" outlineLevel="0" collapsed="false">
      <c r="A6" s="0" t="n">
        <v>5</v>
      </c>
      <c r="B6" s="0" t="n">
        <v>110</v>
      </c>
    </row>
    <row r="7" customFormat="false" ht="12.8" hidden="false" customHeight="false" outlineLevel="0" collapsed="false">
      <c r="A7" s="0" t="n">
        <v>6</v>
      </c>
      <c r="B7" s="0" t="n">
        <v>125</v>
      </c>
    </row>
    <row r="8" customFormat="false" ht="12.8" hidden="false" customHeight="false" outlineLevel="0" collapsed="false">
      <c r="A8" s="0" t="n">
        <v>7</v>
      </c>
      <c r="B8" s="0" t="n">
        <v>135</v>
      </c>
    </row>
    <row r="9" customFormat="false" ht="12.8" hidden="false" customHeight="false" outlineLevel="0" collapsed="false">
      <c r="A9" s="2" t="s">
        <v>114</v>
      </c>
      <c r="B9" s="2" t="s">
        <v>100</v>
      </c>
    </row>
    <row r="10" customFormat="false" ht="12.8" hidden="false" customHeight="false" outlineLevel="0" collapsed="false">
      <c r="A10" s="0" t="n">
        <v>8</v>
      </c>
      <c r="B10" s="0" t="n">
        <f aca="false" t="array" ref="B10:B11">GROWTH(B2:B7,A2:A7,A10:A11)</f>
        <v>178.218715841226</v>
      </c>
    </row>
    <row r="11" customFormat="false" ht="12.8" hidden="false" customHeight="false" outlineLevel="0" collapsed="false">
      <c r="A11" s="0" t="n">
        <v>9</v>
      </c>
      <c r="B11" s="0" t="n">
        <v>210.009774324162</v>
      </c>
    </row>
    <row r="12" customFormat="false" ht="12.8" hidden="false" customHeight="false" outlineLevel="0" collapsed="false">
      <c r="A12" s="5"/>
    </row>
    <row r="17" customFormat="false" ht="12.8" hidden="false" customHeight="false" outlineLevel="0" collapsed="false">
      <c r="B17" s="5" t="s">
        <v>115</v>
      </c>
    </row>
    <row r="21" customFormat="false" ht="12.8" hidden="false" customHeight="false" outlineLevel="0" collapsed="false">
      <c r="H21" s="0" t="n">
        <v>1</v>
      </c>
      <c r="I21" s="0" t="n">
        <v>30</v>
      </c>
    </row>
    <row r="22" customFormat="false" ht="12.8" hidden="false" customHeight="false" outlineLevel="0" collapsed="false">
      <c r="H22" s="0" t="n">
        <v>2</v>
      </c>
      <c r="I22" s="0" t="n">
        <v>50</v>
      </c>
    </row>
    <row r="23" customFormat="false" ht="12.8" hidden="false" customHeight="false" outlineLevel="0" collapsed="false">
      <c r="H23" s="0" t="n">
        <v>3</v>
      </c>
      <c r="I23" s="0" t="n">
        <v>70</v>
      </c>
    </row>
    <row r="24" customFormat="false" ht="12.8" hidden="false" customHeight="false" outlineLevel="0" collapsed="false">
      <c r="H24" s="0" t="n">
        <v>4</v>
      </c>
      <c r="I24" s="0" t="n">
        <v>110</v>
      </c>
    </row>
    <row r="25" customFormat="false" ht="12.8" hidden="false" customHeight="false" outlineLevel="0" collapsed="false">
      <c r="H25" s="0" t="n">
        <v>5</v>
      </c>
      <c r="I25" s="0" t="n">
        <v>140</v>
      </c>
    </row>
    <row r="26" customFormat="false" ht="12.8" hidden="false" customHeight="false" outlineLevel="0" collapsed="false">
      <c r="H26" s="0" t="n">
        <v>6</v>
      </c>
      <c r="I26" s="0" t="n">
        <v>230</v>
      </c>
    </row>
    <row r="27" customFormat="false" ht="12.8" hidden="false" customHeight="false" outlineLevel="0" collapsed="false">
      <c r="H27" s="0" t="n">
        <v>7</v>
      </c>
      <c r="I27" s="0" t="n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.57"/>
  </cols>
  <sheetData>
    <row r="1" customFormat="false" ht="12.75" hidden="false" customHeight="false" outlineLevel="0" collapsed="false">
      <c r="A1" s="2" t="s">
        <v>0</v>
      </c>
      <c r="B1" s="2"/>
    </row>
    <row r="2" customFormat="false" ht="12.75" hidden="false" customHeight="false" outlineLevel="0" collapsed="false">
      <c r="A2" s="0" t="n">
        <v>8</v>
      </c>
    </row>
    <row r="3" customFormat="false" ht="12.75" hidden="false" customHeight="false" outlineLevel="0" collapsed="false">
      <c r="A3" s="0" t="n">
        <v>7</v>
      </c>
    </row>
    <row r="4" customFormat="false" ht="12.75" hidden="false" customHeight="false" outlineLevel="0" collapsed="false">
      <c r="A4" s="0" t="n">
        <v>5</v>
      </c>
    </row>
    <row r="5" customFormat="false" ht="12.75" hidden="false" customHeight="false" outlineLevel="0" collapsed="false">
      <c r="A5" s="0" t="n">
        <v>9</v>
      </c>
    </row>
    <row r="6" customFormat="false" ht="12.75" hidden="false" customHeight="false" outlineLevel="0" collapsed="false">
      <c r="A6" s="0" t="n">
        <v>10</v>
      </c>
    </row>
    <row r="7" customFormat="false" ht="12.75" hidden="false" customHeight="false" outlineLevel="0" collapsed="false">
      <c r="A7" s="0" t="n">
        <v>7</v>
      </c>
    </row>
    <row r="8" customFormat="false" ht="12.75" hidden="false" customHeight="false" outlineLevel="0" collapsed="false">
      <c r="A8" s="0" t="n">
        <v>8</v>
      </c>
    </row>
    <row r="9" customFormat="false" ht="12.75" hidden="false" customHeight="false" outlineLevel="0" collapsed="false">
      <c r="A9" s="0" t="n">
        <v>7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5" t="s">
        <v>116</v>
      </c>
      <c r="E11" s="29" t="n">
        <f aca="false">HARMEAN(A2:A10)</f>
        <v>7.16361339229311</v>
      </c>
    </row>
    <row r="12" customFormat="false" ht="12.75" hidden="false" customHeight="false" outlineLevel="0" collapsed="false">
      <c r="A12" s="5" t="s">
        <v>117</v>
      </c>
      <c r="E12" s="29" t="n">
        <f aca="false">HARMEAN(A2:A10,12)</f>
        <v>7.46445497630332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.57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2</v>
      </c>
      <c r="B2" s="0" t="s">
        <v>118</v>
      </c>
    </row>
    <row r="3" customFormat="false" ht="12.75" hidden="false" customHeight="false" outlineLevel="0" collapsed="false">
      <c r="A3" s="0" t="n">
        <v>6</v>
      </c>
      <c r="B3" s="0" t="s">
        <v>119</v>
      </c>
    </row>
    <row r="4" customFormat="false" ht="12.75" hidden="false" customHeight="false" outlineLevel="0" collapsed="false">
      <c r="A4" s="30" t="n">
        <v>10</v>
      </c>
      <c r="B4" s="31" t="s">
        <v>120</v>
      </c>
    </row>
    <row r="5" customFormat="false" ht="12.75" hidden="false" customHeight="false" outlineLevel="0" collapsed="false">
      <c r="A5" s="30" t="n">
        <v>30</v>
      </c>
      <c r="B5" s="31" t="s">
        <v>121</v>
      </c>
    </row>
    <row r="6" customFormat="false" ht="12.75" hidden="false" customHeight="false" outlineLevel="0" collapsed="false">
      <c r="A6" s="5" t="s">
        <v>122</v>
      </c>
      <c r="C6" s="0" t="n">
        <f aca="false">_xlfn.HYPGEOM.DIST(A2,A3,A4,A5,FALSE())</f>
        <v>0.367184539598333</v>
      </c>
    </row>
    <row r="7" customFormat="false" ht="12.75" hidden="false" customHeight="false" outlineLevel="0" collapsed="false">
      <c r="A7" s="5" t="s">
        <v>123</v>
      </c>
      <c r="C7" s="28" t="n">
        <f aca="false">_xlfn.HYPGEOM.DIST(A2,A3,A4,A5,TRUE())</f>
        <v>0.693570797019073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2.8" customHeight="false" zeroHeight="false" outlineLevelRow="0" outlineLevelCol="0"/>
  <sheetData>
    <row r="1" customFormat="false" ht="12.75" hidden="false" customHeight="false" outlineLevel="0" collapsed="false">
      <c r="A1" s="2" t="s">
        <v>99</v>
      </c>
      <c r="B1" s="2" t="s">
        <v>100</v>
      </c>
    </row>
    <row r="2" customFormat="false" ht="12.75" hidden="false" customHeight="false" outlineLevel="0" collapsed="false">
      <c r="A2" s="0" t="n">
        <v>7</v>
      </c>
      <c r="B2" s="0" t="n">
        <v>10</v>
      </c>
    </row>
    <row r="3" customFormat="false" ht="12.75" hidden="false" customHeight="false" outlineLevel="0" collapsed="false">
      <c r="A3" s="0" t="n">
        <v>6</v>
      </c>
      <c r="B3" s="0" t="n">
        <v>13</v>
      </c>
    </row>
    <row r="4" customFormat="false" ht="12.75" hidden="false" customHeight="false" outlineLevel="0" collapsed="false">
      <c r="A4" s="0" t="n">
        <v>7</v>
      </c>
      <c r="B4" s="0" t="n">
        <v>14</v>
      </c>
    </row>
    <row r="5" customFormat="false" ht="12.75" hidden="false" customHeight="false" outlineLevel="0" collapsed="false">
      <c r="A5" s="0" t="n">
        <v>5</v>
      </c>
      <c r="B5" s="0" t="n">
        <v>12</v>
      </c>
    </row>
    <row r="6" customFormat="false" ht="12.75" hidden="false" customHeight="false" outlineLevel="0" collapsed="false">
      <c r="A6" s="0" t="n">
        <v>8</v>
      </c>
      <c r="B6" s="0" t="n">
        <v>21</v>
      </c>
    </row>
    <row r="7" customFormat="false" ht="12.75" hidden="false" customHeight="false" outlineLevel="0" collapsed="false">
      <c r="A7" s="0" t="n">
        <v>9</v>
      </c>
      <c r="B7" s="0" t="n">
        <v>14</v>
      </c>
    </row>
    <row r="8" customFormat="false" ht="12.75" hidden="false" customHeight="false" outlineLevel="0" collapsed="false">
      <c r="A8" s="0" t="n">
        <v>8</v>
      </c>
      <c r="B8" s="0" t="n">
        <v>18</v>
      </c>
    </row>
    <row r="9" customFormat="false" ht="12.75" hidden="false" customHeight="false" outlineLevel="0" collapsed="false">
      <c r="A9" s="0" t="n">
        <v>9</v>
      </c>
      <c r="B9" s="0" t="n">
        <v>14</v>
      </c>
    </row>
    <row r="10" customFormat="false" ht="12.75" hidden="false" customHeight="false" outlineLevel="0" collapsed="false">
      <c r="A10" s="0" t="n">
        <v>7</v>
      </c>
      <c r="B10" s="0" t="n">
        <v>15</v>
      </c>
    </row>
    <row r="11" customFormat="false" ht="12.75" hidden="false" customHeight="false" outlineLevel="0" collapsed="false">
      <c r="A11" s="5" t="s">
        <v>124</v>
      </c>
      <c r="E11" s="0" t="n">
        <f aca="false">INTERCEPT(B2:B10,A2:A10)</f>
        <v>7.04761904761905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125</v>
      </c>
      <c r="C12" s="0" t="n">
        <f aca="false">KURT(A2:A11)</f>
        <v>0.547988710346629</v>
      </c>
    </row>
    <row r="13" customFormat="false" ht="12.75" hidden="false" customHeight="false" outlineLevel="0" collapsed="false">
      <c r="A13" s="5" t="s">
        <v>126</v>
      </c>
      <c r="C13" s="0" t="n">
        <f aca="false">KURT(A2:A11,13)</f>
        <v>0.289079999999999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127</v>
      </c>
      <c r="C12" s="0" t="n">
        <f aca="false">LARGE(A2:A11,3)</f>
        <v>7</v>
      </c>
    </row>
    <row r="13" customFormat="false" ht="12.75" hidden="false" customHeight="false" outlineLevel="0" collapsed="false">
      <c r="A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.86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10</v>
      </c>
      <c r="B2" s="0" t="s">
        <v>128</v>
      </c>
    </row>
    <row r="3" customFormat="false" ht="12.75" hidden="false" customHeight="false" outlineLevel="0" collapsed="false">
      <c r="A3" s="0" t="n">
        <v>3.5</v>
      </c>
      <c r="B3" s="0" t="s">
        <v>129</v>
      </c>
    </row>
    <row r="4" customFormat="false" ht="12.75" hidden="false" customHeight="false" outlineLevel="0" collapsed="false">
      <c r="A4" s="30" t="n">
        <v>1.2</v>
      </c>
      <c r="B4" s="31" t="s">
        <v>130</v>
      </c>
      <c r="C4" s="0" t="n">
        <f aca="false">LOGNORMDIST(A2,A3,A4)</f>
        <v>0.159177079416608</v>
      </c>
    </row>
    <row r="5" customFormat="false" ht="12.75" hidden="false" customHeight="false" outlineLevel="0" collapsed="false">
      <c r="A5" s="5" t="s">
        <v>131</v>
      </c>
      <c r="C5" s="0" t="n">
        <f aca="false">_xlfn.LOGNORM.DIST(A2,A3,A4,TRUE())</f>
        <v>0.159177079416608</v>
      </c>
    </row>
    <row r="6" customFormat="false" ht="12.75" hidden="false" customHeight="false" outlineLevel="0" collapsed="false">
      <c r="A6" s="5" t="s">
        <v>132</v>
      </c>
      <c r="C6" s="0" t="n">
        <f aca="false">_xlfn.LOGNORM.DIST(A2,A3,A4,FALSE())</f>
        <v>0.0202076656444128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40.57"/>
    <col collapsed="false" customWidth="true" hidden="false" outlineLevel="0" max="3" min="3" style="0" width="12.42"/>
    <col collapsed="false" customWidth="true" hidden="false" outlineLevel="0" max="5" min="5" style="0" width="16.29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33" t="n">
        <v>0.159177079417</v>
      </c>
      <c r="B2" s="0" t="s">
        <v>133</v>
      </c>
    </row>
    <row r="3" customFormat="false" ht="12.75" hidden="false" customHeight="false" outlineLevel="0" collapsed="false">
      <c r="A3" s="0" t="n">
        <v>3.5</v>
      </c>
      <c r="B3" s="0" t="s">
        <v>129</v>
      </c>
    </row>
    <row r="4" customFormat="false" ht="12.75" hidden="false" customHeight="false" outlineLevel="0" collapsed="false">
      <c r="A4" s="30" t="n">
        <v>1.2</v>
      </c>
      <c r="B4" s="31" t="s">
        <v>130</v>
      </c>
    </row>
    <row r="5" customFormat="false" ht="12.75" hidden="false" customHeight="false" outlineLevel="0" collapsed="false">
      <c r="A5" s="5" t="s">
        <v>134</v>
      </c>
      <c r="C5" s="0" t="n">
        <f aca="false">_xlfn.LOGNORM.INV(A2,A3,A4)</f>
        <v>10.0000000000194</v>
      </c>
      <c r="E5" s="33" t="n">
        <v>0.159177079416608</v>
      </c>
    </row>
    <row r="6" customFormat="false" ht="12.75" hidden="false" customHeight="false" outlineLevel="0" collapsed="false">
      <c r="A6" s="5"/>
      <c r="C6" s="0" t="n">
        <f aca="false">_xlfn.LOGNORM.INV(A2,A3,A4)</f>
        <v>10.0000000000194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2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34" t="s">
        <v>135</v>
      </c>
      <c r="C12" s="35" t="n">
        <f aca="false">MAX(A2:A11)</f>
        <v>11</v>
      </c>
    </row>
    <row r="13" customFormat="false" ht="12.75" hidden="false" customHeight="false" outlineLevel="0" collapsed="false">
      <c r="A13" s="5" t="s">
        <v>136</v>
      </c>
      <c r="C13" s="16" t="n">
        <f aca="false">MAX(A2:A10,13)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35" t="n">
        <v>0.4</v>
      </c>
    </row>
    <row r="3" customFormat="false" ht="12.75" hidden="false" customHeight="false" outlineLevel="0" collapsed="false">
      <c r="A3" s="35" t="n">
        <v>0.5</v>
      </c>
    </row>
    <row r="4" customFormat="false" ht="12.75" hidden="false" customHeight="false" outlineLevel="0" collapsed="false">
      <c r="A4" s="36" t="n">
        <v>0.7</v>
      </c>
    </row>
    <row r="5" customFormat="false" ht="12.75" hidden="false" customHeight="false" outlineLevel="0" collapsed="false">
      <c r="A5" s="36" t="n">
        <v>0.3</v>
      </c>
    </row>
    <row r="6" customFormat="false" ht="12.75" hidden="false" customHeight="false" outlineLevel="0" collapsed="false">
      <c r="A6" s="37" t="s">
        <v>137</v>
      </c>
    </row>
    <row r="7" customFormat="false" ht="12.75" hidden="false" customHeight="false" outlineLevel="0" collapsed="false">
      <c r="A7" s="35" t="n">
        <v>0.6</v>
      </c>
    </row>
    <row r="8" customFormat="false" ht="12.75" hidden="false" customHeight="false" outlineLevel="0" collapsed="false">
      <c r="A8" s="35" t="n">
        <v>0.9</v>
      </c>
    </row>
    <row r="9" customFormat="false" ht="12.75" hidden="false" customHeight="false" outlineLevel="0" collapsed="false">
      <c r="A9" s="35" t="n">
        <v>0.75</v>
      </c>
    </row>
    <row r="10" customFormat="false" ht="12.75" hidden="false" customHeight="false" outlineLevel="0" collapsed="false">
      <c r="A10" s="35" t="n">
        <v>0.35</v>
      </c>
    </row>
    <row r="11" customFormat="false" ht="12.75" hidden="false" customHeight="false" outlineLevel="0" collapsed="false">
      <c r="A11" s="5" t="s">
        <v>138</v>
      </c>
      <c r="C11" s="35" t="n">
        <f aca="false">MAXA(A2:A10)</f>
        <v>0.9</v>
      </c>
    </row>
    <row r="12" customFormat="false" ht="12.75" hidden="false" customHeight="false" outlineLevel="0" collapsed="false">
      <c r="A12" s="5" t="s">
        <v>139</v>
      </c>
      <c r="C12" s="0" t="n">
        <f aca="false">MAXA(A2:A10,3)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140</v>
      </c>
      <c r="C12" s="16" t="n">
        <f aca="false">MEDIAN(A2:A11)</f>
        <v>6</v>
      </c>
    </row>
    <row r="13" customFormat="false" ht="12.75" hidden="false" customHeight="false" outlineLevel="0" collapsed="false">
      <c r="A13" s="5" t="s">
        <v>141</v>
      </c>
      <c r="C13" s="16" t="n">
        <f aca="false">MEDIAN(A2:A11,10)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2.8" customHeight="false" zeroHeight="false" outlineLevelRow="0" outlineLevelCol="0"/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4</v>
      </c>
    </row>
    <row r="3" customFormat="false" ht="12.75" hidden="false" customHeight="false" outlineLevel="0" collapsed="false">
      <c r="A3" s="0" t="n">
        <v>5</v>
      </c>
    </row>
    <row r="4" customFormat="false" ht="12.75" hidden="false" customHeight="false" outlineLevel="0" collapsed="false">
      <c r="A4" s="0" t="n">
        <v>7</v>
      </c>
    </row>
    <row r="5" customFormat="false" ht="12.75" hidden="false" customHeight="false" outlineLevel="0" collapsed="false">
      <c r="A5" s="0" t="n">
        <v>3</v>
      </c>
    </row>
    <row r="6" customFormat="false" ht="12.75" hidden="false" customHeight="false" outlineLevel="0" collapsed="false">
      <c r="A6" s="0" t="n">
        <v>5</v>
      </c>
    </row>
    <row r="7" customFormat="false" ht="12.75" hidden="false" customHeight="false" outlineLevel="0" collapsed="false">
      <c r="A7" s="0" t="n">
        <v>6</v>
      </c>
    </row>
    <row r="8" customFormat="false" ht="12.75" hidden="false" customHeight="false" outlineLevel="0" collapsed="false">
      <c r="A8" s="0" t="n">
        <v>7</v>
      </c>
    </row>
    <row r="9" customFormat="false" ht="12.75" hidden="false" customHeight="false" outlineLevel="0" collapsed="false">
      <c r="A9" s="0" t="n">
        <v>9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0" t="n">
        <v>11</v>
      </c>
    </row>
    <row r="12" customFormat="false" ht="12.75" hidden="false" customHeight="false" outlineLevel="0" collapsed="false">
      <c r="A12" s="5" t="s">
        <v>142</v>
      </c>
      <c r="D12" s="0" t="n">
        <f aca="false">MIN(A2:A11)</f>
        <v>3</v>
      </c>
    </row>
    <row r="13" customFormat="false" ht="12.75" hidden="false" customHeight="false" outlineLevel="0" collapsed="false">
      <c r="A13" s="5" t="s">
        <v>143</v>
      </c>
      <c r="D13" s="0" t="n">
        <f aca="false">MIN(A2:A11,0)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35" t="n">
        <v>0.4</v>
      </c>
    </row>
    <row r="3" customFormat="false" ht="12.75" hidden="false" customHeight="false" outlineLevel="0" collapsed="false">
      <c r="A3" s="35" t="n">
        <v>0.5</v>
      </c>
    </row>
    <row r="4" customFormat="false" ht="12.75" hidden="false" customHeight="false" outlineLevel="0" collapsed="false">
      <c r="A4" s="36" t="n">
        <v>0.7</v>
      </c>
    </row>
    <row r="5" customFormat="false" ht="12.75" hidden="false" customHeight="false" outlineLevel="0" collapsed="false">
      <c r="A5" s="36" t="n">
        <v>0.3</v>
      </c>
    </row>
    <row r="6" customFormat="false" ht="12.75" hidden="false" customHeight="false" outlineLevel="0" collapsed="false">
      <c r="A6" s="37" t="s">
        <v>137</v>
      </c>
    </row>
    <row r="7" customFormat="false" ht="12.75" hidden="false" customHeight="false" outlineLevel="0" collapsed="false">
      <c r="A7" s="35" t="n">
        <v>0.6</v>
      </c>
    </row>
    <row r="8" customFormat="false" ht="12.75" hidden="false" customHeight="false" outlineLevel="0" collapsed="false">
      <c r="A8" s="35" t="n">
        <v>0.9</v>
      </c>
    </row>
    <row r="9" customFormat="false" ht="12.75" hidden="false" customHeight="false" outlineLevel="0" collapsed="false">
      <c r="A9" s="35" t="n">
        <v>0.75</v>
      </c>
    </row>
    <row r="10" customFormat="false" ht="12.75" hidden="false" customHeight="false" outlineLevel="0" collapsed="false">
      <c r="A10" s="35" t="n">
        <v>0.35</v>
      </c>
    </row>
    <row r="11" customFormat="false" ht="12.75" hidden="false" customHeight="false" outlineLevel="0" collapsed="false">
      <c r="A11" s="5" t="s">
        <v>144</v>
      </c>
      <c r="C11" s="16" t="n">
        <f aca="false">MINA(A2:A10)</f>
        <v>0</v>
      </c>
    </row>
    <row r="12" customFormat="false" ht="12.75" hidden="false" customHeight="false" outlineLevel="0" collapsed="false">
      <c r="A12" s="5" t="s">
        <v>145</v>
      </c>
      <c r="C12" s="0" t="n">
        <f aca="false">MINA(A2:A10,-3)</f>
        <v>-3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2.8" customHeight="false" zeroHeight="false" outlineLevelRow="0" outlineLevelCol="0"/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4</v>
      </c>
    </row>
    <row r="3" customFormat="false" ht="12.75" hidden="false" customHeight="false" outlineLevel="0" collapsed="false">
      <c r="A3" s="0" t="n">
        <v>5</v>
      </c>
    </row>
    <row r="4" customFormat="false" ht="12.75" hidden="false" customHeight="false" outlineLevel="0" collapsed="false">
      <c r="A4" s="0" t="n">
        <v>7</v>
      </c>
    </row>
    <row r="5" customFormat="false" ht="12.75" hidden="false" customHeight="false" outlineLevel="0" collapsed="false">
      <c r="A5" s="0" t="n">
        <v>3</v>
      </c>
    </row>
    <row r="6" customFormat="false" ht="12.75" hidden="false" customHeight="false" outlineLevel="0" collapsed="false">
      <c r="A6" s="0" t="n">
        <v>5</v>
      </c>
    </row>
    <row r="7" customFormat="false" ht="12.75" hidden="false" customHeight="false" outlineLevel="0" collapsed="false">
      <c r="A7" s="0" t="n">
        <v>6</v>
      </c>
    </row>
    <row r="8" customFormat="false" ht="12.75" hidden="false" customHeight="false" outlineLevel="0" collapsed="false">
      <c r="A8" s="0" t="n">
        <v>5</v>
      </c>
    </row>
    <row r="9" customFormat="false" ht="12.75" hidden="false" customHeight="false" outlineLevel="0" collapsed="false">
      <c r="A9" s="0" t="n">
        <v>9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0" t="n">
        <v>5</v>
      </c>
    </row>
    <row r="12" customFormat="false" ht="12.75" hidden="false" customHeight="false" outlineLevel="0" collapsed="false">
      <c r="A12" s="5" t="s">
        <v>146</v>
      </c>
      <c r="D12" s="0" t="n">
        <f aca="false">MODE(A2:A11)</f>
        <v>5</v>
      </c>
    </row>
    <row r="13" customFormat="false" ht="12.75" hidden="false" customHeight="false" outlineLevel="0" collapsed="false">
      <c r="A13" s="5" t="s">
        <v>147</v>
      </c>
      <c r="D13" s="0" t="n">
        <f aca="false">MODE(A2:A11,4)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.86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20</v>
      </c>
      <c r="B2" s="0" t="s">
        <v>148</v>
      </c>
    </row>
    <row r="3" customFormat="false" ht="12.75" hidden="false" customHeight="false" outlineLevel="0" collapsed="false">
      <c r="A3" s="0" t="n">
        <v>10</v>
      </c>
      <c r="B3" s="0" t="s">
        <v>149</v>
      </c>
    </row>
    <row r="4" customFormat="false" ht="12.75" hidden="false" customHeight="false" outlineLevel="0" collapsed="false">
      <c r="A4" s="30" t="n">
        <v>0.25</v>
      </c>
      <c r="B4" s="31" t="s">
        <v>150</v>
      </c>
    </row>
    <row r="5" customFormat="false" ht="12.75" hidden="false" customHeight="false" outlineLevel="0" collapsed="false">
      <c r="A5" s="5" t="s">
        <v>151</v>
      </c>
      <c r="C5" s="0" t="n">
        <f aca="false">NEGBINOMDIST(A2,A3,A4)</f>
        <v>0.0302884134526097</v>
      </c>
      <c r="D5" s="0" t="n">
        <f aca="false">_xlfn.NEGBINOM.DIST(A2,A3,A4,TRUE())</f>
        <v>0.196593363050489</v>
      </c>
    </row>
    <row r="6" customFormat="false" ht="12.75" hidden="false" customHeight="false" outlineLevel="0" collapsed="false">
      <c r="A6" s="5" t="s">
        <v>152</v>
      </c>
      <c r="D6" s="0" t="n">
        <f aca="false">_xlfn.NEGBINOM.DIST(A2,A3,A4,FALSE())</f>
        <v>0.0302884134526097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.86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45</v>
      </c>
      <c r="B2" s="0" t="s">
        <v>153</v>
      </c>
    </row>
    <row r="3" customFormat="false" ht="12.75" hidden="false" customHeight="false" outlineLevel="0" collapsed="false">
      <c r="A3" s="0" t="n">
        <v>42</v>
      </c>
      <c r="B3" s="0" t="s">
        <v>154</v>
      </c>
    </row>
    <row r="4" customFormat="false" ht="12.75" hidden="false" customHeight="false" outlineLevel="0" collapsed="false">
      <c r="A4" s="30" t="n">
        <v>2.5</v>
      </c>
      <c r="B4" s="31" t="s">
        <v>155</v>
      </c>
    </row>
    <row r="5" customFormat="false" ht="12.75" hidden="false" customHeight="false" outlineLevel="0" collapsed="false">
      <c r="A5" s="5" t="s">
        <v>156</v>
      </c>
      <c r="C5" s="0" t="n">
        <f aca="false">_xlfn.NORM.DIST(A2,A3,A4,TRUE())</f>
        <v>0.884930329778292</v>
      </c>
      <c r="E5" s="0" t="n">
        <f aca="false">_xlfn.NORM.DIST(A2,A3,A4,TRUE())</f>
        <v>0.884930329778292</v>
      </c>
    </row>
    <row r="6" customFormat="false" ht="12.75" hidden="false" customHeight="false" outlineLevel="0" collapsed="false">
      <c r="A6" s="5" t="s">
        <v>157</v>
      </c>
      <c r="C6" s="0" t="n">
        <f aca="false">_xlfn.NORM.DIST(A2,A3,A4,FALSE())</f>
        <v>0.0776744219932852</v>
      </c>
    </row>
    <row r="7" customFormat="false" ht="12.75" hidden="false" customHeight="false" outlineLevel="0" collapsed="false"/>
    <row r="8" customFormat="false" ht="12.75" hidden="false" customHeight="false" outlineLevel="0" collapsed="false">
      <c r="C8" s="0" t="n">
        <f aca="false">AVEDEV(C5:C7)</f>
        <v>0.403627953892503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.86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0.884930329778292</v>
      </c>
      <c r="B2" s="0" t="s">
        <v>158</v>
      </c>
    </row>
    <row r="3" customFormat="false" ht="12.75" hidden="false" customHeight="false" outlineLevel="0" collapsed="false">
      <c r="A3" s="0" t="n">
        <v>42</v>
      </c>
      <c r="B3" s="0" t="s">
        <v>154</v>
      </c>
    </row>
    <row r="4" customFormat="false" ht="12.75" hidden="false" customHeight="false" outlineLevel="0" collapsed="false">
      <c r="A4" s="30" t="n">
        <v>2.5</v>
      </c>
      <c r="B4" s="31" t="s">
        <v>155</v>
      </c>
    </row>
    <row r="5" customFormat="false" ht="12.75" hidden="false" customHeight="false" outlineLevel="0" collapsed="false">
      <c r="A5" s="5" t="s">
        <v>159</v>
      </c>
      <c r="C5" s="0" t="n">
        <f aca="false">_xlfn.NORM.INV(A2,A3,A4)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0.884930329778292</v>
      </c>
      <c r="B2" s="0" t="s">
        <v>160</v>
      </c>
    </row>
    <row r="3" customFormat="false" ht="12.75" hidden="false" customHeight="false" outlineLevel="0" collapsed="false">
      <c r="A3" s="5" t="s">
        <v>161</v>
      </c>
      <c r="D3" s="0" t="n">
        <f aca="false">_xlfn.NORM.S.DIST(A2,TRUE())</f>
        <v>0.811902895672674</v>
      </c>
    </row>
    <row r="4" customFormat="false" ht="12.75" hidden="false" customHeight="false" outlineLevel="0" collapsed="false">
      <c r="A4" s="5" t="s">
        <v>162</v>
      </c>
      <c r="D4" s="0" t="n">
        <f aca="false">_xlfn.NORM.S.DIST(A2,FALSE())</f>
        <v>0.269688044828351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.14"/>
    <col collapsed="false" customWidth="true" hidden="false" outlineLevel="0" max="3" min="3" style="0" width="12.42"/>
    <col collapsed="false" customWidth="true" hidden="false" outlineLevel="0" max="4" min="4" style="0" width="9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0.811902895672674</v>
      </c>
      <c r="B2" s="0" t="s">
        <v>24</v>
      </c>
    </row>
    <row r="3" customFormat="false" ht="12.75" hidden="false" customHeight="false" outlineLevel="0" collapsed="false">
      <c r="A3" s="5" t="s">
        <v>163</v>
      </c>
      <c r="D3" s="18" t="n">
        <f aca="false">_xlfn.NORM.S.INV(A2)</f>
        <v>0.884930329778292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28.42"/>
  </cols>
  <sheetData>
    <row r="1" customFormat="false" ht="12.75" hidden="false" customHeight="false" outlineLevel="0" collapsed="false">
      <c r="A1" s="2" t="s">
        <v>56</v>
      </c>
      <c r="B1" s="2" t="s">
        <v>57</v>
      </c>
    </row>
    <row r="2" customFormat="false" ht="12.75" hidden="false" customHeight="false" outlineLevel="0" collapsed="false">
      <c r="A2" s="0" t="n">
        <v>4</v>
      </c>
      <c r="B2" s="0" t="n">
        <v>25</v>
      </c>
    </row>
    <row r="3" customFormat="false" ht="12.75" hidden="false" customHeight="false" outlineLevel="0" collapsed="false">
      <c r="A3" s="0" t="n">
        <v>5</v>
      </c>
      <c r="B3" s="0" t="n">
        <v>32</v>
      </c>
    </row>
    <row r="4" customFormat="false" ht="12.75" hidden="false" customHeight="false" outlineLevel="0" collapsed="false">
      <c r="A4" s="0" t="n">
        <v>5</v>
      </c>
      <c r="B4" s="0" t="n">
        <v>34</v>
      </c>
    </row>
    <row r="5" customFormat="false" ht="12.75" hidden="false" customHeight="false" outlineLevel="0" collapsed="false">
      <c r="A5" s="0" t="n">
        <v>6</v>
      </c>
      <c r="B5" s="0" t="n">
        <v>35</v>
      </c>
    </row>
    <row r="6" customFormat="false" ht="12.75" hidden="false" customHeight="false" outlineLevel="0" collapsed="false">
      <c r="A6" s="0" t="n">
        <v>7</v>
      </c>
      <c r="B6" s="0" t="n">
        <v>35</v>
      </c>
    </row>
    <row r="7" customFormat="false" ht="12.75" hidden="false" customHeight="false" outlineLevel="0" collapsed="false">
      <c r="A7" s="0" t="n">
        <v>5</v>
      </c>
      <c r="B7" s="0" t="n">
        <v>34</v>
      </c>
    </row>
    <row r="8" customFormat="false" ht="12.75" hidden="false" customHeight="false" outlineLevel="0" collapsed="false">
      <c r="A8" s="0" t="n">
        <v>6</v>
      </c>
      <c r="B8" s="0" t="n">
        <v>35</v>
      </c>
    </row>
    <row r="9" customFormat="false" ht="12.75" hidden="false" customHeight="false" outlineLevel="0" collapsed="false">
      <c r="A9" s="0" t="n">
        <v>4</v>
      </c>
      <c r="B9" s="0" t="n">
        <v>22</v>
      </c>
    </row>
    <row r="10" customFormat="false" ht="12.75" hidden="false" customHeight="false" outlineLevel="0" collapsed="false">
      <c r="A10" s="0" t="n">
        <v>4</v>
      </c>
      <c r="B10" s="0" t="n">
        <v>26</v>
      </c>
    </row>
    <row r="11" customFormat="false" ht="12.75" hidden="false" customHeight="false" outlineLevel="0" collapsed="false">
      <c r="B11" s="5" t="s">
        <v>164</v>
      </c>
      <c r="D11" s="0" t="n">
        <f aca="false">PEARSON(A2:A10,B2:B10)</f>
        <v>0.83802976258527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  <c r="H1" s="0" t="n">
        <v>1</v>
      </c>
    </row>
    <row r="2" customFormat="false" ht="12.75" hidden="false" customHeight="false" outlineLevel="0" collapsed="false">
      <c r="A2" s="16" t="n">
        <v>4</v>
      </c>
      <c r="H2" s="0" t="n">
        <v>2</v>
      </c>
    </row>
    <row r="3" customFormat="false" ht="12.75" hidden="false" customHeight="false" outlineLevel="0" collapsed="false">
      <c r="A3" s="16" t="n">
        <v>5</v>
      </c>
      <c r="H3" s="0" t="n">
        <v>3</v>
      </c>
    </row>
    <row r="4" customFormat="false" ht="12.75" hidden="false" customHeight="false" outlineLevel="0" collapsed="false">
      <c r="A4" s="32" t="n">
        <v>7</v>
      </c>
      <c r="H4" s="0" t="n">
        <v>4</v>
      </c>
    </row>
    <row r="5" customFormat="false" ht="12.75" hidden="false" customHeight="false" outlineLevel="0" collapsed="false">
      <c r="A5" s="32" t="n">
        <v>3</v>
      </c>
      <c r="H5" s="0" t="n">
        <v>5</v>
      </c>
    </row>
    <row r="6" customFormat="false" ht="12.75" hidden="false" customHeight="false" outlineLevel="0" collapsed="false">
      <c r="A6" s="16" t="n">
        <v>5</v>
      </c>
      <c r="H6" s="0" t="n">
        <v>6</v>
      </c>
    </row>
    <row r="7" customFormat="false" ht="12.75" hidden="false" customHeight="false" outlineLevel="0" collapsed="false">
      <c r="A7" s="16" t="n">
        <v>6</v>
      </c>
      <c r="H7" s="0" t="n">
        <v>7</v>
      </c>
    </row>
    <row r="8" customFormat="false" ht="12.75" hidden="false" customHeight="false" outlineLevel="0" collapsed="false">
      <c r="A8" s="16" t="n">
        <v>7</v>
      </c>
      <c r="H8" s="0" t="n">
        <v>8</v>
      </c>
    </row>
    <row r="9" customFormat="false" ht="12.75" hidden="false" customHeight="false" outlineLevel="0" collapsed="false">
      <c r="A9" s="16" t="n">
        <v>9</v>
      </c>
      <c r="H9" s="0" t="n">
        <v>9</v>
      </c>
    </row>
    <row r="10" customFormat="false" ht="12.75" hidden="false" customHeight="false" outlineLevel="0" collapsed="false">
      <c r="A10" s="16" t="n">
        <v>6</v>
      </c>
      <c r="H10" s="0" t="n">
        <v>10</v>
      </c>
    </row>
    <row r="11" customFormat="false" ht="12.75" hidden="false" customHeight="false" outlineLevel="0" collapsed="false">
      <c r="A11" s="16" t="n">
        <v>11</v>
      </c>
      <c r="H11" s="0" t="n">
        <f aca="false">PERCENTILE(H1:H10,0.75)</f>
        <v>7.75</v>
      </c>
    </row>
    <row r="12" customFormat="false" ht="12.75" hidden="false" customHeight="false" outlineLevel="0" collapsed="false">
      <c r="A12" s="5" t="s">
        <v>165</v>
      </c>
      <c r="C12" s="16"/>
      <c r="D12" s="0" t="n">
        <f aca="false">_xlfn.PERCENTILE.EXC(A2:A11,0.2)</f>
        <v>4.2</v>
      </c>
      <c r="E12" s="0" t="n">
        <f aca="false">PERCENTRANK(A2:A11,5)</f>
        <v>0.222</v>
      </c>
    </row>
    <row r="13" customFormat="false" ht="12.75" hidden="false" customHeight="false" outlineLevel="0" collapsed="false">
      <c r="A13" s="5"/>
      <c r="C1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  <c r="H1" s="0" t="n">
        <v>1</v>
      </c>
    </row>
    <row r="2" customFormat="false" ht="12.75" hidden="false" customHeight="false" outlineLevel="0" collapsed="false">
      <c r="A2" s="16" t="n">
        <v>4</v>
      </c>
      <c r="H2" s="0" t="n">
        <v>2</v>
      </c>
    </row>
    <row r="3" customFormat="false" ht="12.75" hidden="false" customHeight="false" outlineLevel="0" collapsed="false">
      <c r="A3" s="16" t="n">
        <v>5</v>
      </c>
      <c r="H3" s="0" t="n">
        <v>3</v>
      </c>
    </row>
    <row r="4" customFormat="false" ht="12.75" hidden="false" customHeight="false" outlineLevel="0" collapsed="false">
      <c r="A4" s="32" t="n">
        <v>7</v>
      </c>
      <c r="H4" s="0" t="n">
        <v>4</v>
      </c>
    </row>
    <row r="5" customFormat="false" ht="12.75" hidden="false" customHeight="false" outlineLevel="0" collapsed="false">
      <c r="A5" s="32" t="n">
        <v>3</v>
      </c>
      <c r="H5" s="0" t="n">
        <v>5</v>
      </c>
    </row>
    <row r="6" customFormat="false" ht="12.75" hidden="false" customHeight="false" outlineLevel="0" collapsed="false">
      <c r="A6" s="16" t="n">
        <v>5</v>
      </c>
      <c r="H6" s="0" t="n">
        <v>6</v>
      </c>
    </row>
    <row r="7" customFormat="false" ht="12.75" hidden="false" customHeight="false" outlineLevel="0" collapsed="false">
      <c r="A7" s="16" t="n">
        <v>6</v>
      </c>
      <c r="H7" s="0" t="n">
        <v>7</v>
      </c>
    </row>
    <row r="8" customFormat="false" ht="12.75" hidden="false" customHeight="false" outlineLevel="0" collapsed="false">
      <c r="A8" s="16" t="n">
        <v>7</v>
      </c>
      <c r="H8" s="0" t="n">
        <v>8</v>
      </c>
    </row>
    <row r="9" customFormat="false" ht="12.75" hidden="false" customHeight="false" outlineLevel="0" collapsed="false">
      <c r="A9" s="16" t="n">
        <v>9</v>
      </c>
      <c r="H9" s="0" t="n">
        <v>9</v>
      </c>
    </row>
    <row r="10" customFormat="false" ht="12.75" hidden="false" customHeight="false" outlineLevel="0" collapsed="false">
      <c r="A10" s="16" t="n">
        <v>6</v>
      </c>
      <c r="H10" s="0" t="n">
        <v>10</v>
      </c>
    </row>
    <row r="11" customFormat="false" ht="12.75" hidden="false" customHeight="false" outlineLevel="0" collapsed="false">
      <c r="A11" s="16" t="n">
        <v>11</v>
      </c>
      <c r="H11" s="0" t="n">
        <f aca="false">PERCENTILE(H1:H10,0.75)</f>
        <v>7.75</v>
      </c>
    </row>
    <row r="12" customFormat="false" ht="12.75" hidden="false" customHeight="false" outlineLevel="0" collapsed="false">
      <c r="A12" s="5" t="s">
        <v>166</v>
      </c>
      <c r="C12" s="16"/>
      <c r="D12" s="0" t="n">
        <f aca="false">_xlfn.PERCENTILE.INC(A2:A11,0.2)</f>
        <v>4.8</v>
      </c>
      <c r="E12" s="0" t="n">
        <f aca="false">PERCENTRANK(A2:A11,5)</f>
        <v>0.222</v>
      </c>
    </row>
    <row r="13" customFormat="false" ht="12.75" hidden="false" customHeight="false" outlineLevel="0" collapsed="false">
      <c r="A13" s="5"/>
      <c r="C1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.71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167</v>
      </c>
      <c r="C12" s="16"/>
      <c r="E12" s="0" t="n">
        <f aca="false">_xlfn.PERCENTRANK.EXC(A2:A11,5)</f>
        <v>0.273</v>
      </c>
      <c r="F12" s="0" t="n">
        <f aca="false">_xlfn.PERCENTRANK.INC(A2:A11,5)</f>
        <v>0.222</v>
      </c>
    </row>
    <row r="13" customFormat="false" ht="12.75" hidden="false" customHeight="false" outlineLevel="0" collapsed="false">
      <c r="A13" s="5"/>
      <c r="C1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.71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168</v>
      </c>
      <c r="C12" s="16"/>
      <c r="E12" s="0" t="e">
        <f aca="false">percentrank.inc(A2:A11,5)</f>
        <v>#NAME?</v>
      </c>
    </row>
    <row r="13" customFormat="false" ht="12.75" hidden="false" customHeight="false" outlineLevel="0" collapsed="false">
      <c r="A13" s="5"/>
      <c r="C1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.14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10</v>
      </c>
      <c r="B2" s="0" t="s">
        <v>169</v>
      </c>
    </row>
    <row r="3" customFormat="false" ht="12.75" hidden="false" customHeight="false" outlineLevel="0" collapsed="false">
      <c r="A3" s="0" t="n">
        <v>2</v>
      </c>
      <c r="B3" s="0" t="s">
        <v>170</v>
      </c>
    </row>
    <row r="4" customFormat="false" ht="12.75" hidden="false" customHeight="false" outlineLevel="0" collapsed="false">
      <c r="A4" s="5" t="s">
        <v>171</v>
      </c>
      <c r="C4" s="0" t="n">
        <f aca="false">PERMUT(A2,A3)</f>
        <v>90</v>
      </c>
      <c r="D4" s="0" t="n">
        <f aca="false">PERMUT(A2,A3)</f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.14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2</v>
      </c>
      <c r="B2" s="0" t="s">
        <v>172</v>
      </c>
    </row>
    <row r="3" customFormat="false" ht="12.75" hidden="false" customHeight="false" outlineLevel="0" collapsed="false">
      <c r="A3" s="0" t="n">
        <v>4</v>
      </c>
      <c r="B3" s="0" t="s">
        <v>173</v>
      </c>
    </row>
    <row r="4" customFormat="false" ht="12.75" hidden="false" customHeight="false" outlineLevel="0" collapsed="false">
      <c r="A4" s="5" t="s">
        <v>174</v>
      </c>
      <c r="C4" s="0" t="n">
        <f aca="false">_xlfn.POISSON.DIST(A2,A3,TRUE())</f>
        <v>0.238103305553544</v>
      </c>
      <c r="D4" s="0" t="n">
        <f aca="false">_xlfn.POISSON.DIST(A2,A3,TRUE())</f>
        <v>0.238103305553544</v>
      </c>
    </row>
    <row r="5" customFormat="false" ht="12.75" hidden="false" customHeight="false" outlineLevel="0" collapsed="false">
      <c r="A5" s="5" t="s">
        <v>175</v>
      </c>
      <c r="C5" s="0" t="n">
        <f aca="false">_xlfn.POISSON.DIST(A2,A3,FALSE())</f>
        <v>0.146525111109873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.14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24</v>
      </c>
    </row>
    <row r="2" customFormat="false" ht="12.75" hidden="false" customHeight="false" outlineLevel="0" collapsed="false">
      <c r="A2" s="0" t="n">
        <v>9</v>
      </c>
      <c r="B2" s="0" t="n">
        <v>0.2</v>
      </c>
    </row>
    <row r="3" customFormat="false" ht="12.75" hidden="false" customHeight="false" outlineLevel="0" collapsed="false">
      <c r="A3" s="0" t="n">
        <v>7</v>
      </c>
      <c r="B3" s="0" t="n">
        <v>0.3</v>
      </c>
    </row>
    <row r="4" customFormat="false" ht="12.75" hidden="false" customHeight="false" outlineLevel="0" collapsed="false">
      <c r="A4" s="0" t="n">
        <v>3</v>
      </c>
      <c r="B4" s="0" t="n">
        <v>0.1</v>
      </c>
    </row>
    <row r="5" customFormat="false" ht="12.75" hidden="false" customHeight="false" outlineLevel="0" collapsed="false">
      <c r="A5" s="0" t="n">
        <v>12</v>
      </c>
      <c r="B5" s="0" t="n">
        <v>0.4</v>
      </c>
    </row>
    <row r="6" customFormat="false" ht="12.75" hidden="false" customHeight="false" outlineLevel="0" collapsed="false">
      <c r="A6" s="5" t="s">
        <v>176</v>
      </c>
      <c r="D6" s="0" t="n">
        <f aca="false">PROB(A2:A5,B2:B5,7)</f>
        <v>0.3</v>
      </c>
    </row>
    <row r="7" customFormat="false" ht="12.75" hidden="false" customHeight="false" outlineLevel="0" collapsed="false">
      <c r="A7" s="5" t="s">
        <v>177</v>
      </c>
      <c r="D7" s="13" t="n">
        <f aca="false">PROB(A2:A5,B2:B5,1,3)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.71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178</v>
      </c>
      <c r="C12" s="16"/>
      <c r="E12" s="0" t="n">
        <f aca="false">_xlfn.QUARTILE.EXC(A2:A11,1)</f>
        <v>4.75</v>
      </c>
    </row>
    <row r="13" customFormat="false" ht="12.75" hidden="false" customHeight="false" outlineLevel="0" collapsed="false">
      <c r="A13" s="5" t="s">
        <v>179</v>
      </c>
      <c r="C13" s="16"/>
      <c r="E13" s="0" t="n">
        <f aca="false">_xlfn.QUARTILE.EXC(A2:A11,3)</f>
        <v>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.71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180</v>
      </c>
      <c r="C12" s="16"/>
      <c r="E12" s="0" t="n">
        <f aca="false">_xlfn.QUARTILE.INC(A2:A11,1)</f>
        <v>5</v>
      </c>
    </row>
    <row r="13" customFormat="false" ht="12.75" hidden="false" customHeight="false" outlineLevel="0" collapsed="false">
      <c r="A13" s="5" t="s">
        <v>181</v>
      </c>
      <c r="C13" s="16"/>
      <c r="E13" s="0" t="n">
        <f aca="false">_xlfn.QUARTILE.INC(A2:A11,3)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.71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182</v>
      </c>
      <c r="C12" s="16"/>
      <c r="E12" s="0" t="n">
        <f aca="false">RANK(4,A2:A11,0)</f>
        <v>9</v>
      </c>
    </row>
    <row r="13" customFormat="false" ht="12.75" hidden="false" customHeight="false" outlineLevel="0" collapsed="false">
      <c r="A13" s="5" t="s">
        <v>183</v>
      </c>
      <c r="C13" s="16"/>
      <c r="E13" s="0" t="n">
        <f aca="false">RANK(4,A2:A11,1)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28.42"/>
  </cols>
  <sheetData>
    <row r="1" customFormat="false" ht="12.75" hidden="false" customHeight="false" outlineLevel="0" collapsed="false">
      <c r="A1" s="2" t="s">
        <v>56</v>
      </c>
      <c r="B1" s="2" t="s">
        <v>57</v>
      </c>
    </row>
    <row r="2" customFormat="false" ht="12.75" hidden="false" customHeight="false" outlineLevel="0" collapsed="false">
      <c r="A2" s="0" t="n">
        <v>4</v>
      </c>
      <c r="B2" s="0" t="n">
        <v>25</v>
      </c>
    </row>
    <row r="3" customFormat="false" ht="12.75" hidden="false" customHeight="false" outlineLevel="0" collapsed="false">
      <c r="A3" s="0" t="n">
        <v>5</v>
      </c>
      <c r="B3" s="0" t="n">
        <v>32</v>
      </c>
    </row>
    <row r="4" customFormat="false" ht="12.75" hidden="false" customHeight="false" outlineLevel="0" collapsed="false">
      <c r="A4" s="0" t="n">
        <v>5</v>
      </c>
      <c r="B4" s="0" t="n">
        <v>34</v>
      </c>
    </row>
    <row r="5" customFormat="false" ht="12.75" hidden="false" customHeight="false" outlineLevel="0" collapsed="false">
      <c r="A5" s="0" t="n">
        <v>6</v>
      </c>
      <c r="B5" s="0" t="n">
        <v>35</v>
      </c>
    </row>
    <row r="6" customFormat="false" ht="12.75" hidden="false" customHeight="false" outlineLevel="0" collapsed="false">
      <c r="A6" s="0" t="n">
        <v>7</v>
      </c>
      <c r="B6" s="0" t="n">
        <v>35</v>
      </c>
    </row>
    <row r="7" customFormat="false" ht="12.75" hidden="false" customHeight="false" outlineLevel="0" collapsed="false">
      <c r="A7" s="0" t="n">
        <v>5</v>
      </c>
      <c r="B7" s="0" t="n">
        <v>34</v>
      </c>
    </row>
    <row r="8" customFormat="false" ht="12.75" hidden="false" customHeight="false" outlineLevel="0" collapsed="false">
      <c r="A8" s="0" t="n">
        <v>6</v>
      </c>
      <c r="B8" s="0" t="n">
        <v>35</v>
      </c>
    </row>
    <row r="9" customFormat="false" ht="12.75" hidden="false" customHeight="false" outlineLevel="0" collapsed="false">
      <c r="A9" s="0" t="n">
        <v>4</v>
      </c>
      <c r="B9" s="0" t="n">
        <v>22</v>
      </c>
    </row>
    <row r="10" customFormat="false" ht="12.75" hidden="false" customHeight="false" outlineLevel="0" collapsed="false">
      <c r="A10" s="0" t="n">
        <v>4</v>
      </c>
      <c r="B10" s="0" t="n">
        <v>26</v>
      </c>
    </row>
    <row r="11" customFormat="false" ht="12.75" hidden="false" customHeight="false" outlineLevel="0" collapsed="false">
      <c r="B11" s="5" t="s">
        <v>184</v>
      </c>
      <c r="D11" s="0" t="n">
        <f aca="false">RSQ(A2:A10,B2:B10)</f>
        <v>0.702293882978724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  <col collapsed="false" customWidth="true" hidden="false" outlineLevel="0" max="3" min="3" style="0" width="11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185</v>
      </c>
      <c r="C12" s="6" t="n">
        <f aca="false">SKEW(A2:A11)</f>
        <v>0.757583061881335</v>
      </c>
    </row>
    <row r="13" customFormat="false" ht="12.75" hidden="false" customHeight="false" outlineLevel="0" collapsed="false">
      <c r="A13" s="5" t="s">
        <v>186</v>
      </c>
      <c r="C13" s="0" t="n">
        <f aca="false">SKEW(A2:A11,13)</f>
        <v>0.90875519255738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2.8" customHeight="false" zeroHeight="false" outlineLevelRow="0" outlineLevelCol="0"/>
  <sheetData>
    <row r="1" customFormat="false" ht="12.75" hidden="false" customHeight="false" outlineLevel="0" collapsed="false">
      <c r="A1" s="2" t="s">
        <v>99</v>
      </c>
      <c r="B1" s="2" t="s">
        <v>100</v>
      </c>
    </row>
    <row r="2" customFormat="false" ht="12.75" hidden="false" customHeight="false" outlineLevel="0" collapsed="false">
      <c r="A2" s="0" t="n">
        <v>7</v>
      </c>
      <c r="B2" s="0" t="n">
        <v>10</v>
      </c>
    </row>
    <row r="3" customFormat="false" ht="12.75" hidden="false" customHeight="false" outlineLevel="0" collapsed="false">
      <c r="A3" s="0" t="n">
        <v>6</v>
      </c>
      <c r="B3" s="0" t="n">
        <v>13</v>
      </c>
    </row>
    <row r="4" customFormat="false" ht="12.75" hidden="false" customHeight="false" outlineLevel="0" collapsed="false">
      <c r="A4" s="0" t="n">
        <v>7</v>
      </c>
      <c r="B4" s="0" t="n">
        <v>14</v>
      </c>
    </row>
    <row r="5" customFormat="false" ht="12.75" hidden="false" customHeight="false" outlineLevel="0" collapsed="false">
      <c r="A5" s="0" t="n">
        <v>5</v>
      </c>
      <c r="B5" s="0" t="n">
        <v>12</v>
      </c>
    </row>
    <row r="6" customFormat="false" ht="12.75" hidden="false" customHeight="false" outlineLevel="0" collapsed="false">
      <c r="A6" s="0" t="n">
        <v>8</v>
      </c>
      <c r="B6" s="0" t="n">
        <v>21</v>
      </c>
    </row>
    <row r="7" customFormat="false" ht="12.75" hidden="false" customHeight="false" outlineLevel="0" collapsed="false">
      <c r="A7" s="0" t="n">
        <v>9</v>
      </c>
      <c r="B7" s="0" t="n">
        <v>14</v>
      </c>
    </row>
    <row r="8" customFormat="false" ht="12.75" hidden="false" customHeight="false" outlineLevel="0" collapsed="false">
      <c r="A8" s="0" t="n">
        <v>8</v>
      </c>
      <c r="B8" s="0" t="n">
        <v>18</v>
      </c>
    </row>
    <row r="9" customFormat="false" ht="12.75" hidden="false" customHeight="false" outlineLevel="0" collapsed="false">
      <c r="A9" s="0" t="n">
        <v>9</v>
      </c>
      <c r="B9" s="0" t="n">
        <v>14</v>
      </c>
    </row>
    <row r="10" customFormat="false" ht="12.75" hidden="false" customHeight="false" outlineLevel="0" collapsed="false">
      <c r="A10" s="0" t="n">
        <v>7</v>
      </c>
      <c r="B10" s="0" t="n">
        <v>15</v>
      </c>
    </row>
    <row r="11" customFormat="false" ht="12.75" hidden="false" customHeight="false" outlineLevel="0" collapsed="false">
      <c r="A11" s="5" t="s">
        <v>187</v>
      </c>
      <c r="E11" s="0" t="n">
        <f aca="false">SLOPE(B2:B10,A2:A10)</f>
        <v>1.02380952380952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188</v>
      </c>
      <c r="C12" s="0" t="n">
        <f aca="false">SMALL(A2:A11,3)</f>
        <v>5</v>
      </c>
    </row>
    <row r="13" customFormat="false" ht="12.75" hidden="false" customHeight="false" outlineLevel="0" collapsed="false">
      <c r="A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.57"/>
    <col collapsed="false" customWidth="true" hidden="false" outlineLevel="0" max="3" min="3" style="0" width="12.42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0" t="n">
        <v>40</v>
      </c>
      <c r="B2" s="0" t="s">
        <v>189</v>
      </c>
    </row>
    <row r="3" customFormat="false" ht="12.75" hidden="false" customHeight="false" outlineLevel="0" collapsed="false">
      <c r="A3" s="0" t="n">
        <v>36</v>
      </c>
      <c r="B3" s="0" t="s">
        <v>154</v>
      </c>
    </row>
    <row r="4" customFormat="false" ht="12.75" hidden="false" customHeight="false" outlineLevel="0" collapsed="false">
      <c r="A4" s="0" t="n">
        <v>0.25</v>
      </c>
      <c r="B4" s="0" t="s">
        <v>190</v>
      </c>
    </row>
    <row r="5" customFormat="false" ht="12.75" hidden="false" customHeight="false" outlineLevel="0" collapsed="false">
      <c r="A5" s="5" t="s">
        <v>191</v>
      </c>
      <c r="D5" s="0" t="n">
        <f aca="false">STANDARDIZE(A2,A3,A4)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  <col collapsed="false" customWidth="true" hidden="false" outlineLevel="0" max="3" min="3" style="0" width="12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192</v>
      </c>
      <c r="C12" s="6" t="n">
        <f aca="false">_xlfn.STDEV.P(A2:A11)</f>
        <v>2.23830292855994</v>
      </c>
    </row>
    <row r="13" customFormat="false" ht="12.75" hidden="false" customHeight="false" outlineLevel="0" collapsed="false">
      <c r="A13" s="5" t="s">
        <v>193</v>
      </c>
      <c r="C13" s="6" t="n">
        <f aca="false">_xlfn.STDEV.P(A2:A11,13)</f>
        <v>2.87479787288034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  <col collapsed="false" customWidth="true" hidden="false" outlineLevel="0" max="3" min="3" style="0" width="12.57"/>
    <col collapsed="false" customWidth="true" hidden="false" outlineLevel="0" max="7" min="7" style="38" width="9.14"/>
  </cols>
  <sheetData>
    <row r="1" customFormat="false" ht="17.3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16" t="n">
        <v>4</v>
      </c>
      <c r="G2" s="39"/>
    </row>
    <row r="3" customFormat="false" ht="17.35" hidden="false" customHeight="false" outlineLevel="0" collapsed="false">
      <c r="A3" s="16" t="n">
        <v>5</v>
      </c>
      <c r="G3" s="39"/>
    </row>
    <row r="4" customFormat="false" ht="17.35" hidden="false" customHeight="false" outlineLevel="0" collapsed="false">
      <c r="A4" s="32" t="n">
        <v>7</v>
      </c>
      <c r="G4" s="39"/>
    </row>
    <row r="5" customFormat="false" ht="17.35" hidden="false" customHeight="false" outlineLevel="0" collapsed="false">
      <c r="A5" s="32" t="n">
        <v>3</v>
      </c>
      <c r="G5" s="39"/>
    </row>
    <row r="6" customFormat="false" ht="17.35" hidden="false" customHeight="false" outlineLevel="0" collapsed="false">
      <c r="A6" s="16" t="n">
        <v>5</v>
      </c>
      <c r="G6" s="39"/>
    </row>
    <row r="7" customFormat="false" ht="17.35" hidden="false" customHeight="false" outlineLevel="0" collapsed="false">
      <c r="A7" s="16" t="n">
        <v>6</v>
      </c>
      <c r="G7" s="39"/>
    </row>
    <row r="8" customFormat="false" ht="17.35" hidden="false" customHeight="false" outlineLevel="0" collapsed="false">
      <c r="A8" s="16" t="n">
        <v>7</v>
      </c>
      <c r="G8" s="39"/>
    </row>
    <row r="9" customFormat="false" ht="17.35" hidden="false" customHeight="false" outlineLevel="0" collapsed="false">
      <c r="A9" s="16" t="n">
        <v>9</v>
      </c>
      <c r="G9" s="39"/>
    </row>
    <row r="10" customFormat="false" ht="17.35" hidden="false" customHeight="false" outlineLevel="0" collapsed="false">
      <c r="A10" s="16" t="n">
        <v>6</v>
      </c>
      <c r="G10" s="39"/>
    </row>
    <row r="11" customFormat="false" ht="17.35" hidden="false" customHeight="false" outlineLevel="0" collapsed="false">
      <c r="A11" s="16" t="n">
        <v>11</v>
      </c>
      <c r="G11" s="39"/>
    </row>
    <row r="12" customFormat="false" ht="17.35" hidden="false" customHeight="false" outlineLevel="0" collapsed="false">
      <c r="A12" s="5" t="s">
        <v>194</v>
      </c>
      <c r="C12" s="6" t="n">
        <f aca="false">_xlfn.STDEV.S(A2:A11)</f>
        <v>2.35937844922485</v>
      </c>
      <c r="G12" s="39"/>
    </row>
    <row r="13" customFormat="false" ht="17.35" hidden="false" customHeight="false" outlineLevel="0" collapsed="false">
      <c r="A13" s="5" t="s">
        <v>195</v>
      </c>
      <c r="C13" s="6" t="n">
        <f aca="false">_xlfn.STDEV.S(A2:A11,13)</f>
        <v>3.01511344577764</v>
      </c>
      <c r="G13" s="39"/>
    </row>
    <row r="14" customFormat="false" ht="17.35" hidden="false" customHeight="false" outlineLevel="0" collapsed="false">
      <c r="F14" s="21"/>
    </row>
    <row r="15" customFormat="false" ht="17.35" hidden="false" customHeight="false" outlineLevel="0" collapsed="false">
      <c r="F15" s="21"/>
    </row>
    <row r="16" customFormat="false" ht="17.35" hidden="false" customHeight="false" outlineLevel="0" collapsed="false">
      <c r="F16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11.43"/>
    <col collapsed="false" customWidth="true" hidden="false" outlineLevel="0" max="3" min="3" style="0" width="11.57"/>
    <col collapsed="false" customWidth="true" hidden="false" outlineLevel="0" max="5" min="5" style="0" width="11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s">
        <v>196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197</v>
      </c>
      <c r="E12" s="6" t="n">
        <f aca="false">STDEVA(A2:A11)</f>
        <v>3.0840089349921</v>
      </c>
    </row>
    <row r="13" customFormat="false" ht="12.75" hidden="false" customHeight="false" outlineLevel="0" collapsed="false">
      <c r="A13" s="5" t="s">
        <v>198</v>
      </c>
      <c r="E13" s="6" t="n">
        <f aca="false">STDEVA(A2:A11,13)</f>
        <v>3.64317543809343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  <col collapsed="false" customWidth="true" hidden="false" outlineLevel="0" max="3" min="3" style="0" width="12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199</v>
      </c>
      <c r="C12" s="6" t="n">
        <f aca="false">STDEVP(A2:A11)</f>
        <v>2.23830292855994</v>
      </c>
    </row>
    <row r="13" customFormat="false" ht="12.75" hidden="false" customHeight="false" outlineLevel="0" collapsed="false">
      <c r="A13" s="5" t="s">
        <v>200</v>
      </c>
      <c r="C13" s="6" t="n">
        <f aca="false">STDEVP(A2:A11,13)</f>
        <v>2.87479787288034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11.43"/>
    <col collapsed="false" customWidth="true" hidden="false" outlineLevel="0" max="3" min="3" style="0" width="11.57"/>
    <col collapsed="false" customWidth="true" hidden="false" outlineLevel="0" max="5" min="5" style="0" width="11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s">
        <v>196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201</v>
      </c>
      <c r="E12" s="6" t="n">
        <f aca="false">STDEVPA(A2:A11)</f>
        <v>2.92574776766556</v>
      </c>
    </row>
    <row r="13" customFormat="false" ht="12.75" hidden="false" customHeight="false" outlineLevel="0" collapsed="false">
      <c r="A13" s="5" t="s">
        <v>202</v>
      </c>
      <c r="E13" s="6" t="n">
        <f aca="false">STDEVPA(A2:A11,13)</f>
        <v>3.47363148628051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3.71"/>
  </cols>
  <sheetData>
    <row r="1" customFormat="false" ht="12.75" hidden="false" customHeight="false" outlineLevel="0" collapsed="false">
      <c r="A1" s="2" t="s">
        <v>99</v>
      </c>
      <c r="B1" s="2" t="s">
        <v>100</v>
      </c>
    </row>
    <row r="2" customFormat="false" ht="12.75" hidden="false" customHeight="false" outlineLevel="0" collapsed="false">
      <c r="A2" s="0" t="n">
        <v>7</v>
      </c>
      <c r="B2" s="0" t="n">
        <v>10</v>
      </c>
    </row>
    <row r="3" customFormat="false" ht="12.75" hidden="false" customHeight="false" outlineLevel="0" collapsed="false">
      <c r="A3" s="0" t="n">
        <v>6</v>
      </c>
      <c r="B3" s="0" t="n">
        <v>13</v>
      </c>
    </row>
    <row r="4" customFormat="false" ht="12.75" hidden="false" customHeight="false" outlineLevel="0" collapsed="false">
      <c r="A4" s="0" t="n">
        <v>7</v>
      </c>
      <c r="B4" s="0" t="n">
        <v>14</v>
      </c>
    </row>
    <row r="5" customFormat="false" ht="12.75" hidden="false" customHeight="false" outlineLevel="0" collapsed="false">
      <c r="A5" s="0" t="n">
        <v>5</v>
      </c>
      <c r="B5" s="0" t="n">
        <v>12</v>
      </c>
    </row>
    <row r="6" customFormat="false" ht="12.75" hidden="false" customHeight="false" outlineLevel="0" collapsed="false">
      <c r="A6" s="0" t="n">
        <v>8</v>
      </c>
      <c r="B6" s="0" t="n">
        <v>21</v>
      </c>
    </row>
    <row r="7" customFormat="false" ht="12.75" hidden="false" customHeight="false" outlineLevel="0" collapsed="false">
      <c r="A7" s="0" t="n">
        <v>9</v>
      </c>
      <c r="B7" s="0" t="n">
        <v>14</v>
      </c>
    </row>
    <row r="8" customFormat="false" ht="12.75" hidden="false" customHeight="false" outlineLevel="0" collapsed="false">
      <c r="A8" s="0" t="n">
        <v>8</v>
      </c>
      <c r="B8" s="0" t="n">
        <v>18</v>
      </c>
    </row>
    <row r="9" customFormat="false" ht="12.75" hidden="false" customHeight="false" outlineLevel="0" collapsed="false">
      <c r="A9" s="0" t="n">
        <v>9</v>
      </c>
      <c r="B9" s="0" t="n">
        <v>14</v>
      </c>
    </row>
    <row r="10" customFormat="false" ht="12.75" hidden="false" customHeight="false" outlineLevel="0" collapsed="false">
      <c r="A10" s="0" t="n">
        <v>7</v>
      </c>
      <c r="B10" s="0" t="n">
        <v>15</v>
      </c>
    </row>
    <row r="11" customFormat="false" ht="12.75" hidden="false" customHeight="false" outlineLevel="0" collapsed="false">
      <c r="A11" s="5" t="s">
        <v>203</v>
      </c>
      <c r="E11" s="29" t="n">
        <f aca="false">STEYX(B2:B10,A2:A10)</f>
        <v>3.15204285339839</v>
      </c>
    </row>
    <row r="12" customFormat="false" ht="12.75" hidden="false" customHeight="false" outlineLevel="0" collapsed="false">
      <c r="A12" s="5"/>
      <c r="E12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.71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2" t="n">
        <v>1.697</v>
      </c>
      <c r="B2" s="0" t="s">
        <v>34</v>
      </c>
    </row>
    <row r="3" customFormat="false" ht="12.75" hidden="false" customHeight="false" outlineLevel="0" collapsed="false">
      <c r="A3" s="0" t="n">
        <v>30</v>
      </c>
      <c r="B3" s="0" t="s">
        <v>204</v>
      </c>
    </row>
    <row r="4" customFormat="false" ht="12.75" hidden="false" customHeight="false" outlineLevel="0" collapsed="false">
      <c r="A4" s="5" t="s">
        <v>205</v>
      </c>
      <c r="D4" s="0" t="n">
        <f aca="false">_xlfn.T.DIST(A2,A3,TRUE())</f>
        <v>0.94997507539692</v>
      </c>
    </row>
    <row r="5" customFormat="false" ht="12.75" hidden="false" customHeight="false" outlineLevel="0" collapsed="false">
      <c r="A5" s="5" t="s">
        <v>206</v>
      </c>
      <c r="D5" s="0" t="n">
        <f aca="false">_xlfn.T.DIST(A2,A3,FALSE())</f>
        <v>0.0955580170353911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.71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2" t="n">
        <v>1.697</v>
      </c>
      <c r="B2" s="0" t="s">
        <v>34</v>
      </c>
    </row>
    <row r="3" customFormat="false" ht="12.75" hidden="false" customHeight="false" outlineLevel="0" collapsed="false">
      <c r="A3" s="0" t="n">
        <v>30</v>
      </c>
      <c r="B3" s="0" t="s">
        <v>204</v>
      </c>
    </row>
    <row r="4" customFormat="false" ht="12.75" hidden="false" customHeight="false" outlineLevel="0" collapsed="false">
      <c r="A4" s="5" t="s">
        <v>207</v>
      </c>
      <c r="D4" s="0" t="n">
        <f aca="false">_xlfn.T.DIST.2T(A2,A3)</f>
        <v>0.100049849206161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.71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2" t="n">
        <v>1.697</v>
      </c>
      <c r="B2" s="0" t="s">
        <v>34</v>
      </c>
    </row>
    <row r="3" customFormat="false" ht="12.75" hidden="false" customHeight="false" outlineLevel="0" collapsed="false">
      <c r="A3" s="0" t="n">
        <v>30</v>
      </c>
      <c r="B3" s="0" t="s">
        <v>204</v>
      </c>
    </row>
    <row r="4" customFormat="false" ht="12.75" hidden="false" customHeight="false" outlineLevel="0" collapsed="false">
      <c r="A4" s="5" t="s">
        <v>208</v>
      </c>
      <c r="D4" s="0" t="n">
        <f aca="false">_xlfn.T.DIST.RT(A2,A3)</f>
        <v>0.0500249246030805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.29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3" t="n">
        <v>0.1</v>
      </c>
      <c r="B2" s="0" t="s">
        <v>209</v>
      </c>
    </row>
    <row r="3" customFormat="false" ht="12.75" hidden="false" customHeight="false" outlineLevel="0" collapsed="false">
      <c r="A3" s="0" t="n">
        <v>30</v>
      </c>
      <c r="B3" s="0" t="s">
        <v>204</v>
      </c>
    </row>
    <row r="4" customFormat="false" ht="12.75" hidden="false" customHeight="false" outlineLevel="0" collapsed="false">
      <c r="A4" s="5" t="s">
        <v>210</v>
      </c>
      <c r="D4" s="0" t="n">
        <f aca="false">_xlfn.T.INV(A2,A3)</f>
        <v>-1.3104150253914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36.29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29" t="n">
        <v>0.1000049849</v>
      </c>
      <c r="B2" s="0" t="s">
        <v>209</v>
      </c>
    </row>
    <row r="3" customFormat="false" ht="12.75" hidden="false" customHeight="false" outlineLevel="0" collapsed="false">
      <c r="A3" s="0" t="n">
        <v>30</v>
      </c>
      <c r="B3" s="0" t="s">
        <v>204</v>
      </c>
    </row>
    <row r="4" customFormat="false" ht="12.75" hidden="false" customHeight="false" outlineLevel="0" collapsed="false">
      <c r="A4" s="5" t="s">
        <v>211</v>
      </c>
      <c r="D4" s="0" t="n">
        <f aca="false">_xlfn.T.INV.2T(0.1000049849,30)</f>
        <v>1.69723479314115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8.42"/>
    <col collapsed="false" customWidth="true" hidden="false" outlineLevel="0" max="3" min="3" style="0" width="9.42"/>
  </cols>
  <sheetData>
    <row r="1" customFormat="false" ht="13.8" hidden="false" customHeight="false" outlineLevel="0" collapsed="false">
      <c r="A1" s="40" t="s">
        <v>114</v>
      </c>
      <c r="B1" s="40" t="s">
        <v>212</v>
      </c>
      <c r="C1" s="41" t="s">
        <v>100</v>
      </c>
    </row>
    <row r="2" customFormat="false" ht="12.75" hidden="false" customHeight="false" outlineLevel="0" collapsed="false">
      <c r="A2" s="34" t="s">
        <v>213</v>
      </c>
      <c r="B2" s="26" t="n">
        <v>1</v>
      </c>
      <c r="C2" s="7" t="n">
        <v>21</v>
      </c>
      <c r="H2" s="0" t="n">
        <f aca="false">TREND(C2:C13,B2:B13,B14:B18,TRUE())</f>
        <v>38.9848484848485</v>
      </c>
    </row>
    <row r="3" customFormat="false" ht="12.75" hidden="false" customHeight="false" outlineLevel="0" collapsed="false">
      <c r="A3" s="34" t="s">
        <v>214</v>
      </c>
      <c r="B3" s="26" t="n">
        <v>2</v>
      </c>
      <c r="C3" s="7" t="n">
        <v>23</v>
      </c>
    </row>
    <row r="4" customFormat="false" ht="12.75" hidden="false" customHeight="false" outlineLevel="0" collapsed="false">
      <c r="A4" s="34" t="s">
        <v>215</v>
      </c>
      <c r="B4" s="26" t="n">
        <v>3</v>
      </c>
      <c r="C4" s="7" t="n">
        <v>22</v>
      </c>
    </row>
    <row r="5" customFormat="false" ht="12.75" hidden="false" customHeight="false" outlineLevel="0" collapsed="false">
      <c r="A5" s="34" t="s">
        <v>216</v>
      </c>
      <c r="B5" s="26" t="n">
        <v>4</v>
      </c>
      <c r="C5" s="7" t="n">
        <v>25</v>
      </c>
    </row>
    <row r="6" customFormat="false" ht="12.75" hidden="false" customHeight="false" outlineLevel="0" collapsed="false">
      <c r="A6" s="34" t="s">
        <v>217</v>
      </c>
      <c r="B6" s="26" t="n">
        <v>5</v>
      </c>
      <c r="C6" s="7" t="n">
        <v>27</v>
      </c>
    </row>
    <row r="7" customFormat="false" ht="12.75" hidden="false" customHeight="false" outlineLevel="0" collapsed="false">
      <c r="A7" s="34" t="s">
        <v>218</v>
      </c>
      <c r="B7" s="26" t="n">
        <v>6</v>
      </c>
      <c r="C7" s="7" t="n">
        <v>29</v>
      </c>
    </row>
    <row r="8" customFormat="false" ht="12.75" hidden="false" customHeight="false" outlineLevel="0" collapsed="false">
      <c r="A8" s="34" t="s">
        <v>219</v>
      </c>
      <c r="B8" s="26" t="n">
        <v>7</v>
      </c>
      <c r="C8" s="7" t="n">
        <v>26</v>
      </c>
    </row>
    <row r="9" customFormat="false" ht="12.75" hidden="false" customHeight="false" outlineLevel="0" collapsed="false">
      <c r="A9" s="34" t="s">
        <v>220</v>
      </c>
      <c r="B9" s="26" t="n">
        <v>8</v>
      </c>
      <c r="C9" s="7" t="n">
        <v>32</v>
      </c>
      <c r="E9" s="1"/>
      <c r="F9" s="1"/>
      <c r="G9" s="1"/>
      <c r="H9" s="1"/>
      <c r="I9" s="1"/>
      <c r="J9" s="1"/>
      <c r="K9" s="1"/>
    </row>
    <row r="10" customFormat="false" ht="12.75" hidden="false" customHeight="false" outlineLevel="0" collapsed="false">
      <c r="A10" s="34" t="s">
        <v>221</v>
      </c>
      <c r="B10" s="26" t="n">
        <v>9</v>
      </c>
      <c r="C10" s="7" t="n">
        <v>35</v>
      </c>
      <c r="E10" s="1"/>
      <c r="F10" s="1"/>
      <c r="G10" s="1"/>
      <c r="H10" s="1"/>
      <c r="I10" s="1"/>
      <c r="J10" s="1"/>
      <c r="K10" s="1"/>
    </row>
    <row r="11" customFormat="false" ht="12.75" hidden="false" customHeight="false" outlineLevel="0" collapsed="false">
      <c r="A11" s="34" t="s">
        <v>222</v>
      </c>
      <c r="B11" s="26" t="n">
        <v>10</v>
      </c>
      <c r="C11" s="7" t="n">
        <v>32</v>
      </c>
      <c r="E11" s="1"/>
      <c r="F11" s="1"/>
      <c r="G11" s="1"/>
      <c r="H11" s="1"/>
      <c r="I11" s="1"/>
      <c r="J11" s="1"/>
      <c r="K11" s="1"/>
    </row>
    <row r="12" customFormat="false" ht="12.75" hidden="false" customHeight="false" outlineLevel="0" collapsed="false">
      <c r="A12" s="34" t="s">
        <v>223</v>
      </c>
      <c r="B12" s="26" t="n">
        <v>11</v>
      </c>
      <c r="C12" s="7" t="n">
        <v>38</v>
      </c>
      <c r="E12" s="1"/>
      <c r="F12" s="1"/>
      <c r="G12" s="1"/>
      <c r="H12" s="1"/>
      <c r="I12" s="1"/>
      <c r="J12" s="1"/>
      <c r="K12" s="1"/>
    </row>
    <row r="13" customFormat="false" ht="12.75" hidden="false" customHeight="false" outlineLevel="0" collapsed="false">
      <c r="A13" s="42" t="s">
        <v>224</v>
      </c>
      <c r="B13" s="43" t="n">
        <v>12</v>
      </c>
      <c r="C13" s="44" t="n">
        <v>37</v>
      </c>
      <c r="E13" s="1"/>
      <c r="F13" s="1"/>
      <c r="G13" s="1"/>
      <c r="H13" s="1"/>
      <c r="I13" s="1"/>
      <c r="J13" s="1"/>
      <c r="K13" s="1"/>
    </row>
    <row r="14" customFormat="false" ht="12.75" hidden="false" customHeight="false" outlineLevel="0" collapsed="false">
      <c r="A14" s="5" t="s">
        <v>225</v>
      </c>
      <c r="B14" s="45" t="n">
        <v>13</v>
      </c>
      <c r="C14" s="5" t="s">
        <v>226</v>
      </c>
      <c r="E14" s="1"/>
      <c r="F14" s="1"/>
      <c r="G14" s="1"/>
      <c r="H14" s="4"/>
      <c r="I14" s="1"/>
      <c r="J14" s="4"/>
      <c r="K14" s="1"/>
    </row>
    <row r="15" customFormat="false" ht="12.75" hidden="false" customHeight="false" outlineLevel="0" collapsed="false">
      <c r="A15" s="5" t="s">
        <v>227</v>
      </c>
      <c r="B15" s="45" t="n">
        <v>14</v>
      </c>
      <c r="C15" s="12"/>
      <c r="E15" s="1"/>
      <c r="F15" s="1"/>
      <c r="G15" s="1"/>
      <c r="H15" s="4"/>
      <c r="I15" s="1"/>
      <c r="J15" s="1"/>
      <c r="K15" s="1"/>
    </row>
    <row r="16" customFormat="false" ht="12.75" hidden="false" customHeight="false" outlineLevel="0" collapsed="false">
      <c r="A16" s="5" t="s">
        <v>228</v>
      </c>
      <c r="B16" s="45" t="n">
        <v>15</v>
      </c>
      <c r="C16" s="12"/>
      <c r="E16" s="1"/>
      <c r="F16" s="1"/>
      <c r="G16" s="1"/>
      <c r="H16" s="1"/>
      <c r="I16" s="1"/>
      <c r="J16" s="1"/>
      <c r="K16" s="1"/>
    </row>
    <row r="17" customFormat="false" ht="12.75" hidden="false" customHeight="false" outlineLevel="0" collapsed="false">
      <c r="A17" s="5" t="s">
        <v>229</v>
      </c>
      <c r="B17" s="45" t="n">
        <v>16</v>
      </c>
      <c r="C17" s="12"/>
      <c r="E17" s="1"/>
      <c r="F17" s="1"/>
      <c r="G17" s="1"/>
      <c r="H17" s="1"/>
      <c r="I17" s="1"/>
      <c r="J17" s="1"/>
      <c r="K17" s="1"/>
    </row>
    <row r="18" customFormat="false" ht="12.75" hidden="false" customHeight="false" outlineLevel="0" collapsed="false">
      <c r="A18" s="5" t="s">
        <v>230</v>
      </c>
      <c r="B18" s="45" t="n">
        <v>17</v>
      </c>
      <c r="C18" s="12"/>
      <c r="E18" s="1"/>
      <c r="F18" s="1"/>
      <c r="G18" s="1"/>
      <c r="H18" s="1"/>
      <c r="I18" s="1"/>
      <c r="J18" s="1"/>
      <c r="K18" s="1"/>
    </row>
    <row r="19" customFormat="false" ht="12.75" hidden="false" customHeight="false" outlineLevel="0" collapsed="false">
      <c r="E19" s="1"/>
      <c r="F19" s="1"/>
      <c r="G19" s="1"/>
      <c r="H19" s="1"/>
      <c r="I19" s="1"/>
      <c r="J19" s="1"/>
      <c r="K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2.57"/>
    <col collapsed="false" customWidth="true" hidden="false" outlineLevel="0" max="5" min="5" style="0" width="12.42"/>
  </cols>
  <sheetData>
    <row r="1" customFormat="false" ht="12.75" hidden="false" customHeight="false" outlineLevel="0" collapsed="false">
      <c r="A1" s="0" t="s">
        <v>231</v>
      </c>
      <c r="B1" s="0" t="s">
        <v>232</v>
      </c>
    </row>
    <row r="2" customFormat="false" ht="12.75" hidden="false" customHeight="false" outlineLevel="0" collapsed="false">
      <c r="A2" s="0" t="n">
        <v>135</v>
      </c>
      <c r="B2" s="0" t="n">
        <v>125</v>
      </c>
    </row>
    <row r="3" customFormat="false" ht="12.75" hidden="false" customHeight="false" outlineLevel="0" collapsed="false">
      <c r="A3" s="0" t="n">
        <v>140</v>
      </c>
      <c r="B3" s="0" t="n">
        <v>120</v>
      </c>
    </row>
    <row r="4" customFormat="false" ht="12.75" hidden="false" customHeight="false" outlineLevel="0" collapsed="false">
      <c r="A4" s="0" t="n">
        <v>137</v>
      </c>
      <c r="B4" s="0" t="n">
        <v>127</v>
      </c>
    </row>
    <row r="5" customFormat="false" ht="12.75" hidden="false" customHeight="false" outlineLevel="0" collapsed="false">
      <c r="A5" s="0" t="n">
        <v>134</v>
      </c>
      <c r="B5" s="0" t="n">
        <v>124</v>
      </c>
    </row>
    <row r="6" customFormat="false" ht="12.75" hidden="false" customHeight="false" outlineLevel="0" collapsed="false">
      <c r="A6" s="0" t="n">
        <v>130</v>
      </c>
      <c r="B6" s="0" t="n">
        <v>119</v>
      </c>
    </row>
    <row r="7" customFormat="false" ht="12.75" hidden="false" customHeight="false" outlineLevel="0" collapsed="false">
      <c r="A7" s="0" t="n">
        <v>132</v>
      </c>
      <c r="B7" s="0" t="n">
        <v>122</v>
      </c>
    </row>
    <row r="8" customFormat="false" ht="12.75" hidden="false" customHeight="false" outlineLevel="0" collapsed="false">
      <c r="A8" s="0" t="n">
        <v>133</v>
      </c>
      <c r="B8" s="0" t="n">
        <v>130</v>
      </c>
    </row>
    <row r="9" customFormat="false" ht="12.75" hidden="false" customHeight="false" outlineLevel="0" collapsed="false">
      <c r="A9" s="0" t="n">
        <v>136</v>
      </c>
      <c r="B9" s="0" t="n">
        <v>125</v>
      </c>
    </row>
    <row r="10" customFormat="false" ht="12.75" hidden="false" customHeight="false" outlineLevel="0" collapsed="false">
      <c r="A10" s="0" t="n">
        <v>138</v>
      </c>
      <c r="B10" s="0" t="n">
        <v>129</v>
      </c>
    </row>
    <row r="11" customFormat="false" ht="12.75" hidden="false" customHeight="false" outlineLevel="0" collapsed="false">
      <c r="A11" s="0" t="n">
        <v>133</v>
      </c>
      <c r="B11" s="0" t="n">
        <v>120</v>
      </c>
    </row>
    <row r="12" customFormat="false" ht="12.75" hidden="false" customHeight="false" outlineLevel="0" collapsed="false">
      <c r="A12" s="0" t="n">
        <v>137</v>
      </c>
      <c r="B12" s="0" t="n">
        <v>122</v>
      </c>
    </row>
    <row r="13" customFormat="false" ht="12.75" hidden="false" customHeight="false" outlineLevel="0" collapsed="false">
      <c r="A13" s="0" t="n">
        <v>135</v>
      </c>
      <c r="B13" s="0" t="n">
        <v>124</v>
      </c>
    </row>
    <row r="14" customFormat="false" ht="12.75" hidden="false" customHeight="false" outlineLevel="0" collapsed="false">
      <c r="A14" s="8" t="s">
        <v>233</v>
      </c>
      <c r="B14" s="5"/>
      <c r="C14" s="5"/>
      <c r="E14" s="0" t="n">
        <f aca="false">_xlfn.T.TEST(A2:A13,B2:B13,1,1)</f>
        <v>5.09194416439681E-007</v>
      </c>
    </row>
    <row r="15" customFormat="false" ht="12.75" hidden="false" customHeight="false" outlineLevel="0" collapsed="false">
      <c r="A15" s="8" t="s">
        <v>234</v>
      </c>
      <c r="B15" s="5"/>
      <c r="C15" s="5"/>
      <c r="E15" s="46" t="n">
        <f aca="false">_xlfn.T.TEST(A2:A13,B2:B13,1,2)</f>
        <v>1.0037210454302E-008</v>
      </c>
    </row>
    <row r="16" customFormat="false" ht="12.75" hidden="false" customHeight="false" outlineLevel="0" collapsed="false">
      <c r="A16" s="8" t="s">
        <v>235</v>
      </c>
      <c r="B16" s="5"/>
      <c r="C16" s="5"/>
      <c r="E16" s="0" t="n">
        <f aca="false">_xlfn.T.TEST(A2:A13,B2:B13,1,3)</f>
        <v>1.50468899742068E-008</v>
      </c>
    </row>
    <row r="17" customFormat="false" ht="12.75" hidden="false" customHeight="false" outlineLevel="0" collapsed="false">
      <c r="A17" s="8" t="s">
        <v>236</v>
      </c>
      <c r="B17" s="5"/>
      <c r="C17" s="5"/>
      <c r="E17" s="0" t="n">
        <f aca="false">_xlfn.T.TEST(A2:A13,B2:B13,2,1)</f>
        <v>1.01838883287936E-006</v>
      </c>
    </row>
    <row r="18" customFormat="false" ht="12.75" hidden="false" customHeight="false" outlineLevel="0" collapsed="false">
      <c r="A18" s="8" t="s">
        <v>237</v>
      </c>
      <c r="B18" s="5"/>
      <c r="C18" s="5"/>
      <c r="E18" s="0" t="n">
        <f aca="false">_xlfn.T.TEST(A2:A13,B2:B13,2,2)</f>
        <v>2.00744209085964E-008</v>
      </c>
    </row>
    <row r="19" customFormat="false" ht="12.75" hidden="false" customHeight="false" outlineLevel="0" collapsed="false">
      <c r="A19" s="8" t="s">
        <v>238</v>
      </c>
      <c r="B19" s="5"/>
      <c r="C19" s="5"/>
      <c r="E19" s="0" t="n">
        <f aca="false">_xlfn.T.TEST(A2:A13,B2:B13,2,3)</f>
        <v>3.00937799484136E-008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  <col collapsed="false" customWidth="true" hidden="false" outlineLevel="0" max="3" min="3" style="0" width="12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  <c r="G2" s="32"/>
    </row>
    <row r="3" customFormat="false" ht="12.75" hidden="false" customHeight="false" outlineLevel="0" collapsed="false">
      <c r="A3" s="16" t="n">
        <v>5</v>
      </c>
      <c r="G3" s="16"/>
    </row>
    <row r="4" customFormat="false" ht="12.75" hidden="false" customHeight="false" outlineLevel="0" collapsed="false">
      <c r="A4" s="32" t="n">
        <v>7</v>
      </c>
      <c r="G4" s="16"/>
    </row>
    <row r="5" customFormat="false" ht="12.75" hidden="false" customHeight="false" outlineLevel="0" collapsed="false">
      <c r="A5" s="32" t="n">
        <v>3</v>
      </c>
      <c r="G5" s="16"/>
    </row>
    <row r="6" customFormat="false" ht="12.75" hidden="false" customHeight="false" outlineLevel="0" collapsed="false">
      <c r="A6" s="16" t="n">
        <v>5</v>
      </c>
      <c r="G6" s="16"/>
    </row>
    <row r="7" customFormat="false" ht="12.75" hidden="false" customHeight="false" outlineLevel="0" collapsed="false">
      <c r="A7" s="16" t="n">
        <v>6</v>
      </c>
      <c r="G7" s="16"/>
    </row>
    <row r="8" customFormat="false" ht="12.75" hidden="false" customHeight="false" outlineLevel="0" collapsed="false">
      <c r="A8" s="16" t="n">
        <v>7</v>
      </c>
      <c r="G8" s="32"/>
    </row>
    <row r="9" customFormat="false" ht="12.75" hidden="false" customHeight="false" outlineLevel="0" collapsed="false">
      <c r="A9" s="16" t="n">
        <v>9</v>
      </c>
      <c r="G9" s="16"/>
    </row>
    <row r="10" customFormat="false" ht="12.75" hidden="false" customHeight="false" outlineLevel="0" collapsed="false">
      <c r="A10" s="16" t="n">
        <v>6</v>
      </c>
      <c r="G10" s="16"/>
    </row>
    <row r="11" customFormat="false" ht="12.75" hidden="false" customHeight="false" outlineLevel="0" collapsed="false">
      <c r="A11" s="16" t="n">
        <v>11</v>
      </c>
      <c r="G11" s="16"/>
      <c r="H11" s="12"/>
    </row>
    <row r="12" customFormat="false" ht="12.75" hidden="false" customHeight="false" outlineLevel="0" collapsed="false">
      <c r="A12" s="5" t="s">
        <v>239</v>
      </c>
      <c r="C12" s="12" t="n">
        <f aca="false">TRIMMEAN(A2:A11,0.25)</f>
        <v>6.125</v>
      </c>
    </row>
    <row r="13" customFormat="false" ht="12.75" hidden="false" customHeight="false" outlineLevel="0" collapsed="false">
      <c r="A13" s="5"/>
      <c r="C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2.8" customHeight="false" zeroHeight="false" outlineLevelRow="0" outlineLevelCol="0"/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4</v>
      </c>
    </row>
    <row r="3" customFormat="false" ht="12.75" hidden="false" customHeight="false" outlineLevel="0" collapsed="false">
      <c r="A3" s="0" t="n">
        <v>5</v>
      </c>
    </row>
    <row r="4" customFormat="false" ht="12.75" hidden="false" customHeight="false" outlineLevel="0" collapsed="false">
      <c r="A4" s="0" t="n">
        <v>7</v>
      </c>
    </row>
    <row r="5" customFormat="false" ht="12.75" hidden="false" customHeight="false" outlineLevel="0" collapsed="false">
      <c r="A5" s="0" t="n">
        <v>3</v>
      </c>
    </row>
    <row r="6" customFormat="false" ht="12.75" hidden="false" customHeight="false" outlineLevel="0" collapsed="false">
      <c r="A6" s="0" t="n">
        <v>5</v>
      </c>
    </row>
    <row r="7" customFormat="false" ht="12.75" hidden="false" customHeight="false" outlineLevel="0" collapsed="false">
      <c r="A7" s="0" t="n">
        <v>6</v>
      </c>
    </row>
    <row r="8" customFormat="false" ht="12.75" hidden="false" customHeight="false" outlineLevel="0" collapsed="false">
      <c r="A8" s="0" t="n">
        <v>7</v>
      </c>
    </row>
    <row r="9" customFormat="false" ht="12.75" hidden="false" customHeight="false" outlineLevel="0" collapsed="false">
      <c r="A9" s="0" t="n">
        <v>9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0" t="n">
        <v>11</v>
      </c>
    </row>
    <row r="12" customFormat="false" ht="12.75" hidden="false" customHeight="false" outlineLevel="0" collapsed="false">
      <c r="A12" s="8" t="s">
        <v>240</v>
      </c>
      <c r="D12" s="12" t="n">
        <f aca="false">_xlfn.VAR.P(A2:A11)</f>
        <v>5.01</v>
      </c>
    </row>
    <row r="13" customFormat="false" ht="12.75" hidden="false" customHeight="false" outlineLevel="0" collapsed="false">
      <c r="A13" s="8" t="s">
        <v>241</v>
      </c>
      <c r="D13" s="0" t="n">
        <f aca="false">_xlfn.VAR.P(A2:A11,13)</f>
        <v>8.26446280991735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2.8" customHeight="false" zeroHeight="false" outlineLevelRow="0" outlineLevelCol="0"/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4</v>
      </c>
    </row>
    <row r="3" customFormat="false" ht="12.75" hidden="false" customHeight="false" outlineLevel="0" collapsed="false">
      <c r="A3" s="0" t="n">
        <v>5</v>
      </c>
    </row>
    <row r="4" customFormat="false" ht="12.75" hidden="false" customHeight="false" outlineLevel="0" collapsed="false">
      <c r="A4" s="0" t="n">
        <v>7</v>
      </c>
    </row>
    <row r="5" customFormat="false" ht="12.75" hidden="false" customHeight="false" outlineLevel="0" collapsed="false">
      <c r="A5" s="0" t="n">
        <v>3</v>
      </c>
    </row>
    <row r="6" customFormat="false" ht="12.75" hidden="false" customHeight="false" outlineLevel="0" collapsed="false">
      <c r="A6" s="0" t="n">
        <v>5</v>
      </c>
    </row>
    <row r="7" customFormat="false" ht="12.75" hidden="false" customHeight="false" outlineLevel="0" collapsed="false">
      <c r="A7" s="0" t="n">
        <v>6</v>
      </c>
    </row>
    <row r="8" customFormat="false" ht="12.75" hidden="false" customHeight="false" outlineLevel="0" collapsed="false">
      <c r="A8" s="0" t="n">
        <v>7</v>
      </c>
    </row>
    <row r="9" customFormat="false" ht="12.75" hidden="false" customHeight="false" outlineLevel="0" collapsed="false">
      <c r="A9" s="0" t="n">
        <v>9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0" t="n">
        <v>11</v>
      </c>
    </row>
    <row r="12" customFormat="false" ht="12.75" hidden="false" customHeight="false" outlineLevel="0" collapsed="false">
      <c r="A12" s="8" t="s">
        <v>242</v>
      </c>
      <c r="C12" s="0" t="n">
        <f aca="false">_xlfn.VAR.S(A2:A11)</f>
        <v>5.56666666666667</v>
      </c>
    </row>
    <row r="13" customFormat="false" ht="12.75" hidden="false" customHeight="false" outlineLevel="0" collapsed="false">
      <c r="A13" s="8" t="s">
        <v>243</v>
      </c>
      <c r="C13" s="0" t="n">
        <f aca="false">_xlfn.VAR.S(A2:A11,13)</f>
        <v>9.09090909090909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3" min="3" style="0" width="12.15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4</v>
      </c>
    </row>
    <row r="3" customFormat="false" ht="12.75" hidden="false" customHeight="false" outlineLevel="0" collapsed="false">
      <c r="A3" s="0" t="n">
        <v>5</v>
      </c>
    </row>
    <row r="4" customFormat="false" ht="12.75" hidden="false" customHeight="false" outlineLevel="0" collapsed="false">
      <c r="A4" s="0" t="n">
        <v>7</v>
      </c>
    </row>
    <row r="5" customFormat="false" ht="12.75" hidden="false" customHeight="false" outlineLevel="0" collapsed="false">
      <c r="A5" s="0" t="n">
        <v>3</v>
      </c>
    </row>
    <row r="6" customFormat="false" ht="12.75" hidden="false" customHeight="false" outlineLevel="0" collapsed="false">
      <c r="A6" s="21" t="s">
        <v>196</v>
      </c>
    </row>
    <row r="7" customFormat="false" ht="12.75" hidden="false" customHeight="false" outlineLevel="0" collapsed="false">
      <c r="A7" s="0" t="n">
        <v>6</v>
      </c>
    </row>
    <row r="8" customFormat="false" ht="12.75" hidden="false" customHeight="false" outlineLevel="0" collapsed="false">
      <c r="A8" s="0" t="n">
        <v>7</v>
      </c>
    </row>
    <row r="9" customFormat="false" ht="12.75" hidden="false" customHeight="false" outlineLevel="0" collapsed="false">
      <c r="A9" s="0" t="n">
        <v>9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0" t="n">
        <v>11</v>
      </c>
    </row>
    <row r="12" customFormat="false" ht="12.75" hidden="false" customHeight="false" outlineLevel="0" collapsed="false">
      <c r="A12" s="8" t="s">
        <v>244</v>
      </c>
      <c r="C12" s="0" t="n">
        <f aca="false">VARA(A2:A11)</f>
        <v>9.51111111111111</v>
      </c>
    </row>
    <row r="13" customFormat="false" ht="12.75" hidden="false" customHeight="false" outlineLevel="0" collapsed="false">
      <c r="A13" s="8" t="s">
        <v>245</v>
      </c>
      <c r="C13" s="0" t="n">
        <f aca="false">VARA(A2:A11,13)</f>
        <v>13.2727272727273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3" min="3" style="0" width="12.15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0" t="n">
        <v>4</v>
      </c>
    </row>
    <row r="3" customFormat="false" ht="12.75" hidden="false" customHeight="false" outlineLevel="0" collapsed="false">
      <c r="A3" s="0" t="n">
        <v>5</v>
      </c>
    </row>
    <row r="4" customFormat="false" ht="12.75" hidden="false" customHeight="false" outlineLevel="0" collapsed="false">
      <c r="A4" s="0" t="n">
        <v>7</v>
      </c>
    </row>
    <row r="5" customFormat="false" ht="12.75" hidden="false" customHeight="false" outlineLevel="0" collapsed="false">
      <c r="A5" s="0" t="n">
        <v>3</v>
      </c>
    </row>
    <row r="6" customFormat="false" ht="12.75" hidden="false" customHeight="false" outlineLevel="0" collapsed="false">
      <c r="A6" s="21" t="s">
        <v>196</v>
      </c>
    </row>
    <row r="7" customFormat="false" ht="12.75" hidden="false" customHeight="false" outlineLevel="0" collapsed="false">
      <c r="A7" s="0" t="n">
        <v>6</v>
      </c>
    </row>
    <row r="8" customFormat="false" ht="12.75" hidden="false" customHeight="false" outlineLevel="0" collapsed="false">
      <c r="A8" s="0" t="n">
        <v>7</v>
      </c>
    </row>
    <row r="9" customFormat="false" ht="12.75" hidden="false" customHeight="false" outlineLevel="0" collapsed="false">
      <c r="A9" s="0" t="n">
        <v>9</v>
      </c>
    </row>
    <row r="10" customFormat="false" ht="12.75" hidden="false" customHeight="false" outlineLevel="0" collapsed="false">
      <c r="A10" s="0" t="n">
        <v>6</v>
      </c>
    </row>
    <row r="11" customFormat="false" ht="12.75" hidden="false" customHeight="false" outlineLevel="0" collapsed="false">
      <c r="A11" s="0" t="n">
        <v>11</v>
      </c>
    </row>
    <row r="12" customFormat="false" ht="12.75" hidden="false" customHeight="false" outlineLevel="0" collapsed="false">
      <c r="A12" s="8" t="s">
        <v>246</v>
      </c>
      <c r="C12" s="0" t="n">
        <f aca="false">VARPA(A2:A11)</f>
        <v>8.56</v>
      </c>
    </row>
    <row r="13" customFormat="false" ht="12.75" hidden="false" customHeight="false" outlineLevel="0" collapsed="false">
      <c r="A13" s="8" t="s">
        <v>247</v>
      </c>
      <c r="C13" s="0" t="n">
        <f aca="false">VARPA(A2:A11,13)</f>
        <v>12.0661157024793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.71"/>
    <col collapsed="false" customWidth="true" hidden="false" outlineLevel="0" max="4" min="4" style="0" width="11.57"/>
  </cols>
  <sheetData>
    <row r="1" customFormat="false" ht="12.75" hidden="false" customHeight="false" outlineLevel="0" collapsed="false">
      <c r="A1" s="2" t="s">
        <v>0</v>
      </c>
      <c r="B1" s="2" t="s">
        <v>17</v>
      </c>
    </row>
    <row r="2" customFormat="false" ht="12.75" hidden="false" customHeight="false" outlineLevel="0" collapsed="false">
      <c r="A2" s="16" t="n">
        <v>110</v>
      </c>
      <c r="B2" s="0" t="s">
        <v>34</v>
      </c>
    </row>
    <row r="3" customFormat="false" ht="12.75" hidden="false" customHeight="false" outlineLevel="0" collapsed="false">
      <c r="A3" s="0" t="n">
        <v>15</v>
      </c>
      <c r="B3" s="0" t="s">
        <v>248</v>
      </c>
    </row>
    <row r="4" customFormat="false" ht="12.75" hidden="false" customHeight="false" outlineLevel="0" collapsed="false">
      <c r="A4" s="0" t="n">
        <v>100</v>
      </c>
      <c r="B4" s="0" t="s">
        <v>249</v>
      </c>
    </row>
    <row r="5" customFormat="false" ht="12.75" hidden="false" customHeight="false" outlineLevel="0" collapsed="false">
      <c r="A5" s="5" t="s">
        <v>250</v>
      </c>
      <c r="D5" s="6" t="n">
        <f aca="false">WEIBULL(A2,A3,A4,TRUE())</f>
        <v>0.984659335554566</v>
      </c>
    </row>
    <row r="6" customFormat="false" ht="12.75" hidden="false" customHeight="false" outlineLevel="0" collapsed="false">
      <c r="A6" s="5" t="s">
        <v>251</v>
      </c>
      <c r="D6" s="6" t="n">
        <f aca="false">WEIBULL(A2,A3,A4,FALSE())</f>
        <v>0.00873842215531455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42"/>
    <col collapsed="false" customWidth="true" hidden="false" outlineLevel="0" max="3" min="3" style="0" width="12.57"/>
  </cols>
  <sheetData>
    <row r="1" customFormat="false" ht="12.75" hidden="false" customHeight="false" outlineLevel="0" collapsed="false">
      <c r="A1" s="2" t="s">
        <v>0</v>
      </c>
    </row>
    <row r="2" customFormat="false" ht="12.75" hidden="false" customHeight="false" outlineLevel="0" collapsed="false">
      <c r="A2" s="16" t="n">
        <v>4</v>
      </c>
    </row>
    <row r="3" customFormat="false" ht="12.75" hidden="false" customHeight="false" outlineLevel="0" collapsed="false">
      <c r="A3" s="16" t="n">
        <v>5</v>
      </c>
    </row>
    <row r="4" customFormat="false" ht="12.75" hidden="false" customHeight="false" outlineLevel="0" collapsed="false">
      <c r="A4" s="32" t="n">
        <v>7</v>
      </c>
    </row>
    <row r="5" customFormat="false" ht="12.75" hidden="false" customHeight="false" outlineLevel="0" collapsed="false">
      <c r="A5" s="32" t="n">
        <v>3</v>
      </c>
    </row>
    <row r="6" customFormat="false" ht="12.75" hidden="false" customHeight="false" outlineLevel="0" collapsed="false">
      <c r="A6" s="16" t="n">
        <v>5</v>
      </c>
    </row>
    <row r="7" customFormat="false" ht="12.75" hidden="false" customHeight="false" outlineLevel="0" collapsed="false">
      <c r="A7" s="16" t="n">
        <v>6</v>
      </c>
    </row>
    <row r="8" customFormat="false" ht="12.75" hidden="false" customHeight="false" outlineLevel="0" collapsed="false">
      <c r="A8" s="16" t="n">
        <v>7</v>
      </c>
    </row>
    <row r="9" customFormat="false" ht="12.75" hidden="false" customHeight="false" outlineLevel="0" collapsed="false">
      <c r="A9" s="16" t="n">
        <v>9</v>
      </c>
    </row>
    <row r="10" customFormat="false" ht="12.75" hidden="false" customHeight="false" outlineLevel="0" collapsed="false">
      <c r="A10" s="16" t="n">
        <v>6</v>
      </c>
    </row>
    <row r="11" customFormat="false" ht="12.75" hidden="false" customHeight="false" outlineLevel="0" collapsed="false">
      <c r="A11" s="16" t="n">
        <v>11</v>
      </c>
    </row>
    <row r="12" customFormat="false" ht="12.75" hidden="false" customHeight="false" outlineLevel="0" collapsed="false">
      <c r="A12" s="5" t="s">
        <v>252</v>
      </c>
      <c r="C12" s="6" t="n">
        <f aca="false">ZTEST(A2:A11,6)</f>
        <v>0.343808768515448</v>
      </c>
    </row>
    <row r="13" customFormat="false" ht="12.75" hidden="false" customHeight="false" outlineLevel="0" collapsed="false">
      <c r="A13" s="5"/>
      <c r="C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2011-01-18T13:46:02Z</dcterms:created>
  <dc:creator>Suliyanto</dc:creator>
  <dc:description/>
  <dc:language>en-US</dc:language>
  <cp:lastModifiedBy/>
  <dcterms:modified xsi:type="dcterms:W3CDTF">2026-10-13T08:05:30Z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