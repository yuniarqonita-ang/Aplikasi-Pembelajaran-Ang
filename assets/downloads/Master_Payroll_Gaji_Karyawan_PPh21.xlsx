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Gaji &amp; PPh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20" customWidth="1" min="3" max="3"/>
    <col width="20" customWidth="1" min="4" max="4"/>
    <col width="30" customWidth="1" min="5" max="5"/>
    <col width="17" customWidth="1" min="6" max="6"/>
    <col width="21" customWidth="1" min="7" max="7"/>
    <col width="17" customWidth="1" min="8" max="8"/>
    <col width="14" customWidth="1" min="9" max="9"/>
    <col width="18" customWidth="1" min="10" max="10"/>
    <col width="15" customWidth="1" min="11" max="11"/>
    <col width="14" customWidth="1" min="12" max="12"/>
    <col width="21" customWidth="1" min="13" max="13"/>
    <col width="16" customWidth="1" min="14" max="14"/>
    <col width="29" customWidth="1" min="15" max="15"/>
  </cols>
  <sheetData>
    <row r="1">
      <c r="A1" s="1" t="inlineStr">
        <is>
          <t>PT TEKNOLOGI NUSANTARA MANDIRI</t>
        </is>
      </c>
    </row>
    <row r="2">
      <c r="A2" s="2" t="inlineStr">
        <is>
          <t>DAFTAR GAJI KARYAWAN &amp; PERHITUNGAN PPh 21 BULANAN (PERIODE MARET 2026)</t>
        </is>
      </c>
    </row>
    <row r="3"/>
    <row r="4">
      <c r="A4" s="3" t="inlineStr">
        <is>
          <t>No</t>
        </is>
      </c>
      <c r="B4" s="3" t="inlineStr">
        <is>
          <t>ID Karyawan</t>
        </is>
      </c>
      <c r="C4" s="3" t="inlineStr">
        <is>
          <t>Nama Karyawan</t>
        </is>
      </c>
      <c r="D4" s="3" t="inlineStr">
        <is>
          <t>Divisi</t>
        </is>
      </c>
      <c r="E4" s="3" t="inlineStr">
        <is>
          <t>Jabatan</t>
        </is>
      </c>
      <c r="F4" s="3" t="inlineStr">
        <is>
          <t>Gaji Pokok (Rp)</t>
        </is>
      </c>
      <c r="G4" s="3" t="inlineStr">
        <is>
          <t>Tunjangan Transport</t>
        </is>
      </c>
      <c r="H4" s="3" t="inlineStr">
        <is>
          <t>Tunjangan Makan</t>
        </is>
      </c>
      <c r="I4" s="3" t="inlineStr">
        <is>
          <t>Uang Lembur</t>
        </is>
      </c>
      <c r="J4" s="3" t="inlineStr">
        <is>
          <t>Total Gaji Bruto</t>
        </is>
      </c>
      <c r="K4" s="3" t="inlineStr">
        <is>
          <t>BPJS Kes (1%)</t>
        </is>
      </c>
      <c r="L4" s="3" t="inlineStr">
        <is>
          <t>BPJS TK (2%)</t>
        </is>
      </c>
      <c r="M4" s="3" t="inlineStr">
        <is>
          <t>PPh 21 (5%)</t>
        </is>
      </c>
      <c r="N4" s="3" t="inlineStr">
        <is>
          <t>Total Potongan</t>
        </is>
      </c>
      <c r="O4" s="3" t="inlineStr">
        <is>
          <t>Gaji Bersih (Take Home Pay)</t>
        </is>
      </c>
    </row>
    <row r="5">
      <c r="A5" s="4" t="n">
        <v>1</v>
      </c>
      <c r="B5" s="4" t="inlineStr">
        <is>
          <t>EMP-001</t>
        </is>
      </c>
      <c r="C5" s="5" t="inlineStr">
        <is>
          <t>Andi Pratama</t>
        </is>
      </c>
      <c r="D5" s="5" t="inlineStr">
        <is>
          <t>IT Development</t>
        </is>
      </c>
      <c r="E5" s="5" t="inlineStr">
        <is>
          <t>Lead Engineer</t>
        </is>
      </c>
      <c r="F5" s="6" t="n">
        <v>16000000</v>
      </c>
      <c r="G5" s="6" t="n">
        <v>1500000</v>
      </c>
      <c r="H5" s="6" t="n">
        <v>1000000</v>
      </c>
      <c r="I5" s="6" t="n">
        <v>1200000</v>
      </c>
      <c r="J5" s="6">
        <f>SUM(F5:I5)</f>
        <v/>
      </c>
      <c r="K5" s="6">
        <f>F5*0.01</f>
        <v/>
      </c>
      <c r="L5" s="6">
        <f>F5*0.02</f>
        <v/>
      </c>
      <c r="M5" s="6">
        <f>(J5-4500000)*0.05</f>
        <v/>
      </c>
      <c r="N5" s="6">
        <f>SUM(K5:M5)</f>
        <v/>
      </c>
      <c r="O5" s="6">
        <f>J5-N5</f>
        <v/>
      </c>
    </row>
    <row r="6">
      <c r="A6" s="4" t="n">
        <v>2</v>
      </c>
      <c r="B6" s="4" t="inlineStr">
        <is>
          <t>EMP-002</t>
        </is>
      </c>
      <c r="C6" s="5" t="inlineStr">
        <is>
          <t>Siti Rahmawati</t>
        </is>
      </c>
      <c r="D6" s="5" t="inlineStr">
        <is>
          <t>Finance &amp; Tax</t>
        </is>
      </c>
      <c r="E6" s="5" t="inlineStr">
        <is>
          <t>Accounting Supervisor</t>
        </is>
      </c>
      <c r="F6" s="6" t="n">
        <v>12500000</v>
      </c>
      <c r="G6" s="6" t="n">
        <v>1200000</v>
      </c>
      <c r="H6" s="6" t="n">
        <v>1000000</v>
      </c>
      <c r="I6" s="6" t="n">
        <v>800000</v>
      </c>
      <c r="J6" s="6">
        <f>SUM(F6:I6)</f>
        <v/>
      </c>
      <c r="K6" s="6">
        <f>F6*0.01</f>
        <v/>
      </c>
      <c r="L6" s="6">
        <f>F6*0.02</f>
        <v/>
      </c>
      <c r="M6" s="6">
        <f>(J6-4500000)*0.05</f>
        <v/>
      </c>
      <c r="N6" s="6">
        <f>SUM(K6:M6)</f>
        <v/>
      </c>
      <c r="O6" s="6">
        <f>J6-N6</f>
        <v/>
      </c>
    </row>
    <row r="7">
      <c r="A7" s="4" t="n">
        <v>3</v>
      </c>
      <c r="B7" s="4" t="inlineStr">
        <is>
          <t>EMP-003</t>
        </is>
      </c>
      <c r="C7" s="5" t="inlineStr">
        <is>
          <t>Budi Santoso</t>
        </is>
      </c>
      <c r="D7" s="5" t="inlineStr">
        <is>
          <t>IT Infrastructure</t>
        </is>
      </c>
      <c r="E7" s="5" t="inlineStr">
        <is>
          <t>DevOps Specialist</t>
        </is>
      </c>
      <c r="F7" s="6" t="n">
        <v>14000000</v>
      </c>
      <c r="G7" s="6" t="n">
        <v>1200000</v>
      </c>
      <c r="H7" s="6" t="n">
        <v>1000000</v>
      </c>
      <c r="I7" s="6" t="n">
        <v>1500000</v>
      </c>
      <c r="J7" s="6">
        <f>SUM(F7:I7)</f>
        <v/>
      </c>
      <c r="K7" s="6">
        <f>F7*0.01</f>
        <v/>
      </c>
      <c r="L7" s="6">
        <f>F7*0.02</f>
        <v/>
      </c>
      <c r="M7" s="6">
        <f>(J7-4500000)*0.05</f>
        <v/>
      </c>
      <c r="N7" s="6">
        <f>SUM(K7:M7)</f>
        <v/>
      </c>
      <c r="O7" s="6">
        <f>J7-N7</f>
        <v/>
      </c>
    </row>
    <row r="8">
      <c r="A8" s="4" t="n">
        <v>4</v>
      </c>
      <c r="B8" s="4" t="inlineStr">
        <is>
          <t>EMP-004</t>
        </is>
      </c>
      <c r="C8" s="5" t="inlineStr">
        <is>
          <t>Dewi Lestari</t>
        </is>
      </c>
      <c r="D8" s="5" t="inlineStr">
        <is>
          <t>HR &amp; GA</t>
        </is>
      </c>
      <c r="E8" s="5" t="inlineStr">
        <is>
          <t>HR Operations Lead</t>
        </is>
      </c>
      <c r="F8" s="6" t="n">
        <v>11000000</v>
      </c>
      <c r="G8" s="6" t="n">
        <v>1000000</v>
      </c>
      <c r="H8" s="6" t="n">
        <v>1000000</v>
      </c>
      <c r="I8" s="6" t="n">
        <v>500000</v>
      </c>
      <c r="J8" s="6">
        <f>SUM(F8:I8)</f>
        <v/>
      </c>
      <c r="K8" s="6">
        <f>F8*0.01</f>
        <v/>
      </c>
      <c r="L8" s="6">
        <f>F8*0.02</f>
        <v/>
      </c>
      <c r="M8" s="6">
        <f>(J8-4500000)*0.05</f>
        <v/>
      </c>
      <c r="N8" s="6">
        <f>SUM(K8:M8)</f>
        <v/>
      </c>
      <c r="O8" s="6">
        <f>J8-N8</f>
        <v/>
      </c>
    </row>
    <row r="9">
      <c r="A9" s="4" t="n">
        <v>5</v>
      </c>
      <c r="B9" s="4" t="inlineStr">
        <is>
          <t>EMP-005</t>
        </is>
      </c>
      <c r="C9" s="5" t="inlineStr">
        <is>
          <t>Rian Hidayat</t>
        </is>
      </c>
      <c r="D9" s="5" t="inlineStr">
        <is>
          <t>Marketing &amp; Web</t>
        </is>
      </c>
      <c r="E9" s="5" t="inlineStr">
        <is>
          <t>Digital Marketing Specialist</t>
        </is>
      </c>
      <c r="F9" s="6" t="n">
        <v>9500000</v>
      </c>
      <c r="G9" s="6" t="n">
        <v>1000000</v>
      </c>
      <c r="H9" s="6" t="n">
        <v>800000</v>
      </c>
      <c r="I9" s="6" t="n">
        <v>600000</v>
      </c>
      <c r="J9" s="6">
        <f>SUM(F9:I9)</f>
        <v/>
      </c>
      <c r="K9" s="6">
        <f>F9*0.01</f>
        <v/>
      </c>
      <c r="L9" s="6">
        <f>F9*0.02</f>
        <v/>
      </c>
      <c r="M9" s="6">
        <f>(J9-4500000)*0.05</f>
        <v/>
      </c>
      <c r="N9" s="6">
        <f>SUM(K9:M9)</f>
        <v/>
      </c>
      <c r="O9" s="6">
        <f>J9-N9</f>
        <v/>
      </c>
    </row>
    <row r="10">
      <c r="A10" s="4" t="n">
        <v>6</v>
      </c>
      <c r="B10" s="4" t="inlineStr">
        <is>
          <t>EMP-006</t>
        </is>
      </c>
      <c r="C10" s="5" t="inlineStr">
        <is>
          <t>Maya Anggraini</t>
        </is>
      </c>
      <c r="D10" s="5" t="inlineStr">
        <is>
          <t>Product &amp; Design</t>
        </is>
      </c>
      <c r="E10" s="5" t="inlineStr">
        <is>
          <t>UI/UX Designer</t>
        </is>
      </c>
      <c r="F10" s="6" t="n">
        <v>10500000</v>
      </c>
      <c r="G10" s="6" t="n">
        <v>1000000</v>
      </c>
      <c r="H10" s="6" t="n">
        <v>800000</v>
      </c>
      <c r="I10" s="6" t="n">
        <v>750000</v>
      </c>
      <c r="J10" s="6">
        <f>SUM(F10:I10)</f>
        <v/>
      </c>
      <c r="K10" s="6">
        <f>F10*0.01</f>
        <v/>
      </c>
      <c r="L10" s="6">
        <f>F10*0.02</f>
        <v/>
      </c>
      <c r="M10" s="6">
        <f>(J10-4500000)*0.05</f>
        <v/>
      </c>
      <c r="N10" s="6">
        <f>SUM(K10:M10)</f>
        <v/>
      </c>
      <c r="O10" s="6">
        <f>J10-N10</f>
        <v/>
      </c>
    </row>
    <row r="11">
      <c r="A11" s="4" t="n">
        <v>7</v>
      </c>
      <c r="B11" s="4" t="inlineStr">
        <is>
          <t>EMP-007</t>
        </is>
      </c>
      <c r="C11" s="5" t="inlineStr">
        <is>
          <t>Fajar Nugraha</t>
        </is>
      </c>
      <c r="D11" s="5" t="inlineStr">
        <is>
          <t>Operations</t>
        </is>
      </c>
      <c r="E11" s="5" t="inlineStr">
        <is>
          <t>Database Admin</t>
        </is>
      </c>
      <c r="F11" s="6" t="n">
        <v>13000000</v>
      </c>
      <c r="G11" s="6" t="n">
        <v>1200000</v>
      </c>
      <c r="H11" s="6" t="n">
        <v>1000000</v>
      </c>
      <c r="I11" s="6" t="n">
        <v>900000</v>
      </c>
      <c r="J11" s="6">
        <f>SUM(F11:I11)</f>
        <v/>
      </c>
      <c r="K11" s="6">
        <f>F11*0.01</f>
        <v/>
      </c>
      <c r="L11" s="6">
        <f>F11*0.02</f>
        <v/>
      </c>
      <c r="M11" s="6">
        <f>(J11-4500000)*0.05</f>
        <v/>
      </c>
      <c r="N11" s="6">
        <f>SUM(K11:M11)</f>
        <v/>
      </c>
      <c r="O11" s="6">
        <f>J11-N11</f>
        <v/>
      </c>
    </row>
    <row r="12">
      <c r="A12" s="4" t="n">
        <v>8</v>
      </c>
      <c r="B12" s="4" t="inlineStr">
        <is>
          <t>EMP-008</t>
        </is>
      </c>
      <c r="C12" s="5" t="inlineStr">
        <is>
          <t>Nurul Aulia</t>
        </is>
      </c>
      <c r="D12" s="5" t="inlineStr">
        <is>
          <t>Finance</t>
        </is>
      </c>
      <c r="E12" s="5" t="inlineStr">
        <is>
          <t>Staff Keuangan Kasir</t>
        </is>
      </c>
      <c r="F12" s="6" t="n">
        <v>7500000</v>
      </c>
      <c r="G12" s="6" t="n">
        <v>800000</v>
      </c>
      <c r="H12" s="6" t="n">
        <v>800000</v>
      </c>
      <c r="I12" s="6" t="n">
        <v>450000</v>
      </c>
      <c r="J12" s="6">
        <f>SUM(F12:I12)</f>
        <v/>
      </c>
      <c r="K12" s="6">
        <f>F12*0.01</f>
        <v/>
      </c>
      <c r="L12" s="6">
        <f>F12*0.02</f>
        <v/>
      </c>
      <c r="M12" s="6">
        <f>(J12-4500000)*0.05</f>
        <v/>
      </c>
      <c r="N12" s="6">
        <f>SUM(K12:M12)</f>
        <v/>
      </c>
      <c r="O12" s="6">
        <f>J12-N12</f>
        <v/>
      </c>
    </row>
    <row r="13">
      <c r="A13" s="4" t="n">
        <v>9</v>
      </c>
      <c r="B13" s="4" t="inlineStr">
        <is>
          <t>EMP-009</t>
        </is>
      </c>
      <c r="C13" s="5" t="inlineStr">
        <is>
          <t>Agus Setiawan</t>
        </is>
      </c>
      <c r="D13" s="5" t="inlineStr">
        <is>
          <t>IT Support</t>
        </is>
      </c>
      <c r="E13" s="5" t="inlineStr">
        <is>
          <t>Helpdesk Support Tech</t>
        </is>
      </c>
      <c r="F13" s="6" t="n">
        <v>7000000</v>
      </c>
      <c r="G13" s="6" t="n">
        <v>800000</v>
      </c>
      <c r="H13" s="6" t="n">
        <v>800000</v>
      </c>
      <c r="I13" s="6" t="n">
        <v>500000</v>
      </c>
      <c r="J13" s="6">
        <f>SUM(F13:I13)</f>
        <v/>
      </c>
      <c r="K13" s="6">
        <f>F13*0.01</f>
        <v/>
      </c>
      <c r="L13" s="6">
        <f>F13*0.02</f>
        <v/>
      </c>
      <c r="M13" s="6">
        <f>(J13-4500000)*0.05</f>
        <v/>
      </c>
      <c r="N13" s="6">
        <f>SUM(K13:M13)</f>
        <v/>
      </c>
      <c r="O13" s="6">
        <f>J13-N13</f>
        <v/>
      </c>
    </row>
    <row r="14">
      <c r="A14" s="4" t="n">
        <v>10</v>
      </c>
      <c r="B14" s="4" t="inlineStr">
        <is>
          <t>EMP-010</t>
        </is>
      </c>
      <c r="C14" s="5" t="inlineStr">
        <is>
          <t>Dina Kusumastuti</t>
        </is>
      </c>
      <c r="D14" s="5" t="inlineStr">
        <is>
          <t>Legal &amp; Compliance</t>
        </is>
      </c>
      <c r="E14" s="5" t="inlineStr">
        <is>
          <t>Corporate Legal Staff</t>
        </is>
      </c>
      <c r="F14" s="6" t="n">
        <v>9000000</v>
      </c>
      <c r="G14" s="6" t="n">
        <v>1000000</v>
      </c>
      <c r="H14" s="6" t="n">
        <v>800000</v>
      </c>
      <c r="I14" s="6" t="n">
        <v>300000</v>
      </c>
      <c r="J14" s="6">
        <f>SUM(F14:I14)</f>
        <v/>
      </c>
      <c r="K14" s="6">
        <f>F14*0.01</f>
        <v/>
      </c>
      <c r="L14" s="6">
        <f>F14*0.02</f>
        <v/>
      </c>
      <c r="M14" s="6">
        <f>(J14-4500000)*0.05</f>
        <v/>
      </c>
      <c r="N14" s="6">
        <f>SUM(K14:M14)</f>
        <v/>
      </c>
      <c r="O14" s="6">
        <f>J14-N14</f>
        <v/>
      </c>
    </row>
    <row r="15">
      <c r="C15" s="7" t="inlineStr">
        <is>
          <t>TOTAL KESELURUHAN:</t>
        </is>
      </c>
      <c r="F15" s="8">
        <f>SUM(F5:F14)</f>
        <v/>
      </c>
      <c r="G15" s="8">
        <f>SUM(G5:G14)</f>
        <v/>
      </c>
      <c r="H15" s="8">
        <f>SUM(H5:H14)</f>
        <v/>
      </c>
      <c r="I15" s="8">
        <f>SUM(I5:I14)</f>
        <v/>
      </c>
      <c r="J15" s="8">
        <f>SUM(J5:J14)</f>
        <v/>
      </c>
      <c r="K15" s="8">
        <f>SUM(K5:K14)</f>
        <v/>
      </c>
      <c r="L15" s="8">
        <f>SUM(L5:L14)</f>
        <v/>
      </c>
      <c r="M15" s="8">
        <f>SUM(M5:M14)</f>
        <v/>
      </c>
      <c r="N15" s="8">
        <f>SUM(N5:N14)</f>
        <v/>
      </c>
      <c r="O15" s="8">
        <f>SUM(O5:O14)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2026-10-14T01:15:40Z</dcterms:created>
  <dcterms:modified xmlns:dcterms="http://purl.org/dc/terms/" xmlns:xsi="http://www.w3.org/2001/XMLSchema-instance" xsi:type="dcterms:W3CDTF">2026-10-14T01:15:40Z</dcterms:modified>
</cp:coreProperties>
</file>