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DAFTAR_ISI" sheetId="1" state="visible" r:id="rId1"/>
    <sheet xmlns:r="http://schemas.openxmlformats.org/officeDocument/2006/relationships" name="AVEDEV" sheetId="2" state="visible" r:id="rId2"/>
    <sheet xmlns:r="http://schemas.openxmlformats.org/officeDocument/2006/relationships" name="AVERAGE" sheetId="3" state="visible" r:id="rId3"/>
    <sheet xmlns:r="http://schemas.openxmlformats.org/officeDocument/2006/relationships" name="AVERAGEA" sheetId="4" state="visible" r:id="rId4"/>
    <sheet xmlns:r="http://schemas.openxmlformats.org/officeDocument/2006/relationships" name="AVERAGEIF" sheetId="5" state="visible" r:id="rId5"/>
    <sheet xmlns:r="http://schemas.openxmlformats.org/officeDocument/2006/relationships" name="AVERAGEIFS" sheetId="6" state="visible" r:id="rId6"/>
    <sheet xmlns:r="http://schemas.openxmlformats.org/officeDocument/2006/relationships" name="BETA.DIST" sheetId="7" state="visible" r:id="rId7"/>
    <sheet xmlns:r="http://schemas.openxmlformats.org/officeDocument/2006/relationships" name="BETA.INV" sheetId="8" state="visible" r:id="rId8"/>
    <sheet xmlns:r="http://schemas.openxmlformats.org/officeDocument/2006/relationships" name="BINOM.DIST" sheetId="9" state="visible" r:id="rId9"/>
    <sheet xmlns:r="http://schemas.openxmlformats.org/officeDocument/2006/relationships" name="BINOM.INV" sheetId="10" state="visible" r:id="rId10"/>
    <sheet xmlns:r="http://schemas.openxmlformats.org/officeDocument/2006/relationships" name="CHISQ.DIST" sheetId="11" state="visible" r:id="rId11"/>
    <sheet xmlns:r="http://schemas.openxmlformats.org/officeDocument/2006/relationships" name="CHISQ.DIST.RT" sheetId="12" state="visible" r:id="rId12"/>
    <sheet xmlns:r="http://schemas.openxmlformats.org/officeDocument/2006/relationships" name="CHISQ.INV" sheetId="13" state="visible" r:id="rId13"/>
    <sheet xmlns:r="http://schemas.openxmlformats.org/officeDocument/2006/relationships" name="CHISQ.RT.INV" sheetId="14" state="visible" r:id="rId14"/>
    <sheet xmlns:r="http://schemas.openxmlformats.org/officeDocument/2006/relationships" name="CHITEST" sheetId="15" state="visible" r:id="rId15"/>
    <sheet xmlns:r="http://schemas.openxmlformats.org/officeDocument/2006/relationships" name="CONFIDENCE.NORM" sheetId="16" state="visible" r:id="rId16"/>
    <sheet xmlns:r="http://schemas.openxmlformats.org/officeDocument/2006/relationships" name="CONFIDENCE.T" sheetId="17" state="visible" r:id="rId17"/>
    <sheet xmlns:r="http://schemas.openxmlformats.org/officeDocument/2006/relationships" name="CORREL" sheetId="18" state="visible" r:id="rId18"/>
    <sheet xmlns:r="http://schemas.openxmlformats.org/officeDocument/2006/relationships" name="COUNT" sheetId="19" state="visible" r:id="rId19"/>
    <sheet xmlns:r="http://schemas.openxmlformats.org/officeDocument/2006/relationships" name="COUNTA" sheetId="20" state="visible" r:id="rId20"/>
    <sheet xmlns:r="http://schemas.openxmlformats.org/officeDocument/2006/relationships" name="COUNTBLANK" sheetId="21" state="visible" r:id="rId21"/>
    <sheet xmlns:r="http://schemas.openxmlformats.org/officeDocument/2006/relationships" name="COUNTIF" sheetId="22" state="visible" r:id="rId22"/>
    <sheet xmlns:r="http://schemas.openxmlformats.org/officeDocument/2006/relationships" name="COUNTIFS" sheetId="23" state="visible" r:id="rId23"/>
    <sheet xmlns:r="http://schemas.openxmlformats.org/officeDocument/2006/relationships" name="COVARIANCE.P" sheetId="24" state="visible" r:id="rId24"/>
    <sheet xmlns:r="http://schemas.openxmlformats.org/officeDocument/2006/relationships" name="COVARIANCE.T" sheetId="25" state="visible" r:id="rId25"/>
    <sheet xmlns:r="http://schemas.openxmlformats.org/officeDocument/2006/relationships" name="CRITBINOM" sheetId="26" state="visible" r:id="rId26"/>
    <sheet xmlns:r="http://schemas.openxmlformats.org/officeDocument/2006/relationships" name="DEVSQ" sheetId="27" state="visible" r:id="rId27"/>
    <sheet xmlns:r="http://schemas.openxmlformats.org/officeDocument/2006/relationships" name="EXPON.DIST" sheetId="28" state="visible" r:id="rId28"/>
    <sheet xmlns:r="http://schemas.openxmlformats.org/officeDocument/2006/relationships" name="F.DIST" sheetId="29" state="visible" r:id="rId29"/>
    <sheet xmlns:r="http://schemas.openxmlformats.org/officeDocument/2006/relationships" name="F.DIST.RT" sheetId="30" state="visible" r:id="rId30"/>
    <sheet xmlns:r="http://schemas.openxmlformats.org/officeDocument/2006/relationships" name="F.INV" sheetId="31" state="visible" r:id="rId31"/>
    <sheet xmlns:r="http://schemas.openxmlformats.org/officeDocument/2006/relationships" name="F.INV.RT" sheetId="32" state="visible" r:id="rId32"/>
    <sheet xmlns:r="http://schemas.openxmlformats.org/officeDocument/2006/relationships" name="FTEST" sheetId="33" state="visible" r:id="rId33"/>
    <sheet xmlns:r="http://schemas.openxmlformats.org/officeDocument/2006/relationships" name="FISHER" sheetId="34" state="visible" r:id="rId34"/>
    <sheet xmlns:r="http://schemas.openxmlformats.org/officeDocument/2006/relationships" name="FISHER.INV" sheetId="35" state="visible" r:id="rId35"/>
    <sheet xmlns:r="http://schemas.openxmlformats.org/officeDocument/2006/relationships" name="FORECAST" sheetId="36" state="visible" r:id="rId36"/>
    <sheet xmlns:r="http://schemas.openxmlformats.org/officeDocument/2006/relationships" name="FREQUENCY" sheetId="37" state="visible" r:id="rId37"/>
    <sheet xmlns:r="http://schemas.openxmlformats.org/officeDocument/2006/relationships" name="GAMMADIST" sheetId="38" state="visible" r:id="rId38"/>
    <sheet xmlns:r="http://schemas.openxmlformats.org/officeDocument/2006/relationships" name="GAMMAINV" sheetId="39" state="visible" r:id="rId39"/>
    <sheet xmlns:r="http://schemas.openxmlformats.org/officeDocument/2006/relationships" name="GAMMALN" sheetId="40" state="visible" r:id="rId40"/>
    <sheet xmlns:r="http://schemas.openxmlformats.org/officeDocument/2006/relationships" name="GEOMEAN" sheetId="41" state="visible" r:id="rId41"/>
    <sheet xmlns:r="http://schemas.openxmlformats.org/officeDocument/2006/relationships" name="GROWTH" sheetId="42" state="visible" r:id="rId42"/>
    <sheet xmlns:r="http://schemas.openxmlformats.org/officeDocument/2006/relationships" name="HARMEAN" sheetId="43" state="visible" r:id="rId43"/>
    <sheet xmlns:r="http://schemas.openxmlformats.org/officeDocument/2006/relationships" name="HYPGEOMDIST" sheetId="44" state="visible" r:id="rId44"/>
    <sheet xmlns:r="http://schemas.openxmlformats.org/officeDocument/2006/relationships" name="INTERCEPT" sheetId="45" state="visible" r:id="rId45"/>
    <sheet xmlns:r="http://schemas.openxmlformats.org/officeDocument/2006/relationships" name="KURT" sheetId="46" state="visible" r:id="rId46"/>
    <sheet xmlns:r="http://schemas.openxmlformats.org/officeDocument/2006/relationships" name="LARGE" sheetId="47" state="visible" r:id="rId47"/>
    <sheet xmlns:r="http://schemas.openxmlformats.org/officeDocument/2006/relationships" name="LOGNORM.DIST" sheetId="48" state="visible" r:id="rId48"/>
    <sheet xmlns:r="http://schemas.openxmlformats.org/officeDocument/2006/relationships" name="LOGINV" sheetId="49" state="visible" r:id="rId49"/>
    <sheet xmlns:r="http://schemas.openxmlformats.org/officeDocument/2006/relationships" name="MAX" sheetId="50" state="visible" r:id="rId50"/>
    <sheet xmlns:r="http://schemas.openxmlformats.org/officeDocument/2006/relationships" name="MAXA" sheetId="51" state="visible" r:id="rId51"/>
    <sheet xmlns:r="http://schemas.openxmlformats.org/officeDocument/2006/relationships" name="MEDIAN" sheetId="52" state="visible" r:id="rId52"/>
    <sheet xmlns:r="http://schemas.openxmlformats.org/officeDocument/2006/relationships" name="MIN" sheetId="53" state="visible" r:id="rId53"/>
    <sheet xmlns:r="http://schemas.openxmlformats.org/officeDocument/2006/relationships" name="MINA" sheetId="54" state="visible" r:id="rId54"/>
    <sheet xmlns:r="http://schemas.openxmlformats.org/officeDocument/2006/relationships" name="MODE" sheetId="55" state="visible" r:id="rId55"/>
    <sheet xmlns:r="http://schemas.openxmlformats.org/officeDocument/2006/relationships" name="NEGBINOM.DIST" sheetId="56" state="visible" r:id="rId56"/>
    <sheet xmlns:r="http://schemas.openxmlformats.org/officeDocument/2006/relationships" name="NORM.DIST" sheetId="57" state="visible" r:id="rId57"/>
    <sheet xmlns:r="http://schemas.openxmlformats.org/officeDocument/2006/relationships" name="NORM.INV" sheetId="58" state="visible" r:id="rId58"/>
    <sheet xmlns:r="http://schemas.openxmlformats.org/officeDocument/2006/relationships" name="NORM.S.DIST" sheetId="59" state="visible" r:id="rId59"/>
    <sheet xmlns:r="http://schemas.openxmlformats.org/officeDocument/2006/relationships" name="NORM.S.INV" sheetId="60" state="visible" r:id="rId60"/>
    <sheet xmlns:r="http://schemas.openxmlformats.org/officeDocument/2006/relationships" name="PEARSON" sheetId="61" state="visible" r:id="rId61"/>
    <sheet xmlns:r="http://schemas.openxmlformats.org/officeDocument/2006/relationships" name="PERCENTILE.EXC" sheetId="62" state="visible" r:id="rId62"/>
    <sheet xmlns:r="http://schemas.openxmlformats.org/officeDocument/2006/relationships" name="PERCENTILE.INC" sheetId="63" state="visible" r:id="rId63"/>
    <sheet xmlns:r="http://schemas.openxmlformats.org/officeDocument/2006/relationships" name="PERCENTRANK.EXC" sheetId="64" state="visible" r:id="rId64"/>
    <sheet xmlns:r="http://schemas.openxmlformats.org/officeDocument/2006/relationships" name="PERCENTRANK.INC" sheetId="65" state="visible" r:id="rId65"/>
    <sheet xmlns:r="http://schemas.openxmlformats.org/officeDocument/2006/relationships" name="PERMUT" sheetId="66" state="visible" r:id="rId66"/>
    <sheet xmlns:r="http://schemas.openxmlformats.org/officeDocument/2006/relationships" name="POISSON" sheetId="67" state="visible" r:id="rId67"/>
    <sheet xmlns:r="http://schemas.openxmlformats.org/officeDocument/2006/relationships" name="PROB" sheetId="68" state="visible" r:id="rId68"/>
    <sheet xmlns:r="http://schemas.openxmlformats.org/officeDocument/2006/relationships" name="QUARTILE.EXC" sheetId="69" state="visible" r:id="rId69"/>
    <sheet xmlns:r="http://schemas.openxmlformats.org/officeDocument/2006/relationships" name="QUARTILE.INC" sheetId="70" state="visible" r:id="rId70"/>
    <sheet xmlns:r="http://schemas.openxmlformats.org/officeDocument/2006/relationships" name="RANK" sheetId="71" state="visible" r:id="rId71"/>
    <sheet xmlns:r="http://schemas.openxmlformats.org/officeDocument/2006/relationships" name="RSQ" sheetId="72" state="visible" r:id="rId72"/>
    <sheet xmlns:r="http://schemas.openxmlformats.org/officeDocument/2006/relationships" name="SKEW" sheetId="73" state="visible" r:id="rId73"/>
    <sheet xmlns:r="http://schemas.openxmlformats.org/officeDocument/2006/relationships" name="SLOPE" sheetId="74" state="visible" r:id="rId74"/>
    <sheet xmlns:r="http://schemas.openxmlformats.org/officeDocument/2006/relationships" name="SMALL" sheetId="75" state="visible" r:id="rId75"/>
    <sheet xmlns:r="http://schemas.openxmlformats.org/officeDocument/2006/relationships" name="STANDARDIZE" sheetId="76" state="visible" r:id="rId76"/>
    <sheet xmlns:r="http://schemas.openxmlformats.org/officeDocument/2006/relationships" name="STDEV.P" sheetId="77" state="visible" r:id="rId77"/>
    <sheet xmlns:r="http://schemas.openxmlformats.org/officeDocument/2006/relationships" name="STDEV.S" sheetId="78" state="visible" r:id="rId78"/>
    <sheet xmlns:r="http://schemas.openxmlformats.org/officeDocument/2006/relationships" name="STDEVA" sheetId="79" state="visible" r:id="rId79"/>
    <sheet xmlns:r="http://schemas.openxmlformats.org/officeDocument/2006/relationships" name="STDEVP" sheetId="80" state="visible" r:id="rId80"/>
    <sheet xmlns:r="http://schemas.openxmlformats.org/officeDocument/2006/relationships" name="STDEVPA" sheetId="81" state="visible" r:id="rId81"/>
    <sheet xmlns:r="http://schemas.openxmlformats.org/officeDocument/2006/relationships" name="STEYX" sheetId="82" state="visible" r:id="rId82"/>
    <sheet xmlns:r="http://schemas.openxmlformats.org/officeDocument/2006/relationships" name="T.DIST" sheetId="83" state="visible" r:id="rId83"/>
    <sheet xmlns:r="http://schemas.openxmlformats.org/officeDocument/2006/relationships" name="T.DIST.2T" sheetId="84" state="visible" r:id="rId84"/>
    <sheet xmlns:r="http://schemas.openxmlformats.org/officeDocument/2006/relationships" name="T.DIST.RT" sheetId="85" state="visible" r:id="rId85"/>
    <sheet xmlns:r="http://schemas.openxmlformats.org/officeDocument/2006/relationships" name="T.INV" sheetId="86" state="visible" r:id="rId86"/>
    <sheet xmlns:r="http://schemas.openxmlformats.org/officeDocument/2006/relationships" name="T.INV.2T" sheetId="87" state="visible" r:id="rId87"/>
    <sheet xmlns:r="http://schemas.openxmlformats.org/officeDocument/2006/relationships" name="TREND" sheetId="88" state="visible" r:id="rId88"/>
    <sheet xmlns:r="http://schemas.openxmlformats.org/officeDocument/2006/relationships" name="T.TEST" sheetId="89" state="visible" r:id="rId89"/>
    <sheet xmlns:r="http://schemas.openxmlformats.org/officeDocument/2006/relationships" name="TRIMMEAN" sheetId="90" state="visible" r:id="rId90"/>
    <sheet xmlns:r="http://schemas.openxmlformats.org/officeDocument/2006/relationships" name="VAR.P" sheetId="91" state="visible" r:id="rId91"/>
    <sheet xmlns:r="http://schemas.openxmlformats.org/officeDocument/2006/relationships" name="VAR.S" sheetId="92" state="visible" r:id="rId92"/>
    <sheet xmlns:r="http://schemas.openxmlformats.org/officeDocument/2006/relationships" name="VARA" sheetId="93" state="visible" r:id="rId93"/>
    <sheet xmlns:r="http://schemas.openxmlformats.org/officeDocument/2006/relationships" name="VARPA" sheetId="94" state="visible" r:id="rId94"/>
    <sheet xmlns:r="http://schemas.openxmlformats.org/officeDocument/2006/relationships" name="WEIBULL" sheetId="95" state="visible" r:id="rId95"/>
    <sheet xmlns:r="http://schemas.openxmlformats.org/officeDocument/2006/relationships" name="ZTEST" sheetId="96" state="visible" r:id="rId96"/>
    <sheet xmlns:r="http://schemas.openxmlformats.org/officeDocument/2006/relationships" name="99_KUNCI_JAWABAN" sheetId="97" state="visible" r:id="rId9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i val="1"/>
      <color rgb="00E2E8F0"/>
      <sz val="10"/>
    </font>
    <font>
      <name val="Segoe UI"/>
      <b val="1"/>
      <color rgb="00FDE047"/>
      <sz val="10"/>
      <u val="single"/>
    </font>
    <font>
      <name val="Segoe UI"/>
      <b val="1"/>
      <color rgb="00FFFFFF"/>
      <sz val="10"/>
    </font>
    <font>
      <name val="Segoe UI"/>
      <b val="1"/>
      <color rgb="0038BDF8"/>
      <sz val="10"/>
      <u val="single"/>
    </font>
    <font>
      <name val="Segoe UI"/>
      <b val="1"/>
      <color rgb="00FFFFFF"/>
      <sz val="11"/>
    </font>
    <font>
      <name val="Segoe UI"/>
      <b val="1"/>
      <color rgb="000F172A"/>
      <sz val="10"/>
    </font>
    <font>
      <name val="Consolas"/>
      <b val="1"/>
      <color rgb="000369A1"/>
      <sz val="10"/>
    </font>
    <font>
      <name val="Segoe UI"/>
      <color rgb="001E293B"/>
      <sz val="10"/>
    </font>
    <font>
      <name val="Consolas"/>
      <b val="1"/>
      <color rgb="000F172A"/>
      <sz val="11"/>
    </font>
    <font>
      <name val="Segoe UI"/>
      <b val="1"/>
      <i val="1"/>
      <color rgb="007C2D12"/>
      <sz val="9"/>
    </font>
    <font>
      <name val="Segoe UI"/>
      <b val="1"/>
      <color rgb="00065F46"/>
      <sz val="10"/>
    </font>
    <font>
      <name val="Segoe UI"/>
      <b val="1"/>
      <color rgb="002563EB"/>
      <sz val="10"/>
      <u val="single"/>
    </font>
  </fonts>
  <fills count="12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0284C7"/>
        <bgColor rgb="000284C7"/>
      </patternFill>
    </fill>
    <fill>
      <patternFill patternType="solid">
        <fgColor rgb="00E0F2FE"/>
        <bgColor rgb="00E0F2FE"/>
      </patternFill>
    </fill>
    <fill>
      <patternFill patternType="solid">
        <fgColor rgb="00F8FAFC"/>
        <bgColor rgb="00F8FAFC"/>
      </patternFill>
    </fill>
    <fill>
      <patternFill patternType="solid">
        <fgColor rgb="00059669"/>
        <bgColor rgb="00059669"/>
      </patternFill>
    </fill>
    <fill>
      <patternFill patternType="solid">
        <fgColor rgb="00DCFCE7"/>
        <bgColor rgb="00DCFCE7"/>
      </patternFill>
    </fill>
    <fill>
      <patternFill patternType="solid">
        <fgColor rgb="007C3AED"/>
        <bgColor rgb="007C3AED"/>
      </patternFill>
    </fill>
    <fill>
      <patternFill patternType="solid">
        <fgColor rgb="00FEF3C7"/>
        <bgColor rgb="00FEF3C7"/>
      </patternFill>
    </fill>
    <fill>
      <patternFill patternType="solid">
        <fgColor rgb="00D97706"/>
        <bgColor rgb="00D97706"/>
      </patternFill>
    </fill>
    <fill>
      <patternFill patternType="solid">
        <fgColor rgb="00FEF08A"/>
        <bgColor rgb="00FEF08A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medium">
        <color rgb="00D97706"/>
      </left>
      <right style="medium">
        <color rgb="00D97706"/>
      </right>
      <top style="medium">
        <color rgb="00D97706"/>
      </top>
      <bottom style="medium">
        <color rgb="00D97706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3" borderId="1" pivotButton="0" quotePrefix="0" xfId="0"/>
    <xf numFmtId="0" fontId="0" fillId="0" borderId="1" pivotButton="0" quotePrefix="0" xfId="0"/>
    <xf numFmtId="0" fontId="7" fillId="0" borderId="1" pivotButton="0" quotePrefix="0" xfId="0"/>
    <xf numFmtId="0" fontId="8" fillId="0" borderId="1" pivotButton="0" quotePrefix="0" xfId="0"/>
    <xf numFmtId="0" fontId="13" fillId="0" borderId="1" pivotButton="0" quotePrefix="0" xfId="0"/>
    <xf numFmtId="0" fontId="7" fillId="9" borderId="1" pivotButton="0" quotePrefix="0" xfId="0"/>
    <xf numFmtId="0" fontId="1" fillId="2" borderId="0" applyAlignment="1" pivotButton="0" quotePrefix="0" xfId="0">
      <alignment vertical="center" indent="1"/>
    </xf>
    <xf numFmtId="0" fontId="2" fillId="2" borderId="0" applyAlignment="1" pivotButton="0" quotePrefix="0" xfId="0">
      <alignment vertical="center" indent="1"/>
    </xf>
    <xf numFmtId="0" fontId="5" fillId="2" borderId="0" applyAlignment="1" pivotButton="0" quotePrefix="0" xfId="0">
      <alignment horizontal="center" vertical="center"/>
    </xf>
    <xf numFmtId="0" fontId="6" fillId="3" borderId="0" pivotButton="0" quotePrefix="0" xfId="0"/>
    <xf numFmtId="0" fontId="7" fillId="4" borderId="1" pivotButton="0" quotePrefix="0" xfId="0"/>
    <xf numFmtId="0" fontId="8" fillId="5" borderId="1" applyAlignment="1" pivotButton="0" quotePrefix="0" xfId="0">
      <alignment vertical="center" wrapText="1"/>
    </xf>
    <xf numFmtId="0" fontId="9" fillId="5" borderId="1" applyAlignment="1" pivotButton="0" quotePrefix="0" xfId="0">
      <alignment vertical="center" wrapText="1"/>
    </xf>
    <xf numFmtId="0" fontId="6" fillId="6" borderId="0" pivotButton="0" quotePrefix="0" xfId="0"/>
    <xf numFmtId="0" fontId="7" fillId="7" borderId="1" pivotButton="0" quotePrefix="0" xfId="0"/>
    <xf numFmtId="0" fontId="9" fillId="0" borderId="1" pivotButton="0" quotePrefix="0" xfId="0"/>
    <xf numFmtId="0" fontId="7" fillId="5" borderId="1" pivotButton="0" quotePrefix="0" xfId="0"/>
    <xf numFmtId="0" fontId="9" fillId="0" borderId="1" applyAlignment="1" pivotButton="0" quotePrefix="0" xfId="0">
      <alignment vertical="center" wrapText="1"/>
    </xf>
    <xf numFmtId="0" fontId="8" fillId="7" borderId="1" pivotButton="0" quotePrefix="0" xfId="0"/>
    <xf numFmtId="0" fontId="10" fillId="7" borderId="1" applyAlignment="1" pivotButton="0" quotePrefix="0" xfId="0">
      <alignment horizontal="left" vertical="center"/>
    </xf>
    <xf numFmtId="0" fontId="6" fillId="8" borderId="0" pivotButton="0" quotePrefix="0" xfId="0"/>
    <xf numFmtId="0" fontId="11" fillId="9" borderId="0" pivotButton="0" quotePrefix="0" xfId="0"/>
    <xf numFmtId="0" fontId="6" fillId="10" borderId="0" pivotButton="0" quotePrefix="0" xfId="0"/>
    <xf numFmtId="0" fontId="7" fillId="0" borderId="0" applyAlignment="1" pivotButton="0" quotePrefix="0" xfId="0">
      <alignment vertical="center" wrapText="1"/>
    </xf>
    <xf numFmtId="0" fontId="10" fillId="11" borderId="2" applyAlignment="1" pivotButton="0" quotePrefix="0" xfId="0">
      <alignment horizontal="center" vertical="center"/>
    </xf>
    <xf numFmtId="0" fontId="12" fillId="5" borderId="1" applyAlignment="1" pivotButton="0" quotePrefix="0" xfId="0">
      <alignment horizontal="center" vertical="center"/>
    </xf>
    <xf numFmtId="0" fontId="4" fillId="6" borderId="1" pivotButton="0" quotePrefix="0" xfId="0"/>
    <xf numFmtId="0" fontId="8" fillId="0" borderId="1" applyAlignment="1" pivotButton="0" quotePrefix="0" xfId="0">
      <alignment horizontal="center"/>
    </xf>
    <xf numFmtId="0" fontId="7" fillId="9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worksheet" Target="/xl/worksheets/sheet78.xml" Id="rId78"/><Relationship Type="http://schemas.openxmlformats.org/officeDocument/2006/relationships/worksheet" Target="/xl/worksheets/sheet79.xml" Id="rId79"/><Relationship Type="http://schemas.openxmlformats.org/officeDocument/2006/relationships/worksheet" Target="/xl/worksheets/sheet80.xml" Id="rId80"/><Relationship Type="http://schemas.openxmlformats.org/officeDocument/2006/relationships/worksheet" Target="/xl/worksheets/sheet81.xml" Id="rId81"/><Relationship Type="http://schemas.openxmlformats.org/officeDocument/2006/relationships/worksheet" Target="/xl/worksheets/sheet82.xml" Id="rId82"/><Relationship Type="http://schemas.openxmlformats.org/officeDocument/2006/relationships/worksheet" Target="/xl/worksheets/sheet83.xml" Id="rId83"/><Relationship Type="http://schemas.openxmlformats.org/officeDocument/2006/relationships/worksheet" Target="/xl/worksheets/sheet84.xml" Id="rId84"/><Relationship Type="http://schemas.openxmlformats.org/officeDocument/2006/relationships/worksheet" Target="/xl/worksheets/sheet85.xml" Id="rId85"/><Relationship Type="http://schemas.openxmlformats.org/officeDocument/2006/relationships/worksheet" Target="/xl/worksheets/sheet86.xml" Id="rId86"/><Relationship Type="http://schemas.openxmlformats.org/officeDocument/2006/relationships/worksheet" Target="/xl/worksheets/sheet87.xml" Id="rId87"/><Relationship Type="http://schemas.openxmlformats.org/officeDocument/2006/relationships/worksheet" Target="/xl/worksheets/sheet88.xml" Id="rId88"/><Relationship Type="http://schemas.openxmlformats.org/officeDocument/2006/relationships/worksheet" Target="/xl/worksheets/sheet89.xml" Id="rId89"/><Relationship Type="http://schemas.openxmlformats.org/officeDocument/2006/relationships/worksheet" Target="/xl/worksheets/sheet90.xml" Id="rId90"/><Relationship Type="http://schemas.openxmlformats.org/officeDocument/2006/relationships/worksheet" Target="/xl/worksheets/sheet91.xml" Id="rId91"/><Relationship Type="http://schemas.openxmlformats.org/officeDocument/2006/relationships/worksheet" Target="/xl/worksheets/sheet92.xml" Id="rId92"/><Relationship Type="http://schemas.openxmlformats.org/officeDocument/2006/relationships/worksheet" Target="/xl/worksheets/sheet93.xml" Id="rId93"/><Relationship Type="http://schemas.openxmlformats.org/officeDocument/2006/relationships/worksheet" Target="/xl/worksheets/sheet94.xml" Id="rId94"/><Relationship Type="http://schemas.openxmlformats.org/officeDocument/2006/relationships/worksheet" Target="/xl/worksheets/sheet95.xml" Id="rId95"/><Relationship Type="http://schemas.openxmlformats.org/officeDocument/2006/relationships/worksheet" Target="/xl/worksheets/sheet96.xml" Id="rId96"/><Relationship Type="http://schemas.openxmlformats.org/officeDocument/2006/relationships/worksheet" Target="/xl/worksheets/sheet97.xml" Id="rId97"/><Relationship Type="http://schemas.openxmlformats.org/officeDocument/2006/relationships/styles" Target="styles.xml" Id="rId98"/><Relationship Type="http://schemas.openxmlformats.org/officeDocument/2006/relationships/theme" Target="theme/theme1.xml" Id="rId9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99_KUNCI_JAWABAN'!A1" TargetMode="External" Id="rId1"/><Relationship Type="http://schemas.openxmlformats.org/officeDocument/2006/relationships/hyperlink" Target="#'AVEDEV'!A1" TargetMode="External" Id="rId2"/><Relationship Type="http://schemas.openxmlformats.org/officeDocument/2006/relationships/hyperlink" Target="#'AVERAGE'!A1" TargetMode="External" Id="rId3"/><Relationship Type="http://schemas.openxmlformats.org/officeDocument/2006/relationships/hyperlink" Target="#'AVERAGEA'!A1" TargetMode="External" Id="rId4"/><Relationship Type="http://schemas.openxmlformats.org/officeDocument/2006/relationships/hyperlink" Target="#'AVERAGEIF'!A1" TargetMode="External" Id="rId5"/><Relationship Type="http://schemas.openxmlformats.org/officeDocument/2006/relationships/hyperlink" Target="#'AVERAGEIFS'!A1" TargetMode="External" Id="rId6"/><Relationship Type="http://schemas.openxmlformats.org/officeDocument/2006/relationships/hyperlink" Target="#'BETA.DIST'!A1" TargetMode="External" Id="rId7"/><Relationship Type="http://schemas.openxmlformats.org/officeDocument/2006/relationships/hyperlink" Target="#'BETA.INV'!A1" TargetMode="External" Id="rId8"/><Relationship Type="http://schemas.openxmlformats.org/officeDocument/2006/relationships/hyperlink" Target="#'BINOM.DIST'!A1" TargetMode="External" Id="rId9"/><Relationship Type="http://schemas.openxmlformats.org/officeDocument/2006/relationships/hyperlink" Target="#'BINOM.INV'!A1" TargetMode="External" Id="rId10"/><Relationship Type="http://schemas.openxmlformats.org/officeDocument/2006/relationships/hyperlink" Target="#'CHISQ.DIST'!A1" TargetMode="External" Id="rId11"/><Relationship Type="http://schemas.openxmlformats.org/officeDocument/2006/relationships/hyperlink" Target="#'CHISQ.DIST.RT'!A1" TargetMode="External" Id="rId12"/><Relationship Type="http://schemas.openxmlformats.org/officeDocument/2006/relationships/hyperlink" Target="#'CHISQ.INV'!A1" TargetMode="External" Id="rId13"/><Relationship Type="http://schemas.openxmlformats.org/officeDocument/2006/relationships/hyperlink" Target="#'CHISQ.RT.INV'!A1" TargetMode="External" Id="rId14"/><Relationship Type="http://schemas.openxmlformats.org/officeDocument/2006/relationships/hyperlink" Target="#'CHITEST'!A1" TargetMode="External" Id="rId15"/><Relationship Type="http://schemas.openxmlformats.org/officeDocument/2006/relationships/hyperlink" Target="#'CONFIDENCE.NORM'!A1" TargetMode="External" Id="rId16"/><Relationship Type="http://schemas.openxmlformats.org/officeDocument/2006/relationships/hyperlink" Target="#'CONFIDENCE.T'!A1" TargetMode="External" Id="rId17"/><Relationship Type="http://schemas.openxmlformats.org/officeDocument/2006/relationships/hyperlink" Target="#'CORREL'!A1" TargetMode="External" Id="rId18"/><Relationship Type="http://schemas.openxmlformats.org/officeDocument/2006/relationships/hyperlink" Target="#'COUNT'!A1" TargetMode="External" Id="rId19"/><Relationship Type="http://schemas.openxmlformats.org/officeDocument/2006/relationships/hyperlink" Target="#'COUNTA'!A1" TargetMode="External" Id="rId20"/><Relationship Type="http://schemas.openxmlformats.org/officeDocument/2006/relationships/hyperlink" Target="#'COUNTBLANK'!A1" TargetMode="External" Id="rId21"/><Relationship Type="http://schemas.openxmlformats.org/officeDocument/2006/relationships/hyperlink" Target="#'COUNTIF'!A1" TargetMode="External" Id="rId22"/><Relationship Type="http://schemas.openxmlformats.org/officeDocument/2006/relationships/hyperlink" Target="#'COUNTIFS'!A1" TargetMode="External" Id="rId23"/><Relationship Type="http://schemas.openxmlformats.org/officeDocument/2006/relationships/hyperlink" Target="#'COVARIANCE.P'!A1" TargetMode="External" Id="rId24"/><Relationship Type="http://schemas.openxmlformats.org/officeDocument/2006/relationships/hyperlink" Target="#'COVARIANCE.T'!A1" TargetMode="External" Id="rId25"/><Relationship Type="http://schemas.openxmlformats.org/officeDocument/2006/relationships/hyperlink" Target="#'CRITBINOM'!A1" TargetMode="External" Id="rId26"/><Relationship Type="http://schemas.openxmlformats.org/officeDocument/2006/relationships/hyperlink" Target="#'DEVSQ'!A1" TargetMode="External" Id="rId27"/><Relationship Type="http://schemas.openxmlformats.org/officeDocument/2006/relationships/hyperlink" Target="#'EXPON.DIST'!A1" TargetMode="External" Id="rId28"/><Relationship Type="http://schemas.openxmlformats.org/officeDocument/2006/relationships/hyperlink" Target="#'F.DIST'!A1" TargetMode="External" Id="rId29"/><Relationship Type="http://schemas.openxmlformats.org/officeDocument/2006/relationships/hyperlink" Target="#'F.DIST.RT'!A1" TargetMode="External" Id="rId30"/><Relationship Type="http://schemas.openxmlformats.org/officeDocument/2006/relationships/hyperlink" Target="#'F.INV'!A1" TargetMode="External" Id="rId31"/><Relationship Type="http://schemas.openxmlformats.org/officeDocument/2006/relationships/hyperlink" Target="#'F.INV.RT'!A1" TargetMode="External" Id="rId32"/><Relationship Type="http://schemas.openxmlformats.org/officeDocument/2006/relationships/hyperlink" Target="#'FTEST'!A1" TargetMode="External" Id="rId33"/><Relationship Type="http://schemas.openxmlformats.org/officeDocument/2006/relationships/hyperlink" Target="#'FISHER'!A1" TargetMode="External" Id="rId34"/><Relationship Type="http://schemas.openxmlformats.org/officeDocument/2006/relationships/hyperlink" Target="#'FISHER.INV'!A1" TargetMode="External" Id="rId35"/><Relationship Type="http://schemas.openxmlformats.org/officeDocument/2006/relationships/hyperlink" Target="#'FORECAST'!A1" TargetMode="External" Id="rId36"/><Relationship Type="http://schemas.openxmlformats.org/officeDocument/2006/relationships/hyperlink" Target="#'FREQUENCY'!A1" TargetMode="External" Id="rId37"/><Relationship Type="http://schemas.openxmlformats.org/officeDocument/2006/relationships/hyperlink" Target="#'GAMMADIST'!A1" TargetMode="External" Id="rId38"/><Relationship Type="http://schemas.openxmlformats.org/officeDocument/2006/relationships/hyperlink" Target="#'GAMMAINV'!A1" TargetMode="External" Id="rId39"/><Relationship Type="http://schemas.openxmlformats.org/officeDocument/2006/relationships/hyperlink" Target="#'GAMMALN'!A1" TargetMode="External" Id="rId40"/><Relationship Type="http://schemas.openxmlformats.org/officeDocument/2006/relationships/hyperlink" Target="#'GEOMEAN'!A1" TargetMode="External" Id="rId41"/><Relationship Type="http://schemas.openxmlformats.org/officeDocument/2006/relationships/hyperlink" Target="#'GROWTH'!A1" TargetMode="External" Id="rId42"/><Relationship Type="http://schemas.openxmlformats.org/officeDocument/2006/relationships/hyperlink" Target="#'HARMEAN'!A1" TargetMode="External" Id="rId43"/><Relationship Type="http://schemas.openxmlformats.org/officeDocument/2006/relationships/hyperlink" Target="#'HYPGEOMDIST'!A1" TargetMode="External" Id="rId44"/><Relationship Type="http://schemas.openxmlformats.org/officeDocument/2006/relationships/hyperlink" Target="#'INTERCEPT'!A1" TargetMode="External" Id="rId45"/><Relationship Type="http://schemas.openxmlformats.org/officeDocument/2006/relationships/hyperlink" Target="#'KURT'!A1" TargetMode="External" Id="rId46"/><Relationship Type="http://schemas.openxmlformats.org/officeDocument/2006/relationships/hyperlink" Target="#'LARGE'!A1" TargetMode="External" Id="rId47"/><Relationship Type="http://schemas.openxmlformats.org/officeDocument/2006/relationships/hyperlink" Target="#'LOGNORM.DIST'!A1" TargetMode="External" Id="rId48"/><Relationship Type="http://schemas.openxmlformats.org/officeDocument/2006/relationships/hyperlink" Target="#'LOGINV'!A1" TargetMode="External" Id="rId49"/><Relationship Type="http://schemas.openxmlformats.org/officeDocument/2006/relationships/hyperlink" Target="#'MAX'!A1" TargetMode="External" Id="rId50"/><Relationship Type="http://schemas.openxmlformats.org/officeDocument/2006/relationships/hyperlink" Target="#'MAXA'!A1" TargetMode="External" Id="rId51"/><Relationship Type="http://schemas.openxmlformats.org/officeDocument/2006/relationships/hyperlink" Target="#'MEDIAN'!A1" TargetMode="External" Id="rId52"/><Relationship Type="http://schemas.openxmlformats.org/officeDocument/2006/relationships/hyperlink" Target="#'MIN'!A1" TargetMode="External" Id="rId53"/><Relationship Type="http://schemas.openxmlformats.org/officeDocument/2006/relationships/hyperlink" Target="#'MINA'!A1" TargetMode="External" Id="rId54"/><Relationship Type="http://schemas.openxmlformats.org/officeDocument/2006/relationships/hyperlink" Target="#'MODE'!A1" TargetMode="External" Id="rId55"/><Relationship Type="http://schemas.openxmlformats.org/officeDocument/2006/relationships/hyperlink" Target="#'NEGBINOM.DIST'!A1" TargetMode="External" Id="rId56"/><Relationship Type="http://schemas.openxmlformats.org/officeDocument/2006/relationships/hyperlink" Target="#'NORM.DIST'!A1" TargetMode="External" Id="rId57"/><Relationship Type="http://schemas.openxmlformats.org/officeDocument/2006/relationships/hyperlink" Target="#'NORM.INV'!A1" TargetMode="External" Id="rId58"/><Relationship Type="http://schemas.openxmlformats.org/officeDocument/2006/relationships/hyperlink" Target="#'NORM.S.DIST'!A1" TargetMode="External" Id="rId59"/><Relationship Type="http://schemas.openxmlformats.org/officeDocument/2006/relationships/hyperlink" Target="#'NORM.S.INV'!A1" TargetMode="External" Id="rId60"/><Relationship Type="http://schemas.openxmlformats.org/officeDocument/2006/relationships/hyperlink" Target="#'PEARSON'!A1" TargetMode="External" Id="rId61"/><Relationship Type="http://schemas.openxmlformats.org/officeDocument/2006/relationships/hyperlink" Target="#'PERCENTILE.EXC'!A1" TargetMode="External" Id="rId62"/><Relationship Type="http://schemas.openxmlformats.org/officeDocument/2006/relationships/hyperlink" Target="#'PERCENTILE.INC'!A1" TargetMode="External" Id="rId63"/><Relationship Type="http://schemas.openxmlformats.org/officeDocument/2006/relationships/hyperlink" Target="#'PERCENTRANK.EXC'!A1" TargetMode="External" Id="rId64"/><Relationship Type="http://schemas.openxmlformats.org/officeDocument/2006/relationships/hyperlink" Target="#'PERCENTRANK.INC'!A1" TargetMode="External" Id="rId65"/><Relationship Type="http://schemas.openxmlformats.org/officeDocument/2006/relationships/hyperlink" Target="#'PERMUT'!A1" TargetMode="External" Id="rId66"/><Relationship Type="http://schemas.openxmlformats.org/officeDocument/2006/relationships/hyperlink" Target="#'POISSON'!A1" TargetMode="External" Id="rId67"/><Relationship Type="http://schemas.openxmlformats.org/officeDocument/2006/relationships/hyperlink" Target="#'PROB'!A1" TargetMode="External" Id="rId68"/><Relationship Type="http://schemas.openxmlformats.org/officeDocument/2006/relationships/hyperlink" Target="#'QUARTILE.EXC'!A1" TargetMode="External" Id="rId69"/><Relationship Type="http://schemas.openxmlformats.org/officeDocument/2006/relationships/hyperlink" Target="#'QUARTILE.INC'!A1" TargetMode="External" Id="rId70"/><Relationship Type="http://schemas.openxmlformats.org/officeDocument/2006/relationships/hyperlink" Target="#'RANK'!A1" TargetMode="External" Id="rId71"/><Relationship Type="http://schemas.openxmlformats.org/officeDocument/2006/relationships/hyperlink" Target="#'RSQ'!A1" TargetMode="External" Id="rId72"/><Relationship Type="http://schemas.openxmlformats.org/officeDocument/2006/relationships/hyperlink" Target="#'SKEW'!A1" TargetMode="External" Id="rId73"/><Relationship Type="http://schemas.openxmlformats.org/officeDocument/2006/relationships/hyperlink" Target="#'SLOPE'!A1" TargetMode="External" Id="rId74"/><Relationship Type="http://schemas.openxmlformats.org/officeDocument/2006/relationships/hyperlink" Target="#'SMALL'!A1" TargetMode="External" Id="rId75"/><Relationship Type="http://schemas.openxmlformats.org/officeDocument/2006/relationships/hyperlink" Target="#'STANDARDIZE'!A1" TargetMode="External" Id="rId76"/><Relationship Type="http://schemas.openxmlformats.org/officeDocument/2006/relationships/hyperlink" Target="#'STDEV.P'!A1" TargetMode="External" Id="rId77"/><Relationship Type="http://schemas.openxmlformats.org/officeDocument/2006/relationships/hyperlink" Target="#'STDEV.S'!A1" TargetMode="External" Id="rId78"/><Relationship Type="http://schemas.openxmlformats.org/officeDocument/2006/relationships/hyperlink" Target="#'STDEVA'!A1" TargetMode="External" Id="rId79"/><Relationship Type="http://schemas.openxmlformats.org/officeDocument/2006/relationships/hyperlink" Target="#'STDEVP'!A1" TargetMode="External" Id="rId80"/><Relationship Type="http://schemas.openxmlformats.org/officeDocument/2006/relationships/hyperlink" Target="#'STDEVPA'!A1" TargetMode="External" Id="rId81"/><Relationship Type="http://schemas.openxmlformats.org/officeDocument/2006/relationships/hyperlink" Target="#'STEYX'!A1" TargetMode="External" Id="rId82"/><Relationship Type="http://schemas.openxmlformats.org/officeDocument/2006/relationships/hyperlink" Target="#'T.DIST'!A1" TargetMode="External" Id="rId83"/><Relationship Type="http://schemas.openxmlformats.org/officeDocument/2006/relationships/hyperlink" Target="#'T.DIST.2T'!A1" TargetMode="External" Id="rId84"/><Relationship Type="http://schemas.openxmlformats.org/officeDocument/2006/relationships/hyperlink" Target="#'T.DIST.RT'!A1" TargetMode="External" Id="rId85"/><Relationship Type="http://schemas.openxmlformats.org/officeDocument/2006/relationships/hyperlink" Target="#'T.INV'!A1" TargetMode="External" Id="rId86"/><Relationship Type="http://schemas.openxmlformats.org/officeDocument/2006/relationships/hyperlink" Target="#'T.INV.2T'!A1" TargetMode="External" Id="rId87"/><Relationship Type="http://schemas.openxmlformats.org/officeDocument/2006/relationships/hyperlink" Target="#'TREND'!A1" TargetMode="External" Id="rId88"/><Relationship Type="http://schemas.openxmlformats.org/officeDocument/2006/relationships/hyperlink" Target="#'T.TEST'!A1" TargetMode="External" Id="rId89"/><Relationship Type="http://schemas.openxmlformats.org/officeDocument/2006/relationships/hyperlink" Target="#'TRIMMEAN'!A1" TargetMode="External" Id="rId90"/><Relationship Type="http://schemas.openxmlformats.org/officeDocument/2006/relationships/hyperlink" Target="#'VAR.P'!A1" TargetMode="External" Id="rId91"/><Relationship Type="http://schemas.openxmlformats.org/officeDocument/2006/relationships/hyperlink" Target="#'VAR.S'!A1" TargetMode="External" Id="rId92"/><Relationship Type="http://schemas.openxmlformats.org/officeDocument/2006/relationships/hyperlink" Target="#'VARA'!A1" TargetMode="External" Id="rId93"/><Relationship Type="http://schemas.openxmlformats.org/officeDocument/2006/relationships/hyperlink" Target="#'VARPA'!A1" TargetMode="External" Id="rId94"/><Relationship Type="http://schemas.openxmlformats.org/officeDocument/2006/relationships/hyperlink" Target="#'WEIBULL'!A1" TargetMode="External" Id="rId95"/><Relationship Type="http://schemas.openxmlformats.org/officeDocument/2006/relationships/hyperlink" Target="#'ZTEST'!A1" TargetMode="External" Id="rId96"/><Relationship Type="http://schemas.openxmlformats.org/officeDocument/2006/relationships/hyperlink" Target="#'99_KUNCI_JAWABAN'!A1" TargetMode="External" Id="rId97"/></Relationships>
</file>

<file path=xl/worksheets/_rels/sheet2.xml.rels><Relationships xmlns="http://schemas.openxmlformats.org/package/2006/relationships"><Relationship Type="http://schemas.openxmlformats.org/officeDocument/2006/relationships/hyperlink" Target="#'00_DAFTAR_ISI'!A1" TargetMode="External" Id="rId1"/><Relationship Type="http://schemas.openxmlformats.org/officeDocument/2006/relationships/hyperlink" Target="#'99_KUNCI_JAWABAN'!A1" TargetMode="External" Id="rId2"/></Relationships>
</file>

<file path=xl/worksheets/_rels/sheet3.xml.rels><Relationships xmlns="http://schemas.openxmlformats.org/package/2006/relationships"><Relationship Type="http://schemas.openxmlformats.org/officeDocument/2006/relationships/hyperlink" Target="#'00_DAFTAR_ISI'!A1" TargetMode="External" Id="rId1"/><Relationship Type="http://schemas.openxmlformats.org/officeDocument/2006/relationships/hyperlink" Target="#'99_KUNCI_JAWABAN'!A1" TargetMode="External" Id="rId2"/></Relationships>
</file>

<file path=xl/worksheets/_rels/sheet4.xml.rels><Relationships xmlns="http://schemas.openxmlformats.org/package/2006/relationships"><Relationship Type="http://schemas.openxmlformats.org/officeDocument/2006/relationships/hyperlink" Target="#'00_DAFTAR_ISI'!A1" TargetMode="External" Id="rId1"/><Relationship Type="http://schemas.openxmlformats.org/officeDocument/2006/relationships/hyperlink" Target="#'99_KUNCI_JAWABAN'!A1" TargetMode="External" Id="rId2"/></Relationships>
</file>

<file path=xl/worksheets/_rels/sheet5.xml.rels><Relationships xmlns="http://schemas.openxmlformats.org/package/2006/relationships"><Relationship Type="http://schemas.openxmlformats.org/officeDocument/2006/relationships/hyperlink" Target="#'00_DAFTAR_ISI'!A1" TargetMode="External" Id="rId1"/><Relationship Type="http://schemas.openxmlformats.org/officeDocument/2006/relationships/hyperlink" Target="#'99_KUNCI_JAWABAN'!A1" TargetMode="External" Id="rId2"/></Relationships>
</file>

<file path=xl/worksheets/_rels/sheet6.xml.rels><Relationships xmlns="http://schemas.openxmlformats.org/package/2006/relationships"><Relationship Type="http://schemas.openxmlformats.org/officeDocument/2006/relationships/hyperlink" Target="#'00_DAFTAR_ISI'!A1" TargetMode="External" Id="rId1"/><Relationship Type="http://schemas.openxmlformats.org/officeDocument/2006/relationships/hyperlink" Target="#'99_KUNCI_JAWABAN'!A1" TargetMode="External" Id="rId2"/></Relationships>
</file>

<file path=xl/worksheets/_rels/sheet7.xml.rels><Relationships xmlns="http://schemas.openxmlformats.org/package/2006/relationships"><Relationship Type="http://schemas.openxmlformats.org/officeDocument/2006/relationships/hyperlink" Target="#'00_DAFTAR_ISI'!A1" TargetMode="External" Id="rId1"/><Relationship Type="http://schemas.openxmlformats.org/officeDocument/2006/relationships/hyperlink" Target="#'99_KUNCI_JAWABAN'!A1" TargetMode="External" Id="rId2"/></Relationships>
</file>

<file path=xl/worksheets/_rels/sheet8.xml.rels><Relationships xmlns="http://schemas.openxmlformats.org/package/2006/relationships"><Relationship Type="http://schemas.openxmlformats.org/officeDocument/2006/relationships/hyperlink" Target="#'00_DAFTAR_ISI'!A1" TargetMode="External" Id="rId1"/><Relationship Type="http://schemas.openxmlformats.org/officeDocument/2006/relationships/hyperlink" Target="#'99_KUNCI_JAWABAN'!A1" TargetMode="External" Id="rId2"/></Relationships>
</file>

<file path=xl/worksheets/_rels/sheet9.xml.rels><Relationships xmlns="http://schemas.openxmlformats.org/package/2006/relationships"><Relationship Type="http://schemas.openxmlformats.org/officeDocument/2006/relationships/hyperlink" Target="#'00_DAFTAR_ISI'!A1" TargetMode="External" Id="rId1"/><Relationship Type="http://schemas.openxmlformats.org/officeDocument/2006/relationships/hyperlink" Target="#'99_KUNCI_JAWABAN'!A1" TargetMode="External" Id="rId2"/></Relationships>
</file>

<file path=xl/worksheets/_rels/sheet10.xml.rels><Relationships xmlns="http://schemas.openxmlformats.org/package/2006/relationships"><Relationship Type="http://schemas.openxmlformats.org/officeDocument/2006/relationships/hyperlink" Target="#'00_DAFTAR_ISI'!A1" TargetMode="External" Id="rId1"/><Relationship Type="http://schemas.openxmlformats.org/officeDocument/2006/relationships/hyperlink" Target="#'99_KUNCI_JAWABAN'!A1" TargetMode="External" Id="rId2"/></Relationships>
</file>

<file path=xl/worksheets/_rels/sheet11.xml.rels><Relationships xmlns="http://schemas.openxmlformats.org/package/2006/relationships"><Relationship Type="http://schemas.openxmlformats.org/officeDocument/2006/relationships/hyperlink" Target="#'00_DAFTAR_ISI'!A1" TargetMode="External" Id="rId1"/><Relationship Type="http://schemas.openxmlformats.org/officeDocument/2006/relationships/hyperlink" Target="#'99_KUNCI_JAWABAN'!A1" TargetMode="External" Id="rId2"/></Relationships>
</file>

<file path=xl/worksheets/_rels/sheet12.xml.rels><Relationships xmlns="http://schemas.openxmlformats.org/package/2006/relationships"><Relationship Type="http://schemas.openxmlformats.org/officeDocument/2006/relationships/hyperlink" Target="#'00_DAFTAR_ISI'!A1" TargetMode="External" Id="rId1"/><Relationship Type="http://schemas.openxmlformats.org/officeDocument/2006/relationships/hyperlink" Target="#'99_KUNCI_JAWABAN'!A1" TargetMode="External" Id="rId2"/></Relationships>
</file>

<file path=xl/worksheets/_rels/sheet13.xml.rels><Relationships xmlns="http://schemas.openxmlformats.org/package/2006/relationships"><Relationship Type="http://schemas.openxmlformats.org/officeDocument/2006/relationships/hyperlink" Target="#'00_DAFTAR_ISI'!A1" TargetMode="External" Id="rId1"/><Relationship Type="http://schemas.openxmlformats.org/officeDocument/2006/relationships/hyperlink" Target="#'99_KUNCI_JAWABAN'!A1" TargetMode="External" Id="rId2"/></Relationships>
</file>

<file path=xl/worksheets/_rels/sheet14.xml.rels><Relationships xmlns="http://schemas.openxmlformats.org/package/2006/relationships"><Relationship Type="http://schemas.openxmlformats.org/officeDocument/2006/relationships/hyperlink" Target="#'00_DAFTAR_ISI'!A1" TargetMode="External" Id="rId1"/><Relationship Type="http://schemas.openxmlformats.org/officeDocument/2006/relationships/hyperlink" Target="#'99_KUNCI_JAWABAN'!A1" TargetMode="External" Id="rId2"/></Relationships>
</file>

<file path=xl/worksheets/_rels/sheet15.xml.rels><Relationships xmlns="http://schemas.openxmlformats.org/package/2006/relationships"><Relationship Type="http://schemas.openxmlformats.org/officeDocument/2006/relationships/hyperlink" Target="#'00_DAFTAR_ISI'!A1" TargetMode="External" Id="rId1"/><Relationship Type="http://schemas.openxmlformats.org/officeDocument/2006/relationships/hyperlink" Target="#'99_KUNCI_JAWABAN'!A1" TargetMode="External" Id="rId2"/></Relationships>
</file>

<file path=xl/worksheets/_rels/sheet16.xml.rels><Relationships xmlns="http://schemas.openxmlformats.org/package/2006/relationships"><Relationship Type="http://schemas.openxmlformats.org/officeDocument/2006/relationships/hyperlink" Target="#'00_DAFTAR_ISI'!A1" TargetMode="External" Id="rId1"/><Relationship Type="http://schemas.openxmlformats.org/officeDocument/2006/relationships/hyperlink" Target="#'99_KUNCI_JAWABAN'!A1" TargetMode="External" Id="rId2"/></Relationships>
</file>

<file path=xl/worksheets/_rels/sheet17.xml.rels><Relationships xmlns="http://schemas.openxmlformats.org/package/2006/relationships"><Relationship Type="http://schemas.openxmlformats.org/officeDocument/2006/relationships/hyperlink" Target="#'00_DAFTAR_ISI'!A1" TargetMode="External" Id="rId1"/><Relationship Type="http://schemas.openxmlformats.org/officeDocument/2006/relationships/hyperlink" Target="#'99_KUNCI_JAWABAN'!A1" TargetMode="External" Id="rId2"/></Relationships>
</file>

<file path=xl/worksheets/_rels/sheet18.xml.rels><Relationships xmlns="http://schemas.openxmlformats.org/package/2006/relationships"><Relationship Type="http://schemas.openxmlformats.org/officeDocument/2006/relationships/hyperlink" Target="#'00_DAFTAR_ISI'!A1" TargetMode="External" Id="rId1"/><Relationship Type="http://schemas.openxmlformats.org/officeDocument/2006/relationships/hyperlink" Target="#'99_KUNCI_JAWABAN'!A1" TargetMode="External" Id="rId2"/></Relationships>
</file>

<file path=xl/worksheets/_rels/sheet19.xml.rels><Relationships xmlns="http://schemas.openxmlformats.org/package/2006/relationships"><Relationship Type="http://schemas.openxmlformats.org/officeDocument/2006/relationships/hyperlink" Target="#'00_DAFTAR_ISI'!A1" TargetMode="External" Id="rId1"/><Relationship Type="http://schemas.openxmlformats.org/officeDocument/2006/relationships/hyperlink" Target="#'99_KUNCI_JAWABAN'!A1" TargetMode="External" Id="rId2"/></Relationships>
</file>

<file path=xl/worksheets/_rels/sheet20.xml.rels><Relationships xmlns="http://schemas.openxmlformats.org/package/2006/relationships"><Relationship Type="http://schemas.openxmlformats.org/officeDocument/2006/relationships/hyperlink" Target="#'00_DAFTAR_ISI'!A1" TargetMode="External" Id="rId1"/><Relationship Type="http://schemas.openxmlformats.org/officeDocument/2006/relationships/hyperlink" Target="#'99_KUNCI_JAWABAN'!A1" TargetMode="External" Id="rId2"/></Relationships>
</file>

<file path=xl/worksheets/_rels/sheet21.xml.rels><Relationships xmlns="http://schemas.openxmlformats.org/package/2006/relationships"><Relationship Type="http://schemas.openxmlformats.org/officeDocument/2006/relationships/hyperlink" Target="#'00_DAFTAR_ISI'!A1" TargetMode="External" Id="rId1"/><Relationship Type="http://schemas.openxmlformats.org/officeDocument/2006/relationships/hyperlink" Target="#'99_KUNCI_JAWABAN'!A1" TargetMode="External" Id="rId2"/></Relationships>
</file>

<file path=xl/worksheets/_rels/sheet22.xml.rels><Relationships xmlns="http://schemas.openxmlformats.org/package/2006/relationships"><Relationship Type="http://schemas.openxmlformats.org/officeDocument/2006/relationships/hyperlink" Target="#'00_DAFTAR_ISI'!A1" TargetMode="External" Id="rId1"/><Relationship Type="http://schemas.openxmlformats.org/officeDocument/2006/relationships/hyperlink" Target="#'99_KUNCI_JAWABAN'!A1" TargetMode="External" Id="rId2"/></Relationships>
</file>

<file path=xl/worksheets/_rels/sheet23.xml.rels><Relationships xmlns="http://schemas.openxmlformats.org/package/2006/relationships"><Relationship Type="http://schemas.openxmlformats.org/officeDocument/2006/relationships/hyperlink" Target="#'00_DAFTAR_ISI'!A1" TargetMode="External" Id="rId1"/><Relationship Type="http://schemas.openxmlformats.org/officeDocument/2006/relationships/hyperlink" Target="#'99_KUNCI_JAWABAN'!A1" TargetMode="External" Id="rId2"/></Relationships>
</file>

<file path=xl/worksheets/_rels/sheet24.xml.rels><Relationships xmlns="http://schemas.openxmlformats.org/package/2006/relationships"><Relationship Type="http://schemas.openxmlformats.org/officeDocument/2006/relationships/hyperlink" Target="#'00_DAFTAR_ISI'!A1" TargetMode="External" Id="rId1"/><Relationship Type="http://schemas.openxmlformats.org/officeDocument/2006/relationships/hyperlink" Target="#'99_KUNCI_JAWABAN'!A1" TargetMode="External" Id="rId2"/></Relationships>
</file>

<file path=xl/worksheets/_rels/sheet25.xml.rels><Relationships xmlns="http://schemas.openxmlformats.org/package/2006/relationships"><Relationship Type="http://schemas.openxmlformats.org/officeDocument/2006/relationships/hyperlink" Target="#'00_DAFTAR_ISI'!A1" TargetMode="External" Id="rId1"/><Relationship Type="http://schemas.openxmlformats.org/officeDocument/2006/relationships/hyperlink" Target="#'99_KUNCI_JAWABAN'!A1" TargetMode="External" Id="rId2"/></Relationships>
</file>

<file path=xl/worksheets/_rels/sheet26.xml.rels><Relationships xmlns="http://schemas.openxmlformats.org/package/2006/relationships"><Relationship Type="http://schemas.openxmlformats.org/officeDocument/2006/relationships/hyperlink" Target="#'00_DAFTAR_ISI'!A1" TargetMode="External" Id="rId1"/><Relationship Type="http://schemas.openxmlformats.org/officeDocument/2006/relationships/hyperlink" Target="#'99_KUNCI_JAWABAN'!A1" TargetMode="External" Id="rId2"/></Relationships>
</file>

<file path=xl/worksheets/_rels/sheet27.xml.rels><Relationships xmlns="http://schemas.openxmlformats.org/package/2006/relationships"><Relationship Type="http://schemas.openxmlformats.org/officeDocument/2006/relationships/hyperlink" Target="#'00_DAFTAR_ISI'!A1" TargetMode="External" Id="rId1"/><Relationship Type="http://schemas.openxmlformats.org/officeDocument/2006/relationships/hyperlink" Target="#'99_KUNCI_JAWABAN'!A1" TargetMode="External" Id="rId2"/></Relationships>
</file>

<file path=xl/worksheets/_rels/sheet28.xml.rels><Relationships xmlns="http://schemas.openxmlformats.org/package/2006/relationships"><Relationship Type="http://schemas.openxmlformats.org/officeDocument/2006/relationships/hyperlink" Target="#'00_DAFTAR_ISI'!A1" TargetMode="External" Id="rId1"/><Relationship Type="http://schemas.openxmlformats.org/officeDocument/2006/relationships/hyperlink" Target="#'99_KUNCI_JAWABAN'!A1" TargetMode="External" Id="rId2"/></Relationships>
</file>

<file path=xl/worksheets/_rels/sheet29.xml.rels><Relationships xmlns="http://schemas.openxmlformats.org/package/2006/relationships"><Relationship Type="http://schemas.openxmlformats.org/officeDocument/2006/relationships/hyperlink" Target="#'00_DAFTAR_ISI'!A1" TargetMode="External" Id="rId1"/><Relationship Type="http://schemas.openxmlformats.org/officeDocument/2006/relationships/hyperlink" Target="#'99_KUNCI_JAWABAN'!A1" TargetMode="External" Id="rId2"/></Relationships>
</file>

<file path=xl/worksheets/_rels/sheet30.xml.rels><Relationships xmlns="http://schemas.openxmlformats.org/package/2006/relationships"><Relationship Type="http://schemas.openxmlformats.org/officeDocument/2006/relationships/hyperlink" Target="#'00_DAFTAR_ISI'!A1" TargetMode="External" Id="rId1"/><Relationship Type="http://schemas.openxmlformats.org/officeDocument/2006/relationships/hyperlink" Target="#'99_KUNCI_JAWABAN'!A1" TargetMode="External" Id="rId2"/></Relationships>
</file>

<file path=xl/worksheets/_rels/sheet31.xml.rels><Relationships xmlns="http://schemas.openxmlformats.org/package/2006/relationships"><Relationship Type="http://schemas.openxmlformats.org/officeDocument/2006/relationships/hyperlink" Target="#'00_DAFTAR_ISI'!A1" TargetMode="External" Id="rId1"/><Relationship Type="http://schemas.openxmlformats.org/officeDocument/2006/relationships/hyperlink" Target="#'99_KUNCI_JAWABAN'!A1" TargetMode="External" Id="rId2"/></Relationships>
</file>

<file path=xl/worksheets/_rels/sheet32.xml.rels><Relationships xmlns="http://schemas.openxmlformats.org/package/2006/relationships"><Relationship Type="http://schemas.openxmlformats.org/officeDocument/2006/relationships/hyperlink" Target="#'00_DAFTAR_ISI'!A1" TargetMode="External" Id="rId1"/><Relationship Type="http://schemas.openxmlformats.org/officeDocument/2006/relationships/hyperlink" Target="#'99_KUNCI_JAWABAN'!A1" TargetMode="External" Id="rId2"/></Relationships>
</file>

<file path=xl/worksheets/_rels/sheet33.xml.rels><Relationships xmlns="http://schemas.openxmlformats.org/package/2006/relationships"><Relationship Type="http://schemas.openxmlformats.org/officeDocument/2006/relationships/hyperlink" Target="#'00_DAFTAR_ISI'!A1" TargetMode="External" Id="rId1"/><Relationship Type="http://schemas.openxmlformats.org/officeDocument/2006/relationships/hyperlink" Target="#'99_KUNCI_JAWABAN'!A1" TargetMode="External" Id="rId2"/></Relationships>
</file>

<file path=xl/worksheets/_rels/sheet34.xml.rels><Relationships xmlns="http://schemas.openxmlformats.org/package/2006/relationships"><Relationship Type="http://schemas.openxmlformats.org/officeDocument/2006/relationships/hyperlink" Target="#'00_DAFTAR_ISI'!A1" TargetMode="External" Id="rId1"/><Relationship Type="http://schemas.openxmlformats.org/officeDocument/2006/relationships/hyperlink" Target="#'99_KUNCI_JAWABAN'!A1" TargetMode="External" Id="rId2"/></Relationships>
</file>

<file path=xl/worksheets/_rels/sheet35.xml.rels><Relationships xmlns="http://schemas.openxmlformats.org/package/2006/relationships"><Relationship Type="http://schemas.openxmlformats.org/officeDocument/2006/relationships/hyperlink" Target="#'00_DAFTAR_ISI'!A1" TargetMode="External" Id="rId1"/><Relationship Type="http://schemas.openxmlformats.org/officeDocument/2006/relationships/hyperlink" Target="#'99_KUNCI_JAWABAN'!A1" TargetMode="External" Id="rId2"/></Relationships>
</file>

<file path=xl/worksheets/_rels/sheet36.xml.rels><Relationships xmlns="http://schemas.openxmlformats.org/package/2006/relationships"><Relationship Type="http://schemas.openxmlformats.org/officeDocument/2006/relationships/hyperlink" Target="#'00_DAFTAR_ISI'!A1" TargetMode="External" Id="rId1"/><Relationship Type="http://schemas.openxmlformats.org/officeDocument/2006/relationships/hyperlink" Target="#'99_KUNCI_JAWABAN'!A1" TargetMode="External" Id="rId2"/></Relationships>
</file>

<file path=xl/worksheets/_rels/sheet37.xml.rels><Relationships xmlns="http://schemas.openxmlformats.org/package/2006/relationships"><Relationship Type="http://schemas.openxmlformats.org/officeDocument/2006/relationships/hyperlink" Target="#'00_DAFTAR_ISI'!A1" TargetMode="External" Id="rId1"/><Relationship Type="http://schemas.openxmlformats.org/officeDocument/2006/relationships/hyperlink" Target="#'99_KUNCI_JAWABAN'!A1" TargetMode="External" Id="rId2"/></Relationships>
</file>

<file path=xl/worksheets/_rels/sheet38.xml.rels><Relationships xmlns="http://schemas.openxmlformats.org/package/2006/relationships"><Relationship Type="http://schemas.openxmlformats.org/officeDocument/2006/relationships/hyperlink" Target="#'00_DAFTAR_ISI'!A1" TargetMode="External" Id="rId1"/><Relationship Type="http://schemas.openxmlformats.org/officeDocument/2006/relationships/hyperlink" Target="#'99_KUNCI_JAWABAN'!A1" TargetMode="External" Id="rId2"/></Relationships>
</file>

<file path=xl/worksheets/_rels/sheet39.xml.rels><Relationships xmlns="http://schemas.openxmlformats.org/package/2006/relationships"><Relationship Type="http://schemas.openxmlformats.org/officeDocument/2006/relationships/hyperlink" Target="#'00_DAFTAR_ISI'!A1" TargetMode="External" Id="rId1"/><Relationship Type="http://schemas.openxmlformats.org/officeDocument/2006/relationships/hyperlink" Target="#'99_KUNCI_JAWABAN'!A1" TargetMode="External" Id="rId2"/></Relationships>
</file>

<file path=xl/worksheets/_rels/sheet40.xml.rels><Relationships xmlns="http://schemas.openxmlformats.org/package/2006/relationships"><Relationship Type="http://schemas.openxmlformats.org/officeDocument/2006/relationships/hyperlink" Target="#'00_DAFTAR_ISI'!A1" TargetMode="External" Id="rId1"/><Relationship Type="http://schemas.openxmlformats.org/officeDocument/2006/relationships/hyperlink" Target="#'99_KUNCI_JAWABAN'!A1" TargetMode="External" Id="rId2"/></Relationships>
</file>

<file path=xl/worksheets/_rels/sheet41.xml.rels><Relationships xmlns="http://schemas.openxmlformats.org/package/2006/relationships"><Relationship Type="http://schemas.openxmlformats.org/officeDocument/2006/relationships/hyperlink" Target="#'00_DAFTAR_ISI'!A1" TargetMode="External" Id="rId1"/><Relationship Type="http://schemas.openxmlformats.org/officeDocument/2006/relationships/hyperlink" Target="#'99_KUNCI_JAWABAN'!A1" TargetMode="External" Id="rId2"/></Relationships>
</file>

<file path=xl/worksheets/_rels/sheet42.xml.rels><Relationships xmlns="http://schemas.openxmlformats.org/package/2006/relationships"><Relationship Type="http://schemas.openxmlformats.org/officeDocument/2006/relationships/hyperlink" Target="#'00_DAFTAR_ISI'!A1" TargetMode="External" Id="rId1"/><Relationship Type="http://schemas.openxmlformats.org/officeDocument/2006/relationships/hyperlink" Target="#'99_KUNCI_JAWABAN'!A1" TargetMode="External" Id="rId2"/></Relationships>
</file>

<file path=xl/worksheets/_rels/sheet43.xml.rels><Relationships xmlns="http://schemas.openxmlformats.org/package/2006/relationships"><Relationship Type="http://schemas.openxmlformats.org/officeDocument/2006/relationships/hyperlink" Target="#'00_DAFTAR_ISI'!A1" TargetMode="External" Id="rId1"/><Relationship Type="http://schemas.openxmlformats.org/officeDocument/2006/relationships/hyperlink" Target="#'99_KUNCI_JAWABAN'!A1" TargetMode="External" Id="rId2"/></Relationships>
</file>

<file path=xl/worksheets/_rels/sheet44.xml.rels><Relationships xmlns="http://schemas.openxmlformats.org/package/2006/relationships"><Relationship Type="http://schemas.openxmlformats.org/officeDocument/2006/relationships/hyperlink" Target="#'00_DAFTAR_ISI'!A1" TargetMode="External" Id="rId1"/><Relationship Type="http://schemas.openxmlformats.org/officeDocument/2006/relationships/hyperlink" Target="#'99_KUNCI_JAWABAN'!A1" TargetMode="External" Id="rId2"/></Relationships>
</file>

<file path=xl/worksheets/_rels/sheet45.xml.rels><Relationships xmlns="http://schemas.openxmlformats.org/package/2006/relationships"><Relationship Type="http://schemas.openxmlformats.org/officeDocument/2006/relationships/hyperlink" Target="#'00_DAFTAR_ISI'!A1" TargetMode="External" Id="rId1"/><Relationship Type="http://schemas.openxmlformats.org/officeDocument/2006/relationships/hyperlink" Target="#'99_KUNCI_JAWABAN'!A1" TargetMode="External" Id="rId2"/></Relationships>
</file>

<file path=xl/worksheets/_rels/sheet46.xml.rels><Relationships xmlns="http://schemas.openxmlformats.org/package/2006/relationships"><Relationship Type="http://schemas.openxmlformats.org/officeDocument/2006/relationships/hyperlink" Target="#'00_DAFTAR_ISI'!A1" TargetMode="External" Id="rId1"/><Relationship Type="http://schemas.openxmlformats.org/officeDocument/2006/relationships/hyperlink" Target="#'99_KUNCI_JAWABAN'!A1" TargetMode="External" Id="rId2"/></Relationships>
</file>

<file path=xl/worksheets/_rels/sheet47.xml.rels><Relationships xmlns="http://schemas.openxmlformats.org/package/2006/relationships"><Relationship Type="http://schemas.openxmlformats.org/officeDocument/2006/relationships/hyperlink" Target="#'00_DAFTAR_ISI'!A1" TargetMode="External" Id="rId1"/><Relationship Type="http://schemas.openxmlformats.org/officeDocument/2006/relationships/hyperlink" Target="#'99_KUNCI_JAWABAN'!A1" TargetMode="External" Id="rId2"/></Relationships>
</file>

<file path=xl/worksheets/_rels/sheet48.xml.rels><Relationships xmlns="http://schemas.openxmlformats.org/package/2006/relationships"><Relationship Type="http://schemas.openxmlformats.org/officeDocument/2006/relationships/hyperlink" Target="#'00_DAFTAR_ISI'!A1" TargetMode="External" Id="rId1"/><Relationship Type="http://schemas.openxmlformats.org/officeDocument/2006/relationships/hyperlink" Target="#'99_KUNCI_JAWABAN'!A1" TargetMode="External" Id="rId2"/></Relationships>
</file>

<file path=xl/worksheets/_rels/sheet49.xml.rels><Relationships xmlns="http://schemas.openxmlformats.org/package/2006/relationships"><Relationship Type="http://schemas.openxmlformats.org/officeDocument/2006/relationships/hyperlink" Target="#'00_DAFTAR_ISI'!A1" TargetMode="External" Id="rId1"/><Relationship Type="http://schemas.openxmlformats.org/officeDocument/2006/relationships/hyperlink" Target="#'99_KUNCI_JAWABAN'!A1" TargetMode="External" Id="rId2"/></Relationships>
</file>

<file path=xl/worksheets/_rels/sheet50.xml.rels><Relationships xmlns="http://schemas.openxmlformats.org/package/2006/relationships"><Relationship Type="http://schemas.openxmlformats.org/officeDocument/2006/relationships/hyperlink" Target="#'00_DAFTAR_ISI'!A1" TargetMode="External" Id="rId1"/><Relationship Type="http://schemas.openxmlformats.org/officeDocument/2006/relationships/hyperlink" Target="#'99_KUNCI_JAWABAN'!A1" TargetMode="External" Id="rId2"/></Relationships>
</file>

<file path=xl/worksheets/_rels/sheet51.xml.rels><Relationships xmlns="http://schemas.openxmlformats.org/package/2006/relationships"><Relationship Type="http://schemas.openxmlformats.org/officeDocument/2006/relationships/hyperlink" Target="#'00_DAFTAR_ISI'!A1" TargetMode="External" Id="rId1"/><Relationship Type="http://schemas.openxmlformats.org/officeDocument/2006/relationships/hyperlink" Target="#'99_KUNCI_JAWABAN'!A1" TargetMode="External" Id="rId2"/></Relationships>
</file>

<file path=xl/worksheets/_rels/sheet52.xml.rels><Relationships xmlns="http://schemas.openxmlformats.org/package/2006/relationships"><Relationship Type="http://schemas.openxmlformats.org/officeDocument/2006/relationships/hyperlink" Target="#'00_DAFTAR_ISI'!A1" TargetMode="External" Id="rId1"/><Relationship Type="http://schemas.openxmlformats.org/officeDocument/2006/relationships/hyperlink" Target="#'99_KUNCI_JAWABAN'!A1" TargetMode="External" Id="rId2"/></Relationships>
</file>

<file path=xl/worksheets/_rels/sheet53.xml.rels><Relationships xmlns="http://schemas.openxmlformats.org/package/2006/relationships"><Relationship Type="http://schemas.openxmlformats.org/officeDocument/2006/relationships/hyperlink" Target="#'00_DAFTAR_ISI'!A1" TargetMode="External" Id="rId1"/><Relationship Type="http://schemas.openxmlformats.org/officeDocument/2006/relationships/hyperlink" Target="#'99_KUNCI_JAWABAN'!A1" TargetMode="External" Id="rId2"/></Relationships>
</file>

<file path=xl/worksheets/_rels/sheet54.xml.rels><Relationships xmlns="http://schemas.openxmlformats.org/package/2006/relationships"><Relationship Type="http://schemas.openxmlformats.org/officeDocument/2006/relationships/hyperlink" Target="#'00_DAFTAR_ISI'!A1" TargetMode="External" Id="rId1"/><Relationship Type="http://schemas.openxmlformats.org/officeDocument/2006/relationships/hyperlink" Target="#'99_KUNCI_JAWABAN'!A1" TargetMode="External" Id="rId2"/></Relationships>
</file>

<file path=xl/worksheets/_rels/sheet55.xml.rels><Relationships xmlns="http://schemas.openxmlformats.org/package/2006/relationships"><Relationship Type="http://schemas.openxmlformats.org/officeDocument/2006/relationships/hyperlink" Target="#'00_DAFTAR_ISI'!A1" TargetMode="External" Id="rId1"/><Relationship Type="http://schemas.openxmlformats.org/officeDocument/2006/relationships/hyperlink" Target="#'99_KUNCI_JAWABAN'!A1" TargetMode="External" Id="rId2"/></Relationships>
</file>

<file path=xl/worksheets/_rels/sheet56.xml.rels><Relationships xmlns="http://schemas.openxmlformats.org/package/2006/relationships"><Relationship Type="http://schemas.openxmlformats.org/officeDocument/2006/relationships/hyperlink" Target="#'00_DAFTAR_ISI'!A1" TargetMode="External" Id="rId1"/><Relationship Type="http://schemas.openxmlformats.org/officeDocument/2006/relationships/hyperlink" Target="#'99_KUNCI_JAWABAN'!A1" TargetMode="External" Id="rId2"/></Relationships>
</file>

<file path=xl/worksheets/_rels/sheet57.xml.rels><Relationships xmlns="http://schemas.openxmlformats.org/package/2006/relationships"><Relationship Type="http://schemas.openxmlformats.org/officeDocument/2006/relationships/hyperlink" Target="#'00_DAFTAR_ISI'!A1" TargetMode="External" Id="rId1"/><Relationship Type="http://schemas.openxmlformats.org/officeDocument/2006/relationships/hyperlink" Target="#'99_KUNCI_JAWABAN'!A1" TargetMode="External" Id="rId2"/></Relationships>
</file>

<file path=xl/worksheets/_rels/sheet58.xml.rels><Relationships xmlns="http://schemas.openxmlformats.org/package/2006/relationships"><Relationship Type="http://schemas.openxmlformats.org/officeDocument/2006/relationships/hyperlink" Target="#'00_DAFTAR_ISI'!A1" TargetMode="External" Id="rId1"/><Relationship Type="http://schemas.openxmlformats.org/officeDocument/2006/relationships/hyperlink" Target="#'99_KUNCI_JAWABAN'!A1" TargetMode="External" Id="rId2"/></Relationships>
</file>

<file path=xl/worksheets/_rels/sheet59.xml.rels><Relationships xmlns="http://schemas.openxmlformats.org/package/2006/relationships"><Relationship Type="http://schemas.openxmlformats.org/officeDocument/2006/relationships/hyperlink" Target="#'00_DAFTAR_ISI'!A1" TargetMode="External" Id="rId1"/><Relationship Type="http://schemas.openxmlformats.org/officeDocument/2006/relationships/hyperlink" Target="#'99_KUNCI_JAWABAN'!A1" TargetMode="External" Id="rId2"/></Relationships>
</file>

<file path=xl/worksheets/_rels/sheet60.xml.rels><Relationships xmlns="http://schemas.openxmlformats.org/package/2006/relationships"><Relationship Type="http://schemas.openxmlformats.org/officeDocument/2006/relationships/hyperlink" Target="#'00_DAFTAR_ISI'!A1" TargetMode="External" Id="rId1"/><Relationship Type="http://schemas.openxmlformats.org/officeDocument/2006/relationships/hyperlink" Target="#'99_KUNCI_JAWABAN'!A1" TargetMode="External" Id="rId2"/></Relationships>
</file>

<file path=xl/worksheets/_rels/sheet61.xml.rels><Relationships xmlns="http://schemas.openxmlformats.org/package/2006/relationships"><Relationship Type="http://schemas.openxmlformats.org/officeDocument/2006/relationships/hyperlink" Target="#'00_DAFTAR_ISI'!A1" TargetMode="External" Id="rId1"/><Relationship Type="http://schemas.openxmlformats.org/officeDocument/2006/relationships/hyperlink" Target="#'99_KUNCI_JAWABAN'!A1" TargetMode="External" Id="rId2"/></Relationships>
</file>

<file path=xl/worksheets/_rels/sheet62.xml.rels><Relationships xmlns="http://schemas.openxmlformats.org/package/2006/relationships"><Relationship Type="http://schemas.openxmlformats.org/officeDocument/2006/relationships/hyperlink" Target="#'00_DAFTAR_ISI'!A1" TargetMode="External" Id="rId1"/><Relationship Type="http://schemas.openxmlformats.org/officeDocument/2006/relationships/hyperlink" Target="#'99_KUNCI_JAWABAN'!A1" TargetMode="External" Id="rId2"/></Relationships>
</file>

<file path=xl/worksheets/_rels/sheet63.xml.rels><Relationships xmlns="http://schemas.openxmlformats.org/package/2006/relationships"><Relationship Type="http://schemas.openxmlformats.org/officeDocument/2006/relationships/hyperlink" Target="#'00_DAFTAR_ISI'!A1" TargetMode="External" Id="rId1"/><Relationship Type="http://schemas.openxmlformats.org/officeDocument/2006/relationships/hyperlink" Target="#'99_KUNCI_JAWABAN'!A1" TargetMode="External" Id="rId2"/></Relationships>
</file>

<file path=xl/worksheets/_rels/sheet64.xml.rels><Relationships xmlns="http://schemas.openxmlformats.org/package/2006/relationships"><Relationship Type="http://schemas.openxmlformats.org/officeDocument/2006/relationships/hyperlink" Target="#'00_DAFTAR_ISI'!A1" TargetMode="External" Id="rId1"/><Relationship Type="http://schemas.openxmlformats.org/officeDocument/2006/relationships/hyperlink" Target="#'99_KUNCI_JAWABAN'!A1" TargetMode="External" Id="rId2"/></Relationships>
</file>

<file path=xl/worksheets/_rels/sheet65.xml.rels><Relationships xmlns="http://schemas.openxmlformats.org/package/2006/relationships"><Relationship Type="http://schemas.openxmlformats.org/officeDocument/2006/relationships/hyperlink" Target="#'00_DAFTAR_ISI'!A1" TargetMode="External" Id="rId1"/><Relationship Type="http://schemas.openxmlformats.org/officeDocument/2006/relationships/hyperlink" Target="#'99_KUNCI_JAWABAN'!A1" TargetMode="External" Id="rId2"/></Relationships>
</file>

<file path=xl/worksheets/_rels/sheet66.xml.rels><Relationships xmlns="http://schemas.openxmlformats.org/package/2006/relationships"><Relationship Type="http://schemas.openxmlformats.org/officeDocument/2006/relationships/hyperlink" Target="#'00_DAFTAR_ISI'!A1" TargetMode="External" Id="rId1"/><Relationship Type="http://schemas.openxmlformats.org/officeDocument/2006/relationships/hyperlink" Target="#'99_KUNCI_JAWABAN'!A1" TargetMode="External" Id="rId2"/></Relationships>
</file>

<file path=xl/worksheets/_rels/sheet67.xml.rels><Relationships xmlns="http://schemas.openxmlformats.org/package/2006/relationships"><Relationship Type="http://schemas.openxmlformats.org/officeDocument/2006/relationships/hyperlink" Target="#'00_DAFTAR_ISI'!A1" TargetMode="External" Id="rId1"/><Relationship Type="http://schemas.openxmlformats.org/officeDocument/2006/relationships/hyperlink" Target="#'99_KUNCI_JAWABAN'!A1" TargetMode="External" Id="rId2"/></Relationships>
</file>

<file path=xl/worksheets/_rels/sheet68.xml.rels><Relationships xmlns="http://schemas.openxmlformats.org/package/2006/relationships"><Relationship Type="http://schemas.openxmlformats.org/officeDocument/2006/relationships/hyperlink" Target="#'00_DAFTAR_ISI'!A1" TargetMode="External" Id="rId1"/><Relationship Type="http://schemas.openxmlformats.org/officeDocument/2006/relationships/hyperlink" Target="#'99_KUNCI_JAWABAN'!A1" TargetMode="External" Id="rId2"/></Relationships>
</file>

<file path=xl/worksheets/_rels/sheet69.xml.rels><Relationships xmlns="http://schemas.openxmlformats.org/package/2006/relationships"><Relationship Type="http://schemas.openxmlformats.org/officeDocument/2006/relationships/hyperlink" Target="#'00_DAFTAR_ISI'!A1" TargetMode="External" Id="rId1"/><Relationship Type="http://schemas.openxmlformats.org/officeDocument/2006/relationships/hyperlink" Target="#'99_KUNCI_JAWABAN'!A1" TargetMode="External" Id="rId2"/></Relationships>
</file>

<file path=xl/worksheets/_rels/sheet70.xml.rels><Relationships xmlns="http://schemas.openxmlformats.org/package/2006/relationships"><Relationship Type="http://schemas.openxmlformats.org/officeDocument/2006/relationships/hyperlink" Target="#'00_DAFTAR_ISI'!A1" TargetMode="External" Id="rId1"/><Relationship Type="http://schemas.openxmlformats.org/officeDocument/2006/relationships/hyperlink" Target="#'99_KUNCI_JAWABAN'!A1" TargetMode="External" Id="rId2"/></Relationships>
</file>

<file path=xl/worksheets/_rels/sheet71.xml.rels><Relationships xmlns="http://schemas.openxmlformats.org/package/2006/relationships"><Relationship Type="http://schemas.openxmlformats.org/officeDocument/2006/relationships/hyperlink" Target="#'00_DAFTAR_ISI'!A1" TargetMode="External" Id="rId1"/><Relationship Type="http://schemas.openxmlformats.org/officeDocument/2006/relationships/hyperlink" Target="#'99_KUNCI_JAWABAN'!A1" TargetMode="External" Id="rId2"/></Relationships>
</file>

<file path=xl/worksheets/_rels/sheet72.xml.rels><Relationships xmlns="http://schemas.openxmlformats.org/package/2006/relationships"><Relationship Type="http://schemas.openxmlformats.org/officeDocument/2006/relationships/hyperlink" Target="#'00_DAFTAR_ISI'!A1" TargetMode="External" Id="rId1"/><Relationship Type="http://schemas.openxmlformats.org/officeDocument/2006/relationships/hyperlink" Target="#'99_KUNCI_JAWABAN'!A1" TargetMode="External" Id="rId2"/></Relationships>
</file>

<file path=xl/worksheets/_rels/sheet73.xml.rels><Relationships xmlns="http://schemas.openxmlformats.org/package/2006/relationships"><Relationship Type="http://schemas.openxmlformats.org/officeDocument/2006/relationships/hyperlink" Target="#'00_DAFTAR_ISI'!A1" TargetMode="External" Id="rId1"/><Relationship Type="http://schemas.openxmlformats.org/officeDocument/2006/relationships/hyperlink" Target="#'99_KUNCI_JAWABAN'!A1" TargetMode="External" Id="rId2"/></Relationships>
</file>

<file path=xl/worksheets/_rels/sheet74.xml.rels><Relationships xmlns="http://schemas.openxmlformats.org/package/2006/relationships"><Relationship Type="http://schemas.openxmlformats.org/officeDocument/2006/relationships/hyperlink" Target="#'00_DAFTAR_ISI'!A1" TargetMode="External" Id="rId1"/><Relationship Type="http://schemas.openxmlformats.org/officeDocument/2006/relationships/hyperlink" Target="#'99_KUNCI_JAWABAN'!A1" TargetMode="External" Id="rId2"/></Relationships>
</file>

<file path=xl/worksheets/_rels/sheet75.xml.rels><Relationships xmlns="http://schemas.openxmlformats.org/package/2006/relationships"><Relationship Type="http://schemas.openxmlformats.org/officeDocument/2006/relationships/hyperlink" Target="#'00_DAFTAR_ISI'!A1" TargetMode="External" Id="rId1"/><Relationship Type="http://schemas.openxmlformats.org/officeDocument/2006/relationships/hyperlink" Target="#'99_KUNCI_JAWABAN'!A1" TargetMode="External" Id="rId2"/></Relationships>
</file>

<file path=xl/worksheets/_rels/sheet76.xml.rels><Relationships xmlns="http://schemas.openxmlformats.org/package/2006/relationships"><Relationship Type="http://schemas.openxmlformats.org/officeDocument/2006/relationships/hyperlink" Target="#'00_DAFTAR_ISI'!A1" TargetMode="External" Id="rId1"/><Relationship Type="http://schemas.openxmlformats.org/officeDocument/2006/relationships/hyperlink" Target="#'99_KUNCI_JAWABAN'!A1" TargetMode="External" Id="rId2"/></Relationships>
</file>

<file path=xl/worksheets/_rels/sheet77.xml.rels><Relationships xmlns="http://schemas.openxmlformats.org/package/2006/relationships"><Relationship Type="http://schemas.openxmlformats.org/officeDocument/2006/relationships/hyperlink" Target="#'00_DAFTAR_ISI'!A1" TargetMode="External" Id="rId1"/><Relationship Type="http://schemas.openxmlformats.org/officeDocument/2006/relationships/hyperlink" Target="#'99_KUNCI_JAWABAN'!A1" TargetMode="External" Id="rId2"/></Relationships>
</file>

<file path=xl/worksheets/_rels/sheet78.xml.rels><Relationships xmlns="http://schemas.openxmlformats.org/package/2006/relationships"><Relationship Type="http://schemas.openxmlformats.org/officeDocument/2006/relationships/hyperlink" Target="#'00_DAFTAR_ISI'!A1" TargetMode="External" Id="rId1"/><Relationship Type="http://schemas.openxmlformats.org/officeDocument/2006/relationships/hyperlink" Target="#'99_KUNCI_JAWABAN'!A1" TargetMode="External" Id="rId2"/></Relationships>
</file>

<file path=xl/worksheets/_rels/sheet79.xml.rels><Relationships xmlns="http://schemas.openxmlformats.org/package/2006/relationships"><Relationship Type="http://schemas.openxmlformats.org/officeDocument/2006/relationships/hyperlink" Target="#'00_DAFTAR_ISI'!A1" TargetMode="External" Id="rId1"/><Relationship Type="http://schemas.openxmlformats.org/officeDocument/2006/relationships/hyperlink" Target="#'99_KUNCI_JAWABAN'!A1" TargetMode="External" Id="rId2"/></Relationships>
</file>

<file path=xl/worksheets/_rels/sheet80.xml.rels><Relationships xmlns="http://schemas.openxmlformats.org/package/2006/relationships"><Relationship Type="http://schemas.openxmlformats.org/officeDocument/2006/relationships/hyperlink" Target="#'00_DAFTAR_ISI'!A1" TargetMode="External" Id="rId1"/><Relationship Type="http://schemas.openxmlformats.org/officeDocument/2006/relationships/hyperlink" Target="#'99_KUNCI_JAWABAN'!A1" TargetMode="External" Id="rId2"/></Relationships>
</file>

<file path=xl/worksheets/_rels/sheet81.xml.rels><Relationships xmlns="http://schemas.openxmlformats.org/package/2006/relationships"><Relationship Type="http://schemas.openxmlformats.org/officeDocument/2006/relationships/hyperlink" Target="#'00_DAFTAR_ISI'!A1" TargetMode="External" Id="rId1"/><Relationship Type="http://schemas.openxmlformats.org/officeDocument/2006/relationships/hyperlink" Target="#'99_KUNCI_JAWABAN'!A1" TargetMode="External" Id="rId2"/></Relationships>
</file>

<file path=xl/worksheets/_rels/sheet82.xml.rels><Relationships xmlns="http://schemas.openxmlformats.org/package/2006/relationships"><Relationship Type="http://schemas.openxmlformats.org/officeDocument/2006/relationships/hyperlink" Target="#'00_DAFTAR_ISI'!A1" TargetMode="External" Id="rId1"/><Relationship Type="http://schemas.openxmlformats.org/officeDocument/2006/relationships/hyperlink" Target="#'99_KUNCI_JAWABAN'!A1" TargetMode="External" Id="rId2"/></Relationships>
</file>

<file path=xl/worksheets/_rels/sheet83.xml.rels><Relationships xmlns="http://schemas.openxmlformats.org/package/2006/relationships"><Relationship Type="http://schemas.openxmlformats.org/officeDocument/2006/relationships/hyperlink" Target="#'00_DAFTAR_ISI'!A1" TargetMode="External" Id="rId1"/><Relationship Type="http://schemas.openxmlformats.org/officeDocument/2006/relationships/hyperlink" Target="#'99_KUNCI_JAWABAN'!A1" TargetMode="External" Id="rId2"/></Relationships>
</file>

<file path=xl/worksheets/_rels/sheet84.xml.rels><Relationships xmlns="http://schemas.openxmlformats.org/package/2006/relationships"><Relationship Type="http://schemas.openxmlformats.org/officeDocument/2006/relationships/hyperlink" Target="#'00_DAFTAR_ISI'!A1" TargetMode="External" Id="rId1"/><Relationship Type="http://schemas.openxmlformats.org/officeDocument/2006/relationships/hyperlink" Target="#'99_KUNCI_JAWABAN'!A1" TargetMode="External" Id="rId2"/></Relationships>
</file>

<file path=xl/worksheets/_rels/sheet85.xml.rels><Relationships xmlns="http://schemas.openxmlformats.org/package/2006/relationships"><Relationship Type="http://schemas.openxmlformats.org/officeDocument/2006/relationships/hyperlink" Target="#'00_DAFTAR_ISI'!A1" TargetMode="External" Id="rId1"/><Relationship Type="http://schemas.openxmlformats.org/officeDocument/2006/relationships/hyperlink" Target="#'99_KUNCI_JAWABAN'!A1" TargetMode="External" Id="rId2"/></Relationships>
</file>

<file path=xl/worksheets/_rels/sheet86.xml.rels><Relationships xmlns="http://schemas.openxmlformats.org/package/2006/relationships"><Relationship Type="http://schemas.openxmlformats.org/officeDocument/2006/relationships/hyperlink" Target="#'00_DAFTAR_ISI'!A1" TargetMode="External" Id="rId1"/><Relationship Type="http://schemas.openxmlformats.org/officeDocument/2006/relationships/hyperlink" Target="#'99_KUNCI_JAWABAN'!A1" TargetMode="External" Id="rId2"/></Relationships>
</file>

<file path=xl/worksheets/_rels/sheet87.xml.rels><Relationships xmlns="http://schemas.openxmlformats.org/package/2006/relationships"><Relationship Type="http://schemas.openxmlformats.org/officeDocument/2006/relationships/hyperlink" Target="#'00_DAFTAR_ISI'!A1" TargetMode="External" Id="rId1"/><Relationship Type="http://schemas.openxmlformats.org/officeDocument/2006/relationships/hyperlink" Target="#'99_KUNCI_JAWABAN'!A1" TargetMode="External" Id="rId2"/></Relationships>
</file>

<file path=xl/worksheets/_rels/sheet88.xml.rels><Relationships xmlns="http://schemas.openxmlformats.org/package/2006/relationships"><Relationship Type="http://schemas.openxmlformats.org/officeDocument/2006/relationships/hyperlink" Target="#'00_DAFTAR_ISI'!A1" TargetMode="External" Id="rId1"/><Relationship Type="http://schemas.openxmlformats.org/officeDocument/2006/relationships/hyperlink" Target="#'99_KUNCI_JAWABAN'!A1" TargetMode="External" Id="rId2"/></Relationships>
</file>

<file path=xl/worksheets/_rels/sheet89.xml.rels><Relationships xmlns="http://schemas.openxmlformats.org/package/2006/relationships"><Relationship Type="http://schemas.openxmlformats.org/officeDocument/2006/relationships/hyperlink" Target="#'00_DAFTAR_ISI'!A1" TargetMode="External" Id="rId1"/><Relationship Type="http://schemas.openxmlformats.org/officeDocument/2006/relationships/hyperlink" Target="#'99_KUNCI_JAWABAN'!A1" TargetMode="External" Id="rId2"/></Relationships>
</file>

<file path=xl/worksheets/_rels/sheet90.xml.rels><Relationships xmlns="http://schemas.openxmlformats.org/package/2006/relationships"><Relationship Type="http://schemas.openxmlformats.org/officeDocument/2006/relationships/hyperlink" Target="#'00_DAFTAR_ISI'!A1" TargetMode="External" Id="rId1"/><Relationship Type="http://schemas.openxmlformats.org/officeDocument/2006/relationships/hyperlink" Target="#'99_KUNCI_JAWABAN'!A1" TargetMode="External" Id="rId2"/></Relationships>
</file>

<file path=xl/worksheets/_rels/sheet91.xml.rels><Relationships xmlns="http://schemas.openxmlformats.org/package/2006/relationships"><Relationship Type="http://schemas.openxmlformats.org/officeDocument/2006/relationships/hyperlink" Target="#'00_DAFTAR_ISI'!A1" TargetMode="External" Id="rId1"/><Relationship Type="http://schemas.openxmlformats.org/officeDocument/2006/relationships/hyperlink" Target="#'99_KUNCI_JAWABAN'!A1" TargetMode="External" Id="rId2"/></Relationships>
</file>

<file path=xl/worksheets/_rels/sheet92.xml.rels><Relationships xmlns="http://schemas.openxmlformats.org/package/2006/relationships"><Relationship Type="http://schemas.openxmlformats.org/officeDocument/2006/relationships/hyperlink" Target="#'00_DAFTAR_ISI'!A1" TargetMode="External" Id="rId1"/><Relationship Type="http://schemas.openxmlformats.org/officeDocument/2006/relationships/hyperlink" Target="#'99_KUNCI_JAWABAN'!A1" TargetMode="External" Id="rId2"/></Relationships>
</file>

<file path=xl/worksheets/_rels/sheet93.xml.rels><Relationships xmlns="http://schemas.openxmlformats.org/package/2006/relationships"><Relationship Type="http://schemas.openxmlformats.org/officeDocument/2006/relationships/hyperlink" Target="#'00_DAFTAR_ISI'!A1" TargetMode="External" Id="rId1"/><Relationship Type="http://schemas.openxmlformats.org/officeDocument/2006/relationships/hyperlink" Target="#'99_KUNCI_JAWABAN'!A1" TargetMode="External" Id="rId2"/></Relationships>
</file>

<file path=xl/worksheets/_rels/sheet94.xml.rels><Relationships xmlns="http://schemas.openxmlformats.org/package/2006/relationships"><Relationship Type="http://schemas.openxmlformats.org/officeDocument/2006/relationships/hyperlink" Target="#'00_DAFTAR_ISI'!A1" TargetMode="External" Id="rId1"/><Relationship Type="http://schemas.openxmlformats.org/officeDocument/2006/relationships/hyperlink" Target="#'99_KUNCI_JAWABAN'!A1" TargetMode="External" Id="rId2"/></Relationships>
</file>

<file path=xl/worksheets/_rels/sheet95.xml.rels><Relationships xmlns="http://schemas.openxmlformats.org/package/2006/relationships"><Relationship Type="http://schemas.openxmlformats.org/officeDocument/2006/relationships/hyperlink" Target="#'00_DAFTAR_ISI'!A1" TargetMode="External" Id="rId1"/><Relationship Type="http://schemas.openxmlformats.org/officeDocument/2006/relationships/hyperlink" Target="#'99_KUNCI_JAWABAN'!A1" TargetMode="External" Id="rId2"/></Relationships>
</file>

<file path=xl/worksheets/_rels/sheet96.xml.rels><Relationships xmlns="http://schemas.openxmlformats.org/package/2006/relationships"><Relationship Type="http://schemas.openxmlformats.org/officeDocument/2006/relationships/hyperlink" Target="#'00_DAFTAR_ISI'!A1" TargetMode="External" Id="rId1"/><Relationship Type="http://schemas.openxmlformats.org/officeDocument/2006/relationships/hyperlink" Target="#'99_KUNCI_JAWABAN'!A1" TargetMode="External" Id="rId2"/></Relationships>
</file>

<file path=xl/worksheets/_rels/sheet97.xml.rels><Relationships xmlns="http://schemas.openxmlformats.org/package/2006/relationships"><Relationship Type="http://schemas.openxmlformats.org/officeDocument/2006/relationships/hyperlink" Target="#'00_DAFTAR_ISI'!A1" TargetMode="External" Id="rId1"/><Relationship Type="http://schemas.openxmlformats.org/officeDocument/2006/relationships/hyperlink" Target="#'AVEDEV'!E22" TargetMode="External" Id="rId2"/><Relationship Type="http://schemas.openxmlformats.org/officeDocument/2006/relationships/hyperlink" Target="#'AVEDEV'!E30" TargetMode="External" Id="rId3"/><Relationship Type="http://schemas.openxmlformats.org/officeDocument/2006/relationships/hyperlink" Target="#'AVEDEV'!E38" TargetMode="External" Id="rId4"/><Relationship Type="http://schemas.openxmlformats.org/officeDocument/2006/relationships/hyperlink" Target="#'AVEDEV'!E46" TargetMode="External" Id="rId5"/><Relationship Type="http://schemas.openxmlformats.org/officeDocument/2006/relationships/hyperlink" Target="#'AVEDEV'!E54" TargetMode="External" Id="rId6"/><Relationship Type="http://schemas.openxmlformats.org/officeDocument/2006/relationships/hyperlink" Target="#'AVERAGE'!E22" TargetMode="External" Id="rId7"/><Relationship Type="http://schemas.openxmlformats.org/officeDocument/2006/relationships/hyperlink" Target="#'AVERAGE'!E30" TargetMode="External" Id="rId8"/><Relationship Type="http://schemas.openxmlformats.org/officeDocument/2006/relationships/hyperlink" Target="#'AVERAGE'!E38" TargetMode="External" Id="rId9"/><Relationship Type="http://schemas.openxmlformats.org/officeDocument/2006/relationships/hyperlink" Target="#'AVERAGE'!E46" TargetMode="External" Id="rId10"/><Relationship Type="http://schemas.openxmlformats.org/officeDocument/2006/relationships/hyperlink" Target="#'AVERAGE'!E54" TargetMode="External" Id="rId11"/><Relationship Type="http://schemas.openxmlformats.org/officeDocument/2006/relationships/hyperlink" Target="#'AVERAGEA'!E22" TargetMode="External" Id="rId12"/><Relationship Type="http://schemas.openxmlformats.org/officeDocument/2006/relationships/hyperlink" Target="#'AVERAGEA'!E30" TargetMode="External" Id="rId13"/><Relationship Type="http://schemas.openxmlformats.org/officeDocument/2006/relationships/hyperlink" Target="#'AVERAGEA'!E38" TargetMode="External" Id="rId14"/><Relationship Type="http://schemas.openxmlformats.org/officeDocument/2006/relationships/hyperlink" Target="#'AVERAGEA'!E46" TargetMode="External" Id="rId15"/><Relationship Type="http://schemas.openxmlformats.org/officeDocument/2006/relationships/hyperlink" Target="#'AVERAGEA'!E54" TargetMode="External" Id="rId16"/><Relationship Type="http://schemas.openxmlformats.org/officeDocument/2006/relationships/hyperlink" Target="#'AVERAGEIF'!E22" TargetMode="External" Id="rId17"/><Relationship Type="http://schemas.openxmlformats.org/officeDocument/2006/relationships/hyperlink" Target="#'AVERAGEIF'!E30" TargetMode="External" Id="rId18"/><Relationship Type="http://schemas.openxmlformats.org/officeDocument/2006/relationships/hyperlink" Target="#'AVERAGEIF'!E38" TargetMode="External" Id="rId19"/><Relationship Type="http://schemas.openxmlformats.org/officeDocument/2006/relationships/hyperlink" Target="#'AVERAGEIF'!E46" TargetMode="External" Id="rId20"/><Relationship Type="http://schemas.openxmlformats.org/officeDocument/2006/relationships/hyperlink" Target="#'AVERAGEIF'!E54" TargetMode="External" Id="rId21"/><Relationship Type="http://schemas.openxmlformats.org/officeDocument/2006/relationships/hyperlink" Target="#'AVERAGEIFS'!E22" TargetMode="External" Id="rId22"/><Relationship Type="http://schemas.openxmlformats.org/officeDocument/2006/relationships/hyperlink" Target="#'AVERAGEIFS'!E30" TargetMode="External" Id="rId23"/><Relationship Type="http://schemas.openxmlformats.org/officeDocument/2006/relationships/hyperlink" Target="#'AVERAGEIFS'!E38" TargetMode="External" Id="rId24"/><Relationship Type="http://schemas.openxmlformats.org/officeDocument/2006/relationships/hyperlink" Target="#'AVERAGEIFS'!E46" TargetMode="External" Id="rId25"/><Relationship Type="http://schemas.openxmlformats.org/officeDocument/2006/relationships/hyperlink" Target="#'AVERAGEIFS'!E54" TargetMode="External" Id="rId26"/><Relationship Type="http://schemas.openxmlformats.org/officeDocument/2006/relationships/hyperlink" Target="#'BETA.DIST'!E22" TargetMode="External" Id="rId27"/><Relationship Type="http://schemas.openxmlformats.org/officeDocument/2006/relationships/hyperlink" Target="#'BETA.DIST'!E30" TargetMode="External" Id="rId28"/><Relationship Type="http://schemas.openxmlformats.org/officeDocument/2006/relationships/hyperlink" Target="#'BETA.DIST'!E38" TargetMode="External" Id="rId29"/><Relationship Type="http://schemas.openxmlformats.org/officeDocument/2006/relationships/hyperlink" Target="#'BETA.DIST'!E46" TargetMode="External" Id="rId30"/><Relationship Type="http://schemas.openxmlformats.org/officeDocument/2006/relationships/hyperlink" Target="#'BETA.DIST'!E54" TargetMode="External" Id="rId31"/><Relationship Type="http://schemas.openxmlformats.org/officeDocument/2006/relationships/hyperlink" Target="#'BETA.INV'!E22" TargetMode="External" Id="rId32"/><Relationship Type="http://schemas.openxmlformats.org/officeDocument/2006/relationships/hyperlink" Target="#'BETA.INV'!E30" TargetMode="External" Id="rId33"/><Relationship Type="http://schemas.openxmlformats.org/officeDocument/2006/relationships/hyperlink" Target="#'BETA.INV'!E38" TargetMode="External" Id="rId34"/><Relationship Type="http://schemas.openxmlformats.org/officeDocument/2006/relationships/hyperlink" Target="#'BETA.INV'!E46" TargetMode="External" Id="rId35"/><Relationship Type="http://schemas.openxmlformats.org/officeDocument/2006/relationships/hyperlink" Target="#'BETA.INV'!E54" TargetMode="External" Id="rId36"/><Relationship Type="http://schemas.openxmlformats.org/officeDocument/2006/relationships/hyperlink" Target="#'BINOM.DIST'!E22" TargetMode="External" Id="rId37"/><Relationship Type="http://schemas.openxmlformats.org/officeDocument/2006/relationships/hyperlink" Target="#'BINOM.DIST'!E30" TargetMode="External" Id="rId38"/><Relationship Type="http://schemas.openxmlformats.org/officeDocument/2006/relationships/hyperlink" Target="#'BINOM.DIST'!E38" TargetMode="External" Id="rId39"/><Relationship Type="http://schemas.openxmlformats.org/officeDocument/2006/relationships/hyperlink" Target="#'BINOM.DIST'!E46" TargetMode="External" Id="rId40"/><Relationship Type="http://schemas.openxmlformats.org/officeDocument/2006/relationships/hyperlink" Target="#'BINOM.DIST'!E54" TargetMode="External" Id="rId41"/><Relationship Type="http://schemas.openxmlformats.org/officeDocument/2006/relationships/hyperlink" Target="#'BINOM.INV'!E22" TargetMode="External" Id="rId42"/><Relationship Type="http://schemas.openxmlformats.org/officeDocument/2006/relationships/hyperlink" Target="#'BINOM.INV'!E30" TargetMode="External" Id="rId43"/><Relationship Type="http://schemas.openxmlformats.org/officeDocument/2006/relationships/hyperlink" Target="#'BINOM.INV'!E38" TargetMode="External" Id="rId44"/><Relationship Type="http://schemas.openxmlformats.org/officeDocument/2006/relationships/hyperlink" Target="#'BINOM.INV'!E46" TargetMode="External" Id="rId45"/><Relationship Type="http://schemas.openxmlformats.org/officeDocument/2006/relationships/hyperlink" Target="#'BINOM.INV'!E54" TargetMode="External" Id="rId46"/><Relationship Type="http://schemas.openxmlformats.org/officeDocument/2006/relationships/hyperlink" Target="#'CHISQ.DIST'!E22" TargetMode="External" Id="rId47"/><Relationship Type="http://schemas.openxmlformats.org/officeDocument/2006/relationships/hyperlink" Target="#'CHISQ.DIST'!E30" TargetMode="External" Id="rId48"/><Relationship Type="http://schemas.openxmlformats.org/officeDocument/2006/relationships/hyperlink" Target="#'CHISQ.DIST'!E38" TargetMode="External" Id="rId49"/><Relationship Type="http://schemas.openxmlformats.org/officeDocument/2006/relationships/hyperlink" Target="#'CHISQ.DIST'!E46" TargetMode="External" Id="rId50"/><Relationship Type="http://schemas.openxmlformats.org/officeDocument/2006/relationships/hyperlink" Target="#'CHISQ.DIST'!E54" TargetMode="External" Id="rId51"/><Relationship Type="http://schemas.openxmlformats.org/officeDocument/2006/relationships/hyperlink" Target="#'CHISQ.DIST.RT'!E22" TargetMode="External" Id="rId52"/><Relationship Type="http://schemas.openxmlformats.org/officeDocument/2006/relationships/hyperlink" Target="#'CHISQ.DIST.RT'!E30" TargetMode="External" Id="rId53"/><Relationship Type="http://schemas.openxmlformats.org/officeDocument/2006/relationships/hyperlink" Target="#'CHISQ.DIST.RT'!E38" TargetMode="External" Id="rId54"/><Relationship Type="http://schemas.openxmlformats.org/officeDocument/2006/relationships/hyperlink" Target="#'CHISQ.DIST.RT'!E46" TargetMode="External" Id="rId55"/><Relationship Type="http://schemas.openxmlformats.org/officeDocument/2006/relationships/hyperlink" Target="#'CHISQ.DIST.RT'!E54" TargetMode="External" Id="rId56"/><Relationship Type="http://schemas.openxmlformats.org/officeDocument/2006/relationships/hyperlink" Target="#'CHISQ.INV'!E22" TargetMode="External" Id="rId57"/><Relationship Type="http://schemas.openxmlformats.org/officeDocument/2006/relationships/hyperlink" Target="#'CHISQ.INV'!E30" TargetMode="External" Id="rId58"/><Relationship Type="http://schemas.openxmlformats.org/officeDocument/2006/relationships/hyperlink" Target="#'CHISQ.INV'!E38" TargetMode="External" Id="rId59"/><Relationship Type="http://schemas.openxmlformats.org/officeDocument/2006/relationships/hyperlink" Target="#'CHISQ.INV'!E46" TargetMode="External" Id="rId60"/><Relationship Type="http://schemas.openxmlformats.org/officeDocument/2006/relationships/hyperlink" Target="#'CHISQ.INV'!E54" TargetMode="External" Id="rId61"/><Relationship Type="http://schemas.openxmlformats.org/officeDocument/2006/relationships/hyperlink" Target="#'CHISQ.RT.INV'!E22" TargetMode="External" Id="rId62"/><Relationship Type="http://schemas.openxmlformats.org/officeDocument/2006/relationships/hyperlink" Target="#'CHISQ.RT.INV'!E30" TargetMode="External" Id="rId63"/><Relationship Type="http://schemas.openxmlformats.org/officeDocument/2006/relationships/hyperlink" Target="#'CHISQ.RT.INV'!E38" TargetMode="External" Id="rId64"/><Relationship Type="http://schemas.openxmlformats.org/officeDocument/2006/relationships/hyperlink" Target="#'CHISQ.RT.INV'!E46" TargetMode="External" Id="rId65"/><Relationship Type="http://schemas.openxmlformats.org/officeDocument/2006/relationships/hyperlink" Target="#'CHISQ.RT.INV'!E54" TargetMode="External" Id="rId66"/><Relationship Type="http://schemas.openxmlformats.org/officeDocument/2006/relationships/hyperlink" Target="#'CHITEST'!E22" TargetMode="External" Id="rId67"/><Relationship Type="http://schemas.openxmlformats.org/officeDocument/2006/relationships/hyperlink" Target="#'CHITEST'!E30" TargetMode="External" Id="rId68"/><Relationship Type="http://schemas.openxmlformats.org/officeDocument/2006/relationships/hyperlink" Target="#'CHITEST'!E38" TargetMode="External" Id="rId69"/><Relationship Type="http://schemas.openxmlformats.org/officeDocument/2006/relationships/hyperlink" Target="#'CHITEST'!E46" TargetMode="External" Id="rId70"/><Relationship Type="http://schemas.openxmlformats.org/officeDocument/2006/relationships/hyperlink" Target="#'CHITEST'!E54" TargetMode="External" Id="rId71"/><Relationship Type="http://schemas.openxmlformats.org/officeDocument/2006/relationships/hyperlink" Target="#'CONFIDENCE.NORM'!E22" TargetMode="External" Id="rId72"/><Relationship Type="http://schemas.openxmlformats.org/officeDocument/2006/relationships/hyperlink" Target="#'CONFIDENCE.NORM'!E30" TargetMode="External" Id="rId73"/><Relationship Type="http://schemas.openxmlformats.org/officeDocument/2006/relationships/hyperlink" Target="#'CONFIDENCE.NORM'!E38" TargetMode="External" Id="rId74"/><Relationship Type="http://schemas.openxmlformats.org/officeDocument/2006/relationships/hyperlink" Target="#'CONFIDENCE.NORM'!E46" TargetMode="External" Id="rId75"/><Relationship Type="http://schemas.openxmlformats.org/officeDocument/2006/relationships/hyperlink" Target="#'CONFIDENCE.NORM'!E54" TargetMode="External" Id="rId76"/><Relationship Type="http://schemas.openxmlformats.org/officeDocument/2006/relationships/hyperlink" Target="#'CONFIDENCE.T'!E22" TargetMode="External" Id="rId77"/><Relationship Type="http://schemas.openxmlformats.org/officeDocument/2006/relationships/hyperlink" Target="#'CONFIDENCE.T'!E30" TargetMode="External" Id="rId78"/><Relationship Type="http://schemas.openxmlformats.org/officeDocument/2006/relationships/hyperlink" Target="#'CONFIDENCE.T'!E38" TargetMode="External" Id="rId79"/><Relationship Type="http://schemas.openxmlformats.org/officeDocument/2006/relationships/hyperlink" Target="#'CONFIDENCE.T'!E46" TargetMode="External" Id="rId80"/><Relationship Type="http://schemas.openxmlformats.org/officeDocument/2006/relationships/hyperlink" Target="#'CONFIDENCE.T'!E54" TargetMode="External" Id="rId81"/><Relationship Type="http://schemas.openxmlformats.org/officeDocument/2006/relationships/hyperlink" Target="#'CORREL'!E22" TargetMode="External" Id="rId82"/><Relationship Type="http://schemas.openxmlformats.org/officeDocument/2006/relationships/hyperlink" Target="#'CORREL'!E30" TargetMode="External" Id="rId83"/><Relationship Type="http://schemas.openxmlformats.org/officeDocument/2006/relationships/hyperlink" Target="#'CORREL'!E38" TargetMode="External" Id="rId84"/><Relationship Type="http://schemas.openxmlformats.org/officeDocument/2006/relationships/hyperlink" Target="#'CORREL'!E46" TargetMode="External" Id="rId85"/><Relationship Type="http://schemas.openxmlformats.org/officeDocument/2006/relationships/hyperlink" Target="#'CORREL'!E54" TargetMode="External" Id="rId86"/><Relationship Type="http://schemas.openxmlformats.org/officeDocument/2006/relationships/hyperlink" Target="#'COUNT'!E22" TargetMode="External" Id="rId87"/><Relationship Type="http://schemas.openxmlformats.org/officeDocument/2006/relationships/hyperlink" Target="#'COUNT'!E30" TargetMode="External" Id="rId88"/><Relationship Type="http://schemas.openxmlformats.org/officeDocument/2006/relationships/hyperlink" Target="#'COUNT'!E38" TargetMode="External" Id="rId89"/><Relationship Type="http://schemas.openxmlformats.org/officeDocument/2006/relationships/hyperlink" Target="#'COUNT'!E46" TargetMode="External" Id="rId90"/><Relationship Type="http://schemas.openxmlformats.org/officeDocument/2006/relationships/hyperlink" Target="#'COUNT'!E54" TargetMode="External" Id="rId91"/><Relationship Type="http://schemas.openxmlformats.org/officeDocument/2006/relationships/hyperlink" Target="#'COUNTA'!E22" TargetMode="External" Id="rId92"/><Relationship Type="http://schemas.openxmlformats.org/officeDocument/2006/relationships/hyperlink" Target="#'COUNTA'!E30" TargetMode="External" Id="rId93"/><Relationship Type="http://schemas.openxmlformats.org/officeDocument/2006/relationships/hyperlink" Target="#'COUNTA'!E38" TargetMode="External" Id="rId94"/><Relationship Type="http://schemas.openxmlformats.org/officeDocument/2006/relationships/hyperlink" Target="#'COUNTA'!E46" TargetMode="External" Id="rId95"/><Relationship Type="http://schemas.openxmlformats.org/officeDocument/2006/relationships/hyperlink" Target="#'COUNTA'!E54" TargetMode="External" Id="rId96"/><Relationship Type="http://schemas.openxmlformats.org/officeDocument/2006/relationships/hyperlink" Target="#'COUNTBLANK'!E22" TargetMode="External" Id="rId97"/><Relationship Type="http://schemas.openxmlformats.org/officeDocument/2006/relationships/hyperlink" Target="#'COUNTBLANK'!E30" TargetMode="External" Id="rId98"/><Relationship Type="http://schemas.openxmlformats.org/officeDocument/2006/relationships/hyperlink" Target="#'COUNTBLANK'!E38" TargetMode="External" Id="rId99"/><Relationship Type="http://schemas.openxmlformats.org/officeDocument/2006/relationships/hyperlink" Target="#'COUNTBLANK'!E46" TargetMode="External" Id="rId100"/><Relationship Type="http://schemas.openxmlformats.org/officeDocument/2006/relationships/hyperlink" Target="#'COUNTBLANK'!E54" TargetMode="External" Id="rId101"/><Relationship Type="http://schemas.openxmlformats.org/officeDocument/2006/relationships/hyperlink" Target="#'COUNTIF'!E22" TargetMode="External" Id="rId102"/><Relationship Type="http://schemas.openxmlformats.org/officeDocument/2006/relationships/hyperlink" Target="#'COUNTIF'!E30" TargetMode="External" Id="rId103"/><Relationship Type="http://schemas.openxmlformats.org/officeDocument/2006/relationships/hyperlink" Target="#'COUNTIF'!E38" TargetMode="External" Id="rId104"/><Relationship Type="http://schemas.openxmlformats.org/officeDocument/2006/relationships/hyperlink" Target="#'COUNTIF'!E46" TargetMode="External" Id="rId105"/><Relationship Type="http://schemas.openxmlformats.org/officeDocument/2006/relationships/hyperlink" Target="#'COUNTIF'!E54" TargetMode="External" Id="rId106"/><Relationship Type="http://schemas.openxmlformats.org/officeDocument/2006/relationships/hyperlink" Target="#'COUNTIFS'!E22" TargetMode="External" Id="rId107"/><Relationship Type="http://schemas.openxmlformats.org/officeDocument/2006/relationships/hyperlink" Target="#'COUNTIFS'!E30" TargetMode="External" Id="rId108"/><Relationship Type="http://schemas.openxmlformats.org/officeDocument/2006/relationships/hyperlink" Target="#'COUNTIFS'!E38" TargetMode="External" Id="rId109"/><Relationship Type="http://schemas.openxmlformats.org/officeDocument/2006/relationships/hyperlink" Target="#'COUNTIFS'!E46" TargetMode="External" Id="rId110"/><Relationship Type="http://schemas.openxmlformats.org/officeDocument/2006/relationships/hyperlink" Target="#'COUNTIFS'!E54" TargetMode="External" Id="rId111"/><Relationship Type="http://schemas.openxmlformats.org/officeDocument/2006/relationships/hyperlink" Target="#'COVARIANCE.P'!E22" TargetMode="External" Id="rId112"/><Relationship Type="http://schemas.openxmlformats.org/officeDocument/2006/relationships/hyperlink" Target="#'COVARIANCE.P'!E30" TargetMode="External" Id="rId113"/><Relationship Type="http://schemas.openxmlformats.org/officeDocument/2006/relationships/hyperlink" Target="#'COVARIANCE.P'!E38" TargetMode="External" Id="rId114"/><Relationship Type="http://schemas.openxmlformats.org/officeDocument/2006/relationships/hyperlink" Target="#'COVARIANCE.P'!E46" TargetMode="External" Id="rId115"/><Relationship Type="http://schemas.openxmlformats.org/officeDocument/2006/relationships/hyperlink" Target="#'COVARIANCE.P'!E54" TargetMode="External" Id="rId116"/><Relationship Type="http://schemas.openxmlformats.org/officeDocument/2006/relationships/hyperlink" Target="#'COVARIANCE.T'!E22" TargetMode="External" Id="rId117"/><Relationship Type="http://schemas.openxmlformats.org/officeDocument/2006/relationships/hyperlink" Target="#'COVARIANCE.T'!E30" TargetMode="External" Id="rId118"/><Relationship Type="http://schemas.openxmlformats.org/officeDocument/2006/relationships/hyperlink" Target="#'COVARIANCE.T'!E38" TargetMode="External" Id="rId119"/><Relationship Type="http://schemas.openxmlformats.org/officeDocument/2006/relationships/hyperlink" Target="#'COVARIANCE.T'!E46" TargetMode="External" Id="rId120"/><Relationship Type="http://schemas.openxmlformats.org/officeDocument/2006/relationships/hyperlink" Target="#'COVARIANCE.T'!E54" TargetMode="External" Id="rId121"/><Relationship Type="http://schemas.openxmlformats.org/officeDocument/2006/relationships/hyperlink" Target="#'CRITBINOM'!E22" TargetMode="External" Id="rId122"/><Relationship Type="http://schemas.openxmlformats.org/officeDocument/2006/relationships/hyperlink" Target="#'CRITBINOM'!E30" TargetMode="External" Id="rId123"/><Relationship Type="http://schemas.openxmlformats.org/officeDocument/2006/relationships/hyperlink" Target="#'CRITBINOM'!E38" TargetMode="External" Id="rId124"/><Relationship Type="http://schemas.openxmlformats.org/officeDocument/2006/relationships/hyperlink" Target="#'CRITBINOM'!E46" TargetMode="External" Id="rId125"/><Relationship Type="http://schemas.openxmlformats.org/officeDocument/2006/relationships/hyperlink" Target="#'CRITBINOM'!E54" TargetMode="External" Id="rId126"/><Relationship Type="http://schemas.openxmlformats.org/officeDocument/2006/relationships/hyperlink" Target="#'DEVSQ'!E22" TargetMode="External" Id="rId127"/><Relationship Type="http://schemas.openxmlformats.org/officeDocument/2006/relationships/hyperlink" Target="#'DEVSQ'!E30" TargetMode="External" Id="rId128"/><Relationship Type="http://schemas.openxmlformats.org/officeDocument/2006/relationships/hyperlink" Target="#'DEVSQ'!E38" TargetMode="External" Id="rId129"/><Relationship Type="http://schemas.openxmlformats.org/officeDocument/2006/relationships/hyperlink" Target="#'DEVSQ'!E46" TargetMode="External" Id="rId130"/><Relationship Type="http://schemas.openxmlformats.org/officeDocument/2006/relationships/hyperlink" Target="#'DEVSQ'!E54" TargetMode="External" Id="rId131"/><Relationship Type="http://schemas.openxmlformats.org/officeDocument/2006/relationships/hyperlink" Target="#'EXPON.DIST'!E22" TargetMode="External" Id="rId132"/><Relationship Type="http://schemas.openxmlformats.org/officeDocument/2006/relationships/hyperlink" Target="#'EXPON.DIST'!E30" TargetMode="External" Id="rId133"/><Relationship Type="http://schemas.openxmlformats.org/officeDocument/2006/relationships/hyperlink" Target="#'EXPON.DIST'!E38" TargetMode="External" Id="rId134"/><Relationship Type="http://schemas.openxmlformats.org/officeDocument/2006/relationships/hyperlink" Target="#'EXPON.DIST'!E46" TargetMode="External" Id="rId135"/><Relationship Type="http://schemas.openxmlformats.org/officeDocument/2006/relationships/hyperlink" Target="#'EXPON.DIST'!E54" TargetMode="External" Id="rId136"/><Relationship Type="http://schemas.openxmlformats.org/officeDocument/2006/relationships/hyperlink" Target="#'F.DIST'!E22" TargetMode="External" Id="rId137"/><Relationship Type="http://schemas.openxmlformats.org/officeDocument/2006/relationships/hyperlink" Target="#'F.DIST'!E30" TargetMode="External" Id="rId138"/><Relationship Type="http://schemas.openxmlformats.org/officeDocument/2006/relationships/hyperlink" Target="#'F.DIST'!E38" TargetMode="External" Id="rId139"/><Relationship Type="http://schemas.openxmlformats.org/officeDocument/2006/relationships/hyperlink" Target="#'F.DIST'!E46" TargetMode="External" Id="rId140"/><Relationship Type="http://schemas.openxmlformats.org/officeDocument/2006/relationships/hyperlink" Target="#'F.DIST'!E54" TargetMode="External" Id="rId141"/><Relationship Type="http://schemas.openxmlformats.org/officeDocument/2006/relationships/hyperlink" Target="#'F.DIST.RT'!E22" TargetMode="External" Id="rId142"/><Relationship Type="http://schemas.openxmlformats.org/officeDocument/2006/relationships/hyperlink" Target="#'F.DIST.RT'!E30" TargetMode="External" Id="rId143"/><Relationship Type="http://schemas.openxmlformats.org/officeDocument/2006/relationships/hyperlink" Target="#'F.DIST.RT'!E38" TargetMode="External" Id="rId144"/><Relationship Type="http://schemas.openxmlformats.org/officeDocument/2006/relationships/hyperlink" Target="#'F.DIST.RT'!E46" TargetMode="External" Id="rId145"/><Relationship Type="http://schemas.openxmlformats.org/officeDocument/2006/relationships/hyperlink" Target="#'F.DIST.RT'!E54" TargetMode="External" Id="rId146"/><Relationship Type="http://schemas.openxmlformats.org/officeDocument/2006/relationships/hyperlink" Target="#'F.INV'!E22" TargetMode="External" Id="rId147"/><Relationship Type="http://schemas.openxmlformats.org/officeDocument/2006/relationships/hyperlink" Target="#'F.INV'!E30" TargetMode="External" Id="rId148"/><Relationship Type="http://schemas.openxmlformats.org/officeDocument/2006/relationships/hyperlink" Target="#'F.INV'!E38" TargetMode="External" Id="rId149"/><Relationship Type="http://schemas.openxmlformats.org/officeDocument/2006/relationships/hyperlink" Target="#'F.INV'!E46" TargetMode="External" Id="rId150"/><Relationship Type="http://schemas.openxmlformats.org/officeDocument/2006/relationships/hyperlink" Target="#'F.INV'!E54" TargetMode="External" Id="rId151"/><Relationship Type="http://schemas.openxmlformats.org/officeDocument/2006/relationships/hyperlink" Target="#'F.INV.RT'!E22" TargetMode="External" Id="rId152"/><Relationship Type="http://schemas.openxmlformats.org/officeDocument/2006/relationships/hyperlink" Target="#'F.INV.RT'!E30" TargetMode="External" Id="rId153"/><Relationship Type="http://schemas.openxmlformats.org/officeDocument/2006/relationships/hyperlink" Target="#'F.INV.RT'!E38" TargetMode="External" Id="rId154"/><Relationship Type="http://schemas.openxmlformats.org/officeDocument/2006/relationships/hyperlink" Target="#'F.INV.RT'!E46" TargetMode="External" Id="rId155"/><Relationship Type="http://schemas.openxmlformats.org/officeDocument/2006/relationships/hyperlink" Target="#'F.INV.RT'!E54" TargetMode="External" Id="rId156"/><Relationship Type="http://schemas.openxmlformats.org/officeDocument/2006/relationships/hyperlink" Target="#'FTEST'!E22" TargetMode="External" Id="rId157"/><Relationship Type="http://schemas.openxmlformats.org/officeDocument/2006/relationships/hyperlink" Target="#'FTEST'!E30" TargetMode="External" Id="rId158"/><Relationship Type="http://schemas.openxmlformats.org/officeDocument/2006/relationships/hyperlink" Target="#'FTEST'!E38" TargetMode="External" Id="rId159"/><Relationship Type="http://schemas.openxmlformats.org/officeDocument/2006/relationships/hyperlink" Target="#'FTEST'!E46" TargetMode="External" Id="rId160"/><Relationship Type="http://schemas.openxmlformats.org/officeDocument/2006/relationships/hyperlink" Target="#'FTEST'!E54" TargetMode="External" Id="rId161"/><Relationship Type="http://schemas.openxmlformats.org/officeDocument/2006/relationships/hyperlink" Target="#'FISHER'!E22" TargetMode="External" Id="rId162"/><Relationship Type="http://schemas.openxmlformats.org/officeDocument/2006/relationships/hyperlink" Target="#'FISHER'!E30" TargetMode="External" Id="rId163"/><Relationship Type="http://schemas.openxmlformats.org/officeDocument/2006/relationships/hyperlink" Target="#'FISHER'!E38" TargetMode="External" Id="rId164"/><Relationship Type="http://schemas.openxmlformats.org/officeDocument/2006/relationships/hyperlink" Target="#'FISHER'!E46" TargetMode="External" Id="rId165"/><Relationship Type="http://schemas.openxmlformats.org/officeDocument/2006/relationships/hyperlink" Target="#'FISHER'!E54" TargetMode="External" Id="rId166"/><Relationship Type="http://schemas.openxmlformats.org/officeDocument/2006/relationships/hyperlink" Target="#'FISHER.INV'!E22" TargetMode="External" Id="rId167"/><Relationship Type="http://schemas.openxmlformats.org/officeDocument/2006/relationships/hyperlink" Target="#'FISHER.INV'!E30" TargetMode="External" Id="rId168"/><Relationship Type="http://schemas.openxmlformats.org/officeDocument/2006/relationships/hyperlink" Target="#'FISHER.INV'!E38" TargetMode="External" Id="rId169"/><Relationship Type="http://schemas.openxmlformats.org/officeDocument/2006/relationships/hyperlink" Target="#'FISHER.INV'!E46" TargetMode="External" Id="rId170"/><Relationship Type="http://schemas.openxmlformats.org/officeDocument/2006/relationships/hyperlink" Target="#'FISHER.INV'!E54" TargetMode="External" Id="rId171"/><Relationship Type="http://schemas.openxmlformats.org/officeDocument/2006/relationships/hyperlink" Target="#'FORECAST'!E22" TargetMode="External" Id="rId172"/><Relationship Type="http://schemas.openxmlformats.org/officeDocument/2006/relationships/hyperlink" Target="#'FORECAST'!E30" TargetMode="External" Id="rId173"/><Relationship Type="http://schemas.openxmlformats.org/officeDocument/2006/relationships/hyperlink" Target="#'FORECAST'!E38" TargetMode="External" Id="rId174"/><Relationship Type="http://schemas.openxmlformats.org/officeDocument/2006/relationships/hyperlink" Target="#'FORECAST'!E46" TargetMode="External" Id="rId175"/><Relationship Type="http://schemas.openxmlformats.org/officeDocument/2006/relationships/hyperlink" Target="#'FORECAST'!E54" TargetMode="External" Id="rId176"/><Relationship Type="http://schemas.openxmlformats.org/officeDocument/2006/relationships/hyperlink" Target="#'FREQUENCY'!E22" TargetMode="External" Id="rId177"/><Relationship Type="http://schemas.openxmlformats.org/officeDocument/2006/relationships/hyperlink" Target="#'FREQUENCY'!E30" TargetMode="External" Id="rId178"/><Relationship Type="http://schemas.openxmlformats.org/officeDocument/2006/relationships/hyperlink" Target="#'FREQUENCY'!E38" TargetMode="External" Id="rId179"/><Relationship Type="http://schemas.openxmlformats.org/officeDocument/2006/relationships/hyperlink" Target="#'FREQUENCY'!E46" TargetMode="External" Id="rId180"/><Relationship Type="http://schemas.openxmlformats.org/officeDocument/2006/relationships/hyperlink" Target="#'FREQUENCY'!E54" TargetMode="External" Id="rId181"/><Relationship Type="http://schemas.openxmlformats.org/officeDocument/2006/relationships/hyperlink" Target="#'GAMMADIST'!E22" TargetMode="External" Id="rId182"/><Relationship Type="http://schemas.openxmlformats.org/officeDocument/2006/relationships/hyperlink" Target="#'GAMMADIST'!E30" TargetMode="External" Id="rId183"/><Relationship Type="http://schemas.openxmlformats.org/officeDocument/2006/relationships/hyperlink" Target="#'GAMMADIST'!E38" TargetMode="External" Id="rId184"/><Relationship Type="http://schemas.openxmlformats.org/officeDocument/2006/relationships/hyperlink" Target="#'GAMMADIST'!E46" TargetMode="External" Id="rId185"/><Relationship Type="http://schemas.openxmlformats.org/officeDocument/2006/relationships/hyperlink" Target="#'GAMMADIST'!E54" TargetMode="External" Id="rId186"/><Relationship Type="http://schemas.openxmlformats.org/officeDocument/2006/relationships/hyperlink" Target="#'GAMMAINV'!E22" TargetMode="External" Id="rId187"/><Relationship Type="http://schemas.openxmlformats.org/officeDocument/2006/relationships/hyperlink" Target="#'GAMMAINV'!E30" TargetMode="External" Id="rId188"/><Relationship Type="http://schemas.openxmlformats.org/officeDocument/2006/relationships/hyperlink" Target="#'GAMMAINV'!E38" TargetMode="External" Id="rId189"/><Relationship Type="http://schemas.openxmlformats.org/officeDocument/2006/relationships/hyperlink" Target="#'GAMMAINV'!E46" TargetMode="External" Id="rId190"/><Relationship Type="http://schemas.openxmlformats.org/officeDocument/2006/relationships/hyperlink" Target="#'GAMMAINV'!E54" TargetMode="External" Id="rId191"/><Relationship Type="http://schemas.openxmlformats.org/officeDocument/2006/relationships/hyperlink" Target="#'GAMMALN'!E22" TargetMode="External" Id="rId192"/><Relationship Type="http://schemas.openxmlformats.org/officeDocument/2006/relationships/hyperlink" Target="#'GAMMALN'!E30" TargetMode="External" Id="rId193"/><Relationship Type="http://schemas.openxmlformats.org/officeDocument/2006/relationships/hyperlink" Target="#'GAMMALN'!E38" TargetMode="External" Id="rId194"/><Relationship Type="http://schemas.openxmlformats.org/officeDocument/2006/relationships/hyperlink" Target="#'GAMMALN'!E46" TargetMode="External" Id="rId195"/><Relationship Type="http://schemas.openxmlformats.org/officeDocument/2006/relationships/hyperlink" Target="#'GAMMALN'!E54" TargetMode="External" Id="rId196"/><Relationship Type="http://schemas.openxmlformats.org/officeDocument/2006/relationships/hyperlink" Target="#'GEOMEAN'!E22" TargetMode="External" Id="rId197"/><Relationship Type="http://schemas.openxmlformats.org/officeDocument/2006/relationships/hyperlink" Target="#'GEOMEAN'!E30" TargetMode="External" Id="rId198"/><Relationship Type="http://schemas.openxmlformats.org/officeDocument/2006/relationships/hyperlink" Target="#'GEOMEAN'!E38" TargetMode="External" Id="rId199"/><Relationship Type="http://schemas.openxmlformats.org/officeDocument/2006/relationships/hyperlink" Target="#'GEOMEAN'!E46" TargetMode="External" Id="rId200"/><Relationship Type="http://schemas.openxmlformats.org/officeDocument/2006/relationships/hyperlink" Target="#'GEOMEAN'!E54" TargetMode="External" Id="rId201"/><Relationship Type="http://schemas.openxmlformats.org/officeDocument/2006/relationships/hyperlink" Target="#'GROWTH'!E22" TargetMode="External" Id="rId202"/><Relationship Type="http://schemas.openxmlformats.org/officeDocument/2006/relationships/hyperlink" Target="#'GROWTH'!E30" TargetMode="External" Id="rId203"/><Relationship Type="http://schemas.openxmlformats.org/officeDocument/2006/relationships/hyperlink" Target="#'GROWTH'!E38" TargetMode="External" Id="rId204"/><Relationship Type="http://schemas.openxmlformats.org/officeDocument/2006/relationships/hyperlink" Target="#'GROWTH'!E46" TargetMode="External" Id="rId205"/><Relationship Type="http://schemas.openxmlformats.org/officeDocument/2006/relationships/hyperlink" Target="#'GROWTH'!E54" TargetMode="External" Id="rId206"/><Relationship Type="http://schemas.openxmlformats.org/officeDocument/2006/relationships/hyperlink" Target="#'HARMEAN'!E22" TargetMode="External" Id="rId207"/><Relationship Type="http://schemas.openxmlformats.org/officeDocument/2006/relationships/hyperlink" Target="#'HARMEAN'!E30" TargetMode="External" Id="rId208"/><Relationship Type="http://schemas.openxmlformats.org/officeDocument/2006/relationships/hyperlink" Target="#'HARMEAN'!E38" TargetMode="External" Id="rId209"/><Relationship Type="http://schemas.openxmlformats.org/officeDocument/2006/relationships/hyperlink" Target="#'HARMEAN'!E46" TargetMode="External" Id="rId210"/><Relationship Type="http://schemas.openxmlformats.org/officeDocument/2006/relationships/hyperlink" Target="#'HARMEAN'!E54" TargetMode="External" Id="rId211"/><Relationship Type="http://schemas.openxmlformats.org/officeDocument/2006/relationships/hyperlink" Target="#'HYPGEOMDIST'!E22" TargetMode="External" Id="rId212"/><Relationship Type="http://schemas.openxmlformats.org/officeDocument/2006/relationships/hyperlink" Target="#'HYPGEOMDIST'!E30" TargetMode="External" Id="rId213"/><Relationship Type="http://schemas.openxmlformats.org/officeDocument/2006/relationships/hyperlink" Target="#'HYPGEOMDIST'!E38" TargetMode="External" Id="rId214"/><Relationship Type="http://schemas.openxmlformats.org/officeDocument/2006/relationships/hyperlink" Target="#'HYPGEOMDIST'!E46" TargetMode="External" Id="rId215"/><Relationship Type="http://schemas.openxmlformats.org/officeDocument/2006/relationships/hyperlink" Target="#'HYPGEOMDIST'!E54" TargetMode="External" Id="rId216"/><Relationship Type="http://schemas.openxmlformats.org/officeDocument/2006/relationships/hyperlink" Target="#'INTERCEPT'!E22" TargetMode="External" Id="rId217"/><Relationship Type="http://schemas.openxmlformats.org/officeDocument/2006/relationships/hyperlink" Target="#'INTERCEPT'!E30" TargetMode="External" Id="rId218"/><Relationship Type="http://schemas.openxmlformats.org/officeDocument/2006/relationships/hyperlink" Target="#'INTERCEPT'!E38" TargetMode="External" Id="rId219"/><Relationship Type="http://schemas.openxmlformats.org/officeDocument/2006/relationships/hyperlink" Target="#'INTERCEPT'!E46" TargetMode="External" Id="rId220"/><Relationship Type="http://schemas.openxmlformats.org/officeDocument/2006/relationships/hyperlink" Target="#'INTERCEPT'!E54" TargetMode="External" Id="rId221"/><Relationship Type="http://schemas.openxmlformats.org/officeDocument/2006/relationships/hyperlink" Target="#'KURT'!E22" TargetMode="External" Id="rId222"/><Relationship Type="http://schemas.openxmlformats.org/officeDocument/2006/relationships/hyperlink" Target="#'KURT'!E30" TargetMode="External" Id="rId223"/><Relationship Type="http://schemas.openxmlformats.org/officeDocument/2006/relationships/hyperlink" Target="#'KURT'!E38" TargetMode="External" Id="rId224"/><Relationship Type="http://schemas.openxmlformats.org/officeDocument/2006/relationships/hyperlink" Target="#'KURT'!E46" TargetMode="External" Id="rId225"/><Relationship Type="http://schemas.openxmlformats.org/officeDocument/2006/relationships/hyperlink" Target="#'KURT'!E54" TargetMode="External" Id="rId226"/><Relationship Type="http://schemas.openxmlformats.org/officeDocument/2006/relationships/hyperlink" Target="#'LARGE'!E22" TargetMode="External" Id="rId227"/><Relationship Type="http://schemas.openxmlformats.org/officeDocument/2006/relationships/hyperlink" Target="#'LARGE'!E30" TargetMode="External" Id="rId228"/><Relationship Type="http://schemas.openxmlformats.org/officeDocument/2006/relationships/hyperlink" Target="#'LARGE'!E38" TargetMode="External" Id="rId229"/><Relationship Type="http://schemas.openxmlformats.org/officeDocument/2006/relationships/hyperlink" Target="#'LARGE'!E46" TargetMode="External" Id="rId230"/><Relationship Type="http://schemas.openxmlformats.org/officeDocument/2006/relationships/hyperlink" Target="#'LARGE'!E54" TargetMode="External" Id="rId231"/><Relationship Type="http://schemas.openxmlformats.org/officeDocument/2006/relationships/hyperlink" Target="#'LOGNORM.DIST'!E22" TargetMode="External" Id="rId232"/><Relationship Type="http://schemas.openxmlformats.org/officeDocument/2006/relationships/hyperlink" Target="#'LOGNORM.DIST'!E30" TargetMode="External" Id="rId233"/><Relationship Type="http://schemas.openxmlformats.org/officeDocument/2006/relationships/hyperlink" Target="#'LOGNORM.DIST'!E38" TargetMode="External" Id="rId234"/><Relationship Type="http://schemas.openxmlformats.org/officeDocument/2006/relationships/hyperlink" Target="#'LOGNORM.DIST'!E46" TargetMode="External" Id="rId235"/><Relationship Type="http://schemas.openxmlformats.org/officeDocument/2006/relationships/hyperlink" Target="#'LOGNORM.DIST'!E54" TargetMode="External" Id="rId236"/><Relationship Type="http://schemas.openxmlformats.org/officeDocument/2006/relationships/hyperlink" Target="#'LOGINV'!E22" TargetMode="External" Id="rId237"/><Relationship Type="http://schemas.openxmlformats.org/officeDocument/2006/relationships/hyperlink" Target="#'LOGINV'!E30" TargetMode="External" Id="rId238"/><Relationship Type="http://schemas.openxmlformats.org/officeDocument/2006/relationships/hyperlink" Target="#'LOGINV'!E38" TargetMode="External" Id="rId239"/><Relationship Type="http://schemas.openxmlformats.org/officeDocument/2006/relationships/hyperlink" Target="#'LOGINV'!E46" TargetMode="External" Id="rId240"/><Relationship Type="http://schemas.openxmlformats.org/officeDocument/2006/relationships/hyperlink" Target="#'LOGINV'!E54" TargetMode="External" Id="rId241"/><Relationship Type="http://schemas.openxmlformats.org/officeDocument/2006/relationships/hyperlink" Target="#'MAX'!E22" TargetMode="External" Id="rId242"/><Relationship Type="http://schemas.openxmlformats.org/officeDocument/2006/relationships/hyperlink" Target="#'MAX'!E30" TargetMode="External" Id="rId243"/><Relationship Type="http://schemas.openxmlformats.org/officeDocument/2006/relationships/hyperlink" Target="#'MAX'!E38" TargetMode="External" Id="rId244"/><Relationship Type="http://schemas.openxmlformats.org/officeDocument/2006/relationships/hyperlink" Target="#'MAX'!E46" TargetMode="External" Id="rId245"/><Relationship Type="http://schemas.openxmlformats.org/officeDocument/2006/relationships/hyperlink" Target="#'MAX'!E54" TargetMode="External" Id="rId246"/><Relationship Type="http://schemas.openxmlformats.org/officeDocument/2006/relationships/hyperlink" Target="#'MAXA'!E22" TargetMode="External" Id="rId247"/><Relationship Type="http://schemas.openxmlformats.org/officeDocument/2006/relationships/hyperlink" Target="#'MAXA'!E30" TargetMode="External" Id="rId248"/><Relationship Type="http://schemas.openxmlformats.org/officeDocument/2006/relationships/hyperlink" Target="#'MAXA'!E38" TargetMode="External" Id="rId249"/><Relationship Type="http://schemas.openxmlformats.org/officeDocument/2006/relationships/hyperlink" Target="#'MAXA'!E46" TargetMode="External" Id="rId250"/><Relationship Type="http://schemas.openxmlformats.org/officeDocument/2006/relationships/hyperlink" Target="#'MAXA'!E54" TargetMode="External" Id="rId251"/><Relationship Type="http://schemas.openxmlformats.org/officeDocument/2006/relationships/hyperlink" Target="#'MEDIAN'!E22" TargetMode="External" Id="rId252"/><Relationship Type="http://schemas.openxmlformats.org/officeDocument/2006/relationships/hyperlink" Target="#'MEDIAN'!E30" TargetMode="External" Id="rId253"/><Relationship Type="http://schemas.openxmlformats.org/officeDocument/2006/relationships/hyperlink" Target="#'MEDIAN'!E38" TargetMode="External" Id="rId254"/><Relationship Type="http://schemas.openxmlformats.org/officeDocument/2006/relationships/hyperlink" Target="#'MEDIAN'!E46" TargetMode="External" Id="rId255"/><Relationship Type="http://schemas.openxmlformats.org/officeDocument/2006/relationships/hyperlink" Target="#'MEDIAN'!E54" TargetMode="External" Id="rId256"/><Relationship Type="http://schemas.openxmlformats.org/officeDocument/2006/relationships/hyperlink" Target="#'MIN'!E22" TargetMode="External" Id="rId257"/><Relationship Type="http://schemas.openxmlformats.org/officeDocument/2006/relationships/hyperlink" Target="#'MIN'!E30" TargetMode="External" Id="rId258"/><Relationship Type="http://schemas.openxmlformats.org/officeDocument/2006/relationships/hyperlink" Target="#'MIN'!E38" TargetMode="External" Id="rId259"/><Relationship Type="http://schemas.openxmlformats.org/officeDocument/2006/relationships/hyperlink" Target="#'MIN'!E46" TargetMode="External" Id="rId260"/><Relationship Type="http://schemas.openxmlformats.org/officeDocument/2006/relationships/hyperlink" Target="#'MIN'!E54" TargetMode="External" Id="rId261"/><Relationship Type="http://schemas.openxmlformats.org/officeDocument/2006/relationships/hyperlink" Target="#'MINA'!E22" TargetMode="External" Id="rId262"/><Relationship Type="http://schemas.openxmlformats.org/officeDocument/2006/relationships/hyperlink" Target="#'MINA'!E30" TargetMode="External" Id="rId263"/><Relationship Type="http://schemas.openxmlformats.org/officeDocument/2006/relationships/hyperlink" Target="#'MINA'!E38" TargetMode="External" Id="rId264"/><Relationship Type="http://schemas.openxmlformats.org/officeDocument/2006/relationships/hyperlink" Target="#'MINA'!E46" TargetMode="External" Id="rId265"/><Relationship Type="http://schemas.openxmlformats.org/officeDocument/2006/relationships/hyperlink" Target="#'MINA'!E54" TargetMode="External" Id="rId266"/><Relationship Type="http://schemas.openxmlformats.org/officeDocument/2006/relationships/hyperlink" Target="#'MODE'!E22" TargetMode="External" Id="rId267"/><Relationship Type="http://schemas.openxmlformats.org/officeDocument/2006/relationships/hyperlink" Target="#'MODE'!E30" TargetMode="External" Id="rId268"/><Relationship Type="http://schemas.openxmlformats.org/officeDocument/2006/relationships/hyperlink" Target="#'MODE'!E38" TargetMode="External" Id="rId269"/><Relationship Type="http://schemas.openxmlformats.org/officeDocument/2006/relationships/hyperlink" Target="#'MODE'!E46" TargetMode="External" Id="rId270"/><Relationship Type="http://schemas.openxmlformats.org/officeDocument/2006/relationships/hyperlink" Target="#'MODE'!E54" TargetMode="External" Id="rId271"/><Relationship Type="http://schemas.openxmlformats.org/officeDocument/2006/relationships/hyperlink" Target="#'NEGBINOM.DIST'!E22" TargetMode="External" Id="rId272"/><Relationship Type="http://schemas.openxmlformats.org/officeDocument/2006/relationships/hyperlink" Target="#'NEGBINOM.DIST'!E30" TargetMode="External" Id="rId273"/><Relationship Type="http://schemas.openxmlformats.org/officeDocument/2006/relationships/hyperlink" Target="#'NEGBINOM.DIST'!E38" TargetMode="External" Id="rId274"/><Relationship Type="http://schemas.openxmlformats.org/officeDocument/2006/relationships/hyperlink" Target="#'NEGBINOM.DIST'!E46" TargetMode="External" Id="rId275"/><Relationship Type="http://schemas.openxmlformats.org/officeDocument/2006/relationships/hyperlink" Target="#'NEGBINOM.DIST'!E54" TargetMode="External" Id="rId276"/><Relationship Type="http://schemas.openxmlformats.org/officeDocument/2006/relationships/hyperlink" Target="#'NORM.DIST'!E22" TargetMode="External" Id="rId277"/><Relationship Type="http://schemas.openxmlformats.org/officeDocument/2006/relationships/hyperlink" Target="#'NORM.DIST'!E30" TargetMode="External" Id="rId278"/><Relationship Type="http://schemas.openxmlformats.org/officeDocument/2006/relationships/hyperlink" Target="#'NORM.DIST'!E38" TargetMode="External" Id="rId279"/><Relationship Type="http://schemas.openxmlformats.org/officeDocument/2006/relationships/hyperlink" Target="#'NORM.DIST'!E46" TargetMode="External" Id="rId280"/><Relationship Type="http://schemas.openxmlformats.org/officeDocument/2006/relationships/hyperlink" Target="#'NORM.DIST'!E54" TargetMode="External" Id="rId281"/><Relationship Type="http://schemas.openxmlformats.org/officeDocument/2006/relationships/hyperlink" Target="#'NORM.INV'!E22" TargetMode="External" Id="rId282"/><Relationship Type="http://schemas.openxmlformats.org/officeDocument/2006/relationships/hyperlink" Target="#'NORM.INV'!E30" TargetMode="External" Id="rId283"/><Relationship Type="http://schemas.openxmlformats.org/officeDocument/2006/relationships/hyperlink" Target="#'NORM.INV'!E38" TargetMode="External" Id="rId284"/><Relationship Type="http://schemas.openxmlformats.org/officeDocument/2006/relationships/hyperlink" Target="#'NORM.INV'!E46" TargetMode="External" Id="rId285"/><Relationship Type="http://schemas.openxmlformats.org/officeDocument/2006/relationships/hyperlink" Target="#'NORM.INV'!E54" TargetMode="External" Id="rId286"/><Relationship Type="http://schemas.openxmlformats.org/officeDocument/2006/relationships/hyperlink" Target="#'NORM.S.DIST'!E22" TargetMode="External" Id="rId287"/><Relationship Type="http://schemas.openxmlformats.org/officeDocument/2006/relationships/hyperlink" Target="#'NORM.S.DIST'!E30" TargetMode="External" Id="rId288"/><Relationship Type="http://schemas.openxmlformats.org/officeDocument/2006/relationships/hyperlink" Target="#'NORM.S.DIST'!E38" TargetMode="External" Id="rId289"/><Relationship Type="http://schemas.openxmlformats.org/officeDocument/2006/relationships/hyperlink" Target="#'NORM.S.DIST'!E46" TargetMode="External" Id="rId290"/><Relationship Type="http://schemas.openxmlformats.org/officeDocument/2006/relationships/hyperlink" Target="#'NORM.S.DIST'!E54" TargetMode="External" Id="rId291"/><Relationship Type="http://schemas.openxmlformats.org/officeDocument/2006/relationships/hyperlink" Target="#'NORM.S.INV'!E22" TargetMode="External" Id="rId292"/><Relationship Type="http://schemas.openxmlformats.org/officeDocument/2006/relationships/hyperlink" Target="#'NORM.S.INV'!E30" TargetMode="External" Id="rId293"/><Relationship Type="http://schemas.openxmlformats.org/officeDocument/2006/relationships/hyperlink" Target="#'NORM.S.INV'!E38" TargetMode="External" Id="rId294"/><Relationship Type="http://schemas.openxmlformats.org/officeDocument/2006/relationships/hyperlink" Target="#'NORM.S.INV'!E46" TargetMode="External" Id="rId295"/><Relationship Type="http://schemas.openxmlformats.org/officeDocument/2006/relationships/hyperlink" Target="#'NORM.S.INV'!E54" TargetMode="External" Id="rId296"/><Relationship Type="http://schemas.openxmlformats.org/officeDocument/2006/relationships/hyperlink" Target="#'PEARSON'!E22" TargetMode="External" Id="rId297"/><Relationship Type="http://schemas.openxmlformats.org/officeDocument/2006/relationships/hyperlink" Target="#'PEARSON'!E30" TargetMode="External" Id="rId298"/><Relationship Type="http://schemas.openxmlformats.org/officeDocument/2006/relationships/hyperlink" Target="#'PEARSON'!E38" TargetMode="External" Id="rId299"/><Relationship Type="http://schemas.openxmlformats.org/officeDocument/2006/relationships/hyperlink" Target="#'PEARSON'!E46" TargetMode="External" Id="rId300"/><Relationship Type="http://schemas.openxmlformats.org/officeDocument/2006/relationships/hyperlink" Target="#'PEARSON'!E54" TargetMode="External" Id="rId301"/><Relationship Type="http://schemas.openxmlformats.org/officeDocument/2006/relationships/hyperlink" Target="#'PERCENTILE.EXC'!E22" TargetMode="External" Id="rId302"/><Relationship Type="http://schemas.openxmlformats.org/officeDocument/2006/relationships/hyperlink" Target="#'PERCENTILE.EXC'!E30" TargetMode="External" Id="rId303"/><Relationship Type="http://schemas.openxmlformats.org/officeDocument/2006/relationships/hyperlink" Target="#'PERCENTILE.EXC'!E38" TargetMode="External" Id="rId304"/><Relationship Type="http://schemas.openxmlformats.org/officeDocument/2006/relationships/hyperlink" Target="#'PERCENTILE.EXC'!E46" TargetMode="External" Id="rId305"/><Relationship Type="http://schemas.openxmlformats.org/officeDocument/2006/relationships/hyperlink" Target="#'PERCENTILE.EXC'!E54" TargetMode="External" Id="rId306"/><Relationship Type="http://schemas.openxmlformats.org/officeDocument/2006/relationships/hyperlink" Target="#'PERCENTILE.INC'!E22" TargetMode="External" Id="rId307"/><Relationship Type="http://schemas.openxmlformats.org/officeDocument/2006/relationships/hyperlink" Target="#'PERCENTILE.INC'!E30" TargetMode="External" Id="rId308"/><Relationship Type="http://schemas.openxmlformats.org/officeDocument/2006/relationships/hyperlink" Target="#'PERCENTILE.INC'!E38" TargetMode="External" Id="rId309"/><Relationship Type="http://schemas.openxmlformats.org/officeDocument/2006/relationships/hyperlink" Target="#'PERCENTILE.INC'!E46" TargetMode="External" Id="rId310"/><Relationship Type="http://schemas.openxmlformats.org/officeDocument/2006/relationships/hyperlink" Target="#'PERCENTILE.INC'!E54" TargetMode="External" Id="rId311"/><Relationship Type="http://schemas.openxmlformats.org/officeDocument/2006/relationships/hyperlink" Target="#'PERCENTRANK.EXC'!E22" TargetMode="External" Id="rId312"/><Relationship Type="http://schemas.openxmlformats.org/officeDocument/2006/relationships/hyperlink" Target="#'PERCENTRANK.EXC'!E30" TargetMode="External" Id="rId313"/><Relationship Type="http://schemas.openxmlformats.org/officeDocument/2006/relationships/hyperlink" Target="#'PERCENTRANK.EXC'!E38" TargetMode="External" Id="rId314"/><Relationship Type="http://schemas.openxmlformats.org/officeDocument/2006/relationships/hyperlink" Target="#'PERCENTRANK.EXC'!E46" TargetMode="External" Id="rId315"/><Relationship Type="http://schemas.openxmlformats.org/officeDocument/2006/relationships/hyperlink" Target="#'PERCENTRANK.EXC'!E54" TargetMode="External" Id="rId316"/><Relationship Type="http://schemas.openxmlformats.org/officeDocument/2006/relationships/hyperlink" Target="#'PERCENTRANK.INC'!E22" TargetMode="External" Id="rId317"/><Relationship Type="http://schemas.openxmlformats.org/officeDocument/2006/relationships/hyperlink" Target="#'PERCENTRANK.INC'!E30" TargetMode="External" Id="rId318"/><Relationship Type="http://schemas.openxmlformats.org/officeDocument/2006/relationships/hyperlink" Target="#'PERCENTRANK.INC'!E38" TargetMode="External" Id="rId319"/><Relationship Type="http://schemas.openxmlformats.org/officeDocument/2006/relationships/hyperlink" Target="#'PERCENTRANK.INC'!E46" TargetMode="External" Id="rId320"/><Relationship Type="http://schemas.openxmlformats.org/officeDocument/2006/relationships/hyperlink" Target="#'PERCENTRANK.INC'!E54" TargetMode="External" Id="rId321"/><Relationship Type="http://schemas.openxmlformats.org/officeDocument/2006/relationships/hyperlink" Target="#'PERMUT'!E22" TargetMode="External" Id="rId322"/><Relationship Type="http://schemas.openxmlformats.org/officeDocument/2006/relationships/hyperlink" Target="#'PERMUT'!E30" TargetMode="External" Id="rId323"/><Relationship Type="http://schemas.openxmlformats.org/officeDocument/2006/relationships/hyperlink" Target="#'PERMUT'!E38" TargetMode="External" Id="rId324"/><Relationship Type="http://schemas.openxmlformats.org/officeDocument/2006/relationships/hyperlink" Target="#'PERMUT'!E46" TargetMode="External" Id="rId325"/><Relationship Type="http://schemas.openxmlformats.org/officeDocument/2006/relationships/hyperlink" Target="#'PERMUT'!E54" TargetMode="External" Id="rId326"/><Relationship Type="http://schemas.openxmlformats.org/officeDocument/2006/relationships/hyperlink" Target="#'POISSON'!E22" TargetMode="External" Id="rId327"/><Relationship Type="http://schemas.openxmlformats.org/officeDocument/2006/relationships/hyperlink" Target="#'POISSON'!E30" TargetMode="External" Id="rId328"/><Relationship Type="http://schemas.openxmlformats.org/officeDocument/2006/relationships/hyperlink" Target="#'POISSON'!E38" TargetMode="External" Id="rId329"/><Relationship Type="http://schemas.openxmlformats.org/officeDocument/2006/relationships/hyperlink" Target="#'POISSON'!E46" TargetMode="External" Id="rId330"/><Relationship Type="http://schemas.openxmlformats.org/officeDocument/2006/relationships/hyperlink" Target="#'POISSON'!E54" TargetMode="External" Id="rId331"/><Relationship Type="http://schemas.openxmlformats.org/officeDocument/2006/relationships/hyperlink" Target="#'PROB'!E22" TargetMode="External" Id="rId332"/><Relationship Type="http://schemas.openxmlformats.org/officeDocument/2006/relationships/hyperlink" Target="#'PROB'!E30" TargetMode="External" Id="rId333"/><Relationship Type="http://schemas.openxmlformats.org/officeDocument/2006/relationships/hyperlink" Target="#'PROB'!E38" TargetMode="External" Id="rId334"/><Relationship Type="http://schemas.openxmlformats.org/officeDocument/2006/relationships/hyperlink" Target="#'PROB'!E46" TargetMode="External" Id="rId335"/><Relationship Type="http://schemas.openxmlformats.org/officeDocument/2006/relationships/hyperlink" Target="#'PROB'!E54" TargetMode="External" Id="rId336"/><Relationship Type="http://schemas.openxmlformats.org/officeDocument/2006/relationships/hyperlink" Target="#'QUARTILE.EXC'!E22" TargetMode="External" Id="rId337"/><Relationship Type="http://schemas.openxmlformats.org/officeDocument/2006/relationships/hyperlink" Target="#'QUARTILE.EXC'!E30" TargetMode="External" Id="rId338"/><Relationship Type="http://schemas.openxmlformats.org/officeDocument/2006/relationships/hyperlink" Target="#'QUARTILE.EXC'!E38" TargetMode="External" Id="rId339"/><Relationship Type="http://schemas.openxmlformats.org/officeDocument/2006/relationships/hyperlink" Target="#'QUARTILE.EXC'!E46" TargetMode="External" Id="rId340"/><Relationship Type="http://schemas.openxmlformats.org/officeDocument/2006/relationships/hyperlink" Target="#'QUARTILE.EXC'!E54" TargetMode="External" Id="rId341"/><Relationship Type="http://schemas.openxmlformats.org/officeDocument/2006/relationships/hyperlink" Target="#'QUARTILE.INC'!E22" TargetMode="External" Id="rId342"/><Relationship Type="http://schemas.openxmlformats.org/officeDocument/2006/relationships/hyperlink" Target="#'QUARTILE.INC'!E30" TargetMode="External" Id="rId343"/><Relationship Type="http://schemas.openxmlformats.org/officeDocument/2006/relationships/hyperlink" Target="#'QUARTILE.INC'!E38" TargetMode="External" Id="rId344"/><Relationship Type="http://schemas.openxmlformats.org/officeDocument/2006/relationships/hyperlink" Target="#'QUARTILE.INC'!E46" TargetMode="External" Id="rId345"/><Relationship Type="http://schemas.openxmlformats.org/officeDocument/2006/relationships/hyperlink" Target="#'QUARTILE.INC'!E54" TargetMode="External" Id="rId346"/><Relationship Type="http://schemas.openxmlformats.org/officeDocument/2006/relationships/hyperlink" Target="#'RANK'!E22" TargetMode="External" Id="rId347"/><Relationship Type="http://schemas.openxmlformats.org/officeDocument/2006/relationships/hyperlink" Target="#'RANK'!E30" TargetMode="External" Id="rId348"/><Relationship Type="http://schemas.openxmlformats.org/officeDocument/2006/relationships/hyperlink" Target="#'RANK'!E38" TargetMode="External" Id="rId349"/><Relationship Type="http://schemas.openxmlformats.org/officeDocument/2006/relationships/hyperlink" Target="#'RANK'!E46" TargetMode="External" Id="rId350"/><Relationship Type="http://schemas.openxmlformats.org/officeDocument/2006/relationships/hyperlink" Target="#'RANK'!E54" TargetMode="External" Id="rId351"/><Relationship Type="http://schemas.openxmlformats.org/officeDocument/2006/relationships/hyperlink" Target="#'RSQ'!E22" TargetMode="External" Id="rId352"/><Relationship Type="http://schemas.openxmlformats.org/officeDocument/2006/relationships/hyperlink" Target="#'RSQ'!E30" TargetMode="External" Id="rId353"/><Relationship Type="http://schemas.openxmlformats.org/officeDocument/2006/relationships/hyperlink" Target="#'RSQ'!E38" TargetMode="External" Id="rId354"/><Relationship Type="http://schemas.openxmlformats.org/officeDocument/2006/relationships/hyperlink" Target="#'RSQ'!E46" TargetMode="External" Id="rId355"/><Relationship Type="http://schemas.openxmlformats.org/officeDocument/2006/relationships/hyperlink" Target="#'RSQ'!E54" TargetMode="External" Id="rId356"/><Relationship Type="http://schemas.openxmlformats.org/officeDocument/2006/relationships/hyperlink" Target="#'SKEW'!E22" TargetMode="External" Id="rId357"/><Relationship Type="http://schemas.openxmlformats.org/officeDocument/2006/relationships/hyperlink" Target="#'SKEW'!E30" TargetMode="External" Id="rId358"/><Relationship Type="http://schemas.openxmlformats.org/officeDocument/2006/relationships/hyperlink" Target="#'SKEW'!E38" TargetMode="External" Id="rId359"/><Relationship Type="http://schemas.openxmlformats.org/officeDocument/2006/relationships/hyperlink" Target="#'SKEW'!E46" TargetMode="External" Id="rId360"/><Relationship Type="http://schemas.openxmlformats.org/officeDocument/2006/relationships/hyperlink" Target="#'SKEW'!E54" TargetMode="External" Id="rId361"/><Relationship Type="http://schemas.openxmlformats.org/officeDocument/2006/relationships/hyperlink" Target="#'SLOPE'!E22" TargetMode="External" Id="rId362"/><Relationship Type="http://schemas.openxmlformats.org/officeDocument/2006/relationships/hyperlink" Target="#'SLOPE'!E30" TargetMode="External" Id="rId363"/><Relationship Type="http://schemas.openxmlformats.org/officeDocument/2006/relationships/hyperlink" Target="#'SLOPE'!E38" TargetMode="External" Id="rId364"/><Relationship Type="http://schemas.openxmlformats.org/officeDocument/2006/relationships/hyperlink" Target="#'SLOPE'!E46" TargetMode="External" Id="rId365"/><Relationship Type="http://schemas.openxmlformats.org/officeDocument/2006/relationships/hyperlink" Target="#'SLOPE'!E54" TargetMode="External" Id="rId366"/><Relationship Type="http://schemas.openxmlformats.org/officeDocument/2006/relationships/hyperlink" Target="#'SMALL'!E22" TargetMode="External" Id="rId367"/><Relationship Type="http://schemas.openxmlformats.org/officeDocument/2006/relationships/hyperlink" Target="#'SMALL'!E30" TargetMode="External" Id="rId368"/><Relationship Type="http://schemas.openxmlformats.org/officeDocument/2006/relationships/hyperlink" Target="#'SMALL'!E38" TargetMode="External" Id="rId369"/><Relationship Type="http://schemas.openxmlformats.org/officeDocument/2006/relationships/hyperlink" Target="#'SMALL'!E46" TargetMode="External" Id="rId370"/><Relationship Type="http://schemas.openxmlformats.org/officeDocument/2006/relationships/hyperlink" Target="#'SMALL'!E54" TargetMode="External" Id="rId371"/><Relationship Type="http://schemas.openxmlformats.org/officeDocument/2006/relationships/hyperlink" Target="#'STANDARDIZE'!E22" TargetMode="External" Id="rId372"/><Relationship Type="http://schemas.openxmlformats.org/officeDocument/2006/relationships/hyperlink" Target="#'STANDARDIZE'!E30" TargetMode="External" Id="rId373"/><Relationship Type="http://schemas.openxmlformats.org/officeDocument/2006/relationships/hyperlink" Target="#'STANDARDIZE'!E38" TargetMode="External" Id="rId374"/><Relationship Type="http://schemas.openxmlformats.org/officeDocument/2006/relationships/hyperlink" Target="#'STANDARDIZE'!E46" TargetMode="External" Id="rId375"/><Relationship Type="http://schemas.openxmlformats.org/officeDocument/2006/relationships/hyperlink" Target="#'STANDARDIZE'!E54" TargetMode="External" Id="rId376"/><Relationship Type="http://schemas.openxmlformats.org/officeDocument/2006/relationships/hyperlink" Target="#'STDEV.P'!E22" TargetMode="External" Id="rId377"/><Relationship Type="http://schemas.openxmlformats.org/officeDocument/2006/relationships/hyperlink" Target="#'STDEV.P'!E30" TargetMode="External" Id="rId378"/><Relationship Type="http://schemas.openxmlformats.org/officeDocument/2006/relationships/hyperlink" Target="#'STDEV.P'!E38" TargetMode="External" Id="rId379"/><Relationship Type="http://schemas.openxmlformats.org/officeDocument/2006/relationships/hyperlink" Target="#'STDEV.P'!E46" TargetMode="External" Id="rId380"/><Relationship Type="http://schemas.openxmlformats.org/officeDocument/2006/relationships/hyperlink" Target="#'STDEV.P'!E54" TargetMode="External" Id="rId381"/><Relationship Type="http://schemas.openxmlformats.org/officeDocument/2006/relationships/hyperlink" Target="#'STDEV.S'!E22" TargetMode="External" Id="rId382"/><Relationship Type="http://schemas.openxmlformats.org/officeDocument/2006/relationships/hyperlink" Target="#'STDEV.S'!E30" TargetMode="External" Id="rId383"/><Relationship Type="http://schemas.openxmlformats.org/officeDocument/2006/relationships/hyperlink" Target="#'STDEV.S'!E38" TargetMode="External" Id="rId384"/><Relationship Type="http://schemas.openxmlformats.org/officeDocument/2006/relationships/hyperlink" Target="#'STDEV.S'!E46" TargetMode="External" Id="rId385"/><Relationship Type="http://schemas.openxmlformats.org/officeDocument/2006/relationships/hyperlink" Target="#'STDEV.S'!E54" TargetMode="External" Id="rId386"/><Relationship Type="http://schemas.openxmlformats.org/officeDocument/2006/relationships/hyperlink" Target="#'STDEVA'!E22" TargetMode="External" Id="rId387"/><Relationship Type="http://schemas.openxmlformats.org/officeDocument/2006/relationships/hyperlink" Target="#'STDEVA'!E30" TargetMode="External" Id="rId388"/><Relationship Type="http://schemas.openxmlformats.org/officeDocument/2006/relationships/hyperlink" Target="#'STDEVA'!E38" TargetMode="External" Id="rId389"/><Relationship Type="http://schemas.openxmlformats.org/officeDocument/2006/relationships/hyperlink" Target="#'STDEVA'!E46" TargetMode="External" Id="rId390"/><Relationship Type="http://schemas.openxmlformats.org/officeDocument/2006/relationships/hyperlink" Target="#'STDEVA'!E54" TargetMode="External" Id="rId391"/><Relationship Type="http://schemas.openxmlformats.org/officeDocument/2006/relationships/hyperlink" Target="#'STDEVP'!E22" TargetMode="External" Id="rId392"/><Relationship Type="http://schemas.openxmlformats.org/officeDocument/2006/relationships/hyperlink" Target="#'STDEVP'!E30" TargetMode="External" Id="rId393"/><Relationship Type="http://schemas.openxmlformats.org/officeDocument/2006/relationships/hyperlink" Target="#'STDEVP'!E38" TargetMode="External" Id="rId394"/><Relationship Type="http://schemas.openxmlformats.org/officeDocument/2006/relationships/hyperlink" Target="#'STDEVP'!E46" TargetMode="External" Id="rId395"/><Relationship Type="http://schemas.openxmlformats.org/officeDocument/2006/relationships/hyperlink" Target="#'STDEVP'!E54" TargetMode="External" Id="rId396"/><Relationship Type="http://schemas.openxmlformats.org/officeDocument/2006/relationships/hyperlink" Target="#'STDEVPA'!E22" TargetMode="External" Id="rId397"/><Relationship Type="http://schemas.openxmlformats.org/officeDocument/2006/relationships/hyperlink" Target="#'STDEVPA'!E30" TargetMode="External" Id="rId398"/><Relationship Type="http://schemas.openxmlformats.org/officeDocument/2006/relationships/hyperlink" Target="#'STDEVPA'!E38" TargetMode="External" Id="rId399"/><Relationship Type="http://schemas.openxmlformats.org/officeDocument/2006/relationships/hyperlink" Target="#'STDEVPA'!E46" TargetMode="External" Id="rId400"/><Relationship Type="http://schemas.openxmlformats.org/officeDocument/2006/relationships/hyperlink" Target="#'STDEVPA'!E54" TargetMode="External" Id="rId401"/><Relationship Type="http://schemas.openxmlformats.org/officeDocument/2006/relationships/hyperlink" Target="#'STEYX'!E22" TargetMode="External" Id="rId402"/><Relationship Type="http://schemas.openxmlformats.org/officeDocument/2006/relationships/hyperlink" Target="#'STEYX'!E30" TargetMode="External" Id="rId403"/><Relationship Type="http://schemas.openxmlformats.org/officeDocument/2006/relationships/hyperlink" Target="#'STEYX'!E38" TargetMode="External" Id="rId404"/><Relationship Type="http://schemas.openxmlformats.org/officeDocument/2006/relationships/hyperlink" Target="#'STEYX'!E46" TargetMode="External" Id="rId405"/><Relationship Type="http://schemas.openxmlformats.org/officeDocument/2006/relationships/hyperlink" Target="#'STEYX'!E54" TargetMode="External" Id="rId406"/><Relationship Type="http://schemas.openxmlformats.org/officeDocument/2006/relationships/hyperlink" Target="#'T.DIST'!E22" TargetMode="External" Id="rId407"/><Relationship Type="http://schemas.openxmlformats.org/officeDocument/2006/relationships/hyperlink" Target="#'T.DIST'!E30" TargetMode="External" Id="rId408"/><Relationship Type="http://schemas.openxmlformats.org/officeDocument/2006/relationships/hyperlink" Target="#'T.DIST'!E38" TargetMode="External" Id="rId409"/><Relationship Type="http://schemas.openxmlformats.org/officeDocument/2006/relationships/hyperlink" Target="#'T.DIST'!E46" TargetMode="External" Id="rId410"/><Relationship Type="http://schemas.openxmlformats.org/officeDocument/2006/relationships/hyperlink" Target="#'T.DIST'!E54" TargetMode="External" Id="rId411"/><Relationship Type="http://schemas.openxmlformats.org/officeDocument/2006/relationships/hyperlink" Target="#'T.DIST.2T'!E22" TargetMode="External" Id="rId412"/><Relationship Type="http://schemas.openxmlformats.org/officeDocument/2006/relationships/hyperlink" Target="#'T.DIST.2T'!E30" TargetMode="External" Id="rId413"/><Relationship Type="http://schemas.openxmlformats.org/officeDocument/2006/relationships/hyperlink" Target="#'T.DIST.2T'!E38" TargetMode="External" Id="rId414"/><Relationship Type="http://schemas.openxmlformats.org/officeDocument/2006/relationships/hyperlink" Target="#'T.DIST.2T'!E46" TargetMode="External" Id="rId415"/><Relationship Type="http://schemas.openxmlformats.org/officeDocument/2006/relationships/hyperlink" Target="#'T.DIST.2T'!E54" TargetMode="External" Id="rId416"/><Relationship Type="http://schemas.openxmlformats.org/officeDocument/2006/relationships/hyperlink" Target="#'T.DIST.RT'!E22" TargetMode="External" Id="rId417"/><Relationship Type="http://schemas.openxmlformats.org/officeDocument/2006/relationships/hyperlink" Target="#'T.DIST.RT'!E30" TargetMode="External" Id="rId418"/><Relationship Type="http://schemas.openxmlformats.org/officeDocument/2006/relationships/hyperlink" Target="#'T.DIST.RT'!E38" TargetMode="External" Id="rId419"/><Relationship Type="http://schemas.openxmlformats.org/officeDocument/2006/relationships/hyperlink" Target="#'T.DIST.RT'!E46" TargetMode="External" Id="rId420"/><Relationship Type="http://schemas.openxmlformats.org/officeDocument/2006/relationships/hyperlink" Target="#'T.DIST.RT'!E54" TargetMode="External" Id="rId421"/><Relationship Type="http://schemas.openxmlformats.org/officeDocument/2006/relationships/hyperlink" Target="#'T.INV'!E22" TargetMode="External" Id="rId422"/><Relationship Type="http://schemas.openxmlformats.org/officeDocument/2006/relationships/hyperlink" Target="#'T.INV'!E30" TargetMode="External" Id="rId423"/><Relationship Type="http://schemas.openxmlformats.org/officeDocument/2006/relationships/hyperlink" Target="#'T.INV'!E38" TargetMode="External" Id="rId424"/><Relationship Type="http://schemas.openxmlformats.org/officeDocument/2006/relationships/hyperlink" Target="#'T.INV'!E46" TargetMode="External" Id="rId425"/><Relationship Type="http://schemas.openxmlformats.org/officeDocument/2006/relationships/hyperlink" Target="#'T.INV'!E54" TargetMode="External" Id="rId426"/><Relationship Type="http://schemas.openxmlformats.org/officeDocument/2006/relationships/hyperlink" Target="#'T.INV.2T'!E22" TargetMode="External" Id="rId427"/><Relationship Type="http://schemas.openxmlformats.org/officeDocument/2006/relationships/hyperlink" Target="#'T.INV.2T'!E30" TargetMode="External" Id="rId428"/><Relationship Type="http://schemas.openxmlformats.org/officeDocument/2006/relationships/hyperlink" Target="#'T.INV.2T'!E38" TargetMode="External" Id="rId429"/><Relationship Type="http://schemas.openxmlformats.org/officeDocument/2006/relationships/hyperlink" Target="#'T.INV.2T'!E46" TargetMode="External" Id="rId430"/><Relationship Type="http://schemas.openxmlformats.org/officeDocument/2006/relationships/hyperlink" Target="#'T.INV.2T'!E54" TargetMode="External" Id="rId431"/><Relationship Type="http://schemas.openxmlformats.org/officeDocument/2006/relationships/hyperlink" Target="#'TREND'!E22" TargetMode="External" Id="rId432"/><Relationship Type="http://schemas.openxmlformats.org/officeDocument/2006/relationships/hyperlink" Target="#'TREND'!E30" TargetMode="External" Id="rId433"/><Relationship Type="http://schemas.openxmlformats.org/officeDocument/2006/relationships/hyperlink" Target="#'TREND'!E38" TargetMode="External" Id="rId434"/><Relationship Type="http://schemas.openxmlformats.org/officeDocument/2006/relationships/hyperlink" Target="#'TREND'!E46" TargetMode="External" Id="rId435"/><Relationship Type="http://schemas.openxmlformats.org/officeDocument/2006/relationships/hyperlink" Target="#'TREND'!E54" TargetMode="External" Id="rId436"/><Relationship Type="http://schemas.openxmlformats.org/officeDocument/2006/relationships/hyperlink" Target="#'T.TEST'!E22" TargetMode="External" Id="rId437"/><Relationship Type="http://schemas.openxmlformats.org/officeDocument/2006/relationships/hyperlink" Target="#'T.TEST'!E30" TargetMode="External" Id="rId438"/><Relationship Type="http://schemas.openxmlformats.org/officeDocument/2006/relationships/hyperlink" Target="#'T.TEST'!E38" TargetMode="External" Id="rId439"/><Relationship Type="http://schemas.openxmlformats.org/officeDocument/2006/relationships/hyperlink" Target="#'T.TEST'!E46" TargetMode="External" Id="rId440"/><Relationship Type="http://schemas.openxmlformats.org/officeDocument/2006/relationships/hyperlink" Target="#'T.TEST'!E54" TargetMode="External" Id="rId441"/><Relationship Type="http://schemas.openxmlformats.org/officeDocument/2006/relationships/hyperlink" Target="#'TRIMMEAN'!E22" TargetMode="External" Id="rId442"/><Relationship Type="http://schemas.openxmlformats.org/officeDocument/2006/relationships/hyperlink" Target="#'TRIMMEAN'!E30" TargetMode="External" Id="rId443"/><Relationship Type="http://schemas.openxmlformats.org/officeDocument/2006/relationships/hyperlink" Target="#'TRIMMEAN'!E38" TargetMode="External" Id="rId444"/><Relationship Type="http://schemas.openxmlformats.org/officeDocument/2006/relationships/hyperlink" Target="#'TRIMMEAN'!E46" TargetMode="External" Id="rId445"/><Relationship Type="http://schemas.openxmlformats.org/officeDocument/2006/relationships/hyperlink" Target="#'TRIMMEAN'!E54" TargetMode="External" Id="rId446"/><Relationship Type="http://schemas.openxmlformats.org/officeDocument/2006/relationships/hyperlink" Target="#'VAR.P'!E22" TargetMode="External" Id="rId447"/><Relationship Type="http://schemas.openxmlformats.org/officeDocument/2006/relationships/hyperlink" Target="#'VAR.P'!E30" TargetMode="External" Id="rId448"/><Relationship Type="http://schemas.openxmlformats.org/officeDocument/2006/relationships/hyperlink" Target="#'VAR.P'!E38" TargetMode="External" Id="rId449"/><Relationship Type="http://schemas.openxmlformats.org/officeDocument/2006/relationships/hyperlink" Target="#'VAR.P'!E46" TargetMode="External" Id="rId450"/><Relationship Type="http://schemas.openxmlformats.org/officeDocument/2006/relationships/hyperlink" Target="#'VAR.P'!E54" TargetMode="External" Id="rId451"/><Relationship Type="http://schemas.openxmlformats.org/officeDocument/2006/relationships/hyperlink" Target="#'VAR.S'!E22" TargetMode="External" Id="rId452"/><Relationship Type="http://schemas.openxmlformats.org/officeDocument/2006/relationships/hyperlink" Target="#'VAR.S'!E30" TargetMode="External" Id="rId453"/><Relationship Type="http://schemas.openxmlformats.org/officeDocument/2006/relationships/hyperlink" Target="#'VAR.S'!E38" TargetMode="External" Id="rId454"/><Relationship Type="http://schemas.openxmlformats.org/officeDocument/2006/relationships/hyperlink" Target="#'VAR.S'!E46" TargetMode="External" Id="rId455"/><Relationship Type="http://schemas.openxmlformats.org/officeDocument/2006/relationships/hyperlink" Target="#'VAR.S'!E54" TargetMode="External" Id="rId456"/><Relationship Type="http://schemas.openxmlformats.org/officeDocument/2006/relationships/hyperlink" Target="#'VARA'!E22" TargetMode="External" Id="rId457"/><Relationship Type="http://schemas.openxmlformats.org/officeDocument/2006/relationships/hyperlink" Target="#'VARA'!E30" TargetMode="External" Id="rId458"/><Relationship Type="http://schemas.openxmlformats.org/officeDocument/2006/relationships/hyperlink" Target="#'VARA'!E38" TargetMode="External" Id="rId459"/><Relationship Type="http://schemas.openxmlformats.org/officeDocument/2006/relationships/hyperlink" Target="#'VARA'!E46" TargetMode="External" Id="rId460"/><Relationship Type="http://schemas.openxmlformats.org/officeDocument/2006/relationships/hyperlink" Target="#'VARA'!E54" TargetMode="External" Id="rId461"/><Relationship Type="http://schemas.openxmlformats.org/officeDocument/2006/relationships/hyperlink" Target="#'VARPA'!E22" TargetMode="External" Id="rId462"/><Relationship Type="http://schemas.openxmlformats.org/officeDocument/2006/relationships/hyperlink" Target="#'VARPA'!E30" TargetMode="External" Id="rId463"/><Relationship Type="http://schemas.openxmlformats.org/officeDocument/2006/relationships/hyperlink" Target="#'VARPA'!E38" TargetMode="External" Id="rId464"/><Relationship Type="http://schemas.openxmlformats.org/officeDocument/2006/relationships/hyperlink" Target="#'VARPA'!E46" TargetMode="External" Id="rId465"/><Relationship Type="http://schemas.openxmlformats.org/officeDocument/2006/relationships/hyperlink" Target="#'VARPA'!E54" TargetMode="External" Id="rId466"/><Relationship Type="http://schemas.openxmlformats.org/officeDocument/2006/relationships/hyperlink" Target="#'WEIBULL'!E22" TargetMode="External" Id="rId467"/><Relationship Type="http://schemas.openxmlformats.org/officeDocument/2006/relationships/hyperlink" Target="#'WEIBULL'!E30" TargetMode="External" Id="rId468"/><Relationship Type="http://schemas.openxmlformats.org/officeDocument/2006/relationships/hyperlink" Target="#'WEIBULL'!E38" TargetMode="External" Id="rId469"/><Relationship Type="http://schemas.openxmlformats.org/officeDocument/2006/relationships/hyperlink" Target="#'WEIBULL'!E46" TargetMode="External" Id="rId470"/><Relationship Type="http://schemas.openxmlformats.org/officeDocument/2006/relationships/hyperlink" Target="#'WEIBULL'!E54" TargetMode="External" Id="rId471"/><Relationship Type="http://schemas.openxmlformats.org/officeDocument/2006/relationships/hyperlink" Target="#'ZTEST'!E22" TargetMode="External" Id="rId472"/><Relationship Type="http://schemas.openxmlformats.org/officeDocument/2006/relationships/hyperlink" Target="#'ZTEST'!E30" TargetMode="External" Id="rId473"/><Relationship Type="http://schemas.openxmlformats.org/officeDocument/2006/relationships/hyperlink" Target="#'ZTEST'!E38" TargetMode="External" Id="rId474"/><Relationship Type="http://schemas.openxmlformats.org/officeDocument/2006/relationships/hyperlink" Target="#'ZTEST'!E46" TargetMode="External" Id="rId475"/><Relationship Type="http://schemas.openxmlformats.org/officeDocument/2006/relationships/hyperlink" Target="#'ZTEST'!E54" TargetMode="External" Id="rId47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30" customWidth="1" min="3" max="3"/>
    <col width="36" customWidth="1" min="4" max="4"/>
    <col width="65" customWidth="1" min="5" max="5"/>
    <col width="28" customWidth="1" min="6" max="6"/>
  </cols>
  <sheetData>
    <row r="1" ht="32" customHeight="1">
      <c r="A1" s="1" t="inlineStr">
        <is>
          <t>📚 PAKET 4: KHUSUS 95 RUMUS STATISTIKA EXCEL LENGKAP (95 SHEET RUMUS • 1 CONTOH + 5 SOAL TES PER RUMUS)</t>
        </is>
      </c>
    </row>
    <row r="2" ht="22" customHeight="1">
      <c r="A2" s="2" t="inlineStr">
        <is>
          <t>Setiap Sheet berisi: 1 Contoh Soal + Jawaban Benar, lalu 5 Soal Tes Tanpa Kunci. Kunci Jawaban Lengkap ada di Sheet Paling Terakhir (99_KUNCI_JAWABAN)!</t>
        </is>
      </c>
      <c r="F2" s="3" t="inlineStr">
        <is>
          <t>🔑 Buka 99_KUNCI_JAWABAN</t>
        </is>
      </c>
    </row>
    <row r="4" ht="24" customHeight="1">
      <c r="A4" s="4" t="inlineStr">
        <is>
          <t>No</t>
        </is>
      </c>
      <c r="B4" s="4" t="inlineStr">
        <is>
          <t>Nama Rumus (Sheet)</t>
        </is>
      </c>
      <c r="C4" s="4" t="inlineStr">
        <is>
          <t>Kategori</t>
        </is>
      </c>
      <c r="D4" s="4" t="inlineStr">
        <is>
          <t>Sintaks Umum</t>
        </is>
      </c>
      <c r="E4" s="4" t="inlineStr">
        <is>
          <t>Fungsinya Buat Apa (Bahasa Bayi &amp; Dunia Nyata)</t>
        </is>
      </c>
      <c r="F4" s="4" t="inlineStr">
        <is>
          <t>Link Buka Sheet</t>
        </is>
      </c>
    </row>
    <row r="5">
      <c r="A5" s="5" t="n">
        <v>1</v>
      </c>
      <c r="B5" s="6" t="inlineStr">
        <is>
          <t>AVEDEV</t>
        </is>
      </c>
      <c r="C5" s="5" t="inlineStr">
        <is>
          <t>8. Statistik &amp; Analisis Data</t>
        </is>
      </c>
      <c r="D5" s="7">
        <f>AVEDEV(range_data)</f>
        <v/>
      </c>
      <c r="E5" s="5" t="inlineStr">
        <is>
          <t>Menghitung rata-rata simpangan mutlak data dari nilai rata-ratanya.</t>
        </is>
      </c>
      <c r="F5" s="8" t="inlineStr">
        <is>
          <t>👉 Buka Sheet AVEDEV</t>
        </is>
      </c>
    </row>
    <row r="6">
      <c r="A6" s="5" t="n">
        <v>2</v>
      </c>
      <c r="B6" s="6" t="inlineStr">
        <is>
          <t>AVERAGE</t>
        </is>
      </c>
      <c r="C6" s="5" t="inlineStr">
        <is>
          <t>8. Statistik &amp; Analisis Data</t>
        </is>
      </c>
      <c r="D6" s="7">
        <f>AVERAGE(range_data)</f>
        <v/>
      </c>
      <c r="E6" s="5" t="inlineStr">
        <is>
          <t>Menghitung nilai RATA-RATA (Mean) dari sekumpulan angka.</t>
        </is>
      </c>
      <c r="F6" s="8" t="inlineStr">
        <is>
          <t>👉 Buka Sheet AVERAGE</t>
        </is>
      </c>
    </row>
    <row r="7">
      <c r="A7" s="5" t="n">
        <v>3</v>
      </c>
      <c r="B7" s="6" t="inlineStr">
        <is>
          <t>AVERAGEA</t>
        </is>
      </c>
      <c r="C7" s="5" t="inlineStr">
        <is>
          <t>8. Statistik &amp; Analisis Data</t>
        </is>
      </c>
      <c r="D7" s="7">
        <f>AVERAGEA(range_data)</f>
        <v/>
      </c>
      <c r="E7" s="5" t="inlineStr">
        <is>
          <t>Menghitung rata-rata dengan menyertakan sel teks (dihitung 0) dan logika.</t>
        </is>
      </c>
      <c r="F7" s="8" t="inlineStr">
        <is>
          <t>👉 Buka Sheet AVERAGEA</t>
        </is>
      </c>
    </row>
    <row r="8">
      <c r="A8" s="5" t="n">
        <v>4</v>
      </c>
      <c r="B8" s="6" t="inlineStr">
        <is>
          <t>AVERAGEIF</t>
        </is>
      </c>
      <c r="C8" s="5" t="inlineStr">
        <is>
          <t>8. Statistik &amp; Analisis Data</t>
        </is>
      </c>
      <c r="D8" s="7">
        <f>AVERAGEIF(range_syarat, syarat, [range_rata2])</f>
        <v/>
      </c>
      <c r="E8" s="5" t="inlineStr">
        <is>
          <t>Menghitung rata-rata HANYA untuk baris yang memenuhi 1 syarat tertentu.</t>
        </is>
      </c>
      <c r="F8" s="8" t="inlineStr">
        <is>
          <t>👉 Buka Sheet AVERAGEIF</t>
        </is>
      </c>
    </row>
    <row r="9">
      <c r="A9" s="5" t="n">
        <v>5</v>
      </c>
      <c r="B9" s="6" t="inlineStr">
        <is>
          <t>AVERAGEIFS</t>
        </is>
      </c>
      <c r="C9" s="5" t="inlineStr">
        <is>
          <t>8. Statistik &amp; Analisis Data</t>
        </is>
      </c>
      <c r="D9" s="7">
        <f>AVERAGEIFS(range_rata2, range_syarat1, syarat1, ...)</f>
        <v/>
      </c>
      <c r="E9" s="5" t="inlineStr">
        <is>
          <t>Menghitung rata-rata dengan banyak syarat sekaligus.</t>
        </is>
      </c>
      <c r="F9" s="8" t="inlineStr">
        <is>
          <t>👉 Buka Sheet AVERAGEIFS</t>
        </is>
      </c>
    </row>
    <row r="10">
      <c r="A10" s="5" t="n">
        <v>6</v>
      </c>
      <c r="B10" s="6" t="inlineStr">
        <is>
          <t>BETA.DIST</t>
        </is>
      </c>
      <c r="C10" s="5" t="inlineStr">
        <is>
          <t>8. Statistik &amp; Analisis Data</t>
        </is>
      </c>
      <c r="D10" s="7">
        <f>BETA.DIST(x, alpha, beta, TRUE)</f>
        <v/>
      </c>
      <c r="E10" s="5" t="inlineStr">
        <is>
          <t>Menghitung fungsi distribusi probabilitas Beta kumulatif.</t>
        </is>
      </c>
      <c r="F10" s="8" t="inlineStr">
        <is>
          <t>👉 Buka Sheet BETA.DIST</t>
        </is>
      </c>
    </row>
    <row r="11">
      <c r="A11" s="5" t="n">
        <v>7</v>
      </c>
      <c r="B11" s="6" t="inlineStr">
        <is>
          <t>BETA.INV</t>
        </is>
      </c>
      <c r="C11" s="5" t="inlineStr">
        <is>
          <t>8. Statistik &amp; Analisis Data</t>
        </is>
      </c>
      <c r="D11" s="7">
        <f>BETA.INV(probabilitas, alpha, beta)</f>
        <v/>
      </c>
      <c r="E11" s="5" t="inlineStr">
        <is>
          <t>Menghitung invers dari fungsi distribusi probabilitas Beta kumulatif.</t>
        </is>
      </c>
      <c r="F11" s="8" t="inlineStr">
        <is>
          <t>👉 Buka Sheet BETA.INV</t>
        </is>
      </c>
    </row>
    <row r="12">
      <c r="A12" s="5" t="n">
        <v>8</v>
      </c>
      <c r="B12" s="6" t="inlineStr">
        <is>
          <t>BINOM.DIST</t>
        </is>
      </c>
      <c r="C12" s="5" t="inlineStr">
        <is>
          <t>8. Statistik &amp; Analisis Data</t>
        </is>
      </c>
      <c r="D12" s="7">
        <f>BINOM.DIST(sukses, cobaan, prob_sukses, TRUE)</f>
        <v/>
      </c>
      <c r="E12" s="5" t="inlineStr">
        <is>
          <t>Menghitung peluang distribusi Binomial dari sejumlah percobaan independen.</t>
        </is>
      </c>
      <c r="F12" s="8" t="inlineStr">
        <is>
          <t>👉 Buka Sheet BINOM.DIST</t>
        </is>
      </c>
    </row>
    <row r="13">
      <c r="A13" s="5" t="n">
        <v>9</v>
      </c>
      <c r="B13" s="6" t="inlineStr">
        <is>
          <t>BINOM.INV</t>
        </is>
      </c>
      <c r="C13" s="5" t="inlineStr">
        <is>
          <t>8. Statistik &amp; Analisis Data</t>
        </is>
      </c>
      <c r="D13" s="7">
        <f>BINOM.INV(cobaan, prob_sukses, alpha)</f>
        <v/>
      </c>
      <c r="E13" s="5" t="inlineStr">
        <is>
          <t>Mencari nilai terkecil sehingga distribusi binomial kumulatif &gt;= alpha.</t>
        </is>
      </c>
      <c r="F13" s="8" t="inlineStr">
        <is>
          <t>👉 Buka Sheet BINOM.INV</t>
        </is>
      </c>
    </row>
    <row r="14">
      <c r="A14" s="5" t="n">
        <v>10</v>
      </c>
      <c r="B14" s="6" t="inlineStr">
        <is>
          <t>CHISQ.DIST</t>
        </is>
      </c>
      <c r="C14" s="5" t="inlineStr">
        <is>
          <t>8. Statistik &amp; Analisis Data</t>
        </is>
      </c>
      <c r="D14" s="7">
        <f>CHISQ.DIST(x, deg_freedom, TRUE)</f>
        <v/>
      </c>
      <c r="E14" s="5" t="inlineStr">
        <is>
          <t>Menghasilkan distribusi probabilitas Chi-Square sisi kiri.</t>
        </is>
      </c>
      <c r="F14" s="8" t="inlineStr">
        <is>
          <t>👉 Buka Sheet CHISQ.DIST</t>
        </is>
      </c>
    </row>
    <row r="15">
      <c r="A15" s="5" t="n">
        <v>11</v>
      </c>
      <c r="B15" s="6" t="inlineStr">
        <is>
          <t>CHISQ.DIST.RT</t>
        </is>
      </c>
      <c r="C15" s="5" t="inlineStr">
        <is>
          <t>8. Statistik &amp; Analisis Data</t>
        </is>
      </c>
      <c r="D15" s="7">
        <f>CHISQ.DIST.RT(x, deg_freedom)</f>
        <v/>
      </c>
      <c r="E15" s="5" t="inlineStr">
        <is>
          <t>Menghasilkan probabilitas ekor kanan (Right-Tailed) dari distribusi Chi-Square.</t>
        </is>
      </c>
      <c r="F15" s="8" t="inlineStr">
        <is>
          <t>👉 Buka Sheet CHISQ.DIST.RT</t>
        </is>
      </c>
    </row>
    <row r="16">
      <c r="A16" s="5" t="n">
        <v>12</v>
      </c>
      <c r="B16" s="6" t="inlineStr">
        <is>
          <t>CHISQ.INV</t>
        </is>
      </c>
      <c r="C16" s="5" t="inlineStr">
        <is>
          <t>8. Statistik &amp; Analisis Data</t>
        </is>
      </c>
      <c r="D16" s="7">
        <f>CHISQ.INV(probabilitas, deg_freedom)</f>
        <v/>
      </c>
      <c r="E16" s="5" t="inlineStr">
        <is>
          <t>Menghasilkan nilai invers probabilitas ekor kiri dari distribusi Chi-Square.</t>
        </is>
      </c>
      <c r="F16" s="8" t="inlineStr">
        <is>
          <t>👉 Buka Sheet CHISQ.INV</t>
        </is>
      </c>
    </row>
    <row r="17">
      <c r="A17" s="5" t="n">
        <v>13</v>
      </c>
      <c r="B17" s="6" t="inlineStr">
        <is>
          <t>CHISQ.RT.INV</t>
        </is>
      </c>
      <c r="C17" s="5" t="inlineStr">
        <is>
          <t>8. Statistik &amp; Analisis Data</t>
        </is>
      </c>
      <c r="D17" s="7">
        <f>CHISQ.INV.RT(probabilitas, deg_freedom)</f>
        <v/>
      </c>
      <c r="E17" s="5" t="inlineStr">
        <is>
          <t>Menghasilkan nilai invers probabilitas ekor kanan dari distribusi Chi-Square.</t>
        </is>
      </c>
      <c r="F17" s="8" t="inlineStr">
        <is>
          <t>👉 Buka Sheet CHISQ.RT.INV</t>
        </is>
      </c>
    </row>
    <row r="18">
      <c r="A18" s="5" t="n">
        <v>14</v>
      </c>
      <c r="B18" s="6" t="inlineStr">
        <is>
          <t>CHITEST</t>
        </is>
      </c>
      <c r="C18" s="5" t="inlineStr">
        <is>
          <t>8. Statistik &amp; Analisis Data</t>
        </is>
      </c>
      <c r="D18" s="7">
        <f>CHITEST(aktual_range, harapan_range)</f>
        <v/>
      </c>
      <c r="E18" s="5" t="inlineStr">
        <is>
          <t>Menghitung uji independensi Chi-Square antara data aktual dan ekspektasi.</t>
        </is>
      </c>
      <c r="F18" s="8" t="inlineStr">
        <is>
          <t>👉 Buka Sheet CHITEST</t>
        </is>
      </c>
    </row>
    <row r="19">
      <c r="A19" s="5" t="n">
        <v>15</v>
      </c>
      <c r="B19" s="6" t="inlineStr">
        <is>
          <t>CONFIDENCE.NORM</t>
        </is>
      </c>
      <c r="C19" s="5" t="inlineStr">
        <is>
          <t>8. Statistik &amp; Analisis Data</t>
        </is>
      </c>
      <c r="D19" s="7">
        <f>CONFIDENCE.NORM(alpha, standard_dev, size)</f>
        <v/>
      </c>
      <c r="E19" s="5" t="inlineStr">
        <is>
          <t>Menghitung rentang kepercayaan (margin of error) rata-rata populasi dengan distribusi normal.</t>
        </is>
      </c>
      <c r="F19" s="8" t="inlineStr">
        <is>
          <t>👉 Buka Sheet CONFIDENCE.NORM</t>
        </is>
      </c>
    </row>
    <row r="20">
      <c r="A20" s="5" t="n">
        <v>16</v>
      </c>
      <c r="B20" s="6" t="inlineStr">
        <is>
          <t>CONFIDENCE.T</t>
        </is>
      </c>
      <c r="C20" s="5" t="inlineStr">
        <is>
          <t>8. Statistik &amp; Analisis Data</t>
        </is>
      </c>
      <c r="D20" s="7">
        <f>CONFIDENCE.T(alpha, standard_dev, size)</f>
        <v/>
      </c>
      <c r="E20" s="5" t="inlineStr">
        <is>
          <t>Menghitung rentang kepercayaan rata-rata populasi dengan distribusi Student's t.</t>
        </is>
      </c>
      <c r="F20" s="8" t="inlineStr">
        <is>
          <t>👉 Buka Sheet CONFIDENCE.T</t>
        </is>
      </c>
    </row>
    <row r="21">
      <c r="A21" s="5" t="n">
        <v>17</v>
      </c>
      <c r="B21" s="6" t="inlineStr">
        <is>
          <t>CORREL</t>
        </is>
      </c>
      <c r="C21" s="5" t="inlineStr">
        <is>
          <t>8. Statistik &amp; Analisis Data</t>
        </is>
      </c>
      <c r="D21" s="7">
        <f>CORREL(range_x, range_y)</f>
        <v/>
      </c>
      <c r="E21" s="5" t="inlineStr">
        <is>
          <t>Mengukur koefisien korelasi (-1 s/d +1) antara dua variabel.</t>
        </is>
      </c>
      <c r="F21" s="8" t="inlineStr">
        <is>
          <t>👉 Buka Sheet CORREL</t>
        </is>
      </c>
    </row>
    <row r="22">
      <c r="A22" s="5" t="n">
        <v>18</v>
      </c>
      <c r="B22" s="6" t="inlineStr">
        <is>
          <t>COUNT</t>
        </is>
      </c>
      <c r="C22" s="5" t="inlineStr">
        <is>
          <t>8. Statistik &amp; Analisis Data</t>
        </is>
      </c>
      <c r="D22" s="7">
        <f>COUNT(range_data)</f>
        <v/>
      </c>
      <c r="E22" s="5" t="inlineStr">
        <is>
          <t>Menghitung ada berapa banyak sel yang berisi ANGKA saja.</t>
        </is>
      </c>
      <c r="F22" s="8" t="inlineStr">
        <is>
          <t>👉 Buka Sheet COUNT</t>
        </is>
      </c>
    </row>
    <row r="23">
      <c r="A23" s="5" t="n">
        <v>19</v>
      </c>
      <c r="B23" s="6" t="inlineStr">
        <is>
          <t>COUNTA</t>
        </is>
      </c>
      <c r="C23" s="5" t="inlineStr">
        <is>
          <t>8. Statistik &amp; Analisis Data</t>
        </is>
      </c>
      <c r="D23" s="7">
        <f>COUNTA(range_data)</f>
        <v/>
      </c>
      <c r="E23" s="5" t="inlineStr">
        <is>
          <t>Menghitung berapa banyak sel yang TIDAK KOSONG (berisi angka maupun teks).</t>
        </is>
      </c>
      <c r="F23" s="8" t="inlineStr">
        <is>
          <t>👉 Buka Sheet COUNTA</t>
        </is>
      </c>
    </row>
    <row r="24">
      <c r="A24" s="5" t="n">
        <v>20</v>
      </c>
      <c r="B24" s="6" t="inlineStr">
        <is>
          <t>COUNTBLANK</t>
        </is>
      </c>
      <c r="C24" s="5" t="inlineStr">
        <is>
          <t>8. Statistik &amp; Analisis Data</t>
        </is>
      </c>
      <c r="D24" s="7">
        <f>COUNTBLANK(range_data)</f>
        <v/>
      </c>
      <c r="E24" s="5" t="inlineStr">
        <is>
          <t>Menghitung berapa banyak sel yang masih KOSONG (belum diisi).</t>
        </is>
      </c>
      <c r="F24" s="8" t="inlineStr">
        <is>
          <t>👉 Buka Sheet COUNTBLANK</t>
        </is>
      </c>
    </row>
    <row r="25">
      <c r="A25" s="5" t="n">
        <v>21</v>
      </c>
      <c r="B25" s="6" t="inlineStr">
        <is>
          <t>COUNTIF</t>
        </is>
      </c>
      <c r="C25" s="5" t="inlineStr">
        <is>
          <t>8. Statistik &amp; Analisis Data</t>
        </is>
      </c>
      <c r="D25" s="7">
        <f>COUNTIF(range_data, syarat)</f>
        <v/>
      </c>
      <c r="E25" s="5" t="inlineStr">
        <is>
          <t>Menghitung jumlah sel yang memenuhi 1 kriteria tertentu.</t>
        </is>
      </c>
      <c r="F25" s="8" t="inlineStr">
        <is>
          <t>👉 Buka Sheet COUNTIF</t>
        </is>
      </c>
    </row>
    <row r="26">
      <c r="A26" s="5" t="n">
        <v>22</v>
      </c>
      <c r="B26" s="6" t="inlineStr">
        <is>
          <t>COUNTIFS</t>
        </is>
      </c>
      <c r="C26" s="5" t="inlineStr">
        <is>
          <t>8. Statistik &amp; Analisis Data</t>
        </is>
      </c>
      <c r="D26" s="7">
        <f>COUNTIFS(range1, syarat1, range2, syarat2)</f>
        <v/>
      </c>
      <c r="E26" s="5" t="inlineStr">
        <is>
          <t>Menghitung jumlah baris data yang memenuhi banyak kriteria sekaligus.</t>
        </is>
      </c>
      <c r="F26" s="8" t="inlineStr">
        <is>
          <t>👉 Buka Sheet COUNTIFS</t>
        </is>
      </c>
    </row>
    <row r="27">
      <c r="A27" s="5" t="n">
        <v>23</v>
      </c>
      <c r="B27" s="6" t="inlineStr">
        <is>
          <t>COVARIANCE.P</t>
        </is>
      </c>
      <c r="C27" s="5" t="inlineStr">
        <is>
          <t>8. Statistik &amp; Analisis Data</t>
        </is>
      </c>
      <c r="D27" s="7">
        <f>COVARIANCE.P(range_x, range_y)</f>
        <v/>
      </c>
      <c r="E27" s="5" t="inlineStr">
        <is>
          <t>Menghitung kovarians populasi antara dua kumpulan data.</t>
        </is>
      </c>
      <c r="F27" s="8" t="inlineStr">
        <is>
          <t>👉 Buka Sheet COVARIANCE.P</t>
        </is>
      </c>
    </row>
    <row r="28">
      <c r="A28" s="5" t="n">
        <v>24</v>
      </c>
      <c r="B28" s="6" t="inlineStr">
        <is>
          <t>COVARIANCE.T</t>
        </is>
      </c>
      <c r="C28" s="5" t="inlineStr">
        <is>
          <t>8. Statistik &amp; Analisis Data</t>
        </is>
      </c>
      <c r="D28" s="7">
        <f>COVARIANCE.S(range_x, range_y)</f>
        <v/>
      </c>
      <c r="E28" s="5" t="inlineStr">
        <is>
          <t>Menghitung kovarians sampel antara dua variabel pengamatan.</t>
        </is>
      </c>
      <c r="F28" s="8" t="inlineStr">
        <is>
          <t>👉 Buka Sheet COVARIANCE.T</t>
        </is>
      </c>
    </row>
    <row r="29">
      <c r="A29" s="5" t="n">
        <v>25</v>
      </c>
      <c r="B29" s="6" t="inlineStr">
        <is>
          <t>CRITBINOM</t>
        </is>
      </c>
      <c r="C29" s="5" t="inlineStr">
        <is>
          <t>8. Statistik &amp; Analisis Data</t>
        </is>
      </c>
      <c r="D29" s="7">
        <f>CRITBINOM(cobaan, prob_sukses, alpha)</f>
        <v/>
      </c>
      <c r="E29" s="5" t="inlineStr">
        <is>
          <t>Mencari nilai batas kritis distribusi binomial kumulatif.</t>
        </is>
      </c>
      <c r="F29" s="8" t="inlineStr">
        <is>
          <t>👉 Buka Sheet CRITBINOM</t>
        </is>
      </c>
    </row>
    <row r="30">
      <c r="A30" s="5" t="n">
        <v>26</v>
      </c>
      <c r="B30" s="6" t="inlineStr">
        <is>
          <t>DEVSQ</t>
        </is>
      </c>
      <c r="C30" s="5" t="inlineStr">
        <is>
          <t>8. Statistik &amp; Analisis Data</t>
        </is>
      </c>
      <c r="D30" s="7">
        <f>DEVSQ(range_data)</f>
        <v/>
      </c>
      <c r="E30" s="5" t="inlineStr">
        <is>
          <t>Menghitung jumlah kuadrat simpangan data dari rata-ratanya.</t>
        </is>
      </c>
      <c r="F30" s="8" t="inlineStr">
        <is>
          <t>👉 Buka Sheet DEVSQ</t>
        </is>
      </c>
    </row>
    <row r="31">
      <c r="A31" s="5" t="n">
        <v>27</v>
      </c>
      <c r="B31" s="6" t="inlineStr">
        <is>
          <t>EXPON.DIST</t>
        </is>
      </c>
      <c r="C31" s="5" t="inlineStr">
        <is>
          <t>8. Statistik &amp; Analisis Data</t>
        </is>
      </c>
      <c r="D31" s="7">
        <f>EXPON.DIST(x, lambda, TRUE)</f>
        <v/>
      </c>
      <c r="E31" s="5" t="inlineStr">
        <is>
          <t>Menghitung distribusi eksponensial (untuk memodelkan waktu tunggu antar-kejadian).</t>
        </is>
      </c>
      <c r="F31" s="8" t="inlineStr">
        <is>
          <t>👉 Buka Sheet EXPON.DIST</t>
        </is>
      </c>
    </row>
    <row r="32">
      <c r="A32" s="5" t="n">
        <v>28</v>
      </c>
      <c r="B32" s="6" t="inlineStr">
        <is>
          <t>F.DIST</t>
        </is>
      </c>
      <c r="C32" s="5" t="inlineStr">
        <is>
          <t>8. Statistik &amp; Analisis Data</t>
        </is>
      </c>
      <c r="D32" s="7">
        <f>F.DIST(x, deg_freedom1, deg_freedom2, TRUE)</f>
        <v/>
      </c>
      <c r="E32" s="5" t="inlineStr">
        <is>
          <t>Menghitung distribusi probabilitas F untuk membandingkan tingkat keragaman.</t>
        </is>
      </c>
      <c r="F32" s="8" t="inlineStr">
        <is>
          <t>👉 Buka Sheet F.DIST</t>
        </is>
      </c>
    </row>
    <row r="33">
      <c r="A33" s="5" t="n">
        <v>29</v>
      </c>
      <c r="B33" s="6" t="inlineStr">
        <is>
          <t>F.DIST.RT</t>
        </is>
      </c>
      <c r="C33" s="5" t="inlineStr">
        <is>
          <t>8. Statistik &amp; Analisis Data</t>
        </is>
      </c>
      <c r="D33" s="7">
        <f>F.DIST.RT(x, deg_freedom1, deg_freedom2)</f>
        <v/>
      </c>
      <c r="E33" s="5" t="inlineStr">
        <is>
          <t>Menghitung distribusi probabilitas F ekor kanan (Right-Tailed).</t>
        </is>
      </c>
      <c r="F33" s="8" t="inlineStr">
        <is>
          <t>👉 Buka Sheet F.DIST.RT</t>
        </is>
      </c>
    </row>
    <row r="34">
      <c r="A34" s="5" t="n">
        <v>30</v>
      </c>
      <c r="B34" s="6" t="inlineStr">
        <is>
          <t>F.INV</t>
        </is>
      </c>
      <c r="C34" s="5" t="inlineStr">
        <is>
          <t>8. Statistik &amp; Analisis Data</t>
        </is>
      </c>
      <c r="D34" s="7">
        <f>F.INV(probabilitas, deg_freedom1, deg_freedom2)</f>
        <v/>
      </c>
      <c r="E34" s="5" t="inlineStr">
        <is>
          <t>Menghitung nilai invers dari distribusi probabilitas F ekor kiri.</t>
        </is>
      </c>
      <c r="F34" s="8" t="inlineStr">
        <is>
          <t>👉 Buka Sheet F.INV</t>
        </is>
      </c>
    </row>
    <row r="35">
      <c r="A35" s="5" t="n">
        <v>31</v>
      </c>
      <c r="B35" s="6" t="inlineStr">
        <is>
          <t>F.INV.RT</t>
        </is>
      </c>
      <c r="C35" s="5" t="inlineStr">
        <is>
          <t>8. Statistik &amp; Analisis Data</t>
        </is>
      </c>
      <c r="D35" s="7">
        <f>F.INV.RT(probabilitas, deg_freedom1, deg_freedom2)</f>
        <v/>
      </c>
      <c r="E35" s="5" t="inlineStr">
        <is>
          <t>Menghitung nilai invers dari distribusi probabilitas F ekor kanan.</t>
        </is>
      </c>
      <c r="F35" s="8" t="inlineStr">
        <is>
          <t>👉 Buka Sheet F.INV.RT</t>
        </is>
      </c>
    </row>
    <row r="36">
      <c r="A36" s="5" t="n">
        <v>32</v>
      </c>
      <c r="B36" s="6" t="inlineStr">
        <is>
          <t>FTEST</t>
        </is>
      </c>
      <c r="C36" s="5" t="inlineStr">
        <is>
          <t>8. Statistik &amp; Analisis Data</t>
        </is>
      </c>
      <c r="D36" s="7">
        <f>FTEST(array1, array2)</f>
        <v/>
      </c>
      <c r="E36" s="5" t="inlineStr">
        <is>
          <t>Menghasilkan hasil uji-F untuk membandingkan varians dari dua sampel data.</t>
        </is>
      </c>
      <c r="F36" s="8" t="inlineStr">
        <is>
          <t>👉 Buka Sheet FTEST</t>
        </is>
      </c>
    </row>
    <row r="37">
      <c r="A37" s="5" t="n">
        <v>33</v>
      </c>
      <c r="B37" s="6" t="inlineStr">
        <is>
          <t>FISHER</t>
        </is>
      </c>
      <c r="C37" s="5" t="inlineStr">
        <is>
          <t>8. Statistik &amp; Analisis Data</t>
        </is>
      </c>
      <c r="D37" s="7">
        <f>FISHER(x)</f>
        <v/>
      </c>
      <c r="E37" s="5" t="inlineStr">
        <is>
          <t>Menghitung transformasi Fisher pada nilai koefisien korelasi r (-1 &lt; x &lt; 1).</t>
        </is>
      </c>
      <c r="F37" s="8" t="inlineStr">
        <is>
          <t>👉 Buka Sheet FISHER</t>
        </is>
      </c>
    </row>
    <row r="38">
      <c r="A38" s="5" t="n">
        <v>34</v>
      </c>
      <c r="B38" s="6" t="inlineStr">
        <is>
          <t>FISHER.INV</t>
        </is>
      </c>
      <c r="C38" s="5" t="inlineStr">
        <is>
          <t>8. Statistik &amp; Analisis Data</t>
        </is>
      </c>
      <c r="D38" s="7">
        <f>FISHERINV(y)</f>
        <v/>
      </c>
      <c r="E38" s="5" t="inlineStr">
        <is>
          <t>Menghitung kebalikan (invers) dari transformasi Fisher.</t>
        </is>
      </c>
      <c r="F38" s="8" t="inlineStr">
        <is>
          <t>👉 Buka Sheet FISHER.INV</t>
        </is>
      </c>
    </row>
    <row r="39">
      <c r="A39" s="5" t="n">
        <v>35</v>
      </c>
      <c r="B39" s="6" t="inlineStr">
        <is>
          <t>FORECAST</t>
        </is>
      </c>
      <c r="C39" s="5" t="inlineStr">
        <is>
          <t>8. Statistik &amp; Analisis Data</t>
        </is>
      </c>
      <c r="D39" s="7">
        <f>FORECAST(target_x, range_y, range_x)</f>
        <v/>
      </c>
      <c r="E39" s="5" t="inlineStr">
        <is>
          <t>Meramal nilai masa depan berdasarkan tren regresi linear.</t>
        </is>
      </c>
      <c r="F39" s="8" t="inlineStr">
        <is>
          <t>👉 Buka Sheet FORECAST</t>
        </is>
      </c>
    </row>
    <row r="40">
      <c r="A40" s="5" t="n">
        <v>36</v>
      </c>
      <c r="B40" s="6" t="inlineStr">
        <is>
          <t>FREQUENCY</t>
        </is>
      </c>
      <c r="C40" s="5" t="inlineStr">
        <is>
          <t>8. Statistik &amp; Analisis Data</t>
        </is>
      </c>
      <c r="D40" s="7">
        <f>FREQUENCY(data_array, bins_array)</f>
        <v/>
      </c>
      <c r="E40" s="5" t="inlineStr">
        <is>
          <t>Menghitung distribusi frekuensi kemunculan data berdasarkan batas interval.</t>
        </is>
      </c>
      <c r="F40" s="8" t="inlineStr">
        <is>
          <t>👉 Buka Sheet FREQUENCY</t>
        </is>
      </c>
    </row>
    <row r="41">
      <c r="A41" s="5" t="n">
        <v>37</v>
      </c>
      <c r="B41" s="6" t="inlineStr">
        <is>
          <t>GAMMADIST</t>
        </is>
      </c>
      <c r="C41" s="5" t="inlineStr">
        <is>
          <t>8. Statistik &amp; Analisis Data</t>
        </is>
      </c>
      <c r="D41" s="7">
        <f>GAMMA.DIST(x, alpha, beta, TRUE)</f>
        <v/>
      </c>
      <c r="E41" s="5" t="inlineStr">
        <is>
          <t>Menghitung distribusi Gamma untuk analisis variabel yang memiliki kemencengan.</t>
        </is>
      </c>
      <c r="F41" s="8" t="inlineStr">
        <is>
          <t>👉 Buka Sheet GAMMADIST</t>
        </is>
      </c>
    </row>
    <row r="42">
      <c r="A42" s="5" t="n">
        <v>38</v>
      </c>
      <c r="B42" s="6" t="inlineStr">
        <is>
          <t>GAMMAINV</t>
        </is>
      </c>
      <c r="C42" s="5" t="inlineStr">
        <is>
          <t>8. Statistik &amp; Analisis Data</t>
        </is>
      </c>
      <c r="D42" s="7">
        <f>GAMMA.INV(probabilitas, alpha, beta)</f>
        <v/>
      </c>
      <c r="E42" s="5" t="inlineStr">
        <is>
          <t>Menghasilkan invers dari distribusi Gamma kumulatif.</t>
        </is>
      </c>
      <c r="F42" s="8" t="inlineStr">
        <is>
          <t>👉 Buka Sheet GAMMAINV</t>
        </is>
      </c>
    </row>
    <row r="43">
      <c r="A43" s="5" t="n">
        <v>39</v>
      </c>
      <c r="B43" s="6" t="inlineStr">
        <is>
          <t>GAMMALN</t>
        </is>
      </c>
      <c r="C43" s="5" t="inlineStr">
        <is>
          <t>8. Statistik &amp; Analisis Data</t>
        </is>
      </c>
      <c r="D43" s="7">
        <f>GAMMALN(x)</f>
        <v/>
      </c>
      <c r="E43" s="5" t="inlineStr">
        <is>
          <t>Menghitung logaritma natural dari fungsi Gamma Γ(x).</t>
        </is>
      </c>
      <c r="F43" s="8" t="inlineStr">
        <is>
          <t>👉 Buka Sheet GAMMALN</t>
        </is>
      </c>
    </row>
    <row r="44">
      <c r="A44" s="5" t="n">
        <v>40</v>
      </c>
      <c r="B44" s="6" t="inlineStr">
        <is>
          <t>GEOMEAN</t>
        </is>
      </c>
      <c r="C44" s="5" t="inlineStr">
        <is>
          <t>8. Statistik &amp; Analisis Data</t>
        </is>
      </c>
      <c r="D44" s="7">
        <f>GEOMEAN(range_data)</f>
        <v/>
      </c>
      <c r="E44" s="5" t="inlineStr">
        <is>
          <t>Menghitung Rata-Rata Geometrik untuk laju pertumbuhan majemuk.</t>
        </is>
      </c>
      <c r="F44" s="8" t="inlineStr">
        <is>
          <t>👉 Buka Sheet GEOMEAN</t>
        </is>
      </c>
    </row>
    <row r="45">
      <c r="A45" s="5" t="n">
        <v>41</v>
      </c>
      <c r="B45" s="6" t="inlineStr">
        <is>
          <t>GROWTH</t>
        </is>
      </c>
      <c r="C45" s="5" t="inlineStr">
        <is>
          <t>8. Statistik &amp; Analisis Data</t>
        </is>
      </c>
      <c r="D45" s="7">
        <f>GROWTH(range_y, range_x, target_x)</f>
        <v/>
      </c>
      <c r="E45" s="5" t="inlineStr">
        <is>
          <t>Memprediksi pertumbuhan eksponensial berdasarkan data historis.</t>
        </is>
      </c>
      <c r="F45" s="8" t="inlineStr">
        <is>
          <t>👉 Buka Sheet GROWTH</t>
        </is>
      </c>
    </row>
    <row r="46">
      <c r="A46" s="5" t="n">
        <v>42</v>
      </c>
      <c r="B46" s="6" t="inlineStr">
        <is>
          <t>HARMEAN</t>
        </is>
      </c>
      <c r="C46" s="5" t="inlineStr">
        <is>
          <t>8. Statistik &amp; Analisis Data</t>
        </is>
      </c>
      <c r="D46" s="7">
        <f>HARMEAN(range_data)</f>
        <v/>
      </c>
      <c r="E46" s="5" t="inlineStr">
        <is>
          <t>Menghitung Rata-Rata Harmonik untuk laju atau kecepatan rata-rata.</t>
        </is>
      </c>
      <c r="F46" s="8" t="inlineStr">
        <is>
          <t>👉 Buka Sheet HARMEAN</t>
        </is>
      </c>
    </row>
    <row r="47">
      <c r="A47" s="5" t="n">
        <v>43</v>
      </c>
      <c r="B47" s="6" t="inlineStr">
        <is>
          <t>HYPGEOMDIST</t>
        </is>
      </c>
      <c r="C47" s="5" t="inlineStr">
        <is>
          <t>8. Statistik &amp; Analisis Data</t>
        </is>
      </c>
      <c r="D47" s="7">
        <f>HYPGEOM.DIST(sampel_s, ukuran_sampel, pop_s, ukuran_pop, TRUE)</f>
        <v/>
      </c>
      <c r="E47" s="5" t="inlineStr">
        <is>
          <t>Menghitung peluang distribusi Hipergeometrik (pengambilan sampel tanpa pengembalian).</t>
        </is>
      </c>
      <c r="F47" s="8" t="inlineStr">
        <is>
          <t>👉 Buka Sheet HYPGEOMDIST</t>
        </is>
      </c>
    </row>
    <row r="48">
      <c r="A48" s="5" t="n">
        <v>44</v>
      </c>
      <c r="B48" s="6" t="inlineStr">
        <is>
          <t>INTERCEPT</t>
        </is>
      </c>
      <c r="C48" s="5" t="inlineStr">
        <is>
          <t>8. Statistik &amp; Analisis Data</t>
        </is>
      </c>
      <c r="D48" s="7">
        <f>INTERCEPT(range_y, range_x)</f>
        <v/>
      </c>
      <c r="E48" s="5" t="inlineStr">
        <is>
          <t>Mencari titik potong sumbu Y pada garis regresi linear.</t>
        </is>
      </c>
      <c r="F48" s="8" t="inlineStr">
        <is>
          <t>👉 Buka Sheet INTERCEPT</t>
        </is>
      </c>
    </row>
    <row r="49">
      <c r="A49" s="5" t="n">
        <v>45</v>
      </c>
      <c r="B49" s="6" t="inlineStr">
        <is>
          <t>KURT</t>
        </is>
      </c>
      <c r="C49" s="5" t="inlineStr">
        <is>
          <t>8. Statistik &amp; Analisis Data</t>
        </is>
      </c>
      <c r="D49" s="7">
        <f>KURT(range_data)</f>
        <v/>
      </c>
      <c r="E49" s="5" t="inlineStr">
        <is>
          <t>Mengukur keruncingan (Kurtosis) distribusi data statistik.</t>
        </is>
      </c>
      <c r="F49" s="8" t="inlineStr">
        <is>
          <t>👉 Buka Sheet KURT</t>
        </is>
      </c>
    </row>
    <row r="50">
      <c r="A50" s="5" t="n">
        <v>46</v>
      </c>
      <c r="B50" s="6" t="inlineStr">
        <is>
          <t>LARGE</t>
        </is>
      </c>
      <c r="C50" s="5" t="inlineStr">
        <is>
          <t>8. Statistik &amp; Analisis Data</t>
        </is>
      </c>
      <c r="D50" s="7">
        <f>LARGE(range_data, k)</f>
        <v/>
      </c>
      <c r="E50" s="5" t="inlineStr">
        <is>
          <t>Mencari nilai terbesar ke-k (Juara ke-1, Juara ke-2, atau Juara ke-3).</t>
        </is>
      </c>
      <c r="F50" s="8" t="inlineStr">
        <is>
          <t>👉 Buka Sheet LARGE</t>
        </is>
      </c>
    </row>
    <row r="51">
      <c r="A51" s="5" t="n">
        <v>47</v>
      </c>
      <c r="B51" s="6" t="inlineStr">
        <is>
          <t>LOGNORM.DIST</t>
        </is>
      </c>
      <c r="C51" s="5" t="inlineStr">
        <is>
          <t>8. Statistik &amp; Analisis Data</t>
        </is>
      </c>
      <c r="D51" s="7">
        <f>LOGNORM.DIST(x, mean, standard_dev, TRUE)</f>
        <v/>
      </c>
      <c r="E51" s="5" t="inlineStr">
        <is>
          <t>Menghitung distribusi lognormal kumulatif dari variabel x.</t>
        </is>
      </c>
      <c r="F51" s="8" t="inlineStr">
        <is>
          <t>👉 Buka Sheet LOGNORM.DIST</t>
        </is>
      </c>
    </row>
    <row r="52">
      <c r="A52" s="5" t="n">
        <v>48</v>
      </c>
      <c r="B52" s="6" t="inlineStr">
        <is>
          <t>LOGINV</t>
        </is>
      </c>
      <c r="C52" s="5" t="inlineStr">
        <is>
          <t>8. Statistik &amp; Analisis Data</t>
        </is>
      </c>
      <c r="D52" s="7">
        <f>LOGNORM.INV(probabilitas, mean, standard_dev)</f>
        <v/>
      </c>
      <c r="E52" s="5" t="inlineStr">
        <is>
          <t>Menghasilkan invers dari distribusi lognormal kumulatif.</t>
        </is>
      </c>
      <c r="F52" s="8" t="inlineStr">
        <is>
          <t>👉 Buka Sheet LOGINV</t>
        </is>
      </c>
    </row>
    <row r="53">
      <c r="A53" s="5" t="n">
        <v>49</v>
      </c>
      <c r="B53" s="6" t="inlineStr">
        <is>
          <t>MAX</t>
        </is>
      </c>
      <c r="C53" s="5" t="inlineStr">
        <is>
          <t>8. Statistik &amp; Analisis Data</t>
        </is>
      </c>
      <c r="D53" s="7">
        <f>MAX(range_data)</f>
        <v/>
      </c>
      <c r="E53" s="5" t="inlineStr">
        <is>
          <t>Mencari nilai PALING TINGGI (Maksimum / Rekor Juara 1) dari sekumpulan data.</t>
        </is>
      </c>
      <c r="F53" s="8" t="inlineStr">
        <is>
          <t>👉 Buka Sheet MAX</t>
        </is>
      </c>
    </row>
    <row r="54">
      <c r="A54" s="5" t="n">
        <v>50</v>
      </c>
      <c r="B54" s="6" t="inlineStr">
        <is>
          <t>MAXA</t>
        </is>
      </c>
      <c r="C54" s="5" t="inlineStr">
        <is>
          <t>8. Statistik &amp; Analisis Data</t>
        </is>
      </c>
      <c r="D54" s="7">
        <f>MAXA(range_data)</f>
        <v/>
      </c>
      <c r="E54" s="5" t="inlineStr">
        <is>
          <t>Mencari nilai maksimum dengan menyertakan nilai logika dan teks.</t>
        </is>
      </c>
      <c r="F54" s="8" t="inlineStr">
        <is>
          <t>👉 Buka Sheet MAXA</t>
        </is>
      </c>
    </row>
    <row r="55">
      <c r="A55" s="5" t="n">
        <v>51</v>
      </c>
      <c r="B55" s="6" t="inlineStr">
        <is>
          <t>MEDIAN</t>
        </is>
      </c>
      <c r="C55" s="5" t="inlineStr">
        <is>
          <t>8. Statistik &amp; Analisis Data</t>
        </is>
      </c>
      <c r="D55" s="7">
        <f>MEDIAN(range_data)</f>
        <v/>
      </c>
      <c r="E55" s="5" t="inlineStr">
        <is>
          <t>Mencari NILAI TENGAH setelah data diurutkan dari terkecil ke terbesar.</t>
        </is>
      </c>
      <c r="F55" s="8" t="inlineStr">
        <is>
          <t>👉 Buka Sheet MEDIAN</t>
        </is>
      </c>
    </row>
    <row r="56">
      <c r="A56" s="5" t="n">
        <v>52</v>
      </c>
      <c r="B56" s="6" t="inlineStr">
        <is>
          <t>MIN</t>
        </is>
      </c>
      <c r="C56" s="5" t="inlineStr">
        <is>
          <t>8. Statistik &amp; Analisis Data</t>
        </is>
      </c>
      <c r="D56" s="7">
        <f>MIN(range_data)</f>
        <v/>
      </c>
      <c r="E56" s="5" t="inlineStr">
        <is>
          <t>Mencari nilai PALING RENDAH (Minimum) dari sekumpulan data.</t>
        </is>
      </c>
      <c r="F56" s="8" t="inlineStr">
        <is>
          <t>👉 Buka Sheet MIN</t>
        </is>
      </c>
    </row>
    <row r="57">
      <c r="A57" s="5" t="n">
        <v>53</v>
      </c>
      <c r="B57" s="6" t="inlineStr">
        <is>
          <t>MINA</t>
        </is>
      </c>
      <c r="C57" s="5" t="inlineStr">
        <is>
          <t>8. Statistik &amp; Analisis Data</t>
        </is>
      </c>
      <c r="D57" s="7">
        <f>MINA(range_data)</f>
        <v/>
      </c>
      <c r="E57" s="5" t="inlineStr">
        <is>
          <t>Mencari nilai minimum dengan menyertakan nilai logika dan teks.</t>
        </is>
      </c>
      <c r="F57" s="8" t="inlineStr">
        <is>
          <t>👉 Buka Sheet MINA</t>
        </is>
      </c>
    </row>
    <row r="58">
      <c r="A58" s="5" t="n">
        <v>54</v>
      </c>
      <c r="B58" s="6" t="inlineStr">
        <is>
          <t>MODE</t>
        </is>
      </c>
      <c r="C58" s="5" t="inlineStr">
        <is>
          <t>8. Statistik &amp; Analisis Data</t>
        </is>
      </c>
      <c r="D58" s="7">
        <f>MODE(range_data)</f>
        <v/>
      </c>
      <c r="E58" s="5" t="inlineStr">
        <is>
          <t>Mencari angka yang PALING SERING MUNCUL (Modus) di dalam daftar.</t>
        </is>
      </c>
      <c r="F58" s="8" t="inlineStr">
        <is>
          <t>👉 Buka Sheet MODE</t>
        </is>
      </c>
    </row>
    <row r="59">
      <c r="A59" s="5" t="n">
        <v>55</v>
      </c>
      <c r="B59" s="6" t="inlineStr">
        <is>
          <t>NEGBINOM.DIST</t>
        </is>
      </c>
      <c r="C59" s="5" t="inlineStr">
        <is>
          <t>8. Statistik &amp; Analisis Data</t>
        </is>
      </c>
      <c r="D59" s="7">
        <f>NEGBINOM.DIST(gagal, sukses, prob_sukses, TRUE)</f>
        <v/>
      </c>
      <c r="E59" s="5" t="inlineStr">
        <is>
          <t>Menghitung distribusi Binomial Negatif (peluang jumlah kegagalan sebelum sukses ke-r).</t>
        </is>
      </c>
      <c r="F59" s="8" t="inlineStr">
        <is>
          <t>👉 Buka Sheet NEGBINOM.DIST</t>
        </is>
      </c>
    </row>
    <row r="60">
      <c r="A60" s="5" t="n">
        <v>56</v>
      </c>
      <c r="B60" s="6" t="inlineStr">
        <is>
          <t>NORM.DIST</t>
        </is>
      </c>
      <c r="C60" s="5" t="inlineStr">
        <is>
          <t>8. Statistik &amp; Analisis Data</t>
        </is>
      </c>
      <c r="D60" s="7">
        <f>NORM.DIST(x, mean, standard_dev, TRUE)</f>
        <v/>
      </c>
      <c r="E60" s="5" t="inlineStr">
        <is>
          <t>Menghasilkan nilai distribusi normal untuk rata-rata dan simpangan baku tertentu.</t>
        </is>
      </c>
      <c r="F60" s="8" t="inlineStr">
        <is>
          <t>👉 Buka Sheet NORM.DIST</t>
        </is>
      </c>
    </row>
    <row r="61">
      <c r="A61" s="5" t="n">
        <v>57</v>
      </c>
      <c r="B61" s="6" t="inlineStr">
        <is>
          <t>NORM.INV</t>
        </is>
      </c>
      <c r="C61" s="5" t="inlineStr">
        <is>
          <t>8. Statistik &amp; Analisis Data</t>
        </is>
      </c>
      <c r="D61" s="7">
        <f>NORM.INV(probabilitas, mean, standard_dev)</f>
        <v/>
      </c>
      <c r="E61" s="5" t="inlineStr">
        <is>
          <t>Menghasilkan invers dari distribusi normal kumulatif.</t>
        </is>
      </c>
      <c r="F61" s="8" t="inlineStr">
        <is>
          <t>👉 Buka Sheet NORM.INV</t>
        </is>
      </c>
    </row>
    <row r="62">
      <c r="A62" s="5" t="n">
        <v>58</v>
      </c>
      <c r="B62" s="6" t="inlineStr">
        <is>
          <t>NORM.S.DIST</t>
        </is>
      </c>
      <c r="C62" s="5" t="inlineStr">
        <is>
          <t>8. Statistik &amp; Analisis Data</t>
        </is>
      </c>
      <c r="D62" s="7">
        <f>NORM.S.DIST(z, TRUE)</f>
        <v/>
      </c>
      <c r="E62" s="5" t="inlineStr">
        <is>
          <t>Menghasilkan distribusi normal standar (rata-rata = 0 dan standar deviasi = 1).</t>
        </is>
      </c>
      <c r="F62" s="8" t="inlineStr">
        <is>
          <t>👉 Buka Sheet NORM.S.DIST</t>
        </is>
      </c>
    </row>
    <row r="63">
      <c r="A63" s="5" t="n">
        <v>59</v>
      </c>
      <c r="B63" s="6" t="inlineStr">
        <is>
          <t>NORM.S.INV</t>
        </is>
      </c>
      <c r="C63" s="5" t="inlineStr">
        <is>
          <t>8. Statistik &amp; Analisis Data</t>
        </is>
      </c>
      <c r="D63" s="7">
        <f>NORM.S.INV(probabilitas)</f>
        <v/>
      </c>
      <c r="E63" s="5" t="inlineStr">
        <is>
          <t>Menghasilkan nilai Z dari kebalikan distribusi normal standar kumulatif.</t>
        </is>
      </c>
      <c r="F63" s="8" t="inlineStr">
        <is>
          <t>👉 Buka Sheet NORM.S.INV</t>
        </is>
      </c>
    </row>
    <row r="64">
      <c r="A64" s="5" t="n">
        <v>60</v>
      </c>
      <c r="B64" s="6" t="inlineStr">
        <is>
          <t>PEARSON</t>
        </is>
      </c>
      <c r="C64" s="5" t="inlineStr">
        <is>
          <t>8. Statistik &amp; Analisis Data</t>
        </is>
      </c>
      <c r="D64" s="7">
        <f>PEARSON(range_x, range_y)</f>
        <v/>
      </c>
      <c r="E64" s="5" t="inlineStr">
        <is>
          <t>Menghitung koefisien korelasi Pearson antara dua kumpulan data.</t>
        </is>
      </c>
      <c r="F64" s="8" t="inlineStr">
        <is>
          <t>👉 Buka Sheet PEARSON</t>
        </is>
      </c>
    </row>
    <row r="65">
      <c r="A65" s="5" t="n">
        <v>61</v>
      </c>
      <c r="B65" s="6" t="inlineStr">
        <is>
          <t>PERCENTILE.EXC</t>
        </is>
      </c>
      <c r="C65" s="5" t="inlineStr">
        <is>
          <t>8. Statistik &amp; Analisis Data</t>
        </is>
      </c>
      <c r="D65" s="7">
        <f>PERCENTILE.EXC(range_data, k)</f>
        <v/>
      </c>
      <c r="E65" s="5" t="inlineStr">
        <is>
          <t>Mencari nilai persentil eksklusif dari distribusi data.</t>
        </is>
      </c>
      <c r="F65" s="8" t="inlineStr">
        <is>
          <t>👉 Buka Sheet PERCENTILE.EXC</t>
        </is>
      </c>
    </row>
    <row r="66">
      <c r="A66" s="5" t="n">
        <v>62</v>
      </c>
      <c r="B66" s="6" t="inlineStr">
        <is>
          <t>PERCENTILE.INC</t>
        </is>
      </c>
      <c r="C66" s="5" t="inlineStr">
        <is>
          <t>8. Statistik &amp; Analisis Data</t>
        </is>
      </c>
      <c r="D66" s="7">
        <f>PERCENTILE.INC(range_data, k)</f>
        <v/>
      </c>
      <c r="E66" s="5" t="inlineStr">
        <is>
          <t>Mencari nilai persentil inklusif (0 s/d 1) dari distribusi data.</t>
        </is>
      </c>
      <c r="F66" s="8" t="inlineStr">
        <is>
          <t>👉 Buka Sheet PERCENTILE.INC</t>
        </is>
      </c>
    </row>
    <row r="67">
      <c r="A67" s="5" t="n">
        <v>63</v>
      </c>
      <c r="B67" s="6" t="inlineStr">
        <is>
          <t>PERCENTRANK.EXC</t>
        </is>
      </c>
      <c r="C67" s="5" t="inlineStr">
        <is>
          <t>8. Statistik &amp; Analisis Data</t>
        </is>
      </c>
      <c r="D67" s="7">
        <f>PERCENTRANK.EXC(range_data, x)</f>
        <v/>
      </c>
      <c r="E67" s="5" t="inlineStr">
        <is>
          <t>Mencari peringkat persentase eksklusif suatu nilai di dalam kumpulan data.</t>
        </is>
      </c>
      <c r="F67" s="8" t="inlineStr">
        <is>
          <t>👉 Buka Sheet PERCENTRANK.EXC</t>
        </is>
      </c>
    </row>
    <row r="68">
      <c r="A68" s="5" t="n">
        <v>64</v>
      </c>
      <c r="B68" s="6" t="inlineStr">
        <is>
          <t>PERCENTRANK.INC</t>
        </is>
      </c>
      <c r="C68" s="5" t="inlineStr">
        <is>
          <t>8. Statistik &amp; Analisis Data</t>
        </is>
      </c>
      <c r="D68" s="7">
        <f>PERCENTRANK.INC(range_data, x)</f>
        <v/>
      </c>
      <c r="E68" s="5" t="inlineStr">
        <is>
          <t>Mencari peringkat persentase inklusif suatu nilai di dalam kumpulan data.</t>
        </is>
      </c>
      <c r="F68" s="8" t="inlineStr">
        <is>
          <t>👉 Buka Sheet PERCENTRANK.INC</t>
        </is>
      </c>
    </row>
    <row r="69">
      <c r="A69" s="5" t="n">
        <v>65</v>
      </c>
      <c r="B69" s="6" t="inlineStr">
        <is>
          <t>PERMUT</t>
        </is>
      </c>
      <c r="C69" s="5" t="inlineStr">
        <is>
          <t>8. Statistik &amp; Analisis Data</t>
        </is>
      </c>
      <c r="D69" s="7">
        <f>PERMUT(jumlah_objek, jumlah_dipilih)</f>
        <v/>
      </c>
      <c r="E69" s="5" t="inlineStr">
        <is>
          <t>Menghitung banyaknya susunan permutasi objek yang memperhatikan urutan.</t>
        </is>
      </c>
      <c r="F69" s="8" t="inlineStr">
        <is>
          <t>👉 Buka Sheet PERMUT</t>
        </is>
      </c>
    </row>
    <row r="70">
      <c r="A70" s="5" t="n">
        <v>66</v>
      </c>
      <c r="B70" s="6" t="inlineStr">
        <is>
          <t>POISSON</t>
        </is>
      </c>
      <c r="C70" s="5" t="inlineStr">
        <is>
          <t>8. Statistik &amp; Analisis Data</t>
        </is>
      </c>
      <c r="D70" s="7">
        <f>POISSON(x, mean, TRUE)</f>
        <v/>
      </c>
      <c r="E70" s="5" t="inlineStr">
        <is>
          <t>Menghitung distribusi peluang Poisson (jumlah kejadian dalam selang waktu tertentu).</t>
        </is>
      </c>
      <c r="F70" s="8" t="inlineStr">
        <is>
          <t>👉 Buka Sheet POISSON</t>
        </is>
      </c>
    </row>
    <row r="71">
      <c r="A71" s="5" t="n">
        <v>67</v>
      </c>
      <c r="B71" s="6" t="inlineStr">
        <is>
          <t>PROB</t>
        </is>
      </c>
      <c r="C71" s="5" t="inlineStr">
        <is>
          <t>8. Statistik &amp; Analisis Data</t>
        </is>
      </c>
      <c r="D71" s="7">
        <f>PROB(range_x, range_prob, batas_bawah)</f>
        <v/>
      </c>
      <c r="E71" s="5" t="inlineStr">
        <is>
          <t>Menghitung peluang bahwa nilai berada pada titik atau rentang tertentu.</t>
        </is>
      </c>
      <c r="F71" s="8" t="inlineStr">
        <is>
          <t>👉 Buka Sheet PROB</t>
        </is>
      </c>
    </row>
    <row r="72">
      <c r="A72" s="5" t="n">
        <v>68</v>
      </c>
      <c r="B72" s="6" t="inlineStr">
        <is>
          <t>QUARTILE.EXC</t>
        </is>
      </c>
      <c r="C72" s="5" t="inlineStr">
        <is>
          <t>8. Statistik &amp; Analisis Data</t>
        </is>
      </c>
      <c r="D72" s="7">
        <f>QUARTILE.EXC(range_data, kuartil)</f>
        <v/>
      </c>
      <c r="E72" s="5" t="inlineStr">
        <is>
          <t>Mencari nilai Kuartil eksklusif (1, 2, atau 3) dari rentang data.</t>
        </is>
      </c>
      <c r="F72" s="8" t="inlineStr">
        <is>
          <t>👉 Buka Sheet QUARTILE.EXC</t>
        </is>
      </c>
    </row>
    <row r="73">
      <c r="A73" s="5" t="n">
        <v>69</v>
      </c>
      <c r="B73" s="6" t="inlineStr">
        <is>
          <t>QUARTILE.INC</t>
        </is>
      </c>
      <c r="C73" s="5" t="inlineStr">
        <is>
          <t>8. Statistik &amp; Analisis Data</t>
        </is>
      </c>
      <c r="D73" s="7">
        <f>QUARTILE.INC(range_data, kuartil)</f>
        <v/>
      </c>
      <c r="E73" s="5" t="inlineStr">
        <is>
          <t>Mencari nilai Kuartil inklusif (1=Kuartil Bawah, 2=Median, 3=Kuartil Atas).</t>
        </is>
      </c>
      <c r="F73" s="8" t="inlineStr">
        <is>
          <t>👉 Buka Sheet QUARTILE.INC</t>
        </is>
      </c>
    </row>
    <row r="74">
      <c r="A74" s="5" t="n">
        <v>70</v>
      </c>
      <c r="B74" s="6" t="inlineStr">
        <is>
          <t>RANK</t>
        </is>
      </c>
      <c r="C74" s="5" t="inlineStr">
        <is>
          <t>8. Statistik &amp; Analisis Data</t>
        </is>
      </c>
      <c r="D74" s="7">
        <f>RANK(angka, range_referensi)</f>
        <v/>
      </c>
      <c r="E74" s="5" t="inlineStr">
        <is>
          <t>Menentukan peringkat juara ke-berapa suatu angka dibandingkan seluruh daftar.</t>
        </is>
      </c>
      <c r="F74" s="8" t="inlineStr">
        <is>
          <t>👉 Buka Sheet RANK</t>
        </is>
      </c>
    </row>
    <row r="75">
      <c r="A75" s="5" t="n">
        <v>71</v>
      </c>
      <c r="B75" s="6" t="inlineStr">
        <is>
          <t>RSQ</t>
        </is>
      </c>
      <c r="C75" s="5" t="inlineStr">
        <is>
          <t>8. Statistik &amp; Analisis Data</t>
        </is>
      </c>
      <c r="D75" s="7">
        <f>RSQ(range_y, range_x)</f>
        <v/>
      </c>
      <c r="E75" s="5" t="inlineStr">
        <is>
          <t>Menghitung nilai R-Squared (Koefisien Determinasi) regresi linear.</t>
        </is>
      </c>
      <c r="F75" s="8" t="inlineStr">
        <is>
          <t>👉 Buka Sheet RSQ</t>
        </is>
      </c>
    </row>
    <row r="76">
      <c r="A76" s="5" t="n">
        <v>72</v>
      </c>
      <c r="B76" s="6" t="inlineStr">
        <is>
          <t>SKEW</t>
        </is>
      </c>
      <c r="C76" s="5" t="inlineStr">
        <is>
          <t>8. Statistik &amp; Analisis Data</t>
        </is>
      </c>
      <c r="D76" s="7">
        <f>SKEW(range_data)</f>
        <v/>
      </c>
      <c r="E76" s="5" t="inlineStr">
        <is>
          <t>Mengukur kemencengan (Skewness) distribusi data.</t>
        </is>
      </c>
      <c r="F76" s="8" t="inlineStr">
        <is>
          <t>👉 Buka Sheet SKEW</t>
        </is>
      </c>
    </row>
    <row r="77">
      <c r="A77" s="5" t="n">
        <v>73</v>
      </c>
      <c r="B77" s="6" t="inlineStr">
        <is>
          <t>SLOPE</t>
        </is>
      </c>
      <c r="C77" s="5" t="inlineStr">
        <is>
          <t>8. Statistik &amp; Analisis Data</t>
        </is>
      </c>
      <c r="D77" s="7">
        <f>SLOPE(range_y, range_x)</f>
        <v/>
      </c>
      <c r="E77" s="5" t="inlineStr">
        <is>
          <t>Menghitung kemiringan garis tren regresi linear.</t>
        </is>
      </c>
      <c r="F77" s="8" t="inlineStr">
        <is>
          <t>👉 Buka Sheet SLOPE</t>
        </is>
      </c>
    </row>
    <row r="78">
      <c r="A78" s="5" t="n">
        <v>74</v>
      </c>
      <c r="B78" s="6" t="inlineStr">
        <is>
          <t>SMALL</t>
        </is>
      </c>
      <c r="C78" s="5" t="inlineStr">
        <is>
          <t>8. Statistik &amp; Analisis Data</t>
        </is>
      </c>
      <c r="D78" s="7">
        <f>SMALL(range_data, k)</f>
        <v/>
      </c>
      <c r="E78" s="5" t="inlineStr">
        <is>
          <t>Mencari nilai terkecil ke-k (urutan paling bawah ke-1, ke-2, ke-3).</t>
        </is>
      </c>
      <c r="F78" s="8" t="inlineStr">
        <is>
          <t>👉 Buka Sheet SMALL</t>
        </is>
      </c>
    </row>
    <row r="79">
      <c r="A79" s="5" t="n">
        <v>75</v>
      </c>
      <c r="B79" s="6" t="inlineStr">
        <is>
          <t>STANDARDIZE</t>
        </is>
      </c>
      <c r="C79" s="5" t="inlineStr">
        <is>
          <t>8. Statistik &amp; Analisis Data</t>
        </is>
      </c>
      <c r="D79" s="7">
        <f>STANDARDIZE(x, mean, standard_dev)</f>
        <v/>
      </c>
      <c r="E79" s="5" t="inlineStr">
        <is>
          <t>Menghitung nilai baku (Z-score) dari distribusi yang memiliki rata-rata dan simpangan baku.</t>
        </is>
      </c>
      <c r="F79" s="8" t="inlineStr">
        <is>
          <t>👉 Buka Sheet STANDARDIZE</t>
        </is>
      </c>
    </row>
    <row r="80">
      <c r="A80" s="5" t="n">
        <v>76</v>
      </c>
      <c r="B80" s="6" t="inlineStr">
        <is>
          <t>STDEV.P</t>
        </is>
      </c>
      <c r="C80" s="5" t="inlineStr">
        <is>
          <t>8. Statistik &amp; Analisis Data</t>
        </is>
      </c>
      <c r="D80" s="7">
        <f>STDEV.P(range_populasi)</f>
        <v/>
      </c>
      <c r="E80" s="5" t="inlineStr">
        <is>
          <t>Menghitung Standar Deviasi untuk seluruh populasi penuh.</t>
        </is>
      </c>
      <c r="F80" s="8" t="inlineStr">
        <is>
          <t>👉 Buka Sheet STDEV.P</t>
        </is>
      </c>
    </row>
    <row r="81">
      <c r="A81" s="5" t="n">
        <v>77</v>
      </c>
      <c r="B81" s="6" t="inlineStr">
        <is>
          <t>STDEV.S</t>
        </is>
      </c>
      <c r="C81" s="5" t="inlineStr">
        <is>
          <t>8. Statistik &amp; Analisis Data</t>
        </is>
      </c>
      <c r="D81" s="7">
        <f>STDEV.S(range_sampel)</f>
        <v/>
      </c>
      <c r="E81" s="5" t="inlineStr">
        <is>
          <t>Menghitung Standar Deviasi (simpangan baku) dari sampel data.</t>
        </is>
      </c>
      <c r="F81" s="8" t="inlineStr">
        <is>
          <t>👉 Buka Sheet STDEV.S</t>
        </is>
      </c>
    </row>
    <row r="82">
      <c r="A82" s="5" t="n">
        <v>78</v>
      </c>
      <c r="B82" s="6" t="inlineStr">
        <is>
          <t>STDEVA</t>
        </is>
      </c>
      <c r="C82" s="5" t="inlineStr">
        <is>
          <t>8. Statistik &amp; Analisis Data</t>
        </is>
      </c>
      <c r="D82" s="7">
        <f>STDEVA(range_sampel)</f>
        <v/>
      </c>
      <c r="E82" s="5" t="inlineStr">
        <is>
          <t>Menghitung standar deviasi sampel termasuk nilai logika dan teks.</t>
        </is>
      </c>
      <c r="F82" s="8" t="inlineStr">
        <is>
          <t>👉 Buka Sheet STDEVA</t>
        </is>
      </c>
    </row>
    <row r="83">
      <c r="A83" s="5" t="n">
        <v>79</v>
      </c>
      <c r="B83" s="6" t="inlineStr">
        <is>
          <t>STDEVP</t>
        </is>
      </c>
      <c r="C83" s="5" t="inlineStr">
        <is>
          <t>8. Statistik &amp; Analisis Data</t>
        </is>
      </c>
      <c r="D83" s="7">
        <f>STDEVP(range_populasi)</f>
        <v/>
      </c>
      <c r="E83" s="5" t="inlineStr">
        <is>
          <t>Menghitung standar deviasi populasi penuh (fungsi kompatibilitas).</t>
        </is>
      </c>
      <c r="F83" s="8" t="inlineStr">
        <is>
          <t>👉 Buka Sheet STDEVP</t>
        </is>
      </c>
    </row>
    <row r="84">
      <c r="A84" s="5" t="n">
        <v>80</v>
      </c>
      <c r="B84" s="6" t="inlineStr">
        <is>
          <t>STDEVPA</t>
        </is>
      </c>
      <c r="C84" s="5" t="inlineStr">
        <is>
          <t>8. Statistik &amp; Analisis Data</t>
        </is>
      </c>
      <c r="D84" s="7">
        <f>STDEVPA(range_populasi)</f>
        <v/>
      </c>
      <c r="E84" s="5" t="inlineStr">
        <is>
          <t>Menghitung standar deviasi populasi termasuk nilai logika dan teks.</t>
        </is>
      </c>
      <c r="F84" s="8" t="inlineStr">
        <is>
          <t>👉 Buka Sheet STDEVPA</t>
        </is>
      </c>
    </row>
    <row r="85">
      <c r="A85" s="5" t="n">
        <v>81</v>
      </c>
      <c r="B85" s="6" t="inlineStr">
        <is>
          <t>STEYX</t>
        </is>
      </c>
      <c r="C85" s="5" t="inlineStr">
        <is>
          <t>8. Statistik &amp; Analisis Data</t>
        </is>
      </c>
      <c r="D85" s="7">
        <f>STEYX(range_y, range_x)</f>
        <v/>
      </c>
      <c r="E85" s="5" t="inlineStr">
        <is>
          <t>Menghitung standar error dari prediksi regresi Y terhadap X.</t>
        </is>
      </c>
      <c r="F85" s="8" t="inlineStr">
        <is>
          <t>👉 Buka Sheet STEYX</t>
        </is>
      </c>
    </row>
    <row r="86">
      <c r="A86" s="5" t="n">
        <v>82</v>
      </c>
      <c r="B86" s="6" t="inlineStr">
        <is>
          <t>T.DIST</t>
        </is>
      </c>
      <c r="C86" s="5" t="inlineStr">
        <is>
          <t>8. Statistik &amp; Analisis Data</t>
        </is>
      </c>
      <c r="D86" s="7">
        <f>T.DIST(x, deg_freedom, TRUE)</f>
        <v/>
      </c>
      <c r="E86" s="5" t="inlineStr">
        <is>
          <t>Menghasilkan distribusi Student's t sisi kiri.</t>
        </is>
      </c>
      <c r="F86" s="8" t="inlineStr">
        <is>
          <t>👉 Buka Sheet T.DIST</t>
        </is>
      </c>
    </row>
    <row r="87">
      <c r="A87" s="5" t="n">
        <v>83</v>
      </c>
      <c r="B87" s="6" t="inlineStr">
        <is>
          <t>T.DIST.2T</t>
        </is>
      </c>
      <c r="C87" s="5" t="inlineStr">
        <is>
          <t>8. Statistik &amp; Analisis Data</t>
        </is>
      </c>
      <c r="D87" s="7">
        <f>T.DIST.2T(x, deg_freedom)</f>
        <v/>
      </c>
      <c r="E87" s="5" t="inlineStr">
        <is>
          <t>Menghasilkan probabilitas dua sisi (Two-Tailed) dari distribusi Student's t.</t>
        </is>
      </c>
      <c r="F87" s="8" t="inlineStr">
        <is>
          <t>👉 Buka Sheet T.DIST.2T</t>
        </is>
      </c>
    </row>
    <row r="88">
      <c r="A88" s="5" t="n">
        <v>84</v>
      </c>
      <c r="B88" s="6" t="inlineStr">
        <is>
          <t>T.DIST.RT</t>
        </is>
      </c>
      <c r="C88" s="5" t="inlineStr">
        <is>
          <t>8. Statistik &amp; Analisis Data</t>
        </is>
      </c>
      <c r="D88" s="7">
        <f>T.DIST.RT(x, deg_freedom)</f>
        <v/>
      </c>
      <c r="E88" s="5" t="inlineStr">
        <is>
          <t>Menghasilkan probabilitas ekor kanan (Right-Tailed) dari distribusi Student's t.</t>
        </is>
      </c>
      <c r="F88" s="8" t="inlineStr">
        <is>
          <t>👉 Buka Sheet T.DIST.RT</t>
        </is>
      </c>
    </row>
    <row r="89">
      <c r="A89" s="5" t="n">
        <v>85</v>
      </c>
      <c r="B89" s="6" t="inlineStr">
        <is>
          <t>T.INV</t>
        </is>
      </c>
      <c r="C89" s="5" t="inlineStr">
        <is>
          <t>8. Statistik &amp; Analisis Data</t>
        </is>
      </c>
      <c r="D89" s="7">
        <f>T.INV(probabilitas, deg_freedom)</f>
        <v/>
      </c>
      <c r="E89" s="5" t="inlineStr">
        <is>
          <t>Menghasilkan nilai t (invers ekor kiri) dari distribusi Student's t.</t>
        </is>
      </c>
      <c r="F89" s="8" t="inlineStr">
        <is>
          <t>👉 Buka Sheet T.INV</t>
        </is>
      </c>
    </row>
    <row r="90">
      <c r="A90" s="5" t="n">
        <v>86</v>
      </c>
      <c r="B90" s="6" t="inlineStr">
        <is>
          <t>T.INV.2T</t>
        </is>
      </c>
      <c r="C90" s="5" t="inlineStr">
        <is>
          <t>8. Statistik &amp; Analisis Data</t>
        </is>
      </c>
      <c r="D90" s="7">
        <f>T.INV.2T(probabilitas, deg_freedom)</f>
        <v/>
      </c>
      <c r="E90" s="5" t="inlineStr">
        <is>
          <t>Menghasilkan nilai t (invers dua sisi) dari distribusi Student's t.</t>
        </is>
      </c>
      <c r="F90" s="8" t="inlineStr">
        <is>
          <t>👉 Buka Sheet T.INV.2T</t>
        </is>
      </c>
    </row>
    <row r="91">
      <c r="A91" s="5" t="n">
        <v>87</v>
      </c>
      <c r="B91" s="6" t="inlineStr">
        <is>
          <t>TREND</t>
        </is>
      </c>
      <c r="C91" s="5" t="inlineStr">
        <is>
          <t>8. Statistik &amp; Analisis Data</t>
        </is>
      </c>
      <c r="D91" s="7">
        <f>TREND(range_y, range_x, target_x)</f>
        <v/>
      </c>
      <c r="E91" s="5" t="inlineStr">
        <is>
          <t>Menghitung nilai tren linear berdasarkan metode kuadrat terkecil.</t>
        </is>
      </c>
      <c r="F91" s="8" t="inlineStr">
        <is>
          <t>👉 Buka Sheet TREND</t>
        </is>
      </c>
    </row>
    <row r="92">
      <c r="A92" s="5" t="n">
        <v>88</v>
      </c>
      <c r="B92" s="6" t="inlineStr">
        <is>
          <t>T.TEST</t>
        </is>
      </c>
      <c r="C92" s="5" t="inlineStr">
        <is>
          <t>8. Statistik &amp; Analisis Data</t>
        </is>
      </c>
      <c r="D92" s="7">
        <f>T.TEST(array1, array2, tails, type)</f>
        <v/>
      </c>
      <c r="E92" s="5" t="inlineStr">
        <is>
          <t>Menghitung peluang yang terkait dengan uji-t Student (Student's t-Test).</t>
        </is>
      </c>
      <c r="F92" s="8" t="inlineStr">
        <is>
          <t>👉 Buka Sheet T.TEST</t>
        </is>
      </c>
    </row>
    <row r="93">
      <c r="A93" s="5" t="n">
        <v>89</v>
      </c>
      <c r="B93" s="6" t="inlineStr">
        <is>
          <t>TRIMMEAN</t>
        </is>
      </c>
      <c r="C93" s="5" t="inlineStr">
        <is>
          <t>8. Statistik &amp; Analisis Data</t>
        </is>
      </c>
      <c r="D93" s="7">
        <f>TRIMMEAN(range_data, persen_pangkas)</f>
        <v/>
      </c>
      <c r="E93" s="5" t="inlineStr">
        <is>
          <t>Menghitung rata-rata adil dengan membuang persentase nilai ekstrem.</t>
        </is>
      </c>
      <c r="F93" s="8" t="inlineStr">
        <is>
          <t>👉 Buka Sheet TRIMMEAN</t>
        </is>
      </c>
    </row>
    <row r="94">
      <c r="A94" s="5" t="n">
        <v>90</v>
      </c>
      <c r="B94" s="6" t="inlineStr">
        <is>
          <t>VAR.P</t>
        </is>
      </c>
      <c r="C94" s="5" t="inlineStr">
        <is>
          <t>8. Statistik &amp; Analisis Data</t>
        </is>
      </c>
      <c r="D94" s="7">
        <f>VAR.P(range_populasi)</f>
        <v/>
      </c>
      <c r="E94" s="5" t="inlineStr">
        <is>
          <t>Menghitung nilai Varians dari keseluruhan populasi.</t>
        </is>
      </c>
      <c r="F94" s="8" t="inlineStr">
        <is>
          <t>👉 Buka Sheet VAR.P</t>
        </is>
      </c>
    </row>
    <row r="95">
      <c r="A95" s="5" t="n">
        <v>91</v>
      </c>
      <c r="B95" s="6" t="inlineStr">
        <is>
          <t>VAR.S</t>
        </is>
      </c>
      <c r="C95" s="5" t="inlineStr">
        <is>
          <t>8. Statistik &amp; Analisis Data</t>
        </is>
      </c>
      <c r="D95" s="7">
        <f>VAR.S(range_sampel)</f>
        <v/>
      </c>
      <c r="E95" s="5" t="inlineStr">
        <is>
          <t>Menghitung nilai Varians (keragaman kuadrat) dari data sampel.</t>
        </is>
      </c>
      <c r="F95" s="8" t="inlineStr">
        <is>
          <t>👉 Buka Sheet VAR.S</t>
        </is>
      </c>
    </row>
    <row r="96">
      <c r="A96" s="5" t="n">
        <v>92</v>
      </c>
      <c r="B96" s="6" t="inlineStr">
        <is>
          <t>VARA</t>
        </is>
      </c>
      <c r="C96" s="5" t="inlineStr">
        <is>
          <t>8. Statistik &amp; Analisis Data</t>
        </is>
      </c>
      <c r="D96" s="7">
        <f>VARA(range_sampel)</f>
        <v/>
      </c>
      <c r="E96" s="5" t="inlineStr">
        <is>
          <t>Menghitung varians sampel termasuk nilai logika dan teks.</t>
        </is>
      </c>
      <c r="F96" s="8" t="inlineStr">
        <is>
          <t>👉 Buka Sheet VARA</t>
        </is>
      </c>
    </row>
    <row r="97">
      <c r="A97" s="5" t="n">
        <v>93</v>
      </c>
      <c r="B97" s="6" t="inlineStr">
        <is>
          <t>VARPA</t>
        </is>
      </c>
      <c r="C97" s="5" t="inlineStr">
        <is>
          <t>8. Statistik &amp; Analisis Data</t>
        </is>
      </c>
      <c r="D97" s="7">
        <f>VARPA(range_populasi)</f>
        <v/>
      </c>
      <c r="E97" s="5" t="inlineStr">
        <is>
          <t>Menghitung varians populasi termasuk nilai logika dan teks.</t>
        </is>
      </c>
      <c r="F97" s="8" t="inlineStr">
        <is>
          <t>👉 Buka Sheet VARPA</t>
        </is>
      </c>
    </row>
    <row r="98">
      <c r="A98" s="5" t="n">
        <v>94</v>
      </c>
      <c r="B98" s="6" t="inlineStr">
        <is>
          <t>WEIBULL</t>
        </is>
      </c>
      <c r="C98" s="5" t="inlineStr">
        <is>
          <t>8. Statistik &amp; Analisis Data</t>
        </is>
      </c>
      <c r="D98" s="7">
        <f>WEIBULL(x, alpha, beta, TRUE)</f>
        <v/>
      </c>
      <c r="E98" s="5" t="inlineStr">
        <is>
          <t>Menghitung distribusi Weibull untuk analisis keandalan mesin (reliability / MTBF).</t>
        </is>
      </c>
      <c r="F98" s="8" t="inlineStr">
        <is>
          <t>👉 Buka Sheet WEIBULL</t>
        </is>
      </c>
    </row>
    <row r="99">
      <c r="A99" s="5" t="n">
        <v>95</v>
      </c>
      <c r="B99" s="6" t="inlineStr">
        <is>
          <t>ZTEST</t>
        </is>
      </c>
      <c r="C99" s="5" t="inlineStr">
        <is>
          <t>8. Statistik &amp; Analisis Data</t>
        </is>
      </c>
      <c r="D99" s="7">
        <f>ZTEST(range_data, x_uji)</f>
        <v/>
      </c>
      <c r="E99" s="5" t="inlineStr">
        <is>
          <t>Menghitung nilai peluang satu sisi dari uji-Z (Z-Test) terhadap rata-rata hipotesis.</t>
        </is>
      </c>
      <c r="F99" s="8" t="inlineStr">
        <is>
          <t>👉 Buka Sheet ZTEST</t>
        </is>
      </c>
    </row>
    <row r="100">
      <c r="A100" s="5" t="inlineStr">
        <is>
          <t>🔑</t>
        </is>
      </c>
      <c r="B100" s="9" t="inlineStr">
        <is>
          <t>99_KUNCI_JAWABAN</t>
        </is>
      </c>
      <c r="C100" s="5" t="inlineStr">
        <is>
          <t>Kunci Jawaban Seluruh Soal Tes</t>
        </is>
      </c>
      <c r="D100" s="7" t="inlineStr">
        <is>
          <t>475 Kunci Soal Tes</t>
        </is>
      </c>
      <c r="E100" s="5" t="inlineStr">
        <is>
          <t>Berisi Kunci Rumus &amp; Hasil Jawaban Benar untuk seluruh 5 Soal Tes di setiap sheet rumus.</t>
        </is>
      </c>
      <c r="F100" s="8" t="inlineStr">
        <is>
          <t>🔑 Buka Sheet Kunci Jawaban</t>
        </is>
      </c>
    </row>
  </sheetData>
  <mergeCells count="2">
    <mergeCell ref="A2:E2"/>
    <mergeCell ref="A1:F1"/>
  </mergeCells>
  <hyperlinks>
    <hyperlink xmlns:r="http://schemas.openxmlformats.org/officeDocument/2006/relationships" ref="F2" r:id="rId1"/>
    <hyperlink xmlns:r="http://schemas.openxmlformats.org/officeDocument/2006/relationships" ref="F5" r:id="rId2"/>
    <hyperlink xmlns:r="http://schemas.openxmlformats.org/officeDocument/2006/relationships" ref="F6" r:id="rId3"/>
    <hyperlink xmlns:r="http://schemas.openxmlformats.org/officeDocument/2006/relationships" ref="F7" r:id="rId4"/>
    <hyperlink xmlns:r="http://schemas.openxmlformats.org/officeDocument/2006/relationships" ref="F8" r:id="rId5"/>
    <hyperlink xmlns:r="http://schemas.openxmlformats.org/officeDocument/2006/relationships" ref="F9" r:id="rId6"/>
    <hyperlink xmlns:r="http://schemas.openxmlformats.org/officeDocument/2006/relationships" ref="F10" r:id="rId7"/>
    <hyperlink xmlns:r="http://schemas.openxmlformats.org/officeDocument/2006/relationships" ref="F11" r:id="rId8"/>
    <hyperlink xmlns:r="http://schemas.openxmlformats.org/officeDocument/2006/relationships" ref="F12" r:id="rId9"/>
    <hyperlink xmlns:r="http://schemas.openxmlformats.org/officeDocument/2006/relationships" ref="F13" r:id="rId10"/>
    <hyperlink xmlns:r="http://schemas.openxmlformats.org/officeDocument/2006/relationships" ref="F14" r:id="rId11"/>
    <hyperlink xmlns:r="http://schemas.openxmlformats.org/officeDocument/2006/relationships" ref="F15" r:id="rId12"/>
    <hyperlink xmlns:r="http://schemas.openxmlformats.org/officeDocument/2006/relationships" ref="F16" r:id="rId13"/>
    <hyperlink xmlns:r="http://schemas.openxmlformats.org/officeDocument/2006/relationships" ref="F17" r:id="rId14"/>
    <hyperlink xmlns:r="http://schemas.openxmlformats.org/officeDocument/2006/relationships" ref="F18" r:id="rId15"/>
    <hyperlink xmlns:r="http://schemas.openxmlformats.org/officeDocument/2006/relationships" ref="F19" r:id="rId16"/>
    <hyperlink xmlns:r="http://schemas.openxmlformats.org/officeDocument/2006/relationships" ref="F20" r:id="rId17"/>
    <hyperlink xmlns:r="http://schemas.openxmlformats.org/officeDocument/2006/relationships" ref="F21" r:id="rId18"/>
    <hyperlink xmlns:r="http://schemas.openxmlformats.org/officeDocument/2006/relationships" ref="F22" r:id="rId19"/>
    <hyperlink xmlns:r="http://schemas.openxmlformats.org/officeDocument/2006/relationships" ref="F23" r:id="rId20"/>
    <hyperlink xmlns:r="http://schemas.openxmlformats.org/officeDocument/2006/relationships" ref="F24" r:id="rId21"/>
    <hyperlink xmlns:r="http://schemas.openxmlformats.org/officeDocument/2006/relationships" ref="F25" r:id="rId22"/>
    <hyperlink xmlns:r="http://schemas.openxmlformats.org/officeDocument/2006/relationships" ref="F26" r:id="rId23"/>
    <hyperlink xmlns:r="http://schemas.openxmlformats.org/officeDocument/2006/relationships" ref="F27" r:id="rId24"/>
    <hyperlink xmlns:r="http://schemas.openxmlformats.org/officeDocument/2006/relationships" ref="F28" r:id="rId25"/>
    <hyperlink xmlns:r="http://schemas.openxmlformats.org/officeDocument/2006/relationships" ref="F29" r:id="rId26"/>
    <hyperlink xmlns:r="http://schemas.openxmlformats.org/officeDocument/2006/relationships" ref="F30" r:id="rId27"/>
    <hyperlink xmlns:r="http://schemas.openxmlformats.org/officeDocument/2006/relationships" ref="F31" r:id="rId28"/>
    <hyperlink xmlns:r="http://schemas.openxmlformats.org/officeDocument/2006/relationships" ref="F32" r:id="rId29"/>
    <hyperlink xmlns:r="http://schemas.openxmlformats.org/officeDocument/2006/relationships" ref="F33" r:id="rId30"/>
    <hyperlink xmlns:r="http://schemas.openxmlformats.org/officeDocument/2006/relationships" ref="F34" r:id="rId31"/>
    <hyperlink xmlns:r="http://schemas.openxmlformats.org/officeDocument/2006/relationships" ref="F35" r:id="rId32"/>
    <hyperlink xmlns:r="http://schemas.openxmlformats.org/officeDocument/2006/relationships" ref="F36" r:id="rId33"/>
    <hyperlink xmlns:r="http://schemas.openxmlformats.org/officeDocument/2006/relationships" ref="F37" r:id="rId34"/>
    <hyperlink xmlns:r="http://schemas.openxmlformats.org/officeDocument/2006/relationships" ref="F38" r:id="rId35"/>
    <hyperlink xmlns:r="http://schemas.openxmlformats.org/officeDocument/2006/relationships" ref="F39" r:id="rId36"/>
    <hyperlink xmlns:r="http://schemas.openxmlformats.org/officeDocument/2006/relationships" ref="F40" r:id="rId37"/>
    <hyperlink xmlns:r="http://schemas.openxmlformats.org/officeDocument/2006/relationships" ref="F41" r:id="rId38"/>
    <hyperlink xmlns:r="http://schemas.openxmlformats.org/officeDocument/2006/relationships" ref="F42" r:id="rId39"/>
    <hyperlink xmlns:r="http://schemas.openxmlformats.org/officeDocument/2006/relationships" ref="F43" r:id="rId40"/>
    <hyperlink xmlns:r="http://schemas.openxmlformats.org/officeDocument/2006/relationships" ref="F44" r:id="rId41"/>
    <hyperlink xmlns:r="http://schemas.openxmlformats.org/officeDocument/2006/relationships" ref="F45" r:id="rId42"/>
    <hyperlink xmlns:r="http://schemas.openxmlformats.org/officeDocument/2006/relationships" ref="F46" r:id="rId43"/>
    <hyperlink xmlns:r="http://schemas.openxmlformats.org/officeDocument/2006/relationships" ref="F47" r:id="rId44"/>
    <hyperlink xmlns:r="http://schemas.openxmlformats.org/officeDocument/2006/relationships" ref="F48" r:id="rId45"/>
    <hyperlink xmlns:r="http://schemas.openxmlformats.org/officeDocument/2006/relationships" ref="F49" r:id="rId46"/>
    <hyperlink xmlns:r="http://schemas.openxmlformats.org/officeDocument/2006/relationships" ref="F50" r:id="rId47"/>
    <hyperlink xmlns:r="http://schemas.openxmlformats.org/officeDocument/2006/relationships" ref="F51" r:id="rId48"/>
    <hyperlink xmlns:r="http://schemas.openxmlformats.org/officeDocument/2006/relationships" ref="F52" r:id="rId49"/>
    <hyperlink xmlns:r="http://schemas.openxmlformats.org/officeDocument/2006/relationships" ref="F53" r:id="rId50"/>
    <hyperlink xmlns:r="http://schemas.openxmlformats.org/officeDocument/2006/relationships" ref="F54" r:id="rId51"/>
    <hyperlink xmlns:r="http://schemas.openxmlformats.org/officeDocument/2006/relationships" ref="F55" r:id="rId52"/>
    <hyperlink xmlns:r="http://schemas.openxmlformats.org/officeDocument/2006/relationships" ref="F56" r:id="rId53"/>
    <hyperlink xmlns:r="http://schemas.openxmlformats.org/officeDocument/2006/relationships" ref="F57" r:id="rId54"/>
    <hyperlink xmlns:r="http://schemas.openxmlformats.org/officeDocument/2006/relationships" ref="F58" r:id="rId55"/>
    <hyperlink xmlns:r="http://schemas.openxmlformats.org/officeDocument/2006/relationships" ref="F59" r:id="rId56"/>
    <hyperlink xmlns:r="http://schemas.openxmlformats.org/officeDocument/2006/relationships" ref="F60" r:id="rId57"/>
    <hyperlink xmlns:r="http://schemas.openxmlformats.org/officeDocument/2006/relationships" ref="F61" r:id="rId58"/>
    <hyperlink xmlns:r="http://schemas.openxmlformats.org/officeDocument/2006/relationships" ref="F62" r:id="rId59"/>
    <hyperlink xmlns:r="http://schemas.openxmlformats.org/officeDocument/2006/relationships" ref="F63" r:id="rId60"/>
    <hyperlink xmlns:r="http://schemas.openxmlformats.org/officeDocument/2006/relationships" ref="F64" r:id="rId61"/>
    <hyperlink xmlns:r="http://schemas.openxmlformats.org/officeDocument/2006/relationships" ref="F65" r:id="rId62"/>
    <hyperlink xmlns:r="http://schemas.openxmlformats.org/officeDocument/2006/relationships" ref="F66" r:id="rId63"/>
    <hyperlink xmlns:r="http://schemas.openxmlformats.org/officeDocument/2006/relationships" ref="F67" r:id="rId64"/>
    <hyperlink xmlns:r="http://schemas.openxmlformats.org/officeDocument/2006/relationships" ref="F68" r:id="rId65"/>
    <hyperlink xmlns:r="http://schemas.openxmlformats.org/officeDocument/2006/relationships" ref="F69" r:id="rId66"/>
    <hyperlink xmlns:r="http://schemas.openxmlformats.org/officeDocument/2006/relationships" ref="F70" r:id="rId67"/>
    <hyperlink xmlns:r="http://schemas.openxmlformats.org/officeDocument/2006/relationships" ref="F71" r:id="rId68"/>
    <hyperlink xmlns:r="http://schemas.openxmlformats.org/officeDocument/2006/relationships" ref="F72" r:id="rId69"/>
    <hyperlink xmlns:r="http://schemas.openxmlformats.org/officeDocument/2006/relationships" ref="F73" r:id="rId70"/>
    <hyperlink xmlns:r="http://schemas.openxmlformats.org/officeDocument/2006/relationships" ref="F74" r:id="rId71"/>
    <hyperlink xmlns:r="http://schemas.openxmlformats.org/officeDocument/2006/relationships" ref="F75" r:id="rId72"/>
    <hyperlink xmlns:r="http://schemas.openxmlformats.org/officeDocument/2006/relationships" ref="F76" r:id="rId73"/>
    <hyperlink xmlns:r="http://schemas.openxmlformats.org/officeDocument/2006/relationships" ref="F77" r:id="rId74"/>
    <hyperlink xmlns:r="http://schemas.openxmlformats.org/officeDocument/2006/relationships" ref="F78" r:id="rId75"/>
    <hyperlink xmlns:r="http://schemas.openxmlformats.org/officeDocument/2006/relationships" ref="F79" r:id="rId76"/>
    <hyperlink xmlns:r="http://schemas.openxmlformats.org/officeDocument/2006/relationships" ref="F80" r:id="rId77"/>
    <hyperlink xmlns:r="http://schemas.openxmlformats.org/officeDocument/2006/relationships" ref="F81" r:id="rId78"/>
    <hyperlink xmlns:r="http://schemas.openxmlformats.org/officeDocument/2006/relationships" ref="F82" r:id="rId79"/>
    <hyperlink xmlns:r="http://schemas.openxmlformats.org/officeDocument/2006/relationships" ref="F83" r:id="rId80"/>
    <hyperlink xmlns:r="http://schemas.openxmlformats.org/officeDocument/2006/relationships" ref="F84" r:id="rId81"/>
    <hyperlink xmlns:r="http://schemas.openxmlformats.org/officeDocument/2006/relationships" ref="F85" r:id="rId82"/>
    <hyperlink xmlns:r="http://schemas.openxmlformats.org/officeDocument/2006/relationships" ref="F86" r:id="rId83"/>
    <hyperlink xmlns:r="http://schemas.openxmlformats.org/officeDocument/2006/relationships" ref="F87" r:id="rId84"/>
    <hyperlink xmlns:r="http://schemas.openxmlformats.org/officeDocument/2006/relationships" ref="F88" r:id="rId85"/>
    <hyperlink xmlns:r="http://schemas.openxmlformats.org/officeDocument/2006/relationships" ref="F89" r:id="rId86"/>
    <hyperlink xmlns:r="http://schemas.openxmlformats.org/officeDocument/2006/relationships" ref="F90" r:id="rId87"/>
    <hyperlink xmlns:r="http://schemas.openxmlformats.org/officeDocument/2006/relationships" ref="F91" r:id="rId88"/>
    <hyperlink xmlns:r="http://schemas.openxmlformats.org/officeDocument/2006/relationships" ref="F92" r:id="rId89"/>
    <hyperlink xmlns:r="http://schemas.openxmlformats.org/officeDocument/2006/relationships" ref="F93" r:id="rId90"/>
    <hyperlink xmlns:r="http://schemas.openxmlformats.org/officeDocument/2006/relationships" ref="F94" r:id="rId91"/>
    <hyperlink xmlns:r="http://schemas.openxmlformats.org/officeDocument/2006/relationships" ref="F95" r:id="rId92"/>
    <hyperlink xmlns:r="http://schemas.openxmlformats.org/officeDocument/2006/relationships" ref="F96" r:id="rId93"/>
    <hyperlink xmlns:r="http://schemas.openxmlformats.org/officeDocument/2006/relationships" ref="F97" r:id="rId94"/>
    <hyperlink xmlns:r="http://schemas.openxmlformats.org/officeDocument/2006/relationships" ref="F98" r:id="rId95"/>
    <hyperlink xmlns:r="http://schemas.openxmlformats.org/officeDocument/2006/relationships" ref="F99" r:id="rId96"/>
    <hyperlink xmlns:r="http://schemas.openxmlformats.org/officeDocument/2006/relationships" ref="F100" r:id="rId97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G56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22" customWidth="1" min="3" max="3"/>
    <col width="4" customWidth="1" min="4" max="4"/>
    <col width="34" customWidth="1" min="5" max="5"/>
    <col width="44" customWidth="1" min="6" max="6"/>
    <col width="28" customWidth="1" min="7" max="7"/>
  </cols>
  <sheetData>
    <row r="1" ht="30" customHeight="1">
      <c r="B1" s="10" t="inlineStr">
        <is>
          <t>📊 #001 — RUMUS EXCEL: AVEDEV   |   Kategori: 8. Statistik &amp; Analisis Data</t>
        </is>
      </c>
    </row>
    <row r="2" ht="22" customHeight="1">
      <c r="B2" s="11" t="inlineStr">
        <is>
          <t>1 Rumus = 1 Contoh Soal + Jawaban Benar &amp; 5 Soal Tes Mandiri (Kunci Jawaban Ada di Sheet Paling Terakhir)</t>
        </is>
      </c>
      <c r="F2" s="12" t="inlineStr">
        <is>
          <t>⬅️ Ke Daftar Isi (00_DAFTAR_ISI)</t>
        </is>
      </c>
      <c r="G2" s="3" t="inlineStr">
        <is>
          <t>🔑 Ke Kunci Jawaban (Sheet Akhir)</t>
        </is>
      </c>
    </row>
    <row r="4" ht="24" customHeight="1">
      <c r="B4" s="13" t="inlineStr">
        <is>
          <t>1️⃣ IDENTITAS RUMUS &amp; FUNGSINYA BUAT APA? (AVEDEV)</t>
        </is>
      </c>
    </row>
    <row r="5" ht="21" customHeight="1">
      <c r="B5" s="14" t="inlineStr">
        <is>
          <t>Nama Rumus Excel</t>
        </is>
      </c>
      <c r="C5" s="15">
        <f>AVEDEV(...)</f>
        <v/>
      </c>
      <c r="D5" s="5" t="n"/>
      <c r="E5" s="5" t="n"/>
      <c r="F5" s="5" t="n"/>
      <c r="G5" s="5" t="n"/>
    </row>
    <row r="6" ht="21" customHeight="1">
      <c r="B6" s="14" t="inlineStr">
        <is>
          <t>Sintaks / Pola Umum</t>
        </is>
      </c>
      <c r="C6" s="15">
        <f>AVEDEV(range_data)</f>
        <v/>
      </c>
      <c r="D6" s="5" t="n"/>
      <c r="E6" s="5" t="n"/>
      <c r="F6" s="5" t="n"/>
      <c r="G6" s="5" t="n"/>
    </row>
    <row r="7" ht="26" customHeight="1">
      <c r="B7" s="14" t="inlineStr">
        <is>
          <t>👶 Fungsinya Buat Apa?</t>
        </is>
      </c>
      <c r="C7" s="16" t="inlineStr">
        <is>
          <t>Menghitung rata-rata simpangan mutlak data dari nilai rata-ratanya.</t>
        </is>
      </c>
      <c r="D7" s="5" t="n"/>
      <c r="E7" s="5" t="n"/>
      <c r="F7" s="5" t="n"/>
      <c r="G7" s="5" t="n"/>
    </row>
    <row r="9" ht="24" customHeight="1">
      <c r="B9" s="17" t="inlineStr">
        <is>
          <t>2️⃣ 1 CONTOH SOAL &amp; CONTOH JAWABAN BENAR (PELAJARI POLA RUMUS AVEDEV DI SINI)</t>
        </is>
      </c>
    </row>
    <row r="10">
      <c r="B10" s="18" t="inlineStr">
        <is>
          <t>Nama Unit / Kategori</t>
        </is>
      </c>
      <c r="C10" s="18" t="inlineStr">
        <is>
          <t>Nilai Data</t>
        </is>
      </c>
      <c r="E10" s="18" t="inlineStr">
        <is>
          <t>✅ 1 CONTOH SOAL BESERTA CONTOH RUMUS &amp; HASIL JAWABAN BENAR:</t>
        </is>
      </c>
      <c r="F10" s="5" t="n"/>
      <c r="G10" s="5" t="n"/>
    </row>
    <row r="11" ht="28" customHeight="1">
      <c r="B11" s="19" t="inlineStr">
        <is>
          <t>Simulasi Unit A</t>
        </is>
      </c>
      <c r="C11" s="19" t="n">
        <v>500000</v>
      </c>
      <c r="E11" s="20" t="inlineStr">
        <is>
          <t>Contoh Soal:</t>
        </is>
      </c>
      <c r="F11" s="21" t="inlineStr">
        <is>
          <t>Hitung hasil pengolahan fungsi AVEDEV untuk keempat baris data pada rentang C11:C14!</t>
        </is>
      </c>
      <c r="G11" s="5" t="n"/>
    </row>
    <row r="12">
      <c r="B12" s="19" t="inlineStr">
        <is>
          <t>Simulasi Unit B</t>
        </is>
      </c>
      <c r="C12" s="19" t="n">
        <v>750000</v>
      </c>
      <c r="E12" s="20" t="inlineStr">
        <is>
          <t>Contoh Rumus Benar:</t>
        </is>
      </c>
      <c r="F12" s="22" t="inlineStr">
        <is>
          <t>'=AVEDEV(C11:C14)</t>
        </is>
      </c>
      <c r="G12" s="5" t="n"/>
    </row>
    <row r="13">
      <c r="B13" s="19" t="inlineStr">
        <is>
          <t>Simulasi Unit C</t>
        </is>
      </c>
      <c r="C13" s="19" t="n">
        <v>600000</v>
      </c>
      <c r="E13" s="20" t="inlineStr">
        <is>
          <t>Contoh Hasil Benar:</t>
        </is>
      </c>
      <c r="F13" s="23">
        <f>AVEDEV(C11:C14)</f>
        <v/>
      </c>
      <c r="G13" s="5" t="n"/>
    </row>
    <row r="14">
      <c r="B14" s="19" t="inlineStr">
        <is>
          <t>Simulasi Unit D</t>
        </is>
      </c>
      <c r="C14" s="19" t="n">
        <v>950000</v>
      </c>
    </row>
    <row r="16" ht="26" customHeight="1">
      <c r="B16" s="24" t="inlineStr">
        <is>
          <t>3️⃣ 5 SOAL TES DUNIA NYATA — KERJAKAN DI KOTAK KUNING (TANPA KUNCI RUMUS / HASIL DI SINI!)</t>
        </is>
      </c>
    </row>
    <row r="17" ht="20" customHeight="1">
      <c r="B17" s="25" t="inlineStr">
        <is>
          <t>📌 Catatan Tes: Soal Tes #1 s/d #5 di bawah ini tidak menampilkan kunci rumus maupun hasil. Kunci jawaban lengkap tersedia di sheet paling terakhir (99_KUNCI_JAWABAN).</t>
        </is>
      </c>
    </row>
    <row r="19" ht="22" customHeight="1">
      <c r="B19" s="26" t="inlineStr">
        <is>
          <t>📝 SOAL TES #1: Kasus Keuangan &amp; Akuntansi Kantor</t>
        </is>
      </c>
    </row>
    <row r="20" ht="30" customHeight="1">
      <c r="B20" s="14" t="inlineStr">
        <is>
          <t>Nama Unit / Kategori</t>
        </is>
      </c>
      <c r="C20" s="14" t="inlineStr">
        <is>
          <t>Nilai Data</t>
        </is>
      </c>
      <c r="E20" s="27" t="inlineStr">
        <is>
          <t>Persoalan Tes #1: Hitung hasil pengolahan fungsi AVEDEV untuk keempat baris data pada rentang C21:C24!</t>
        </is>
      </c>
    </row>
    <row r="21">
      <c r="B21" s="19" t="inlineStr">
        <is>
          <t>Cabang Jakarta</t>
        </is>
      </c>
      <c r="C21" s="19" t="n">
        <v>1250000</v>
      </c>
      <c r="E21" s="14" t="inlineStr">
        <is>
          <t>✏️ KETIK RUMUS JAWABAN TES DI BAWAH:</t>
        </is>
      </c>
      <c r="F21" s="14" t="inlineStr">
        <is>
          <t>📌 STATUS KOREKSI JAWABAN TES:</t>
        </is>
      </c>
      <c r="G21" s="5" t="n"/>
    </row>
    <row r="22" ht="26" customHeight="1">
      <c r="B22" s="19" t="inlineStr">
        <is>
          <t>Cabang Bandung</t>
        </is>
      </c>
      <c r="C22" s="19" t="n">
        <v>1850000</v>
      </c>
      <c r="E22" s="28" t="n"/>
      <c r="F22" s="29">
        <f>IF(ISBLANK(E22), "⏳ Belum Diisi (Ketik Rumus di Sel Kuning E22)", IF(E22='99_KUNCI_JAWABAN'!F5, "✅ BENAR! JAWABAN TES TEPAT!", "❌ Belum Tepat (Cek Sheet Akhir: 99_KUNCI_JAWABAN)"))</f>
        <v/>
      </c>
      <c r="G22" s="5" t="n"/>
    </row>
    <row r="23">
      <c r="B23" s="19" t="inlineStr">
        <is>
          <t>Cabang Surabaya</t>
        </is>
      </c>
      <c r="C23" s="19" t="n">
        <v>2100000</v>
      </c>
    </row>
    <row r="24">
      <c r="B24" s="19" t="inlineStr">
        <is>
          <t>Cabang Medan</t>
        </is>
      </c>
      <c r="C24" s="19" t="n">
        <v>1600000</v>
      </c>
    </row>
    <row r="27" ht="22" customHeight="1">
      <c r="B27" s="26" t="inlineStr">
        <is>
          <t>📝 SOAL TES #2: Kasus HRD, Gaji &amp; Lembur Karyawan</t>
        </is>
      </c>
    </row>
    <row r="28" ht="30" customHeight="1">
      <c r="B28" s="14" t="inlineStr">
        <is>
          <t>Nama Unit / Kategori</t>
        </is>
      </c>
      <c r="C28" s="14" t="inlineStr">
        <is>
          <t>Nilai Data</t>
        </is>
      </c>
      <c r="E28" s="27" t="inlineStr">
        <is>
          <t>Persoalan Tes #2: Hitung hasil pengolahan fungsi AVEDEV untuk keempat baris data pada rentang C29:C32!</t>
        </is>
      </c>
    </row>
    <row r="29">
      <c r="B29" s="19" t="inlineStr">
        <is>
          <t>Budi Santoso</t>
        </is>
      </c>
      <c r="C29" s="19" t="n">
        <v>4500000</v>
      </c>
      <c r="E29" s="14" t="inlineStr">
        <is>
          <t>✏️ KETIK RUMUS JAWABAN TES DI BAWAH:</t>
        </is>
      </c>
      <c r="F29" s="14" t="inlineStr">
        <is>
          <t>📌 STATUS KOREKSI JAWABAN TES:</t>
        </is>
      </c>
      <c r="G29" s="5" t="n"/>
    </row>
    <row r="30" ht="26" customHeight="1">
      <c r="B30" s="19" t="inlineStr">
        <is>
          <t>Siti Aminah</t>
        </is>
      </c>
      <c r="C30" s="19" t="n">
        <v>5200000</v>
      </c>
      <c r="E30" s="28" t="n"/>
      <c r="F30" s="29">
        <f>IF(ISBLANK(E30), "⏳ Belum Diisi (Ketik Rumus di Sel Kuning E30)", IF(E30='99_KUNCI_JAWABAN'!F6, "✅ BENAR! JAWABAN TES TEPAT!", "❌ Belum Tepat (Cek Sheet Akhir: 99_KUNCI_JAWABAN)"))</f>
        <v/>
      </c>
      <c r="G30" s="5" t="n"/>
    </row>
    <row r="31">
      <c r="B31" s="19" t="inlineStr">
        <is>
          <t>Andi Pratama</t>
        </is>
      </c>
      <c r="C31" s="19" t="n">
        <v>4800000</v>
      </c>
    </row>
    <row r="32">
      <c r="B32" s="19" t="inlineStr">
        <is>
          <t>Rina Wijaya</t>
        </is>
      </c>
      <c r="C32" s="19" t="n">
        <v>6100000</v>
      </c>
    </row>
    <row r="35" ht="22" customHeight="1">
      <c r="B35" s="26" t="inlineStr">
        <is>
          <t>📝 SOAL TES #3: Kasus Logistik &amp; Stok Gudang Utama</t>
        </is>
      </c>
    </row>
    <row r="36" ht="30" customHeight="1">
      <c r="B36" s="14" t="inlineStr">
        <is>
          <t>Nama Unit / Kategori</t>
        </is>
      </c>
      <c r="C36" s="14" t="inlineStr">
        <is>
          <t>Nilai Data</t>
        </is>
      </c>
      <c r="E36" s="27" t="inlineStr">
        <is>
          <t>Persoalan Tes #3: Hitung hasil pengolahan fungsi AVEDEV untuk keempat baris data pada rentang C37:C40!</t>
        </is>
      </c>
    </row>
    <row r="37">
      <c r="B37" s="19" t="inlineStr">
        <is>
          <t>Gudang Blok A</t>
        </is>
      </c>
      <c r="C37" s="19" t="n">
        <v>240</v>
      </c>
      <c r="E37" s="14" t="inlineStr">
        <is>
          <t>✏️ KETIK RUMUS JAWABAN TES DI BAWAH:</t>
        </is>
      </c>
      <c r="F37" s="14" t="inlineStr">
        <is>
          <t>📌 STATUS KOREKSI JAWABAN TES:</t>
        </is>
      </c>
      <c r="G37" s="5" t="n"/>
    </row>
    <row r="38" ht="26" customHeight="1">
      <c r="B38" s="19" t="inlineStr">
        <is>
          <t>Gudang Blok B</t>
        </is>
      </c>
      <c r="C38" s="19" t="n">
        <v>380</v>
      </c>
      <c r="E38" s="28" t="n"/>
      <c r="F38" s="29">
        <f>IF(ISBLANK(E38), "⏳ Belum Diisi (Ketik Rumus di Sel Kuning E38)", IF(E38='99_KUNCI_JAWABAN'!F7, "✅ BENAR! JAWABAN TES TEPAT!", "❌ Belum Tepat (Cek Sheet Akhir: 99_KUNCI_JAWABAN)"))</f>
        <v/>
      </c>
      <c r="G38" s="5" t="n"/>
    </row>
    <row r="39">
      <c r="B39" s="19" t="inlineStr">
        <is>
          <t>Gudang Blok C</t>
        </is>
      </c>
      <c r="C39" s="19" t="n">
        <v>195</v>
      </c>
    </row>
    <row r="40">
      <c r="B40" s="19" t="inlineStr">
        <is>
          <t>Gudang Blok D</t>
        </is>
      </c>
      <c r="C40" s="19" t="n">
        <v>425</v>
      </c>
    </row>
    <row r="43" ht="22" customHeight="1">
      <c r="B43" s="26" t="inlineStr">
        <is>
          <t>📝 SOAL TES #4: Kasus Penjualan Retail &amp; Target Toko</t>
        </is>
      </c>
    </row>
    <row r="44" ht="30" customHeight="1">
      <c r="B44" s="14" t="inlineStr">
        <is>
          <t>Nama Unit / Kategori</t>
        </is>
      </c>
      <c r="C44" s="14" t="inlineStr">
        <is>
          <t>Nilai Data</t>
        </is>
      </c>
      <c r="E44" s="27" t="inlineStr">
        <is>
          <t>Persoalan Tes #4: Hitung hasil pengolahan fungsi AVEDEV untuk keempat baris data pada rentang C45:C48!</t>
        </is>
      </c>
    </row>
    <row r="45">
      <c r="B45" s="19" t="inlineStr">
        <is>
          <t>Toko Elektronik</t>
        </is>
      </c>
      <c r="C45" s="19" t="n">
        <v>85</v>
      </c>
      <c r="E45" s="14" t="inlineStr">
        <is>
          <t>✏️ KETIK RUMUS JAWABAN TES DI BAWAH:</t>
        </is>
      </c>
      <c r="F45" s="14" t="inlineStr">
        <is>
          <t>📌 STATUS KOREKSI JAWABAN TES:</t>
        </is>
      </c>
      <c r="G45" s="5" t="n"/>
    </row>
    <row r="46" ht="26" customHeight="1">
      <c r="B46" s="19" t="inlineStr">
        <is>
          <t>Toko Komputer</t>
        </is>
      </c>
      <c r="C46" s="19" t="n">
        <v>92</v>
      </c>
      <c r="E46" s="28" t="n"/>
      <c r="F46" s="29">
        <f>IF(ISBLANK(E46), "⏳ Belum Diisi (Ketik Rumus di Sel Kuning E46)", IF(E46='99_KUNCI_JAWABAN'!F8, "✅ BENAR! JAWABAN TES TEPAT!", "❌ Belum Tepat (Cek Sheet Akhir: 99_KUNCI_JAWABAN)"))</f>
        <v/>
      </c>
      <c r="G46" s="5" t="n"/>
    </row>
    <row r="47">
      <c r="B47" s="19" t="inlineStr">
        <is>
          <t>Toko Aksesoris</t>
        </is>
      </c>
      <c r="C47" s="19" t="n">
        <v>78</v>
      </c>
    </row>
    <row r="48">
      <c r="B48" s="19" t="inlineStr">
        <is>
          <t>Toko Servis</t>
        </is>
      </c>
      <c r="C48" s="19" t="n">
        <v>95</v>
      </c>
    </row>
    <row r="51" ht="22" customHeight="1">
      <c r="B51" s="26" t="inlineStr">
        <is>
          <t>📝 SOAL TES #5: Kasus Akademik Sekolah &amp; Layanan Publik</t>
        </is>
      </c>
    </row>
    <row r="52" ht="30" customHeight="1">
      <c r="B52" s="14" t="inlineStr">
        <is>
          <t>Nama Unit / Kategori</t>
        </is>
      </c>
      <c r="C52" s="14" t="inlineStr">
        <is>
          <t>Nilai Data</t>
        </is>
      </c>
      <c r="E52" s="27" t="inlineStr">
        <is>
          <t>Persoalan Tes #5: Hitung hasil pengolahan fungsi AVEDEV untuk keempat baris data pada rentang C53:C56!</t>
        </is>
      </c>
    </row>
    <row r="53">
      <c r="B53" s="19" t="inlineStr">
        <is>
          <t>Kelas 10 IPA</t>
        </is>
      </c>
      <c r="C53" s="19" t="n">
        <v>82</v>
      </c>
      <c r="E53" s="14" t="inlineStr">
        <is>
          <t>✏️ KETIK RUMUS JAWABAN TES DI BAWAH:</t>
        </is>
      </c>
      <c r="F53" s="14" t="inlineStr">
        <is>
          <t>📌 STATUS KOREKSI JAWABAN TES:</t>
        </is>
      </c>
      <c r="G53" s="5" t="n"/>
    </row>
    <row r="54" ht="26" customHeight="1">
      <c r="B54" s="19" t="inlineStr">
        <is>
          <t>Kelas 11 IPA</t>
        </is>
      </c>
      <c r="C54" s="19" t="n">
        <v>88</v>
      </c>
      <c r="E54" s="28" t="n"/>
      <c r="F54" s="29">
        <f>IF(ISBLANK(E54), "⏳ Belum Diisi (Ketik Rumus di Sel Kuning E54)", IF(E54='99_KUNCI_JAWABAN'!F9, "✅ BENAR! JAWABAN TES TEPAT!", "❌ Belum Tepat (Cek Sheet Akhir: 99_KUNCI_JAWABAN)"))</f>
        <v/>
      </c>
      <c r="G54" s="5" t="n"/>
    </row>
    <row r="55">
      <c r="B55" s="19" t="inlineStr">
        <is>
          <t>Kelas 12 IPA</t>
        </is>
      </c>
      <c r="C55" s="19" t="n">
        <v>91</v>
      </c>
    </row>
    <row r="56">
      <c r="B56" s="19" t="inlineStr">
        <is>
          <t>Kelas Unggulan</t>
        </is>
      </c>
      <c r="C56" s="19" t="n">
        <v>79</v>
      </c>
    </row>
  </sheetData>
  <mergeCells count="33">
    <mergeCell ref="E10:G10"/>
    <mergeCell ref="F11:G11"/>
    <mergeCell ref="E28:G28"/>
    <mergeCell ref="F29:G29"/>
    <mergeCell ref="C6:G6"/>
    <mergeCell ref="F54:G54"/>
    <mergeCell ref="B17:G17"/>
    <mergeCell ref="B1:G1"/>
    <mergeCell ref="C5:G5"/>
    <mergeCell ref="B19:G19"/>
    <mergeCell ref="F21:G21"/>
    <mergeCell ref="F12:G12"/>
    <mergeCell ref="F30:G30"/>
    <mergeCell ref="E36:G36"/>
    <mergeCell ref="B9:G9"/>
    <mergeCell ref="F45:G45"/>
    <mergeCell ref="B51:G51"/>
    <mergeCell ref="F38:G38"/>
    <mergeCell ref="B35:G35"/>
    <mergeCell ref="B4:G4"/>
    <mergeCell ref="F46:G46"/>
    <mergeCell ref="F22:G22"/>
    <mergeCell ref="B2:E2"/>
    <mergeCell ref="F13:G13"/>
    <mergeCell ref="B16:G16"/>
    <mergeCell ref="F37:G37"/>
    <mergeCell ref="C7:G7"/>
    <mergeCell ref="E52:G52"/>
    <mergeCell ref="B27:G27"/>
    <mergeCell ref="B43:G43"/>
    <mergeCell ref="E44:G44"/>
    <mergeCell ref="E20:G20"/>
    <mergeCell ref="F53:G53"/>
  </mergeCells>
  <hyperlinks>
    <hyperlink xmlns:r="http://schemas.openxmlformats.org/officeDocument/2006/relationships" ref="F2" r:id="rId1"/>
    <hyperlink xmlns:r="http://schemas.openxmlformats.org/officeDocument/2006/relationships" ref="G2" r:id="rId2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G56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22" customWidth="1" min="3" max="3"/>
    <col width="4" customWidth="1" min="4" max="4"/>
    <col width="34" customWidth="1" min="5" max="5"/>
    <col width="44" customWidth="1" min="6" max="6"/>
    <col width="28" customWidth="1" min="7" max="7"/>
  </cols>
  <sheetData>
    <row r="1" ht="30" customHeight="1">
      <c r="B1" s="10" t="inlineStr">
        <is>
          <t>📊 #002 — RUMUS EXCEL: AVERAGE   |   Kategori: 8. Statistik &amp; Analisis Data</t>
        </is>
      </c>
    </row>
    <row r="2" ht="22" customHeight="1">
      <c r="B2" s="11" t="inlineStr">
        <is>
          <t>1 Rumus = 1 Contoh Soal + Jawaban Benar &amp; 5 Soal Tes Mandiri (Kunci Jawaban Ada di Sheet Paling Terakhir)</t>
        </is>
      </c>
      <c r="F2" s="12" t="inlineStr">
        <is>
          <t>⬅️ Ke Daftar Isi (00_DAFTAR_ISI)</t>
        </is>
      </c>
      <c r="G2" s="3" t="inlineStr">
        <is>
          <t>🔑 Ke Kunci Jawaban (Sheet Akhir)</t>
        </is>
      </c>
    </row>
    <row r="4" ht="24" customHeight="1">
      <c r="B4" s="13" t="inlineStr">
        <is>
          <t>1️⃣ IDENTITAS RUMUS &amp; FUNGSINYA BUAT APA? (AVERAGE)</t>
        </is>
      </c>
    </row>
    <row r="5" ht="21" customHeight="1">
      <c r="B5" s="14" t="inlineStr">
        <is>
          <t>Nama Rumus Excel</t>
        </is>
      </c>
      <c r="C5" s="15">
        <f>AVERAGE(...)</f>
        <v/>
      </c>
      <c r="D5" s="5" t="n"/>
      <c r="E5" s="5" t="n"/>
      <c r="F5" s="5" t="n"/>
      <c r="G5" s="5" t="n"/>
    </row>
    <row r="6" ht="21" customHeight="1">
      <c r="B6" s="14" t="inlineStr">
        <is>
          <t>Sintaks / Pola Umum</t>
        </is>
      </c>
      <c r="C6" s="15">
        <f>AVERAGE(range_data)</f>
        <v/>
      </c>
      <c r="D6" s="5" t="n"/>
      <c r="E6" s="5" t="n"/>
      <c r="F6" s="5" t="n"/>
      <c r="G6" s="5" t="n"/>
    </row>
    <row r="7" ht="26" customHeight="1">
      <c r="B7" s="14" t="inlineStr">
        <is>
          <t>👶 Fungsinya Buat Apa?</t>
        </is>
      </c>
      <c r="C7" s="16" t="inlineStr">
        <is>
          <t>Menghitung nilai RATA-RATA (Mean) dari sekumpulan angka.</t>
        </is>
      </c>
      <c r="D7" s="5" t="n"/>
      <c r="E7" s="5" t="n"/>
      <c r="F7" s="5" t="n"/>
      <c r="G7" s="5" t="n"/>
    </row>
    <row r="9" ht="24" customHeight="1">
      <c r="B9" s="17" t="inlineStr">
        <is>
          <t>2️⃣ 1 CONTOH SOAL &amp; CONTOH JAWABAN BENAR (PELAJARI POLA RUMUS AVERAGE DI SINI)</t>
        </is>
      </c>
    </row>
    <row r="10">
      <c r="B10" s="18" t="inlineStr">
        <is>
          <t>Nama Unit / Kategori</t>
        </is>
      </c>
      <c r="C10" s="18" t="inlineStr">
        <is>
          <t>Nilai Data</t>
        </is>
      </c>
      <c r="E10" s="18" t="inlineStr">
        <is>
          <t>✅ 1 CONTOH SOAL BESERTA CONTOH RUMUS &amp; HASIL JAWABAN BENAR:</t>
        </is>
      </c>
      <c r="F10" s="5" t="n"/>
      <c r="G10" s="5" t="n"/>
    </row>
    <row r="11" ht="28" customHeight="1">
      <c r="B11" s="19" t="inlineStr">
        <is>
          <t>Simulasi Unit A</t>
        </is>
      </c>
      <c r="C11" s="19" t="n">
        <v>500000</v>
      </c>
      <c r="E11" s="20" t="inlineStr">
        <is>
          <t>Contoh Soal:</t>
        </is>
      </c>
      <c r="F11" s="21" t="inlineStr">
        <is>
          <t>Hitung hasil pengolahan fungsi AVERAGE untuk keempat baris data pada rentang C11:C14!</t>
        </is>
      </c>
      <c r="G11" s="5" t="n"/>
    </row>
    <row r="12">
      <c r="B12" s="19" t="inlineStr">
        <is>
          <t>Simulasi Unit B</t>
        </is>
      </c>
      <c r="C12" s="19" t="n">
        <v>750000</v>
      </c>
      <c r="E12" s="20" t="inlineStr">
        <is>
          <t>Contoh Rumus Benar:</t>
        </is>
      </c>
      <c r="F12" s="22" t="inlineStr">
        <is>
          <t>'=AVERAGE(C11:C14)</t>
        </is>
      </c>
      <c r="G12" s="5" t="n"/>
    </row>
    <row r="13">
      <c r="B13" s="19" t="inlineStr">
        <is>
          <t>Simulasi Unit C</t>
        </is>
      </c>
      <c r="C13" s="19" t="n">
        <v>600000</v>
      </c>
      <c r="E13" s="20" t="inlineStr">
        <is>
          <t>Contoh Hasil Benar:</t>
        </is>
      </c>
      <c r="F13" s="23">
        <f>AVERAGE(C11:C14)</f>
        <v/>
      </c>
      <c r="G13" s="5" t="n"/>
    </row>
    <row r="14">
      <c r="B14" s="19" t="inlineStr">
        <is>
          <t>Simulasi Unit D</t>
        </is>
      </c>
      <c r="C14" s="19" t="n">
        <v>950000</v>
      </c>
    </row>
    <row r="16" ht="26" customHeight="1">
      <c r="B16" s="24" t="inlineStr">
        <is>
          <t>3️⃣ 5 SOAL TES DUNIA NYATA — KERJAKAN DI KOTAK KUNING (TANPA KUNCI RUMUS / HASIL DI SINI!)</t>
        </is>
      </c>
    </row>
    <row r="17" ht="20" customHeight="1">
      <c r="B17" s="25" t="inlineStr">
        <is>
          <t>📌 Catatan Tes: Soal Tes #1 s/d #5 di bawah ini tidak menampilkan kunci rumus maupun hasil. Kunci jawaban lengkap tersedia di sheet paling terakhir (99_KUNCI_JAWABAN).</t>
        </is>
      </c>
    </row>
    <row r="19" ht="22" customHeight="1">
      <c r="B19" s="26" t="inlineStr">
        <is>
          <t>📝 SOAL TES #1: Kasus Keuangan &amp; Akuntansi Kantor</t>
        </is>
      </c>
    </row>
    <row r="20" ht="30" customHeight="1">
      <c r="B20" s="14" t="inlineStr">
        <is>
          <t>Nama Unit / Kategori</t>
        </is>
      </c>
      <c r="C20" s="14" t="inlineStr">
        <is>
          <t>Nilai Data</t>
        </is>
      </c>
      <c r="E20" s="27" t="inlineStr">
        <is>
          <t>Persoalan Tes #1: Hitung hasil pengolahan fungsi AVERAGE untuk keempat baris data pada rentang C21:C24!</t>
        </is>
      </c>
    </row>
    <row r="21">
      <c r="B21" s="19" t="inlineStr">
        <is>
          <t>Cabang Jakarta</t>
        </is>
      </c>
      <c r="C21" s="19" t="n">
        <v>1250000</v>
      </c>
      <c r="E21" s="14" t="inlineStr">
        <is>
          <t>✏️ KETIK RUMUS JAWABAN TES DI BAWAH:</t>
        </is>
      </c>
      <c r="F21" s="14" t="inlineStr">
        <is>
          <t>📌 STATUS KOREKSI JAWABAN TES:</t>
        </is>
      </c>
      <c r="G21" s="5" t="n"/>
    </row>
    <row r="22" ht="26" customHeight="1">
      <c r="B22" s="19" t="inlineStr">
        <is>
          <t>Cabang Bandung</t>
        </is>
      </c>
      <c r="C22" s="19" t="n">
        <v>1850000</v>
      </c>
      <c r="E22" s="28" t="n"/>
      <c r="F22" s="29">
        <f>IF(ISBLANK(E22), "⏳ Belum Diisi (Ketik Rumus di Sel Kuning E22)", IF(E22='99_KUNCI_JAWABAN'!F10, "✅ BENAR! JAWABAN TES TEPAT!", "❌ Belum Tepat (Cek Sheet Akhir: 99_KUNCI_JAWABAN)"))</f>
        <v/>
      </c>
      <c r="G22" s="5" t="n"/>
    </row>
    <row r="23">
      <c r="B23" s="19" t="inlineStr">
        <is>
          <t>Cabang Surabaya</t>
        </is>
      </c>
      <c r="C23" s="19" t="n">
        <v>2100000</v>
      </c>
    </row>
    <row r="24">
      <c r="B24" s="19" t="inlineStr">
        <is>
          <t>Cabang Medan</t>
        </is>
      </c>
      <c r="C24" s="19" t="n">
        <v>1600000</v>
      </c>
    </row>
    <row r="27" ht="22" customHeight="1">
      <c r="B27" s="26" t="inlineStr">
        <is>
          <t>📝 SOAL TES #2: Kasus HRD, Gaji &amp; Lembur Karyawan</t>
        </is>
      </c>
    </row>
    <row r="28" ht="30" customHeight="1">
      <c r="B28" s="14" t="inlineStr">
        <is>
          <t>Nama Unit / Kategori</t>
        </is>
      </c>
      <c r="C28" s="14" t="inlineStr">
        <is>
          <t>Nilai Data</t>
        </is>
      </c>
      <c r="E28" s="27" t="inlineStr">
        <is>
          <t>Persoalan Tes #2: Hitung hasil pengolahan fungsi AVERAGE untuk keempat baris data pada rentang C29:C32!</t>
        </is>
      </c>
    </row>
    <row r="29">
      <c r="B29" s="19" t="inlineStr">
        <is>
          <t>Budi Santoso</t>
        </is>
      </c>
      <c r="C29" s="19" t="n">
        <v>4500000</v>
      </c>
      <c r="E29" s="14" t="inlineStr">
        <is>
          <t>✏️ KETIK RUMUS JAWABAN TES DI BAWAH:</t>
        </is>
      </c>
      <c r="F29" s="14" t="inlineStr">
        <is>
          <t>📌 STATUS KOREKSI JAWABAN TES:</t>
        </is>
      </c>
      <c r="G29" s="5" t="n"/>
    </row>
    <row r="30" ht="26" customHeight="1">
      <c r="B30" s="19" t="inlineStr">
        <is>
          <t>Siti Aminah</t>
        </is>
      </c>
      <c r="C30" s="19" t="n">
        <v>5200000</v>
      </c>
      <c r="E30" s="28" t="n"/>
      <c r="F30" s="29">
        <f>IF(ISBLANK(E30), "⏳ Belum Diisi (Ketik Rumus di Sel Kuning E30)", IF(E30='99_KUNCI_JAWABAN'!F11, "✅ BENAR! JAWABAN TES TEPAT!", "❌ Belum Tepat (Cek Sheet Akhir: 99_KUNCI_JAWABAN)"))</f>
        <v/>
      </c>
      <c r="G30" s="5" t="n"/>
    </row>
    <row r="31">
      <c r="B31" s="19" t="inlineStr">
        <is>
          <t>Andi Pratama</t>
        </is>
      </c>
      <c r="C31" s="19" t="n">
        <v>4800000</v>
      </c>
    </row>
    <row r="32">
      <c r="B32" s="19" t="inlineStr">
        <is>
          <t>Rina Wijaya</t>
        </is>
      </c>
      <c r="C32" s="19" t="n">
        <v>6100000</v>
      </c>
    </row>
    <row r="35" ht="22" customHeight="1">
      <c r="B35" s="26" t="inlineStr">
        <is>
          <t>📝 SOAL TES #3: Kasus Logistik &amp; Stok Gudang Utama</t>
        </is>
      </c>
    </row>
    <row r="36" ht="30" customHeight="1">
      <c r="B36" s="14" t="inlineStr">
        <is>
          <t>Nama Unit / Kategori</t>
        </is>
      </c>
      <c r="C36" s="14" t="inlineStr">
        <is>
          <t>Nilai Data</t>
        </is>
      </c>
      <c r="E36" s="27" t="inlineStr">
        <is>
          <t>Persoalan Tes #3: Hitung hasil pengolahan fungsi AVERAGE untuk keempat baris data pada rentang C37:C40!</t>
        </is>
      </c>
    </row>
    <row r="37">
      <c r="B37" s="19" t="inlineStr">
        <is>
          <t>Gudang Blok A</t>
        </is>
      </c>
      <c r="C37" s="19" t="n">
        <v>240</v>
      </c>
      <c r="E37" s="14" t="inlineStr">
        <is>
          <t>✏️ KETIK RUMUS JAWABAN TES DI BAWAH:</t>
        </is>
      </c>
      <c r="F37" s="14" t="inlineStr">
        <is>
          <t>📌 STATUS KOREKSI JAWABAN TES:</t>
        </is>
      </c>
      <c r="G37" s="5" t="n"/>
    </row>
    <row r="38" ht="26" customHeight="1">
      <c r="B38" s="19" t="inlineStr">
        <is>
          <t>Gudang Blok B</t>
        </is>
      </c>
      <c r="C38" s="19" t="n">
        <v>380</v>
      </c>
      <c r="E38" s="28" t="n"/>
      <c r="F38" s="29">
        <f>IF(ISBLANK(E38), "⏳ Belum Diisi (Ketik Rumus di Sel Kuning E38)", IF(E38='99_KUNCI_JAWABAN'!F12, "✅ BENAR! JAWABAN TES TEPAT!", "❌ Belum Tepat (Cek Sheet Akhir: 99_KUNCI_JAWABAN)"))</f>
        <v/>
      </c>
      <c r="G38" s="5" t="n"/>
    </row>
    <row r="39">
      <c r="B39" s="19" t="inlineStr">
        <is>
          <t>Gudang Blok C</t>
        </is>
      </c>
      <c r="C39" s="19" t="n">
        <v>195</v>
      </c>
    </row>
    <row r="40">
      <c r="B40" s="19" t="inlineStr">
        <is>
          <t>Gudang Blok D</t>
        </is>
      </c>
      <c r="C40" s="19" t="n">
        <v>425</v>
      </c>
    </row>
    <row r="43" ht="22" customHeight="1">
      <c r="B43" s="26" t="inlineStr">
        <is>
          <t>📝 SOAL TES #4: Kasus Penjualan Retail &amp; Target Toko</t>
        </is>
      </c>
    </row>
    <row r="44" ht="30" customHeight="1">
      <c r="B44" s="14" t="inlineStr">
        <is>
          <t>Nama Unit / Kategori</t>
        </is>
      </c>
      <c r="C44" s="14" t="inlineStr">
        <is>
          <t>Nilai Data</t>
        </is>
      </c>
      <c r="E44" s="27" t="inlineStr">
        <is>
          <t>Persoalan Tes #4: Hitung hasil pengolahan fungsi AVERAGE untuk keempat baris data pada rentang C45:C48!</t>
        </is>
      </c>
    </row>
    <row r="45">
      <c r="B45" s="19" t="inlineStr">
        <is>
          <t>Toko Elektronik</t>
        </is>
      </c>
      <c r="C45" s="19" t="n">
        <v>85</v>
      </c>
      <c r="E45" s="14" t="inlineStr">
        <is>
          <t>✏️ KETIK RUMUS JAWABAN TES DI BAWAH:</t>
        </is>
      </c>
      <c r="F45" s="14" t="inlineStr">
        <is>
          <t>📌 STATUS KOREKSI JAWABAN TES:</t>
        </is>
      </c>
      <c r="G45" s="5" t="n"/>
    </row>
    <row r="46" ht="26" customHeight="1">
      <c r="B46" s="19" t="inlineStr">
        <is>
          <t>Toko Komputer</t>
        </is>
      </c>
      <c r="C46" s="19" t="n">
        <v>92</v>
      </c>
      <c r="E46" s="28" t="n"/>
      <c r="F46" s="29">
        <f>IF(ISBLANK(E46), "⏳ Belum Diisi (Ketik Rumus di Sel Kuning E46)", IF(E46='99_KUNCI_JAWABAN'!F13, "✅ BENAR! JAWABAN TES TEPAT!", "❌ Belum Tepat (Cek Sheet Akhir: 99_KUNCI_JAWABAN)"))</f>
        <v/>
      </c>
      <c r="G46" s="5" t="n"/>
    </row>
    <row r="47">
      <c r="B47" s="19" t="inlineStr">
        <is>
          <t>Toko Aksesoris</t>
        </is>
      </c>
      <c r="C47" s="19" t="n">
        <v>78</v>
      </c>
    </row>
    <row r="48">
      <c r="B48" s="19" t="inlineStr">
        <is>
          <t>Toko Servis</t>
        </is>
      </c>
      <c r="C48" s="19" t="n">
        <v>95</v>
      </c>
    </row>
    <row r="51" ht="22" customHeight="1">
      <c r="B51" s="26" t="inlineStr">
        <is>
          <t>📝 SOAL TES #5: Kasus Akademik Sekolah &amp; Layanan Publik</t>
        </is>
      </c>
    </row>
    <row r="52" ht="30" customHeight="1">
      <c r="B52" s="14" t="inlineStr">
        <is>
          <t>Nama Unit / Kategori</t>
        </is>
      </c>
      <c r="C52" s="14" t="inlineStr">
        <is>
          <t>Nilai Data</t>
        </is>
      </c>
      <c r="E52" s="27" t="inlineStr">
        <is>
          <t>Persoalan Tes #5: Hitung hasil pengolahan fungsi AVERAGE untuk keempat baris data pada rentang C53:C56!</t>
        </is>
      </c>
    </row>
    <row r="53">
      <c r="B53" s="19" t="inlineStr">
        <is>
          <t>Kelas 10 IPA</t>
        </is>
      </c>
      <c r="C53" s="19" t="n">
        <v>82</v>
      </c>
      <c r="E53" s="14" t="inlineStr">
        <is>
          <t>✏️ KETIK RUMUS JAWABAN TES DI BAWAH:</t>
        </is>
      </c>
      <c r="F53" s="14" t="inlineStr">
        <is>
          <t>📌 STATUS KOREKSI JAWABAN TES:</t>
        </is>
      </c>
      <c r="G53" s="5" t="n"/>
    </row>
    <row r="54" ht="26" customHeight="1">
      <c r="B54" s="19" t="inlineStr">
        <is>
          <t>Kelas 11 IPA</t>
        </is>
      </c>
      <c r="C54" s="19" t="n">
        <v>88</v>
      </c>
      <c r="E54" s="28" t="n"/>
      <c r="F54" s="29">
        <f>IF(ISBLANK(E54), "⏳ Belum Diisi (Ketik Rumus di Sel Kuning E54)", IF(E54='99_KUNCI_JAWABAN'!F14, "✅ BENAR! JAWABAN TES TEPAT!", "❌ Belum Tepat (Cek Sheet Akhir: 99_KUNCI_JAWABAN)"))</f>
        <v/>
      </c>
      <c r="G54" s="5" t="n"/>
    </row>
    <row r="55">
      <c r="B55" s="19" t="inlineStr">
        <is>
          <t>Kelas 12 IPA</t>
        </is>
      </c>
      <c r="C55" s="19" t="n">
        <v>91</v>
      </c>
    </row>
    <row r="56">
      <c r="B56" s="19" t="inlineStr">
        <is>
          <t>Kelas Unggulan</t>
        </is>
      </c>
      <c r="C56" s="19" t="n">
        <v>79</v>
      </c>
    </row>
  </sheetData>
  <mergeCells count="33">
    <mergeCell ref="E10:G10"/>
    <mergeCell ref="F11:G11"/>
    <mergeCell ref="E28:G28"/>
    <mergeCell ref="F29:G29"/>
    <mergeCell ref="C6:G6"/>
    <mergeCell ref="F54:G54"/>
    <mergeCell ref="B17:G17"/>
    <mergeCell ref="B1:G1"/>
    <mergeCell ref="C5:G5"/>
    <mergeCell ref="B19:G19"/>
    <mergeCell ref="F21:G21"/>
    <mergeCell ref="F12:G12"/>
    <mergeCell ref="F30:G30"/>
    <mergeCell ref="E36:G36"/>
    <mergeCell ref="B9:G9"/>
    <mergeCell ref="F45:G45"/>
    <mergeCell ref="B51:G51"/>
    <mergeCell ref="F38:G38"/>
    <mergeCell ref="B35:G35"/>
    <mergeCell ref="B4:G4"/>
    <mergeCell ref="F46:G46"/>
    <mergeCell ref="F22:G22"/>
    <mergeCell ref="B2:E2"/>
    <mergeCell ref="F13:G13"/>
    <mergeCell ref="B16:G16"/>
    <mergeCell ref="F37:G37"/>
    <mergeCell ref="C7:G7"/>
    <mergeCell ref="E52:G52"/>
    <mergeCell ref="B27:G27"/>
    <mergeCell ref="B43:G43"/>
    <mergeCell ref="E44:G44"/>
    <mergeCell ref="E20:G20"/>
    <mergeCell ref="F53:G53"/>
  </mergeCells>
  <hyperlinks>
    <hyperlink xmlns:r="http://schemas.openxmlformats.org/officeDocument/2006/relationships" ref="F2" r:id="rId1"/>
    <hyperlink xmlns:r="http://schemas.openxmlformats.org/officeDocument/2006/relationships" ref="G2" r:id="rId2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G56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22" customWidth="1" min="3" max="3"/>
    <col width="4" customWidth="1" min="4" max="4"/>
    <col width="34" customWidth="1" min="5" max="5"/>
    <col width="44" customWidth="1" min="6" max="6"/>
    <col width="28" customWidth="1" min="7" max="7"/>
  </cols>
  <sheetData>
    <row r="1" ht="30" customHeight="1">
      <c r="B1" s="10" t="inlineStr">
        <is>
          <t>📊 #003 — RUMUS EXCEL: AVERAGEA   |   Kategori: 8. Statistik &amp; Analisis Data</t>
        </is>
      </c>
    </row>
    <row r="2" ht="22" customHeight="1">
      <c r="B2" s="11" t="inlineStr">
        <is>
          <t>1 Rumus = 1 Contoh Soal + Jawaban Benar &amp; 5 Soal Tes Mandiri (Kunci Jawaban Ada di Sheet Paling Terakhir)</t>
        </is>
      </c>
      <c r="F2" s="12" t="inlineStr">
        <is>
          <t>⬅️ Ke Daftar Isi (00_DAFTAR_ISI)</t>
        </is>
      </c>
      <c r="G2" s="3" t="inlineStr">
        <is>
          <t>🔑 Ke Kunci Jawaban (Sheet Akhir)</t>
        </is>
      </c>
    </row>
    <row r="4" ht="24" customHeight="1">
      <c r="B4" s="13" t="inlineStr">
        <is>
          <t>1️⃣ IDENTITAS RUMUS &amp; FUNGSINYA BUAT APA? (AVERAGEA)</t>
        </is>
      </c>
    </row>
    <row r="5" ht="21" customHeight="1">
      <c r="B5" s="14" t="inlineStr">
        <is>
          <t>Nama Rumus Excel</t>
        </is>
      </c>
      <c r="C5" s="15">
        <f>AVERAGEA(...)</f>
        <v/>
      </c>
      <c r="D5" s="5" t="n"/>
      <c r="E5" s="5" t="n"/>
      <c r="F5" s="5" t="n"/>
      <c r="G5" s="5" t="n"/>
    </row>
    <row r="6" ht="21" customHeight="1">
      <c r="B6" s="14" t="inlineStr">
        <is>
          <t>Sintaks / Pola Umum</t>
        </is>
      </c>
      <c r="C6" s="15">
        <f>AVERAGEA(range_data)</f>
        <v/>
      </c>
      <c r="D6" s="5" t="n"/>
      <c r="E6" s="5" t="n"/>
      <c r="F6" s="5" t="n"/>
      <c r="G6" s="5" t="n"/>
    </row>
    <row r="7" ht="26" customHeight="1">
      <c r="B7" s="14" t="inlineStr">
        <is>
          <t>👶 Fungsinya Buat Apa?</t>
        </is>
      </c>
      <c r="C7" s="16" t="inlineStr">
        <is>
          <t>Menghitung rata-rata dengan menyertakan sel teks (dihitung 0) dan logika.</t>
        </is>
      </c>
      <c r="D7" s="5" t="n"/>
      <c r="E7" s="5" t="n"/>
      <c r="F7" s="5" t="n"/>
      <c r="G7" s="5" t="n"/>
    </row>
    <row r="9" ht="24" customHeight="1">
      <c r="B9" s="17" t="inlineStr">
        <is>
          <t>2️⃣ 1 CONTOH SOAL &amp; CONTOH JAWABAN BENAR (PELAJARI POLA RUMUS AVERAGEA DI SINI)</t>
        </is>
      </c>
    </row>
    <row r="10">
      <c r="B10" s="18" t="inlineStr">
        <is>
          <t>Nama Unit / Kategori</t>
        </is>
      </c>
      <c r="C10" s="18" t="inlineStr">
        <is>
          <t>Nilai Data</t>
        </is>
      </c>
      <c r="E10" s="18" t="inlineStr">
        <is>
          <t>✅ 1 CONTOH SOAL BESERTA CONTOH RUMUS &amp; HASIL JAWABAN BENAR:</t>
        </is>
      </c>
      <c r="F10" s="5" t="n"/>
      <c r="G10" s="5" t="n"/>
    </row>
    <row r="11" ht="28" customHeight="1">
      <c r="B11" s="19" t="inlineStr">
        <is>
          <t>Simulasi Unit A</t>
        </is>
      </c>
      <c r="C11" s="19" t="n">
        <v>500000</v>
      </c>
      <c r="E11" s="20" t="inlineStr">
        <is>
          <t>Contoh Soal:</t>
        </is>
      </c>
      <c r="F11" s="21" t="inlineStr">
        <is>
          <t>Hitung hasil pengolahan fungsi AVERAGEA untuk keempat baris data pada rentang C11:C14!</t>
        </is>
      </c>
      <c r="G11" s="5" t="n"/>
    </row>
    <row r="12">
      <c r="B12" s="19" t="inlineStr">
        <is>
          <t>Simulasi Unit B</t>
        </is>
      </c>
      <c r="C12" s="19" t="n">
        <v>750000</v>
      </c>
      <c r="E12" s="20" t="inlineStr">
        <is>
          <t>Contoh Rumus Benar:</t>
        </is>
      </c>
      <c r="F12" s="22" t="inlineStr">
        <is>
          <t>'=AVERAGEA(C11:C14)</t>
        </is>
      </c>
      <c r="G12" s="5" t="n"/>
    </row>
    <row r="13">
      <c r="B13" s="19" t="inlineStr">
        <is>
          <t>Simulasi Unit C</t>
        </is>
      </c>
      <c r="C13" s="19" t="n">
        <v>600000</v>
      </c>
      <c r="E13" s="20" t="inlineStr">
        <is>
          <t>Contoh Hasil Benar:</t>
        </is>
      </c>
      <c r="F13" s="23">
        <f>AVERAGEA(C11:C14)</f>
        <v/>
      </c>
      <c r="G13" s="5" t="n"/>
    </row>
    <row r="14">
      <c r="B14" s="19" t="inlineStr">
        <is>
          <t>Simulasi Unit D</t>
        </is>
      </c>
      <c r="C14" s="19" t="n">
        <v>950000</v>
      </c>
    </row>
    <row r="16" ht="26" customHeight="1">
      <c r="B16" s="24" t="inlineStr">
        <is>
          <t>3️⃣ 5 SOAL TES DUNIA NYATA — KERJAKAN DI KOTAK KUNING (TANPA KUNCI RUMUS / HASIL DI SINI!)</t>
        </is>
      </c>
    </row>
    <row r="17" ht="20" customHeight="1">
      <c r="B17" s="25" t="inlineStr">
        <is>
          <t>📌 Catatan Tes: Soal Tes #1 s/d #5 di bawah ini tidak menampilkan kunci rumus maupun hasil. Kunci jawaban lengkap tersedia di sheet paling terakhir (99_KUNCI_JAWABAN).</t>
        </is>
      </c>
    </row>
    <row r="19" ht="22" customHeight="1">
      <c r="B19" s="26" t="inlineStr">
        <is>
          <t>📝 SOAL TES #1: Kasus Keuangan &amp; Akuntansi Kantor</t>
        </is>
      </c>
    </row>
    <row r="20" ht="30" customHeight="1">
      <c r="B20" s="14" t="inlineStr">
        <is>
          <t>Nama Unit / Kategori</t>
        </is>
      </c>
      <c r="C20" s="14" t="inlineStr">
        <is>
          <t>Nilai Data</t>
        </is>
      </c>
      <c r="E20" s="27" t="inlineStr">
        <is>
          <t>Persoalan Tes #1: Hitung hasil pengolahan fungsi AVERAGEA untuk keempat baris data pada rentang C21:C24!</t>
        </is>
      </c>
    </row>
    <row r="21">
      <c r="B21" s="19" t="inlineStr">
        <is>
          <t>Cabang Jakarta</t>
        </is>
      </c>
      <c r="C21" s="19" t="n">
        <v>1250000</v>
      </c>
      <c r="E21" s="14" t="inlineStr">
        <is>
          <t>✏️ KETIK RUMUS JAWABAN TES DI BAWAH:</t>
        </is>
      </c>
      <c r="F21" s="14" t="inlineStr">
        <is>
          <t>📌 STATUS KOREKSI JAWABAN TES:</t>
        </is>
      </c>
      <c r="G21" s="5" t="n"/>
    </row>
    <row r="22" ht="26" customHeight="1">
      <c r="B22" s="19" t="inlineStr">
        <is>
          <t>Cabang Bandung</t>
        </is>
      </c>
      <c r="C22" s="19" t="n">
        <v>1850000</v>
      </c>
      <c r="E22" s="28" t="n"/>
      <c r="F22" s="29">
        <f>IF(ISBLANK(E22), "⏳ Belum Diisi (Ketik Rumus di Sel Kuning E22)", IF(E22='99_KUNCI_JAWABAN'!F15, "✅ BENAR! JAWABAN TES TEPAT!", "❌ Belum Tepat (Cek Sheet Akhir: 99_KUNCI_JAWABAN)"))</f>
        <v/>
      </c>
      <c r="G22" s="5" t="n"/>
    </row>
    <row r="23">
      <c r="B23" s="19" t="inlineStr">
        <is>
          <t>Cabang Surabaya</t>
        </is>
      </c>
      <c r="C23" s="19" t="n">
        <v>2100000</v>
      </c>
    </row>
    <row r="24">
      <c r="B24" s="19" t="inlineStr">
        <is>
          <t>Cabang Medan</t>
        </is>
      </c>
      <c r="C24" s="19" t="n">
        <v>1600000</v>
      </c>
    </row>
    <row r="27" ht="22" customHeight="1">
      <c r="B27" s="26" t="inlineStr">
        <is>
          <t>📝 SOAL TES #2: Kasus HRD, Gaji &amp; Lembur Karyawan</t>
        </is>
      </c>
    </row>
    <row r="28" ht="30" customHeight="1">
      <c r="B28" s="14" t="inlineStr">
        <is>
          <t>Nama Unit / Kategori</t>
        </is>
      </c>
      <c r="C28" s="14" t="inlineStr">
        <is>
          <t>Nilai Data</t>
        </is>
      </c>
      <c r="E28" s="27" t="inlineStr">
        <is>
          <t>Persoalan Tes #2: Hitung hasil pengolahan fungsi AVERAGEA untuk keempat baris data pada rentang C29:C32!</t>
        </is>
      </c>
    </row>
    <row r="29">
      <c r="B29" s="19" t="inlineStr">
        <is>
          <t>Budi Santoso</t>
        </is>
      </c>
      <c r="C29" s="19" t="n">
        <v>4500000</v>
      </c>
      <c r="E29" s="14" t="inlineStr">
        <is>
          <t>✏️ KETIK RUMUS JAWABAN TES DI BAWAH:</t>
        </is>
      </c>
      <c r="F29" s="14" t="inlineStr">
        <is>
          <t>📌 STATUS KOREKSI JAWABAN TES:</t>
        </is>
      </c>
      <c r="G29" s="5" t="n"/>
    </row>
    <row r="30" ht="26" customHeight="1">
      <c r="B30" s="19" t="inlineStr">
        <is>
          <t>Siti Aminah</t>
        </is>
      </c>
      <c r="C30" s="19" t="n">
        <v>5200000</v>
      </c>
      <c r="E30" s="28" t="n"/>
      <c r="F30" s="29">
        <f>IF(ISBLANK(E30), "⏳ Belum Diisi (Ketik Rumus di Sel Kuning E30)", IF(E30='99_KUNCI_JAWABAN'!F16, "✅ BENAR! JAWABAN TES TEPAT!", "❌ Belum Tepat (Cek Sheet Akhir: 99_KUNCI_JAWABAN)"))</f>
        <v/>
      </c>
      <c r="G30" s="5" t="n"/>
    </row>
    <row r="31">
      <c r="B31" s="19" t="inlineStr">
        <is>
          <t>Andi Pratama</t>
        </is>
      </c>
      <c r="C31" s="19" t="n">
        <v>4800000</v>
      </c>
    </row>
    <row r="32">
      <c r="B32" s="19" t="inlineStr">
        <is>
          <t>Rina Wijaya</t>
        </is>
      </c>
      <c r="C32" s="19" t="n">
        <v>6100000</v>
      </c>
    </row>
    <row r="35" ht="22" customHeight="1">
      <c r="B35" s="26" t="inlineStr">
        <is>
          <t>📝 SOAL TES #3: Kasus Logistik &amp; Stok Gudang Utama</t>
        </is>
      </c>
    </row>
    <row r="36" ht="30" customHeight="1">
      <c r="B36" s="14" t="inlineStr">
        <is>
          <t>Nama Unit / Kategori</t>
        </is>
      </c>
      <c r="C36" s="14" t="inlineStr">
        <is>
          <t>Nilai Data</t>
        </is>
      </c>
      <c r="E36" s="27" t="inlineStr">
        <is>
          <t>Persoalan Tes #3: Hitung hasil pengolahan fungsi AVERAGEA untuk keempat baris data pada rentang C37:C40!</t>
        </is>
      </c>
    </row>
    <row r="37">
      <c r="B37" s="19" t="inlineStr">
        <is>
          <t>Gudang Blok A</t>
        </is>
      </c>
      <c r="C37" s="19" t="n">
        <v>240</v>
      </c>
      <c r="E37" s="14" t="inlineStr">
        <is>
          <t>✏️ KETIK RUMUS JAWABAN TES DI BAWAH:</t>
        </is>
      </c>
      <c r="F37" s="14" t="inlineStr">
        <is>
          <t>📌 STATUS KOREKSI JAWABAN TES:</t>
        </is>
      </c>
      <c r="G37" s="5" t="n"/>
    </row>
    <row r="38" ht="26" customHeight="1">
      <c r="B38" s="19" t="inlineStr">
        <is>
          <t>Gudang Blok B</t>
        </is>
      </c>
      <c r="C38" s="19" t="n">
        <v>380</v>
      </c>
      <c r="E38" s="28" t="n"/>
      <c r="F38" s="29">
        <f>IF(ISBLANK(E38), "⏳ Belum Diisi (Ketik Rumus di Sel Kuning E38)", IF(E38='99_KUNCI_JAWABAN'!F17, "✅ BENAR! JAWABAN TES TEPAT!", "❌ Belum Tepat (Cek Sheet Akhir: 99_KUNCI_JAWABAN)"))</f>
        <v/>
      </c>
      <c r="G38" s="5" t="n"/>
    </row>
    <row r="39">
      <c r="B39" s="19" t="inlineStr">
        <is>
          <t>Gudang Blok C</t>
        </is>
      </c>
      <c r="C39" s="19" t="n">
        <v>195</v>
      </c>
    </row>
    <row r="40">
      <c r="B40" s="19" t="inlineStr">
        <is>
          <t>Gudang Blok D</t>
        </is>
      </c>
      <c r="C40" s="19" t="n">
        <v>425</v>
      </c>
    </row>
    <row r="43" ht="22" customHeight="1">
      <c r="B43" s="26" t="inlineStr">
        <is>
          <t>📝 SOAL TES #4: Kasus Penjualan Retail &amp; Target Toko</t>
        </is>
      </c>
    </row>
    <row r="44" ht="30" customHeight="1">
      <c r="B44" s="14" t="inlineStr">
        <is>
          <t>Nama Unit / Kategori</t>
        </is>
      </c>
      <c r="C44" s="14" t="inlineStr">
        <is>
          <t>Nilai Data</t>
        </is>
      </c>
      <c r="E44" s="27" t="inlineStr">
        <is>
          <t>Persoalan Tes #4: Hitung hasil pengolahan fungsi AVERAGEA untuk keempat baris data pada rentang C45:C48!</t>
        </is>
      </c>
    </row>
    <row r="45">
      <c r="B45" s="19" t="inlineStr">
        <is>
          <t>Toko Elektronik</t>
        </is>
      </c>
      <c r="C45" s="19" t="n">
        <v>85</v>
      </c>
      <c r="E45" s="14" t="inlineStr">
        <is>
          <t>✏️ KETIK RUMUS JAWABAN TES DI BAWAH:</t>
        </is>
      </c>
      <c r="F45" s="14" t="inlineStr">
        <is>
          <t>📌 STATUS KOREKSI JAWABAN TES:</t>
        </is>
      </c>
      <c r="G45" s="5" t="n"/>
    </row>
    <row r="46" ht="26" customHeight="1">
      <c r="B46" s="19" t="inlineStr">
        <is>
          <t>Toko Komputer</t>
        </is>
      </c>
      <c r="C46" s="19" t="n">
        <v>92</v>
      </c>
      <c r="E46" s="28" t="n"/>
      <c r="F46" s="29">
        <f>IF(ISBLANK(E46), "⏳ Belum Diisi (Ketik Rumus di Sel Kuning E46)", IF(E46='99_KUNCI_JAWABAN'!F18, "✅ BENAR! JAWABAN TES TEPAT!", "❌ Belum Tepat (Cek Sheet Akhir: 99_KUNCI_JAWABAN)"))</f>
        <v/>
      </c>
      <c r="G46" s="5" t="n"/>
    </row>
    <row r="47">
      <c r="B47" s="19" t="inlineStr">
        <is>
          <t>Toko Aksesoris</t>
        </is>
      </c>
      <c r="C47" s="19" t="n">
        <v>78</v>
      </c>
    </row>
    <row r="48">
      <c r="B48" s="19" t="inlineStr">
        <is>
          <t>Toko Servis</t>
        </is>
      </c>
      <c r="C48" s="19" t="n">
        <v>95</v>
      </c>
    </row>
    <row r="51" ht="22" customHeight="1">
      <c r="B51" s="26" t="inlineStr">
        <is>
          <t>📝 SOAL TES #5: Kasus Akademik Sekolah &amp; Layanan Publik</t>
        </is>
      </c>
    </row>
    <row r="52" ht="30" customHeight="1">
      <c r="B52" s="14" t="inlineStr">
        <is>
          <t>Nama Unit / Kategori</t>
        </is>
      </c>
      <c r="C52" s="14" t="inlineStr">
        <is>
          <t>Nilai Data</t>
        </is>
      </c>
      <c r="E52" s="27" t="inlineStr">
        <is>
          <t>Persoalan Tes #5: Hitung hasil pengolahan fungsi AVERAGEA untuk keempat baris data pada rentang C53:C56!</t>
        </is>
      </c>
    </row>
    <row r="53">
      <c r="B53" s="19" t="inlineStr">
        <is>
          <t>Kelas 10 IPA</t>
        </is>
      </c>
      <c r="C53" s="19" t="n">
        <v>82</v>
      </c>
      <c r="E53" s="14" t="inlineStr">
        <is>
          <t>✏️ KETIK RUMUS JAWABAN TES DI BAWAH:</t>
        </is>
      </c>
      <c r="F53" s="14" t="inlineStr">
        <is>
          <t>📌 STATUS KOREKSI JAWABAN TES:</t>
        </is>
      </c>
      <c r="G53" s="5" t="n"/>
    </row>
    <row r="54" ht="26" customHeight="1">
      <c r="B54" s="19" t="inlineStr">
        <is>
          <t>Kelas 11 IPA</t>
        </is>
      </c>
      <c r="C54" s="19" t="n">
        <v>88</v>
      </c>
      <c r="E54" s="28" t="n"/>
      <c r="F54" s="29">
        <f>IF(ISBLANK(E54), "⏳ Belum Diisi (Ketik Rumus di Sel Kuning E54)", IF(E54='99_KUNCI_JAWABAN'!F19, "✅ BENAR! JAWABAN TES TEPAT!", "❌ Belum Tepat (Cek Sheet Akhir: 99_KUNCI_JAWABAN)"))</f>
        <v/>
      </c>
      <c r="G54" s="5" t="n"/>
    </row>
    <row r="55">
      <c r="B55" s="19" t="inlineStr">
        <is>
          <t>Kelas 12 IPA</t>
        </is>
      </c>
      <c r="C55" s="19" t="n">
        <v>91</v>
      </c>
    </row>
    <row r="56">
      <c r="B56" s="19" t="inlineStr">
        <is>
          <t>Kelas Unggulan</t>
        </is>
      </c>
      <c r="C56" s="19" t="n">
        <v>79</v>
      </c>
    </row>
  </sheetData>
  <mergeCells count="33">
    <mergeCell ref="E10:G10"/>
    <mergeCell ref="F11:G11"/>
    <mergeCell ref="E28:G28"/>
    <mergeCell ref="F29:G29"/>
    <mergeCell ref="C6:G6"/>
    <mergeCell ref="F54:G54"/>
    <mergeCell ref="B17:G17"/>
    <mergeCell ref="B1:G1"/>
    <mergeCell ref="C5:G5"/>
    <mergeCell ref="B19:G19"/>
    <mergeCell ref="F21:G21"/>
    <mergeCell ref="F12:G12"/>
    <mergeCell ref="F30:G30"/>
    <mergeCell ref="E36:G36"/>
    <mergeCell ref="B9:G9"/>
    <mergeCell ref="F45:G45"/>
    <mergeCell ref="B51:G51"/>
    <mergeCell ref="F38:G38"/>
    <mergeCell ref="B35:G35"/>
    <mergeCell ref="B4:G4"/>
    <mergeCell ref="F46:G46"/>
    <mergeCell ref="F22:G22"/>
    <mergeCell ref="B2:E2"/>
    <mergeCell ref="F13:G13"/>
    <mergeCell ref="B16:G16"/>
    <mergeCell ref="F37:G37"/>
    <mergeCell ref="C7:G7"/>
    <mergeCell ref="E52:G52"/>
    <mergeCell ref="B27:G27"/>
    <mergeCell ref="B43:G43"/>
    <mergeCell ref="E44:G44"/>
    <mergeCell ref="E20:G20"/>
    <mergeCell ref="F53:G53"/>
  </mergeCells>
  <hyperlinks>
    <hyperlink xmlns:r="http://schemas.openxmlformats.org/officeDocument/2006/relationships" ref="F2" r:id="rId1"/>
    <hyperlink xmlns:r="http://schemas.openxmlformats.org/officeDocument/2006/relationships" ref="G2" r:id="rId2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G56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22" customWidth="1" min="3" max="3"/>
    <col width="4" customWidth="1" min="4" max="4"/>
    <col width="34" customWidth="1" min="5" max="5"/>
    <col width="44" customWidth="1" min="6" max="6"/>
    <col width="28" customWidth="1" min="7" max="7"/>
  </cols>
  <sheetData>
    <row r="1" ht="30" customHeight="1">
      <c r="B1" s="10" t="inlineStr">
        <is>
          <t>📊 #004 — RUMUS EXCEL: AVERAGEIF   |   Kategori: 8. Statistik &amp; Analisis Data</t>
        </is>
      </c>
    </row>
    <row r="2" ht="22" customHeight="1">
      <c r="B2" s="11" t="inlineStr">
        <is>
          <t>1 Rumus = 1 Contoh Soal + Jawaban Benar &amp; 5 Soal Tes Mandiri (Kunci Jawaban Ada di Sheet Paling Terakhir)</t>
        </is>
      </c>
      <c r="F2" s="12" t="inlineStr">
        <is>
          <t>⬅️ Ke Daftar Isi (00_DAFTAR_ISI)</t>
        </is>
      </c>
      <c r="G2" s="3" t="inlineStr">
        <is>
          <t>🔑 Ke Kunci Jawaban (Sheet Akhir)</t>
        </is>
      </c>
    </row>
    <row r="4" ht="24" customHeight="1">
      <c r="B4" s="13" t="inlineStr">
        <is>
          <t>1️⃣ IDENTITAS RUMUS &amp; FUNGSINYA BUAT APA? (AVERAGEIF)</t>
        </is>
      </c>
    </row>
    <row r="5" ht="21" customHeight="1">
      <c r="B5" s="14" t="inlineStr">
        <is>
          <t>Nama Rumus Excel</t>
        </is>
      </c>
      <c r="C5" s="15">
        <f>AVERAGEIF(...)</f>
        <v/>
      </c>
      <c r="D5" s="5" t="n"/>
      <c r="E5" s="5" t="n"/>
      <c r="F5" s="5" t="n"/>
      <c r="G5" s="5" t="n"/>
    </row>
    <row r="6" ht="21" customHeight="1">
      <c r="B6" s="14" t="inlineStr">
        <is>
          <t>Sintaks / Pola Umum</t>
        </is>
      </c>
      <c r="C6" s="15">
        <f>AVERAGEIF(range_syarat, syarat, [range_rata2])</f>
        <v/>
      </c>
      <c r="D6" s="5" t="n"/>
      <c r="E6" s="5" t="n"/>
      <c r="F6" s="5" t="n"/>
      <c r="G6" s="5" t="n"/>
    </row>
    <row r="7" ht="26" customHeight="1">
      <c r="B7" s="14" t="inlineStr">
        <is>
          <t>👶 Fungsinya Buat Apa?</t>
        </is>
      </c>
      <c r="C7" s="16" t="inlineStr">
        <is>
          <t>Menghitung rata-rata HANYA untuk baris yang memenuhi 1 syarat tertentu.</t>
        </is>
      </c>
      <c r="D7" s="5" t="n"/>
      <c r="E7" s="5" t="n"/>
      <c r="F7" s="5" t="n"/>
      <c r="G7" s="5" t="n"/>
    </row>
    <row r="9" ht="24" customHeight="1">
      <c r="B9" s="17" t="inlineStr">
        <is>
          <t>2️⃣ 1 CONTOH SOAL &amp; CONTOH JAWABAN BENAR (PELAJARI POLA RUMUS AVERAGEIF DI SINI)</t>
        </is>
      </c>
    </row>
    <row r="10">
      <c r="B10" s="18" t="inlineStr">
        <is>
          <t>Kategori Lokasi</t>
        </is>
      </c>
      <c r="C10" s="18" t="inlineStr">
        <is>
          <t>Nilai Transaksi</t>
        </is>
      </c>
      <c r="E10" s="18" t="inlineStr">
        <is>
          <t>✅ 1 CONTOH SOAL BESERTA CONTOH RUMUS &amp; HASIL JAWABAN BENAR:</t>
        </is>
      </c>
      <c r="F10" s="5" t="n"/>
      <c r="G10" s="5" t="n"/>
    </row>
    <row r="11" ht="28" customHeight="1">
      <c r="B11" s="19" t="inlineStr">
        <is>
          <t>Pusat</t>
        </is>
      </c>
      <c r="C11" s="19" t="n">
        <v>500000</v>
      </c>
      <c r="E11" s="20" t="inlineStr">
        <is>
          <t>Contoh Soal:</t>
        </is>
      </c>
      <c r="F11" s="21" t="inlineStr">
        <is>
          <t>Gunakan fungsi AVERAGEIF untuk mengolah data khusus kategori "Pusat" saja (rentang kategori di B11:B14 dan rentang nilai di C11:C14)!</t>
        </is>
      </c>
      <c r="G11" s="5" t="n"/>
    </row>
    <row r="12">
      <c r="B12" s="19" t="inlineStr">
        <is>
          <t>Cabang</t>
        </is>
      </c>
      <c r="C12" s="19" t="n">
        <v>750000</v>
      </c>
      <c r="E12" s="20" t="inlineStr">
        <is>
          <t>Contoh Rumus Benar:</t>
        </is>
      </c>
      <c r="F12" s="22" t="inlineStr">
        <is>
          <t>'=AVERAGEIF(B11:B14, "Pusat", C11:C14)</t>
        </is>
      </c>
      <c r="G12" s="5" t="n"/>
    </row>
    <row r="13">
      <c r="B13" s="19" t="inlineStr">
        <is>
          <t>Pusat</t>
        </is>
      </c>
      <c r="C13" s="19" t="n">
        <v>600000</v>
      </c>
      <c r="E13" s="20" t="inlineStr">
        <is>
          <t>Contoh Hasil Benar:</t>
        </is>
      </c>
      <c r="F13" s="23">
        <f>AVERAGEIF(B11:B14, "Pusat", C11:C14)</f>
        <v/>
      </c>
      <c r="G13" s="5" t="n"/>
    </row>
    <row r="14">
      <c r="B14" s="19" t="inlineStr">
        <is>
          <t>Cabang</t>
        </is>
      </c>
      <c r="C14" s="19" t="n">
        <v>950000</v>
      </c>
    </row>
    <row r="16" ht="26" customHeight="1">
      <c r="B16" s="24" t="inlineStr">
        <is>
          <t>3️⃣ 5 SOAL TES DUNIA NYATA — KERJAKAN DI KOTAK KUNING (TANPA KUNCI RUMUS / HASIL DI SINI!)</t>
        </is>
      </c>
    </row>
    <row r="17" ht="20" customHeight="1">
      <c r="B17" s="25" t="inlineStr">
        <is>
          <t>📌 Catatan Tes: Soal Tes #1 s/d #5 di bawah ini tidak menampilkan kunci rumus maupun hasil. Kunci jawaban lengkap tersedia di sheet paling terakhir (99_KUNCI_JAWABAN).</t>
        </is>
      </c>
    </row>
    <row r="19" ht="22" customHeight="1">
      <c r="B19" s="26" t="inlineStr">
        <is>
          <t>📝 SOAL TES #1: Kasus Keuangan &amp; Akuntansi Kantor</t>
        </is>
      </c>
    </row>
    <row r="20" ht="30" customHeight="1">
      <c r="B20" s="14" t="inlineStr">
        <is>
          <t>Kategori Lokasi</t>
        </is>
      </c>
      <c r="C20" s="14" t="inlineStr">
        <is>
          <t>Nilai Transaksi</t>
        </is>
      </c>
      <c r="E20" s="27" t="inlineStr">
        <is>
          <t>Persoalan Tes #1: Gunakan fungsi AVERAGEIF untuk mengolah data khusus kategori "Pusat" saja (rentang kategori di B21:B24 dan rentang nilai di C21:C24)!</t>
        </is>
      </c>
    </row>
    <row r="21">
      <c r="B21" s="19" t="inlineStr">
        <is>
          <t>Pusat</t>
        </is>
      </c>
      <c r="C21" s="19" t="n">
        <v>1250000</v>
      </c>
      <c r="E21" s="14" t="inlineStr">
        <is>
          <t>✏️ KETIK RUMUS JAWABAN TES DI BAWAH:</t>
        </is>
      </c>
      <c r="F21" s="14" t="inlineStr">
        <is>
          <t>📌 STATUS KOREKSI JAWABAN TES:</t>
        </is>
      </c>
      <c r="G21" s="5" t="n"/>
    </row>
    <row r="22" ht="26" customHeight="1">
      <c r="B22" s="19" t="inlineStr">
        <is>
          <t>Cabang</t>
        </is>
      </c>
      <c r="C22" s="19" t="n">
        <v>1850000</v>
      </c>
      <c r="E22" s="28" t="n"/>
      <c r="F22" s="29">
        <f>IF(ISBLANK(E22), "⏳ Belum Diisi (Ketik Rumus di Sel Kuning E22)", IF(E22='99_KUNCI_JAWABAN'!F20, "✅ BENAR! JAWABAN TES TEPAT!", "❌ Belum Tepat (Cek Sheet Akhir: 99_KUNCI_JAWABAN)"))</f>
        <v/>
      </c>
      <c r="G22" s="5" t="n"/>
    </row>
    <row r="23">
      <c r="B23" s="19" t="inlineStr">
        <is>
          <t>Pusat</t>
        </is>
      </c>
      <c r="C23" s="19" t="n">
        <v>2100000</v>
      </c>
    </row>
    <row r="24">
      <c r="B24" s="19" t="inlineStr">
        <is>
          <t>Cabang</t>
        </is>
      </c>
      <c r="C24" s="19" t="n">
        <v>1600000</v>
      </c>
    </row>
    <row r="27" ht="22" customHeight="1">
      <c r="B27" s="26" t="inlineStr">
        <is>
          <t>📝 SOAL TES #2: Kasus HRD, Gaji &amp; Lembur Karyawan</t>
        </is>
      </c>
    </row>
    <row r="28" ht="30" customHeight="1">
      <c r="B28" s="14" t="inlineStr">
        <is>
          <t>Kategori Lokasi</t>
        </is>
      </c>
      <c r="C28" s="14" t="inlineStr">
        <is>
          <t>Nilai Transaksi</t>
        </is>
      </c>
      <c r="E28" s="27" t="inlineStr">
        <is>
          <t>Persoalan Tes #2: Gunakan fungsi AVERAGEIF untuk mengolah data khusus kategori "Pusat" saja (rentang kategori di B29:B32 dan rentang nilai di C29:C32)!</t>
        </is>
      </c>
    </row>
    <row r="29">
      <c r="B29" s="19" t="inlineStr">
        <is>
          <t>Pusat</t>
        </is>
      </c>
      <c r="C29" s="19" t="n">
        <v>4500000</v>
      </c>
      <c r="E29" s="14" t="inlineStr">
        <is>
          <t>✏️ KETIK RUMUS JAWABAN TES DI BAWAH:</t>
        </is>
      </c>
      <c r="F29" s="14" t="inlineStr">
        <is>
          <t>📌 STATUS KOREKSI JAWABAN TES:</t>
        </is>
      </c>
      <c r="G29" s="5" t="n"/>
    </row>
    <row r="30" ht="26" customHeight="1">
      <c r="B30" s="19" t="inlineStr">
        <is>
          <t>Cabang</t>
        </is>
      </c>
      <c r="C30" s="19" t="n">
        <v>5200000</v>
      </c>
      <c r="E30" s="28" t="n"/>
      <c r="F30" s="29">
        <f>IF(ISBLANK(E30), "⏳ Belum Diisi (Ketik Rumus di Sel Kuning E30)", IF(E30='99_KUNCI_JAWABAN'!F21, "✅ BENAR! JAWABAN TES TEPAT!", "❌ Belum Tepat (Cek Sheet Akhir: 99_KUNCI_JAWABAN)"))</f>
        <v/>
      </c>
      <c r="G30" s="5" t="n"/>
    </row>
    <row r="31">
      <c r="B31" s="19" t="inlineStr">
        <is>
          <t>Pusat</t>
        </is>
      </c>
      <c r="C31" s="19" t="n">
        <v>4800000</v>
      </c>
    </row>
    <row r="32">
      <c r="B32" s="19" t="inlineStr">
        <is>
          <t>Cabang</t>
        </is>
      </c>
      <c r="C32" s="19" t="n">
        <v>6100000</v>
      </c>
    </row>
    <row r="35" ht="22" customHeight="1">
      <c r="B35" s="26" t="inlineStr">
        <is>
          <t>📝 SOAL TES #3: Kasus Logistik &amp; Stok Gudang Utama</t>
        </is>
      </c>
    </row>
    <row r="36" ht="30" customHeight="1">
      <c r="B36" s="14" t="inlineStr">
        <is>
          <t>Kategori Lokasi</t>
        </is>
      </c>
      <c r="C36" s="14" t="inlineStr">
        <is>
          <t>Nilai Transaksi</t>
        </is>
      </c>
      <c r="E36" s="27" t="inlineStr">
        <is>
          <t>Persoalan Tes #3: Gunakan fungsi AVERAGEIF untuk mengolah data khusus kategori "Pusat" saja (rentang kategori di B37:B40 dan rentang nilai di C37:C40)!</t>
        </is>
      </c>
    </row>
    <row r="37">
      <c r="B37" s="19" t="inlineStr">
        <is>
          <t>Pusat</t>
        </is>
      </c>
      <c r="C37" s="19" t="n">
        <v>240</v>
      </c>
      <c r="E37" s="14" t="inlineStr">
        <is>
          <t>✏️ KETIK RUMUS JAWABAN TES DI BAWAH:</t>
        </is>
      </c>
      <c r="F37" s="14" t="inlineStr">
        <is>
          <t>📌 STATUS KOREKSI JAWABAN TES:</t>
        </is>
      </c>
      <c r="G37" s="5" t="n"/>
    </row>
    <row r="38" ht="26" customHeight="1">
      <c r="B38" s="19" t="inlineStr">
        <is>
          <t>Cabang</t>
        </is>
      </c>
      <c r="C38" s="19" t="n">
        <v>380</v>
      </c>
      <c r="E38" s="28" t="n"/>
      <c r="F38" s="29">
        <f>IF(ISBLANK(E38), "⏳ Belum Diisi (Ketik Rumus di Sel Kuning E38)", IF(E38='99_KUNCI_JAWABAN'!F22, "✅ BENAR! JAWABAN TES TEPAT!", "❌ Belum Tepat (Cek Sheet Akhir: 99_KUNCI_JAWABAN)"))</f>
        <v/>
      </c>
      <c r="G38" s="5" t="n"/>
    </row>
    <row r="39">
      <c r="B39" s="19" t="inlineStr">
        <is>
          <t>Pusat</t>
        </is>
      </c>
      <c r="C39" s="19" t="n">
        <v>195</v>
      </c>
    </row>
    <row r="40">
      <c r="B40" s="19" t="inlineStr">
        <is>
          <t>Cabang</t>
        </is>
      </c>
      <c r="C40" s="19" t="n">
        <v>425</v>
      </c>
    </row>
    <row r="43" ht="22" customHeight="1">
      <c r="B43" s="26" t="inlineStr">
        <is>
          <t>📝 SOAL TES #4: Kasus Penjualan Retail &amp; Target Toko</t>
        </is>
      </c>
    </row>
    <row r="44" ht="30" customHeight="1">
      <c r="B44" s="14" t="inlineStr">
        <is>
          <t>Kategori Lokasi</t>
        </is>
      </c>
      <c r="C44" s="14" t="inlineStr">
        <is>
          <t>Nilai Transaksi</t>
        </is>
      </c>
      <c r="E44" s="27" t="inlineStr">
        <is>
          <t>Persoalan Tes #4: Gunakan fungsi AVERAGEIF untuk mengolah data khusus kategori "Pusat" saja (rentang kategori di B45:B48 dan rentang nilai di C45:C48)!</t>
        </is>
      </c>
    </row>
    <row r="45">
      <c r="B45" s="19" t="inlineStr">
        <is>
          <t>Pusat</t>
        </is>
      </c>
      <c r="C45" s="19" t="n">
        <v>85</v>
      </c>
      <c r="E45" s="14" t="inlineStr">
        <is>
          <t>✏️ KETIK RUMUS JAWABAN TES DI BAWAH:</t>
        </is>
      </c>
      <c r="F45" s="14" t="inlineStr">
        <is>
          <t>📌 STATUS KOREKSI JAWABAN TES:</t>
        </is>
      </c>
      <c r="G45" s="5" t="n"/>
    </row>
    <row r="46" ht="26" customHeight="1">
      <c r="B46" s="19" t="inlineStr">
        <is>
          <t>Cabang</t>
        </is>
      </c>
      <c r="C46" s="19" t="n">
        <v>92</v>
      </c>
      <c r="E46" s="28" t="n"/>
      <c r="F46" s="29">
        <f>IF(ISBLANK(E46), "⏳ Belum Diisi (Ketik Rumus di Sel Kuning E46)", IF(E46='99_KUNCI_JAWABAN'!F23, "✅ BENAR! JAWABAN TES TEPAT!", "❌ Belum Tepat (Cek Sheet Akhir: 99_KUNCI_JAWABAN)"))</f>
        <v/>
      </c>
      <c r="G46" s="5" t="n"/>
    </row>
    <row r="47">
      <c r="B47" s="19" t="inlineStr">
        <is>
          <t>Pusat</t>
        </is>
      </c>
      <c r="C47" s="19" t="n">
        <v>78</v>
      </c>
    </row>
    <row r="48">
      <c r="B48" s="19" t="inlineStr">
        <is>
          <t>Cabang</t>
        </is>
      </c>
      <c r="C48" s="19" t="n">
        <v>95</v>
      </c>
    </row>
    <row r="51" ht="22" customHeight="1">
      <c r="B51" s="26" t="inlineStr">
        <is>
          <t>📝 SOAL TES #5: Kasus Akademik Sekolah &amp; Layanan Publik</t>
        </is>
      </c>
    </row>
    <row r="52" ht="30" customHeight="1">
      <c r="B52" s="14" t="inlineStr">
        <is>
          <t>Kategori Lokasi</t>
        </is>
      </c>
      <c r="C52" s="14" t="inlineStr">
        <is>
          <t>Nilai Transaksi</t>
        </is>
      </c>
      <c r="E52" s="27" t="inlineStr">
        <is>
          <t>Persoalan Tes #5: Gunakan fungsi AVERAGEIF untuk mengolah data khusus kategori "Pusat" saja (rentang kategori di B53:B56 dan rentang nilai di C53:C56)!</t>
        </is>
      </c>
    </row>
    <row r="53">
      <c r="B53" s="19" t="inlineStr">
        <is>
          <t>Pusat</t>
        </is>
      </c>
      <c r="C53" s="19" t="n">
        <v>82</v>
      </c>
      <c r="E53" s="14" t="inlineStr">
        <is>
          <t>✏️ KETIK RUMUS JAWABAN TES DI BAWAH:</t>
        </is>
      </c>
      <c r="F53" s="14" t="inlineStr">
        <is>
          <t>📌 STATUS KOREKSI JAWABAN TES:</t>
        </is>
      </c>
      <c r="G53" s="5" t="n"/>
    </row>
    <row r="54" ht="26" customHeight="1">
      <c r="B54" s="19" t="inlineStr">
        <is>
          <t>Cabang</t>
        </is>
      </c>
      <c r="C54" s="19" t="n">
        <v>88</v>
      </c>
      <c r="E54" s="28" t="n"/>
      <c r="F54" s="29">
        <f>IF(ISBLANK(E54), "⏳ Belum Diisi (Ketik Rumus di Sel Kuning E54)", IF(E54='99_KUNCI_JAWABAN'!F24, "✅ BENAR! JAWABAN TES TEPAT!", "❌ Belum Tepat (Cek Sheet Akhir: 99_KUNCI_JAWABAN)"))</f>
        <v/>
      </c>
      <c r="G54" s="5" t="n"/>
    </row>
    <row r="55">
      <c r="B55" s="19" t="inlineStr">
        <is>
          <t>Pusat</t>
        </is>
      </c>
      <c r="C55" s="19" t="n">
        <v>91</v>
      </c>
    </row>
    <row r="56">
      <c r="B56" s="19" t="inlineStr">
        <is>
          <t>Cabang</t>
        </is>
      </c>
      <c r="C56" s="19" t="n">
        <v>79</v>
      </c>
    </row>
  </sheetData>
  <mergeCells count="33">
    <mergeCell ref="E10:G10"/>
    <mergeCell ref="F11:G11"/>
    <mergeCell ref="E28:G28"/>
    <mergeCell ref="F29:G29"/>
    <mergeCell ref="C6:G6"/>
    <mergeCell ref="F54:G54"/>
    <mergeCell ref="B17:G17"/>
    <mergeCell ref="B1:G1"/>
    <mergeCell ref="C5:G5"/>
    <mergeCell ref="B19:G19"/>
    <mergeCell ref="F21:G21"/>
    <mergeCell ref="F12:G12"/>
    <mergeCell ref="F30:G30"/>
    <mergeCell ref="E36:G36"/>
    <mergeCell ref="B9:G9"/>
    <mergeCell ref="F45:G45"/>
    <mergeCell ref="B51:G51"/>
    <mergeCell ref="F38:G38"/>
    <mergeCell ref="B35:G35"/>
    <mergeCell ref="B4:G4"/>
    <mergeCell ref="F46:G46"/>
    <mergeCell ref="F22:G22"/>
    <mergeCell ref="B2:E2"/>
    <mergeCell ref="F13:G13"/>
    <mergeCell ref="B16:G16"/>
    <mergeCell ref="F37:G37"/>
    <mergeCell ref="C7:G7"/>
    <mergeCell ref="E52:G52"/>
    <mergeCell ref="B27:G27"/>
    <mergeCell ref="B43:G43"/>
    <mergeCell ref="E44:G44"/>
    <mergeCell ref="E20:G20"/>
    <mergeCell ref="F53:G53"/>
  </mergeCells>
  <hyperlinks>
    <hyperlink xmlns:r="http://schemas.openxmlformats.org/officeDocument/2006/relationships" ref="F2" r:id="rId1"/>
    <hyperlink xmlns:r="http://schemas.openxmlformats.org/officeDocument/2006/relationships" ref="G2" r:id="rId2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1:G56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22" customWidth="1" min="3" max="3"/>
    <col width="4" customWidth="1" min="4" max="4"/>
    <col width="34" customWidth="1" min="5" max="5"/>
    <col width="44" customWidth="1" min="6" max="6"/>
    <col width="28" customWidth="1" min="7" max="7"/>
  </cols>
  <sheetData>
    <row r="1" ht="30" customHeight="1">
      <c r="B1" s="10" t="inlineStr">
        <is>
          <t>📊 #005 — RUMUS EXCEL: AVERAGEIFS   |   Kategori: 8. Statistik &amp; Analisis Data</t>
        </is>
      </c>
    </row>
    <row r="2" ht="22" customHeight="1">
      <c r="B2" s="11" t="inlineStr">
        <is>
          <t>1 Rumus = 1 Contoh Soal + Jawaban Benar &amp; 5 Soal Tes Mandiri (Kunci Jawaban Ada di Sheet Paling Terakhir)</t>
        </is>
      </c>
      <c r="F2" s="12" t="inlineStr">
        <is>
          <t>⬅️ Ke Daftar Isi (00_DAFTAR_ISI)</t>
        </is>
      </c>
      <c r="G2" s="3" t="inlineStr">
        <is>
          <t>🔑 Ke Kunci Jawaban (Sheet Akhir)</t>
        </is>
      </c>
    </row>
    <row r="4" ht="24" customHeight="1">
      <c r="B4" s="13" t="inlineStr">
        <is>
          <t>1️⃣ IDENTITAS RUMUS &amp; FUNGSINYA BUAT APA? (AVERAGEIFS)</t>
        </is>
      </c>
    </row>
    <row r="5" ht="21" customHeight="1">
      <c r="B5" s="14" t="inlineStr">
        <is>
          <t>Nama Rumus Excel</t>
        </is>
      </c>
      <c r="C5" s="15">
        <f>AVERAGEIFS(...)</f>
        <v/>
      </c>
      <c r="D5" s="5" t="n"/>
      <c r="E5" s="5" t="n"/>
      <c r="F5" s="5" t="n"/>
      <c r="G5" s="5" t="n"/>
    </row>
    <row r="6" ht="21" customHeight="1">
      <c r="B6" s="14" t="inlineStr">
        <is>
          <t>Sintaks / Pola Umum</t>
        </is>
      </c>
      <c r="C6" s="15">
        <f>AVERAGEIFS(range_rata2, range_syarat1, syarat1, ...)</f>
        <v/>
      </c>
      <c r="D6" s="5" t="n"/>
      <c r="E6" s="5" t="n"/>
      <c r="F6" s="5" t="n"/>
      <c r="G6" s="5" t="n"/>
    </row>
    <row r="7" ht="26" customHeight="1">
      <c r="B7" s="14" t="inlineStr">
        <is>
          <t>👶 Fungsinya Buat Apa?</t>
        </is>
      </c>
      <c r="C7" s="16" t="inlineStr">
        <is>
          <t>Menghitung rata-rata dengan banyak syarat sekaligus.</t>
        </is>
      </c>
      <c r="D7" s="5" t="n"/>
      <c r="E7" s="5" t="n"/>
      <c r="F7" s="5" t="n"/>
      <c r="G7" s="5" t="n"/>
    </row>
    <row r="9" ht="24" customHeight="1">
      <c r="B9" s="17" t="inlineStr">
        <is>
          <t>2️⃣ 1 CONTOH SOAL &amp; CONTOH JAWABAN BENAR (PELAJARI POLA RUMUS AVERAGEIFS DI SINI)</t>
        </is>
      </c>
    </row>
    <row r="10">
      <c r="B10" s="18" t="inlineStr">
        <is>
          <t>Status Unit</t>
        </is>
      </c>
      <c r="C10" s="18" t="inlineStr">
        <is>
          <t>Nilai Realisasi</t>
        </is>
      </c>
      <c r="E10" s="18" t="inlineStr">
        <is>
          <t>✅ 1 CONTOH SOAL BESERTA CONTOH RUMUS &amp; HASIL JAWABAN BENAR:</t>
        </is>
      </c>
      <c r="F10" s="5" t="n"/>
      <c r="G10" s="5" t="n"/>
    </row>
    <row r="11" ht="28" customHeight="1">
      <c r="B11" s="19" t="inlineStr">
        <is>
          <t>Aktif</t>
        </is>
      </c>
      <c r="C11" s="19" t="n">
        <v>500000</v>
      </c>
      <c r="E11" s="20" t="inlineStr">
        <is>
          <t>Contoh Soal:</t>
        </is>
      </c>
      <c r="F11" s="21" t="inlineStr">
        <is>
          <t>Gunakan fungsi AVERAGEIFS untuk mengolah nilai di C11:C14 khusus baris yang berstatus "Aktif" pada kolom B11:B14!</t>
        </is>
      </c>
      <c r="G11" s="5" t="n"/>
    </row>
    <row r="12">
      <c r="B12" s="19" t="inlineStr">
        <is>
          <t>Aktif</t>
        </is>
      </c>
      <c r="C12" s="19" t="n">
        <v>750000</v>
      </c>
      <c r="E12" s="20" t="inlineStr">
        <is>
          <t>Contoh Rumus Benar:</t>
        </is>
      </c>
      <c r="F12" s="22" t="inlineStr">
        <is>
          <t>'=AVERAGEIFS(C11:C14, B11:B14, "Aktif")</t>
        </is>
      </c>
      <c r="G12" s="5" t="n"/>
    </row>
    <row r="13">
      <c r="B13" s="19" t="inlineStr">
        <is>
          <t>Nonaktif</t>
        </is>
      </c>
      <c r="C13" s="19" t="n">
        <v>600000</v>
      </c>
      <c r="E13" s="20" t="inlineStr">
        <is>
          <t>Contoh Hasil Benar:</t>
        </is>
      </c>
      <c r="F13" s="23">
        <f>AVERAGEIFS(C11:C14, B11:B14, "Aktif")</f>
        <v/>
      </c>
      <c r="G13" s="5" t="n"/>
    </row>
    <row r="14">
      <c r="B14" s="19" t="inlineStr">
        <is>
          <t>Aktif</t>
        </is>
      </c>
      <c r="C14" s="19" t="n">
        <v>950000</v>
      </c>
    </row>
    <row r="16" ht="26" customHeight="1">
      <c r="B16" s="24" t="inlineStr">
        <is>
          <t>3️⃣ 5 SOAL TES DUNIA NYATA — KERJAKAN DI KOTAK KUNING (TANPA KUNCI RUMUS / HASIL DI SINI!)</t>
        </is>
      </c>
    </row>
    <row r="17" ht="20" customHeight="1">
      <c r="B17" s="25" t="inlineStr">
        <is>
          <t>📌 Catatan Tes: Soal Tes #1 s/d #5 di bawah ini tidak menampilkan kunci rumus maupun hasil. Kunci jawaban lengkap tersedia di sheet paling terakhir (99_KUNCI_JAWABAN).</t>
        </is>
      </c>
    </row>
    <row r="19" ht="22" customHeight="1">
      <c r="B19" s="26" t="inlineStr">
        <is>
          <t>📝 SOAL TES #1: Kasus Keuangan &amp; Akuntansi Kantor</t>
        </is>
      </c>
    </row>
    <row r="20" ht="30" customHeight="1">
      <c r="B20" s="14" t="inlineStr">
        <is>
          <t>Status Unit</t>
        </is>
      </c>
      <c r="C20" s="14" t="inlineStr">
        <is>
          <t>Nilai Realisasi</t>
        </is>
      </c>
      <c r="E20" s="27" t="inlineStr">
        <is>
          <t>Persoalan Tes #1: Gunakan fungsi AVERAGEIFS untuk mengolah nilai di C21:C24 khusus baris yang berstatus "Aktif" pada kolom B21:B24!</t>
        </is>
      </c>
    </row>
    <row r="21">
      <c r="B21" s="19" t="inlineStr">
        <is>
          <t>Aktif</t>
        </is>
      </c>
      <c r="C21" s="19" t="n">
        <v>1250000</v>
      </c>
      <c r="E21" s="14" t="inlineStr">
        <is>
          <t>✏️ KETIK RUMUS JAWABAN TES DI BAWAH:</t>
        </is>
      </c>
      <c r="F21" s="14" t="inlineStr">
        <is>
          <t>📌 STATUS KOREKSI JAWABAN TES:</t>
        </is>
      </c>
      <c r="G21" s="5" t="n"/>
    </row>
    <row r="22" ht="26" customHeight="1">
      <c r="B22" s="19" t="inlineStr">
        <is>
          <t>Aktif</t>
        </is>
      </c>
      <c r="C22" s="19" t="n">
        <v>1850000</v>
      </c>
      <c r="E22" s="28" t="n"/>
      <c r="F22" s="29">
        <f>IF(ISBLANK(E22), "⏳ Belum Diisi (Ketik Rumus di Sel Kuning E22)", IF(E22='99_KUNCI_JAWABAN'!F25, "✅ BENAR! JAWABAN TES TEPAT!", "❌ Belum Tepat (Cek Sheet Akhir: 99_KUNCI_JAWABAN)"))</f>
        <v/>
      </c>
      <c r="G22" s="5" t="n"/>
    </row>
    <row r="23">
      <c r="B23" s="19" t="inlineStr">
        <is>
          <t>Nonaktif</t>
        </is>
      </c>
      <c r="C23" s="19" t="n">
        <v>2100000</v>
      </c>
    </row>
    <row r="24">
      <c r="B24" s="19" t="inlineStr">
        <is>
          <t>Aktif</t>
        </is>
      </c>
      <c r="C24" s="19" t="n">
        <v>1600000</v>
      </c>
    </row>
    <row r="27" ht="22" customHeight="1">
      <c r="B27" s="26" t="inlineStr">
        <is>
          <t>📝 SOAL TES #2: Kasus HRD, Gaji &amp; Lembur Karyawan</t>
        </is>
      </c>
    </row>
    <row r="28" ht="30" customHeight="1">
      <c r="B28" s="14" t="inlineStr">
        <is>
          <t>Status Unit</t>
        </is>
      </c>
      <c r="C28" s="14" t="inlineStr">
        <is>
          <t>Nilai Realisasi</t>
        </is>
      </c>
      <c r="E28" s="27" t="inlineStr">
        <is>
          <t>Persoalan Tes #2: Gunakan fungsi AVERAGEIFS untuk mengolah nilai di C29:C32 khusus baris yang berstatus "Aktif" pada kolom B29:B32!</t>
        </is>
      </c>
    </row>
    <row r="29">
      <c r="B29" s="19" t="inlineStr">
        <is>
          <t>Aktif</t>
        </is>
      </c>
      <c r="C29" s="19" t="n">
        <v>4500000</v>
      </c>
      <c r="E29" s="14" t="inlineStr">
        <is>
          <t>✏️ KETIK RUMUS JAWABAN TES DI BAWAH:</t>
        </is>
      </c>
      <c r="F29" s="14" t="inlineStr">
        <is>
          <t>📌 STATUS KOREKSI JAWABAN TES:</t>
        </is>
      </c>
      <c r="G29" s="5" t="n"/>
    </row>
    <row r="30" ht="26" customHeight="1">
      <c r="B30" s="19" t="inlineStr">
        <is>
          <t>Aktif</t>
        </is>
      </c>
      <c r="C30" s="19" t="n">
        <v>5200000</v>
      </c>
      <c r="E30" s="28" t="n"/>
      <c r="F30" s="29">
        <f>IF(ISBLANK(E30), "⏳ Belum Diisi (Ketik Rumus di Sel Kuning E30)", IF(E30='99_KUNCI_JAWABAN'!F26, "✅ BENAR! JAWABAN TES TEPAT!", "❌ Belum Tepat (Cek Sheet Akhir: 99_KUNCI_JAWABAN)"))</f>
        <v/>
      </c>
      <c r="G30" s="5" t="n"/>
    </row>
    <row r="31">
      <c r="B31" s="19" t="inlineStr">
        <is>
          <t>Nonaktif</t>
        </is>
      </c>
      <c r="C31" s="19" t="n">
        <v>4800000</v>
      </c>
    </row>
    <row r="32">
      <c r="B32" s="19" t="inlineStr">
        <is>
          <t>Aktif</t>
        </is>
      </c>
      <c r="C32" s="19" t="n">
        <v>6100000</v>
      </c>
    </row>
    <row r="35" ht="22" customHeight="1">
      <c r="B35" s="26" t="inlineStr">
        <is>
          <t>📝 SOAL TES #3: Kasus Logistik &amp; Stok Gudang Utama</t>
        </is>
      </c>
    </row>
    <row r="36" ht="30" customHeight="1">
      <c r="B36" s="14" t="inlineStr">
        <is>
          <t>Status Unit</t>
        </is>
      </c>
      <c r="C36" s="14" t="inlineStr">
        <is>
          <t>Nilai Realisasi</t>
        </is>
      </c>
      <c r="E36" s="27" t="inlineStr">
        <is>
          <t>Persoalan Tes #3: Gunakan fungsi AVERAGEIFS untuk mengolah nilai di C37:C40 khusus baris yang berstatus "Aktif" pada kolom B37:B40!</t>
        </is>
      </c>
    </row>
    <row r="37">
      <c r="B37" s="19" t="inlineStr">
        <is>
          <t>Aktif</t>
        </is>
      </c>
      <c r="C37" s="19" t="n">
        <v>240</v>
      </c>
      <c r="E37" s="14" t="inlineStr">
        <is>
          <t>✏️ KETIK RUMUS JAWABAN TES DI BAWAH:</t>
        </is>
      </c>
      <c r="F37" s="14" t="inlineStr">
        <is>
          <t>📌 STATUS KOREKSI JAWABAN TES:</t>
        </is>
      </c>
      <c r="G37" s="5" t="n"/>
    </row>
    <row r="38" ht="26" customHeight="1">
      <c r="B38" s="19" t="inlineStr">
        <is>
          <t>Aktif</t>
        </is>
      </c>
      <c r="C38" s="19" t="n">
        <v>380</v>
      </c>
      <c r="E38" s="28" t="n"/>
      <c r="F38" s="29">
        <f>IF(ISBLANK(E38), "⏳ Belum Diisi (Ketik Rumus di Sel Kuning E38)", IF(E38='99_KUNCI_JAWABAN'!F27, "✅ BENAR! JAWABAN TES TEPAT!", "❌ Belum Tepat (Cek Sheet Akhir: 99_KUNCI_JAWABAN)"))</f>
        <v/>
      </c>
      <c r="G38" s="5" t="n"/>
    </row>
    <row r="39">
      <c r="B39" s="19" t="inlineStr">
        <is>
          <t>Nonaktif</t>
        </is>
      </c>
      <c r="C39" s="19" t="n">
        <v>195</v>
      </c>
    </row>
    <row r="40">
      <c r="B40" s="19" t="inlineStr">
        <is>
          <t>Aktif</t>
        </is>
      </c>
      <c r="C40" s="19" t="n">
        <v>425</v>
      </c>
    </row>
    <row r="43" ht="22" customHeight="1">
      <c r="B43" s="26" t="inlineStr">
        <is>
          <t>📝 SOAL TES #4: Kasus Penjualan Retail &amp; Target Toko</t>
        </is>
      </c>
    </row>
    <row r="44" ht="30" customHeight="1">
      <c r="B44" s="14" t="inlineStr">
        <is>
          <t>Status Unit</t>
        </is>
      </c>
      <c r="C44" s="14" t="inlineStr">
        <is>
          <t>Nilai Realisasi</t>
        </is>
      </c>
      <c r="E44" s="27" t="inlineStr">
        <is>
          <t>Persoalan Tes #4: Gunakan fungsi AVERAGEIFS untuk mengolah nilai di C45:C48 khusus baris yang berstatus "Aktif" pada kolom B45:B48!</t>
        </is>
      </c>
    </row>
    <row r="45">
      <c r="B45" s="19" t="inlineStr">
        <is>
          <t>Aktif</t>
        </is>
      </c>
      <c r="C45" s="19" t="n">
        <v>85</v>
      </c>
      <c r="E45" s="14" t="inlineStr">
        <is>
          <t>✏️ KETIK RUMUS JAWABAN TES DI BAWAH:</t>
        </is>
      </c>
      <c r="F45" s="14" t="inlineStr">
        <is>
          <t>📌 STATUS KOREKSI JAWABAN TES:</t>
        </is>
      </c>
      <c r="G45" s="5" t="n"/>
    </row>
    <row r="46" ht="26" customHeight="1">
      <c r="B46" s="19" t="inlineStr">
        <is>
          <t>Aktif</t>
        </is>
      </c>
      <c r="C46" s="19" t="n">
        <v>92</v>
      </c>
      <c r="E46" s="28" t="n"/>
      <c r="F46" s="29">
        <f>IF(ISBLANK(E46), "⏳ Belum Diisi (Ketik Rumus di Sel Kuning E46)", IF(E46='99_KUNCI_JAWABAN'!F28, "✅ BENAR! JAWABAN TES TEPAT!", "❌ Belum Tepat (Cek Sheet Akhir: 99_KUNCI_JAWABAN)"))</f>
        <v/>
      </c>
      <c r="G46" s="5" t="n"/>
    </row>
    <row r="47">
      <c r="B47" s="19" t="inlineStr">
        <is>
          <t>Nonaktif</t>
        </is>
      </c>
      <c r="C47" s="19" t="n">
        <v>78</v>
      </c>
    </row>
    <row r="48">
      <c r="B48" s="19" t="inlineStr">
        <is>
          <t>Aktif</t>
        </is>
      </c>
      <c r="C48" s="19" t="n">
        <v>95</v>
      </c>
    </row>
    <row r="51" ht="22" customHeight="1">
      <c r="B51" s="26" t="inlineStr">
        <is>
          <t>📝 SOAL TES #5: Kasus Akademik Sekolah &amp; Layanan Publik</t>
        </is>
      </c>
    </row>
    <row r="52" ht="30" customHeight="1">
      <c r="B52" s="14" t="inlineStr">
        <is>
          <t>Status Unit</t>
        </is>
      </c>
      <c r="C52" s="14" t="inlineStr">
        <is>
          <t>Nilai Realisasi</t>
        </is>
      </c>
      <c r="E52" s="27" t="inlineStr">
        <is>
          <t>Persoalan Tes #5: Gunakan fungsi AVERAGEIFS untuk mengolah nilai di C53:C56 khusus baris yang berstatus "Aktif" pada kolom B53:B56!</t>
        </is>
      </c>
    </row>
    <row r="53">
      <c r="B53" s="19" t="inlineStr">
        <is>
          <t>Aktif</t>
        </is>
      </c>
      <c r="C53" s="19" t="n">
        <v>82</v>
      </c>
      <c r="E53" s="14" t="inlineStr">
        <is>
          <t>✏️ KETIK RUMUS JAWABAN TES DI BAWAH:</t>
        </is>
      </c>
      <c r="F53" s="14" t="inlineStr">
        <is>
          <t>📌 STATUS KOREKSI JAWABAN TES:</t>
        </is>
      </c>
      <c r="G53" s="5" t="n"/>
    </row>
    <row r="54" ht="26" customHeight="1">
      <c r="B54" s="19" t="inlineStr">
        <is>
          <t>Aktif</t>
        </is>
      </c>
      <c r="C54" s="19" t="n">
        <v>88</v>
      </c>
      <c r="E54" s="28" t="n"/>
      <c r="F54" s="29">
        <f>IF(ISBLANK(E54), "⏳ Belum Diisi (Ketik Rumus di Sel Kuning E54)", IF(E54='99_KUNCI_JAWABAN'!F29, "✅ BENAR! JAWABAN TES TEPAT!", "❌ Belum Tepat (Cek Sheet Akhir: 99_KUNCI_JAWABAN)"))</f>
        <v/>
      </c>
      <c r="G54" s="5" t="n"/>
    </row>
    <row r="55">
      <c r="B55" s="19" t="inlineStr">
        <is>
          <t>Nonaktif</t>
        </is>
      </c>
      <c r="C55" s="19" t="n">
        <v>91</v>
      </c>
    </row>
    <row r="56">
      <c r="B56" s="19" t="inlineStr">
        <is>
          <t>Aktif</t>
        </is>
      </c>
      <c r="C56" s="19" t="n">
        <v>79</v>
      </c>
    </row>
  </sheetData>
  <mergeCells count="33">
    <mergeCell ref="E10:G10"/>
    <mergeCell ref="F11:G11"/>
    <mergeCell ref="E28:G28"/>
    <mergeCell ref="F29:G29"/>
    <mergeCell ref="C6:G6"/>
    <mergeCell ref="F54:G54"/>
    <mergeCell ref="B17:G17"/>
    <mergeCell ref="B1:G1"/>
    <mergeCell ref="C5:G5"/>
    <mergeCell ref="B19:G19"/>
    <mergeCell ref="F21:G21"/>
    <mergeCell ref="F12:G12"/>
    <mergeCell ref="F30:G30"/>
    <mergeCell ref="E36:G36"/>
    <mergeCell ref="B9:G9"/>
    <mergeCell ref="F45:G45"/>
    <mergeCell ref="B51:G51"/>
    <mergeCell ref="F38:G38"/>
    <mergeCell ref="B35:G35"/>
    <mergeCell ref="B4:G4"/>
    <mergeCell ref="F46:G46"/>
    <mergeCell ref="F22:G22"/>
    <mergeCell ref="B2:E2"/>
    <mergeCell ref="F13:G13"/>
    <mergeCell ref="B16:G16"/>
    <mergeCell ref="F37:G37"/>
    <mergeCell ref="C7:G7"/>
    <mergeCell ref="E52:G52"/>
    <mergeCell ref="B27:G27"/>
    <mergeCell ref="B43:G43"/>
    <mergeCell ref="E44:G44"/>
    <mergeCell ref="E20:G20"/>
    <mergeCell ref="F53:G53"/>
  </mergeCells>
  <hyperlinks>
    <hyperlink xmlns:r="http://schemas.openxmlformats.org/officeDocument/2006/relationships" ref="F2" r:id="rId1"/>
    <hyperlink xmlns:r="http://schemas.openxmlformats.org/officeDocument/2006/relationships" ref="G2" r:id="rId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1:G56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22" customWidth="1" min="3" max="3"/>
    <col width="4" customWidth="1" min="4" max="4"/>
    <col width="34" customWidth="1" min="5" max="5"/>
    <col width="44" customWidth="1" min="6" max="6"/>
    <col width="28" customWidth="1" min="7" max="7"/>
  </cols>
  <sheetData>
    <row r="1" ht="30" customHeight="1">
      <c r="B1" s="10" t="inlineStr">
        <is>
          <t>📊 #006 — RUMUS EXCEL: BETA.DIST   |   Kategori: 8. Statistik &amp; Analisis Data</t>
        </is>
      </c>
    </row>
    <row r="2" ht="22" customHeight="1">
      <c r="B2" s="11" t="inlineStr">
        <is>
          <t>1 Rumus = 1 Contoh Soal + Jawaban Benar &amp; 5 Soal Tes Mandiri (Kunci Jawaban Ada di Sheet Paling Terakhir)</t>
        </is>
      </c>
      <c r="F2" s="12" t="inlineStr">
        <is>
          <t>⬅️ Ke Daftar Isi (00_DAFTAR_ISI)</t>
        </is>
      </c>
      <c r="G2" s="3" t="inlineStr">
        <is>
          <t>🔑 Ke Kunci Jawaban (Sheet Akhir)</t>
        </is>
      </c>
    </row>
    <row r="4" ht="24" customHeight="1">
      <c r="B4" s="13" t="inlineStr">
        <is>
          <t>1️⃣ IDENTITAS RUMUS &amp; FUNGSINYA BUAT APA? (BETA.DIST)</t>
        </is>
      </c>
    </row>
    <row r="5" ht="21" customHeight="1">
      <c r="B5" s="14" t="inlineStr">
        <is>
          <t>Nama Rumus Excel</t>
        </is>
      </c>
      <c r="C5" s="15">
        <f>BETA.DIST(...)</f>
        <v/>
      </c>
      <c r="D5" s="5" t="n"/>
      <c r="E5" s="5" t="n"/>
      <c r="F5" s="5" t="n"/>
      <c r="G5" s="5" t="n"/>
    </row>
    <row r="6" ht="21" customHeight="1">
      <c r="B6" s="14" t="inlineStr">
        <is>
          <t>Sintaks / Pola Umum</t>
        </is>
      </c>
      <c r="C6" s="15">
        <f>BETA.DIST(x, alpha, beta, TRUE)</f>
        <v/>
      </c>
      <c r="D6" s="5" t="n"/>
      <c r="E6" s="5" t="n"/>
      <c r="F6" s="5" t="n"/>
      <c r="G6" s="5" t="n"/>
    </row>
    <row r="7" ht="26" customHeight="1">
      <c r="B7" s="14" t="inlineStr">
        <is>
          <t>👶 Fungsinya Buat Apa?</t>
        </is>
      </c>
      <c r="C7" s="16" t="inlineStr">
        <is>
          <t>Menghitung fungsi distribusi probabilitas Beta kumulatif.</t>
        </is>
      </c>
      <c r="D7" s="5" t="n"/>
      <c r="E7" s="5" t="n"/>
      <c r="F7" s="5" t="n"/>
      <c r="G7" s="5" t="n"/>
    </row>
    <row r="9" ht="24" customHeight="1">
      <c r="B9" s="17" t="inlineStr">
        <is>
          <t>2️⃣ 1 CONTOH SOAL &amp; CONTOH JAWABAN BENAR (PELAJARI POLA RUMUS BETA.DIST DI SINI)</t>
        </is>
      </c>
    </row>
    <row r="10">
      <c r="B10" s="18" t="inlineStr">
        <is>
          <t>Parameter Beta</t>
        </is>
      </c>
      <c r="C10" s="18" t="inlineStr">
        <is>
          <t>Nilai Input</t>
        </is>
      </c>
      <c r="E10" s="18" t="inlineStr">
        <is>
          <t>✅ 1 CONTOH SOAL BESERTA CONTOH RUMUS &amp; HASIL JAWABAN BENAR:</t>
        </is>
      </c>
      <c r="F10" s="5" t="n"/>
      <c r="G10" s="5" t="n"/>
    </row>
    <row r="11" ht="28" customHeight="1">
      <c r="B11" s="19" t="inlineStr">
        <is>
          <t>Nilai X (C11)</t>
        </is>
      </c>
      <c r="C11" s="19" t="n">
        <v>0.8</v>
      </c>
      <c r="E11" s="20" t="inlineStr">
        <is>
          <t>Contoh Soal:</t>
        </is>
      </c>
      <c r="F11" s="21" t="inlineStr">
        <is>
          <t>Hitung distribusi Beta kumulatif menggunakan fungsi BETA.DIST dengan argumen C11, C12, C13, dan TRUE!</t>
        </is>
      </c>
      <c r="G11" s="5" t="n"/>
    </row>
    <row r="12">
      <c r="B12" s="19" t="inlineStr">
        <is>
          <t>Alpha (C12)</t>
        </is>
      </c>
      <c r="C12" s="19" t="n">
        <v>2</v>
      </c>
      <c r="E12" s="20" t="inlineStr">
        <is>
          <t>Contoh Rumus Benar:</t>
        </is>
      </c>
      <c r="F12" s="22" t="inlineStr">
        <is>
          <t>'=BETA.DIST(C11, C12, C13, TRUE)</t>
        </is>
      </c>
      <c r="G12" s="5" t="n"/>
    </row>
    <row r="13">
      <c r="B13" s="19" t="inlineStr">
        <is>
          <t>Beta (C13)</t>
        </is>
      </c>
      <c r="C13" s="19" t="n">
        <v>5</v>
      </c>
      <c r="E13" s="20" t="inlineStr">
        <is>
          <t>Contoh Hasil Benar:</t>
        </is>
      </c>
      <c r="F13" s="23">
        <f>BETA.DIST(C11, C12, C13, TRUE)</f>
        <v/>
      </c>
      <c r="G13" s="5" t="n"/>
    </row>
    <row r="14">
      <c r="B14" s="19" t="inlineStr">
        <is>
          <t>Kumulatif</t>
        </is>
      </c>
      <c r="C14" s="19" t="n">
        <v>1</v>
      </c>
    </row>
    <row r="16" ht="26" customHeight="1">
      <c r="B16" s="24" t="inlineStr">
        <is>
          <t>3️⃣ 5 SOAL TES DUNIA NYATA — KERJAKAN DI KOTAK KUNING (TANPA KUNCI RUMUS / HASIL DI SINI!)</t>
        </is>
      </c>
    </row>
    <row r="17" ht="20" customHeight="1">
      <c r="B17" s="25" t="inlineStr">
        <is>
          <t>📌 Catatan Tes: Soal Tes #1 s/d #5 di bawah ini tidak menampilkan kunci rumus maupun hasil. Kunci jawaban lengkap tersedia di sheet paling terakhir (99_KUNCI_JAWABAN).</t>
        </is>
      </c>
    </row>
    <row r="19" ht="22" customHeight="1">
      <c r="B19" s="26" t="inlineStr">
        <is>
          <t>📝 SOAL TES #1: Kasus Keuangan &amp; Akuntansi Kantor</t>
        </is>
      </c>
    </row>
    <row r="20" ht="30" customHeight="1">
      <c r="B20" s="14" t="inlineStr">
        <is>
          <t>Parameter Beta</t>
        </is>
      </c>
      <c r="C20" s="14" t="inlineStr">
        <is>
          <t>Nilai Input</t>
        </is>
      </c>
      <c r="E20" s="27" t="inlineStr">
        <is>
          <t>Persoalan Tes #1: Hitung distribusi Beta kumulatif menggunakan fungsi BETA.DIST dengan argumen C21, C22, C23, dan TRUE!</t>
        </is>
      </c>
    </row>
    <row r="21">
      <c r="B21" s="19" t="inlineStr">
        <is>
          <t>Nilai X (C21)</t>
        </is>
      </c>
      <c r="C21" s="19" t="n">
        <v>0.3</v>
      </c>
      <c r="E21" s="14" t="inlineStr">
        <is>
          <t>✏️ KETIK RUMUS JAWABAN TES DI BAWAH:</t>
        </is>
      </c>
      <c r="F21" s="14" t="inlineStr">
        <is>
          <t>📌 STATUS KOREKSI JAWABAN TES:</t>
        </is>
      </c>
      <c r="G21" s="5" t="n"/>
    </row>
    <row r="22" ht="26" customHeight="1">
      <c r="B22" s="19" t="inlineStr">
        <is>
          <t>Alpha (C22)</t>
        </is>
      </c>
      <c r="C22" s="19" t="n">
        <v>2</v>
      </c>
      <c r="E22" s="28" t="n"/>
      <c r="F22" s="29">
        <f>IF(ISBLANK(E22), "⏳ Belum Diisi (Ketik Rumus di Sel Kuning E22)", IF(E22='99_KUNCI_JAWABAN'!F30, "✅ BENAR! JAWABAN TES TEPAT!", "❌ Belum Tepat (Cek Sheet Akhir: 99_KUNCI_JAWABAN)"))</f>
        <v/>
      </c>
      <c r="G22" s="5" t="n"/>
    </row>
    <row r="23">
      <c r="B23" s="19" t="inlineStr">
        <is>
          <t>Beta (C23)</t>
        </is>
      </c>
      <c r="C23" s="19" t="n">
        <v>5</v>
      </c>
    </row>
    <row r="24">
      <c r="B24" s="19" t="inlineStr">
        <is>
          <t>Kumulatif</t>
        </is>
      </c>
      <c r="C24" s="19" t="n">
        <v>1</v>
      </c>
    </row>
    <row r="27" ht="22" customHeight="1">
      <c r="B27" s="26" t="inlineStr">
        <is>
          <t>📝 SOAL TES #2: Kasus HRD, Gaji &amp; Lembur Karyawan</t>
        </is>
      </c>
    </row>
    <row r="28" ht="30" customHeight="1">
      <c r="B28" s="14" t="inlineStr">
        <is>
          <t>Parameter Beta</t>
        </is>
      </c>
      <c r="C28" s="14" t="inlineStr">
        <is>
          <t>Nilai Input</t>
        </is>
      </c>
      <c r="E28" s="27" t="inlineStr">
        <is>
          <t>Persoalan Tes #2: Hitung distribusi Beta kumulatif menggunakan fungsi BETA.DIST dengan argumen C29, C30, C31, dan TRUE!</t>
        </is>
      </c>
    </row>
    <row r="29">
      <c r="B29" s="19" t="inlineStr">
        <is>
          <t>Nilai X (C29)</t>
        </is>
      </c>
      <c r="C29" s="19" t="n">
        <v>0.4</v>
      </c>
      <c r="E29" s="14" t="inlineStr">
        <is>
          <t>✏️ KETIK RUMUS JAWABAN TES DI BAWAH:</t>
        </is>
      </c>
      <c r="F29" s="14" t="inlineStr">
        <is>
          <t>📌 STATUS KOREKSI JAWABAN TES:</t>
        </is>
      </c>
      <c r="G29" s="5" t="n"/>
    </row>
    <row r="30" ht="26" customHeight="1">
      <c r="B30" s="19" t="inlineStr">
        <is>
          <t>Alpha (C30)</t>
        </is>
      </c>
      <c r="C30" s="19" t="n">
        <v>2</v>
      </c>
      <c r="E30" s="28" t="n"/>
      <c r="F30" s="29">
        <f>IF(ISBLANK(E30), "⏳ Belum Diisi (Ketik Rumus di Sel Kuning E30)", IF(E30='99_KUNCI_JAWABAN'!F31, "✅ BENAR! JAWABAN TES TEPAT!", "❌ Belum Tepat (Cek Sheet Akhir: 99_KUNCI_JAWABAN)"))</f>
        <v/>
      </c>
      <c r="G30" s="5" t="n"/>
    </row>
    <row r="31">
      <c r="B31" s="19" t="inlineStr">
        <is>
          <t>Beta (C31)</t>
        </is>
      </c>
      <c r="C31" s="19" t="n">
        <v>5</v>
      </c>
    </row>
    <row r="32">
      <c r="B32" s="19" t="inlineStr">
        <is>
          <t>Kumulatif</t>
        </is>
      </c>
      <c r="C32" s="19" t="n">
        <v>1</v>
      </c>
    </row>
    <row r="35" ht="22" customHeight="1">
      <c r="B35" s="26" t="inlineStr">
        <is>
          <t>📝 SOAL TES #3: Kasus Logistik &amp; Stok Gudang Utama</t>
        </is>
      </c>
    </row>
    <row r="36" ht="30" customHeight="1">
      <c r="B36" s="14" t="inlineStr">
        <is>
          <t>Parameter Beta</t>
        </is>
      </c>
      <c r="C36" s="14" t="inlineStr">
        <is>
          <t>Nilai Input</t>
        </is>
      </c>
      <c r="E36" s="27" t="inlineStr">
        <is>
          <t>Persoalan Tes #3: Hitung distribusi Beta kumulatif menggunakan fungsi BETA.DIST dengan argumen C37, C38, C39, dan TRUE!</t>
        </is>
      </c>
    </row>
    <row r="37">
      <c r="B37" s="19" t="inlineStr">
        <is>
          <t>Nilai X (C37)</t>
        </is>
      </c>
      <c r="C37" s="19" t="n">
        <v>0.5</v>
      </c>
      <c r="E37" s="14" t="inlineStr">
        <is>
          <t>✏️ KETIK RUMUS JAWABAN TES DI BAWAH:</t>
        </is>
      </c>
      <c r="F37" s="14" t="inlineStr">
        <is>
          <t>📌 STATUS KOREKSI JAWABAN TES:</t>
        </is>
      </c>
      <c r="G37" s="5" t="n"/>
    </row>
    <row r="38" ht="26" customHeight="1">
      <c r="B38" s="19" t="inlineStr">
        <is>
          <t>Alpha (C38)</t>
        </is>
      </c>
      <c r="C38" s="19" t="n">
        <v>2</v>
      </c>
      <c r="E38" s="28" t="n"/>
      <c r="F38" s="29">
        <f>IF(ISBLANK(E38), "⏳ Belum Diisi (Ketik Rumus di Sel Kuning E38)", IF(E38='99_KUNCI_JAWABAN'!F32, "✅ BENAR! JAWABAN TES TEPAT!", "❌ Belum Tepat (Cek Sheet Akhir: 99_KUNCI_JAWABAN)"))</f>
        <v/>
      </c>
      <c r="G38" s="5" t="n"/>
    </row>
    <row r="39">
      <c r="B39" s="19" t="inlineStr">
        <is>
          <t>Beta (C39)</t>
        </is>
      </c>
      <c r="C39" s="19" t="n">
        <v>5</v>
      </c>
    </row>
    <row r="40">
      <c r="B40" s="19" t="inlineStr">
        <is>
          <t>Kumulatif</t>
        </is>
      </c>
      <c r="C40" s="19" t="n">
        <v>1</v>
      </c>
    </row>
    <row r="43" ht="22" customHeight="1">
      <c r="B43" s="26" t="inlineStr">
        <is>
          <t>📝 SOAL TES #4: Kasus Penjualan Retail &amp; Target Toko</t>
        </is>
      </c>
    </row>
    <row r="44" ht="30" customHeight="1">
      <c r="B44" s="14" t="inlineStr">
        <is>
          <t>Parameter Beta</t>
        </is>
      </c>
      <c r="C44" s="14" t="inlineStr">
        <is>
          <t>Nilai Input</t>
        </is>
      </c>
      <c r="E44" s="27" t="inlineStr">
        <is>
          <t>Persoalan Tes #4: Hitung distribusi Beta kumulatif menggunakan fungsi BETA.DIST dengan argumen C45, C46, C47, dan TRUE!</t>
        </is>
      </c>
    </row>
    <row r="45">
      <c r="B45" s="19" t="inlineStr">
        <is>
          <t>Nilai X (C45)</t>
        </is>
      </c>
      <c r="C45" s="19" t="n">
        <v>0.6</v>
      </c>
      <c r="E45" s="14" t="inlineStr">
        <is>
          <t>✏️ KETIK RUMUS JAWABAN TES DI BAWAH:</t>
        </is>
      </c>
      <c r="F45" s="14" t="inlineStr">
        <is>
          <t>📌 STATUS KOREKSI JAWABAN TES:</t>
        </is>
      </c>
      <c r="G45" s="5" t="n"/>
    </row>
    <row r="46" ht="26" customHeight="1">
      <c r="B46" s="19" t="inlineStr">
        <is>
          <t>Alpha (C46)</t>
        </is>
      </c>
      <c r="C46" s="19" t="n">
        <v>2</v>
      </c>
      <c r="E46" s="28" t="n"/>
      <c r="F46" s="29">
        <f>IF(ISBLANK(E46), "⏳ Belum Diisi (Ketik Rumus di Sel Kuning E46)", IF(E46='99_KUNCI_JAWABAN'!F33, "✅ BENAR! JAWABAN TES TEPAT!", "❌ Belum Tepat (Cek Sheet Akhir: 99_KUNCI_JAWABAN)"))</f>
        <v/>
      </c>
      <c r="G46" s="5" t="n"/>
    </row>
    <row r="47">
      <c r="B47" s="19" t="inlineStr">
        <is>
          <t>Beta (C47)</t>
        </is>
      </c>
      <c r="C47" s="19" t="n">
        <v>5</v>
      </c>
    </row>
    <row r="48">
      <c r="B48" s="19" t="inlineStr">
        <is>
          <t>Kumulatif</t>
        </is>
      </c>
      <c r="C48" s="19" t="n">
        <v>1</v>
      </c>
    </row>
    <row r="51" ht="22" customHeight="1">
      <c r="B51" s="26" t="inlineStr">
        <is>
          <t>📝 SOAL TES #5: Kasus Akademik Sekolah &amp; Layanan Publik</t>
        </is>
      </c>
    </row>
    <row r="52" ht="30" customHeight="1">
      <c r="B52" s="14" t="inlineStr">
        <is>
          <t>Parameter Beta</t>
        </is>
      </c>
      <c r="C52" s="14" t="inlineStr">
        <is>
          <t>Nilai Input</t>
        </is>
      </c>
      <c r="E52" s="27" t="inlineStr">
        <is>
          <t>Persoalan Tes #5: Hitung distribusi Beta kumulatif menggunakan fungsi BETA.DIST dengan argumen C53, C54, C55, dan TRUE!</t>
        </is>
      </c>
    </row>
    <row r="53">
      <c r="B53" s="19" t="inlineStr">
        <is>
          <t>Nilai X (C53)</t>
        </is>
      </c>
      <c r="C53" s="19" t="n">
        <v>0.7</v>
      </c>
      <c r="E53" s="14" t="inlineStr">
        <is>
          <t>✏️ KETIK RUMUS JAWABAN TES DI BAWAH:</t>
        </is>
      </c>
      <c r="F53" s="14" t="inlineStr">
        <is>
          <t>📌 STATUS KOREKSI JAWABAN TES:</t>
        </is>
      </c>
      <c r="G53" s="5" t="n"/>
    </row>
    <row r="54" ht="26" customHeight="1">
      <c r="B54" s="19" t="inlineStr">
        <is>
          <t>Alpha (C54)</t>
        </is>
      </c>
      <c r="C54" s="19" t="n">
        <v>2</v>
      </c>
      <c r="E54" s="28" t="n"/>
      <c r="F54" s="29">
        <f>IF(ISBLANK(E54), "⏳ Belum Diisi (Ketik Rumus di Sel Kuning E54)", IF(E54='99_KUNCI_JAWABAN'!F34, "✅ BENAR! JAWABAN TES TEPAT!", "❌ Belum Tepat (Cek Sheet Akhir: 99_KUNCI_JAWABAN)"))</f>
        <v/>
      </c>
      <c r="G54" s="5" t="n"/>
    </row>
    <row r="55">
      <c r="B55" s="19" t="inlineStr">
        <is>
          <t>Beta (C55)</t>
        </is>
      </c>
      <c r="C55" s="19" t="n">
        <v>5</v>
      </c>
    </row>
    <row r="56">
      <c r="B56" s="19" t="inlineStr">
        <is>
          <t>Kumulatif</t>
        </is>
      </c>
      <c r="C56" s="19" t="n">
        <v>1</v>
      </c>
    </row>
  </sheetData>
  <mergeCells count="33">
    <mergeCell ref="E10:G10"/>
    <mergeCell ref="F11:G11"/>
    <mergeCell ref="E28:G28"/>
    <mergeCell ref="F29:G29"/>
    <mergeCell ref="C6:G6"/>
    <mergeCell ref="F54:G54"/>
    <mergeCell ref="B17:G17"/>
    <mergeCell ref="B1:G1"/>
    <mergeCell ref="C5:G5"/>
    <mergeCell ref="B19:G19"/>
    <mergeCell ref="F21:G21"/>
    <mergeCell ref="F12:G12"/>
    <mergeCell ref="F30:G30"/>
    <mergeCell ref="E36:G36"/>
    <mergeCell ref="B9:G9"/>
    <mergeCell ref="F45:G45"/>
    <mergeCell ref="B51:G51"/>
    <mergeCell ref="F38:G38"/>
    <mergeCell ref="B35:G35"/>
    <mergeCell ref="B4:G4"/>
    <mergeCell ref="F46:G46"/>
    <mergeCell ref="F22:G22"/>
    <mergeCell ref="B2:E2"/>
    <mergeCell ref="F13:G13"/>
    <mergeCell ref="B16:G16"/>
    <mergeCell ref="F37:G37"/>
    <mergeCell ref="C7:G7"/>
    <mergeCell ref="E52:G52"/>
    <mergeCell ref="B27:G27"/>
    <mergeCell ref="B43:G43"/>
    <mergeCell ref="E44:G44"/>
    <mergeCell ref="E20:G20"/>
    <mergeCell ref="F53:G53"/>
  </mergeCells>
  <hyperlinks>
    <hyperlink xmlns:r="http://schemas.openxmlformats.org/officeDocument/2006/relationships" ref="F2" r:id="rId1"/>
    <hyperlink xmlns:r="http://schemas.openxmlformats.org/officeDocument/2006/relationships" ref="G2" r:id="rId2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1:G56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22" customWidth="1" min="3" max="3"/>
    <col width="4" customWidth="1" min="4" max="4"/>
    <col width="34" customWidth="1" min="5" max="5"/>
    <col width="44" customWidth="1" min="6" max="6"/>
    <col width="28" customWidth="1" min="7" max="7"/>
  </cols>
  <sheetData>
    <row r="1" ht="30" customHeight="1">
      <c r="B1" s="10" t="inlineStr">
        <is>
          <t>📊 #007 — RUMUS EXCEL: BETA.INV   |   Kategori: 8. Statistik &amp; Analisis Data</t>
        </is>
      </c>
    </row>
    <row r="2" ht="22" customHeight="1">
      <c r="B2" s="11" t="inlineStr">
        <is>
          <t>1 Rumus = 1 Contoh Soal + Jawaban Benar &amp; 5 Soal Tes Mandiri (Kunci Jawaban Ada di Sheet Paling Terakhir)</t>
        </is>
      </c>
      <c r="F2" s="12" t="inlineStr">
        <is>
          <t>⬅️ Ke Daftar Isi (00_DAFTAR_ISI)</t>
        </is>
      </c>
      <c r="G2" s="3" t="inlineStr">
        <is>
          <t>🔑 Ke Kunci Jawaban (Sheet Akhir)</t>
        </is>
      </c>
    </row>
    <row r="4" ht="24" customHeight="1">
      <c r="B4" s="13" t="inlineStr">
        <is>
          <t>1️⃣ IDENTITAS RUMUS &amp; FUNGSINYA BUAT APA? (BETA.INV)</t>
        </is>
      </c>
    </row>
    <row r="5" ht="21" customHeight="1">
      <c r="B5" s="14" t="inlineStr">
        <is>
          <t>Nama Rumus Excel</t>
        </is>
      </c>
      <c r="C5" s="15">
        <f>BETA.INV(...)</f>
        <v/>
      </c>
      <c r="D5" s="5" t="n"/>
      <c r="E5" s="5" t="n"/>
      <c r="F5" s="5" t="n"/>
      <c r="G5" s="5" t="n"/>
    </row>
    <row r="6" ht="21" customHeight="1">
      <c r="B6" s="14" t="inlineStr">
        <is>
          <t>Sintaks / Pola Umum</t>
        </is>
      </c>
      <c r="C6" s="15">
        <f>BETA.INV(probabilitas, alpha, beta)</f>
        <v/>
      </c>
      <c r="D6" s="5" t="n"/>
      <c r="E6" s="5" t="n"/>
      <c r="F6" s="5" t="n"/>
      <c r="G6" s="5" t="n"/>
    </row>
    <row r="7" ht="26" customHeight="1">
      <c r="B7" s="14" t="inlineStr">
        <is>
          <t>👶 Fungsinya Buat Apa?</t>
        </is>
      </c>
      <c r="C7" s="16" t="inlineStr">
        <is>
          <t>Menghitung invers dari fungsi distribusi probabilitas Beta kumulatif.</t>
        </is>
      </c>
      <c r="D7" s="5" t="n"/>
      <c r="E7" s="5" t="n"/>
      <c r="F7" s="5" t="n"/>
      <c r="G7" s="5" t="n"/>
    </row>
    <row r="9" ht="24" customHeight="1">
      <c r="B9" s="17" t="inlineStr">
        <is>
          <t>2️⃣ 1 CONTOH SOAL &amp; CONTOH JAWABAN BENAR (PELAJARI POLA RUMUS BETA.INV DI SINI)</t>
        </is>
      </c>
    </row>
    <row r="10">
      <c r="B10" s="18" t="inlineStr">
        <is>
          <t>Parameter Beta</t>
        </is>
      </c>
      <c r="C10" s="18" t="inlineStr">
        <is>
          <t>Nilai Input</t>
        </is>
      </c>
      <c r="E10" s="18" t="inlineStr">
        <is>
          <t>✅ 1 CONTOH SOAL BESERTA CONTOH RUMUS &amp; HASIL JAWABAN BENAR:</t>
        </is>
      </c>
      <c r="F10" s="5" t="n"/>
      <c r="G10" s="5" t="n"/>
    </row>
    <row r="11" ht="28" customHeight="1">
      <c r="B11" s="19" t="inlineStr">
        <is>
          <t>Probabilitas (C11)</t>
        </is>
      </c>
      <c r="C11" s="19" t="n">
        <v>0.8</v>
      </c>
      <c r="E11" s="20" t="inlineStr">
        <is>
          <t>Contoh Soal:</t>
        </is>
      </c>
      <c r="F11" s="21" t="inlineStr">
        <is>
          <t>Hitung nilai invers distribusi Beta menggunakan fungsi BETA.INV dengan argumen C11, C12, dan C13!</t>
        </is>
      </c>
      <c r="G11" s="5" t="n"/>
    </row>
    <row r="12">
      <c r="B12" s="19" t="inlineStr">
        <is>
          <t>Alpha (C12)</t>
        </is>
      </c>
      <c r="C12" s="19" t="n">
        <v>2</v>
      </c>
      <c r="E12" s="20" t="inlineStr">
        <is>
          <t>Contoh Rumus Benar:</t>
        </is>
      </c>
      <c r="F12" s="22" t="inlineStr">
        <is>
          <t>'=BETA.INV(C11, C12, C13)</t>
        </is>
      </c>
      <c r="G12" s="5" t="n"/>
    </row>
    <row r="13">
      <c r="B13" s="19" t="inlineStr">
        <is>
          <t>Beta (C13)</t>
        </is>
      </c>
      <c r="C13" s="19" t="n">
        <v>5</v>
      </c>
      <c r="E13" s="20" t="inlineStr">
        <is>
          <t>Contoh Hasil Benar:</t>
        </is>
      </c>
      <c r="F13" s="23">
        <f>BETA.INV(C11, C12, C13)</f>
        <v/>
      </c>
      <c r="G13" s="5" t="n"/>
    </row>
    <row r="14">
      <c r="B14" s="19" t="inlineStr">
        <is>
          <t>Cadangan</t>
        </is>
      </c>
      <c r="C14" s="19" t="n">
        <v>1</v>
      </c>
    </row>
    <row r="16" ht="26" customHeight="1">
      <c r="B16" s="24" t="inlineStr">
        <is>
          <t>3️⃣ 5 SOAL TES DUNIA NYATA — KERJAKAN DI KOTAK KUNING (TANPA KUNCI RUMUS / HASIL DI SINI!)</t>
        </is>
      </c>
    </row>
    <row r="17" ht="20" customHeight="1">
      <c r="B17" s="25" t="inlineStr">
        <is>
          <t>📌 Catatan Tes: Soal Tes #1 s/d #5 di bawah ini tidak menampilkan kunci rumus maupun hasil. Kunci jawaban lengkap tersedia di sheet paling terakhir (99_KUNCI_JAWABAN).</t>
        </is>
      </c>
    </row>
    <row r="19" ht="22" customHeight="1">
      <c r="B19" s="26" t="inlineStr">
        <is>
          <t>📝 SOAL TES #1: Kasus Keuangan &amp; Akuntansi Kantor</t>
        </is>
      </c>
    </row>
    <row r="20" ht="30" customHeight="1">
      <c r="B20" s="14" t="inlineStr">
        <is>
          <t>Parameter Beta</t>
        </is>
      </c>
      <c r="C20" s="14" t="inlineStr">
        <is>
          <t>Nilai Input</t>
        </is>
      </c>
      <c r="E20" s="27" t="inlineStr">
        <is>
          <t>Persoalan Tes #1: Hitung nilai invers distribusi Beta menggunakan fungsi BETA.INV dengan argumen C21, C22, dan C23!</t>
        </is>
      </c>
    </row>
    <row r="21">
      <c r="B21" s="19" t="inlineStr">
        <is>
          <t>Probabilitas (C21)</t>
        </is>
      </c>
      <c r="C21" s="19" t="n">
        <v>0.3</v>
      </c>
      <c r="E21" s="14" t="inlineStr">
        <is>
          <t>✏️ KETIK RUMUS JAWABAN TES DI BAWAH:</t>
        </is>
      </c>
      <c r="F21" s="14" t="inlineStr">
        <is>
          <t>📌 STATUS KOREKSI JAWABAN TES:</t>
        </is>
      </c>
      <c r="G21" s="5" t="n"/>
    </row>
    <row r="22" ht="26" customHeight="1">
      <c r="B22" s="19" t="inlineStr">
        <is>
          <t>Alpha (C22)</t>
        </is>
      </c>
      <c r="C22" s="19" t="n">
        <v>2</v>
      </c>
      <c r="E22" s="28" t="n"/>
      <c r="F22" s="29">
        <f>IF(ISBLANK(E22), "⏳ Belum Diisi (Ketik Rumus di Sel Kuning E22)", IF(E22='99_KUNCI_JAWABAN'!F35, "✅ BENAR! JAWABAN TES TEPAT!", "❌ Belum Tepat (Cek Sheet Akhir: 99_KUNCI_JAWABAN)"))</f>
        <v/>
      </c>
      <c r="G22" s="5" t="n"/>
    </row>
    <row r="23">
      <c r="B23" s="19" t="inlineStr">
        <is>
          <t>Beta (C23)</t>
        </is>
      </c>
      <c r="C23" s="19" t="n">
        <v>5</v>
      </c>
    </row>
    <row r="24">
      <c r="B24" s="19" t="inlineStr">
        <is>
          <t>Cadangan</t>
        </is>
      </c>
      <c r="C24" s="19" t="n">
        <v>1</v>
      </c>
    </row>
    <row r="27" ht="22" customHeight="1">
      <c r="B27" s="26" t="inlineStr">
        <is>
          <t>📝 SOAL TES #2: Kasus HRD, Gaji &amp; Lembur Karyawan</t>
        </is>
      </c>
    </row>
    <row r="28" ht="30" customHeight="1">
      <c r="B28" s="14" t="inlineStr">
        <is>
          <t>Parameter Beta</t>
        </is>
      </c>
      <c r="C28" s="14" t="inlineStr">
        <is>
          <t>Nilai Input</t>
        </is>
      </c>
      <c r="E28" s="27" t="inlineStr">
        <is>
          <t>Persoalan Tes #2: Hitung nilai invers distribusi Beta menggunakan fungsi BETA.INV dengan argumen C29, C30, dan C31!</t>
        </is>
      </c>
    </row>
    <row r="29">
      <c r="B29" s="19" t="inlineStr">
        <is>
          <t>Probabilitas (C29)</t>
        </is>
      </c>
      <c r="C29" s="19" t="n">
        <v>0.4</v>
      </c>
      <c r="E29" s="14" t="inlineStr">
        <is>
          <t>✏️ KETIK RUMUS JAWABAN TES DI BAWAH:</t>
        </is>
      </c>
      <c r="F29" s="14" t="inlineStr">
        <is>
          <t>📌 STATUS KOREKSI JAWABAN TES:</t>
        </is>
      </c>
      <c r="G29" s="5" t="n"/>
    </row>
    <row r="30" ht="26" customHeight="1">
      <c r="B30" s="19" t="inlineStr">
        <is>
          <t>Alpha (C30)</t>
        </is>
      </c>
      <c r="C30" s="19" t="n">
        <v>2</v>
      </c>
      <c r="E30" s="28" t="n"/>
      <c r="F30" s="29">
        <f>IF(ISBLANK(E30), "⏳ Belum Diisi (Ketik Rumus di Sel Kuning E30)", IF(E30='99_KUNCI_JAWABAN'!F36, "✅ BENAR! JAWABAN TES TEPAT!", "❌ Belum Tepat (Cek Sheet Akhir: 99_KUNCI_JAWABAN)"))</f>
        <v/>
      </c>
      <c r="G30" s="5" t="n"/>
    </row>
    <row r="31">
      <c r="B31" s="19" t="inlineStr">
        <is>
          <t>Beta (C31)</t>
        </is>
      </c>
      <c r="C31" s="19" t="n">
        <v>5</v>
      </c>
    </row>
    <row r="32">
      <c r="B32" s="19" t="inlineStr">
        <is>
          <t>Cadangan</t>
        </is>
      </c>
      <c r="C32" s="19" t="n">
        <v>1</v>
      </c>
    </row>
    <row r="35" ht="22" customHeight="1">
      <c r="B35" s="26" t="inlineStr">
        <is>
          <t>📝 SOAL TES #3: Kasus Logistik &amp; Stok Gudang Utama</t>
        </is>
      </c>
    </row>
    <row r="36" ht="30" customHeight="1">
      <c r="B36" s="14" t="inlineStr">
        <is>
          <t>Parameter Beta</t>
        </is>
      </c>
      <c r="C36" s="14" t="inlineStr">
        <is>
          <t>Nilai Input</t>
        </is>
      </c>
      <c r="E36" s="27" t="inlineStr">
        <is>
          <t>Persoalan Tes #3: Hitung nilai invers distribusi Beta menggunakan fungsi BETA.INV dengan argumen C37, C38, dan C39!</t>
        </is>
      </c>
    </row>
    <row r="37">
      <c r="B37" s="19" t="inlineStr">
        <is>
          <t>Probabilitas (C37)</t>
        </is>
      </c>
      <c r="C37" s="19" t="n">
        <v>0.5</v>
      </c>
      <c r="E37" s="14" t="inlineStr">
        <is>
          <t>✏️ KETIK RUMUS JAWABAN TES DI BAWAH:</t>
        </is>
      </c>
      <c r="F37" s="14" t="inlineStr">
        <is>
          <t>📌 STATUS KOREKSI JAWABAN TES:</t>
        </is>
      </c>
      <c r="G37" s="5" t="n"/>
    </row>
    <row r="38" ht="26" customHeight="1">
      <c r="B38" s="19" t="inlineStr">
        <is>
          <t>Alpha (C38)</t>
        </is>
      </c>
      <c r="C38" s="19" t="n">
        <v>2</v>
      </c>
      <c r="E38" s="28" t="n"/>
      <c r="F38" s="29">
        <f>IF(ISBLANK(E38), "⏳ Belum Diisi (Ketik Rumus di Sel Kuning E38)", IF(E38='99_KUNCI_JAWABAN'!F37, "✅ BENAR! JAWABAN TES TEPAT!", "❌ Belum Tepat (Cek Sheet Akhir: 99_KUNCI_JAWABAN)"))</f>
        <v/>
      </c>
      <c r="G38" s="5" t="n"/>
    </row>
    <row r="39">
      <c r="B39" s="19" t="inlineStr">
        <is>
          <t>Beta (C39)</t>
        </is>
      </c>
      <c r="C39" s="19" t="n">
        <v>5</v>
      </c>
    </row>
    <row r="40">
      <c r="B40" s="19" t="inlineStr">
        <is>
          <t>Cadangan</t>
        </is>
      </c>
      <c r="C40" s="19" t="n">
        <v>1</v>
      </c>
    </row>
    <row r="43" ht="22" customHeight="1">
      <c r="B43" s="26" t="inlineStr">
        <is>
          <t>📝 SOAL TES #4: Kasus Penjualan Retail &amp; Target Toko</t>
        </is>
      </c>
    </row>
    <row r="44" ht="30" customHeight="1">
      <c r="B44" s="14" t="inlineStr">
        <is>
          <t>Parameter Beta</t>
        </is>
      </c>
      <c r="C44" s="14" t="inlineStr">
        <is>
          <t>Nilai Input</t>
        </is>
      </c>
      <c r="E44" s="27" t="inlineStr">
        <is>
          <t>Persoalan Tes #4: Hitung nilai invers distribusi Beta menggunakan fungsi BETA.INV dengan argumen C45, C46, dan C47!</t>
        </is>
      </c>
    </row>
    <row r="45">
      <c r="B45" s="19" t="inlineStr">
        <is>
          <t>Probabilitas (C45)</t>
        </is>
      </c>
      <c r="C45" s="19" t="n">
        <v>0.6</v>
      </c>
      <c r="E45" s="14" t="inlineStr">
        <is>
          <t>✏️ KETIK RUMUS JAWABAN TES DI BAWAH:</t>
        </is>
      </c>
      <c r="F45" s="14" t="inlineStr">
        <is>
          <t>📌 STATUS KOREKSI JAWABAN TES:</t>
        </is>
      </c>
      <c r="G45" s="5" t="n"/>
    </row>
    <row r="46" ht="26" customHeight="1">
      <c r="B46" s="19" t="inlineStr">
        <is>
          <t>Alpha (C46)</t>
        </is>
      </c>
      <c r="C46" s="19" t="n">
        <v>2</v>
      </c>
      <c r="E46" s="28" t="n"/>
      <c r="F46" s="29">
        <f>IF(ISBLANK(E46), "⏳ Belum Diisi (Ketik Rumus di Sel Kuning E46)", IF(E46='99_KUNCI_JAWABAN'!F38, "✅ BENAR! JAWABAN TES TEPAT!", "❌ Belum Tepat (Cek Sheet Akhir: 99_KUNCI_JAWABAN)"))</f>
        <v/>
      </c>
      <c r="G46" s="5" t="n"/>
    </row>
    <row r="47">
      <c r="B47" s="19" t="inlineStr">
        <is>
          <t>Beta (C47)</t>
        </is>
      </c>
      <c r="C47" s="19" t="n">
        <v>5</v>
      </c>
    </row>
    <row r="48">
      <c r="B48" s="19" t="inlineStr">
        <is>
          <t>Cadangan</t>
        </is>
      </c>
      <c r="C48" s="19" t="n">
        <v>1</v>
      </c>
    </row>
    <row r="51" ht="22" customHeight="1">
      <c r="B51" s="26" t="inlineStr">
        <is>
          <t>📝 SOAL TES #5: Kasus Akademik Sekolah &amp; Layanan Publik</t>
        </is>
      </c>
    </row>
    <row r="52" ht="30" customHeight="1">
      <c r="B52" s="14" t="inlineStr">
        <is>
          <t>Parameter Beta</t>
        </is>
      </c>
      <c r="C52" s="14" t="inlineStr">
        <is>
          <t>Nilai Input</t>
        </is>
      </c>
      <c r="E52" s="27" t="inlineStr">
        <is>
          <t>Persoalan Tes #5: Hitung nilai invers distribusi Beta menggunakan fungsi BETA.INV dengan argumen C53, C54, dan C55!</t>
        </is>
      </c>
    </row>
    <row r="53">
      <c r="B53" s="19" t="inlineStr">
        <is>
          <t>Probabilitas (C53)</t>
        </is>
      </c>
      <c r="C53" s="19" t="n">
        <v>0.7</v>
      </c>
      <c r="E53" s="14" t="inlineStr">
        <is>
          <t>✏️ KETIK RUMUS JAWABAN TES DI BAWAH:</t>
        </is>
      </c>
      <c r="F53" s="14" t="inlineStr">
        <is>
          <t>📌 STATUS KOREKSI JAWABAN TES:</t>
        </is>
      </c>
      <c r="G53" s="5" t="n"/>
    </row>
    <row r="54" ht="26" customHeight="1">
      <c r="B54" s="19" t="inlineStr">
        <is>
          <t>Alpha (C54)</t>
        </is>
      </c>
      <c r="C54" s="19" t="n">
        <v>2</v>
      </c>
      <c r="E54" s="28" t="n"/>
      <c r="F54" s="29">
        <f>IF(ISBLANK(E54), "⏳ Belum Diisi (Ketik Rumus di Sel Kuning E54)", IF(E54='99_KUNCI_JAWABAN'!F39, "✅ BENAR! JAWABAN TES TEPAT!", "❌ Belum Tepat (Cek Sheet Akhir: 99_KUNCI_JAWABAN)"))</f>
        <v/>
      </c>
      <c r="G54" s="5" t="n"/>
    </row>
    <row r="55">
      <c r="B55" s="19" t="inlineStr">
        <is>
          <t>Beta (C55)</t>
        </is>
      </c>
      <c r="C55" s="19" t="n">
        <v>5</v>
      </c>
    </row>
    <row r="56">
      <c r="B56" s="19" t="inlineStr">
        <is>
          <t>Cadangan</t>
        </is>
      </c>
      <c r="C56" s="19" t="n">
        <v>1</v>
      </c>
    </row>
  </sheetData>
  <mergeCells count="33">
    <mergeCell ref="E10:G10"/>
    <mergeCell ref="F11:G11"/>
    <mergeCell ref="E28:G28"/>
    <mergeCell ref="F29:G29"/>
    <mergeCell ref="C6:G6"/>
    <mergeCell ref="F54:G54"/>
    <mergeCell ref="B17:G17"/>
    <mergeCell ref="B1:G1"/>
    <mergeCell ref="C5:G5"/>
    <mergeCell ref="B19:G19"/>
    <mergeCell ref="F21:G21"/>
    <mergeCell ref="F12:G12"/>
    <mergeCell ref="F30:G30"/>
    <mergeCell ref="E36:G36"/>
    <mergeCell ref="B9:G9"/>
    <mergeCell ref="F45:G45"/>
    <mergeCell ref="B51:G51"/>
    <mergeCell ref="F38:G38"/>
    <mergeCell ref="B35:G35"/>
    <mergeCell ref="B4:G4"/>
    <mergeCell ref="F46:G46"/>
    <mergeCell ref="F22:G22"/>
    <mergeCell ref="B2:E2"/>
    <mergeCell ref="F13:G13"/>
    <mergeCell ref="B16:G16"/>
    <mergeCell ref="F37:G37"/>
    <mergeCell ref="C7:G7"/>
    <mergeCell ref="E52:G52"/>
    <mergeCell ref="B27:G27"/>
    <mergeCell ref="B43:G43"/>
    <mergeCell ref="E44:G44"/>
    <mergeCell ref="E20:G20"/>
    <mergeCell ref="F53:G53"/>
  </mergeCells>
  <hyperlinks>
    <hyperlink xmlns:r="http://schemas.openxmlformats.org/officeDocument/2006/relationships" ref="F2" r:id="rId1"/>
    <hyperlink xmlns:r="http://schemas.openxmlformats.org/officeDocument/2006/relationships" ref="G2" r:id="rId2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1:G56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22" customWidth="1" min="3" max="3"/>
    <col width="4" customWidth="1" min="4" max="4"/>
    <col width="34" customWidth="1" min="5" max="5"/>
    <col width="44" customWidth="1" min="6" max="6"/>
    <col width="28" customWidth="1" min="7" max="7"/>
  </cols>
  <sheetData>
    <row r="1" ht="30" customHeight="1">
      <c r="B1" s="10" t="inlineStr">
        <is>
          <t>📊 #008 — RUMUS EXCEL: BINOM.DIST   |   Kategori: 8. Statistik &amp; Analisis Data</t>
        </is>
      </c>
    </row>
    <row r="2" ht="22" customHeight="1">
      <c r="B2" s="11" t="inlineStr">
        <is>
          <t>1 Rumus = 1 Contoh Soal + Jawaban Benar &amp; 5 Soal Tes Mandiri (Kunci Jawaban Ada di Sheet Paling Terakhir)</t>
        </is>
      </c>
      <c r="F2" s="12" t="inlineStr">
        <is>
          <t>⬅️ Ke Daftar Isi (00_DAFTAR_ISI)</t>
        </is>
      </c>
      <c r="G2" s="3" t="inlineStr">
        <is>
          <t>🔑 Ke Kunci Jawaban (Sheet Akhir)</t>
        </is>
      </c>
    </row>
    <row r="4" ht="24" customHeight="1">
      <c r="B4" s="13" t="inlineStr">
        <is>
          <t>1️⃣ IDENTITAS RUMUS &amp; FUNGSINYA BUAT APA? (BINOM.DIST)</t>
        </is>
      </c>
    </row>
    <row r="5" ht="21" customHeight="1">
      <c r="B5" s="14" t="inlineStr">
        <is>
          <t>Nama Rumus Excel</t>
        </is>
      </c>
      <c r="C5" s="15">
        <f>BINOM.DIST(...)</f>
        <v/>
      </c>
      <c r="D5" s="5" t="n"/>
      <c r="E5" s="5" t="n"/>
      <c r="F5" s="5" t="n"/>
      <c r="G5" s="5" t="n"/>
    </row>
    <row r="6" ht="21" customHeight="1">
      <c r="B6" s="14" t="inlineStr">
        <is>
          <t>Sintaks / Pola Umum</t>
        </is>
      </c>
      <c r="C6" s="15">
        <f>BINOM.DIST(sukses, cobaan, prob_sukses, TRUE)</f>
        <v/>
      </c>
      <c r="D6" s="5" t="n"/>
      <c r="E6" s="5" t="n"/>
      <c r="F6" s="5" t="n"/>
      <c r="G6" s="5" t="n"/>
    </row>
    <row r="7" ht="26" customHeight="1">
      <c r="B7" s="14" t="inlineStr">
        <is>
          <t>👶 Fungsinya Buat Apa?</t>
        </is>
      </c>
      <c r="C7" s="16" t="inlineStr">
        <is>
          <t>Menghitung peluang distribusi Binomial dari sejumlah percobaan independen.</t>
        </is>
      </c>
      <c r="D7" s="5" t="n"/>
      <c r="E7" s="5" t="n"/>
      <c r="F7" s="5" t="n"/>
      <c r="G7" s="5" t="n"/>
    </row>
    <row r="9" ht="24" customHeight="1">
      <c r="B9" s="17" t="inlineStr">
        <is>
          <t>2️⃣ 1 CONTOH SOAL &amp; CONTOH JAWABAN BENAR (PELAJARI POLA RUMUS BINOM.DIST DI SINI)</t>
        </is>
      </c>
    </row>
    <row r="10">
      <c r="B10" s="18" t="inlineStr">
        <is>
          <t>Parameter Binomial</t>
        </is>
      </c>
      <c r="C10" s="18" t="inlineStr">
        <is>
          <t>Nilai Input</t>
        </is>
      </c>
      <c r="E10" s="18" t="inlineStr">
        <is>
          <t>✅ 1 CONTOH SOAL BESERTA CONTOH RUMUS &amp; HASIL JAWABAN BENAR:</t>
        </is>
      </c>
      <c r="F10" s="5" t="n"/>
      <c r="G10" s="5" t="n"/>
    </row>
    <row r="11" ht="28" customHeight="1">
      <c r="B11" s="19" t="inlineStr">
        <is>
          <t>Jumlah Sukses/Gagal (C11)</t>
        </is>
      </c>
      <c r="C11" s="19" t="n">
        <v>4</v>
      </c>
      <c r="E11" s="20" t="inlineStr">
        <is>
          <t>Contoh Soal:</t>
        </is>
      </c>
      <c r="F11" s="21" t="inlineStr">
        <is>
          <t>Hitung peluang distribusi kumulatif (TRUE) menggunakan fungsi BINOM.DIST dengan argumen C11, C12, C13, dan TRUE!</t>
        </is>
      </c>
      <c r="G11" s="5" t="n"/>
    </row>
    <row r="12">
      <c r="B12" s="19" t="inlineStr">
        <is>
          <t>Total Percobaan (C12)</t>
        </is>
      </c>
      <c r="C12" s="19" t="n">
        <v>15</v>
      </c>
      <c r="E12" s="20" t="inlineStr">
        <is>
          <t>Contoh Rumus Benar:</t>
        </is>
      </c>
      <c r="F12" s="22" t="inlineStr">
        <is>
          <t>'=BINOM.DIST(C11, C12, C13, TRUE)</t>
        </is>
      </c>
      <c r="G12" s="5" t="n"/>
    </row>
    <row r="13">
      <c r="B13" s="19" t="inlineStr">
        <is>
          <t>Peluang Sukses (C13)</t>
        </is>
      </c>
      <c r="C13" s="19" t="n">
        <v>0.5</v>
      </c>
      <c r="E13" s="20" t="inlineStr">
        <is>
          <t>Contoh Hasil Benar:</t>
        </is>
      </c>
      <c r="F13" s="23">
        <f>BINOM.DIST(C11, C12, C13, TRUE)</f>
        <v/>
      </c>
      <c r="G13" s="5" t="n"/>
    </row>
    <row r="14">
      <c r="B14" s="19" t="inlineStr">
        <is>
          <t>Kumulatif</t>
        </is>
      </c>
      <c r="C14" s="19" t="n">
        <v>1</v>
      </c>
    </row>
    <row r="16" ht="26" customHeight="1">
      <c r="B16" s="24" t="inlineStr">
        <is>
          <t>3️⃣ 5 SOAL TES DUNIA NYATA — KERJAKAN DI KOTAK KUNING (TANPA KUNCI RUMUS / HASIL DI SINI!)</t>
        </is>
      </c>
    </row>
    <row r="17" ht="20" customHeight="1">
      <c r="B17" s="25" t="inlineStr">
        <is>
          <t>📌 Catatan Tes: Soal Tes #1 s/d #5 di bawah ini tidak menampilkan kunci rumus maupun hasil. Kunci jawaban lengkap tersedia di sheet paling terakhir (99_KUNCI_JAWABAN).</t>
        </is>
      </c>
    </row>
    <row r="19" ht="22" customHeight="1">
      <c r="B19" s="26" t="inlineStr">
        <is>
          <t>📝 SOAL TES #1: Kasus Keuangan &amp; Akuntansi Kantor</t>
        </is>
      </c>
    </row>
    <row r="20" ht="30" customHeight="1">
      <c r="B20" s="14" t="inlineStr">
        <is>
          <t>Parameter Binomial</t>
        </is>
      </c>
      <c r="C20" s="14" t="inlineStr">
        <is>
          <t>Nilai Input</t>
        </is>
      </c>
      <c r="E20" s="27" t="inlineStr">
        <is>
          <t>Persoalan Tes #1: Hitung peluang distribusi kumulatif (TRUE) menggunakan fungsi BINOM.DIST dengan argumen C21, C22, C23, dan TRUE!</t>
        </is>
      </c>
    </row>
    <row r="21">
      <c r="B21" s="19" t="inlineStr">
        <is>
          <t>Jumlah Sukses/Gagal (C21)</t>
        </is>
      </c>
      <c r="C21" s="19" t="n">
        <v>2</v>
      </c>
      <c r="E21" s="14" t="inlineStr">
        <is>
          <t>✏️ KETIK RUMUS JAWABAN TES DI BAWAH:</t>
        </is>
      </c>
      <c r="F21" s="14" t="inlineStr">
        <is>
          <t>📌 STATUS KOREKSI JAWABAN TES:</t>
        </is>
      </c>
      <c r="G21" s="5" t="n"/>
    </row>
    <row r="22" ht="26" customHeight="1">
      <c r="B22" s="19" t="inlineStr">
        <is>
          <t>Total Percobaan (C22)</t>
        </is>
      </c>
      <c r="C22" s="19" t="n">
        <v>10</v>
      </c>
      <c r="E22" s="28" t="n"/>
      <c r="F22" s="29">
        <f>IF(ISBLANK(E22), "⏳ Belum Diisi (Ketik Rumus di Sel Kuning E22)", IF(E22='99_KUNCI_JAWABAN'!F40, "✅ BENAR! JAWABAN TES TEPAT!", "❌ Belum Tepat (Cek Sheet Akhir: 99_KUNCI_JAWABAN)"))</f>
        <v/>
      </c>
      <c r="G22" s="5" t="n"/>
    </row>
    <row r="23">
      <c r="B23" s="19" t="inlineStr">
        <is>
          <t>Peluang Sukses (C23)</t>
        </is>
      </c>
      <c r="C23" s="19" t="n">
        <v>0.5</v>
      </c>
    </row>
    <row r="24">
      <c r="B24" s="19" t="inlineStr">
        <is>
          <t>Kumulatif</t>
        </is>
      </c>
      <c r="C24" s="19" t="n">
        <v>1</v>
      </c>
    </row>
    <row r="27" ht="22" customHeight="1">
      <c r="B27" s="26" t="inlineStr">
        <is>
          <t>📝 SOAL TES #2: Kasus HRD, Gaji &amp; Lembur Karyawan</t>
        </is>
      </c>
    </row>
    <row r="28" ht="30" customHeight="1">
      <c r="B28" s="14" t="inlineStr">
        <is>
          <t>Parameter Binomial</t>
        </is>
      </c>
      <c r="C28" s="14" t="inlineStr">
        <is>
          <t>Nilai Input</t>
        </is>
      </c>
      <c r="E28" s="27" t="inlineStr">
        <is>
          <t>Persoalan Tes #2: Hitung peluang distribusi kumulatif (TRUE) menggunakan fungsi BINOM.DIST dengan argumen C29, C30, C31, dan TRUE!</t>
        </is>
      </c>
    </row>
    <row r="29">
      <c r="B29" s="19" t="inlineStr">
        <is>
          <t>Jumlah Sukses/Gagal (C29)</t>
        </is>
      </c>
      <c r="C29" s="19" t="n">
        <v>3</v>
      </c>
      <c r="E29" s="14" t="inlineStr">
        <is>
          <t>✏️ KETIK RUMUS JAWABAN TES DI BAWAH:</t>
        </is>
      </c>
      <c r="F29" s="14" t="inlineStr">
        <is>
          <t>📌 STATUS KOREKSI JAWABAN TES:</t>
        </is>
      </c>
      <c r="G29" s="5" t="n"/>
    </row>
    <row r="30" ht="26" customHeight="1">
      <c r="B30" s="19" t="inlineStr">
        <is>
          <t>Total Percobaan (C30)</t>
        </is>
      </c>
      <c r="C30" s="19" t="n">
        <v>11</v>
      </c>
      <c r="E30" s="28" t="n"/>
      <c r="F30" s="29">
        <f>IF(ISBLANK(E30), "⏳ Belum Diisi (Ketik Rumus di Sel Kuning E30)", IF(E30='99_KUNCI_JAWABAN'!F41, "✅ BENAR! JAWABAN TES TEPAT!", "❌ Belum Tepat (Cek Sheet Akhir: 99_KUNCI_JAWABAN)"))</f>
        <v/>
      </c>
      <c r="G30" s="5" t="n"/>
    </row>
    <row r="31">
      <c r="B31" s="19" t="inlineStr">
        <is>
          <t>Peluang Sukses (C31)</t>
        </is>
      </c>
      <c r="C31" s="19" t="n">
        <v>0.5</v>
      </c>
    </row>
    <row r="32">
      <c r="B32" s="19" t="inlineStr">
        <is>
          <t>Kumulatif</t>
        </is>
      </c>
      <c r="C32" s="19" t="n">
        <v>1</v>
      </c>
    </row>
    <row r="35" ht="22" customHeight="1">
      <c r="B35" s="26" t="inlineStr">
        <is>
          <t>📝 SOAL TES #3: Kasus Logistik &amp; Stok Gudang Utama</t>
        </is>
      </c>
    </row>
    <row r="36" ht="30" customHeight="1">
      <c r="B36" s="14" t="inlineStr">
        <is>
          <t>Parameter Binomial</t>
        </is>
      </c>
      <c r="C36" s="14" t="inlineStr">
        <is>
          <t>Nilai Input</t>
        </is>
      </c>
      <c r="E36" s="27" t="inlineStr">
        <is>
          <t>Persoalan Tes #3: Hitung peluang distribusi kumulatif (TRUE) menggunakan fungsi BINOM.DIST dengan argumen C37, C38, C39, dan TRUE!</t>
        </is>
      </c>
    </row>
    <row r="37">
      <c r="B37" s="19" t="inlineStr">
        <is>
          <t>Jumlah Sukses/Gagal (C37)</t>
        </is>
      </c>
      <c r="C37" s="19" t="n">
        <v>4</v>
      </c>
      <c r="E37" s="14" t="inlineStr">
        <is>
          <t>✏️ KETIK RUMUS JAWABAN TES DI BAWAH:</t>
        </is>
      </c>
      <c r="F37" s="14" t="inlineStr">
        <is>
          <t>📌 STATUS KOREKSI JAWABAN TES:</t>
        </is>
      </c>
      <c r="G37" s="5" t="n"/>
    </row>
    <row r="38" ht="26" customHeight="1">
      <c r="B38" s="19" t="inlineStr">
        <is>
          <t>Total Percobaan (C38)</t>
        </is>
      </c>
      <c r="C38" s="19" t="n">
        <v>12</v>
      </c>
      <c r="E38" s="28" t="n"/>
      <c r="F38" s="29">
        <f>IF(ISBLANK(E38), "⏳ Belum Diisi (Ketik Rumus di Sel Kuning E38)", IF(E38='99_KUNCI_JAWABAN'!F42, "✅ BENAR! JAWABAN TES TEPAT!", "❌ Belum Tepat (Cek Sheet Akhir: 99_KUNCI_JAWABAN)"))</f>
        <v/>
      </c>
      <c r="G38" s="5" t="n"/>
    </row>
    <row r="39">
      <c r="B39" s="19" t="inlineStr">
        <is>
          <t>Peluang Sukses (C39)</t>
        </is>
      </c>
      <c r="C39" s="19" t="n">
        <v>0.5</v>
      </c>
    </row>
    <row r="40">
      <c r="B40" s="19" t="inlineStr">
        <is>
          <t>Kumulatif</t>
        </is>
      </c>
      <c r="C40" s="19" t="n">
        <v>1</v>
      </c>
    </row>
    <row r="43" ht="22" customHeight="1">
      <c r="B43" s="26" t="inlineStr">
        <is>
          <t>📝 SOAL TES #4: Kasus Penjualan Retail &amp; Target Toko</t>
        </is>
      </c>
    </row>
    <row r="44" ht="30" customHeight="1">
      <c r="B44" s="14" t="inlineStr">
        <is>
          <t>Parameter Binomial</t>
        </is>
      </c>
      <c r="C44" s="14" t="inlineStr">
        <is>
          <t>Nilai Input</t>
        </is>
      </c>
      <c r="E44" s="27" t="inlineStr">
        <is>
          <t>Persoalan Tes #4: Hitung peluang distribusi kumulatif (TRUE) menggunakan fungsi BINOM.DIST dengan argumen C45, C46, C47, dan TRUE!</t>
        </is>
      </c>
    </row>
    <row r="45">
      <c r="B45" s="19" t="inlineStr">
        <is>
          <t>Jumlah Sukses/Gagal (C45)</t>
        </is>
      </c>
      <c r="C45" s="19" t="n">
        <v>2</v>
      </c>
      <c r="E45" s="14" t="inlineStr">
        <is>
          <t>✏️ KETIK RUMUS JAWABAN TES DI BAWAH:</t>
        </is>
      </c>
      <c r="F45" s="14" t="inlineStr">
        <is>
          <t>📌 STATUS KOREKSI JAWABAN TES:</t>
        </is>
      </c>
      <c r="G45" s="5" t="n"/>
    </row>
    <row r="46" ht="26" customHeight="1">
      <c r="B46" s="19" t="inlineStr">
        <is>
          <t>Total Percobaan (C46)</t>
        </is>
      </c>
      <c r="C46" s="19" t="n">
        <v>13</v>
      </c>
      <c r="E46" s="28" t="n"/>
      <c r="F46" s="29">
        <f>IF(ISBLANK(E46), "⏳ Belum Diisi (Ketik Rumus di Sel Kuning E46)", IF(E46='99_KUNCI_JAWABAN'!F43, "✅ BENAR! JAWABAN TES TEPAT!", "❌ Belum Tepat (Cek Sheet Akhir: 99_KUNCI_JAWABAN)"))</f>
        <v/>
      </c>
      <c r="G46" s="5" t="n"/>
    </row>
    <row r="47">
      <c r="B47" s="19" t="inlineStr">
        <is>
          <t>Peluang Sukses (C47)</t>
        </is>
      </c>
      <c r="C47" s="19" t="n">
        <v>0.5</v>
      </c>
    </row>
    <row r="48">
      <c r="B48" s="19" t="inlineStr">
        <is>
          <t>Kumulatif</t>
        </is>
      </c>
      <c r="C48" s="19" t="n">
        <v>1</v>
      </c>
    </row>
    <row r="51" ht="22" customHeight="1">
      <c r="B51" s="26" t="inlineStr">
        <is>
          <t>📝 SOAL TES #5: Kasus Akademik Sekolah &amp; Layanan Publik</t>
        </is>
      </c>
    </row>
    <row r="52" ht="30" customHeight="1">
      <c r="B52" s="14" t="inlineStr">
        <is>
          <t>Parameter Binomial</t>
        </is>
      </c>
      <c r="C52" s="14" t="inlineStr">
        <is>
          <t>Nilai Input</t>
        </is>
      </c>
      <c r="E52" s="27" t="inlineStr">
        <is>
          <t>Persoalan Tes #5: Hitung peluang distribusi kumulatif (TRUE) menggunakan fungsi BINOM.DIST dengan argumen C53, C54, C55, dan TRUE!</t>
        </is>
      </c>
    </row>
    <row r="53">
      <c r="B53" s="19" t="inlineStr">
        <is>
          <t>Jumlah Sukses/Gagal (C53)</t>
        </is>
      </c>
      <c r="C53" s="19" t="n">
        <v>3</v>
      </c>
      <c r="E53" s="14" t="inlineStr">
        <is>
          <t>✏️ KETIK RUMUS JAWABAN TES DI BAWAH:</t>
        </is>
      </c>
      <c r="F53" s="14" t="inlineStr">
        <is>
          <t>📌 STATUS KOREKSI JAWABAN TES:</t>
        </is>
      </c>
      <c r="G53" s="5" t="n"/>
    </row>
    <row r="54" ht="26" customHeight="1">
      <c r="B54" s="19" t="inlineStr">
        <is>
          <t>Total Percobaan (C54)</t>
        </is>
      </c>
      <c r="C54" s="19" t="n">
        <v>14</v>
      </c>
      <c r="E54" s="28" t="n"/>
      <c r="F54" s="29">
        <f>IF(ISBLANK(E54), "⏳ Belum Diisi (Ketik Rumus di Sel Kuning E54)", IF(E54='99_KUNCI_JAWABAN'!F44, "✅ BENAR! JAWABAN TES TEPAT!", "❌ Belum Tepat (Cek Sheet Akhir: 99_KUNCI_JAWABAN)"))</f>
        <v/>
      </c>
      <c r="G54" s="5" t="n"/>
    </row>
    <row r="55">
      <c r="B55" s="19" t="inlineStr">
        <is>
          <t>Peluang Sukses (C55)</t>
        </is>
      </c>
      <c r="C55" s="19" t="n">
        <v>0.5</v>
      </c>
    </row>
    <row r="56">
      <c r="B56" s="19" t="inlineStr">
        <is>
          <t>Kumulatif</t>
        </is>
      </c>
      <c r="C56" s="19" t="n">
        <v>1</v>
      </c>
    </row>
  </sheetData>
  <mergeCells count="33">
    <mergeCell ref="E10:G10"/>
    <mergeCell ref="F11:G11"/>
    <mergeCell ref="E28:G28"/>
    <mergeCell ref="F29:G29"/>
    <mergeCell ref="C6:G6"/>
    <mergeCell ref="F54:G54"/>
    <mergeCell ref="B17:G17"/>
    <mergeCell ref="B1:G1"/>
    <mergeCell ref="C5:G5"/>
    <mergeCell ref="B19:G19"/>
    <mergeCell ref="F21:G21"/>
    <mergeCell ref="F12:G12"/>
    <mergeCell ref="F30:G30"/>
    <mergeCell ref="E36:G36"/>
    <mergeCell ref="B9:G9"/>
    <mergeCell ref="F45:G45"/>
    <mergeCell ref="B51:G51"/>
    <mergeCell ref="F38:G38"/>
    <mergeCell ref="B35:G35"/>
    <mergeCell ref="B4:G4"/>
    <mergeCell ref="F46:G46"/>
    <mergeCell ref="F22:G22"/>
    <mergeCell ref="B2:E2"/>
    <mergeCell ref="F13:G13"/>
    <mergeCell ref="B16:G16"/>
    <mergeCell ref="F37:G37"/>
    <mergeCell ref="C7:G7"/>
    <mergeCell ref="E52:G52"/>
    <mergeCell ref="B27:G27"/>
    <mergeCell ref="B43:G43"/>
    <mergeCell ref="E44:G44"/>
    <mergeCell ref="E20:G20"/>
    <mergeCell ref="F53:G53"/>
  </mergeCells>
  <hyperlinks>
    <hyperlink xmlns:r="http://schemas.openxmlformats.org/officeDocument/2006/relationships" ref="F2" r:id="rId1"/>
    <hyperlink xmlns:r="http://schemas.openxmlformats.org/officeDocument/2006/relationships" ref="G2" r:id="rId2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1:G56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22" customWidth="1" min="3" max="3"/>
    <col width="4" customWidth="1" min="4" max="4"/>
    <col width="34" customWidth="1" min="5" max="5"/>
    <col width="44" customWidth="1" min="6" max="6"/>
    <col width="28" customWidth="1" min="7" max="7"/>
  </cols>
  <sheetData>
    <row r="1" ht="30" customHeight="1">
      <c r="B1" s="10" t="inlineStr">
        <is>
          <t>📊 #009 — RUMUS EXCEL: BINOM.INV   |   Kategori: 8. Statistik &amp; Analisis Data</t>
        </is>
      </c>
    </row>
    <row r="2" ht="22" customHeight="1">
      <c r="B2" s="11" t="inlineStr">
        <is>
          <t>1 Rumus = 1 Contoh Soal + Jawaban Benar &amp; 5 Soal Tes Mandiri (Kunci Jawaban Ada di Sheet Paling Terakhir)</t>
        </is>
      </c>
      <c r="F2" s="12" t="inlineStr">
        <is>
          <t>⬅️ Ke Daftar Isi (00_DAFTAR_ISI)</t>
        </is>
      </c>
      <c r="G2" s="3" t="inlineStr">
        <is>
          <t>🔑 Ke Kunci Jawaban (Sheet Akhir)</t>
        </is>
      </c>
    </row>
    <row r="4" ht="24" customHeight="1">
      <c r="B4" s="13" t="inlineStr">
        <is>
          <t>1️⃣ IDENTITAS RUMUS &amp; FUNGSINYA BUAT APA? (BINOM.INV)</t>
        </is>
      </c>
    </row>
    <row r="5" ht="21" customHeight="1">
      <c r="B5" s="14" t="inlineStr">
        <is>
          <t>Nama Rumus Excel</t>
        </is>
      </c>
      <c r="C5" s="15">
        <f>BINOM.INV(...)</f>
        <v/>
      </c>
      <c r="D5" s="5" t="n"/>
      <c r="E5" s="5" t="n"/>
      <c r="F5" s="5" t="n"/>
      <c r="G5" s="5" t="n"/>
    </row>
    <row r="6" ht="21" customHeight="1">
      <c r="B6" s="14" t="inlineStr">
        <is>
          <t>Sintaks / Pola Umum</t>
        </is>
      </c>
      <c r="C6" s="15">
        <f>BINOM.INV(cobaan, prob_sukses, alpha)</f>
        <v/>
      </c>
      <c r="D6" s="5" t="n"/>
      <c r="E6" s="5" t="n"/>
      <c r="F6" s="5" t="n"/>
      <c r="G6" s="5" t="n"/>
    </row>
    <row r="7" ht="26" customHeight="1">
      <c r="B7" s="14" t="inlineStr">
        <is>
          <t>👶 Fungsinya Buat Apa?</t>
        </is>
      </c>
      <c r="C7" s="16" t="inlineStr">
        <is>
          <t>Mencari nilai terkecil sehingga distribusi binomial kumulatif &gt;= alpha.</t>
        </is>
      </c>
      <c r="D7" s="5" t="n"/>
      <c r="E7" s="5" t="n"/>
      <c r="F7" s="5" t="n"/>
      <c r="G7" s="5" t="n"/>
    </row>
    <row r="9" ht="24" customHeight="1">
      <c r="B9" s="17" t="inlineStr">
        <is>
          <t>2️⃣ 1 CONTOH SOAL &amp; CONTOH JAWABAN BENAR (PELAJARI POLA RUMUS BINOM.INV DI SINI)</t>
        </is>
      </c>
    </row>
    <row r="10">
      <c r="B10" s="18" t="inlineStr">
        <is>
          <t>Parameter Binomial</t>
        </is>
      </c>
      <c r="C10" s="18" t="inlineStr">
        <is>
          <t>Nilai Input</t>
        </is>
      </c>
      <c r="E10" s="18" t="inlineStr">
        <is>
          <t>✅ 1 CONTOH SOAL BESERTA CONTOH RUMUS &amp; HASIL JAWABAN BENAR:</t>
        </is>
      </c>
      <c r="F10" s="5" t="n"/>
      <c r="G10" s="5" t="n"/>
    </row>
    <row r="11" ht="28" customHeight="1">
      <c r="B11" s="19" t="inlineStr">
        <is>
          <t>Total Percobaan (C11)</t>
        </is>
      </c>
      <c r="C11" s="19" t="n">
        <v>20</v>
      </c>
      <c r="E11" s="20" t="inlineStr">
        <is>
          <t>Contoh Soal:</t>
        </is>
      </c>
      <c r="F11" s="21" t="inlineStr">
        <is>
          <t>Cari nilai batas kritis binomial menggunakan fungsi BINOM.INV dengan argumen berurutan C11, C12, dan C13!</t>
        </is>
      </c>
      <c r="G11" s="5" t="n"/>
    </row>
    <row r="12">
      <c r="B12" s="19" t="inlineStr">
        <is>
          <t>Peluang Sukses (C12)</t>
        </is>
      </c>
      <c r="C12" s="19" t="n">
        <v>0.5</v>
      </c>
      <c r="E12" s="20" t="inlineStr">
        <is>
          <t>Contoh Rumus Benar:</t>
        </is>
      </c>
      <c r="F12" s="22" t="inlineStr">
        <is>
          <t>'=BINOM.INV(C11, C12, C13)</t>
        </is>
      </c>
      <c r="G12" s="5" t="n"/>
    </row>
    <row r="13">
      <c r="B13" s="19" t="inlineStr">
        <is>
          <t>Alpha Kriteria (C13)</t>
        </is>
      </c>
      <c r="C13" s="19" t="n">
        <v>0.75</v>
      </c>
      <c r="E13" s="20" t="inlineStr">
        <is>
          <t>Contoh Hasil Benar:</t>
        </is>
      </c>
      <c r="F13" s="23">
        <f>BINOM.INV(C11, C12, C13)</f>
        <v/>
      </c>
      <c r="G13" s="5" t="n"/>
    </row>
    <row r="14">
      <c r="B14" s="19" t="inlineStr">
        <is>
          <t>Cadangan</t>
        </is>
      </c>
      <c r="C14" s="19" t="n">
        <v>1</v>
      </c>
    </row>
    <row r="16" ht="26" customHeight="1">
      <c r="B16" s="24" t="inlineStr">
        <is>
          <t>3️⃣ 5 SOAL TES DUNIA NYATA — KERJAKAN DI KOTAK KUNING (TANPA KUNCI RUMUS / HASIL DI SINI!)</t>
        </is>
      </c>
    </row>
    <row r="17" ht="20" customHeight="1">
      <c r="B17" s="25" t="inlineStr">
        <is>
          <t>📌 Catatan Tes: Soal Tes #1 s/d #5 di bawah ini tidak menampilkan kunci rumus maupun hasil. Kunci jawaban lengkap tersedia di sheet paling terakhir (99_KUNCI_JAWABAN).</t>
        </is>
      </c>
    </row>
    <row r="19" ht="22" customHeight="1">
      <c r="B19" s="26" t="inlineStr">
        <is>
          <t>📝 SOAL TES #1: Kasus Keuangan &amp; Akuntansi Kantor</t>
        </is>
      </c>
    </row>
    <row r="20" ht="30" customHeight="1">
      <c r="B20" s="14" t="inlineStr">
        <is>
          <t>Parameter Binomial</t>
        </is>
      </c>
      <c r="C20" s="14" t="inlineStr">
        <is>
          <t>Nilai Input</t>
        </is>
      </c>
      <c r="E20" s="27" t="inlineStr">
        <is>
          <t>Persoalan Tes #1: Cari nilai batas kritis binomial menggunakan fungsi BINOM.INV dengan argumen berurutan C21, C22, dan C23!</t>
        </is>
      </c>
    </row>
    <row r="21">
      <c r="B21" s="19" t="inlineStr">
        <is>
          <t>Total Percobaan (C21)</t>
        </is>
      </c>
      <c r="C21" s="19" t="n">
        <v>10</v>
      </c>
      <c r="E21" s="14" t="inlineStr">
        <is>
          <t>✏️ KETIK RUMUS JAWABAN TES DI BAWAH:</t>
        </is>
      </c>
      <c r="F21" s="14" t="inlineStr">
        <is>
          <t>📌 STATUS KOREKSI JAWABAN TES:</t>
        </is>
      </c>
      <c r="G21" s="5" t="n"/>
    </row>
    <row r="22" ht="26" customHeight="1">
      <c r="B22" s="19" t="inlineStr">
        <is>
          <t>Peluang Sukses (C22)</t>
        </is>
      </c>
      <c r="C22" s="19" t="n">
        <v>0.5</v>
      </c>
      <c r="E22" s="28" t="n"/>
      <c r="F22" s="29">
        <f>IF(ISBLANK(E22), "⏳ Belum Diisi (Ketik Rumus di Sel Kuning E22)", IF(E22='99_KUNCI_JAWABAN'!F45, "✅ BENAR! JAWABAN TES TEPAT!", "❌ Belum Tepat (Cek Sheet Akhir: 99_KUNCI_JAWABAN)"))</f>
        <v/>
      </c>
      <c r="G22" s="5" t="n"/>
    </row>
    <row r="23">
      <c r="B23" s="19" t="inlineStr">
        <is>
          <t>Alpha Kriteria (C23)</t>
        </is>
      </c>
      <c r="C23" s="19" t="n">
        <v>0.5</v>
      </c>
    </row>
    <row r="24">
      <c r="B24" s="19" t="inlineStr">
        <is>
          <t>Cadangan</t>
        </is>
      </c>
      <c r="C24" s="19" t="n">
        <v>1</v>
      </c>
    </row>
    <row r="27" ht="22" customHeight="1">
      <c r="B27" s="26" t="inlineStr">
        <is>
          <t>📝 SOAL TES #2: Kasus HRD, Gaji &amp; Lembur Karyawan</t>
        </is>
      </c>
    </row>
    <row r="28" ht="30" customHeight="1">
      <c r="B28" s="14" t="inlineStr">
        <is>
          <t>Parameter Binomial</t>
        </is>
      </c>
      <c r="C28" s="14" t="inlineStr">
        <is>
          <t>Nilai Input</t>
        </is>
      </c>
      <c r="E28" s="27" t="inlineStr">
        <is>
          <t>Persoalan Tes #2: Cari nilai batas kritis binomial menggunakan fungsi BINOM.INV dengan argumen berurutan C29, C30, dan C31!</t>
        </is>
      </c>
    </row>
    <row r="29">
      <c r="B29" s="19" t="inlineStr">
        <is>
          <t>Total Percobaan (C29)</t>
        </is>
      </c>
      <c r="C29" s="19" t="n">
        <v>12</v>
      </c>
      <c r="E29" s="14" t="inlineStr">
        <is>
          <t>✏️ KETIK RUMUS JAWABAN TES DI BAWAH:</t>
        </is>
      </c>
      <c r="F29" s="14" t="inlineStr">
        <is>
          <t>📌 STATUS KOREKSI JAWABAN TES:</t>
        </is>
      </c>
      <c r="G29" s="5" t="n"/>
    </row>
    <row r="30" ht="26" customHeight="1">
      <c r="B30" s="19" t="inlineStr">
        <is>
          <t>Peluang Sukses (C30)</t>
        </is>
      </c>
      <c r="C30" s="19" t="n">
        <v>0.5</v>
      </c>
      <c r="E30" s="28" t="n"/>
      <c r="F30" s="29">
        <f>IF(ISBLANK(E30), "⏳ Belum Diisi (Ketik Rumus di Sel Kuning E30)", IF(E30='99_KUNCI_JAWABAN'!F46, "✅ BENAR! JAWABAN TES TEPAT!", "❌ Belum Tepat (Cek Sheet Akhir: 99_KUNCI_JAWABAN)"))</f>
        <v/>
      </c>
      <c r="G30" s="5" t="n"/>
    </row>
    <row r="31">
      <c r="B31" s="19" t="inlineStr">
        <is>
          <t>Alpha Kriteria (C31)</t>
        </is>
      </c>
      <c r="C31" s="19" t="n">
        <v>0.55</v>
      </c>
    </row>
    <row r="32">
      <c r="B32" s="19" t="inlineStr">
        <is>
          <t>Cadangan</t>
        </is>
      </c>
      <c r="C32" s="19" t="n">
        <v>1</v>
      </c>
    </row>
    <row r="35" ht="22" customHeight="1">
      <c r="B35" s="26" t="inlineStr">
        <is>
          <t>📝 SOAL TES #3: Kasus Logistik &amp; Stok Gudang Utama</t>
        </is>
      </c>
    </row>
    <row r="36" ht="30" customHeight="1">
      <c r="B36" s="14" t="inlineStr">
        <is>
          <t>Parameter Binomial</t>
        </is>
      </c>
      <c r="C36" s="14" t="inlineStr">
        <is>
          <t>Nilai Input</t>
        </is>
      </c>
      <c r="E36" s="27" t="inlineStr">
        <is>
          <t>Persoalan Tes #3: Cari nilai batas kritis binomial menggunakan fungsi BINOM.INV dengan argumen berurutan C37, C38, dan C39!</t>
        </is>
      </c>
    </row>
    <row r="37">
      <c r="B37" s="19" t="inlineStr">
        <is>
          <t>Total Percobaan (C37)</t>
        </is>
      </c>
      <c r="C37" s="19" t="n">
        <v>14</v>
      </c>
      <c r="E37" s="14" t="inlineStr">
        <is>
          <t>✏️ KETIK RUMUS JAWABAN TES DI BAWAH:</t>
        </is>
      </c>
      <c r="F37" s="14" t="inlineStr">
        <is>
          <t>📌 STATUS KOREKSI JAWABAN TES:</t>
        </is>
      </c>
      <c r="G37" s="5" t="n"/>
    </row>
    <row r="38" ht="26" customHeight="1">
      <c r="B38" s="19" t="inlineStr">
        <is>
          <t>Peluang Sukses (C38)</t>
        </is>
      </c>
      <c r="C38" s="19" t="n">
        <v>0.5</v>
      </c>
      <c r="E38" s="28" t="n"/>
      <c r="F38" s="29">
        <f>IF(ISBLANK(E38), "⏳ Belum Diisi (Ketik Rumus di Sel Kuning E38)", IF(E38='99_KUNCI_JAWABAN'!F47, "✅ BENAR! JAWABAN TES TEPAT!", "❌ Belum Tepat (Cek Sheet Akhir: 99_KUNCI_JAWABAN)"))</f>
        <v/>
      </c>
      <c r="G38" s="5" t="n"/>
    </row>
    <row r="39">
      <c r="B39" s="19" t="inlineStr">
        <is>
          <t>Alpha Kriteria (C39)</t>
        </is>
      </c>
      <c r="C39" s="19" t="n">
        <v>0.6</v>
      </c>
    </row>
    <row r="40">
      <c r="B40" s="19" t="inlineStr">
        <is>
          <t>Cadangan</t>
        </is>
      </c>
      <c r="C40" s="19" t="n">
        <v>1</v>
      </c>
    </row>
    <row r="43" ht="22" customHeight="1">
      <c r="B43" s="26" t="inlineStr">
        <is>
          <t>📝 SOAL TES #4: Kasus Penjualan Retail &amp; Target Toko</t>
        </is>
      </c>
    </row>
    <row r="44" ht="30" customHeight="1">
      <c r="B44" s="14" t="inlineStr">
        <is>
          <t>Parameter Binomial</t>
        </is>
      </c>
      <c r="C44" s="14" t="inlineStr">
        <is>
          <t>Nilai Input</t>
        </is>
      </c>
      <c r="E44" s="27" t="inlineStr">
        <is>
          <t>Persoalan Tes #4: Cari nilai batas kritis binomial menggunakan fungsi BINOM.INV dengan argumen berurutan C45, C46, dan C47!</t>
        </is>
      </c>
    </row>
    <row r="45">
      <c r="B45" s="19" t="inlineStr">
        <is>
          <t>Total Percobaan (C45)</t>
        </is>
      </c>
      <c r="C45" s="19" t="n">
        <v>16</v>
      </c>
      <c r="E45" s="14" t="inlineStr">
        <is>
          <t>✏️ KETIK RUMUS JAWABAN TES DI BAWAH:</t>
        </is>
      </c>
      <c r="F45" s="14" t="inlineStr">
        <is>
          <t>📌 STATUS KOREKSI JAWABAN TES:</t>
        </is>
      </c>
      <c r="G45" s="5" t="n"/>
    </row>
    <row r="46" ht="26" customHeight="1">
      <c r="B46" s="19" t="inlineStr">
        <is>
          <t>Peluang Sukses (C46)</t>
        </is>
      </c>
      <c r="C46" s="19" t="n">
        <v>0.5</v>
      </c>
      <c r="E46" s="28" t="n"/>
      <c r="F46" s="29">
        <f>IF(ISBLANK(E46), "⏳ Belum Diisi (Ketik Rumus di Sel Kuning E46)", IF(E46='99_KUNCI_JAWABAN'!F48, "✅ BENAR! JAWABAN TES TEPAT!", "❌ Belum Tepat (Cek Sheet Akhir: 99_KUNCI_JAWABAN)"))</f>
        <v/>
      </c>
      <c r="G46" s="5" t="n"/>
    </row>
    <row r="47">
      <c r="B47" s="19" t="inlineStr">
        <is>
          <t>Alpha Kriteria (C47)</t>
        </is>
      </c>
      <c r="C47" s="19" t="n">
        <v>0.65</v>
      </c>
    </row>
    <row r="48">
      <c r="B48" s="19" t="inlineStr">
        <is>
          <t>Cadangan</t>
        </is>
      </c>
      <c r="C48" s="19" t="n">
        <v>1</v>
      </c>
    </row>
    <row r="51" ht="22" customHeight="1">
      <c r="B51" s="26" t="inlineStr">
        <is>
          <t>📝 SOAL TES #5: Kasus Akademik Sekolah &amp; Layanan Publik</t>
        </is>
      </c>
    </row>
    <row r="52" ht="30" customHeight="1">
      <c r="B52" s="14" t="inlineStr">
        <is>
          <t>Parameter Binomial</t>
        </is>
      </c>
      <c r="C52" s="14" t="inlineStr">
        <is>
          <t>Nilai Input</t>
        </is>
      </c>
      <c r="E52" s="27" t="inlineStr">
        <is>
          <t>Persoalan Tes #5: Cari nilai batas kritis binomial menggunakan fungsi BINOM.INV dengan argumen berurutan C53, C54, dan C55!</t>
        </is>
      </c>
    </row>
    <row r="53">
      <c r="B53" s="19" t="inlineStr">
        <is>
          <t>Total Percobaan (C53)</t>
        </is>
      </c>
      <c r="C53" s="19" t="n">
        <v>18</v>
      </c>
      <c r="E53" s="14" t="inlineStr">
        <is>
          <t>✏️ KETIK RUMUS JAWABAN TES DI BAWAH:</t>
        </is>
      </c>
      <c r="F53" s="14" t="inlineStr">
        <is>
          <t>📌 STATUS KOREKSI JAWABAN TES:</t>
        </is>
      </c>
      <c r="G53" s="5" t="n"/>
    </row>
    <row r="54" ht="26" customHeight="1">
      <c r="B54" s="19" t="inlineStr">
        <is>
          <t>Peluang Sukses (C54)</t>
        </is>
      </c>
      <c r="C54" s="19" t="n">
        <v>0.5</v>
      </c>
      <c r="E54" s="28" t="n"/>
      <c r="F54" s="29">
        <f>IF(ISBLANK(E54), "⏳ Belum Diisi (Ketik Rumus di Sel Kuning E54)", IF(E54='99_KUNCI_JAWABAN'!F49, "✅ BENAR! JAWABAN TES TEPAT!", "❌ Belum Tepat (Cek Sheet Akhir: 99_KUNCI_JAWABAN)"))</f>
        <v/>
      </c>
      <c r="G54" s="5" t="n"/>
    </row>
    <row r="55">
      <c r="B55" s="19" t="inlineStr">
        <is>
          <t>Alpha Kriteria (C55)</t>
        </is>
      </c>
      <c r="C55" s="19" t="n">
        <v>0.7</v>
      </c>
    </row>
    <row r="56">
      <c r="B56" s="19" t="inlineStr">
        <is>
          <t>Cadangan</t>
        </is>
      </c>
      <c r="C56" s="19" t="n">
        <v>1</v>
      </c>
    </row>
  </sheetData>
  <mergeCells count="33">
    <mergeCell ref="E10:G10"/>
    <mergeCell ref="F11:G11"/>
    <mergeCell ref="E28:G28"/>
    <mergeCell ref="F29:G29"/>
    <mergeCell ref="C6:G6"/>
    <mergeCell ref="F54:G54"/>
    <mergeCell ref="B17:G17"/>
    <mergeCell ref="B1:G1"/>
    <mergeCell ref="C5:G5"/>
    <mergeCell ref="B19:G19"/>
    <mergeCell ref="F21:G21"/>
    <mergeCell ref="F12:G12"/>
    <mergeCell ref="F30:G30"/>
    <mergeCell ref="E36:G36"/>
    <mergeCell ref="B9:G9"/>
    <mergeCell ref="F45:G45"/>
    <mergeCell ref="B51:G51"/>
    <mergeCell ref="F38:G38"/>
    <mergeCell ref="B35:G35"/>
    <mergeCell ref="B4:G4"/>
    <mergeCell ref="F46:G46"/>
    <mergeCell ref="F22:G22"/>
    <mergeCell ref="B2:E2"/>
    <mergeCell ref="F13:G13"/>
    <mergeCell ref="B16:G16"/>
    <mergeCell ref="F37:G37"/>
    <mergeCell ref="C7:G7"/>
    <mergeCell ref="E52:G52"/>
    <mergeCell ref="B27:G27"/>
    <mergeCell ref="B43:G43"/>
    <mergeCell ref="E44:G44"/>
    <mergeCell ref="E20:G20"/>
    <mergeCell ref="F53:G53"/>
  </mergeCells>
  <hyperlinks>
    <hyperlink xmlns:r="http://schemas.openxmlformats.org/officeDocument/2006/relationships" ref="F2" r:id="rId1"/>
    <hyperlink xmlns:r="http://schemas.openxmlformats.org/officeDocument/2006/relationships" ref="G2" r:id="rId2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1:G56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22" customWidth="1" min="3" max="3"/>
    <col width="4" customWidth="1" min="4" max="4"/>
    <col width="34" customWidth="1" min="5" max="5"/>
    <col width="44" customWidth="1" min="6" max="6"/>
    <col width="28" customWidth="1" min="7" max="7"/>
  </cols>
  <sheetData>
    <row r="1" ht="30" customHeight="1">
      <c r="B1" s="10" t="inlineStr">
        <is>
          <t>📊 #010 — RUMUS EXCEL: CHISQ.DIST   |   Kategori: 8. Statistik &amp; Analisis Data</t>
        </is>
      </c>
    </row>
    <row r="2" ht="22" customHeight="1">
      <c r="B2" s="11" t="inlineStr">
        <is>
          <t>1 Rumus = 1 Contoh Soal + Jawaban Benar &amp; 5 Soal Tes Mandiri (Kunci Jawaban Ada di Sheet Paling Terakhir)</t>
        </is>
      </c>
      <c r="F2" s="12" t="inlineStr">
        <is>
          <t>⬅️ Ke Daftar Isi (00_DAFTAR_ISI)</t>
        </is>
      </c>
      <c r="G2" s="3" t="inlineStr">
        <is>
          <t>🔑 Ke Kunci Jawaban (Sheet Akhir)</t>
        </is>
      </c>
    </row>
    <row r="4" ht="24" customHeight="1">
      <c r="B4" s="13" t="inlineStr">
        <is>
          <t>1️⃣ IDENTITAS RUMUS &amp; FUNGSINYA BUAT APA? (CHISQ.DIST)</t>
        </is>
      </c>
    </row>
    <row r="5" ht="21" customHeight="1">
      <c r="B5" s="14" t="inlineStr">
        <is>
          <t>Nama Rumus Excel</t>
        </is>
      </c>
      <c r="C5" s="15">
        <f>CHISQ.DIST(...)</f>
        <v/>
      </c>
      <c r="D5" s="5" t="n"/>
      <c r="E5" s="5" t="n"/>
      <c r="F5" s="5" t="n"/>
      <c r="G5" s="5" t="n"/>
    </row>
    <row r="6" ht="21" customHeight="1">
      <c r="B6" s="14" t="inlineStr">
        <is>
          <t>Sintaks / Pola Umum</t>
        </is>
      </c>
      <c r="C6" s="15">
        <f>CHISQ.DIST(x, deg_freedom, TRUE)</f>
        <v/>
      </c>
      <c r="D6" s="5" t="n"/>
      <c r="E6" s="5" t="n"/>
      <c r="F6" s="5" t="n"/>
      <c r="G6" s="5" t="n"/>
    </row>
    <row r="7" ht="26" customHeight="1">
      <c r="B7" s="14" t="inlineStr">
        <is>
          <t>👶 Fungsinya Buat Apa?</t>
        </is>
      </c>
      <c r="C7" s="16" t="inlineStr">
        <is>
          <t>Menghasilkan distribusi probabilitas Chi-Square sisi kiri.</t>
        </is>
      </c>
      <c r="D7" s="5" t="n"/>
      <c r="E7" s="5" t="n"/>
      <c r="F7" s="5" t="n"/>
      <c r="G7" s="5" t="n"/>
    </row>
    <row r="9" ht="24" customHeight="1">
      <c r="B9" s="17" t="inlineStr">
        <is>
          <t>2️⃣ 1 CONTOH SOAL &amp; CONTOH JAWABAN BENAR (PELAJARI POLA RUMUS CHISQ.DIST DI SINI)</t>
        </is>
      </c>
    </row>
    <row r="10">
      <c r="B10" s="18" t="inlineStr">
        <is>
          <t>Nama Parameter</t>
        </is>
      </c>
      <c r="C10" s="18" t="inlineStr">
        <is>
          <t>Nilai Parameter</t>
        </is>
      </c>
      <c r="E10" s="18" t="inlineStr">
        <is>
          <t>✅ 1 CONTOH SOAL BESERTA CONTOH RUMUS &amp; HASIL JAWABAN BENAR:</t>
        </is>
      </c>
      <c r="F10" s="5" t="n"/>
      <c r="G10" s="5" t="n"/>
    </row>
    <row r="11" ht="28" customHeight="1">
      <c r="B11" s="19" t="inlineStr">
        <is>
          <t>Nilai X (C11)</t>
        </is>
      </c>
      <c r="C11" s="19" t="n">
        <v>7</v>
      </c>
      <c r="E11" s="20" t="inlineStr">
        <is>
          <t>Contoh Soal:</t>
        </is>
      </c>
      <c r="F11" s="21" t="inlineStr">
        <is>
          <t>Hitung nilai distribusi kumulatif (TRUE) menggunakan fungsi CHISQ.DIST dengan argumen C11, C12, dan TRUE!</t>
        </is>
      </c>
      <c r="G11" s="5" t="n"/>
    </row>
    <row r="12">
      <c r="B12" s="19" t="inlineStr">
        <is>
          <t>Derajat / Mean (C12)</t>
        </is>
      </c>
      <c r="C12" s="19" t="n">
        <v>10</v>
      </c>
      <c r="E12" s="20" t="inlineStr">
        <is>
          <t>Contoh Rumus Benar:</t>
        </is>
      </c>
      <c r="F12" s="22" t="inlineStr">
        <is>
          <t>'=CHISQ.DIST(C11, C12, TRUE)</t>
        </is>
      </c>
      <c r="G12" s="5" t="n"/>
    </row>
    <row r="13">
      <c r="B13" s="19" t="inlineStr">
        <is>
          <t>Cadangan 1</t>
        </is>
      </c>
      <c r="C13" s="19" t="n">
        <v>1</v>
      </c>
      <c r="E13" s="20" t="inlineStr">
        <is>
          <t>Contoh Hasil Benar:</t>
        </is>
      </c>
      <c r="F13" s="23">
        <f>CHISQ.DIST(C11, C12, TRUE)</f>
        <v/>
      </c>
      <c r="G13" s="5" t="n"/>
    </row>
    <row r="14">
      <c r="B14" s="19" t="inlineStr">
        <is>
          <t>Cadangan 2</t>
        </is>
      </c>
      <c r="C14" s="19" t="n">
        <v>1</v>
      </c>
    </row>
    <row r="16" ht="26" customHeight="1">
      <c r="B16" s="24" t="inlineStr">
        <is>
          <t>3️⃣ 5 SOAL TES DUNIA NYATA — KERJAKAN DI KOTAK KUNING (TANPA KUNCI RUMUS / HASIL DI SINI!)</t>
        </is>
      </c>
    </row>
    <row r="17" ht="20" customHeight="1">
      <c r="B17" s="25" t="inlineStr">
        <is>
          <t>📌 Catatan Tes: Soal Tes #1 s/d #5 di bawah ini tidak menampilkan kunci rumus maupun hasil. Kunci jawaban lengkap tersedia di sheet paling terakhir (99_KUNCI_JAWABAN).</t>
        </is>
      </c>
    </row>
    <row r="19" ht="22" customHeight="1">
      <c r="B19" s="26" t="inlineStr">
        <is>
          <t>📝 SOAL TES #1: Kasus Keuangan &amp; Akuntansi Kantor</t>
        </is>
      </c>
    </row>
    <row r="20" ht="30" customHeight="1">
      <c r="B20" s="14" t="inlineStr">
        <is>
          <t>Nama Parameter</t>
        </is>
      </c>
      <c r="C20" s="14" t="inlineStr">
        <is>
          <t>Nilai Parameter</t>
        </is>
      </c>
      <c r="E20" s="27" t="inlineStr">
        <is>
          <t>Persoalan Tes #1: Hitung nilai distribusi kumulatif (TRUE) menggunakan fungsi CHISQ.DIST dengan argumen C21, C22, dan TRUE!</t>
        </is>
      </c>
    </row>
    <row r="21">
      <c r="B21" s="19" t="inlineStr">
        <is>
          <t>Nilai X (C21)</t>
        </is>
      </c>
      <c r="C21" s="19" t="n">
        <v>2</v>
      </c>
      <c r="E21" s="14" t="inlineStr">
        <is>
          <t>✏️ KETIK RUMUS JAWABAN TES DI BAWAH:</t>
        </is>
      </c>
      <c r="F21" s="14" t="inlineStr">
        <is>
          <t>📌 STATUS KOREKSI JAWABAN TES:</t>
        </is>
      </c>
      <c r="G21" s="5" t="n"/>
    </row>
    <row r="22" ht="26" customHeight="1">
      <c r="B22" s="19" t="inlineStr">
        <is>
          <t>Derajat / Mean (C22)</t>
        </is>
      </c>
      <c r="C22" s="19" t="n">
        <v>5</v>
      </c>
      <c r="E22" s="28" t="n"/>
      <c r="F22" s="29">
        <f>IF(ISBLANK(E22), "⏳ Belum Diisi (Ketik Rumus di Sel Kuning E22)", IF(E22='99_KUNCI_JAWABAN'!F50, "✅ BENAR! JAWABAN TES TEPAT!", "❌ Belum Tepat (Cek Sheet Akhir: 99_KUNCI_JAWABAN)"))</f>
        <v/>
      </c>
      <c r="G22" s="5" t="n"/>
    </row>
    <row r="23">
      <c r="B23" s="19" t="inlineStr">
        <is>
          <t>Cadangan 1</t>
        </is>
      </c>
      <c r="C23" s="19" t="n">
        <v>1</v>
      </c>
    </row>
    <row r="24">
      <c r="B24" s="19" t="inlineStr">
        <is>
          <t>Cadangan 2</t>
        </is>
      </c>
      <c r="C24" s="19" t="n">
        <v>1</v>
      </c>
    </row>
    <row r="27" ht="22" customHeight="1">
      <c r="B27" s="26" t="inlineStr">
        <is>
          <t>📝 SOAL TES #2: Kasus HRD, Gaji &amp; Lembur Karyawan</t>
        </is>
      </c>
    </row>
    <row r="28" ht="30" customHeight="1">
      <c r="B28" s="14" t="inlineStr">
        <is>
          <t>Nama Parameter</t>
        </is>
      </c>
      <c r="C28" s="14" t="inlineStr">
        <is>
          <t>Nilai Parameter</t>
        </is>
      </c>
      <c r="E28" s="27" t="inlineStr">
        <is>
          <t>Persoalan Tes #2: Hitung nilai distribusi kumulatif (TRUE) menggunakan fungsi CHISQ.DIST dengan argumen C29, C30, dan TRUE!</t>
        </is>
      </c>
    </row>
    <row r="29">
      <c r="B29" s="19" t="inlineStr">
        <is>
          <t>Nilai X (C29)</t>
        </is>
      </c>
      <c r="C29" s="19" t="n">
        <v>3</v>
      </c>
      <c r="E29" s="14" t="inlineStr">
        <is>
          <t>✏️ KETIK RUMUS JAWABAN TES DI BAWAH:</t>
        </is>
      </c>
      <c r="F29" s="14" t="inlineStr">
        <is>
          <t>📌 STATUS KOREKSI JAWABAN TES:</t>
        </is>
      </c>
      <c r="G29" s="5" t="n"/>
    </row>
    <row r="30" ht="26" customHeight="1">
      <c r="B30" s="19" t="inlineStr">
        <is>
          <t>Derajat / Mean (C30)</t>
        </is>
      </c>
      <c r="C30" s="19" t="n">
        <v>6</v>
      </c>
      <c r="E30" s="28" t="n"/>
      <c r="F30" s="29">
        <f>IF(ISBLANK(E30), "⏳ Belum Diisi (Ketik Rumus di Sel Kuning E30)", IF(E30='99_KUNCI_JAWABAN'!F51, "✅ BENAR! JAWABAN TES TEPAT!", "❌ Belum Tepat (Cek Sheet Akhir: 99_KUNCI_JAWABAN)"))</f>
        <v/>
      </c>
      <c r="G30" s="5" t="n"/>
    </row>
    <row r="31">
      <c r="B31" s="19" t="inlineStr">
        <is>
          <t>Cadangan 1</t>
        </is>
      </c>
      <c r="C31" s="19" t="n">
        <v>1</v>
      </c>
    </row>
    <row r="32">
      <c r="B32" s="19" t="inlineStr">
        <is>
          <t>Cadangan 2</t>
        </is>
      </c>
      <c r="C32" s="19" t="n">
        <v>1</v>
      </c>
    </row>
    <row r="35" ht="22" customHeight="1">
      <c r="B35" s="26" t="inlineStr">
        <is>
          <t>📝 SOAL TES #3: Kasus Logistik &amp; Stok Gudang Utama</t>
        </is>
      </c>
    </row>
    <row r="36" ht="30" customHeight="1">
      <c r="B36" s="14" t="inlineStr">
        <is>
          <t>Nama Parameter</t>
        </is>
      </c>
      <c r="C36" s="14" t="inlineStr">
        <is>
          <t>Nilai Parameter</t>
        </is>
      </c>
      <c r="E36" s="27" t="inlineStr">
        <is>
          <t>Persoalan Tes #3: Hitung nilai distribusi kumulatif (TRUE) menggunakan fungsi CHISQ.DIST dengan argumen C37, C38, dan TRUE!</t>
        </is>
      </c>
    </row>
    <row r="37">
      <c r="B37" s="19" t="inlineStr">
        <is>
          <t>Nilai X (C37)</t>
        </is>
      </c>
      <c r="C37" s="19" t="n">
        <v>4</v>
      </c>
      <c r="E37" s="14" t="inlineStr">
        <is>
          <t>✏️ KETIK RUMUS JAWABAN TES DI BAWAH:</t>
        </is>
      </c>
      <c r="F37" s="14" t="inlineStr">
        <is>
          <t>📌 STATUS KOREKSI JAWABAN TES:</t>
        </is>
      </c>
      <c r="G37" s="5" t="n"/>
    </row>
    <row r="38" ht="26" customHeight="1">
      <c r="B38" s="19" t="inlineStr">
        <is>
          <t>Derajat / Mean (C38)</t>
        </is>
      </c>
      <c r="C38" s="19" t="n">
        <v>7</v>
      </c>
      <c r="E38" s="28" t="n"/>
      <c r="F38" s="29">
        <f>IF(ISBLANK(E38), "⏳ Belum Diisi (Ketik Rumus di Sel Kuning E38)", IF(E38='99_KUNCI_JAWABAN'!F52, "✅ BENAR! JAWABAN TES TEPAT!", "❌ Belum Tepat (Cek Sheet Akhir: 99_KUNCI_JAWABAN)"))</f>
        <v/>
      </c>
      <c r="G38" s="5" t="n"/>
    </row>
    <row r="39">
      <c r="B39" s="19" t="inlineStr">
        <is>
          <t>Cadangan 1</t>
        </is>
      </c>
      <c r="C39" s="19" t="n">
        <v>1</v>
      </c>
    </row>
    <row r="40">
      <c r="B40" s="19" t="inlineStr">
        <is>
          <t>Cadangan 2</t>
        </is>
      </c>
      <c r="C40" s="19" t="n">
        <v>1</v>
      </c>
    </row>
    <row r="43" ht="22" customHeight="1">
      <c r="B43" s="26" t="inlineStr">
        <is>
          <t>📝 SOAL TES #4: Kasus Penjualan Retail &amp; Target Toko</t>
        </is>
      </c>
    </row>
    <row r="44" ht="30" customHeight="1">
      <c r="B44" s="14" t="inlineStr">
        <is>
          <t>Nama Parameter</t>
        </is>
      </c>
      <c r="C44" s="14" t="inlineStr">
        <is>
          <t>Nilai Parameter</t>
        </is>
      </c>
      <c r="E44" s="27" t="inlineStr">
        <is>
          <t>Persoalan Tes #4: Hitung nilai distribusi kumulatif (TRUE) menggunakan fungsi CHISQ.DIST dengan argumen C45, C46, dan TRUE!</t>
        </is>
      </c>
    </row>
    <row r="45">
      <c r="B45" s="19" t="inlineStr">
        <is>
          <t>Nilai X (C45)</t>
        </is>
      </c>
      <c r="C45" s="19" t="n">
        <v>5</v>
      </c>
      <c r="E45" s="14" t="inlineStr">
        <is>
          <t>✏️ KETIK RUMUS JAWABAN TES DI BAWAH:</t>
        </is>
      </c>
      <c r="F45" s="14" t="inlineStr">
        <is>
          <t>📌 STATUS KOREKSI JAWABAN TES:</t>
        </is>
      </c>
      <c r="G45" s="5" t="n"/>
    </row>
    <row r="46" ht="26" customHeight="1">
      <c r="B46" s="19" t="inlineStr">
        <is>
          <t>Derajat / Mean (C46)</t>
        </is>
      </c>
      <c r="C46" s="19" t="n">
        <v>8</v>
      </c>
      <c r="E46" s="28" t="n"/>
      <c r="F46" s="29">
        <f>IF(ISBLANK(E46), "⏳ Belum Diisi (Ketik Rumus di Sel Kuning E46)", IF(E46='99_KUNCI_JAWABAN'!F53, "✅ BENAR! JAWABAN TES TEPAT!", "❌ Belum Tepat (Cek Sheet Akhir: 99_KUNCI_JAWABAN)"))</f>
        <v/>
      </c>
      <c r="G46" s="5" t="n"/>
    </row>
    <row r="47">
      <c r="B47" s="19" t="inlineStr">
        <is>
          <t>Cadangan 1</t>
        </is>
      </c>
      <c r="C47" s="19" t="n">
        <v>1</v>
      </c>
    </row>
    <row r="48">
      <c r="B48" s="19" t="inlineStr">
        <is>
          <t>Cadangan 2</t>
        </is>
      </c>
      <c r="C48" s="19" t="n">
        <v>1</v>
      </c>
    </row>
    <row r="51" ht="22" customHeight="1">
      <c r="B51" s="26" t="inlineStr">
        <is>
          <t>📝 SOAL TES #5: Kasus Akademik Sekolah &amp; Layanan Publik</t>
        </is>
      </c>
    </row>
    <row r="52" ht="30" customHeight="1">
      <c r="B52" s="14" t="inlineStr">
        <is>
          <t>Nama Parameter</t>
        </is>
      </c>
      <c r="C52" s="14" t="inlineStr">
        <is>
          <t>Nilai Parameter</t>
        </is>
      </c>
      <c r="E52" s="27" t="inlineStr">
        <is>
          <t>Persoalan Tes #5: Hitung nilai distribusi kumulatif (TRUE) menggunakan fungsi CHISQ.DIST dengan argumen C53, C54, dan TRUE!</t>
        </is>
      </c>
    </row>
    <row r="53">
      <c r="B53" s="19" t="inlineStr">
        <is>
          <t>Nilai X (C53)</t>
        </is>
      </c>
      <c r="C53" s="19" t="n">
        <v>6</v>
      </c>
      <c r="E53" s="14" t="inlineStr">
        <is>
          <t>✏️ KETIK RUMUS JAWABAN TES DI BAWAH:</t>
        </is>
      </c>
      <c r="F53" s="14" t="inlineStr">
        <is>
          <t>📌 STATUS KOREKSI JAWABAN TES:</t>
        </is>
      </c>
      <c r="G53" s="5" t="n"/>
    </row>
    <row r="54" ht="26" customHeight="1">
      <c r="B54" s="19" t="inlineStr">
        <is>
          <t>Derajat / Mean (C54)</t>
        </is>
      </c>
      <c r="C54" s="19" t="n">
        <v>9</v>
      </c>
      <c r="E54" s="28" t="n"/>
      <c r="F54" s="29">
        <f>IF(ISBLANK(E54), "⏳ Belum Diisi (Ketik Rumus di Sel Kuning E54)", IF(E54='99_KUNCI_JAWABAN'!F54, "✅ BENAR! JAWABAN TES TEPAT!", "❌ Belum Tepat (Cek Sheet Akhir: 99_KUNCI_JAWABAN)"))</f>
        <v/>
      </c>
      <c r="G54" s="5" t="n"/>
    </row>
    <row r="55">
      <c r="B55" s="19" t="inlineStr">
        <is>
          <t>Cadangan 1</t>
        </is>
      </c>
      <c r="C55" s="19" t="n">
        <v>1</v>
      </c>
    </row>
    <row r="56">
      <c r="B56" s="19" t="inlineStr">
        <is>
          <t>Cadangan 2</t>
        </is>
      </c>
      <c r="C56" s="19" t="n">
        <v>1</v>
      </c>
    </row>
  </sheetData>
  <mergeCells count="33">
    <mergeCell ref="E10:G10"/>
    <mergeCell ref="F11:G11"/>
    <mergeCell ref="E28:G28"/>
    <mergeCell ref="F29:G29"/>
    <mergeCell ref="C6:G6"/>
    <mergeCell ref="F54:G54"/>
    <mergeCell ref="B17:G17"/>
    <mergeCell ref="B1:G1"/>
    <mergeCell ref="C5:G5"/>
    <mergeCell ref="B19:G19"/>
    <mergeCell ref="F21:G21"/>
    <mergeCell ref="F12:G12"/>
    <mergeCell ref="F30:G30"/>
    <mergeCell ref="E36:G36"/>
    <mergeCell ref="B9:G9"/>
    <mergeCell ref="F45:G45"/>
    <mergeCell ref="B51:G51"/>
    <mergeCell ref="F38:G38"/>
    <mergeCell ref="B35:G35"/>
    <mergeCell ref="B4:G4"/>
    <mergeCell ref="F46:G46"/>
    <mergeCell ref="F22:G22"/>
    <mergeCell ref="B2:E2"/>
    <mergeCell ref="F13:G13"/>
    <mergeCell ref="B16:G16"/>
    <mergeCell ref="F37:G37"/>
    <mergeCell ref="C7:G7"/>
    <mergeCell ref="E52:G52"/>
    <mergeCell ref="B27:G27"/>
    <mergeCell ref="B43:G43"/>
    <mergeCell ref="E44:G44"/>
    <mergeCell ref="E20:G20"/>
    <mergeCell ref="F53:G53"/>
  </mergeCells>
  <hyperlinks>
    <hyperlink xmlns:r="http://schemas.openxmlformats.org/officeDocument/2006/relationships" ref="F2" r:id="rId1"/>
    <hyperlink xmlns:r="http://schemas.openxmlformats.org/officeDocument/2006/relationships" ref="G2" r:id="rId2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1:G56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22" customWidth="1" min="3" max="3"/>
    <col width="4" customWidth="1" min="4" max="4"/>
    <col width="34" customWidth="1" min="5" max="5"/>
    <col width="44" customWidth="1" min="6" max="6"/>
    <col width="28" customWidth="1" min="7" max="7"/>
  </cols>
  <sheetData>
    <row r="1" ht="30" customHeight="1">
      <c r="B1" s="10" t="inlineStr">
        <is>
          <t>📊 #011 — RUMUS EXCEL: CHISQ.DIST.RT   |   Kategori: 8. Statistik &amp; Analisis Data</t>
        </is>
      </c>
    </row>
    <row r="2" ht="22" customHeight="1">
      <c r="B2" s="11" t="inlineStr">
        <is>
          <t>1 Rumus = 1 Contoh Soal + Jawaban Benar &amp; 5 Soal Tes Mandiri (Kunci Jawaban Ada di Sheet Paling Terakhir)</t>
        </is>
      </c>
      <c r="F2" s="12" t="inlineStr">
        <is>
          <t>⬅️ Ke Daftar Isi (00_DAFTAR_ISI)</t>
        </is>
      </c>
      <c r="G2" s="3" t="inlineStr">
        <is>
          <t>🔑 Ke Kunci Jawaban (Sheet Akhir)</t>
        </is>
      </c>
    </row>
    <row r="4" ht="24" customHeight="1">
      <c r="B4" s="13" t="inlineStr">
        <is>
          <t>1️⃣ IDENTITAS RUMUS &amp; FUNGSINYA BUAT APA? (CHISQ.DIST.RT)</t>
        </is>
      </c>
    </row>
    <row r="5" ht="21" customHeight="1">
      <c r="B5" s="14" t="inlineStr">
        <is>
          <t>Nama Rumus Excel</t>
        </is>
      </c>
      <c r="C5" s="15">
        <f>CHISQ.DIST.RT(...)</f>
        <v/>
      </c>
      <c r="D5" s="5" t="n"/>
      <c r="E5" s="5" t="n"/>
      <c r="F5" s="5" t="n"/>
      <c r="G5" s="5" t="n"/>
    </row>
    <row r="6" ht="21" customHeight="1">
      <c r="B6" s="14" t="inlineStr">
        <is>
          <t>Sintaks / Pola Umum</t>
        </is>
      </c>
      <c r="C6" s="15">
        <f>CHISQ.DIST.RT(x, deg_freedom)</f>
        <v/>
      </c>
      <c r="D6" s="5" t="n"/>
      <c r="E6" s="5" t="n"/>
      <c r="F6" s="5" t="n"/>
      <c r="G6" s="5" t="n"/>
    </row>
    <row r="7" ht="26" customHeight="1">
      <c r="B7" s="14" t="inlineStr">
        <is>
          <t>👶 Fungsinya Buat Apa?</t>
        </is>
      </c>
      <c r="C7" s="16" t="inlineStr">
        <is>
          <t>Menghasilkan probabilitas ekor kanan (Right-Tailed) dari distribusi Chi-Square.</t>
        </is>
      </c>
      <c r="D7" s="5" t="n"/>
      <c r="E7" s="5" t="n"/>
      <c r="F7" s="5" t="n"/>
      <c r="G7" s="5" t="n"/>
    </row>
    <row r="9" ht="24" customHeight="1">
      <c r="B9" s="17" t="inlineStr">
        <is>
          <t>2️⃣ 1 CONTOH SOAL &amp; CONTOH JAWABAN BENAR (PELAJARI POLA RUMUS CHISQ.DIST.RT DI SINI)</t>
        </is>
      </c>
    </row>
    <row r="10">
      <c r="B10" s="18" t="inlineStr">
        <is>
          <t>Nama Parameter</t>
        </is>
      </c>
      <c r="C10" s="18" t="inlineStr">
        <is>
          <t>Nilai Parameter</t>
        </is>
      </c>
      <c r="E10" s="18" t="inlineStr">
        <is>
          <t>✅ 1 CONTOH SOAL BESERTA CONTOH RUMUS &amp; HASIL JAWABAN BENAR:</t>
        </is>
      </c>
      <c r="F10" s="5" t="n"/>
      <c r="G10" s="5" t="n"/>
    </row>
    <row r="11" ht="28" customHeight="1">
      <c r="B11" s="19" t="inlineStr">
        <is>
          <t>Nilai Uji X (C11)</t>
        </is>
      </c>
      <c r="C11" s="19" t="n">
        <v>3</v>
      </c>
      <c r="E11" s="20" t="inlineStr">
        <is>
          <t>Contoh Soal:</t>
        </is>
      </c>
      <c r="F11" s="21" t="inlineStr">
        <is>
          <t>Hitung nilai probabilitas distribusi menggunakan fungsi CHISQ.DIST.RT dengan argumen nilai X di C11 dan derajat kebebasan di C12!</t>
        </is>
      </c>
      <c r="G11" s="5" t="n"/>
    </row>
    <row r="12">
      <c r="B12" s="19" t="inlineStr">
        <is>
          <t>Derajat Kebebasan (C12)</t>
        </is>
      </c>
      <c r="C12" s="19" t="n">
        <v>13</v>
      </c>
      <c r="E12" s="20" t="inlineStr">
        <is>
          <t>Contoh Rumus Benar:</t>
        </is>
      </c>
      <c r="F12" s="22" t="inlineStr">
        <is>
          <t>'=CHISQ.DIST.RT(C11, C12)</t>
        </is>
      </c>
      <c r="G12" s="5" t="n"/>
    </row>
    <row r="13">
      <c r="B13" s="19" t="inlineStr">
        <is>
          <t>Cadangan 1</t>
        </is>
      </c>
      <c r="C13" s="19" t="n">
        <v>1</v>
      </c>
      <c r="E13" s="20" t="inlineStr">
        <is>
          <t>Contoh Hasil Benar:</t>
        </is>
      </c>
      <c r="F13" s="23">
        <f>CHISQ.DIST.RT(C11, C12)</f>
        <v/>
      </c>
      <c r="G13" s="5" t="n"/>
    </row>
    <row r="14">
      <c r="B14" s="19" t="inlineStr">
        <is>
          <t>Cadangan 2</t>
        </is>
      </c>
      <c r="C14" s="19" t="n">
        <v>1</v>
      </c>
    </row>
    <row r="16" ht="26" customHeight="1">
      <c r="B16" s="24" t="inlineStr">
        <is>
          <t>3️⃣ 5 SOAL TES DUNIA NYATA — KERJAKAN DI KOTAK KUNING (TANPA KUNCI RUMUS / HASIL DI SINI!)</t>
        </is>
      </c>
    </row>
    <row r="17" ht="20" customHeight="1">
      <c r="B17" s="25" t="inlineStr">
        <is>
          <t>📌 Catatan Tes: Soal Tes #1 s/d #5 di bawah ini tidak menampilkan kunci rumus maupun hasil. Kunci jawaban lengkap tersedia di sheet paling terakhir (99_KUNCI_JAWABAN).</t>
        </is>
      </c>
    </row>
    <row r="19" ht="22" customHeight="1">
      <c r="B19" s="26" t="inlineStr">
        <is>
          <t>📝 SOAL TES #1: Kasus Keuangan &amp; Akuntansi Kantor</t>
        </is>
      </c>
    </row>
    <row r="20" ht="30" customHeight="1">
      <c r="B20" s="14" t="inlineStr">
        <is>
          <t>Nama Parameter</t>
        </is>
      </c>
      <c r="C20" s="14" t="inlineStr">
        <is>
          <t>Nilai Parameter</t>
        </is>
      </c>
      <c r="E20" s="27" t="inlineStr">
        <is>
          <t>Persoalan Tes #1: Hitung nilai probabilitas distribusi menggunakan fungsi CHISQ.DIST.RT dengan argumen nilai X di C21 dan derajat kebebasan di C22!</t>
        </is>
      </c>
    </row>
    <row r="21">
      <c r="B21" s="19" t="inlineStr">
        <is>
          <t>Nilai Uji X (C21)</t>
        </is>
      </c>
      <c r="C21" s="19" t="n">
        <v>1.5</v>
      </c>
      <c r="E21" s="14" t="inlineStr">
        <is>
          <t>✏️ KETIK RUMUS JAWABAN TES DI BAWAH:</t>
        </is>
      </c>
      <c r="F21" s="14" t="inlineStr">
        <is>
          <t>📌 STATUS KOREKSI JAWABAN TES:</t>
        </is>
      </c>
      <c r="G21" s="5" t="n"/>
    </row>
    <row r="22" ht="26" customHeight="1">
      <c r="B22" s="19" t="inlineStr">
        <is>
          <t>Derajat Kebebasan (C22)</t>
        </is>
      </c>
      <c r="C22" s="19" t="n">
        <v>8</v>
      </c>
      <c r="E22" s="28" t="n"/>
      <c r="F22" s="29">
        <f>IF(ISBLANK(E22), "⏳ Belum Diisi (Ketik Rumus di Sel Kuning E22)", IF(E22='99_KUNCI_JAWABAN'!F55, "✅ BENAR! JAWABAN TES TEPAT!", "❌ Belum Tepat (Cek Sheet Akhir: 99_KUNCI_JAWABAN)"))</f>
        <v/>
      </c>
      <c r="G22" s="5" t="n"/>
    </row>
    <row r="23">
      <c r="B23" s="19" t="inlineStr">
        <is>
          <t>Cadangan 1</t>
        </is>
      </c>
      <c r="C23" s="19" t="n">
        <v>1</v>
      </c>
    </row>
    <row r="24">
      <c r="B24" s="19" t="inlineStr">
        <is>
          <t>Cadangan 2</t>
        </is>
      </c>
      <c r="C24" s="19" t="n">
        <v>1</v>
      </c>
    </row>
    <row r="27" ht="22" customHeight="1">
      <c r="B27" s="26" t="inlineStr">
        <is>
          <t>📝 SOAL TES #2: Kasus HRD, Gaji &amp; Lembur Karyawan</t>
        </is>
      </c>
    </row>
    <row r="28" ht="30" customHeight="1">
      <c r="B28" s="14" t="inlineStr">
        <is>
          <t>Nama Parameter</t>
        </is>
      </c>
      <c r="C28" s="14" t="inlineStr">
        <is>
          <t>Nilai Parameter</t>
        </is>
      </c>
      <c r="E28" s="27" t="inlineStr">
        <is>
          <t>Persoalan Tes #2: Hitung nilai probabilitas distribusi menggunakan fungsi CHISQ.DIST.RT dengan argumen nilai X di C29 dan derajat kebebasan di C30!</t>
        </is>
      </c>
    </row>
    <row r="29">
      <c r="B29" s="19" t="inlineStr">
        <is>
          <t>Nilai Uji X (C29)</t>
        </is>
      </c>
      <c r="C29" s="19" t="n">
        <v>1.8</v>
      </c>
      <c r="E29" s="14" t="inlineStr">
        <is>
          <t>✏️ KETIK RUMUS JAWABAN TES DI BAWAH:</t>
        </is>
      </c>
      <c r="F29" s="14" t="inlineStr">
        <is>
          <t>📌 STATUS KOREKSI JAWABAN TES:</t>
        </is>
      </c>
      <c r="G29" s="5" t="n"/>
    </row>
    <row r="30" ht="26" customHeight="1">
      <c r="B30" s="19" t="inlineStr">
        <is>
          <t>Derajat Kebebasan (C30)</t>
        </is>
      </c>
      <c r="C30" s="19" t="n">
        <v>9</v>
      </c>
      <c r="E30" s="28" t="n"/>
      <c r="F30" s="29">
        <f>IF(ISBLANK(E30), "⏳ Belum Diisi (Ketik Rumus di Sel Kuning E30)", IF(E30='99_KUNCI_JAWABAN'!F56, "✅ BENAR! JAWABAN TES TEPAT!", "❌ Belum Tepat (Cek Sheet Akhir: 99_KUNCI_JAWABAN)"))</f>
        <v/>
      </c>
      <c r="G30" s="5" t="n"/>
    </row>
    <row r="31">
      <c r="B31" s="19" t="inlineStr">
        <is>
          <t>Cadangan 1</t>
        </is>
      </c>
      <c r="C31" s="19" t="n">
        <v>1</v>
      </c>
    </row>
    <row r="32">
      <c r="B32" s="19" t="inlineStr">
        <is>
          <t>Cadangan 2</t>
        </is>
      </c>
      <c r="C32" s="19" t="n">
        <v>1</v>
      </c>
    </row>
    <row r="35" ht="22" customHeight="1">
      <c r="B35" s="26" t="inlineStr">
        <is>
          <t>📝 SOAL TES #3: Kasus Logistik &amp; Stok Gudang Utama</t>
        </is>
      </c>
    </row>
    <row r="36" ht="30" customHeight="1">
      <c r="B36" s="14" t="inlineStr">
        <is>
          <t>Nama Parameter</t>
        </is>
      </c>
      <c r="C36" s="14" t="inlineStr">
        <is>
          <t>Nilai Parameter</t>
        </is>
      </c>
      <c r="E36" s="27" t="inlineStr">
        <is>
          <t>Persoalan Tes #3: Hitung nilai probabilitas distribusi menggunakan fungsi CHISQ.DIST.RT dengan argumen nilai X di C37 dan derajat kebebasan di C38!</t>
        </is>
      </c>
    </row>
    <row r="37">
      <c r="B37" s="19" t="inlineStr">
        <is>
          <t>Nilai Uji X (C37)</t>
        </is>
      </c>
      <c r="C37" s="19" t="n">
        <v>2.1</v>
      </c>
      <c r="E37" s="14" t="inlineStr">
        <is>
          <t>✏️ KETIK RUMUS JAWABAN TES DI BAWAH:</t>
        </is>
      </c>
      <c r="F37" s="14" t="inlineStr">
        <is>
          <t>📌 STATUS KOREKSI JAWABAN TES:</t>
        </is>
      </c>
      <c r="G37" s="5" t="n"/>
    </row>
    <row r="38" ht="26" customHeight="1">
      <c r="B38" s="19" t="inlineStr">
        <is>
          <t>Derajat Kebebasan (C38)</t>
        </is>
      </c>
      <c r="C38" s="19" t="n">
        <v>10</v>
      </c>
      <c r="E38" s="28" t="n"/>
      <c r="F38" s="29">
        <f>IF(ISBLANK(E38), "⏳ Belum Diisi (Ketik Rumus di Sel Kuning E38)", IF(E38='99_KUNCI_JAWABAN'!F57, "✅ BENAR! JAWABAN TES TEPAT!", "❌ Belum Tepat (Cek Sheet Akhir: 99_KUNCI_JAWABAN)"))</f>
        <v/>
      </c>
      <c r="G38" s="5" t="n"/>
    </row>
    <row r="39">
      <c r="B39" s="19" t="inlineStr">
        <is>
          <t>Cadangan 1</t>
        </is>
      </c>
      <c r="C39" s="19" t="n">
        <v>1</v>
      </c>
    </row>
    <row r="40">
      <c r="B40" s="19" t="inlineStr">
        <is>
          <t>Cadangan 2</t>
        </is>
      </c>
      <c r="C40" s="19" t="n">
        <v>1</v>
      </c>
    </row>
    <row r="43" ht="22" customHeight="1">
      <c r="B43" s="26" t="inlineStr">
        <is>
          <t>📝 SOAL TES #4: Kasus Penjualan Retail &amp; Target Toko</t>
        </is>
      </c>
    </row>
    <row r="44" ht="30" customHeight="1">
      <c r="B44" s="14" t="inlineStr">
        <is>
          <t>Nama Parameter</t>
        </is>
      </c>
      <c r="C44" s="14" t="inlineStr">
        <is>
          <t>Nilai Parameter</t>
        </is>
      </c>
      <c r="E44" s="27" t="inlineStr">
        <is>
          <t>Persoalan Tes #4: Hitung nilai probabilitas distribusi menggunakan fungsi CHISQ.DIST.RT dengan argumen nilai X di C45 dan derajat kebebasan di C46!</t>
        </is>
      </c>
    </row>
    <row r="45">
      <c r="B45" s="19" t="inlineStr">
        <is>
          <t>Nilai Uji X (C45)</t>
        </is>
      </c>
      <c r="C45" s="19" t="n">
        <v>2.4</v>
      </c>
      <c r="E45" s="14" t="inlineStr">
        <is>
          <t>✏️ KETIK RUMUS JAWABAN TES DI BAWAH:</t>
        </is>
      </c>
      <c r="F45" s="14" t="inlineStr">
        <is>
          <t>📌 STATUS KOREKSI JAWABAN TES:</t>
        </is>
      </c>
      <c r="G45" s="5" t="n"/>
    </row>
    <row r="46" ht="26" customHeight="1">
      <c r="B46" s="19" t="inlineStr">
        <is>
          <t>Derajat Kebebasan (C46)</t>
        </is>
      </c>
      <c r="C46" s="19" t="n">
        <v>11</v>
      </c>
      <c r="E46" s="28" t="n"/>
      <c r="F46" s="29">
        <f>IF(ISBLANK(E46), "⏳ Belum Diisi (Ketik Rumus di Sel Kuning E46)", IF(E46='99_KUNCI_JAWABAN'!F58, "✅ BENAR! JAWABAN TES TEPAT!", "❌ Belum Tepat (Cek Sheet Akhir: 99_KUNCI_JAWABAN)"))</f>
        <v/>
      </c>
      <c r="G46" s="5" t="n"/>
    </row>
    <row r="47">
      <c r="B47" s="19" t="inlineStr">
        <is>
          <t>Cadangan 1</t>
        </is>
      </c>
      <c r="C47" s="19" t="n">
        <v>1</v>
      </c>
    </row>
    <row r="48">
      <c r="B48" s="19" t="inlineStr">
        <is>
          <t>Cadangan 2</t>
        </is>
      </c>
      <c r="C48" s="19" t="n">
        <v>1</v>
      </c>
    </row>
    <row r="51" ht="22" customHeight="1">
      <c r="B51" s="26" t="inlineStr">
        <is>
          <t>📝 SOAL TES #5: Kasus Akademik Sekolah &amp; Layanan Publik</t>
        </is>
      </c>
    </row>
    <row r="52" ht="30" customHeight="1">
      <c r="B52" s="14" t="inlineStr">
        <is>
          <t>Nama Parameter</t>
        </is>
      </c>
      <c r="C52" s="14" t="inlineStr">
        <is>
          <t>Nilai Parameter</t>
        </is>
      </c>
      <c r="E52" s="27" t="inlineStr">
        <is>
          <t>Persoalan Tes #5: Hitung nilai probabilitas distribusi menggunakan fungsi CHISQ.DIST.RT dengan argumen nilai X di C53 dan derajat kebebasan di C54!</t>
        </is>
      </c>
    </row>
    <row r="53">
      <c r="B53" s="19" t="inlineStr">
        <is>
          <t>Nilai Uji X (C53)</t>
        </is>
      </c>
      <c r="C53" s="19" t="n">
        <v>2.7</v>
      </c>
      <c r="E53" s="14" t="inlineStr">
        <is>
          <t>✏️ KETIK RUMUS JAWABAN TES DI BAWAH:</t>
        </is>
      </c>
      <c r="F53" s="14" t="inlineStr">
        <is>
          <t>📌 STATUS KOREKSI JAWABAN TES:</t>
        </is>
      </c>
      <c r="G53" s="5" t="n"/>
    </row>
    <row r="54" ht="26" customHeight="1">
      <c r="B54" s="19" t="inlineStr">
        <is>
          <t>Derajat Kebebasan (C54)</t>
        </is>
      </c>
      <c r="C54" s="19" t="n">
        <v>12</v>
      </c>
      <c r="E54" s="28" t="n"/>
      <c r="F54" s="29">
        <f>IF(ISBLANK(E54), "⏳ Belum Diisi (Ketik Rumus di Sel Kuning E54)", IF(E54='99_KUNCI_JAWABAN'!F59, "✅ BENAR! JAWABAN TES TEPAT!", "❌ Belum Tepat (Cek Sheet Akhir: 99_KUNCI_JAWABAN)"))</f>
        <v/>
      </c>
      <c r="G54" s="5" t="n"/>
    </row>
    <row r="55">
      <c r="B55" s="19" t="inlineStr">
        <is>
          <t>Cadangan 1</t>
        </is>
      </c>
      <c r="C55" s="19" t="n">
        <v>1</v>
      </c>
    </row>
    <row r="56">
      <c r="B56" s="19" t="inlineStr">
        <is>
          <t>Cadangan 2</t>
        </is>
      </c>
      <c r="C56" s="19" t="n">
        <v>1</v>
      </c>
    </row>
  </sheetData>
  <mergeCells count="33">
    <mergeCell ref="E10:G10"/>
    <mergeCell ref="F11:G11"/>
    <mergeCell ref="E28:G28"/>
    <mergeCell ref="F29:G29"/>
    <mergeCell ref="C6:G6"/>
    <mergeCell ref="F54:G54"/>
    <mergeCell ref="B17:G17"/>
    <mergeCell ref="B1:G1"/>
    <mergeCell ref="C5:G5"/>
    <mergeCell ref="B19:G19"/>
    <mergeCell ref="F21:G21"/>
    <mergeCell ref="F12:G12"/>
    <mergeCell ref="F30:G30"/>
    <mergeCell ref="E36:G36"/>
    <mergeCell ref="B9:G9"/>
    <mergeCell ref="F45:G45"/>
    <mergeCell ref="B51:G51"/>
    <mergeCell ref="F38:G38"/>
    <mergeCell ref="B35:G35"/>
    <mergeCell ref="B4:G4"/>
    <mergeCell ref="F46:G46"/>
    <mergeCell ref="F22:G22"/>
    <mergeCell ref="B2:E2"/>
    <mergeCell ref="F13:G13"/>
    <mergeCell ref="B16:G16"/>
    <mergeCell ref="F37:G37"/>
    <mergeCell ref="C7:G7"/>
    <mergeCell ref="E52:G52"/>
    <mergeCell ref="B27:G27"/>
    <mergeCell ref="B43:G43"/>
    <mergeCell ref="E44:G44"/>
    <mergeCell ref="E20:G20"/>
    <mergeCell ref="F53:G53"/>
  </mergeCells>
  <hyperlinks>
    <hyperlink xmlns:r="http://schemas.openxmlformats.org/officeDocument/2006/relationships" ref="F2" r:id="rId1"/>
    <hyperlink xmlns:r="http://schemas.openxmlformats.org/officeDocument/2006/relationships" ref="G2" r:id="rId2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B1:G56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22" customWidth="1" min="3" max="3"/>
    <col width="4" customWidth="1" min="4" max="4"/>
    <col width="34" customWidth="1" min="5" max="5"/>
    <col width="44" customWidth="1" min="6" max="6"/>
    <col width="28" customWidth="1" min="7" max="7"/>
  </cols>
  <sheetData>
    <row r="1" ht="30" customHeight="1">
      <c r="B1" s="10" t="inlineStr">
        <is>
          <t>📊 #012 — RUMUS EXCEL: CHISQ.INV   |   Kategori: 8. Statistik &amp; Analisis Data</t>
        </is>
      </c>
    </row>
    <row r="2" ht="22" customHeight="1">
      <c r="B2" s="11" t="inlineStr">
        <is>
          <t>1 Rumus = 1 Contoh Soal + Jawaban Benar &amp; 5 Soal Tes Mandiri (Kunci Jawaban Ada di Sheet Paling Terakhir)</t>
        </is>
      </c>
      <c r="F2" s="12" t="inlineStr">
        <is>
          <t>⬅️ Ke Daftar Isi (00_DAFTAR_ISI)</t>
        </is>
      </c>
      <c r="G2" s="3" t="inlineStr">
        <is>
          <t>🔑 Ke Kunci Jawaban (Sheet Akhir)</t>
        </is>
      </c>
    </row>
    <row r="4" ht="24" customHeight="1">
      <c r="B4" s="13" t="inlineStr">
        <is>
          <t>1️⃣ IDENTITAS RUMUS &amp; FUNGSINYA BUAT APA? (CHISQ.INV)</t>
        </is>
      </c>
    </row>
    <row r="5" ht="21" customHeight="1">
      <c r="B5" s="14" t="inlineStr">
        <is>
          <t>Nama Rumus Excel</t>
        </is>
      </c>
      <c r="C5" s="15">
        <f>CHISQ.INV(...)</f>
        <v/>
      </c>
      <c r="D5" s="5" t="n"/>
      <c r="E5" s="5" t="n"/>
      <c r="F5" s="5" t="n"/>
      <c r="G5" s="5" t="n"/>
    </row>
    <row r="6" ht="21" customHeight="1">
      <c r="B6" s="14" t="inlineStr">
        <is>
          <t>Sintaks / Pola Umum</t>
        </is>
      </c>
      <c r="C6" s="15">
        <f>CHISQ.INV(probabilitas, deg_freedom)</f>
        <v/>
      </c>
      <c r="D6" s="5" t="n"/>
      <c r="E6" s="5" t="n"/>
      <c r="F6" s="5" t="n"/>
      <c r="G6" s="5" t="n"/>
    </row>
    <row r="7" ht="26" customHeight="1">
      <c r="B7" s="14" t="inlineStr">
        <is>
          <t>👶 Fungsinya Buat Apa?</t>
        </is>
      </c>
      <c r="C7" s="16" t="inlineStr">
        <is>
          <t>Menghasilkan nilai invers probabilitas ekor kiri dari distribusi Chi-Square.</t>
        </is>
      </c>
      <c r="D7" s="5" t="n"/>
      <c r="E7" s="5" t="n"/>
      <c r="F7" s="5" t="n"/>
      <c r="G7" s="5" t="n"/>
    </row>
    <row r="9" ht="24" customHeight="1">
      <c r="B9" s="17" t="inlineStr">
        <is>
          <t>2️⃣ 1 CONTOH SOAL &amp; CONTOH JAWABAN BENAR (PELAJARI POLA RUMUS CHISQ.INV DI SINI)</t>
        </is>
      </c>
    </row>
    <row r="10">
      <c r="B10" s="18" t="inlineStr">
        <is>
          <t>Nama Parameter</t>
        </is>
      </c>
      <c r="C10" s="18" t="inlineStr">
        <is>
          <t>Nilai Parameter</t>
        </is>
      </c>
      <c r="E10" s="18" t="inlineStr">
        <is>
          <t>✅ 1 CONTOH SOAL BESERTA CONTOH RUMUS &amp; HASIL JAWABAN BENAR:</t>
        </is>
      </c>
      <c r="F10" s="5" t="n"/>
      <c r="G10" s="5" t="n"/>
    </row>
    <row r="11" ht="28" customHeight="1">
      <c r="B11" s="19" t="inlineStr">
        <is>
          <t>Probabilitas (C11)</t>
        </is>
      </c>
      <c r="C11" s="19" t="n">
        <v>0.15</v>
      </c>
      <c r="E11" s="20" t="inlineStr">
        <is>
          <t>Contoh Soal:</t>
        </is>
      </c>
      <c r="F11" s="21" t="inlineStr">
        <is>
          <t>Hitung nilai invers distribusi menggunakan fungsi CHISQ.INV dengan probabilitas di C11 dan derajat kebebasan di C12!</t>
        </is>
      </c>
      <c r="G11" s="5" t="n"/>
    </row>
    <row r="12">
      <c r="B12" s="19" t="inlineStr">
        <is>
          <t>Derajat Kebebasan (C12)</t>
        </is>
      </c>
      <c r="C12" s="19" t="n">
        <v>13</v>
      </c>
      <c r="E12" s="20" t="inlineStr">
        <is>
          <t>Contoh Rumus Benar:</t>
        </is>
      </c>
      <c r="F12" s="22" t="inlineStr">
        <is>
          <t>'=CHISQ.INV(C11, C12)</t>
        </is>
      </c>
      <c r="G12" s="5" t="n"/>
    </row>
    <row r="13">
      <c r="B13" s="19" t="inlineStr">
        <is>
          <t>Cadangan 1</t>
        </is>
      </c>
      <c r="C13" s="19" t="n">
        <v>1</v>
      </c>
      <c r="E13" s="20" t="inlineStr">
        <is>
          <t>Contoh Hasil Benar:</t>
        </is>
      </c>
      <c r="F13" s="23">
        <f>CHISQ.INV(C11, C12)</f>
        <v/>
      </c>
      <c r="G13" s="5" t="n"/>
    </row>
    <row r="14">
      <c r="B14" s="19" t="inlineStr">
        <is>
          <t>Cadangan 2</t>
        </is>
      </c>
      <c r="C14" s="19" t="n">
        <v>1</v>
      </c>
    </row>
    <row r="16" ht="26" customHeight="1">
      <c r="B16" s="24" t="inlineStr">
        <is>
          <t>3️⃣ 5 SOAL TES DUNIA NYATA — KERJAKAN DI KOTAK KUNING (TANPA KUNCI RUMUS / HASIL DI SINI!)</t>
        </is>
      </c>
    </row>
    <row r="17" ht="20" customHeight="1">
      <c r="B17" s="25" t="inlineStr">
        <is>
          <t>📌 Catatan Tes: Soal Tes #1 s/d #5 di bawah ini tidak menampilkan kunci rumus maupun hasil. Kunci jawaban lengkap tersedia di sheet paling terakhir (99_KUNCI_JAWABAN).</t>
        </is>
      </c>
    </row>
    <row r="19" ht="22" customHeight="1">
      <c r="B19" s="26" t="inlineStr">
        <is>
          <t>📝 SOAL TES #1: Kasus Keuangan &amp; Akuntansi Kantor</t>
        </is>
      </c>
    </row>
    <row r="20" ht="30" customHeight="1">
      <c r="B20" s="14" t="inlineStr">
        <is>
          <t>Nama Parameter</t>
        </is>
      </c>
      <c r="C20" s="14" t="inlineStr">
        <is>
          <t>Nilai Parameter</t>
        </is>
      </c>
      <c r="E20" s="27" t="inlineStr">
        <is>
          <t>Persoalan Tes #1: Hitung nilai invers distribusi menggunakan fungsi CHISQ.INV dengan probabilitas di C21 dan derajat kebebasan di C22!</t>
        </is>
      </c>
    </row>
    <row r="21">
      <c r="B21" s="19" t="inlineStr">
        <is>
          <t>Probabilitas (C21)</t>
        </is>
      </c>
      <c r="C21" s="19" t="n">
        <v>0.05</v>
      </c>
      <c r="E21" s="14" t="inlineStr">
        <is>
          <t>✏️ KETIK RUMUS JAWABAN TES DI BAWAH:</t>
        </is>
      </c>
      <c r="F21" s="14" t="inlineStr">
        <is>
          <t>📌 STATUS KOREKSI JAWABAN TES:</t>
        </is>
      </c>
      <c r="G21" s="5" t="n"/>
    </row>
    <row r="22" ht="26" customHeight="1">
      <c r="B22" s="19" t="inlineStr">
        <is>
          <t>Derajat Kebebasan (C22)</t>
        </is>
      </c>
      <c r="C22" s="19" t="n">
        <v>8</v>
      </c>
      <c r="E22" s="28" t="n"/>
      <c r="F22" s="29">
        <f>IF(ISBLANK(E22), "⏳ Belum Diisi (Ketik Rumus di Sel Kuning E22)", IF(E22='99_KUNCI_JAWABAN'!F60, "✅ BENAR! JAWABAN TES TEPAT!", "❌ Belum Tepat (Cek Sheet Akhir: 99_KUNCI_JAWABAN)"))</f>
        <v/>
      </c>
      <c r="G22" s="5" t="n"/>
    </row>
    <row r="23">
      <c r="B23" s="19" t="inlineStr">
        <is>
          <t>Cadangan 1</t>
        </is>
      </c>
      <c r="C23" s="19" t="n">
        <v>1</v>
      </c>
    </row>
    <row r="24">
      <c r="B24" s="19" t="inlineStr">
        <is>
          <t>Cadangan 2</t>
        </is>
      </c>
      <c r="C24" s="19" t="n">
        <v>1</v>
      </c>
    </row>
    <row r="27" ht="22" customHeight="1">
      <c r="B27" s="26" t="inlineStr">
        <is>
          <t>📝 SOAL TES #2: Kasus HRD, Gaji &amp; Lembur Karyawan</t>
        </is>
      </c>
    </row>
    <row r="28" ht="30" customHeight="1">
      <c r="B28" s="14" t="inlineStr">
        <is>
          <t>Nama Parameter</t>
        </is>
      </c>
      <c r="C28" s="14" t="inlineStr">
        <is>
          <t>Nilai Parameter</t>
        </is>
      </c>
      <c r="E28" s="27" t="inlineStr">
        <is>
          <t>Persoalan Tes #2: Hitung nilai invers distribusi menggunakan fungsi CHISQ.INV dengan probabilitas di C29 dan derajat kebebasan di C30!</t>
        </is>
      </c>
    </row>
    <row r="29">
      <c r="B29" s="19" t="inlineStr">
        <is>
          <t>Probabilitas (C29)</t>
        </is>
      </c>
      <c r="C29" s="19" t="n">
        <v>0.07000000000000001</v>
      </c>
      <c r="E29" s="14" t="inlineStr">
        <is>
          <t>✏️ KETIK RUMUS JAWABAN TES DI BAWAH:</t>
        </is>
      </c>
      <c r="F29" s="14" t="inlineStr">
        <is>
          <t>📌 STATUS KOREKSI JAWABAN TES:</t>
        </is>
      </c>
      <c r="G29" s="5" t="n"/>
    </row>
    <row r="30" ht="26" customHeight="1">
      <c r="B30" s="19" t="inlineStr">
        <is>
          <t>Derajat Kebebasan (C30)</t>
        </is>
      </c>
      <c r="C30" s="19" t="n">
        <v>9</v>
      </c>
      <c r="E30" s="28" t="n"/>
      <c r="F30" s="29">
        <f>IF(ISBLANK(E30), "⏳ Belum Diisi (Ketik Rumus di Sel Kuning E30)", IF(E30='99_KUNCI_JAWABAN'!F61, "✅ BENAR! JAWABAN TES TEPAT!", "❌ Belum Tepat (Cek Sheet Akhir: 99_KUNCI_JAWABAN)"))</f>
        <v/>
      </c>
      <c r="G30" s="5" t="n"/>
    </row>
    <row r="31">
      <c r="B31" s="19" t="inlineStr">
        <is>
          <t>Cadangan 1</t>
        </is>
      </c>
      <c r="C31" s="19" t="n">
        <v>1</v>
      </c>
    </row>
    <row r="32">
      <c r="B32" s="19" t="inlineStr">
        <is>
          <t>Cadangan 2</t>
        </is>
      </c>
      <c r="C32" s="19" t="n">
        <v>1</v>
      </c>
    </row>
    <row r="35" ht="22" customHeight="1">
      <c r="B35" s="26" t="inlineStr">
        <is>
          <t>📝 SOAL TES #3: Kasus Logistik &amp; Stok Gudang Utama</t>
        </is>
      </c>
    </row>
    <row r="36" ht="30" customHeight="1">
      <c r="B36" s="14" t="inlineStr">
        <is>
          <t>Nama Parameter</t>
        </is>
      </c>
      <c r="C36" s="14" t="inlineStr">
        <is>
          <t>Nilai Parameter</t>
        </is>
      </c>
      <c r="E36" s="27" t="inlineStr">
        <is>
          <t>Persoalan Tes #3: Hitung nilai invers distribusi menggunakan fungsi CHISQ.INV dengan probabilitas di C37 dan derajat kebebasan di C38!</t>
        </is>
      </c>
    </row>
    <row r="37">
      <c r="B37" s="19" t="inlineStr">
        <is>
          <t>Probabilitas (C37)</t>
        </is>
      </c>
      <c r="C37" s="19" t="n">
        <v>0.09</v>
      </c>
      <c r="E37" s="14" t="inlineStr">
        <is>
          <t>✏️ KETIK RUMUS JAWABAN TES DI BAWAH:</t>
        </is>
      </c>
      <c r="F37" s="14" t="inlineStr">
        <is>
          <t>📌 STATUS KOREKSI JAWABAN TES:</t>
        </is>
      </c>
      <c r="G37" s="5" t="n"/>
    </row>
    <row r="38" ht="26" customHeight="1">
      <c r="B38" s="19" t="inlineStr">
        <is>
          <t>Derajat Kebebasan (C38)</t>
        </is>
      </c>
      <c r="C38" s="19" t="n">
        <v>10</v>
      </c>
      <c r="E38" s="28" t="n"/>
      <c r="F38" s="29">
        <f>IF(ISBLANK(E38), "⏳ Belum Diisi (Ketik Rumus di Sel Kuning E38)", IF(E38='99_KUNCI_JAWABAN'!F62, "✅ BENAR! JAWABAN TES TEPAT!", "❌ Belum Tepat (Cek Sheet Akhir: 99_KUNCI_JAWABAN)"))</f>
        <v/>
      </c>
      <c r="G38" s="5" t="n"/>
    </row>
    <row r="39">
      <c r="B39" s="19" t="inlineStr">
        <is>
          <t>Cadangan 1</t>
        </is>
      </c>
      <c r="C39" s="19" t="n">
        <v>1</v>
      </c>
    </row>
    <row r="40">
      <c r="B40" s="19" t="inlineStr">
        <is>
          <t>Cadangan 2</t>
        </is>
      </c>
      <c r="C40" s="19" t="n">
        <v>1</v>
      </c>
    </row>
    <row r="43" ht="22" customHeight="1">
      <c r="B43" s="26" t="inlineStr">
        <is>
          <t>📝 SOAL TES #4: Kasus Penjualan Retail &amp; Target Toko</t>
        </is>
      </c>
    </row>
    <row r="44" ht="30" customHeight="1">
      <c r="B44" s="14" t="inlineStr">
        <is>
          <t>Nama Parameter</t>
        </is>
      </c>
      <c r="C44" s="14" t="inlineStr">
        <is>
          <t>Nilai Parameter</t>
        </is>
      </c>
      <c r="E44" s="27" t="inlineStr">
        <is>
          <t>Persoalan Tes #4: Hitung nilai invers distribusi menggunakan fungsi CHISQ.INV dengan probabilitas di C45 dan derajat kebebasan di C46!</t>
        </is>
      </c>
    </row>
    <row r="45">
      <c r="B45" s="19" t="inlineStr">
        <is>
          <t>Probabilitas (C45)</t>
        </is>
      </c>
      <c r="C45" s="19" t="n">
        <v>0.11</v>
      </c>
      <c r="E45" s="14" t="inlineStr">
        <is>
          <t>✏️ KETIK RUMUS JAWABAN TES DI BAWAH:</t>
        </is>
      </c>
      <c r="F45" s="14" t="inlineStr">
        <is>
          <t>📌 STATUS KOREKSI JAWABAN TES:</t>
        </is>
      </c>
      <c r="G45" s="5" t="n"/>
    </row>
    <row r="46" ht="26" customHeight="1">
      <c r="B46" s="19" t="inlineStr">
        <is>
          <t>Derajat Kebebasan (C46)</t>
        </is>
      </c>
      <c r="C46" s="19" t="n">
        <v>11</v>
      </c>
      <c r="E46" s="28" t="n"/>
      <c r="F46" s="29">
        <f>IF(ISBLANK(E46), "⏳ Belum Diisi (Ketik Rumus di Sel Kuning E46)", IF(E46='99_KUNCI_JAWABAN'!F63, "✅ BENAR! JAWABAN TES TEPAT!", "❌ Belum Tepat (Cek Sheet Akhir: 99_KUNCI_JAWABAN)"))</f>
        <v/>
      </c>
      <c r="G46" s="5" t="n"/>
    </row>
    <row r="47">
      <c r="B47" s="19" t="inlineStr">
        <is>
          <t>Cadangan 1</t>
        </is>
      </c>
      <c r="C47" s="19" t="n">
        <v>1</v>
      </c>
    </row>
    <row r="48">
      <c r="B48" s="19" t="inlineStr">
        <is>
          <t>Cadangan 2</t>
        </is>
      </c>
      <c r="C48" s="19" t="n">
        <v>1</v>
      </c>
    </row>
    <row r="51" ht="22" customHeight="1">
      <c r="B51" s="26" t="inlineStr">
        <is>
          <t>📝 SOAL TES #5: Kasus Akademik Sekolah &amp; Layanan Publik</t>
        </is>
      </c>
    </row>
    <row r="52" ht="30" customHeight="1">
      <c r="B52" s="14" t="inlineStr">
        <is>
          <t>Nama Parameter</t>
        </is>
      </c>
      <c r="C52" s="14" t="inlineStr">
        <is>
          <t>Nilai Parameter</t>
        </is>
      </c>
      <c r="E52" s="27" t="inlineStr">
        <is>
          <t>Persoalan Tes #5: Hitung nilai invers distribusi menggunakan fungsi CHISQ.INV dengan probabilitas di C53 dan derajat kebebasan di C54!</t>
        </is>
      </c>
    </row>
    <row r="53">
      <c r="B53" s="19" t="inlineStr">
        <is>
          <t>Probabilitas (C53)</t>
        </is>
      </c>
      <c r="C53" s="19" t="n">
        <v>0.13</v>
      </c>
      <c r="E53" s="14" t="inlineStr">
        <is>
          <t>✏️ KETIK RUMUS JAWABAN TES DI BAWAH:</t>
        </is>
      </c>
      <c r="F53" s="14" t="inlineStr">
        <is>
          <t>📌 STATUS KOREKSI JAWABAN TES:</t>
        </is>
      </c>
      <c r="G53" s="5" t="n"/>
    </row>
    <row r="54" ht="26" customHeight="1">
      <c r="B54" s="19" t="inlineStr">
        <is>
          <t>Derajat Kebebasan (C54)</t>
        </is>
      </c>
      <c r="C54" s="19" t="n">
        <v>12</v>
      </c>
      <c r="E54" s="28" t="n"/>
      <c r="F54" s="29">
        <f>IF(ISBLANK(E54), "⏳ Belum Diisi (Ketik Rumus di Sel Kuning E54)", IF(E54='99_KUNCI_JAWABAN'!F64, "✅ BENAR! JAWABAN TES TEPAT!", "❌ Belum Tepat (Cek Sheet Akhir: 99_KUNCI_JAWABAN)"))</f>
        <v/>
      </c>
      <c r="G54" s="5" t="n"/>
    </row>
    <row r="55">
      <c r="B55" s="19" t="inlineStr">
        <is>
          <t>Cadangan 1</t>
        </is>
      </c>
      <c r="C55" s="19" t="n">
        <v>1</v>
      </c>
    </row>
    <row r="56">
      <c r="B56" s="19" t="inlineStr">
        <is>
          <t>Cadangan 2</t>
        </is>
      </c>
      <c r="C56" s="19" t="n">
        <v>1</v>
      </c>
    </row>
  </sheetData>
  <mergeCells count="33">
    <mergeCell ref="E10:G10"/>
    <mergeCell ref="F11:G11"/>
    <mergeCell ref="E28:G28"/>
    <mergeCell ref="F29:G29"/>
    <mergeCell ref="C6:G6"/>
    <mergeCell ref="F54:G54"/>
    <mergeCell ref="B17:G17"/>
    <mergeCell ref="B1:G1"/>
    <mergeCell ref="C5:G5"/>
    <mergeCell ref="B19:G19"/>
    <mergeCell ref="F21:G21"/>
    <mergeCell ref="F12:G12"/>
    <mergeCell ref="F30:G30"/>
    <mergeCell ref="E36:G36"/>
    <mergeCell ref="B9:G9"/>
    <mergeCell ref="F45:G45"/>
    <mergeCell ref="B51:G51"/>
    <mergeCell ref="F38:G38"/>
    <mergeCell ref="B35:G35"/>
    <mergeCell ref="B4:G4"/>
    <mergeCell ref="F46:G46"/>
    <mergeCell ref="F22:G22"/>
    <mergeCell ref="B2:E2"/>
    <mergeCell ref="F13:G13"/>
    <mergeCell ref="B16:G16"/>
    <mergeCell ref="F37:G37"/>
    <mergeCell ref="C7:G7"/>
    <mergeCell ref="E52:G52"/>
    <mergeCell ref="B27:G27"/>
    <mergeCell ref="B43:G43"/>
    <mergeCell ref="E44:G44"/>
    <mergeCell ref="E20:G20"/>
    <mergeCell ref="F53:G53"/>
  </mergeCells>
  <hyperlinks>
    <hyperlink xmlns:r="http://schemas.openxmlformats.org/officeDocument/2006/relationships" ref="F2" r:id="rId1"/>
    <hyperlink xmlns:r="http://schemas.openxmlformats.org/officeDocument/2006/relationships" ref="G2" r:id="rId2"/>
  </hyperlink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B1:G56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22" customWidth="1" min="3" max="3"/>
    <col width="4" customWidth="1" min="4" max="4"/>
    <col width="34" customWidth="1" min="5" max="5"/>
    <col width="44" customWidth="1" min="6" max="6"/>
    <col width="28" customWidth="1" min="7" max="7"/>
  </cols>
  <sheetData>
    <row r="1" ht="30" customHeight="1">
      <c r="B1" s="10" t="inlineStr">
        <is>
          <t>📊 #013 — RUMUS EXCEL: CHISQ.RT.INV   |   Kategori: 8. Statistik &amp; Analisis Data</t>
        </is>
      </c>
    </row>
    <row r="2" ht="22" customHeight="1">
      <c r="B2" s="11" t="inlineStr">
        <is>
          <t>1 Rumus = 1 Contoh Soal + Jawaban Benar &amp; 5 Soal Tes Mandiri (Kunci Jawaban Ada di Sheet Paling Terakhir)</t>
        </is>
      </c>
      <c r="F2" s="12" t="inlineStr">
        <is>
          <t>⬅️ Ke Daftar Isi (00_DAFTAR_ISI)</t>
        </is>
      </c>
      <c r="G2" s="3" t="inlineStr">
        <is>
          <t>🔑 Ke Kunci Jawaban (Sheet Akhir)</t>
        </is>
      </c>
    </row>
    <row r="4" ht="24" customHeight="1">
      <c r="B4" s="13" t="inlineStr">
        <is>
          <t>1️⃣ IDENTITAS RUMUS &amp; FUNGSINYA BUAT APA? (CHISQ.RT.INV)</t>
        </is>
      </c>
    </row>
    <row r="5" ht="21" customHeight="1">
      <c r="B5" s="14" t="inlineStr">
        <is>
          <t>Nama Rumus Excel</t>
        </is>
      </c>
      <c r="C5" s="15">
        <f>CHISQ.RT.INV(...)</f>
        <v/>
      </c>
      <c r="D5" s="5" t="n"/>
      <c r="E5" s="5" t="n"/>
      <c r="F5" s="5" t="n"/>
      <c r="G5" s="5" t="n"/>
    </row>
    <row r="6" ht="21" customHeight="1">
      <c r="B6" s="14" t="inlineStr">
        <is>
          <t>Sintaks / Pola Umum</t>
        </is>
      </c>
      <c r="C6" s="15">
        <f>CHISQ.INV.RT(probabilitas, deg_freedom)</f>
        <v/>
      </c>
      <c r="D6" s="5" t="n"/>
      <c r="E6" s="5" t="n"/>
      <c r="F6" s="5" t="n"/>
      <c r="G6" s="5" t="n"/>
    </row>
    <row r="7" ht="26" customHeight="1">
      <c r="B7" s="14" t="inlineStr">
        <is>
          <t>👶 Fungsinya Buat Apa?</t>
        </is>
      </c>
      <c r="C7" s="16" t="inlineStr">
        <is>
          <t>Menghasilkan nilai invers probabilitas ekor kanan dari distribusi Chi-Square.</t>
        </is>
      </c>
      <c r="D7" s="5" t="n"/>
      <c r="E7" s="5" t="n"/>
      <c r="F7" s="5" t="n"/>
      <c r="G7" s="5" t="n"/>
    </row>
    <row r="9" ht="24" customHeight="1">
      <c r="B9" s="17" t="inlineStr">
        <is>
          <t>2️⃣ 1 CONTOH SOAL &amp; CONTOH JAWABAN BENAR (PELAJARI POLA RUMUS CHISQ.RT.INV DI SINI)</t>
        </is>
      </c>
    </row>
    <row r="10">
      <c r="B10" s="18" t="inlineStr">
        <is>
          <t>Nama Parameter</t>
        </is>
      </c>
      <c r="C10" s="18" t="inlineStr">
        <is>
          <t>Nilai Parameter</t>
        </is>
      </c>
      <c r="E10" s="18" t="inlineStr">
        <is>
          <t>✅ 1 CONTOH SOAL BESERTA CONTOH RUMUS &amp; HASIL JAWABAN BENAR:</t>
        </is>
      </c>
      <c r="F10" s="5" t="n"/>
      <c r="G10" s="5" t="n"/>
    </row>
    <row r="11" ht="28" customHeight="1">
      <c r="B11" s="19" t="inlineStr">
        <is>
          <t>Probabilitas (C11)</t>
        </is>
      </c>
      <c r="C11" s="19" t="n">
        <v>0.15</v>
      </c>
      <c r="E11" s="20" t="inlineStr">
        <is>
          <t>Contoh Soal:</t>
        </is>
      </c>
      <c r="F11" s="21" t="inlineStr">
        <is>
          <t>Hitung nilai invers distribusi menggunakan fungsi CHISQ.INV.RT dengan probabilitas di C11 dan derajat kebebasan di C12!</t>
        </is>
      </c>
      <c r="G11" s="5" t="n"/>
    </row>
    <row r="12">
      <c r="B12" s="19" t="inlineStr">
        <is>
          <t>Derajat Kebebasan (C12)</t>
        </is>
      </c>
      <c r="C12" s="19" t="n">
        <v>13</v>
      </c>
      <c r="E12" s="20" t="inlineStr">
        <is>
          <t>Contoh Rumus Benar:</t>
        </is>
      </c>
      <c r="F12" s="22" t="inlineStr">
        <is>
          <t>'=CHISQ.INV.RT(C11, C12)</t>
        </is>
      </c>
      <c r="G12" s="5" t="n"/>
    </row>
    <row r="13">
      <c r="B13" s="19" t="inlineStr">
        <is>
          <t>Cadangan 1</t>
        </is>
      </c>
      <c r="C13" s="19" t="n">
        <v>1</v>
      </c>
      <c r="E13" s="20" t="inlineStr">
        <is>
          <t>Contoh Hasil Benar:</t>
        </is>
      </c>
      <c r="F13" s="23">
        <f>CHISQ.INV.RT(C11, C12)</f>
        <v/>
      </c>
      <c r="G13" s="5" t="n"/>
    </row>
    <row r="14">
      <c r="B14" s="19" t="inlineStr">
        <is>
          <t>Cadangan 2</t>
        </is>
      </c>
      <c r="C14" s="19" t="n">
        <v>1</v>
      </c>
    </row>
    <row r="16" ht="26" customHeight="1">
      <c r="B16" s="24" t="inlineStr">
        <is>
          <t>3️⃣ 5 SOAL TES DUNIA NYATA — KERJAKAN DI KOTAK KUNING (TANPA KUNCI RUMUS / HASIL DI SINI!)</t>
        </is>
      </c>
    </row>
    <row r="17" ht="20" customHeight="1">
      <c r="B17" s="25" t="inlineStr">
        <is>
          <t>📌 Catatan Tes: Soal Tes #1 s/d #5 di bawah ini tidak menampilkan kunci rumus maupun hasil. Kunci jawaban lengkap tersedia di sheet paling terakhir (99_KUNCI_JAWABAN).</t>
        </is>
      </c>
    </row>
    <row r="19" ht="22" customHeight="1">
      <c r="B19" s="26" t="inlineStr">
        <is>
          <t>📝 SOAL TES #1: Kasus Keuangan &amp; Akuntansi Kantor</t>
        </is>
      </c>
    </row>
    <row r="20" ht="30" customHeight="1">
      <c r="B20" s="14" t="inlineStr">
        <is>
          <t>Nama Parameter</t>
        </is>
      </c>
      <c r="C20" s="14" t="inlineStr">
        <is>
          <t>Nilai Parameter</t>
        </is>
      </c>
      <c r="E20" s="27" t="inlineStr">
        <is>
          <t>Persoalan Tes #1: Hitung nilai invers distribusi menggunakan fungsi CHISQ.INV.RT dengan probabilitas di C21 dan derajat kebebasan di C22!</t>
        </is>
      </c>
    </row>
    <row r="21">
      <c r="B21" s="19" t="inlineStr">
        <is>
          <t>Probabilitas (C21)</t>
        </is>
      </c>
      <c r="C21" s="19" t="n">
        <v>0.05</v>
      </c>
      <c r="E21" s="14" t="inlineStr">
        <is>
          <t>✏️ KETIK RUMUS JAWABAN TES DI BAWAH:</t>
        </is>
      </c>
      <c r="F21" s="14" t="inlineStr">
        <is>
          <t>📌 STATUS KOREKSI JAWABAN TES:</t>
        </is>
      </c>
      <c r="G21" s="5" t="n"/>
    </row>
    <row r="22" ht="26" customHeight="1">
      <c r="B22" s="19" t="inlineStr">
        <is>
          <t>Derajat Kebebasan (C22)</t>
        </is>
      </c>
      <c r="C22" s="19" t="n">
        <v>8</v>
      </c>
      <c r="E22" s="28" t="n"/>
      <c r="F22" s="29">
        <f>IF(ISBLANK(E22), "⏳ Belum Diisi (Ketik Rumus di Sel Kuning E22)", IF(E22='99_KUNCI_JAWABAN'!F65, "✅ BENAR! JAWABAN TES TEPAT!", "❌ Belum Tepat (Cek Sheet Akhir: 99_KUNCI_JAWABAN)"))</f>
        <v/>
      </c>
      <c r="G22" s="5" t="n"/>
    </row>
    <row r="23">
      <c r="B23" s="19" t="inlineStr">
        <is>
          <t>Cadangan 1</t>
        </is>
      </c>
      <c r="C23" s="19" t="n">
        <v>1</v>
      </c>
    </row>
    <row r="24">
      <c r="B24" s="19" t="inlineStr">
        <is>
          <t>Cadangan 2</t>
        </is>
      </c>
      <c r="C24" s="19" t="n">
        <v>1</v>
      </c>
    </row>
    <row r="27" ht="22" customHeight="1">
      <c r="B27" s="26" t="inlineStr">
        <is>
          <t>📝 SOAL TES #2: Kasus HRD, Gaji &amp; Lembur Karyawan</t>
        </is>
      </c>
    </row>
    <row r="28" ht="30" customHeight="1">
      <c r="B28" s="14" t="inlineStr">
        <is>
          <t>Nama Parameter</t>
        </is>
      </c>
      <c r="C28" s="14" t="inlineStr">
        <is>
          <t>Nilai Parameter</t>
        </is>
      </c>
      <c r="E28" s="27" t="inlineStr">
        <is>
          <t>Persoalan Tes #2: Hitung nilai invers distribusi menggunakan fungsi CHISQ.INV.RT dengan probabilitas di C29 dan derajat kebebasan di C30!</t>
        </is>
      </c>
    </row>
    <row r="29">
      <c r="B29" s="19" t="inlineStr">
        <is>
          <t>Probabilitas (C29)</t>
        </is>
      </c>
      <c r="C29" s="19" t="n">
        <v>0.07000000000000001</v>
      </c>
      <c r="E29" s="14" t="inlineStr">
        <is>
          <t>✏️ KETIK RUMUS JAWABAN TES DI BAWAH:</t>
        </is>
      </c>
      <c r="F29" s="14" t="inlineStr">
        <is>
          <t>📌 STATUS KOREKSI JAWABAN TES:</t>
        </is>
      </c>
      <c r="G29" s="5" t="n"/>
    </row>
    <row r="30" ht="26" customHeight="1">
      <c r="B30" s="19" t="inlineStr">
        <is>
          <t>Derajat Kebebasan (C30)</t>
        </is>
      </c>
      <c r="C30" s="19" t="n">
        <v>9</v>
      </c>
      <c r="E30" s="28" t="n"/>
      <c r="F30" s="29">
        <f>IF(ISBLANK(E30), "⏳ Belum Diisi (Ketik Rumus di Sel Kuning E30)", IF(E30='99_KUNCI_JAWABAN'!F66, "✅ BENAR! JAWABAN TES TEPAT!", "❌ Belum Tepat (Cek Sheet Akhir: 99_KUNCI_JAWABAN)"))</f>
        <v/>
      </c>
      <c r="G30" s="5" t="n"/>
    </row>
    <row r="31">
      <c r="B31" s="19" t="inlineStr">
        <is>
          <t>Cadangan 1</t>
        </is>
      </c>
      <c r="C31" s="19" t="n">
        <v>1</v>
      </c>
    </row>
    <row r="32">
      <c r="B32" s="19" t="inlineStr">
        <is>
          <t>Cadangan 2</t>
        </is>
      </c>
      <c r="C32" s="19" t="n">
        <v>1</v>
      </c>
    </row>
    <row r="35" ht="22" customHeight="1">
      <c r="B35" s="26" t="inlineStr">
        <is>
          <t>📝 SOAL TES #3: Kasus Logistik &amp; Stok Gudang Utama</t>
        </is>
      </c>
    </row>
    <row r="36" ht="30" customHeight="1">
      <c r="B36" s="14" t="inlineStr">
        <is>
          <t>Nama Parameter</t>
        </is>
      </c>
      <c r="C36" s="14" t="inlineStr">
        <is>
          <t>Nilai Parameter</t>
        </is>
      </c>
      <c r="E36" s="27" t="inlineStr">
        <is>
          <t>Persoalan Tes #3: Hitung nilai invers distribusi menggunakan fungsi CHISQ.INV.RT dengan probabilitas di C37 dan derajat kebebasan di C38!</t>
        </is>
      </c>
    </row>
    <row r="37">
      <c r="B37" s="19" t="inlineStr">
        <is>
          <t>Probabilitas (C37)</t>
        </is>
      </c>
      <c r="C37" s="19" t="n">
        <v>0.09</v>
      </c>
      <c r="E37" s="14" t="inlineStr">
        <is>
          <t>✏️ KETIK RUMUS JAWABAN TES DI BAWAH:</t>
        </is>
      </c>
      <c r="F37" s="14" t="inlineStr">
        <is>
          <t>📌 STATUS KOREKSI JAWABAN TES:</t>
        </is>
      </c>
      <c r="G37" s="5" t="n"/>
    </row>
    <row r="38" ht="26" customHeight="1">
      <c r="B38" s="19" t="inlineStr">
        <is>
          <t>Derajat Kebebasan (C38)</t>
        </is>
      </c>
      <c r="C38" s="19" t="n">
        <v>10</v>
      </c>
      <c r="E38" s="28" t="n"/>
      <c r="F38" s="29">
        <f>IF(ISBLANK(E38), "⏳ Belum Diisi (Ketik Rumus di Sel Kuning E38)", IF(E38='99_KUNCI_JAWABAN'!F67, "✅ BENAR! JAWABAN TES TEPAT!", "❌ Belum Tepat (Cek Sheet Akhir: 99_KUNCI_JAWABAN)"))</f>
        <v/>
      </c>
      <c r="G38" s="5" t="n"/>
    </row>
    <row r="39">
      <c r="B39" s="19" t="inlineStr">
        <is>
          <t>Cadangan 1</t>
        </is>
      </c>
      <c r="C39" s="19" t="n">
        <v>1</v>
      </c>
    </row>
    <row r="40">
      <c r="B40" s="19" t="inlineStr">
        <is>
          <t>Cadangan 2</t>
        </is>
      </c>
      <c r="C40" s="19" t="n">
        <v>1</v>
      </c>
    </row>
    <row r="43" ht="22" customHeight="1">
      <c r="B43" s="26" t="inlineStr">
        <is>
          <t>📝 SOAL TES #4: Kasus Penjualan Retail &amp; Target Toko</t>
        </is>
      </c>
    </row>
    <row r="44" ht="30" customHeight="1">
      <c r="B44" s="14" t="inlineStr">
        <is>
          <t>Nama Parameter</t>
        </is>
      </c>
      <c r="C44" s="14" t="inlineStr">
        <is>
          <t>Nilai Parameter</t>
        </is>
      </c>
      <c r="E44" s="27" t="inlineStr">
        <is>
          <t>Persoalan Tes #4: Hitung nilai invers distribusi menggunakan fungsi CHISQ.INV.RT dengan probabilitas di C45 dan derajat kebebasan di C46!</t>
        </is>
      </c>
    </row>
    <row r="45">
      <c r="B45" s="19" t="inlineStr">
        <is>
          <t>Probabilitas (C45)</t>
        </is>
      </c>
      <c r="C45" s="19" t="n">
        <v>0.11</v>
      </c>
      <c r="E45" s="14" t="inlineStr">
        <is>
          <t>✏️ KETIK RUMUS JAWABAN TES DI BAWAH:</t>
        </is>
      </c>
      <c r="F45" s="14" t="inlineStr">
        <is>
          <t>📌 STATUS KOREKSI JAWABAN TES:</t>
        </is>
      </c>
      <c r="G45" s="5" t="n"/>
    </row>
    <row r="46" ht="26" customHeight="1">
      <c r="B46" s="19" t="inlineStr">
        <is>
          <t>Derajat Kebebasan (C46)</t>
        </is>
      </c>
      <c r="C46" s="19" t="n">
        <v>11</v>
      </c>
      <c r="E46" s="28" t="n"/>
      <c r="F46" s="29">
        <f>IF(ISBLANK(E46), "⏳ Belum Diisi (Ketik Rumus di Sel Kuning E46)", IF(E46='99_KUNCI_JAWABAN'!F68, "✅ BENAR! JAWABAN TES TEPAT!", "❌ Belum Tepat (Cek Sheet Akhir: 99_KUNCI_JAWABAN)"))</f>
        <v/>
      </c>
      <c r="G46" s="5" t="n"/>
    </row>
    <row r="47">
      <c r="B47" s="19" t="inlineStr">
        <is>
          <t>Cadangan 1</t>
        </is>
      </c>
      <c r="C47" s="19" t="n">
        <v>1</v>
      </c>
    </row>
    <row r="48">
      <c r="B48" s="19" t="inlineStr">
        <is>
          <t>Cadangan 2</t>
        </is>
      </c>
      <c r="C48" s="19" t="n">
        <v>1</v>
      </c>
    </row>
    <row r="51" ht="22" customHeight="1">
      <c r="B51" s="26" t="inlineStr">
        <is>
          <t>📝 SOAL TES #5: Kasus Akademik Sekolah &amp; Layanan Publik</t>
        </is>
      </c>
    </row>
    <row r="52" ht="30" customHeight="1">
      <c r="B52" s="14" t="inlineStr">
        <is>
          <t>Nama Parameter</t>
        </is>
      </c>
      <c r="C52" s="14" t="inlineStr">
        <is>
          <t>Nilai Parameter</t>
        </is>
      </c>
      <c r="E52" s="27" t="inlineStr">
        <is>
          <t>Persoalan Tes #5: Hitung nilai invers distribusi menggunakan fungsi CHISQ.INV.RT dengan probabilitas di C53 dan derajat kebebasan di C54!</t>
        </is>
      </c>
    </row>
    <row r="53">
      <c r="B53" s="19" t="inlineStr">
        <is>
          <t>Probabilitas (C53)</t>
        </is>
      </c>
      <c r="C53" s="19" t="n">
        <v>0.13</v>
      </c>
      <c r="E53" s="14" t="inlineStr">
        <is>
          <t>✏️ KETIK RUMUS JAWABAN TES DI BAWAH:</t>
        </is>
      </c>
      <c r="F53" s="14" t="inlineStr">
        <is>
          <t>📌 STATUS KOREKSI JAWABAN TES:</t>
        </is>
      </c>
      <c r="G53" s="5" t="n"/>
    </row>
    <row r="54" ht="26" customHeight="1">
      <c r="B54" s="19" t="inlineStr">
        <is>
          <t>Derajat Kebebasan (C54)</t>
        </is>
      </c>
      <c r="C54" s="19" t="n">
        <v>12</v>
      </c>
      <c r="E54" s="28" t="n"/>
      <c r="F54" s="29">
        <f>IF(ISBLANK(E54), "⏳ Belum Diisi (Ketik Rumus di Sel Kuning E54)", IF(E54='99_KUNCI_JAWABAN'!F69, "✅ BENAR! JAWABAN TES TEPAT!", "❌ Belum Tepat (Cek Sheet Akhir: 99_KUNCI_JAWABAN)"))</f>
        <v/>
      </c>
      <c r="G54" s="5" t="n"/>
    </row>
    <row r="55">
      <c r="B55" s="19" t="inlineStr">
        <is>
          <t>Cadangan 1</t>
        </is>
      </c>
      <c r="C55" s="19" t="n">
        <v>1</v>
      </c>
    </row>
    <row r="56">
      <c r="B56" s="19" t="inlineStr">
        <is>
          <t>Cadangan 2</t>
        </is>
      </c>
      <c r="C56" s="19" t="n">
        <v>1</v>
      </c>
    </row>
  </sheetData>
  <mergeCells count="33">
    <mergeCell ref="E10:G10"/>
    <mergeCell ref="F11:G11"/>
    <mergeCell ref="E28:G28"/>
    <mergeCell ref="F29:G29"/>
    <mergeCell ref="C6:G6"/>
    <mergeCell ref="F54:G54"/>
    <mergeCell ref="B17:G17"/>
    <mergeCell ref="B1:G1"/>
    <mergeCell ref="C5:G5"/>
    <mergeCell ref="B19:G19"/>
    <mergeCell ref="F21:G21"/>
    <mergeCell ref="F12:G12"/>
    <mergeCell ref="F30:G30"/>
    <mergeCell ref="E36:G36"/>
    <mergeCell ref="B9:G9"/>
    <mergeCell ref="F45:G45"/>
    <mergeCell ref="B51:G51"/>
    <mergeCell ref="F38:G38"/>
    <mergeCell ref="B35:G35"/>
    <mergeCell ref="B4:G4"/>
    <mergeCell ref="F46:G46"/>
    <mergeCell ref="F22:G22"/>
    <mergeCell ref="B2:E2"/>
    <mergeCell ref="F13:G13"/>
    <mergeCell ref="B16:G16"/>
    <mergeCell ref="F37:G37"/>
    <mergeCell ref="C7:G7"/>
    <mergeCell ref="E52:G52"/>
    <mergeCell ref="B27:G27"/>
    <mergeCell ref="B43:G43"/>
    <mergeCell ref="E44:G44"/>
    <mergeCell ref="E20:G20"/>
    <mergeCell ref="F53:G53"/>
  </mergeCells>
  <hyperlinks>
    <hyperlink xmlns:r="http://schemas.openxmlformats.org/officeDocument/2006/relationships" ref="F2" r:id="rId1"/>
    <hyperlink xmlns:r="http://schemas.openxmlformats.org/officeDocument/2006/relationships" ref="G2" r:id="rId2"/>
  </hyperlink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B1:G56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22" customWidth="1" min="3" max="3"/>
    <col width="4" customWidth="1" min="4" max="4"/>
    <col width="34" customWidth="1" min="5" max="5"/>
    <col width="44" customWidth="1" min="6" max="6"/>
    <col width="28" customWidth="1" min="7" max="7"/>
  </cols>
  <sheetData>
    <row r="1" ht="30" customHeight="1">
      <c r="B1" s="10" t="inlineStr">
        <is>
          <t>📊 #014 — RUMUS EXCEL: CHITEST   |   Kategori: 8. Statistik &amp; Analisis Data</t>
        </is>
      </c>
    </row>
    <row r="2" ht="22" customHeight="1">
      <c r="B2" s="11" t="inlineStr">
        <is>
          <t>1 Rumus = 1 Contoh Soal + Jawaban Benar &amp; 5 Soal Tes Mandiri (Kunci Jawaban Ada di Sheet Paling Terakhir)</t>
        </is>
      </c>
      <c r="F2" s="12" t="inlineStr">
        <is>
          <t>⬅️ Ke Daftar Isi (00_DAFTAR_ISI)</t>
        </is>
      </c>
      <c r="G2" s="3" t="inlineStr">
        <is>
          <t>🔑 Ke Kunci Jawaban (Sheet Akhir)</t>
        </is>
      </c>
    </row>
    <row r="4" ht="24" customHeight="1">
      <c r="B4" s="13" t="inlineStr">
        <is>
          <t>1️⃣ IDENTITAS RUMUS &amp; FUNGSINYA BUAT APA? (CHITEST)</t>
        </is>
      </c>
    </row>
    <row r="5" ht="21" customHeight="1">
      <c r="B5" s="14" t="inlineStr">
        <is>
          <t>Nama Rumus Excel</t>
        </is>
      </c>
      <c r="C5" s="15">
        <f>CHITEST(...)</f>
        <v/>
      </c>
      <c r="D5" s="5" t="n"/>
      <c r="E5" s="5" t="n"/>
      <c r="F5" s="5" t="n"/>
      <c r="G5" s="5" t="n"/>
    </row>
    <row r="6" ht="21" customHeight="1">
      <c r="B6" s="14" t="inlineStr">
        <is>
          <t>Sintaks / Pola Umum</t>
        </is>
      </c>
      <c r="C6" s="15">
        <f>CHITEST(aktual_range, harapan_range)</f>
        <v/>
      </c>
      <c r="D6" s="5" t="n"/>
      <c r="E6" s="5" t="n"/>
      <c r="F6" s="5" t="n"/>
      <c r="G6" s="5" t="n"/>
    </row>
    <row r="7" ht="26" customHeight="1">
      <c r="B7" s="14" t="inlineStr">
        <is>
          <t>👶 Fungsinya Buat Apa?</t>
        </is>
      </c>
      <c r="C7" s="16" t="inlineStr">
        <is>
          <t>Menghitung uji independensi Chi-Square antara data aktual dan ekspektasi.</t>
        </is>
      </c>
      <c r="D7" s="5" t="n"/>
      <c r="E7" s="5" t="n"/>
      <c r="F7" s="5" t="n"/>
      <c r="G7" s="5" t="n"/>
    </row>
    <row r="9" ht="24" customHeight="1">
      <c r="B9" s="17" t="inlineStr">
        <is>
          <t>2️⃣ 1 CONTOH SOAL &amp; CONTOH JAWABAN BENAR (PELAJARI POLA RUMUS CHITEST DI SINI)</t>
        </is>
      </c>
    </row>
    <row r="10">
      <c r="B10" s="18" t="inlineStr">
        <is>
          <t>Data Variabel 1</t>
        </is>
      </c>
      <c r="C10" s="18" t="inlineStr">
        <is>
          <t>Data Variabel 2</t>
        </is>
      </c>
      <c r="E10" s="18" t="inlineStr">
        <is>
          <t>✅ 1 CONTOH SOAL BESERTA CONTOH RUMUS &amp; HASIL JAWABAN BENAR:</t>
        </is>
      </c>
      <c r="F10" s="5" t="n"/>
      <c r="G10" s="5" t="n"/>
    </row>
    <row r="11" ht="28" customHeight="1">
      <c r="B11" s="19" t="n">
        <v>60</v>
      </c>
      <c r="C11" s="19" t="n">
        <v>90</v>
      </c>
      <c r="E11" s="20" t="inlineStr">
        <is>
          <t>Contoh Soal:</t>
        </is>
      </c>
      <c r="F11" s="21" t="inlineStr">
        <is>
          <t>Analisis hubungan antara data pertama (B11:B14) dan data kedua (C11:C14) menggunakan fungsi CHITEST!</t>
        </is>
      </c>
      <c r="G11" s="5" t="n"/>
    </row>
    <row r="12">
      <c r="B12" s="19" t="n">
        <v>120</v>
      </c>
      <c r="C12" s="19" t="n">
        <v>168</v>
      </c>
      <c r="E12" s="20" t="inlineStr">
        <is>
          <t>Contoh Rumus Benar:</t>
        </is>
      </c>
      <c r="F12" s="22" t="inlineStr">
        <is>
          <t>'=CHITEST(B11:B14, C11:C14)</t>
        </is>
      </c>
      <c r="G12" s="5" t="n"/>
    </row>
    <row r="13">
      <c r="B13" s="19" t="n">
        <v>210</v>
      </c>
      <c r="C13" s="19" t="n">
        <v>240</v>
      </c>
      <c r="E13" s="20" t="inlineStr">
        <is>
          <t>Contoh Hasil Benar:</t>
        </is>
      </c>
      <c r="F13" s="23">
        <f>CHITEST(B11:B14, C11:C14)</f>
        <v/>
      </c>
      <c r="G13" s="5" t="n"/>
    </row>
    <row r="14">
      <c r="B14" s="19" t="n">
        <v>300</v>
      </c>
      <c r="C14" s="19" t="n">
        <v>348</v>
      </c>
    </row>
    <row r="16" ht="26" customHeight="1">
      <c r="B16" s="24" t="inlineStr">
        <is>
          <t>3️⃣ 5 SOAL TES DUNIA NYATA — KERJAKAN DI KOTAK KUNING (TANPA KUNCI RUMUS / HASIL DI SINI!)</t>
        </is>
      </c>
    </row>
    <row r="17" ht="20" customHeight="1">
      <c r="B17" s="25" t="inlineStr">
        <is>
          <t>📌 Catatan Tes: Soal Tes #1 s/d #5 di bawah ini tidak menampilkan kunci rumus maupun hasil. Kunci jawaban lengkap tersedia di sheet paling terakhir (99_KUNCI_JAWABAN).</t>
        </is>
      </c>
    </row>
    <row r="19" ht="22" customHeight="1">
      <c r="B19" s="26" t="inlineStr">
        <is>
          <t>📝 SOAL TES #1: Kasus Keuangan &amp; Akuntansi Kantor</t>
        </is>
      </c>
    </row>
    <row r="20" ht="30" customHeight="1">
      <c r="B20" s="14" t="inlineStr">
        <is>
          <t>Data Variabel 1</t>
        </is>
      </c>
      <c r="C20" s="14" t="inlineStr">
        <is>
          <t>Data Variabel 2</t>
        </is>
      </c>
      <c r="E20" s="27" t="inlineStr">
        <is>
          <t>Persoalan Tes #1: Analisis hubungan antara data pertama (B21:B24) dan data kedua (C21:C24) menggunakan fungsi CHITEST!</t>
        </is>
      </c>
    </row>
    <row r="21">
      <c r="B21" s="19" t="n">
        <v>10</v>
      </c>
      <c r="C21" s="19" t="n">
        <v>15</v>
      </c>
      <c r="E21" s="14" t="inlineStr">
        <is>
          <t>✏️ KETIK RUMUS JAWABAN TES DI BAWAH:</t>
        </is>
      </c>
      <c r="F21" s="14" t="inlineStr">
        <is>
          <t>📌 STATUS KOREKSI JAWABAN TES:</t>
        </is>
      </c>
      <c r="G21" s="5" t="n"/>
    </row>
    <row r="22" ht="26" customHeight="1">
      <c r="B22" s="19" t="n">
        <v>20</v>
      </c>
      <c r="C22" s="19" t="n">
        <v>28</v>
      </c>
      <c r="E22" s="28" t="n"/>
      <c r="F22" s="29">
        <f>IF(ISBLANK(E22), "⏳ Belum Diisi (Ketik Rumus di Sel Kuning E22)", IF(E22='99_KUNCI_JAWABAN'!F70, "✅ BENAR! JAWABAN TES TEPAT!", "❌ Belum Tepat (Cek Sheet Akhir: 99_KUNCI_JAWABAN)"))</f>
        <v/>
      </c>
      <c r="G22" s="5" t="n"/>
    </row>
    <row r="23">
      <c r="B23" s="19" t="n">
        <v>35</v>
      </c>
      <c r="C23" s="19" t="n">
        <v>40</v>
      </c>
    </row>
    <row r="24">
      <c r="B24" s="19" t="n">
        <v>50</v>
      </c>
      <c r="C24" s="19" t="n">
        <v>58</v>
      </c>
    </row>
    <row r="27" ht="22" customHeight="1">
      <c r="B27" s="26" t="inlineStr">
        <is>
          <t>📝 SOAL TES #2: Kasus HRD, Gaji &amp; Lembur Karyawan</t>
        </is>
      </c>
    </row>
    <row r="28" ht="30" customHeight="1">
      <c r="B28" s="14" t="inlineStr">
        <is>
          <t>Data Variabel 1</t>
        </is>
      </c>
      <c r="C28" s="14" t="inlineStr">
        <is>
          <t>Data Variabel 2</t>
        </is>
      </c>
      <c r="E28" s="27" t="inlineStr">
        <is>
          <t>Persoalan Tes #2: Analisis hubungan antara data pertama (B29:B32) dan data kedua (C29:C32) menggunakan fungsi CHITEST!</t>
        </is>
      </c>
    </row>
    <row r="29">
      <c r="B29" s="19" t="n">
        <v>20</v>
      </c>
      <c r="C29" s="19" t="n">
        <v>30</v>
      </c>
      <c r="E29" s="14" t="inlineStr">
        <is>
          <t>✏️ KETIK RUMUS JAWABAN TES DI BAWAH:</t>
        </is>
      </c>
      <c r="F29" s="14" t="inlineStr">
        <is>
          <t>📌 STATUS KOREKSI JAWABAN TES:</t>
        </is>
      </c>
      <c r="G29" s="5" t="n"/>
    </row>
    <row r="30" ht="26" customHeight="1">
      <c r="B30" s="19" t="n">
        <v>40</v>
      </c>
      <c r="C30" s="19" t="n">
        <v>56</v>
      </c>
      <c r="E30" s="28" t="n"/>
      <c r="F30" s="29">
        <f>IF(ISBLANK(E30), "⏳ Belum Diisi (Ketik Rumus di Sel Kuning E30)", IF(E30='99_KUNCI_JAWABAN'!F71, "✅ BENAR! JAWABAN TES TEPAT!", "❌ Belum Tepat (Cek Sheet Akhir: 99_KUNCI_JAWABAN)"))</f>
        <v/>
      </c>
      <c r="G30" s="5" t="n"/>
    </row>
    <row r="31">
      <c r="B31" s="19" t="n">
        <v>70</v>
      </c>
      <c r="C31" s="19" t="n">
        <v>80</v>
      </c>
    </row>
    <row r="32">
      <c r="B32" s="19" t="n">
        <v>100</v>
      </c>
      <c r="C32" s="19" t="n">
        <v>116</v>
      </c>
    </row>
    <row r="35" ht="22" customHeight="1">
      <c r="B35" s="26" t="inlineStr">
        <is>
          <t>📝 SOAL TES #3: Kasus Logistik &amp; Stok Gudang Utama</t>
        </is>
      </c>
    </row>
    <row r="36" ht="30" customHeight="1">
      <c r="B36" s="14" t="inlineStr">
        <is>
          <t>Data Variabel 1</t>
        </is>
      </c>
      <c r="C36" s="14" t="inlineStr">
        <is>
          <t>Data Variabel 2</t>
        </is>
      </c>
      <c r="E36" s="27" t="inlineStr">
        <is>
          <t>Persoalan Tes #3: Analisis hubungan antara data pertama (B37:B40) dan data kedua (C37:C40) menggunakan fungsi CHITEST!</t>
        </is>
      </c>
    </row>
    <row r="37">
      <c r="B37" s="19" t="n">
        <v>30</v>
      </c>
      <c r="C37" s="19" t="n">
        <v>45</v>
      </c>
      <c r="E37" s="14" t="inlineStr">
        <is>
          <t>✏️ KETIK RUMUS JAWABAN TES DI BAWAH:</t>
        </is>
      </c>
      <c r="F37" s="14" t="inlineStr">
        <is>
          <t>📌 STATUS KOREKSI JAWABAN TES:</t>
        </is>
      </c>
      <c r="G37" s="5" t="n"/>
    </row>
    <row r="38" ht="26" customHeight="1">
      <c r="B38" s="19" t="n">
        <v>60</v>
      </c>
      <c r="C38" s="19" t="n">
        <v>84</v>
      </c>
      <c r="E38" s="28" t="n"/>
      <c r="F38" s="29">
        <f>IF(ISBLANK(E38), "⏳ Belum Diisi (Ketik Rumus di Sel Kuning E38)", IF(E38='99_KUNCI_JAWABAN'!F72, "✅ BENAR! JAWABAN TES TEPAT!", "❌ Belum Tepat (Cek Sheet Akhir: 99_KUNCI_JAWABAN)"))</f>
        <v/>
      </c>
      <c r="G38" s="5" t="n"/>
    </row>
    <row r="39">
      <c r="B39" s="19" t="n">
        <v>105</v>
      </c>
      <c r="C39" s="19" t="n">
        <v>120</v>
      </c>
    </row>
    <row r="40">
      <c r="B40" s="19" t="n">
        <v>150</v>
      </c>
      <c r="C40" s="19" t="n">
        <v>174</v>
      </c>
    </row>
    <row r="43" ht="22" customHeight="1">
      <c r="B43" s="26" t="inlineStr">
        <is>
          <t>📝 SOAL TES #4: Kasus Penjualan Retail &amp; Target Toko</t>
        </is>
      </c>
    </row>
    <row r="44" ht="30" customHeight="1">
      <c r="B44" s="14" t="inlineStr">
        <is>
          <t>Data Variabel 1</t>
        </is>
      </c>
      <c r="C44" s="14" t="inlineStr">
        <is>
          <t>Data Variabel 2</t>
        </is>
      </c>
      <c r="E44" s="27" t="inlineStr">
        <is>
          <t>Persoalan Tes #4: Analisis hubungan antara data pertama (B45:B48) dan data kedua (C45:C48) menggunakan fungsi CHITEST!</t>
        </is>
      </c>
    </row>
    <row r="45">
      <c r="B45" s="19" t="n">
        <v>40</v>
      </c>
      <c r="C45" s="19" t="n">
        <v>60</v>
      </c>
      <c r="E45" s="14" t="inlineStr">
        <is>
          <t>✏️ KETIK RUMUS JAWABAN TES DI BAWAH:</t>
        </is>
      </c>
      <c r="F45" s="14" t="inlineStr">
        <is>
          <t>📌 STATUS KOREKSI JAWABAN TES:</t>
        </is>
      </c>
      <c r="G45" s="5" t="n"/>
    </row>
    <row r="46" ht="26" customHeight="1">
      <c r="B46" s="19" t="n">
        <v>80</v>
      </c>
      <c r="C46" s="19" t="n">
        <v>112</v>
      </c>
      <c r="E46" s="28" t="n"/>
      <c r="F46" s="29">
        <f>IF(ISBLANK(E46), "⏳ Belum Diisi (Ketik Rumus di Sel Kuning E46)", IF(E46='99_KUNCI_JAWABAN'!F73, "✅ BENAR! JAWABAN TES TEPAT!", "❌ Belum Tepat (Cek Sheet Akhir: 99_KUNCI_JAWABAN)"))</f>
        <v/>
      </c>
      <c r="G46" s="5" t="n"/>
    </row>
    <row r="47">
      <c r="B47" s="19" t="n">
        <v>140</v>
      </c>
      <c r="C47" s="19" t="n">
        <v>160</v>
      </c>
    </row>
    <row r="48">
      <c r="B48" s="19" t="n">
        <v>200</v>
      </c>
      <c r="C48" s="19" t="n">
        <v>232</v>
      </c>
    </row>
    <row r="51" ht="22" customHeight="1">
      <c r="B51" s="26" t="inlineStr">
        <is>
          <t>📝 SOAL TES #5: Kasus Akademik Sekolah &amp; Layanan Publik</t>
        </is>
      </c>
    </row>
    <row r="52" ht="30" customHeight="1">
      <c r="B52" s="14" t="inlineStr">
        <is>
          <t>Data Variabel 1</t>
        </is>
      </c>
      <c r="C52" s="14" t="inlineStr">
        <is>
          <t>Data Variabel 2</t>
        </is>
      </c>
      <c r="E52" s="27" t="inlineStr">
        <is>
          <t>Persoalan Tes #5: Analisis hubungan antara data pertama (B53:B56) dan data kedua (C53:C56) menggunakan fungsi CHITEST!</t>
        </is>
      </c>
    </row>
    <row r="53">
      <c r="B53" s="19" t="n">
        <v>50</v>
      </c>
      <c r="C53" s="19" t="n">
        <v>75</v>
      </c>
      <c r="E53" s="14" t="inlineStr">
        <is>
          <t>✏️ KETIK RUMUS JAWABAN TES DI BAWAH:</t>
        </is>
      </c>
      <c r="F53" s="14" t="inlineStr">
        <is>
          <t>📌 STATUS KOREKSI JAWABAN TES:</t>
        </is>
      </c>
      <c r="G53" s="5" t="n"/>
    </row>
    <row r="54" ht="26" customHeight="1">
      <c r="B54" s="19" t="n">
        <v>100</v>
      </c>
      <c r="C54" s="19" t="n">
        <v>140</v>
      </c>
      <c r="E54" s="28" t="n"/>
      <c r="F54" s="29">
        <f>IF(ISBLANK(E54), "⏳ Belum Diisi (Ketik Rumus di Sel Kuning E54)", IF(E54='99_KUNCI_JAWABAN'!F74, "✅ BENAR! JAWABAN TES TEPAT!", "❌ Belum Tepat (Cek Sheet Akhir: 99_KUNCI_JAWABAN)"))</f>
        <v/>
      </c>
      <c r="G54" s="5" t="n"/>
    </row>
    <row r="55">
      <c r="B55" s="19" t="n">
        <v>175</v>
      </c>
      <c r="C55" s="19" t="n">
        <v>200</v>
      </c>
    </row>
    <row r="56">
      <c r="B56" s="19" t="n">
        <v>250</v>
      </c>
      <c r="C56" s="19" t="n">
        <v>290</v>
      </c>
    </row>
  </sheetData>
  <mergeCells count="33">
    <mergeCell ref="E10:G10"/>
    <mergeCell ref="F11:G11"/>
    <mergeCell ref="E28:G28"/>
    <mergeCell ref="F29:G29"/>
    <mergeCell ref="C6:G6"/>
    <mergeCell ref="F54:G54"/>
    <mergeCell ref="B17:G17"/>
    <mergeCell ref="B1:G1"/>
    <mergeCell ref="C5:G5"/>
    <mergeCell ref="B19:G19"/>
    <mergeCell ref="F21:G21"/>
    <mergeCell ref="F12:G12"/>
    <mergeCell ref="F30:G30"/>
    <mergeCell ref="E36:G36"/>
    <mergeCell ref="B9:G9"/>
    <mergeCell ref="F45:G45"/>
    <mergeCell ref="B51:G51"/>
    <mergeCell ref="F38:G38"/>
    <mergeCell ref="B35:G35"/>
    <mergeCell ref="B4:G4"/>
    <mergeCell ref="F46:G46"/>
    <mergeCell ref="F22:G22"/>
    <mergeCell ref="B2:E2"/>
    <mergeCell ref="F13:G13"/>
    <mergeCell ref="B16:G16"/>
    <mergeCell ref="F37:G37"/>
    <mergeCell ref="C7:G7"/>
    <mergeCell ref="E52:G52"/>
    <mergeCell ref="B27:G27"/>
    <mergeCell ref="B43:G43"/>
    <mergeCell ref="E44:G44"/>
    <mergeCell ref="E20:G20"/>
    <mergeCell ref="F53:G53"/>
  </mergeCells>
  <hyperlinks>
    <hyperlink xmlns:r="http://schemas.openxmlformats.org/officeDocument/2006/relationships" ref="F2" r:id="rId1"/>
    <hyperlink xmlns:r="http://schemas.openxmlformats.org/officeDocument/2006/relationships" ref="G2" r:id="rId2"/>
  </hyperlink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B1:G56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22" customWidth="1" min="3" max="3"/>
    <col width="4" customWidth="1" min="4" max="4"/>
    <col width="34" customWidth="1" min="5" max="5"/>
    <col width="44" customWidth="1" min="6" max="6"/>
    <col width="28" customWidth="1" min="7" max="7"/>
  </cols>
  <sheetData>
    <row r="1" ht="30" customHeight="1">
      <c r="B1" s="10" t="inlineStr">
        <is>
          <t>📊 #015 — RUMUS EXCEL: CONFIDENCE.NORM   |   Kategori: 8. Statistik &amp; Analisis Data</t>
        </is>
      </c>
    </row>
    <row r="2" ht="22" customHeight="1">
      <c r="B2" s="11" t="inlineStr">
        <is>
          <t>1 Rumus = 1 Contoh Soal + Jawaban Benar &amp; 5 Soal Tes Mandiri (Kunci Jawaban Ada di Sheet Paling Terakhir)</t>
        </is>
      </c>
      <c r="F2" s="12" t="inlineStr">
        <is>
          <t>⬅️ Ke Daftar Isi (00_DAFTAR_ISI)</t>
        </is>
      </c>
      <c r="G2" s="3" t="inlineStr">
        <is>
          <t>🔑 Ke Kunci Jawaban (Sheet Akhir)</t>
        </is>
      </c>
    </row>
    <row r="4" ht="24" customHeight="1">
      <c r="B4" s="13" t="inlineStr">
        <is>
          <t>1️⃣ IDENTITAS RUMUS &amp; FUNGSINYA BUAT APA? (CONFIDENCE.NORM)</t>
        </is>
      </c>
    </row>
    <row r="5" ht="21" customHeight="1">
      <c r="B5" s="14" t="inlineStr">
        <is>
          <t>Nama Rumus Excel</t>
        </is>
      </c>
      <c r="C5" s="15">
        <f>CONFIDENCE.NORM(...)</f>
        <v/>
      </c>
      <c r="D5" s="5" t="n"/>
      <c r="E5" s="5" t="n"/>
      <c r="F5" s="5" t="n"/>
      <c r="G5" s="5" t="n"/>
    </row>
    <row r="6" ht="21" customHeight="1">
      <c r="B6" s="14" t="inlineStr">
        <is>
          <t>Sintaks / Pola Umum</t>
        </is>
      </c>
      <c r="C6" s="15">
        <f>CONFIDENCE.NORM(alpha, standard_dev, size)</f>
        <v/>
      </c>
      <c r="D6" s="5" t="n"/>
      <c r="E6" s="5" t="n"/>
      <c r="F6" s="5" t="n"/>
      <c r="G6" s="5" t="n"/>
    </row>
    <row r="7" ht="26" customHeight="1">
      <c r="B7" s="14" t="inlineStr">
        <is>
          <t>👶 Fungsinya Buat Apa?</t>
        </is>
      </c>
      <c r="C7" s="16" t="inlineStr">
        <is>
          <t>Menghitung rentang kepercayaan (margin of error) rata-rata populasi dengan distribusi normal.</t>
        </is>
      </c>
      <c r="D7" s="5" t="n"/>
      <c r="E7" s="5" t="n"/>
      <c r="F7" s="5" t="n"/>
      <c r="G7" s="5" t="n"/>
    </row>
    <row r="9" ht="24" customHeight="1">
      <c r="B9" s="17" t="inlineStr">
        <is>
          <t>2️⃣ 1 CONTOH SOAL &amp; CONTOH JAWABAN BENAR (PELAJARI POLA RUMUS CONFIDENCE.NORM DI SINI)</t>
        </is>
      </c>
    </row>
    <row r="10">
      <c r="B10" s="18" t="inlineStr">
        <is>
          <t>Parameter Kepercayaan</t>
        </is>
      </c>
      <c r="C10" s="18" t="inlineStr">
        <is>
          <t>Nilai Input</t>
        </is>
      </c>
      <c r="E10" s="18" t="inlineStr">
        <is>
          <t>✅ 1 CONTOH SOAL BESERTA CONTOH RUMUS &amp; HASIL JAWABAN BENAR:</t>
        </is>
      </c>
      <c r="F10" s="5" t="n"/>
      <c r="G10" s="5" t="n"/>
    </row>
    <row r="11" ht="28" customHeight="1">
      <c r="B11" s="19" t="inlineStr">
        <is>
          <t>Alpha (C11)</t>
        </is>
      </c>
      <c r="C11" s="19" t="n">
        <v>0.05</v>
      </c>
      <c r="E11" s="20" t="inlineStr">
        <is>
          <t>Contoh Soal:</t>
        </is>
      </c>
      <c r="F11" s="21" t="inlineStr">
        <is>
          <t>Hitung rentang kepercayaan menggunakan fungsi CONFIDENCE.NORM dengan Alpha di C11, Standar Deviasi di C12, dan Ukuran Sampel di C13!</t>
        </is>
      </c>
      <c r="G11" s="5" t="n"/>
    </row>
    <row r="12">
      <c r="B12" s="19" t="inlineStr">
        <is>
          <t>Standar Deviasi (C12)</t>
        </is>
      </c>
      <c r="C12" s="19" t="n">
        <v>5</v>
      </c>
      <c r="E12" s="20" t="inlineStr">
        <is>
          <t>Contoh Rumus Benar:</t>
        </is>
      </c>
      <c r="F12" s="22" t="inlineStr">
        <is>
          <t>'=CONFIDENCE.NORM(C11, C12, C13)</t>
        </is>
      </c>
      <c r="G12" s="5" t="n"/>
    </row>
    <row r="13">
      <c r="B13" s="19" t="inlineStr">
        <is>
          <t>Ukuran Sampel n (C13)</t>
        </is>
      </c>
      <c r="C13" s="19" t="n">
        <v>90</v>
      </c>
      <c r="E13" s="20" t="inlineStr">
        <is>
          <t>Contoh Hasil Benar:</t>
        </is>
      </c>
      <c r="F13" s="23">
        <f>CONFIDENCE.NORM(C11, C12, C13)</f>
        <v/>
      </c>
      <c r="G13" s="5" t="n"/>
    </row>
    <row r="14">
      <c r="B14" s="19" t="inlineStr">
        <is>
          <t>Cadangan</t>
        </is>
      </c>
      <c r="C14" s="19" t="n">
        <v>1</v>
      </c>
    </row>
    <row r="16" ht="26" customHeight="1">
      <c r="B16" s="24" t="inlineStr">
        <is>
          <t>3️⃣ 5 SOAL TES DUNIA NYATA — KERJAKAN DI KOTAK KUNING (TANPA KUNCI RUMUS / HASIL DI SINI!)</t>
        </is>
      </c>
    </row>
    <row r="17" ht="20" customHeight="1">
      <c r="B17" s="25" t="inlineStr">
        <is>
          <t>📌 Catatan Tes: Soal Tes #1 s/d #5 di bawah ini tidak menampilkan kunci rumus maupun hasil. Kunci jawaban lengkap tersedia di sheet paling terakhir (99_KUNCI_JAWABAN).</t>
        </is>
      </c>
    </row>
    <row r="19" ht="22" customHeight="1">
      <c r="B19" s="26" t="inlineStr">
        <is>
          <t>📝 SOAL TES #1: Kasus Keuangan &amp; Akuntansi Kantor</t>
        </is>
      </c>
    </row>
    <row r="20" ht="30" customHeight="1">
      <c r="B20" s="14" t="inlineStr">
        <is>
          <t>Parameter Kepercayaan</t>
        </is>
      </c>
      <c r="C20" s="14" t="inlineStr">
        <is>
          <t>Nilai Input</t>
        </is>
      </c>
      <c r="E20" s="27" t="inlineStr">
        <is>
          <t>Persoalan Tes #1: Hitung rentang kepercayaan menggunakan fungsi CONFIDENCE.NORM dengan Alpha di C21, Standar Deviasi di C22, dan Ukuran Sampel di C23!</t>
        </is>
      </c>
    </row>
    <row r="21">
      <c r="B21" s="19" t="inlineStr">
        <is>
          <t>Alpha (C21)</t>
        </is>
      </c>
      <c r="C21" s="19" t="n">
        <v>0.05</v>
      </c>
      <c r="E21" s="14" t="inlineStr">
        <is>
          <t>✏️ KETIK RUMUS JAWABAN TES DI BAWAH:</t>
        </is>
      </c>
      <c r="F21" s="14" t="inlineStr">
        <is>
          <t>📌 STATUS KOREKSI JAWABAN TES:</t>
        </is>
      </c>
      <c r="G21" s="5" t="n"/>
    </row>
    <row r="22" ht="26" customHeight="1">
      <c r="B22" s="19" t="inlineStr">
        <is>
          <t>Standar Deviasi (C22)</t>
        </is>
      </c>
      <c r="C22" s="19" t="n">
        <v>2.5</v>
      </c>
      <c r="E22" s="28" t="n"/>
      <c r="F22" s="29">
        <f>IF(ISBLANK(E22), "⏳ Belum Diisi (Ketik Rumus di Sel Kuning E22)", IF(E22='99_KUNCI_JAWABAN'!F75, "✅ BENAR! JAWABAN TES TEPAT!", "❌ Belum Tepat (Cek Sheet Akhir: 99_KUNCI_JAWABAN)"))</f>
        <v/>
      </c>
      <c r="G22" s="5" t="n"/>
    </row>
    <row r="23">
      <c r="B23" s="19" t="inlineStr">
        <is>
          <t>Ukuran Sampel n (C23)</t>
        </is>
      </c>
      <c r="C23" s="19" t="n">
        <v>40</v>
      </c>
    </row>
    <row r="24">
      <c r="B24" s="19" t="inlineStr">
        <is>
          <t>Cadangan</t>
        </is>
      </c>
      <c r="C24" s="19" t="n">
        <v>1</v>
      </c>
    </row>
    <row r="27" ht="22" customHeight="1">
      <c r="B27" s="26" t="inlineStr">
        <is>
          <t>📝 SOAL TES #2: Kasus HRD, Gaji &amp; Lembur Karyawan</t>
        </is>
      </c>
    </row>
    <row r="28" ht="30" customHeight="1">
      <c r="B28" s="14" t="inlineStr">
        <is>
          <t>Parameter Kepercayaan</t>
        </is>
      </c>
      <c r="C28" s="14" t="inlineStr">
        <is>
          <t>Nilai Input</t>
        </is>
      </c>
      <c r="E28" s="27" t="inlineStr">
        <is>
          <t>Persoalan Tes #2: Hitung rentang kepercayaan menggunakan fungsi CONFIDENCE.NORM dengan Alpha di C29, Standar Deviasi di C30, dan Ukuran Sampel di C31!</t>
        </is>
      </c>
    </row>
    <row r="29">
      <c r="B29" s="19" t="inlineStr">
        <is>
          <t>Alpha (C29)</t>
        </is>
      </c>
      <c r="C29" s="19" t="n">
        <v>0.05</v>
      </c>
      <c r="E29" s="14" t="inlineStr">
        <is>
          <t>✏️ KETIK RUMUS JAWABAN TES DI BAWAH:</t>
        </is>
      </c>
      <c r="F29" s="14" t="inlineStr">
        <is>
          <t>📌 STATUS KOREKSI JAWABAN TES:</t>
        </is>
      </c>
      <c r="G29" s="5" t="n"/>
    </row>
    <row r="30" ht="26" customHeight="1">
      <c r="B30" s="19" t="inlineStr">
        <is>
          <t>Standar Deviasi (C30)</t>
        </is>
      </c>
      <c r="C30" s="19" t="n">
        <v>3</v>
      </c>
      <c r="E30" s="28" t="n"/>
      <c r="F30" s="29">
        <f>IF(ISBLANK(E30), "⏳ Belum Diisi (Ketik Rumus di Sel Kuning E30)", IF(E30='99_KUNCI_JAWABAN'!F76, "✅ BENAR! JAWABAN TES TEPAT!", "❌ Belum Tepat (Cek Sheet Akhir: 99_KUNCI_JAWABAN)"))</f>
        <v/>
      </c>
      <c r="G30" s="5" t="n"/>
    </row>
    <row r="31">
      <c r="B31" s="19" t="inlineStr">
        <is>
          <t>Ukuran Sampel n (C31)</t>
        </is>
      </c>
      <c r="C31" s="19" t="n">
        <v>50</v>
      </c>
    </row>
    <row r="32">
      <c r="B32" s="19" t="inlineStr">
        <is>
          <t>Cadangan</t>
        </is>
      </c>
      <c r="C32" s="19" t="n">
        <v>1</v>
      </c>
    </row>
    <row r="35" ht="22" customHeight="1">
      <c r="B35" s="26" t="inlineStr">
        <is>
          <t>📝 SOAL TES #3: Kasus Logistik &amp; Stok Gudang Utama</t>
        </is>
      </c>
    </row>
    <row r="36" ht="30" customHeight="1">
      <c r="B36" s="14" t="inlineStr">
        <is>
          <t>Parameter Kepercayaan</t>
        </is>
      </c>
      <c r="C36" s="14" t="inlineStr">
        <is>
          <t>Nilai Input</t>
        </is>
      </c>
      <c r="E36" s="27" t="inlineStr">
        <is>
          <t>Persoalan Tes #3: Hitung rentang kepercayaan menggunakan fungsi CONFIDENCE.NORM dengan Alpha di C37, Standar Deviasi di C38, dan Ukuran Sampel di C39!</t>
        </is>
      </c>
    </row>
    <row r="37">
      <c r="B37" s="19" t="inlineStr">
        <is>
          <t>Alpha (C37)</t>
        </is>
      </c>
      <c r="C37" s="19" t="n">
        <v>0.05</v>
      </c>
      <c r="E37" s="14" t="inlineStr">
        <is>
          <t>✏️ KETIK RUMUS JAWABAN TES DI BAWAH:</t>
        </is>
      </c>
      <c r="F37" s="14" t="inlineStr">
        <is>
          <t>📌 STATUS KOREKSI JAWABAN TES:</t>
        </is>
      </c>
      <c r="G37" s="5" t="n"/>
    </row>
    <row r="38" ht="26" customHeight="1">
      <c r="B38" s="19" t="inlineStr">
        <is>
          <t>Standar Deviasi (C38)</t>
        </is>
      </c>
      <c r="C38" s="19" t="n">
        <v>3.5</v>
      </c>
      <c r="E38" s="28" t="n"/>
      <c r="F38" s="29">
        <f>IF(ISBLANK(E38), "⏳ Belum Diisi (Ketik Rumus di Sel Kuning E38)", IF(E38='99_KUNCI_JAWABAN'!F77, "✅ BENAR! JAWABAN TES TEPAT!", "❌ Belum Tepat (Cek Sheet Akhir: 99_KUNCI_JAWABAN)"))</f>
        <v/>
      </c>
      <c r="G38" s="5" t="n"/>
    </row>
    <row r="39">
      <c r="B39" s="19" t="inlineStr">
        <is>
          <t>Ukuran Sampel n (C39)</t>
        </is>
      </c>
      <c r="C39" s="19" t="n">
        <v>60</v>
      </c>
    </row>
    <row r="40">
      <c r="B40" s="19" t="inlineStr">
        <is>
          <t>Cadangan</t>
        </is>
      </c>
      <c r="C40" s="19" t="n">
        <v>1</v>
      </c>
    </row>
    <row r="43" ht="22" customHeight="1">
      <c r="B43" s="26" t="inlineStr">
        <is>
          <t>📝 SOAL TES #4: Kasus Penjualan Retail &amp; Target Toko</t>
        </is>
      </c>
    </row>
    <row r="44" ht="30" customHeight="1">
      <c r="B44" s="14" t="inlineStr">
        <is>
          <t>Parameter Kepercayaan</t>
        </is>
      </c>
      <c r="C44" s="14" t="inlineStr">
        <is>
          <t>Nilai Input</t>
        </is>
      </c>
      <c r="E44" s="27" t="inlineStr">
        <is>
          <t>Persoalan Tes #4: Hitung rentang kepercayaan menggunakan fungsi CONFIDENCE.NORM dengan Alpha di C45, Standar Deviasi di C46, dan Ukuran Sampel di C47!</t>
        </is>
      </c>
    </row>
    <row r="45">
      <c r="B45" s="19" t="inlineStr">
        <is>
          <t>Alpha (C45)</t>
        </is>
      </c>
      <c r="C45" s="19" t="n">
        <v>0.05</v>
      </c>
      <c r="E45" s="14" t="inlineStr">
        <is>
          <t>✏️ KETIK RUMUS JAWABAN TES DI BAWAH:</t>
        </is>
      </c>
      <c r="F45" s="14" t="inlineStr">
        <is>
          <t>📌 STATUS KOREKSI JAWABAN TES:</t>
        </is>
      </c>
      <c r="G45" s="5" t="n"/>
    </row>
    <row r="46" ht="26" customHeight="1">
      <c r="B46" s="19" t="inlineStr">
        <is>
          <t>Standar Deviasi (C46)</t>
        </is>
      </c>
      <c r="C46" s="19" t="n">
        <v>4</v>
      </c>
      <c r="E46" s="28" t="n"/>
      <c r="F46" s="29">
        <f>IF(ISBLANK(E46), "⏳ Belum Diisi (Ketik Rumus di Sel Kuning E46)", IF(E46='99_KUNCI_JAWABAN'!F78, "✅ BENAR! JAWABAN TES TEPAT!", "❌ Belum Tepat (Cek Sheet Akhir: 99_KUNCI_JAWABAN)"))</f>
        <v/>
      </c>
      <c r="G46" s="5" t="n"/>
    </row>
    <row r="47">
      <c r="B47" s="19" t="inlineStr">
        <is>
          <t>Ukuran Sampel n (C47)</t>
        </is>
      </c>
      <c r="C47" s="19" t="n">
        <v>70</v>
      </c>
    </row>
    <row r="48">
      <c r="B48" s="19" t="inlineStr">
        <is>
          <t>Cadangan</t>
        </is>
      </c>
      <c r="C48" s="19" t="n">
        <v>1</v>
      </c>
    </row>
    <row r="51" ht="22" customHeight="1">
      <c r="B51" s="26" t="inlineStr">
        <is>
          <t>📝 SOAL TES #5: Kasus Akademik Sekolah &amp; Layanan Publik</t>
        </is>
      </c>
    </row>
    <row r="52" ht="30" customHeight="1">
      <c r="B52" s="14" t="inlineStr">
        <is>
          <t>Parameter Kepercayaan</t>
        </is>
      </c>
      <c r="C52" s="14" t="inlineStr">
        <is>
          <t>Nilai Input</t>
        </is>
      </c>
      <c r="E52" s="27" t="inlineStr">
        <is>
          <t>Persoalan Tes #5: Hitung rentang kepercayaan menggunakan fungsi CONFIDENCE.NORM dengan Alpha di C53, Standar Deviasi di C54, dan Ukuran Sampel di C55!</t>
        </is>
      </c>
    </row>
    <row r="53">
      <c r="B53" s="19" t="inlineStr">
        <is>
          <t>Alpha (C53)</t>
        </is>
      </c>
      <c r="C53" s="19" t="n">
        <v>0.05</v>
      </c>
      <c r="E53" s="14" t="inlineStr">
        <is>
          <t>✏️ KETIK RUMUS JAWABAN TES DI BAWAH:</t>
        </is>
      </c>
      <c r="F53" s="14" t="inlineStr">
        <is>
          <t>📌 STATUS KOREKSI JAWABAN TES:</t>
        </is>
      </c>
      <c r="G53" s="5" t="n"/>
    </row>
    <row r="54" ht="26" customHeight="1">
      <c r="B54" s="19" t="inlineStr">
        <is>
          <t>Standar Deviasi (C54)</t>
        </is>
      </c>
      <c r="C54" s="19" t="n">
        <v>4.5</v>
      </c>
      <c r="E54" s="28" t="n"/>
      <c r="F54" s="29">
        <f>IF(ISBLANK(E54), "⏳ Belum Diisi (Ketik Rumus di Sel Kuning E54)", IF(E54='99_KUNCI_JAWABAN'!F79, "✅ BENAR! JAWABAN TES TEPAT!", "❌ Belum Tepat (Cek Sheet Akhir: 99_KUNCI_JAWABAN)"))</f>
        <v/>
      </c>
      <c r="G54" s="5" t="n"/>
    </row>
    <row r="55">
      <c r="B55" s="19" t="inlineStr">
        <is>
          <t>Ukuran Sampel n (C55)</t>
        </is>
      </c>
      <c r="C55" s="19" t="n">
        <v>80</v>
      </c>
    </row>
    <row r="56">
      <c r="B56" s="19" t="inlineStr">
        <is>
          <t>Cadangan</t>
        </is>
      </c>
      <c r="C56" s="19" t="n">
        <v>1</v>
      </c>
    </row>
  </sheetData>
  <mergeCells count="33">
    <mergeCell ref="E10:G10"/>
    <mergeCell ref="F11:G11"/>
    <mergeCell ref="E28:G28"/>
    <mergeCell ref="F29:G29"/>
    <mergeCell ref="C6:G6"/>
    <mergeCell ref="F54:G54"/>
    <mergeCell ref="B17:G17"/>
    <mergeCell ref="B1:G1"/>
    <mergeCell ref="C5:G5"/>
    <mergeCell ref="B19:G19"/>
    <mergeCell ref="F21:G21"/>
    <mergeCell ref="F12:G12"/>
    <mergeCell ref="F30:G30"/>
    <mergeCell ref="E36:G36"/>
    <mergeCell ref="B9:G9"/>
    <mergeCell ref="F45:G45"/>
    <mergeCell ref="B51:G51"/>
    <mergeCell ref="F38:G38"/>
    <mergeCell ref="B35:G35"/>
    <mergeCell ref="B4:G4"/>
    <mergeCell ref="F46:G46"/>
    <mergeCell ref="F22:G22"/>
    <mergeCell ref="B2:E2"/>
    <mergeCell ref="F13:G13"/>
    <mergeCell ref="B16:G16"/>
    <mergeCell ref="F37:G37"/>
    <mergeCell ref="C7:G7"/>
    <mergeCell ref="E52:G52"/>
    <mergeCell ref="B27:G27"/>
    <mergeCell ref="B43:G43"/>
    <mergeCell ref="E44:G44"/>
    <mergeCell ref="E20:G20"/>
    <mergeCell ref="F53:G53"/>
  </mergeCells>
  <hyperlinks>
    <hyperlink xmlns:r="http://schemas.openxmlformats.org/officeDocument/2006/relationships" ref="F2" r:id="rId1"/>
    <hyperlink xmlns:r="http://schemas.openxmlformats.org/officeDocument/2006/relationships" ref="G2" r:id="rId2"/>
  </hyperlink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B1:G56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22" customWidth="1" min="3" max="3"/>
    <col width="4" customWidth="1" min="4" max="4"/>
    <col width="34" customWidth="1" min="5" max="5"/>
    <col width="44" customWidth="1" min="6" max="6"/>
    <col width="28" customWidth="1" min="7" max="7"/>
  </cols>
  <sheetData>
    <row r="1" ht="30" customHeight="1">
      <c r="B1" s="10" t="inlineStr">
        <is>
          <t>📊 #016 — RUMUS EXCEL: CONFIDENCE.T   |   Kategori: 8. Statistik &amp; Analisis Data</t>
        </is>
      </c>
    </row>
    <row r="2" ht="22" customHeight="1">
      <c r="B2" s="11" t="inlineStr">
        <is>
          <t>1 Rumus = 1 Contoh Soal + Jawaban Benar &amp; 5 Soal Tes Mandiri (Kunci Jawaban Ada di Sheet Paling Terakhir)</t>
        </is>
      </c>
      <c r="F2" s="12" t="inlineStr">
        <is>
          <t>⬅️ Ke Daftar Isi (00_DAFTAR_ISI)</t>
        </is>
      </c>
      <c r="G2" s="3" t="inlineStr">
        <is>
          <t>🔑 Ke Kunci Jawaban (Sheet Akhir)</t>
        </is>
      </c>
    </row>
    <row r="4" ht="24" customHeight="1">
      <c r="B4" s="13" t="inlineStr">
        <is>
          <t>1️⃣ IDENTITAS RUMUS &amp; FUNGSINYA BUAT APA? (CONFIDENCE.T)</t>
        </is>
      </c>
    </row>
    <row r="5" ht="21" customHeight="1">
      <c r="B5" s="14" t="inlineStr">
        <is>
          <t>Nama Rumus Excel</t>
        </is>
      </c>
      <c r="C5" s="15">
        <f>CONFIDENCE.T(...)</f>
        <v/>
      </c>
      <c r="D5" s="5" t="n"/>
      <c r="E5" s="5" t="n"/>
      <c r="F5" s="5" t="n"/>
      <c r="G5" s="5" t="n"/>
    </row>
    <row r="6" ht="21" customHeight="1">
      <c r="B6" s="14" t="inlineStr">
        <is>
          <t>Sintaks / Pola Umum</t>
        </is>
      </c>
      <c r="C6" s="15">
        <f>CONFIDENCE.T(alpha, standard_dev, size)</f>
        <v/>
      </c>
      <c r="D6" s="5" t="n"/>
      <c r="E6" s="5" t="n"/>
      <c r="F6" s="5" t="n"/>
      <c r="G6" s="5" t="n"/>
    </row>
    <row r="7" ht="26" customHeight="1">
      <c r="B7" s="14" t="inlineStr">
        <is>
          <t>👶 Fungsinya Buat Apa?</t>
        </is>
      </c>
      <c r="C7" s="16" t="inlineStr">
        <is>
          <t>Menghitung rentang kepercayaan rata-rata populasi dengan distribusi Student's t.</t>
        </is>
      </c>
      <c r="D7" s="5" t="n"/>
      <c r="E7" s="5" t="n"/>
      <c r="F7" s="5" t="n"/>
      <c r="G7" s="5" t="n"/>
    </row>
    <row r="9" ht="24" customHeight="1">
      <c r="B9" s="17" t="inlineStr">
        <is>
          <t>2️⃣ 1 CONTOH SOAL &amp; CONTOH JAWABAN BENAR (PELAJARI POLA RUMUS CONFIDENCE.T DI SINI)</t>
        </is>
      </c>
    </row>
    <row r="10">
      <c r="B10" s="18" t="inlineStr">
        <is>
          <t>Parameter Kepercayaan</t>
        </is>
      </c>
      <c r="C10" s="18" t="inlineStr">
        <is>
          <t>Nilai Input</t>
        </is>
      </c>
      <c r="E10" s="18" t="inlineStr">
        <is>
          <t>✅ 1 CONTOH SOAL BESERTA CONTOH RUMUS &amp; HASIL JAWABAN BENAR:</t>
        </is>
      </c>
      <c r="F10" s="5" t="n"/>
      <c r="G10" s="5" t="n"/>
    </row>
    <row r="11" ht="28" customHeight="1">
      <c r="B11" s="19" t="inlineStr">
        <is>
          <t>Alpha (C11)</t>
        </is>
      </c>
      <c r="C11" s="19" t="n">
        <v>0.05</v>
      </c>
      <c r="E11" s="20" t="inlineStr">
        <is>
          <t>Contoh Soal:</t>
        </is>
      </c>
      <c r="F11" s="21" t="inlineStr">
        <is>
          <t>Hitung rentang kepercayaan menggunakan fungsi CONFIDENCE.T dengan Alpha di C11, Standar Deviasi di C12, dan Ukuran Sampel di C13!</t>
        </is>
      </c>
      <c r="G11" s="5" t="n"/>
    </row>
    <row r="12">
      <c r="B12" s="19" t="inlineStr">
        <is>
          <t>Standar Deviasi (C12)</t>
        </is>
      </c>
      <c r="C12" s="19" t="n">
        <v>5</v>
      </c>
      <c r="E12" s="20" t="inlineStr">
        <is>
          <t>Contoh Rumus Benar:</t>
        </is>
      </c>
      <c r="F12" s="22" t="inlineStr">
        <is>
          <t>'=CONFIDENCE.T(C11, C12, C13)</t>
        </is>
      </c>
      <c r="G12" s="5" t="n"/>
    </row>
    <row r="13">
      <c r="B13" s="19" t="inlineStr">
        <is>
          <t>Ukuran Sampel n (C13)</t>
        </is>
      </c>
      <c r="C13" s="19" t="n">
        <v>90</v>
      </c>
      <c r="E13" s="20" t="inlineStr">
        <is>
          <t>Contoh Hasil Benar:</t>
        </is>
      </c>
      <c r="F13" s="23">
        <f>CONFIDENCE.T(C11, C12, C13)</f>
        <v/>
      </c>
      <c r="G13" s="5" t="n"/>
    </row>
    <row r="14">
      <c r="B14" s="19" t="inlineStr">
        <is>
          <t>Cadangan</t>
        </is>
      </c>
      <c r="C14" s="19" t="n">
        <v>1</v>
      </c>
    </row>
    <row r="16" ht="26" customHeight="1">
      <c r="B16" s="24" t="inlineStr">
        <is>
          <t>3️⃣ 5 SOAL TES DUNIA NYATA — KERJAKAN DI KOTAK KUNING (TANPA KUNCI RUMUS / HASIL DI SINI!)</t>
        </is>
      </c>
    </row>
    <row r="17" ht="20" customHeight="1">
      <c r="B17" s="25" t="inlineStr">
        <is>
          <t>📌 Catatan Tes: Soal Tes #1 s/d #5 di bawah ini tidak menampilkan kunci rumus maupun hasil. Kunci jawaban lengkap tersedia di sheet paling terakhir (99_KUNCI_JAWABAN).</t>
        </is>
      </c>
    </row>
    <row r="19" ht="22" customHeight="1">
      <c r="B19" s="26" t="inlineStr">
        <is>
          <t>📝 SOAL TES #1: Kasus Keuangan &amp; Akuntansi Kantor</t>
        </is>
      </c>
    </row>
    <row r="20" ht="30" customHeight="1">
      <c r="B20" s="14" t="inlineStr">
        <is>
          <t>Parameter Kepercayaan</t>
        </is>
      </c>
      <c r="C20" s="14" t="inlineStr">
        <is>
          <t>Nilai Input</t>
        </is>
      </c>
      <c r="E20" s="27" t="inlineStr">
        <is>
          <t>Persoalan Tes #1: Hitung rentang kepercayaan menggunakan fungsi CONFIDENCE.T dengan Alpha di C21, Standar Deviasi di C22, dan Ukuran Sampel di C23!</t>
        </is>
      </c>
    </row>
    <row r="21">
      <c r="B21" s="19" t="inlineStr">
        <is>
          <t>Alpha (C21)</t>
        </is>
      </c>
      <c r="C21" s="19" t="n">
        <v>0.05</v>
      </c>
      <c r="E21" s="14" t="inlineStr">
        <is>
          <t>✏️ KETIK RUMUS JAWABAN TES DI BAWAH:</t>
        </is>
      </c>
      <c r="F21" s="14" t="inlineStr">
        <is>
          <t>📌 STATUS KOREKSI JAWABAN TES:</t>
        </is>
      </c>
      <c r="G21" s="5" t="n"/>
    </row>
    <row r="22" ht="26" customHeight="1">
      <c r="B22" s="19" t="inlineStr">
        <is>
          <t>Standar Deviasi (C22)</t>
        </is>
      </c>
      <c r="C22" s="19" t="n">
        <v>2.5</v>
      </c>
      <c r="E22" s="28" t="n"/>
      <c r="F22" s="29">
        <f>IF(ISBLANK(E22), "⏳ Belum Diisi (Ketik Rumus di Sel Kuning E22)", IF(E22='99_KUNCI_JAWABAN'!F80, "✅ BENAR! JAWABAN TES TEPAT!", "❌ Belum Tepat (Cek Sheet Akhir: 99_KUNCI_JAWABAN)"))</f>
        <v/>
      </c>
      <c r="G22" s="5" t="n"/>
    </row>
    <row r="23">
      <c r="B23" s="19" t="inlineStr">
        <is>
          <t>Ukuran Sampel n (C23)</t>
        </is>
      </c>
      <c r="C23" s="19" t="n">
        <v>40</v>
      </c>
    </row>
    <row r="24">
      <c r="B24" s="19" t="inlineStr">
        <is>
          <t>Cadangan</t>
        </is>
      </c>
      <c r="C24" s="19" t="n">
        <v>1</v>
      </c>
    </row>
    <row r="27" ht="22" customHeight="1">
      <c r="B27" s="26" t="inlineStr">
        <is>
          <t>📝 SOAL TES #2: Kasus HRD, Gaji &amp; Lembur Karyawan</t>
        </is>
      </c>
    </row>
    <row r="28" ht="30" customHeight="1">
      <c r="B28" s="14" t="inlineStr">
        <is>
          <t>Parameter Kepercayaan</t>
        </is>
      </c>
      <c r="C28" s="14" t="inlineStr">
        <is>
          <t>Nilai Input</t>
        </is>
      </c>
      <c r="E28" s="27" t="inlineStr">
        <is>
          <t>Persoalan Tes #2: Hitung rentang kepercayaan menggunakan fungsi CONFIDENCE.T dengan Alpha di C29, Standar Deviasi di C30, dan Ukuran Sampel di C31!</t>
        </is>
      </c>
    </row>
    <row r="29">
      <c r="B29" s="19" t="inlineStr">
        <is>
          <t>Alpha (C29)</t>
        </is>
      </c>
      <c r="C29" s="19" t="n">
        <v>0.05</v>
      </c>
      <c r="E29" s="14" t="inlineStr">
        <is>
          <t>✏️ KETIK RUMUS JAWABAN TES DI BAWAH:</t>
        </is>
      </c>
      <c r="F29" s="14" t="inlineStr">
        <is>
          <t>📌 STATUS KOREKSI JAWABAN TES:</t>
        </is>
      </c>
      <c r="G29" s="5" t="n"/>
    </row>
    <row r="30" ht="26" customHeight="1">
      <c r="B30" s="19" t="inlineStr">
        <is>
          <t>Standar Deviasi (C30)</t>
        </is>
      </c>
      <c r="C30" s="19" t="n">
        <v>3</v>
      </c>
      <c r="E30" s="28" t="n"/>
      <c r="F30" s="29">
        <f>IF(ISBLANK(E30), "⏳ Belum Diisi (Ketik Rumus di Sel Kuning E30)", IF(E30='99_KUNCI_JAWABAN'!F81, "✅ BENAR! JAWABAN TES TEPAT!", "❌ Belum Tepat (Cek Sheet Akhir: 99_KUNCI_JAWABAN)"))</f>
        <v/>
      </c>
      <c r="G30" s="5" t="n"/>
    </row>
    <row r="31">
      <c r="B31" s="19" t="inlineStr">
        <is>
          <t>Ukuran Sampel n (C31)</t>
        </is>
      </c>
      <c r="C31" s="19" t="n">
        <v>50</v>
      </c>
    </row>
    <row r="32">
      <c r="B32" s="19" t="inlineStr">
        <is>
          <t>Cadangan</t>
        </is>
      </c>
      <c r="C32" s="19" t="n">
        <v>1</v>
      </c>
    </row>
    <row r="35" ht="22" customHeight="1">
      <c r="B35" s="26" t="inlineStr">
        <is>
          <t>📝 SOAL TES #3: Kasus Logistik &amp; Stok Gudang Utama</t>
        </is>
      </c>
    </row>
    <row r="36" ht="30" customHeight="1">
      <c r="B36" s="14" t="inlineStr">
        <is>
          <t>Parameter Kepercayaan</t>
        </is>
      </c>
      <c r="C36" s="14" t="inlineStr">
        <is>
          <t>Nilai Input</t>
        </is>
      </c>
      <c r="E36" s="27" t="inlineStr">
        <is>
          <t>Persoalan Tes #3: Hitung rentang kepercayaan menggunakan fungsi CONFIDENCE.T dengan Alpha di C37, Standar Deviasi di C38, dan Ukuran Sampel di C39!</t>
        </is>
      </c>
    </row>
    <row r="37">
      <c r="B37" s="19" t="inlineStr">
        <is>
          <t>Alpha (C37)</t>
        </is>
      </c>
      <c r="C37" s="19" t="n">
        <v>0.05</v>
      </c>
      <c r="E37" s="14" t="inlineStr">
        <is>
          <t>✏️ KETIK RUMUS JAWABAN TES DI BAWAH:</t>
        </is>
      </c>
      <c r="F37" s="14" t="inlineStr">
        <is>
          <t>📌 STATUS KOREKSI JAWABAN TES:</t>
        </is>
      </c>
      <c r="G37" s="5" t="n"/>
    </row>
    <row r="38" ht="26" customHeight="1">
      <c r="B38" s="19" t="inlineStr">
        <is>
          <t>Standar Deviasi (C38)</t>
        </is>
      </c>
      <c r="C38" s="19" t="n">
        <v>3.5</v>
      </c>
      <c r="E38" s="28" t="n"/>
      <c r="F38" s="29">
        <f>IF(ISBLANK(E38), "⏳ Belum Diisi (Ketik Rumus di Sel Kuning E38)", IF(E38='99_KUNCI_JAWABAN'!F82, "✅ BENAR! JAWABAN TES TEPAT!", "❌ Belum Tepat (Cek Sheet Akhir: 99_KUNCI_JAWABAN)"))</f>
        <v/>
      </c>
      <c r="G38" s="5" t="n"/>
    </row>
    <row r="39">
      <c r="B39" s="19" t="inlineStr">
        <is>
          <t>Ukuran Sampel n (C39)</t>
        </is>
      </c>
      <c r="C39" s="19" t="n">
        <v>60</v>
      </c>
    </row>
    <row r="40">
      <c r="B40" s="19" t="inlineStr">
        <is>
          <t>Cadangan</t>
        </is>
      </c>
      <c r="C40" s="19" t="n">
        <v>1</v>
      </c>
    </row>
    <row r="43" ht="22" customHeight="1">
      <c r="B43" s="26" t="inlineStr">
        <is>
          <t>📝 SOAL TES #4: Kasus Penjualan Retail &amp; Target Toko</t>
        </is>
      </c>
    </row>
    <row r="44" ht="30" customHeight="1">
      <c r="B44" s="14" t="inlineStr">
        <is>
          <t>Parameter Kepercayaan</t>
        </is>
      </c>
      <c r="C44" s="14" t="inlineStr">
        <is>
          <t>Nilai Input</t>
        </is>
      </c>
      <c r="E44" s="27" t="inlineStr">
        <is>
          <t>Persoalan Tes #4: Hitung rentang kepercayaan menggunakan fungsi CONFIDENCE.T dengan Alpha di C45, Standar Deviasi di C46, dan Ukuran Sampel di C47!</t>
        </is>
      </c>
    </row>
    <row r="45">
      <c r="B45" s="19" t="inlineStr">
        <is>
          <t>Alpha (C45)</t>
        </is>
      </c>
      <c r="C45" s="19" t="n">
        <v>0.05</v>
      </c>
      <c r="E45" s="14" t="inlineStr">
        <is>
          <t>✏️ KETIK RUMUS JAWABAN TES DI BAWAH:</t>
        </is>
      </c>
      <c r="F45" s="14" t="inlineStr">
        <is>
          <t>📌 STATUS KOREKSI JAWABAN TES:</t>
        </is>
      </c>
      <c r="G45" s="5" t="n"/>
    </row>
    <row r="46" ht="26" customHeight="1">
      <c r="B46" s="19" t="inlineStr">
        <is>
          <t>Standar Deviasi (C46)</t>
        </is>
      </c>
      <c r="C46" s="19" t="n">
        <v>4</v>
      </c>
      <c r="E46" s="28" t="n"/>
      <c r="F46" s="29">
        <f>IF(ISBLANK(E46), "⏳ Belum Diisi (Ketik Rumus di Sel Kuning E46)", IF(E46='99_KUNCI_JAWABAN'!F83, "✅ BENAR! JAWABAN TES TEPAT!", "❌ Belum Tepat (Cek Sheet Akhir: 99_KUNCI_JAWABAN)"))</f>
        <v/>
      </c>
      <c r="G46" s="5" t="n"/>
    </row>
    <row r="47">
      <c r="B47" s="19" t="inlineStr">
        <is>
          <t>Ukuran Sampel n (C47)</t>
        </is>
      </c>
      <c r="C47" s="19" t="n">
        <v>70</v>
      </c>
    </row>
    <row r="48">
      <c r="B48" s="19" t="inlineStr">
        <is>
          <t>Cadangan</t>
        </is>
      </c>
      <c r="C48" s="19" t="n">
        <v>1</v>
      </c>
    </row>
    <row r="51" ht="22" customHeight="1">
      <c r="B51" s="26" t="inlineStr">
        <is>
          <t>📝 SOAL TES #5: Kasus Akademik Sekolah &amp; Layanan Publik</t>
        </is>
      </c>
    </row>
    <row r="52" ht="30" customHeight="1">
      <c r="B52" s="14" t="inlineStr">
        <is>
          <t>Parameter Kepercayaan</t>
        </is>
      </c>
      <c r="C52" s="14" t="inlineStr">
        <is>
          <t>Nilai Input</t>
        </is>
      </c>
      <c r="E52" s="27" t="inlineStr">
        <is>
          <t>Persoalan Tes #5: Hitung rentang kepercayaan menggunakan fungsi CONFIDENCE.T dengan Alpha di C53, Standar Deviasi di C54, dan Ukuran Sampel di C55!</t>
        </is>
      </c>
    </row>
    <row r="53">
      <c r="B53" s="19" t="inlineStr">
        <is>
          <t>Alpha (C53)</t>
        </is>
      </c>
      <c r="C53" s="19" t="n">
        <v>0.05</v>
      </c>
      <c r="E53" s="14" t="inlineStr">
        <is>
          <t>✏️ KETIK RUMUS JAWABAN TES DI BAWAH:</t>
        </is>
      </c>
      <c r="F53" s="14" t="inlineStr">
        <is>
          <t>📌 STATUS KOREKSI JAWABAN TES:</t>
        </is>
      </c>
      <c r="G53" s="5" t="n"/>
    </row>
    <row r="54" ht="26" customHeight="1">
      <c r="B54" s="19" t="inlineStr">
        <is>
          <t>Standar Deviasi (C54)</t>
        </is>
      </c>
      <c r="C54" s="19" t="n">
        <v>4.5</v>
      </c>
      <c r="E54" s="28" t="n"/>
      <c r="F54" s="29">
        <f>IF(ISBLANK(E54), "⏳ Belum Diisi (Ketik Rumus di Sel Kuning E54)", IF(E54='99_KUNCI_JAWABAN'!F84, "✅ BENAR! JAWABAN TES TEPAT!", "❌ Belum Tepat (Cek Sheet Akhir: 99_KUNCI_JAWABAN)"))</f>
        <v/>
      </c>
      <c r="G54" s="5" t="n"/>
    </row>
    <row r="55">
      <c r="B55" s="19" t="inlineStr">
        <is>
          <t>Ukuran Sampel n (C55)</t>
        </is>
      </c>
      <c r="C55" s="19" t="n">
        <v>80</v>
      </c>
    </row>
    <row r="56">
      <c r="B56" s="19" t="inlineStr">
        <is>
          <t>Cadangan</t>
        </is>
      </c>
      <c r="C56" s="19" t="n">
        <v>1</v>
      </c>
    </row>
  </sheetData>
  <mergeCells count="33">
    <mergeCell ref="E10:G10"/>
    <mergeCell ref="F11:G11"/>
    <mergeCell ref="E28:G28"/>
    <mergeCell ref="F29:G29"/>
    <mergeCell ref="C6:G6"/>
    <mergeCell ref="F54:G54"/>
    <mergeCell ref="B17:G17"/>
    <mergeCell ref="B1:G1"/>
    <mergeCell ref="C5:G5"/>
    <mergeCell ref="B19:G19"/>
    <mergeCell ref="F21:G21"/>
    <mergeCell ref="F12:G12"/>
    <mergeCell ref="F30:G30"/>
    <mergeCell ref="E36:G36"/>
    <mergeCell ref="B9:G9"/>
    <mergeCell ref="F45:G45"/>
    <mergeCell ref="B51:G51"/>
    <mergeCell ref="F38:G38"/>
    <mergeCell ref="B35:G35"/>
    <mergeCell ref="B4:G4"/>
    <mergeCell ref="F46:G46"/>
    <mergeCell ref="F22:G22"/>
    <mergeCell ref="B2:E2"/>
    <mergeCell ref="F13:G13"/>
    <mergeCell ref="B16:G16"/>
    <mergeCell ref="F37:G37"/>
    <mergeCell ref="C7:G7"/>
    <mergeCell ref="E52:G52"/>
    <mergeCell ref="B27:G27"/>
    <mergeCell ref="B43:G43"/>
    <mergeCell ref="E44:G44"/>
    <mergeCell ref="E20:G20"/>
    <mergeCell ref="F53:G53"/>
  </mergeCells>
  <hyperlinks>
    <hyperlink xmlns:r="http://schemas.openxmlformats.org/officeDocument/2006/relationships" ref="F2" r:id="rId1"/>
    <hyperlink xmlns:r="http://schemas.openxmlformats.org/officeDocument/2006/relationships" ref="G2" r:id="rId2"/>
  </hyperlink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B1:G56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22" customWidth="1" min="3" max="3"/>
    <col width="4" customWidth="1" min="4" max="4"/>
    <col width="34" customWidth="1" min="5" max="5"/>
    <col width="44" customWidth="1" min="6" max="6"/>
    <col width="28" customWidth="1" min="7" max="7"/>
  </cols>
  <sheetData>
    <row r="1" ht="30" customHeight="1">
      <c r="B1" s="10" t="inlineStr">
        <is>
          <t>📊 #017 — RUMUS EXCEL: CORREL   |   Kategori: 8. Statistik &amp; Analisis Data</t>
        </is>
      </c>
    </row>
    <row r="2" ht="22" customHeight="1">
      <c r="B2" s="11" t="inlineStr">
        <is>
          <t>1 Rumus = 1 Contoh Soal + Jawaban Benar &amp; 5 Soal Tes Mandiri (Kunci Jawaban Ada di Sheet Paling Terakhir)</t>
        </is>
      </c>
      <c r="F2" s="12" t="inlineStr">
        <is>
          <t>⬅️ Ke Daftar Isi (00_DAFTAR_ISI)</t>
        </is>
      </c>
      <c r="G2" s="3" t="inlineStr">
        <is>
          <t>🔑 Ke Kunci Jawaban (Sheet Akhir)</t>
        </is>
      </c>
    </row>
    <row r="4" ht="24" customHeight="1">
      <c r="B4" s="13" t="inlineStr">
        <is>
          <t>1️⃣ IDENTITAS RUMUS &amp; FUNGSINYA BUAT APA? (CORREL)</t>
        </is>
      </c>
    </row>
    <row r="5" ht="21" customHeight="1">
      <c r="B5" s="14" t="inlineStr">
        <is>
          <t>Nama Rumus Excel</t>
        </is>
      </c>
      <c r="C5" s="15">
        <f>CORREL(...)</f>
        <v/>
      </c>
      <c r="D5" s="5" t="n"/>
      <c r="E5" s="5" t="n"/>
      <c r="F5" s="5" t="n"/>
      <c r="G5" s="5" t="n"/>
    </row>
    <row r="6" ht="21" customHeight="1">
      <c r="B6" s="14" t="inlineStr">
        <is>
          <t>Sintaks / Pola Umum</t>
        </is>
      </c>
      <c r="C6" s="15">
        <f>CORREL(range_x, range_y)</f>
        <v/>
      </c>
      <c r="D6" s="5" t="n"/>
      <c r="E6" s="5" t="n"/>
      <c r="F6" s="5" t="n"/>
      <c r="G6" s="5" t="n"/>
    </row>
    <row r="7" ht="26" customHeight="1">
      <c r="B7" s="14" t="inlineStr">
        <is>
          <t>👶 Fungsinya Buat Apa?</t>
        </is>
      </c>
      <c r="C7" s="16" t="inlineStr">
        <is>
          <t>Mengukur koefisien korelasi (-1 s/d +1) antara dua variabel.</t>
        </is>
      </c>
      <c r="D7" s="5" t="n"/>
      <c r="E7" s="5" t="n"/>
      <c r="F7" s="5" t="n"/>
      <c r="G7" s="5" t="n"/>
    </row>
    <row r="9" ht="24" customHeight="1">
      <c r="B9" s="17" t="inlineStr">
        <is>
          <t>2️⃣ 1 CONTOH SOAL &amp; CONTOH JAWABAN BENAR (PELAJARI POLA RUMUS CORREL DI SINI)</t>
        </is>
      </c>
    </row>
    <row r="10">
      <c r="B10" s="18" t="inlineStr">
        <is>
          <t>Data Variabel 1</t>
        </is>
      </c>
      <c r="C10" s="18" t="inlineStr">
        <is>
          <t>Data Variabel 2</t>
        </is>
      </c>
      <c r="E10" s="18" t="inlineStr">
        <is>
          <t>✅ 1 CONTOH SOAL BESERTA CONTOH RUMUS &amp; HASIL JAWABAN BENAR:</t>
        </is>
      </c>
      <c r="F10" s="5" t="n"/>
      <c r="G10" s="5" t="n"/>
    </row>
    <row r="11" ht="28" customHeight="1">
      <c r="B11" s="19" t="n">
        <v>60</v>
      </c>
      <c r="C11" s="19" t="n">
        <v>90</v>
      </c>
      <c r="E11" s="20" t="inlineStr">
        <is>
          <t>Contoh Soal:</t>
        </is>
      </c>
      <c r="F11" s="21" t="inlineStr">
        <is>
          <t>Analisis hubungan antara data pertama (B11:B14) dan data kedua (C11:C14) menggunakan fungsi CORREL!</t>
        </is>
      </c>
      <c r="G11" s="5" t="n"/>
    </row>
    <row r="12">
      <c r="B12" s="19" t="n">
        <v>120</v>
      </c>
      <c r="C12" s="19" t="n">
        <v>168</v>
      </c>
      <c r="E12" s="20" t="inlineStr">
        <is>
          <t>Contoh Rumus Benar:</t>
        </is>
      </c>
      <c r="F12" s="22" t="inlineStr">
        <is>
          <t>'=CORREL(B11:B14, C11:C14)</t>
        </is>
      </c>
      <c r="G12" s="5" t="n"/>
    </row>
    <row r="13">
      <c r="B13" s="19" t="n">
        <v>210</v>
      </c>
      <c r="C13" s="19" t="n">
        <v>240</v>
      </c>
      <c r="E13" s="20" t="inlineStr">
        <is>
          <t>Contoh Hasil Benar:</t>
        </is>
      </c>
      <c r="F13" s="23">
        <f>CORREL(B11:B14, C11:C14)</f>
        <v/>
      </c>
      <c r="G13" s="5" t="n"/>
    </row>
    <row r="14">
      <c r="B14" s="19" t="n">
        <v>300</v>
      </c>
      <c r="C14" s="19" t="n">
        <v>348</v>
      </c>
    </row>
    <row r="16" ht="26" customHeight="1">
      <c r="B16" s="24" t="inlineStr">
        <is>
          <t>3️⃣ 5 SOAL TES DUNIA NYATA — KERJAKAN DI KOTAK KUNING (TANPA KUNCI RUMUS / HASIL DI SINI!)</t>
        </is>
      </c>
    </row>
    <row r="17" ht="20" customHeight="1">
      <c r="B17" s="25" t="inlineStr">
        <is>
          <t>📌 Catatan Tes: Soal Tes #1 s/d #5 di bawah ini tidak menampilkan kunci rumus maupun hasil. Kunci jawaban lengkap tersedia di sheet paling terakhir (99_KUNCI_JAWABAN).</t>
        </is>
      </c>
    </row>
    <row r="19" ht="22" customHeight="1">
      <c r="B19" s="26" t="inlineStr">
        <is>
          <t>📝 SOAL TES #1: Kasus Keuangan &amp; Akuntansi Kantor</t>
        </is>
      </c>
    </row>
    <row r="20" ht="30" customHeight="1">
      <c r="B20" s="14" t="inlineStr">
        <is>
          <t>Data Variabel 1</t>
        </is>
      </c>
      <c r="C20" s="14" t="inlineStr">
        <is>
          <t>Data Variabel 2</t>
        </is>
      </c>
      <c r="E20" s="27" t="inlineStr">
        <is>
          <t>Persoalan Tes #1: Analisis hubungan antara data pertama (B21:B24) dan data kedua (C21:C24) menggunakan fungsi CORREL!</t>
        </is>
      </c>
    </row>
    <row r="21">
      <c r="B21" s="19" t="n">
        <v>10</v>
      </c>
      <c r="C21" s="19" t="n">
        <v>15</v>
      </c>
      <c r="E21" s="14" t="inlineStr">
        <is>
          <t>✏️ KETIK RUMUS JAWABAN TES DI BAWAH:</t>
        </is>
      </c>
      <c r="F21" s="14" t="inlineStr">
        <is>
          <t>📌 STATUS KOREKSI JAWABAN TES:</t>
        </is>
      </c>
      <c r="G21" s="5" t="n"/>
    </row>
    <row r="22" ht="26" customHeight="1">
      <c r="B22" s="19" t="n">
        <v>20</v>
      </c>
      <c r="C22" s="19" t="n">
        <v>28</v>
      </c>
      <c r="E22" s="28" t="n"/>
      <c r="F22" s="29">
        <f>IF(ISBLANK(E22), "⏳ Belum Diisi (Ketik Rumus di Sel Kuning E22)", IF(E22='99_KUNCI_JAWABAN'!F85, "✅ BENAR! JAWABAN TES TEPAT!", "❌ Belum Tepat (Cek Sheet Akhir: 99_KUNCI_JAWABAN)"))</f>
        <v/>
      </c>
      <c r="G22" s="5" t="n"/>
    </row>
    <row r="23">
      <c r="B23" s="19" t="n">
        <v>35</v>
      </c>
      <c r="C23" s="19" t="n">
        <v>40</v>
      </c>
    </row>
    <row r="24">
      <c r="B24" s="19" t="n">
        <v>50</v>
      </c>
      <c r="C24" s="19" t="n">
        <v>58</v>
      </c>
    </row>
    <row r="27" ht="22" customHeight="1">
      <c r="B27" s="26" t="inlineStr">
        <is>
          <t>📝 SOAL TES #2: Kasus HRD, Gaji &amp; Lembur Karyawan</t>
        </is>
      </c>
    </row>
    <row r="28" ht="30" customHeight="1">
      <c r="B28" s="14" t="inlineStr">
        <is>
          <t>Data Variabel 1</t>
        </is>
      </c>
      <c r="C28" s="14" t="inlineStr">
        <is>
          <t>Data Variabel 2</t>
        </is>
      </c>
      <c r="E28" s="27" t="inlineStr">
        <is>
          <t>Persoalan Tes #2: Analisis hubungan antara data pertama (B29:B32) dan data kedua (C29:C32) menggunakan fungsi CORREL!</t>
        </is>
      </c>
    </row>
    <row r="29">
      <c r="B29" s="19" t="n">
        <v>20</v>
      </c>
      <c r="C29" s="19" t="n">
        <v>30</v>
      </c>
      <c r="E29" s="14" t="inlineStr">
        <is>
          <t>✏️ KETIK RUMUS JAWABAN TES DI BAWAH:</t>
        </is>
      </c>
      <c r="F29" s="14" t="inlineStr">
        <is>
          <t>📌 STATUS KOREKSI JAWABAN TES:</t>
        </is>
      </c>
      <c r="G29" s="5" t="n"/>
    </row>
    <row r="30" ht="26" customHeight="1">
      <c r="B30" s="19" t="n">
        <v>40</v>
      </c>
      <c r="C30" s="19" t="n">
        <v>56</v>
      </c>
      <c r="E30" s="28" t="n"/>
      <c r="F30" s="29">
        <f>IF(ISBLANK(E30), "⏳ Belum Diisi (Ketik Rumus di Sel Kuning E30)", IF(E30='99_KUNCI_JAWABAN'!F86, "✅ BENAR! JAWABAN TES TEPAT!", "❌ Belum Tepat (Cek Sheet Akhir: 99_KUNCI_JAWABAN)"))</f>
        <v/>
      </c>
      <c r="G30" s="5" t="n"/>
    </row>
    <row r="31">
      <c r="B31" s="19" t="n">
        <v>70</v>
      </c>
      <c r="C31" s="19" t="n">
        <v>80</v>
      </c>
    </row>
    <row r="32">
      <c r="B32" s="19" t="n">
        <v>100</v>
      </c>
      <c r="C32" s="19" t="n">
        <v>116</v>
      </c>
    </row>
    <row r="35" ht="22" customHeight="1">
      <c r="B35" s="26" t="inlineStr">
        <is>
          <t>📝 SOAL TES #3: Kasus Logistik &amp; Stok Gudang Utama</t>
        </is>
      </c>
    </row>
    <row r="36" ht="30" customHeight="1">
      <c r="B36" s="14" t="inlineStr">
        <is>
          <t>Data Variabel 1</t>
        </is>
      </c>
      <c r="C36" s="14" t="inlineStr">
        <is>
          <t>Data Variabel 2</t>
        </is>
      </c>
      <c r="E36" s="27" t="inlineStr">
        <is>
          <t>Persoalan Tes #3: Analisis hubungan antara data pertama (B37:B40) dan data kedua (C37:C40) menggunakan fungsi CORREL!</t>
        </is>
      </c>
    </row>
    <row r="37">
      <c r="B37" s="19" t="n">
        <v>30</v>
      </c>
      <c r="C37" s="19" t="n">
        <v>45</v>
      </c>
      <c r="E37" s="14" t="inlineStr">
        <is>
          <t>✏️ KETIK RUMUS JAWABAN TES DI BAWAH:</t>
        </is>
      </c>
      <c r="F37" s="14" t="inlineStr">
        <is>
          <t>📌 STATUS KOREKSI JAWABAN TES:</t>
        </is>
      </c>
      <c r="G37" s="5" t="n"/>
    </row>
    <row r="38" ht="26" customHeight="1">
      <c r="B38" s="19" t="n">
        <v>60</v>
      </c>
      <c r="C38" s="19" t="n">
        <v>84</v>
      </c>
      <c r="E38" s="28" t="n"/>
      <c r="F38" s="29">
        <f>IF(ISBLANK(E38), "⏳ Belum Diisi (Ketik Rumus di Sel Kuning E38)", IF(E38='99_KUNCI_JAWABAN'!F87, "✅ BENAR! JAWABAN TES TEPAT!", "❌ Belum Tepat (Cek Sheet Akhir: 99_KUNCI_JAWABAN)"))</f>
        <v/>
      </c>
      <c r="G38" s="5" t="n"/>
    </row>
    <row r="39">
      <c r="B39" s="19" t="n">
        <v>105</v>
      </c>
      <c r="C39" s="19" t="n">
        <v>120</v>
      </c>
    </row>
    <row r="40">
      <c r="B40" s="19" t="n">
        <v>150</v>
      </c>
      <c r="C40" s="19" t="n">
        <v>174</v>
      </c>
    </row>
    <row r="43" ht="22" customHeight="1">
      <c r="B43" s="26" t="inlineStr">
        <is>
          <t>📝 SOAL TES #4: Kasus Penjualan Retail &amp; Target Toko</t>
        </is>
      </c>
    </row>
    <row r="44" ht="30" customHeight="1">
      <c r="B44" s="14" t="inlineStr">
        <is>
          <t>Data Variabel 1</t>
        </is>
      </c>
      <c r="C44" s="14" t="inlineStr">
        <is>
          <t>Data Variabel 2</t>
        </is>
      </c>
      <c r="E44" s="27" t="inlineStr">
        <is>
          <t>Persoalan Tes #4: Analisis hubungan antara data pertama (B45:B48) dan data kedua (C45:C48) menggunakan fungsi CORREL!</t>
        </is>
      </c>
    </row>
    <row r="45">
      <c r="B45" s="19" t="n">
        <v>40</v>
      </c>
      <c r="C45" s="19" t="n">
        <v>60</v>
      </c>
      <c r="E45" s="14" t="inlineStr">
        <is>
          <t>✏️ KETIK RUMUS JAWABAN TES DI BAWAH:</t>
        </is>
      </c>
      <c r="F45" s="14" t="inlineStr">
        <is>
          <t>📌 STATUS KOREKSI JAWABAN TES:</t>
        </is>
      </c>
      <c r="G45" s="5" t="n"/>
    </row>
    <row r="46" ht="26" customHeight="1">
      <c r="B46" s="19" t="n">
        <v>80</v>
      </c>
      <c r="C46" s="19" t="n">
        <v>112</v>
      </c>
      <c r="E46" s="28" t="n"/>
      <c r="F46" s="29">
        <f>IF(ISBLANK(E46), "⏳ Belum Diisi (Ketik Rumus di Sel Kuning E46)", IF(E46='99_KUNCI_JAWABAN'!F88, "✅ BENAR! JAWABAN TES TEPAT!", "❌ Belum Tepat (Cek Sheet Akhir: 99_KUNCI_JAWABAN)"))</f>
        <v/>
      </c>
      <c r="G46" s="5" t="n"/>
    </row>
    <row r="47">
      <c r="B47" s="19" t="n">
        <v>140</v>
      </c>
      <c r="C47" s="19" t="n">
        <v>160</v>
      </c>
    </row>
    <row r="48">
      <c r="B48" s="19" t="n">
        <v>200</v>
      </c>
      <c r="C48" s="19" t="n">
        <v>232</v>
      </c>
    </row>
    <row r="51" ht="22" customHeight="1">
      <c r="B51" s="26" t="inlineStr">
        <is>
          <t>📝 SOAL TES #5: Kasus Akademik Sekolah &amp; Layanan Publik</t>
        </is>
      </c>
    </row>
    <row r="52" ht="30" customHeight="1">
      <c r="B52" s="14" t="inlineStr">
        <is>
          <t>Data Variabel 1</t>
        </is>
      </c>
      <c r="C52" s="14" t="inlineStr">
        <is>
          <t>Data Variabel 2</t>
        </is>
      </c>
      <c r="E52" s="27" t="inlineStr">
        <is>
          <t>Persoalan Tes #5: Analisis hubungan antara data pertama (B53:B56) dan data kedua (C53:C56) menggunakan fungsi CORREL!</t>
        </is>
      </c>
    </row>
    <row r="53">
      <c r="B53" s="19" t="n">
        <v>50</v>
      </c>
      <c r="C53" s="19" t="n">
        <v>75</v>
      </c>
      <c r="E53" s="14" t="inlineStr">
        <is>
          <t>✏️ KETIK RUMUS JAWABAN TES DI BAWAH:</t>
        </is>
      </c>
      <c r="F53" s="14" t="inlineStr">
        <is>
          <t>📌 STATUS KOREKSI JAWABAN TES:</t>
        </is>
      </c>
      <c r="G53" s="5" t="n"/>
    </row>
    <row r="54" ht="26" customHeight="1">
      <c r="B54" s="19" t="n">
        <v>100</v>
      </c>
      <c r="C54" s="19" t="n">
        <v>140</v>
      </c>
      <c r="E54" s="28" t="n"/>
      <c r="F54" s="29">
        <f>IF(ISBLANK(E54), "⏳ Belum Diisi (Ketik Rumus di Sel Kuning E54)", IF(E54='99_KUNCI_JAWABAN'!F89, "✅ BENAR! JAWABAN TES TEPAT!", "❌ Belum Tepat (Cek Sheet Akhir: 99_KUNCI_JAWABAN)"))</f>
        <v/>
      </c>
      <c r="G54" s="5" t="n"/>
    </row>
    <row r="55">
      <c r="B55" s="19" t="n">
        <v>175</v>
      </c>
      <c r="C55" s="19" t="n">
        <v>200</v>
      </c>
    </row>
    <row r="56">
      <c r="B56" s="19" t="n">
        <v>250</v>
      </c>
      <c r="C56" s="19" t="n">
        <v>290</v>
      </c>
    </row>
  </sheetData>
  <mergeCells count="33">
    <mergeCell ref="E10:G10"/>
    <mergeCell ref="F11:G11"/>
    <mergeCell ref="E28:G28"/>
    <mergeCell ref="F29:G29"/>
    <mergeCell ref="C6:G6"/>
    <mergeCell ref="F54:G54"/>
    <mergeCell ref="B17:G17"/>
    <mergeCell ref="B1:G1"/>
    <mergeCell ref="C5:G5"/>
    <mergeCell ref="B19:G19"/>
    <mergeCell ref="F21:G21"/>
    <mergeCell ref="F12:G12"/>
    <mergeCell ref="F30:G30"/>
    <mergeCell ref="E36:G36"/>
    <mergeCell ref="B9:G9"/>
    <mergeCell ref="F45:G45"/>
    <mergeCell ref="B51:G51"/>
    <mergeCell ref="F38:G38"/>
    <mergeCell ref="B35:G35"/>
    <mergeCell ref="B4:G4"/>
    <mergeCell ref="F46:G46"/>
    <mergeCell ref="F22:G22"/>
    <mergeCell ref="B2:E2"/>
    <mergeCell ref="F13:G13"/>
    <mergeCell ref="B16:G16"/>
    <mergeCell ref="F37:G37"/>
    <mergeCell ref="C7:G7"/>
    <mergeCell ref="E52:G52"/>
    <mergeCell ref="B27:G27"/>
    <mergeCell ref="B43:G43"/>
    <mergeCell ref="E44:G44"/>
    <mergeCell ref="E20:G20"/>
    <mergeCell ref="F53:G53"/>
  </mergeCells>
  <hyperlinks>
    <hyperlink xmlns:r="http://schemas.openxmlformats.org/officeDocument/2006/relationships" ref="F2" r:id="rId1"/>
    <hyperlink xmlns:r="http://schemas.openxmlformats.org/officeDocument/2006/relationships" ref="G2" r:id="rId2"/>
  </hyperlink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B1:G56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22" customWidth="1" min="3" max="3"/>
    <col width="4" customWidth="1" min="4" max="4"/>
    <col width="34" customWidth="1" min="5" max="5"/>
    <col width="44" customWidth="1" min="6" max="6"/>
    <col width="28" customWidth="1" min="7" max="7"/>
  </cols>
  <sheetData>
    <row r="1" ht="30" customHeight="1">
      <c r="B1" s="10" t="inlineStr">
        <is>
          <t>📊 #018 — RUMUS EXCEL: COUNT   |   Kategori: 8. Statistik &amp; Analisis Data</t>
        </is>
      </c>
    </row>
    <row r="2" ht="22" customHeight="1">
      <c r="B2" s="11" t="inlineStr">
        <is>
          <t>1 Rumus = 1 Contoh Soal + Jawaban Benar &amp; 5 Soal Tes Mandiri (Kunci Jawaban Ada di Sheet Paling Terakhir)</t>
        </is>
      </c>
      <c r="F2" s="12" t="inlineStr">
        <is>
          <t>⬅️ Ke Daftar Isi (00_DAFTAR_ISI)</t>
        </is>
      </c>
      <c r="G2" s="3" t="inlineStr">
        <is>
          <t>🔑 Ke Kunci Jawaban (Sheet Akhir)</t>
        </is>
      </c>
    </row>
    <row r="4" ht="24" customHeight="1">
      <c r="B4" s="13" t="inlineStr">
        <is>
          <t>1️⃣ IDENTITAS RUMUS &amp; FUNGSINYA BUAT APA? (COUNT)</t>
        </is>
      </c>
    </row>
    <row r="5" ht="21" customHeight="1">
      <c r="B5" s="14" t="inlineStr">
        <is>
          <t>Nama Rumus Excel</t>
        </is>
      </c>
      <c r="C5" s="15">
        <f>COUNT(...)</f>
        <v/>
      </c>
      <c r="D5" s="5" t="n"/>
      <c r="E5" s="5" t="n"/>
      <c r="F5" s="5" t="n"/>
      <c r="G5" s="5" t="n"/>
    </row>
    <row r="6" ht="21" customHeight="1">
      <c r="B6" s="14" t="inlineStr">
        <is>
          <t>Sintaks / Pola Umum</t>
        </is>
      </c>
      <c r="C6" s="15">
        <f>COUNT(range_data)</f>
        <v/>
      </c>
      <c r="D6" s="5" t="n"/>
      <c r="E6" s="5" t="n"/>
      <c r="F6" s="5" t="n"/>
      <c r="G6" s="5" t="n"/>
    </row>
    <row r="7" ht="26" customHeight="1">
      <c r="B7" s="14" t="inlineStr">
        <is>
          <t>👶 Fungsinya Buat Apa?</t>
        </is>
      </c>
      <c r="C7" s="16" t="inlineStr">
        <is>
          <t>Menghitung ada berapa banyak sel yang berisi ANGKA saja.</t>
        </is>
      </c>
      <c r="D7" s="5" t="n"/>
      <c r="E7" s="5" t="n"/>
      <c r="F7" s="5" t="n"/>
      <c r="G7" s="5" t="n"/>
    </row>
    <row r="9" ht="24" customHeight="1">
      <c r="B9" s="17" t="inlineStr">
        <is>
          <t>2️⃣ 1 CONTOH SOAL &amp; CONTOH JAWABAN BENAR (PELAJARI POLA RUMUS COUNT DI SINI)</t>
        </is>
      </c>
    </row>
    <row r="10">
      <c r="B10" s="18" t="inlineStr">
        <is>
          <t>Nama Unit / Kategori</t>
        </is>
      </c>
      <c r="C10" s="18" t="inlineStr">
        <is>
          <t>Nilai Data</t>
        </is>
      </c>
      <c r="E10" s="18" t="inlineStr">
        <is>
          <t>✅ 1 CONTOH SOAL BESERTA CONTOH RUMUS &amp; HASIL JAWABAN BENAR:</t>
        </is>
      </c>
      <c r="F10" s="5" t="n"/>
      <c r="G10" s="5" t="n"/>
    </row>
    <row r="11" ht="28" customHeight="1">
      <c r="B11" s="19" t="inlineStr">
        <is>
          <t>Simulasi Unit A</t>
        </is>
      </c>
      <c r="C11" s="19" t="n">
        <v>500000</v>
      </c>
      <c r="E11" s="20" t="inlineStr">
        <is>
          <t>Contoh Soal:</t>
        </is>
      </c>
      <c r="F11" s="21" t="inlineStr">
        <is>
          <t>Hitung hasil pengolahan fungsi COUNT untuk keempat baris data pada rentang C11:C14!</t>
        </is>
      </c>
      <c r="G11" s="5" t="n"/>
    </row>
    <row r="12">
      <c r="B12" s="19" t="inlineStr">
        <is>
          <t>Simulasi Unit B</t>
        </is>
      </c>
      <c r="C12" s="19" t="n">
        <v>750000</v>
      </c>
      <c r="E12" s="20" t="inlineStr">
        <is>
          <t>Contoh Rumus Benar:</t>
        </is>
      </c>
      <c r="F12" s="22" t="inlineStr">
        <is>
          <t>'=COUNT(C11:C14)</t>
        </is>
      </c>
      <c r="G12" s="5" t="n"/>
    </row>
    <row r="13">
      <c r="B13" s="19" t="inlineStr">
        <is>
          <t>Simulasi Unit C</t>
        </is>
      </c>
      <c r="C13" s="19" t="n">
        <v>600000</v>
      </c>
      <c r="E13" s="20" t="inlineStr">
        <is>
          <t>Contoh Hasil Benar:</t>
        </is>
      </c>
      <c r="F13" s="23">
        <f>COUNT(C11:C14)</f>
        <v/>
      </c>
      <c r="G13" s="5" t="n"/>
    </row>
    <row r="14">
      <c r="B14" s="19" t="inlineStr">
        <is>
          <t>Simulasi Unit D</t>
        </is>
      </c>
      <c r="C14" s="19" t="n">
        <v>950000</v>
      </c>
    </row>
    <row r="16" ht="26" customHeight="1">
      <c r="B16" s="24" t="inlineStr">
        <is>
          <t>3️⃣ 5 SOAL TES DUNIA NYATA — KERJAKAN DI KOTAK KUNING (TANPA KUNCI RUMUS / HASIL DI SINI!)</t>
        </is>
      </c>
    </row>
    <row r="17" ht="20" customHeight="1">
      <c r="B17" s="25" t="inlineStr">
        <is>
          <t>📌 Catatan Tes: Soal Tes #1 s/d #5 di bawah ini tidak menampilkan kunci rumus maupun hasil. Kunci jawaban lengkap tersedia di sheet paling terakhir (99_KUNCI_JAWABAN).</t>
        </is>
      </c>
    </row>
    <row r="19" ht="22" customHeight="1">
      <c r="B19" s="26" t="inlineStr">
        <is>
          <t>📝 SOAL TES #1: Kasus Keuangan &amp; Akuntansi Kantor</t>
        </is>
      </c>
    </row>
    <row r="20" ht="30" customHeight="1">
      <c r="B20" s="14" t="inlineStr">
        <is>
          <t>Nama Unit / Kategori</t>
        </is>
      </c>
      <c r="C20" s="14" t="inlineStr">
        <is>
          <t>Nilai Data</t>
        </is>
      </c>
      <c r="E20" s="27" t="inlineStr">
        <is>
          <t>Persoalan Tes #1: Hitung hasil pengolahan fungsi COUNT untuk keempat baris data pada rentang C21:C24!</t>
        </is>
      </c>
    </row>
    <row r="21">
      <c r="B21" s="19" t="inlineStr">
        <is>
          <t>Cabang Jakarta</t>
        </is>
      </c>
      <c r="C21" s="19" t="n">
        <v>1250000</v>
      </c>
      <c r="E21" s="14" t="inlineStr">
        <is>
          <t>✏️ KETIK RUMUS JAWABAN TES DI BAWAH:</t>
        </is>
      </c>
      <c r="F21" s="14" t="inlineStr">
        <is>
          <t>📌 STATUS KOREKSI JAWABAN TES:</t>
        </is>
      </c>
      <c r="G21" s="5" t="n"/>
    </row>
    <row r="22" ht="26" customHeight="1">
      <c r="B22" s="19" t="inlineStr">
        <is>
          <t>Cabang Bandung</t>
        </is>
      </c>
      <c r="C22" s="19" t="n">
        <v>1850000</v>
      </c>
      <c r="E22" s="28" t="n"/>
      <c r="F22" s="29">
        <f>IF(ISBLANK(E22), "⏳ Belum Diisi (Ketik Rumus di Sel Kuning E22)", IF(E22='99_KUNCI_JAWABAN'!F90, "✅ BENAR! JAWABAN TES TEPAT!", "❌ Belum Tepat (Cek Sheet Akhir: 99_KUNCI_JAWABAN)"))</f>
        <v/>
      </c>
      <c r="G22" s="5" t="n"/>
    </row>
    <row r="23">
      <c r="B23" s="19" t="inlineStr">
        <is>
          <t>Cabang Surabaya</t>
        </is>
      </c>
      <c r="C23" s="19" t="n">
        <v>2100000</v>
      </c>
    </row>
    <row r="24">
      <c r="B24" s="19" t="inlineStr">
        <is>
          <t>Cabang Medan</t>
        </is>
      </c>
      <c r="C24" s="19" t="n">
        <v>1600000</v>
      </c>
    </row>
    <row r="27" ht="22" customHeight="1">
      <c r="B27" s="26" t="inlineStr">
        <is>
          <t>📝 SOAL TES #2: Kasus HRD, Gaji &amp; Lembur Karyawan</t>
        </is>
      </c>
    </row>
    <row r="28" ht="30" customHeight="1">
      <c r="B28" s="14" t="inlineStr">
        <is>
          <t>Nama Unit / Kategori</t>
        </is>
      </c>
      <c r="C28" s="14" t="inlineStr">
        <is>
          <t>Nilai Data</t>
        </is>
      </c>
      <c r="E28" s="27" t="inlineStr">
        <is>
          <t>Persoalan Tes #2: Hitung hasil pengolahan fungsi COUNT untuk keempat baris data pada rentang C29:C32!</t>
        </is>
      </c>
    </row>
    <row r="29">
      <c r="B29" s="19" t="inlineStr">
        <is>
          <t>Budi Santoso</t>
        </is>
      </c>
      <c r="C29" s="19" t="n">
        <v>4500000</v>
      </c>
      <c r="E29" s="14" t="inlineStr">
        <is>
          <t>✏️ KETIK RUMUS JAWABAN TES DI BAWAH:</t>
        </is>
      </c>
      <c r="F29" s="14" t="inlineStr">
        <is>
          <t>📌 STATUS KOREKSI JAWABAN TES:</t>
        </is>
      </c>
      <c r="G29" s="5" t="n"/>
    </row>
    <row r="30" ht="26" customHeight="1">
      <c r="B30" s="19" t="inlineStr">
        <is>
          <t>Siti Aminah</t>
        </is>
      </c>
      <c r="C30" s="19" t="n">
        <v>5200000</v>
      </c>
      <c r="E30" s="28" t="n"/>
      <c r="F30" s="29">
        <f>IF(ISBLANK(E30), "⏳ Belum Diisi (Ketik Rumus di Sel Kuning E30)", IF(E30='99_KUNCI_JAWABAN'!F91, "✅ BENAR! JAWABAN TES TEPAT!", "❌ Belum Tepat (Cek Sheet Akhir: 99_KUNCI_JAWABAN)"))</f>
        <v/>
      </c>
      <c r="G30" s="5" t="n"/>
    </row>
    <row r="31">
      <c r="B31" s="19" t="inlineStr">
        <is>
          <t>Andi Pratama</t>
        </is>
      </c>
      <c r="C31" s="19" t="n">
        <v>4800000</v>
      </c>
    </row>
    <row r="32">
      <c r="B32" s="19" t="inlineStr">
        <is>
          <t>Rina Wijaya</t>
        </is>
      </c>
      <c r="C32" s="19" t="n">
        <v>6100000</v>
      </c>
    </row>
    <row r="35" ht="22" customHeight="1">
      <c r="B35" s="26" t="inlineStr">
        <is>
          <t>📝 SOAL TES #3: Kasus Logistik &amp; Stok Gudang Utama</t>
        </is>
      </c>
    </row>
    <row r="36" ht="30" customHeight="1">
      <c r="B36" s="14" t="inlineStr">
        <is>
          <t>Nama Unit / Kategori</t>
        </is>
      </c>
      <c r="C36" s="14" t="inlineStr">
        <is>
          <t>Nilai Data</t>
        </is>
      </c>
      <c r="E36" s="27" t="inlineStr">
        <is>
          <t>Persoalan Tes #3: Hitung hasil pengolahan fungsi COUNT untuk keempat baris data pada rentang C37:C40!</t>
        </is>
      </c>
    </row>
    <row r="37">
      <c r="B37" s="19" t="inlineStr">
        <is>
          <t>Gudang Blok A</t>
        </is>
      </c>
      <c r="C37" s="19" t="n">
        <v>240</v>
      </c>
      <c r="E37" s="14" t="inlineStr">
        <is>
          <t>✏️ KETIK RUMUS JAWABAN TES DI BAWAH:</t>
        </is>
      </c>
      <c r="F37" s="14" t="inlineStr">
        <is>
          <t>📌 STATUS KOREKSI JAWABAN TES:</t>
        </is>
      </c>
      <c r="G37" s="5" t="n"/>
    </row>
    <row r="38" ht="26" customHeight="1">
      <c r="B38" s="19" t="inlineStr">
        <is>
          <t>Gudang Blok B</t>
        </is>
      </c>
      <c r="C38" s="19" t="n">
        <v>380</v>
      </c>
      <c r="E38" s="28" t="n"/>
      <c r="F38" s="29">
        <f>IF(ISBLANK(E38), "⏳ Belum Diisi (Ketik Rumus di Sel Kuning E38)", IF(E38='99_KUNCI_JAWABAN'!F92, "✅ BENAR! JAWABAN TES TEPAT!", "❌ Belum Tepat (Cek Sheet Akhir: 99_KUNCI_JAWABAN)"))</f>
        <v/>
      </c>
      <c r="G38" s="5" t="n"/>
    </row>
    <row r="39">
      <c r="B39" s="19" t="inlineStr">
        <is>
          <t>Gudang Blok C</t>
        </is>
      </c>
      <c r="C39" s="19" t="n">
        <v>195</v>
      </c>
    </row>
    <row r="40">
      <c r="B40" s="19" t="inlineStr">
        <is>
          <t>Gudang Blok D</t>
        </is>
      </c>
      <c r="C40" s="19" t="n">
        <v>425</v>
      </c>
    </row>
    <row r="43" ht="22" customHeight="1">
      <c r="B43" s="26" t="inlineStr">
        <is>
          <t>📝 SOAL TES #4: Kasus Penjualan Retail &amp; Target Toko</t>
        </is>
      </c>
    </row>
    <row r="44" ht="30" customHeight="1">
      <c r="B44" s="14" t="inlineStr">
        <is>
          <t>Nama Unit / Kategori</t>
        </is>
      </c>
      <c r="C44" s="14" t="inlineStr">
        <is>
          <t>Nilai Data</t>
        </is>
      </c>
      <c r="E44" s="27" t="inlineStr">
        <is>
          <t>Persoalan Tes #4: Hitung hasil pengolahan fungsi COUNT untuk keempat baris data pada rentang C45:C48!</t>
        </is>
      </c>
    </row>
    <row r="45">
      <c r="B45" s="19" t="inlineStr">
        <is>
          <t>Toko Elektronik</t>
        </is>
      </c>
      <c r="C45" s="19" t="n">
        <v>85</v>
      </c>
      <c r="E45" s="14" t="inlineStr">
        <is>
          <t>✏️ KETIK RUMUS JAWABAN TES DI BAWAH:</t>
        </is>
      </c>
      <c r="F45" s="14" t="inlineStr">
        <is>
          <t>📌 STATUS KOREKSI JAWABAN TES:</t>
        </is>
      </c>
      <c r="G45" s="5" t="n"/>
    </row>
    <row r="46" ht="26" customHeight="1">
      <c r="B46" s="19" t="inlineStr">
        <is>
          <t>Toko Komputer</t>
        </is>
      </c>
      <c r="C46" s="19" t="n">
        <v>92</v>
      </c>
      <c r="E46" s="28" t="n"/>
      <c r="F46" s="29">
        <f>IF(ISBLANK(E46), "⏳ Belum Diisi (Ketik Rumus di Sel Kuning E46)", IF(E46='99_KUNCI_JAWABAN'!F93, "✅ BENAR! JAWABAN TES TEPAT!", "❌ Belum Tepat (Cek Sheet Akhir: 99_KUNCI_JAWABAN)"))</f>
        <v/>
      </c>
      <c r="G46" s="5" t="n"/>
    </row>
    <row r="47">
      <c r="B47" s="19" t="inlineStr">
        <is>
          <t>Toko Aksesoris</t>
        </is>
      </c>
      <c r="C47" s="19" t="n">
        <v>78</v>
      </c>
    </row>
    <row r="48">
      <c r="B48" s="19" t="inlineStr">
        <is>
          <t>Toko Servis</t>
        </is>
      </c>
      <c r="C48" s="19" t="n">
        <v>95</v>
      </c>
    </row>
    <row r="51" ht="22" customHeight="1">
      <c r="B51" s="26" t="inlineStr">
        <is>
          <t>📝 SOAL TES #5: Kasus Akademik Sekolah &amp; Layanan Publik</t>
        </is>
      </c>
    </row>
    <row r="52" ht="30" customHeight="1">
      <c r="B52" s="14" t="inlineStr">
        <is>
          <t>Nama Unit / Kategori</t>
        </is>
      </c>
      <c r="C52" s="14" t="inlineStr">
        <is>
          <t>Nilai Data</t>
        </is>
      </c>
      <c r="E52" s="27" t="inlineStr">
        <is>
          <t>Persoalan Tes #5: Hitung hasil pengolahan fungsi COUNT untuk keempat baris data pada rentang C53:C56!</t>
        </is>
      </c>
    </row>
    <row r="53">
      <c r="B53" s="19" t="inlineStr">
        <is>
          <t>Kelas 10 IPA</t>
        </is>
      </c>
      <c r="C53" s="19" t="n">
        <v>82</v>
      </c>
      <c r="E53" s="14" t="inlineStr">
        <is>
          <t>✏️ KETIK RUMUS JAWABAN TES DI BAWAH:</t>
        </is>
      </c>
      <c r="F53" s="14" t="inlineStr">
        <is>
          <t>📌 STATUS KOREKSI JAWABAN TES:</t>
        </is>
      </c>
      <c r="G53" s="5" t="n"/>
    </row>
    <row r="54" ht="26" customHeight="1">
      <c r="B54" s="19" t="inlineStr">
        <is>
          <t>Kelas 11 IPA</t>
        </is>
      </c>
      <c r="C54" s="19" t="n">
        <v>88</v>
      </c>
      <c r="E54" s="28" t="n"/>
      <c r="F54" s="29">
        <f>IF(ISBLANK(E54), "⏳ Belum Diisi (Ketik Rumus di Sel Kuning E54)", IF(E54='99_KUNCI_JAWABAN'!F94, "✅ BENAR! JAWABAN TES TEPAT!", "❌ Belum Tepat (Cek Sheet Akhir: 99_KUNCI_JAWABAN)"))</f>
        <v/>
      </c>
      <c r="G54" s="5" t="n"/>
    </row>
    <row r="55">
      <c r="B55" s="19" t="inlineStr">
        <is>
          <t>Kelas 12 IPA</t>
        </is>
      </c>
      <c r="C55" s="19" t="n">
        <v>91</v>
      </c>
    </row>
    <row r="56">
      <c r="B56" s="19" t="inlineStr">
        <is>
          <t>Kelas Unggulan</t>
        </is>
      </c>
      <c r="C56" s="19" t="n">
        <v>79</v>
      </c>
    </row>
  </sheetData>
  <mergeCells count="33">
    <mergeCell ref="E10:G10"/>
    <mergeCell ref="F11:G11"/>
    <mergeCell ref="E28:G28"/>
    <mergeCell ref="F29:G29"/>
    <mergeCell ref="C6:G6"/>
    <mergeCell ref="F54:G54"/>
    <mergeCell ref="B17:G17"/>
    <mergeCell ref="B1:G1"/>
    <mergeCell ref="C5:G5"/>
    <mergeCell ref="B19:G19"/>
    <mergeCell ref="F21:G21"/>
    <mergeCell ref="F12:G12"/>
    <mergeCell ref="F30:G30"/>
    <mergeCell ref="E36:G36"/>
    <mergeCell ref="B9:G9"/>
    <mergeCell ref="F45:G45"/>
    <mergeCell ref="B51:G51"/>
    <mergeCell ref="F38:G38"/>
    <mergeCell ref="B35:G35"/>
    <mergeCell ref="B4:G4"/>
    <mergeCell ref="F46:G46"/>
    <mergeCell ref="F22:G22"/>
    <mergeCell ref="B2:E2"/>
    <mergeCell ref="F13:G13"/>
    <mergeCell ref="B16:G16"/>
    <mergeCell ref="F37:G37"/>
    <mergeCell ref="C7:G7"/>
    <mergeCell ref="E52:G52"/>
    <mergeCell ref="B27:G27"/>
    <mergeCell ref="B43:G43"/>
    <mergeCell ref="E44:G44"/>
    <mergeCell ref="E20:G20"/>
    <mergeCell ref="F53:G53"/>
  </mergeCells>
  <hyperlinks>
    <hyperlink xmlns:r="http://schemas.openxmlformats.org/officeDocument/2006/relationships" ref="F2" r:id="rId1"/>
    <hyperlink xmlns:r="http://schemas.openxmlformats.org/officeDocument/2006/relationships" ref="G2" r:id="rId2"/>
  </hyperlink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B1:G56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22" customWidth="1" min="3" max="3"/>
    <col width="4" customWidth="1" min="4" max="4"/>
    <col width="34" customWidth="1" min="5" max="5"/>
    <col width="44" customWidth="1" min="6" max="6"/>
    <col width="28" customWidth="1" min="7" max="7"/>
  </cols>
  <sheetData>
    <row r="1" ht="30" customHeight="1">
      <c r="B1" s="10" t="inlineStr">
        <is>
          <t>📊 #019 — RUMUS EXCEL: COUNTA   |   Kategori: 8. Statistik &amp; Analisis Data</t>
        </is>
      </c>
    </row>
    <row r="2" ht="22" customHeight="1">
      <c r="B2" s="11" t="inlineStr">
        <is>
          <t>1 Rumus = 1 Contoh Soal + Jawaban Benar &amp; 5 Soal Tes Mandiri (Kunci Jawaban Ada di Sheet Paling Terakhir)</t>
        </is>
      </c>
      <c r="F2" s="12" t="inlineStr">
        <is>
          <t>⬅️ Ke Daftar Isi (00_DAFTAR_ISI)</t>
        </is>
      </c>
      <c r="G2" s="3" t="inlineStr">
        <is>
          <t>🔑 Ke Kunci Jawaban (Sheet Akhir)</t>
        </is>
      </c>
    </row>
    <row r="4" ht="24" customHeight="1">
      <c r="B4" s="13" t="inlineStr">
        <is>
          <t>1️⃣ IDENTITAS RUMUS &amp; FUNGSINYA BUAT APA? (COUNTA)</t>
        </is>
      </c>
    </row>
    <row r="5" ht="21" customHeight="1">
      <c r="B5" s="14" t="inlineStr">
        <is>
          <t>Nama Rumus Excel</t>
        </is>
      </c>
      <c r="C5" s="15">
        <f>COUNTA(...)</f>
        <v/>
      </c>
      <c r="D5" s="5" t="n"/>
      <c r="E5" s="5" t="n"/>
      <c r="F5" s="5" t="n"/>
      <c r="G5" s="5" t="n"/>
    </row>
    <row r="6" ht="21" customHeight="1">
      <c r="B6" s="14" t="inlineStr">
        <is>
          <t>Sintaks / Pola Umum</t>
        </is>
      </c>
      <c r="C6" s="15">
        <f>COUNTA(range_data)</f>
        <v/>
      </c>
      <c r="D6" s="5" t="n"/>
      <c r="E6" s="5" t="n"/>
      <c r="F6" s="5" t="n"/>
      <c r="G6" s="5" t="n"/>
    </row>
    <row r="7" ht="26" customHeight="1">
      <c r="B7" s="14" t="inlineStr">
        <is>
          <t>👶 Fungsinya Buat Apa?</t>
        </is>
      </c>
      <c r="C7" s="16" t="inlineStr">
        <is>
          <t>Menghitung berapa banyak sel yang TIDAK KOSONG (berisi angka maupun teks).</t>
        </is>
      </c>
      <c r="D7" s="5" t="n"/>
      <c r="E7" s="5" t="n"/>
      <c r="F7" s="5" t="n"/>
      <c r="G7" s="5" t="n"/>
    </row>
    <row r="9" ht="24" customHeight="1">
      <c r="B9" s="17" t="inlineStr">
        <is>
          <t>2️⃣ 1 CONTOH SOAL &amp; CONTOH JAWABAN BENAR (PELAJARI POLA RUMUS COUNTA DI SINI)</t>
        </is>
      </c>
    </row>
    <row r="10">
      <c r="B10" s="18" t="inlineStr">
        <is>
          <t>Nama Unit / Kategori</t>
        </is>
      </c>
      <c r="C10" s="18" t="inlineStr">
        <is>
          <t>Nilai Data</t>
        </is>
      </c>
      <c r="E10" s="18" t="inlineStr">
        <is>
          <t>✅ 1 CONTOH SOAL BESERTA CONTOH RUMUS &amp; HASIL JAWABAN BENAR:</t>
        </is>
      </c>
      <c r="F10" s="5" t="n"/>
      <c r="G10" s="5" t="n"/>
    </row>
    <row r="11" ht="28" customHeight="1">
      <c r="B11" s="19" t="inlineStr">
        <is>
          <t>Simulasi Unit A</t>
        </is>
      </c>
      <c r="C11" s="19" t="n">
        <v>500000</v>
      </c>
      <c r="E11" s="20" t="inlineStr">
        <is>
          <t>Contoh Soal:</t>
        </is>
      </c>
      <c r="F11" s="21" t="inlineStr">
        <is>
          <t>Hitung hasil pengolahan fungsi COUNTA untuk keempat baris data pada rentang C11:C14!</t>
        </is>
      </c>
      <c r="G11" s="5" t="n"/>
    </row>
    <row r="12">
      <c r="B12" s="19" t="inlineStr">
        <is>
          <t>Simulasi Unit B</t>
        </is>
      </c>
      <c r="C12" s="19" t="n">
        <v>750000</v>
      </c>
      <c r="E12" s="20" t="inlineStr">
        <is>
          <t>Contoh Rumus Benar:</t>
        </is>
      </c>
      <c r="F12" s="22" t="inlineStr">
        <is>
          <t>'=COUNTA(C11:C14)</t>
        </is>
      </c>
      <c r="G12" s="5" t="n"/>
    </row>
    <row r="13">
      <c r="B13" s="19" t="inlineStr">
        <is>
          <t>Simulasi Unit C</t>
        </is>
      </c>
      <c r="C13" s="19" t="n">
        <v>600000</v>
      </c>
      <c r="E13" s="20" t="inlineStr">
        <is>
          <t>Contoh Hasil Benar:</t>
        </is>
      </c>
      <c r="F13" s="23">
        <f>COUNTA(C11:C14)</f>
        <v/>
      </c>
      <c r="G13" s="5" t="n"/>
    </row>
    <row r="14">
      <c r="B14" s="19" t="inlineStr">
        <is>
          <t>Simulasi Unit D</t>
        </is>
      </c>
      <c r="C14" s="19" t="n">
        <v>950000</v>
      </c>
    </row>
    <row r="16" ht="26" customHeight="1">
      <c r="B16" s="24" t="inlineStr">
        <is>
          <t>3️⃣ 5 SOAL TES DUNIA NYATA — KERJAKAN DI KOTAK KUNING (TANPA KUNCI RUMUS / HASIL DI SINI!)</t>
        </is>
      </c>
    </row>
    <row r="17" ht="20" customHeight="1">
      <c r="B17" s="25" t="inlineStr">
        <is>
          <t>📌 Catatan Tes: Soal Tes #1 s/d #5 di bawah ini tidak menampilkan kunci rumus maupun hasil. Kunci jawaban lengkap tersedia di sheet paling terakhir (99_KUNCI_JAWABAN).</t>
        </is>
      </c>
    </row>
    <row r="19" ht="22" customHeight="1">
      <c r="B19" s="26" t="inlineStr">
        <is>
          <t>📝 SOAL TES #1: Kasus Keuangan &amp; Akuntansi Kantor</t>
        </is>
      </c>
    </row>
    <row r="20" ht="30" customHeight="1">
      <c r="B20" s="14" t="inlineStr">
        <is>
          <t>Nama Unit / Kategori</t>
        </is>
      </c>
      <c r="C20" s="14" t="inlineStr">
        <is>
          <t>Nilai Data</t>
        </is>
      </c>
      <c r="E20" s="27" t="inlineStr">
        <is>
          <t>Persoalan Tes #1: Hitung hasil pengolahan fungsi COUNTA untuk keempat baris data pada rentang C21:C24!</t>
        </is>
      </c>
    </row>
    <row r="21">
      <c r="B21" s="19" t="inlineStr">
        <is>
          <t>Cabang Jakarta</t>
        </is>
      </c>
      <c r="C21" s="19" t="n">
        <v>1250000</v>
      </c>
      <c r="E21" s="14" t="inlineStr">
        <is>
          <t>✏️ KETIK RUMUS JAWABAN TES DI BAWAH:</t>
        </is>
      </c>
      <c r="F21" s="14" t="inlineStr">
        <is>
          <t>📌 STATUS KOREKSI JAWABAN TES:</t>
        </is>
      </c>
      <c r="G21" s="5" t="n"/>
    </row>
    <row r="22" ht="26" customHeight="1">
      <c r="B22" s="19" t="inlineStr">
        <is>
          <t>Cabang Bandung</t>
        </is>
      </c>
      <c r="C22" s="19" t="n">
        <v>1850000</v>
      </c>
      <c r="E22" s="28" t="n"/>
      <c r="F22" s="29">
        <f>IF(ISBLANK(E22), "⏳ Belum Diisi (Ketik Rumus di Sel Kuning E22)", IF(E22='99_KUNCI_JAWABAN'!F95, "✅ BENAR! JAWABAN TES TEPAT!", "❌ Belum Tepat (Cek Sheet Akhir: 99_KUNCI_JAWABAN)"))</f>
        <v/>
      </c>
      <c r="G22" s="5" t="n"/>
    </row>
    <row r="23">
      <c r="B23" s="19" t="inlineStr">
        <is>
          <t>Cabang Surabaya</t>
        </is>
      </c>
      <c r="C23" s="19" t="n">
        <v>2100000</v>
      </c>
    </row>
    <row r="24">
      <c r="B24" s="19" t="inlineStr">
        <is>
          <t>Cabang Medan</t>
        </is>
      </c>
      <c r="C24" s="19" t="n">
        <v>1600000</v>
      </c>
    </row>
    <row r="27" ht="22" customHeight="1">
      <c r="B27" s="26" t="inlineStr">
        <is>
          <t>📝 SOAL TES #2: Kasus HRD, Gaji &amp; Lembur Karyawan</t>
        </is>
      </c>
    </row>
    <row r="28" ht="30" customHeight="1">
      <c r="B28" s="14" t="inlineStr">
        <is>
          <t>Nama Unit / Kategori</t>
        </is>
      </c>
      <c r="C28" s="14" t="inlineStr">
        <is>
          <t>Nilai Data</t>
        </is>
      </c>
      <c r="E28" s="27" t="inlineStr">
        <is>
          <t>Persoalan Tes #2: Hitung hasil pengolahan fungsi COUNTA untuk keempat baris data pada rentang C29:C32!</t>
        </is>
      </c>
    </row>
    <row r="29">
      <c r="B29" s="19" t="inlineStr">
        <is>
          <t>Budi Santoso</t>
        </is>
      </c>
      <c r="C29" s="19" t="n">
        <v>4500000</v>
      </c>
      <c r="E29" s="14" t="inlineStr">
        <is>
          <t>✏️ KETIK RUMUS JAWABAN TES DI BAWAH:</t>
        </is>
      </c>
      <c r="F29" s="14" t="inlineStr">
        <is>
          <t>📌 STATUS KOREKSI JAWABAN TES:</t>
        </is>
      </c>
      <c r="G29" s="5" t="n"/>
    </row>
    <row r="30" ht="26" customHeight="1">
      <c r="B30" s="19" t="inlineStr">
        <is>
          <t>Siti Aminah</t>
        </is>
      </c>
      <c r="C30" s="19" t="n">
        <v>5200000</v>
      </c>
      <c r="E30" s="28" t="n"/>
      <c r="F30" s="29">
        <f>IF(ISBLANK(E30), "⏳ Belum Diisi (Ketik Rumus di Sel Kuning E30)", IF(E30='99_KUNCI_JAWABAN'!F96, "✅ BENAR! JAWABAN TES TEPAT!", "❌ Belum Tepat (Cek Sheet Akhir: 99_KUNCI_JAWABAN)"))</f>
        <v/>
      </c>
      <c r="G30" s="5" t="n"/>
    </row>
    <row r="31">
      <c r="B31" s="19" t="inlineStr">
        <is>
          <t>Andi Pratama</t>
        </is>
      </c>
      <c r="C31" s="19" t="n">
        <v>4800000</v>
      </c>
    </row>
    <row r="32">
      <c r="B32" s="19" t="inlineStr">
        <is>
          <t>Rina Wijaya</t>
        </is>
      </c>
      <c r="C32" s="19" t="n">
        <v>6100000</v>
      </c>
    </row>
    <row r="35" ht="22" customHeight="1">
      <c r="B35" s="26" t="inlineStr">
        <is>
          <t>📝 SOAL TES #3: Kasus Logistik &amp; Stok Gudang Utama</t>
        </is>
      </c>
    </row>
    <row r="36" ht="30" customHeight="1">
      <c r="B36" s="14" t="inlineStr">
        <is>
          <t>Nama Unit / Kategori</t>
        </is>
      </c>
      <c r="C36" s="14" t="inlineStr">
        <is>
          <t>Nilai Data</t>
        </is>
      </c>
      <c r="E36" s="27" t="inlineStr">
        <is>
          <t>Persoalan Tes #3: Hitung hasil pengolahan fungsi COUNTA untuk keempat baris data pada rentang C37:C40!</t>
        </is>
      </c>
    </row>
    <row r="37">
      <c r="B37" s="19" t="inlineStr">
        <is>
          <t>Gudang Blok A</t>
        </is>
      </c>
      <c r="C37" s="19" t="n">
        <v>240</v>
      </c>
      <c r="E37" s="14" t="inlineStr">
        <is>
          <t>✏️ KETIK RUMUS JAWABAN TES DI BAWAH:</t>
        </is>
      </c>
      <c r="F37" s="14" t="inlineStr">
        <is>
          <t>📌 STATUS KOREKSI JAWABAN TES:</t>
        </is>
      </c>
      <c r="G37" s="5" t="n"/>
    </row>
    <row r="38" ht="26" customHeight="1">
      <c r="B38" s="19" t="inlineStr">
        <is>
          <t>Gudang Blok B</t>
        </is>
      </c>
      <c r="C38" s="19" t="n">
        <v>380</v>
      </c>
      <c r="E38" s="28" t="n"/>
      <c r="F38" s="29">
        <f>IF(ISBLANK(E38), "⏳ Belum Diisi (Ketik Rumus di Sel Kuning E38)", IF(E38='99_KUNCI_JAWABAN'!F97, "✅ BENAR! JAWABAN TES TEPAT!", "❌ Belum Tepat (Cek Sheet Akhir: 99_KUNCI_JAWABAN)"))</f>
        <v/>
      </c>
      <c r="G38" s="5" t="n"/>
    </row>
    <row r="39">
      <c r="B39" s="19" t="inlineStr">
        <is>
          <t>Gudang Blok C</t>
        </is>
      </c>
      <c r="C39" s="19" t="n">
        <v>195</v>
      </c>
    </row>
    <row r="40">
      <c r="B40" s="19" t="inlineStr">
        <is>
          <t>Gudang Blok D</t>
        </is>
      </c>
      <c r="C40" s="19" t="n">
        <v>425</v>
      </c>
    </row>
    <row r="43" ht="22" customHeight="1">
      <c r="B43" s="26" t="inlineStr">
        <is>
          <t>📝 SOAL TES #4: Kasus Penjualan Retail &amp; Target Toko</t>
        </is>
      </c>
    </row>
    <row r="44" ht="30" customHeight="1">
      <c r="B44" s="14" t="inlineStr">
        <is>
          <t>Nama Unit / Kategori</t>
        </is>
      </c>
      <c r="C44" s="14" t="inlineStr">
        <is>
          <t>Nilai Data</t>
        </is>
      </c>
      <c r="E44" s="27" t="inlineStr">
        <is>
          <t>Persoalan Tes #4: Hitung hasil pengolahan fungsi COUNTA untuk keempat baris data pada rentang C45:C48!</t>
        </is>
      </c>
    </row>
    <row r="45">
      <c r="B45" s="19" t="inlineStr">
        <is>
          <t>Toko Elektronik</t>
        </is>
      </c>
      <c r="C45" s="19" t="n">
        <v>85</v>
      </c>
      <c r="E45" s="14" t="inlineStr">
        <is>
          <t>✏️ KETIK RUMUS JAWABAN TES DI BAWAH:</t>
        </is>
      </c>
      <c r="F45" s="14" t="inlineStr">
        <is>
          <t>📌 STATUS KOREKSI JAWABAN TES:</t>
        </is>
      </c>
      <c r="G45" s="5" t="n"/>
    </row>
    <row r="46" ht="26" customHeight="1">
      <c r="B46" s="19" t="inlineStr">
        <is>
          <t>Toko Komputer</t>
        </is>
      </c>
      <c r="C46" s="19" t="n">
        <v>92</v>
      </c>
      <c r="E46" s="28" t="n"/>
      <c r="F46" s="29">
        <f>IF(ISBLANK(E46), "⏳ Belum Diisi (Ketik Rumus di Sel Kuning E46)", IF(E46='99_KUNCI_JAWABAN'!F98, "✅ BENAR! JAWABAN TES TEPAT!", "❌ Belum Tepat (Cek Sheet Akhir: 99_KUNCI_JAWABAN)"))</f>
        <v/>
      </c>
      <c r="G46" s="5" t="n"/>
    </row>
    <row r="47">
      <c r="B47" s="19" t="inlineStr">
        <is>
          <t>Toko Aksesoris</t>
        </is>
      </c>
      <c r="C47" s="19" t="n">
        <v>78</v>
      </c>
    </row>
    <row r="48">
      <c r="B48" s="19" t="inlineStr">
        <is>
          <t>Toko Servis</t>
        </is>
      </c>
      <c r="C48" s="19" t="n">
        <v>95</v>
      </c>
    </row>
    <row r="51" ht="22" customHeight="1">
      <c r="B51" s="26" t="inlineStr">
        <is>
          <t>📝 SOAL TES #5: Kasus Akademik Sekolah &amp; Layanan Publik</t>
        </is>
      </c>
    </row>
    <row r="52" ht="30" customHeight="1">
      <c r="B52" s="14" t="inlineStr">
        <is>
          <t>Nama Unit / Kategori</t>
        </is>
      </c>
      <c r="C52" s="14" t="inlineStr">
        <is>
          <t>Nilai Data</t>
        </is>
      </c>
      <c r="E52" s="27" t="inlineStr">
        <is>
          <t>Persoalan Tes #5: Hitung hasil pengolahan fungsi COUNTA untuk keempat baris data pada rentang C53:C56!</t>
        </is>
      </c>
    </row>
    <row r="53">
      <c r="B53" s="19" t="inlineStr">
        <is>
          <t>Kelas 10 IPA</t>
        </is>
      </c>
      <c r="C53" s="19" t="n">
        <v>82</v>
      </c>
      <c r="E53" s="14" t="inlineStr">
        <is>
          <t>✏️ KETIK RUMUS JAWABAN TES DI BAWAH:</t>
        </is>
      </c>
      <c r="F53" s="14" t="inlineStr">
        <is>
          <t>📌 STATUS KOREKSI JAWABAN TES:</t>
        </is>
      </c>
      <c r="G53" s="5" t="n"/>
    </row>
    <row r="54" ht="26" customHeight="1">
      <c r="B54" s="19" t="inlineStr">
        <is>
          <t>Kelas 11 IPA</t>
        </is>
      </c>
      <c r="C54" s="19" t="n">
        <v>88</v>
      </c>
      <c r="E54" s="28" t="n"/>
      <c r="F54" s="29">
        <f>IF(ISBLANK(E54), "⏳ Belum Diisi (Ketik Rumus di Sel Kuning E54)", IF(E54='99_KUNCI_JAWABAN'!F99, "✅ BENAR! JAWABAN TES TEPAT!", "❌ Belum Tepat (Cek Sheet Akhir: 99_KUNCI_JAWABAN)"))</f>
        <v/>
      </c>
      <c r="G54" s="5" t="n"/>
    </row>
    <row r="55">
      <c r="B55" s="19" t="inlineStr">
        <is>
          <t>Kelas 12 IPA</t>
        </is>
      </c>
      <c r="C55" s="19" t="n">
        <v>91</v>
      </c>
    </row>
    <row r="56">
      <c r="B56" s="19" t="inlineStr">
        <is>
          <t>Kelas Unggulan</t>
        </is>
      </c>
      <c r="C56" s="19" t="n">
        <v>79</v>
      </c>
    </row>
  </sheetData>
  <mergeCells count="33">
    <mergeCell ref="E10:G10"/>
    <mergeCell ref="F11:G11"/>
    <mergeCell ref="E28:G28"/>
    <mergeCell ref="F29:G29"/>
    <mergeCell ref="C6:G6"/>
    <mergeCell ref="F54:G54"/>
    <mergeCell ref="B17:G17"/>
    <mergeCell ref="B1:G1"/>
    <mergeCell ref="C5:G5"/>
    <mergeCell ref="B19:G19"/>
    <mergeCell ref="F21:G21"/>
    <mergeCell ref="F12:G12"/>
    <mergeCell ref="F30:G30"/>
    <mergeCell ref="E36:G36"/>
    <mergeCell ref="B9:G9"/>
    <mergeCell ref="F45:G45"/>
    <mergeCell ref="B51:G51"/>
    <mergeCell ref="F38:G38"/>
    <mergeCell ref="B35:G35"/>
    <mergeCell ref="B4:G4"/>
    <mergeCell ref="F46:G46"/>
    <mergeCell ref="F22:G22"/>
    <mergeCell ref="B2:E2"/>
    <mergeCell ref="F13:G13"/>
    <mergeCell ref="B16:G16"/>
    <mergeCell ref="F37:G37"/>
    <mergeCell ref="C7:G7"/>
    <mergeCell ref="E52:G52"/>
    <mergeCell ref="B27:G27"/>
    <mergeCell ref="B43:G43"/>
    <mergeCell ref="E44:G44"/>
    <mergeCell ref="E20:G20"/>
    <mergeCell ref="F53:G53"/>
  </mergeCells>
  <hyperlinks>
    <hyperlink xmlns:r="http://schemas.openxmlformats.org/officeDocument/2006/relationships" ref="F2" r:id="rId1"/>
    <hyperlink xmlns:r="http://schemas.openxmlformats.org/officeDocument/2006/relationships" ref="G2" r:id="rId2"/>
  </hyperlink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B1:G56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22" customWidth="1" min="3" max="3"/>
    <col width="4" customWidth="1" min="4" max="4"/>
    <col width="34" customWidth="1" min="5" max="5"/>
    <col width="44" customWidth="1" min="6" max="6"/>
    <col width="28" customWidth="1" min="7" max="7"/>
  </cols>
  <sheetData>
    <row r="1" ht="30" customHeight="1">
      <c r="B1" s="10" t="inlineStr">
        <is>
          <t>📊 #020 — RUMUS EXCEL: COUNTBLANK   |   Kategori: 8. Statistik &amp; Analisis Data</t>
        </is>
      </c>
    </row>
    <row r="2" ht="22" customHeight="1">
      <c r="B2" s="11" t="inlineStr">
        <is>
          <t>1 Rumus = 1 Contoh Soal + Jawaban Benar &amp; 5 Soal Tes Mandiri (Kunci Jawaban Ada di Sheet Paling Terakhir)</t>
        </is>
      </c>
      <c r="F2" s="12" t="inlineStr">
        <is>
          <t>⬅️ Ke Daftar Isi (00_DAFTAR_ISI)</t>
        </is>
      </c>
      <c r="G2" s="3" t="inlineStr">
        <is>
          <t>🔑 Ke Kunci Jawaban (Sheet Akhir)</t>
        </is>
      </c>
    </row>
    <row r="4" ht="24" customHeight="1">
      <c r="B4" s="13" t="inlineStr">
        <is>
          <t>1️⃣ IDENTITAS RUMUS &amp; FUNGSINYA BUAT APA? (COUNTBLANK)</t>
        </is>
      </c>
    </row>
    <row r="5" ht="21" customHeight="1">
      <c r="B5" s="14" t="inlineStr">
        <is>
          <t>Nama Rumus Excel</t>
        </is>
      </c>
      <c r="C5" s="15">
        <f>COUNTBLANK(...)</f>
        <v/>
      </c>
      <c r="D5" s="5" t="n"/>
      <c r="E5" s="5" t="n"/>
      <c r="F5" s="5" t="n"/>
      <c r="G5" s="5" t="n"/>
    </row>
    <row r="6" ht="21" customHeight="1">
      <c r="B6" s="14" t="inlineStr">
        <is>
          <t>Sintaks / Pola Umum</t>
        </is>
      </c>
      <c r="C6" s="15">
        <f>COUNTBLANK(range_data)</f>
        <v/>
      </c>
      <c r="D6" s="5" t="n"/>
      <c r="E6" s="5" t="n"/>
      <c r="F6" s="5" t="n"/>
      <c r="G6" s="5" t="n"/>
    </row>
    <row r="7" ht="26" customHeight="1">
      <c r="B7" s="14" t="inlineStr">
        <is>
          <t>👶 Fungsinya Buat Apa?</t>
        </is>
      </c>
      <c r="C7" s="16" t="inlineStr">
        <is>
          <t>Menghitung berapa banyak sel yang masih KOSONG (belum diisi).</t>
        </is>
      </c>
      <c r="D7" s="5" t="n"/>
      <c r="E7" s="5" t="n"/>
      <c r="F7" s="5" t="n"/>
      <c r="G7" s="5" t="n"/>
    </row>
    <row r="9" ht="24" customHeight="1">
      <c r="B9" s="17" t="inlineStr">
        <is>
          <t>2️⃣ 1 CONTOH SOAL &amp; CONTOH JAWABAN BENAR (PELAJARI POLA RUMUS COUNTBLANK DI SINI)</t>
        </is>
      </c>
    </row>
    <row r="10">
      <c r="B10" s="18" t="inlineStr">
        <is>
          <t>Unit / Peserta</t>
        </is>
      </c>
      <c r="C10" s="18" t="inlineStr">
        <is>
          <t>Data Terisi</t>
        </is>
      </c>
      <c r="E10" s="18" t="inlineStr">
        <is>
          <t>✅ 1 CONTOH SOAL BESERTA CONTOH RUMUS &amp; HASIL JAWABAN BENAR:</t>
        </is>
      </c>
      <c r="F10" s="5" t="n"/>
      <c r="G10" s="5" t="n"/>
    </row>
    <row r="11" ht="28" customHeight="1">
      <c r="B11" s="19" t="inlineStr">
        <is>
          <t>Simulasi Unit A</t>
        </is>
      </c>
      <c r="C11" s="19" t="n">
        <v>500000</v>
      </c>
      <c r="E11" s="20" t="inlineStr">
        <is>
          <t>Contoh Soal:</t>
        </is>
      </c>
      <c r="F11" s="21" t="inlineStr">
        <is>
          <t>Hitung berapa banyak sel yang masih kosong pada rentang data C11:C14 menggunakan fungsi COUNTBLANK!</t>
        </is>
      </c>
      <c r="G11" s="5" t="n"/>
    </row>
    <row r="12">
      <c r="B12" s="19" t="inlineStr">
        <is>
          <t>Simulasi Unit B</t>
        </is>
      </c>
      <c r="C12" s="19" t="inlineStr"/>
      <c r="E12" s="20" t="inlineStr">
        <is>
          <t>Contoh Rumus Benar:</t>
        </is>
      </c>
      <c r="F12" s="22" t="inlineStr">
        <is>
          <t>'=COUNTBLANK(C11:C14)</t>
        </is>
      </c>
      <c r="G12" s="5" t="n"/>
    </row>
    <row r="13">
      <c r="B13" s="19" t="inlineStr">
        <is>
          <t>Simulasi Unit C</t>
        </is>
      </c>
      <c r="C13" s="19" t="n">
        <v>600000</v>
      </c>
      <c r="E13" s="20" t="inlineStr">
        <is>
          <t>Contoh Hasil Benar:</t>
        </is>
      </c>
      <c r="F13" s="23">
        <f>COUNTBLANK(C11:C14)</f>
        <v/>
      </c>
      <c r="G13" s="5" t="n"/>
    </row>
    <row r="14">
      <c r="B14" s="19" t="inlineStr">
        <is>
          <t>Simulasi Unit D</t>
        </is>
      </c>
      <c r="C14" s="19" t="inlineStr"/>
    </row>
    <row r="16" ht="26" customHeight="1">
      <c r="B16" s="24" t="inlineStr">
        <is>
          <t>3️⃣ 5 SOAL TES DUNIA NYATA — KERJAKAN DI KOTAK KUNING (TANPA KUNCI RUMUS / HASIL DI SINI!)</t>
        </is>
      </c>
    </row>
    <row r="17" ht="20" customHeight="1">
      <c r="B17" s="25" t="inlineStr">
        <is>
          <t>📌 Catatan Tes: Soal Tes #1 s/d #5 di bawah ini tidak menampilkan kunci rumus maupun hasil. Kunci jawaban lengkap tersedia di sheet paling terakhir (99_KUNCI_JAWABAN).</t>
        </is>
      </c>
    </row>
    <row r="19" ht="22" customHeight="1">
      <c r="B19" s="26" t="inlineStr">
        <is>
          <t>📝 SOAL TES #1: Kasus Keuangan &amp; Akuntansi Kantor</t>
        </is>
      </c>
    </row>
    <row r="20" ht="30" customHeight="1">
      <c r="B20" s="14" t="inlineStr">
        <is>
          <t>Unit / Peserta</t>
        </is>
      </c>
      <c r="C20" s="14" t="inlineStr">
        <is>
          <t>Data Terisi</t>
        </is>
      </c>
      <c r="E20" s="27" t="inlineStr">
        <is>
          <t>Persoalan Tes #1: Hitung berapa banyak sel yang masih kosong pada rentang data C21:C24 menggunakan fungsi COUNTBLANK!</t>
        </is>
      </c>
    </row>
    <row r="21">
      <c r="B21" s="19" t="inlineStr">
        <is>
          <t>Cabang Jakarta</t>
        </is>
      </c>
      <c r="C21" s="19" t="n">
        <v>1250000</v>
      </c>
      <c r="E21" s="14" t="inlineStr">
        <is>
          <t>✏️ KETIK RUMUS JAWABAN TES DI BAWAH:</t>
        </is>
      </c>
      <c r="F21" s="14" t="inlineStr">
        <is>
          <t>📌 STATUS KOREKSI JAWABAN TES:</t>
        </is>
      </c>
      <c r="G21" s="5" t="n"/>
    </row>
    <row r="22" ht="26" customHeight="1">
      <c r="B22" s="19" t="inlineStr">
        <is>
          <t>Cabang Bandung</t>
        </is>
      </c>
      <c r="C22" s="19" t="inlineStr"/>
      <c r="E22" s="28" t="n"/>
      <c r="F22" s="29">
        <f>IF(ISBLANK(E22), "⏳ Belum Diisi (Ketik Rumus di Sel Kuning E22)", IF(E22='99_KUNCI_JAWABAN'!F100, "✅ BENAR! JAWABAN TES TEPAT!", "❌ Belum Tepat (Cek Sheet Akhir: 99_KUNCI_JAWABAN)"))</f>
        <v/>
      </c>
      <c r="G22" s="5" t="n"/>
    </row>
    <row r="23">
      <c r="B23" s="19" t="inlineStr">
        <is>
          <t>Cabang Surabaya</t>
        </is>
      </c>
      <c r="C23" s="19" t="n">
        <v>2100000</v>
      </c>
    </row>
    <row r="24">
      <c r="B24" s="19" t="inlineStr">
        <is>
          <t>Cabang Medan</t>
        </is>
      </c>
      <c r="C24" s="19" t="inlineStr"/>
    </row>
    <row r="27" ht="22" customHeight="1">
      <c r="B27" s="26" t="inlineStr">
        <is>
          <t>📝 SOAL TES #2: Kasus HRD, Gaji &amp; Lembur Karyawan</t>
        </is>
      </c>
    </row>
    <row r="28" ht="30" customHeight="1">
      <c r="B28" s="14" t="inlineStr">
        <is>
          <t>Unit / Peserta</t>
        </is>
      </c>
      <c r="C28" s="14" t="inlineStr">
        <is>
          <t>Data Terisi</t>
        </is>
      </c>
      <c r="E28" s="27" t="inlineStr">
        <is>
          <t>Persoalan Tes #2: Hitung berapa banyak sel yang masih kosong pada rentang data C29:C32 menggunakan fungsi COUNTBLANK!</t>
        </is>
      </c>
    </row>
    <row r="29">
      <c r="B29" s="19" t="inlineStr">
        <is>
          <t>Budi Santoso</t>
        </is>
      </c>
      <c r="C29" s="19" t="n">
        <v>4500000</v>
      </c>
      <c r="E29" s="14" t="inlineStr">
        <is>
          <t>✏️ KETIK RUMUS JAWABAN TES DI BAWAH:</t>
        </is>
      </c>
      <c r="F29" s="14" t="inlineStr">
        <is>
          <t>📌 STATUS KOREKSI JAWABAN TES:</t>
        </is>
      </c>
      <c r="G29" s="5" t="n"/>
    </row>
    <row r="30" ht="26" customHeight="1">
      <c r="B30" s="19" t="inlineStr">
        <is>
          <t>Siti Aminah</t>
        </is>
      </c>
      <c r="C30" s="19" t="inlineStr"/>
      <c r="E30" s="28" t="n"/>
      <c r="F30" s="29">
        <f>IF(ISBLANK(E30), "⏳ Belum Diisi (Ketik Rumus di Sel Kuning E30)", IF(E30='99_KUNCI_JAWABAN'!F101, "✅ BENAR! JAWABAN TES TEPAT!", "❌ Belum Tepat (Cek Sheet Akhir: 99_KUNCI_JAWABAN)"))</f>
        <v/>
      </c>
      <c r="G30" s="5" t="n"/>
    </row>
    <row r="31">
      <c r="B31" s="19" t="inlineStr">
        <is>
          <t>Andi Pratama</t>
        </is>
      </c>
      <c r="C31" s="19" t="n">
        <v>4800000</v>
      </c>
    </row>
    <row r="32">
      <c r="B32" s="19" t="inlineStr">
        <is>
          <t>Rina Wijaya</t>
        </is>
      </c>
      <c r="C32" s="19" t="inlineStr"/>
    </row>
    <row r="35" ht="22" customHeight="1">
      <c r="B35" s="26" t="inlineStr">
        <is>
          <t>📝 SOAL TES #3: Kasus Logistik &amp; Stok Gudang Utama</t>
        </is>
      </c>
    </row>
    <row r="36" ht="30" customHeight="1">
      <c r="B36" s="14" t="inlineStr">
        <is>
          <t>Unit / Peserta</t>
        </is>
      </c>
      <c r="C36" s="14" t="inlineStr">
        <is>
          <t>Data Terisi</t>
        </is>
      </c>
      <c r="E36" s="27" t="inlineStr">
        <is>
          <t>Persoalan Tes #3: Hitung berapa banyak sel yang masih kosong pada rentang data C37:C40 menggunakan fungsi COUNTBLANK!</t>
        </is>
      </c>
    </row>
    <row r="37">
      <c r="B37" s="19" t="inlineStr">
        <is>
          <t>Gudang Blok A</t>
        </is>
      </c>
      <c r="C37" s="19" t="n">
        <v>240</v>
      </c>
      <c r="E37" s="14" t="inlineStr">
        <is>
          <t>✏️ KETIK RUMUS JAWABAN TES DI BAWAH:</t>
        </is>
      </c>
      <c r="F37" s="14" t="inlineStr">
        <is>
          <t>📌 STATUS KOREKSI JAWABAN TES:</t>
        </is>
      </c>
      <c r="G37" s="5" t="n"/>
    </row>
    <row r="38" ht="26" customHeight="1">
      <c r="B38" s="19" t="inlineStr">
        <is>
          <t>Gudang Blok B</t>
        </is>
      </c>
      <c r="C38" s="19" t="inlineStr"/>
      <c r="E38" s="28" t="n"/>
      <c r="F38" s="29">
        <f>IF(ISBLANK(E38), "⏳ Belum Diisi (Ketik Rumus di Sel Kuning E38)", IF(E38='99_KUNCI_JAWABAN'!F102, "✅ BENAR! JAWABAN TES TEPAT!", "❌ Belum Tepat (Cek Sheet Akhir: 99_KUNCI_JAWABAN)"))</f>
        <v/>
      </c>
      <c r="G38" s="5" t="n"/>
    </row>
    <row r="39">
      <c r="B39" s="19" t="inlineStr">
        <is>
          <t>Gudang Blok C</t>
        </is>
      </c>
      <c r="C39" s="19" t="n">
        <v>195</v>
      </c>
    </row>
    <row r="40">
      <c r="B40" s="19" t="inlineStr">
        <is>
          <t>Gudang Blok D</t>
        </is>
      </c>
      <c r="C40" s="19" t="inlineStr"/>
    </row>
    <row r="43" ht="22" customHeight="1">
      <c r="B43" s="26" t="inlineStr">
        <is>
          <t>📝 SOAL TES #4: Kasus Penjualan Retail &amp; Target Toko</t>
        </is>
      </c>
    </row>
    <row r="44" ht="30" customHeight="1">
      <c r="B44" s="14" t="inlineStr">
        <is>
          <t>Unit / Peserta</t>
        </is>
      </c>
      <c r="C44" s="14" t="inlineStr">
        <is>
          <t>Data Terisi</t>
        </is>
      </c>
      <c r="E44" s="27" t="inlineStr">
        <is>
          <t>Persoalan Tes #4: Hitung berapa banyak sel yang masih kosong pada rentang data C45:C48 menggunakan fungsi COUNTBLANK!</t>
        </is>
      </c>
    </row>
    <row r="45">
      <c r="B45" s="19" t="inlineStr">
        <is>
          <t>Toko Elektronik</t>
        </is>
      </c>
      <c r="C45" s="19" t="n">
        <v>85</v>
      </c>
      <c r="E45" s="14" t="inlineStr">
        <is>
          <t>✏️ KETIK RUMUS JAWABAN TES DI BAWAH:</t>
        </is>
      </c>
      <c r="F45" s="14" t="inlineStr">
        <is>
          <t>📌 STATUS KOREKSI JAWABAN TES:</t>
        </is>
      </c>
      <c r="G45" s="5" t="n"/>
    </row>
    <row r="46" ht="26" customHeight="1">
      <c r="B46" s="19" t="inlineStr">
        <is>
          <t>Toko Komputer</t>
        </is>
      </c>
      <c r="C46" s="19" t="inlineStr"/>
      <c r="E46" s="28" t="n"/>
      <c r="F46" s="29">
        <f>IF(ISBLANK(E46), "⏳ Belum Diisi (Ketik Rumus di Sel Kuning E46)", IF(E46='99_KUNCI_JAWABAN'!F103, "✅ BENAR! JAWABAN TES TEPAT!", "❌ Belum Tepat (Cek Sheet Akhir: 99_KUNCI_JAWABAN)"))</f>
        <v/>
      </c>
      <c r="G46" s="5" t="n"/>
    </row>
    <row r="47">
      <c r="B47" s="19" t="inlineStr">
        <is>
          <t>Toko Aksesoris</t>
        </is>
      </c>
      <c r="C47" s="19" t="n">
        <v>78</v>
      </c>
    </row>
    <row r="48">
      <c r="B48" s="19" t="inlineStr">
        <is>
          <t>Toko Servis</t>
        </is>
      </c>
      <c r="C48" s="19" t="inlineStr"/>
    </row>
    <row r="51" ht="22" customHeight="1">
      <c r="B51" s="26" t="inlineStr">
        <is>
          <t>📝 SOAL TES #5: Kasus Akademik Sekolah &amp; Layanan Publik</t>
        </is>
      </c>
    </row>
    <row r="52" ht="30" customHeight="1">
      <c r="B52" s="14" t="inlineStr">
        <is>
          <t>Unit / Peserta</t>
        </is>
      </c>
      <c r="C52" s="14" t="inlineStr">
        <is>
          <t>Data Terisi</t>
        </is>
      </c>
      <c r="E52" s="27" t="inlineStr">
        <is>
          <t>Persoalan Tes #5: Hitung berapa banyak sel yang masih kosong pada rentang data C53:C56 menggunakan fungsi COUNTBLANK!</t>
        </is>
      </c>
    </row>
    <row r="53">
      <c r="B53" s="19" t="inlineStr">
        <is>
          <t>Kelas 10 IPA</t>
        </is>
      </c>
      <c r="C53" s="19" t="n">
        <v>82</v>
      </c>
      <c r="E53" s="14" t="inlineStr">
        <is>
          <t>✏️ KETIK RUMUS JAWABAN TES DI BAWAH:</t>
        </is>
      </c>
      <c r="F53" s="14" t="inlineStr">
        <is>
          <t>📌 STATUS KOREKSI JAWABAN TES:</t>
        </is>
      </c>
      <c r="G53" s="5" t="n"/>
    </row>
    <row r="54" ht="26" customHeight="1">
      <c r="B54" s="19" t="inlineStr">
        <is>
          <t>Kelas 11 IPA</t>
        </is>
      </c>
      <c r="C54" s="19" t="inlineStr"/>
      <c r="E54" s="28" t="n"/>
      <c r="F54" s="29">
        <f>IF(ISBLANK(E54), "⏳ Belum Diisi (Ketik Rumus di Sel Kuning E54)", IF(E54='99_KUNCI_JAWABAN'!F104, "✅ BENAR! JAWABAN TES TEPAT!", "❌ Belum Tepat (Cek Sheet Akhir: 99_KUNCI_JAWABAN)"))</f>
        <v/>
      </c>
      <c r="G54" s="5" t="n"/>
    </row>
    <row r="55">
      <c r="B55" s="19" t="inlineStr">
        <is>
          <t>Kelas 12 IPA</t>
        </is>
      </c>
      <c r="C55" s="19" t="n">
        <v>91</v>
      </c>
    </row>
    <row r="56">
      <c r="B56" s="19" t="inlineStr">
        <is>
          <t>Kelas Unggulan</t>
        </is>
      </c>
      <c r="C56" s="19" t="inlineStr"/>
    </row>
  </sheetData>
  <mergeCells count="33">
    <mergeCell ref="E10:G10"/>
    <mergeCell ref="F11:G11"/>
    <mergeCell ref="E28:G28"/>
    <mergeCell ref="F29:G29"/>
    <mergeCell ref="C6:G6"/>
    <mergeCell ref="F54:G54"/>
    <mergeCell ref="B17:G17"/>
    <mergeCell ref="B1:G1"/>
    <mergeCell ref="C5:G5"/>
    <mergeCell ref="B19:G19"/>
    <mergeCell ref="F21:G21"/>
    <mergeCell ref="F12:G12"/>
    <mergeCell ref="F30:G30"/>
    <mergeCell ref="E36:G36"/>
    <mergeCell ref="B9:G9"/>
    <mergeCell ref="F45:G45"/>
    <mergeCell ref="B51:G51"/>
    <mergeCell ref="F38:G38"/>
    <mergeCell ref="B35:G35"/>
    <mergeCell ref="B4:G4"/>
    <mergeCell ref="F46:G46"/>
    <mergeCell ref="F22:G22"/>
    <mergeCell ref="B2:E2"/>
    <mergeCell ref="F13:G13"/>
    <mergeCell ref="B16:G16"/>
    <mergeCell ref="F37:G37"/>
    <mergeCell ref="C7:G7"/>
    <mergeCell ref="E52:G52"/>
    <mergeCell ref="B27:G27"/>
    <mergeCell ref="B43:G43"/>
    <mergeCell ref="E44:G44"/>
    <mergeCell ref="E20:G20"/>
    <mergeCell ref="F53:G53"/>
  </mergeCells>
  <hyperlinks>
    <hyperlink xmlns:r="http://schemas.openxmlformats.org/officeDocument/2006/relationships" ref="F2" r:id="rId1"/>
    <hyperlink xmlns:r="http://schemas.openxmlformats.org/officeDocument/2006/relationships" ref="G2" r:id="rId2"/>
  </hyperlink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B1:G56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22" customWidth="1" min="3" max="3"/>
    <col width="4" customWidth="1" min="4" max="4"/>
    <col width="34" customWidth="1" min="5" max="5"/>
    <col width="44" customWidth="1" min="6" max="6"/>
    <col width="28" customWidth="1" min="7" max="7"/>
  </cols>
  <sheetData>
    <row r="1" ht="30" customHeight="1">
      <c r="B1" s="10" t="inlineStr">
        <is>
          <t>📊 #021 — RUMUS EXCEL: COUNTIF   |   Kategori: 8. Statistik &amp; Analisis Data</t>
        </is>
      </c>
    </row>
    <row r="2" ht="22" customHeight="1">
      <c r="B2" s="11" t="inlineStr">
        <is>
          <t>1 Rumus = 1 Contoh Soal + Jawaban Benar &amp; 5 Soal Tes Mandiri (Kunci Jawaban Ada di Sheet Paling Terakhir)</t>
        </is>
      </c>
      <c r="F2" s="12" t="inlineStr">
        <is>
          <t>⬅️ Ke Daftar Isi (00_DAFTAR_ISI)</t>
        </is>
      </c>
      <c r="G2" s="3" t="inlineStr">
        <is>
          <t>🔑 Ke Kunci Jawaban (Sheet Akhir)</t>
        </is>
      </c>
    </row>
    <row r="4" ht="24" customHeight="1">
      <c r="B4" s="13" t="inlineStr">
        <is>
          <t>1️⃣ IDENTITAS RUMUS &amp; FUNGSINYA BUAT APA? (COUNTIF)</t>
        </is>
      </c>
    </row>
    <row r="5" ht="21" customHeight="1">
      <c r="B5" s="14" t="inlineStr">
        <is>
          <t>Nama Rumus Excel</t>
        </is>
      </c>
      <c r="C5" s="15">
        <f>COUNTIF(...)</f>
        <v/>
      </c>
      <c r="D5" s="5" t="n"/>
      <c r="E5" s="5" t="n"/>
      <c r="F5" s="5" t="n"/>
      <c r="G5" s="5" t="n"/>
    </row>
    <row r="6" ht="21" customHeight="1">
      <c r="B6" s="14" t="inlineStr">
        <is>
          <t>Sintaks / Pola Umum</t>
        </is>
      </c>
      <c r="C6" s="15">
        <f>COUNTIF(range_data, syarat)</f>
        <v/>
      </c>
      <c r="D6" s="5" t="n"/>
      <c r="E6" s="5" t="n"/>
      <c r="F6" s="5" t="n"/>
      <c r="G6" s="5" t="n"/>
    </row>
    <row r="7" ht="26" customHeight="1">
      <c r="B7" s="14" t="inlineStr">
        <is>
          <t>👶 Fungsinya Buat Apa?</t>
        </is>
      </c>
      <c r="C7" s="16" t="inlineStr">
        <is>
          <t>Menghitung jumlah sel yang memenuhi 1 kriteria tertentu.</t>
        </is>
      </c>
      <c r="D7" s="5" t="n"/>
      <c r="E7" s="5" t="n"/>
      <c r="F7" s="5" t="n"/>
      <c r="G7" s="5" t="n"/>
    </row>
    <row r="9" ht="24" customHeight="1">
      <c r="B9" s="17" t="inlineStr">
        <is>
          <t>2️⃣ 1 CONTOH SOAL &amp; CONTOH JAWABAN BENAR (PELAJARI POLA RUMUS COUNTIF DI SINI)</t>
        </is>
      </c>
    </row>
    <row r="10">
      <c r="B10" s="18" t="inlineStr">
        <is>
          <t>Status Evaluasi</t>
        </is>
      </c>
      <c r="C10" s="18" t="inlineStr">
        <is>
          <t>Skor Nilai</t>
        </is>
      </c>
      <c r="E10" s="18" t="inlineStr">
        <is>
          <t>✅ 1 CONTOH SOAL BESERTA CONTOH RUMUS &amp; HASIL JAWABAN BENAR:</t>
        </is>
      </c>
      <c r="F10" s="5" t="n"/>
      <c r="G10" s="5" t="n"/>
    </row>
    <row r="11" ht="28" customHeight="1">
      <c r="B11" s="19" t="inlineStr">
        <is>
          <t>Lulus</t>
        </is>
      </c>
      <c r="C11" s="19" t="n">
        <v>90</v>
      </c>
      <c r="E11" s="20" t="inlineStr">
        <is>
          <t>Contoh Soal:</t>
        </is>
      </c>
      <c r="F11" s="21" t="inlineStr">
        <is>
          <t>Hitung berapa banyak peserta yang berstatus "Lulus" pada rentang B11:B14 menggunakan fungsi COUNTIF!</t>
        </is>
      </c>
      <c r="G11" s="5" t="n"/>
    </row>
    <row r="12">
      <c r="B12" s="19" t="inlineStr">
        <is>
          <t>Remedial</t>
        </is>
      </c>
      <c r="C12" s="19" t="n">
        <v>65</v>
      </c>
      <c r="E12" s="20" t="inlineStr">
        <is>
          <t>Contoh Rumus Benar:</t>
        </is>
      </c>
      <c r="F12" s="22" t="inlineStr">
        <is>
          <t>'=COUNTIF(B11:B14, "Lulus")</t>
        </is>
      </c>
      <c r="G12" s="5" t="n"/>
    </row>
    <row r="13">
      <c r="B13" s="19" t="inlineStr">
        <is>
          <t>Lulus</t>
        </is>
      </c>
      <c r="C13" s="19" t="n">
        <v>90</v>
      </c>
      <c r="E13" s="20" t="inlineStr">
        <is>
          <t>Contoh Hasil Benar:</t>
        </is>
      </c>
      <c r="F13" s="23">
        <f>COUNTIF(B11:B14, "Lulus")</f>
        <v/>
      </c>
      <c r="G13" s="5" t="n"/>
    </row>
    <row r="14">
      <c r="B14" s="19" t="inlineStr">
        <is>
          <t>Lulus</t>
        </is>
      </c>
      <c r="C14" s="19" t="n">
        <v>88</v>
      </c>
    </row>
    <row r="16" ht="26" customHeight="1">
      <c r="B16" s="24" t="inlineStr">
        <is>
          <t>3️⃣ 5 SOAL TES DUNIA NYATA — KERJAKAN DI KOTAK KUNING (TANPA KUNCI RUMUS / HASIL DI SINI!)</t>
        </is>
      </c>
    </row>
    <row r="17" ht="20" customHeight="1">
      <c r="B17" s="25" t="inlineStr">
        <is>
          <t>📌 Catatan Tes: Soal Tes #1 s/d #5 di bawah ini tidak menampilkan kunci rumus maupun hasil. Kunci jawaban lengkap tersedia di sheet paling terakhir (99_KUNCI_JAWABAN).</t>
        </is>
      </c>
    </row>
    <row r="19" ht="22" customHeight="1">
      <c r="B19" s="26" t="inlineStr">
        <is>
          <t>📝 SOAL TES #1: Kasus Keuangan &amp; Akuntansi Kantor</t>
        </is>
      </c>
    </row>
    <row r="20" ht="30" customHeight="1">
      <c r="B20" s="14" t="inlineStr">
        <is>
          <t>Status Evaluasi</t>
        </is>
      </c>
      <c r="C20" s="14" t="inlineStr">
        <is>
          <t>Skor Nilai</t>
        </is>
      </c>
      <c r="E20" s="27" t="inlineStr">
        <is>
          <t>Persoalan Tes #1: Hitung berapa banyak peserta yang berstatus "Lulus" pada rentang B21:B24 menggunakan fungsi COUNTIF!</t>
        </is>
      </c>
    </row>
    <row r="21">
      <c r="B21" s="19" t="inlineStr">
        <is>
          <t>Lulus</t>
        </is>
      </c>
      <c r="C21" s="19" t="n">
        <v>85</v>
      </c>
      <c r="E21" s="14" t="inlineStr">
        <is>
          <t>✏️ KETIK RUMUS JAWABAN TES DI BAWAH:</t>
        </is>
      </c>
      <c r="F21" s="14" t="inlineStr">
        <is>
          <t>📌 STATUS KOREKSI JAWABAN TES:</t>
        </is>
      </c>
      <c r="G21" s="5" t="n"/>
    </row>
    <row r="22" ht="26" customHeight="1">
      <c r="B22" s="19" t="inlineStr">
        <is>
          <t>Remedial</t>
        </is>
      </c>
      <c r="C22" s="19" t="n">
        <v>65</v>
      </c>
      <c r="E22" s="28" t="n"/>
      <c r="F22" s="29">
        <f>IF(ISBLANK(E22), "⏳ Belum Diisi (Ketik Rumus di Sel Kuning E22)", IF(E22='99_KUNCI_JAWABAN'!F105, "✅ BENAR! JAWABAN TES TEPAT!", "❌ Belum Tepat (Cek Sheet Akhir: 99_KUNCI_JAWABAN)"))</f>
        <v/>
      </c>
      <c r="G22" s="5" t="n"/>
    </row>
    <row r="23">
      <c r="B23" s="19" t="inlineStr">
        <is>
          <t>Lulus</t>
        </is>
      </c>
      <c r="C23" s="19" t="n">
        <v>90</v>
      </c>
    </row>
    <row r="24">
      <c r="B24" s="19" t="inlineStr">
        <is>
          <t>Lulus</t>
        </is>
      </c>
      <c r="C24" s="19" t="n">
        <v>88</v>
      </c>
    </row>
    <row r="27" ht="22" customHeight="1">
      <c r="B27" s="26" t="inlineStr">
        <is>
          <t>📝 SOAL TES #2: Kasus HRD, Gaji &amp; Lembur Karyawan</t>
        </is>
      </c>
    </row>
    <row r="28" ht="30" customHeight="1">
      <c r="B28" s="14" t="inlineStr">
        <is>
          <t>Status Evaluasi</t>
        </is>
      </c>
      <c r="C28" s="14" t="inlineStr">
        <is>
          <t>Skor Nilai</t>
        </is>
      </c>
      <c r="E28" s="27" t="inlineStr">
        <is>
          <t>Persoalan Tes #2: Hitung berapa banyak peserta yang berstatus "Lulus" pada rentang B29:B32 menggunakan fungsi COUNTIF!</t>
        </is>
      </c>
    </row>
    <row r="29">
      <c r="B29" s="19" t="inlineStr">
        <is>
          <t>Lulus</t>
        </is>
      </c>
      <c r="C29" s="19" t="n">
        <v>86</v>
      </c>
      <c r="E29" s="14" t="inlineStr">
        <is>
          <t>✏️ KETIK RUMUS JAWABAN TES DI BAWAH:</t>
        </is>
      </c>
      <c r="F29" s="14" t="inlineStr">
        <is>
          <t>📌 STATUS KOREKSI JAWABAN TES:</t>
        </is>
      </c>
      <c r="G29" s="5" t="n"/>
    </row>
    <row r="30" ht="26" customHeight="1">
      <c r="B30" s="19" t="inlineStr">
        <is>
          <t>Remedial</t>
        </is>
      </c>
      <c r="C30" s="19" t="n">
        <v>65</v>
      </c>
      <c r="E30" s="28" t="n"/>
      <c r="F30" s="29">
        <f>IF(ISBLANK(E30), "⏳ Belum Diisi (Ketik Rumus di Sel Kuning E30)", IF(E30='99_KUNCI_JAWABAN'!F106, "✅ BENAR! JAWABAN TES TEPAT!", "❌ Belum Tepat (Cek Sheet Akhir: 99_KUNCI_JAWABAN)"))</f>
        <v/>
      </c>
      <c r="G30" s="5" t="n"/>
    </row>
    <row r="31">
      <c r="B31" s="19" t="inlineStr">
        <is>
          <t>Lulus</t>
        </is>
      </c>
      <c r="C31" s="19" t="n">
        <v>90</v>
      </c>
    </row>
    <row r="32">
      <c r="B32" s="19" t="inlineStr">
        <is>
          <t>Lulus</t>
        </is>
      </c>
      <c r="C32" s="19" t="n">
        <v>88</v>
      </c>
    </row>
    <row r="35" ht="22" customHeight="1">
      <c r="B35" s="26" t="inlineStr">
        <is>
          <t>📝 SOAL TES #3: Kasus Logistik &amp; Stok Gudang Utama</t>
        </is>
      </c>
    </row>
    <row r="36" ht="30" customHeight="1">
      <c r="B36" s="14" t="inlineStr">
        <is>
          <t>Status Evaluasi</t>
        </is>
      </c>
      <c r="C36" s="14" t="inlineStr">
        <is>
          <t>Skor Nilai</t>
        </is>
      </c>
      <c r="E36" s="27" t="inlineStr">
        <is>
          <t>Persoalan Tes #3: Hitung berapa banyak peserta yang berstatus "Lulus" pada rentang B37:B40 menggunakan fungsi COUNTIF!</t>
        </is>
      </c>
    </row>
    <row r="37">
      <c r="B37" s="19" t="inlineStr">
        <is>
          <t>Lulus</t>
        </is>
      </c>
      <c r="C37" s="19" t="n">
        <v>87</v>
      </c>
      <c r="E37" s="14" t="inlineStr">
        <is>
          <t>✏️ KETIK RUMUS JAWABAN TES DI BAWAH:</t>
        </is>
      </c>
      <c r="F37" s="14" t="inlineStr">
        <is>
          <t>📌 STATUS KOREKSI JAWABAN TES:</t>
        </is>
      </c>
      <c r="G37" s="5" t="n"/>
    </row>
    <row r="38" ht="26" customHeight="1">
      <c r="B38" s="19" t="inlineStr">
        <is>
          <t>Remedial</t>
        </is>
      </c>
      <c r="C38" s="19" t="n">
        <v>65</v>
      </c>
      <c r="E38" s="28" t="n"/>
      <c r="F38" s="29">
        <f>IF(ISBLANK(E38), "⏳ Belum Diisi (Ketik Rumus di Sel Kuning E38)", IF(E38='99_KUNCI_JAWABAN'!F107, "✅ BENAR! JAWABAN TES TEPAT!", "❌ Belum Tepat (Cek Sheet Akhir: 99_KUNCI_JAWABAN)"))</f>
        <v/>
      </c>
      <c r="G38" s="5" t="n"/>
    </row>
    <row r="39">
      <c r="B39" s="19" t="inlineStr">
        <is>
          <t>Lulus</t>
        </is>
      </c>
      <c r="C39" s="19" t="n">
        <v>90</v>
      </c>
    </row>
    <row r="40">
      <c r="B40" s="19" t="inlineStr">
        <is>
          <t>Lulus</t>
        </is>
      </c>
      <c r="C40" s="19" t="n">
        <v>88</v>
      </c>
    </row>
    <row r="43" ht="22" customHeight="1">
      <c r="B43" s="26" t="inlineStr">
        <is>
          <t>📝 SOAL TES #4: Kasus Penjualan Retail &amp; Target Toko</t>
        </is>
      </c>
    </row>
    <row r="44" ht="30" customHeight="1">
      <c r="B44" s="14" t="inlineStr">
        <is>
          <t>Status Evaluasi</t>
        </is>
      </c>
      <c r="C44" s="14" t="inlineStr">
        <is>
          <t>Skor Nilai</t>
        </is>
      </c>
      <c r="E44" s="27" t="inlineStr">
        <is>
          <t>Persoalan Tes #4: Hitung berapa banyak peserta yang berstatus "Lulus" pada rentang B45:B48 menggunakan fungsi COUNTIF!</t>
        </is>
      </c>
    </row>
    <row r="45">
      <c r="B45" s="19" t="inlineStr">
        <is>
          <t>Lulus</t>
        </is>
      </c>
      <c r="C45" s="19" t="n">
        <v>88</v>
      </c>
      <c r="E45" s="14" t="inlineStr">
        <is>
          <t>✏️ KETIK RUMUS JAWABAN TES DI BAWAH:</t>
        </is>
      </c>
      <c r="F45" s="14" t="inlineStr">
        <is>
          <t>📌 STATUS KOREKSI JAWABAN TES:</t>
        </is>
      </c>
      <c r="G45" s="5" t="n"/>
    </row>
    <row r="46" ht="26" customHeight="1">
      <c r="B46" s="19" t="inlineStr">
        <is>
          <t>Remedial</t>
        </is>
      </c>
      <c r="C46" s="19" t="n">
        <v>65</v>
      </c>
      <c r="E46" s="28" t="n"/>
      <c r="F46" s="29">
        <f>IF(ISBLANK(E46), "⏳ Belum Diisi (Ketik Rumus di Sel Kuning E46)", IF(E46='99_KUNCI_JAWABAN'!F108, "✅ BENAR! JAWABAN TES TEPAT!", "❌ Belum Tepat (Cek Sheet Akhir: 99_KUNCI_JAWABAN)"))</f>
        <v/>
      </c>
      <c r="G46" s="5" t="n"/>
    </row>
    <row r="47">
      <c r="B47" s="19" t="inlineStr">
        <is>
          <t>Lulus</t>
        </is>
      </c>
      <c r="C47" s="19" t="n">
        <v>90</v>
      </c>
    </row>
    <row r="48">
      <c r="B48" s="19" t="inlineStr">
        <is>
          <t>Lulus</t>
        </is>
      </c>
      <c r="C48" s="19" t="n">
        <v>88</v>
      </c>
    </row>
    <row r="51" ht="22" customHeight="1">
      <c r="B51" s="26" t="inlineStr">
        <is>
          <t>📝 SOAL TES #5: Kasus Akademik Sekolah &amp; Layanan Publik</t>
        </is>
      </c>
    </row>
    <row r="52" ht="30" customHeight="1">
      <c r="B52" s="14" t="inlineStr">
        <is>
          <t>Status Evaluasi</t>
        </is>
      </c>
      <c r="C52" s="14" t="inlineStr">
        <is>
          <t>Skor Nilai</t>
        </is>
      </c>
      <c r="E52" s="27" t="inlineStr">
        <is>
          <t>Persoalan Tes #5: Hitung berapa banyak peserta yang berstatus "Lulus" pada rentang B53:B56 menggunakan fungsi COUNTIF!</t>
        </is>
      </c>
    </row>
    <row r="53">
      <c r="B53" s="19" t="inlineStr">
        <is>
          <t>Lulus</t>
        </is>
      </c>
      <c r="C53" s="19" t="n">
        <v>89</v>
      </c>
      <c r="E53" s="14" t="inlineStr">
        <is>
          <t>✏️ KETIK RUMUS JAWABAN TES DI BAWAH:</t>
        </is>
      </c>
      <c r="F53" s="14" t="inlineStr">
        <is>
          <t>📌 STATUS KOREKSI JAWABAN TES:</t>
        </is>
      </c>
      <c r="G53" s="5" t="n"/>
    </row>
    <row r="54" ht="26" customHeight="1">
      <c r="B54" s="19" t="inlineStr">
        <is>
          <t>Remedial</t>
        </is>
      </c>
      <c r="C54" s="19" t="n">
        <v>65</v>
      </c>
      <c r="E54" s="28" t="n"/>
      <c r="F54" s="29">
        <f>IF(ISBLANK(E54), "⏳ Belum Diisi (Ketik Rumus di Sel Kuning E54)", IF(E54='99_KUNCI_JAWABAN'!F109, "✅ BENAR! JAWABAN TES TEPAT!", "❌ Belum Tepat (Cek Sheet Akhir: 99_KUNCI_JAWABAN)"))</f>
        <v/>
      </c>
      <c r="G54" s="5" t="n"/>
    </row>
    <row r="55">
      <c r="B55" s="19" t="inlineStr">
        <is>
          <t>Lulus</t>
        </is>
      </c>
      <c r="C55" s="19" t="n">
        <v>90</v>
      </c>
    </row>
    <row r="56">
      <c r="B56" s="19" t="inlineStr">
        <is>
          <t>Lulus</t>
        </is>
      </c>
      <c r="C56" s="19" t="n">
        <v>88</v>
      </c>
    </row>
  </sheetData>
  <mergeCells count="33">
    <mergeCell ref="E10:G10"/>
    <mergeCell ref="F11:G11"/>
    <mergeCell ref="E28:G28"/>
    <mergeCell ref="F29:G29"/>
    <mergeCell ref="C6:G6"/>
    <mergeCell ref="F54:G54"/>
    <mergeCell ref="B17:G17"/>
    <mergeCell ref="B1:G1"/>
    <mergeCell ref="C5:G5"/>
    <mergeCell ref="B19:G19"/>
    <mergeCell ref="F21:G21"/>
    <mergeCell ref="F12:G12"/>
    <mergeCell ref="F30:G30"/>
    <mergeCell ref="E36:G36"/>
    <mergeCell ref="B9:G9"/>
    <mergeCell ref="F45:G45"/>
    <mergeCell ref="B51:G51"/>
    <mergeCell ref="F38:G38"/>
    <mergeCell ref="B35:G35"/>
    <mergeCell ref="B4:G4"/>
    <mergeCell ref="F46:G46"/>
    <mergeCell ref="F22:G22"/>
    <mergeCell ref="B2:E2"/>
    <mergeCell ref="F13:G13"/>
    <mergeCell ref="B16:G16"/>
    <mergeCell ref="F37:G37"/>
    <mergeCell ref="C7:G7"/>
    <mergeCell ref="E52:G52"/>
    <mergeCell ref="B27:G27"/>
    <mergeCell ref="B43:G43"/>
    <mergeCell ref="E44:G44"/>
    <mergeCell ref="E20:G20"/>
    <mergeCell ref="F53:G53"/>
  </mergeCells>
  <hyperlinks>
    <hyperlink xmlns:r="http://schemas.openxmlformats.org/officeDocument/2006/relationships" ref="F2" r:id="rId1"/>
    <hyperlink xmlns:r="http://schemas.openxmlformats.org/officeDocument/2006/relationships" ref="G2" r:id="rId2"/>
  </hyperlink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B1:G56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22" customWidth="1" min="3" max="3"/>
    <col width="4" customWidth="1" min="4" max="4"/>
    <col width="34" customWidth="1" min="5" max="5"/>
    <col width="44" customWidth="1" min="6" max="6"/>
    <col width="28" customWidth="1" min="7" max="7"/>
  </cols>
  <sheetData>
    <row r="1" ht="30" customHeight="1">
      <c r="B1" s="10" t="inlineStr">
        <is>
          <t>📊 #022 — RUMUS EXCEL: COUNTIFS   |   Kategori: 8. Statistik &amp; Analisis Data</t>
        </is>
      </c>
    </row>
    <row r="2" ht="22" customHeight="1">
      <c r="B2" s="11" t="inlineStr">
        <is>
          <t>1 Rumus = 1 Contoh Soal + Jawaban Benar &amp; 5 Soal Tes Mandiri (Kunci Jawaban Ada di Sheet Paling Terakhir)</t>
        </is>
      </c>
      <c r="F2" s="12" t="inlineStr">
        <is>
          <t>⬅️ Ke Daftar Isi (00_DAFTAR_ISI)</t>
        </is>
      </c>
      <c r="G2" s="3" t="inlineStr">
        <is>
          <t>🔑 Ke Kunci Jawaban (Sheet Akhir)</t>
        </is>
      </c>
    </row>
    <row r="4" ht="24" customHeight="1">
      <c r="B4" s="13" t="inlineStr">
        <is>
          <t>1️⃣ IDENTITAS RUMUS &amp; FUNGSINYA BUAT APA? (COUNTIFS)</t>
        </is>
      </c>
    </row>
    <row r="5" ht="21" customHeight="1">
      <c r="B5" s="14" t="inlineStr">
        <is>
          <t>Nama Rumus Excel</t>
        </is>
      </c>
      <c r="C5" s="15">
        <f>COUNTIFS(...)</f>
        <v/>
      </c>
      <c r="D5" s="5" t="n"/>
      <c r="E5" s="5" t="n"/>
      <c r="F5" s="5" t="n"/>
      <c r="G5" s="5" t="n"/>
    </row>
    <row r="6" ht="21" customHeight="1">
      <c r="B6" s="14" t="inlineStr">
        <is>
          <t>Sintaks / Pola Umum</t>
        </is>
      </c>
      <c r="C6" s="15">
        <f>COUNTIFS(range1, syarat1, range2, syarat2)</f>
        <v/>
      </c>
      <c r="D6" s="5" t="n"/>
      <c r="E6" s="5" t="n"/>
      <c r="F6" s="5" t="n"/>
      <c r="G6" s="5" t="n"/>
    </row>
    <row r="7" ht="26" customHeight="1">
      <c r="B7" s="14" t="inlineStr">
        <is>
          <t>👶 Fungsinya Buat Apa?</t>
        </is>
      </c>
      <c r="C7" s="16" t="inlineStr">
        <is>
          <t>Menghitung jumlah baris data yang memenuhi banyak kriteria sekaligus.</t>
        </is>
      </c>
      <c r="D7" s="5" t="n"/>
      <c r="E7" s="5" t="n"/>
      <c r="F7" s="5" t="n"/>
      <c r="G7" s="5" t="n"/>
    </row>
    <row r="9" ht="24" customHeight="1">
      <c r="B9" s="17" t="inlineStr">
        <is>
          <t>2️⃣ 1 CONTOH SOAL &amp; CONTOH JAWABAN BENAR (PELAJARI POLA RUMUS COUNTIFS DI SINI)</t>
        </is>
      </c>
    </row>
    <row r="10">
      <c r="B10" s="18" t="inlineStr">
        <is>
          <t>Status Evaluasi</t>
        </is>
      </c>
      <c r="C10" s="18" t="inlineStr">
        <is>
          <t>Skor Nilai</t>
        </is>
      </c>
      <c r="E10" s="18" t="inlineStr">
        <is>
          <t>✅ 1 CONTOH SOAL BESERTA CONTOH RUMUS &amp; HASIL JAWABAN BENAR:</t>
        </is>
      </c>
      <c r="F10" s="5" t="n"/>
      <c r="G10" s="5" t="n"/>
    </row>
    <row r="11" ht="28" customHeight="1">
      <c r="B11" s="19" t="inlineStr">
        <is>
          <t>Lulus</t>
        </is>
      </c>
      <c r="C11" s="19" t="n">
        <v>90</v>
      </c>
      <c r="E11" s="20" t="inlineStr">
        <is>
          <t>Contoh Soal:</t>
        </is>
      </c>
      <c r="F11" s="21" t="inlineStr">
        <is>
          <t>Hitung berapa banyak peserta yang berstatus "Lulus" di B11:B14 sekaligus memiliki skor minimal 80 ("&gt;=80") di C11:C14 menggunakan fungsi COUNTIFS!</t>
        </is>
      </c>
      <c r="G11" s="5" t="n"/>
    </row>
    <row r="12">
      <c r="B12" s="19" t="inlineStr">
        <is>
          <t>Remedial</t>
        </is>
      </c>
      <c r="C12" s="19" t="n">
        <v>65</v>
      </c>
      <c r="E12" s="20" t="inlineStr">
        <is>
          <t>Contoh Rumus Benar:</t>
        </is>
      </c>
      <c r="F12" s="22" t="inlineStr">
        <is>
          <t>'=COUNTIFS(B11:B14, "Lulus", C11:C14, "&gt;=80")</t>
        </is>
      </c>
      <c r="G12" s="5" t="n"/>
    </row>
    <row r="13">
      <c r="B13" s="19" t="inlineStr">
        <is>
          <t>Lulus</t>
        </is>
      </c>
      <c r="C13" s="19" t="n">
        <v>90</v>
      </c>
      <c r="E13" s="20" t="inlineStr">
        <is>
          <t>Contoh Hasil Benar:</t>
        </is>
      </c>
      <c r="F13" s="23">
        <f>COUNTIFS(B11:B14, "Lulus", C11:C14, "&gt;=80")</f>
        <v/>
      </c>
      <c r="G13" s="5" t="n"/>
    </row>
    <row r="14">
      <c r="B14" s="19" t="inlineStr">
        <is>
          <t>Lulus</t>
        </is>
      </c>
      <c r="C14" s="19" t="n">
        <v>88</v>
      </c>
    </row>
    <row r="16" ht="26" customHeight="1">
      <c r="B16" s="24" t="inlineStr">
        <is>
          <t>3️⃣ 5 SOAL TES DUNIA NYATA — KERJAKAN DI KOTAK KUNING (TANPA KUNCI RUMUS / HASIL DI SINI!)</t>
        </is>
      </c>
    </row>
    <row r="17" ht="20" customHeight="1">
      <c r="B17" s="25" t="inlineStr">
        <is>
          <t>📌 Catatan Tes: Soal Tes #1 s/d #5 di bawah ini tidak menampilkan kunci rumus maupun hasil. Kunci jawaban lengkap tersedia di sheet paling terakhir (99_KUNCI_JAWABAN).</t>
        </is>
      </c>
    </row>
    <row r="19" ht="22" customHeight="1">
      <c r="B19" s="26" t="inlineStr">
        <is>
          <t>📝 SOAL TES #1: Kasus Keuangan &amp; Akuntansi Kantor</t>
        </is>
      </c>
    </row>
    <row r="20" ht="30" customHeight="1">
      <c r="B20" s="14" t="inlineStr">
        <is>
          <t>Status Evaluasi</t>
        </is>
      </c>
      <c r="C20" s="14" t="inlineStr">
        <is>
          <t>Skor Nilai</t>
        </is>
      </c>
      <c r="E20" s="27" t="inlineStr">
        <is>
          <t>Persoalan Tes #1: Hitung berapa banyak peserta yang berstatus "Lulus" di B21:B24 sekaligus memiliki skor minimal 80 ("&gt;=80") di C21:C24 menggunakan fungsi COUNTIFS!</t>
        </is>
      </c>
    </row>
    <row r="21">
      <c r="B21" s="19" t="inlineStr">
        <is>
          <t>Lulus</t>
        </is>
      </c>
      <c r="C21" s="19" t="n">
        <v>85</v>
      </c>
      <c r="E21" s="14" t="inlineStr">
        <is>
          <t>✏️ KETIK RUMUS JAWABAN TES DI BAWAH:</t>
        </is>
      </c>
      <c r="F21" s="14" t="inlineStr">
        <is>
          <t>📌 STATUS KOREKSI JAWABAN TES:</t>
        </is>
      </c>
      <c r="G21" s="5" t="n"/>
    </row>
    <row r="22" ht="26" customHeight="1">
      <c r="B22" s="19" t="inlineStr">
        <is>
          <t>Remedial</t>
        </is>
      </c>
      <c r="C22" s="19" t="n">
        <v>65</v>
      </c>
      <c r="E22" s="28" t="n"/>
      <c r="F22" s="29">
        <f>IF(ISBLANK(E22), "⏳ Belum Diisi (Ketik Rumus di Sel Kuning E22)", IF(E22='99_KUNCI_JAWABAN'!F110, "✅ BENAR! JAWABAN TES TEPAT!", "❌ Belum Tepat (Cek Sheet Akhir: 99_KUNCI_JAWABAN)"))</f>
        <v/>
      </c>
      <c r="G22" s="5" t="n"/>
    </row>
    <row r="23">
      <c r="B23" s="19" t="inlineStr">
        <is>
          <t>Lulus</t>
        </is>
      </c>
      <c r="C23" s="19" t="n">
        <v>90</v>
      </c>
    </row>
    <row r="24">
      <c r="B24" s="19" t="inlineStr">
        <is>
          <t>Lulus</t>
        </is>
      </c>
      <c r="C24" s="19" t="n">
        <v>88</v>
      </c>
    </row>
    <row r="27" ht="22" customHeight="1">
      <c r="B27" s="26" t="inlineStr">
        <is>
          <t>📝 SOAL TES #2: Kasus HRD, Gaji &amp; Lembur Karyawan</t>
        </is>
      </c>
    </row>
    <row r="28" ht="30" customHeight="1">
      <c r="B28" s="14" t="inlineStr">
        <is>
          <t>Status Evaluasi</t>
        </is>
      </c>
      <c r="C28" s="14" t="inlineStr">
        <is>
          <t>Skor Nilai</t>
        </is>
      </c>
      <c r="E28" s="27" t="inlineStr">
        <is>
          <t>Persoalan Tes #2: Hitung berapa banyak peserta yang berstatus "Lulus" di B29:B32 sekaligus memiliki skor minimal 80 ("&gt;=80") di C29:C32 menggunakan fungsi COUNTIFS!</t>
        </is>
      </c>
    </row>
    <row r="29">
      <c r="B29" s="19" t="inlineStr">
        <is>
          <t>Lulus</t>
        </is>
      </c>
      <c r="C29" s="19" t="n">
        <v>86</v>
      </c>
      <c r="E29" s="14" t="inlineStr">
        <is>
          <t>✏️ KETIK RUMUS JAWABAN TES DI BAWAH:</t>
        </is>
      </c>
      <c r="F29" s="14" t="inlineStr">
        <is>
          <t>📌 STATUS KOREKSI JAWABAN TES:</t>
        </is>
      </c>
      <c r="G29" s="5" t="n"/>
    </row>
    <row r="30" ht="26" customHeight="1">
      <c r="B30" s="19" t="inlineStr">
        <is>
          <t>Remedial</t>
        </is>
      </c>
      <c r="C30" s="19" t="n">
        <v>65</v>
      </c>
      <c r="E30" s="28" t="n"/>
      <c r="F30" s="29">
        <f>IF(ISBLANK(E30), "⏳ Belum Diisi (Ketik Rumus di Sel Kuning E30)", IF(E30='99_KUNCI_JAWABAN'!F111, "✅ BENAR! JAWABAN TES TEPAT!", "❌ Belum Tepat (Cek Sheet Akhir: 99_KUNCI_JAWABAN)"))</f>
        <v/>
      </c>
      <c r="G30" s="5" t="n"/>
    </row>
    <row r="31">
      <c r="B31" s="19" t="inlineStr">
        <is>
          <t>Lulus</t>
        </is>
      </c>
      <c r="C31" s="19" t="n">
        <v>90</v>
      </c>
    </row>
    <row r="32">
      <c r="B32" s="19" t="inlineStr">
        <is>
          <t>Lulus</t>
        </is>
      </c>
      <c r="C32" s="19" t="n">
        <v>88</v>
      </c>
    </row>
    <row r="35" ht="22" customHeight="1">
      <c r="B35" s="26" t="inlineStr">
        <is>
          <t>📝 SOAL TES #3: Kasus Logistik &amp; Stok Gudang Utama</t>
        </is>
      </c>
    </row>
    <row r="36" ht="30" customHeight="1">
      <c r="B36" s="14" t="inlineStr">
        <is>
          <t>Status Evaluasi</t>
        </is>
      </c>
      <c r="C36" s="14" t="inlineStr">
        <is>
          <t>Skor Nilai</t>
        </is>
      </c>
      <c r="E36" s="27" t="inlineStr">
        <is>
          <t>Persoalan Tes #3: Hitung berapa banyak peserta yang berstatus "Lulus" di B37:B40 sekaligus memiliki skor minimal 80 ("&gt;=80") di C37:C40 menggunakan fungsi COUNTIFS!</t>
        </is>
      </c>
    </row>
    <row r="37">
      <c r="B37" s="19" t="inlineStr">
        <is>
          <t>Lulus</t>
        </is>
      </c>
      <c r="C37" s="19" t="n">
        <v>87</v>
      </c>
      <c r="E37" s="14" t="inlineStr">
        <is>
          <t>✏️ KETIK RUMUS JAWABAN TES DI BAWAH:</t>
        </is>
      </c>
      <c r="F37" s="14" t="inlineStr">
        <is>
          <t>📌 STATUS KOREKSI JAWABAN TES:</t>
        </is>
      </c>
      <c r="G37" s="5" t="n"/>
    </row>
    <row r="38" ht="26" customHeight="1">
      <c r="B38" s="19" t="inlineStr">
        <is>
          <t>Remedial</t>
        </is>
      </c>
      <c r="C38" s="19" t="n">
        <v>65</v>
      </c>
      <c r="E38" s="28" t="n"/>
      <c r="F38" s="29">
        <f>IF(ISBLANK(E38), "⏳ Belum Diisi (Ketik Rumus di Sel Kuning E38)", IF(E38='99_KUNCI_JAWABAN'!F112, "✅ BENAR! JAWABAN TES TEPAT!", "❌ Belum Tepat (Cek Sheet Akhir: 99_KUNCI_JAWABAN)"))</f>
        <v/>
      </c>
      <c r="G38" s="5" t="n"/>
    </row>
    <row r="39">
      <c r="B39" s="19" t="inlineStr">
        <is>
          <t>Lulus</t>
        </is>
      </c>
      <c r="C39" s="19" t="n">
        <v>90</v>
      </c>
    </row>
    <row r="40">
      <c r="B40" s="19" t="inlineStr">
        <is>
          <t>Lulus</t>
        </is>
      </c>
      <c r="C40" s="19" t="n">
        <v>88</v>
      </c>
    </row>
    <row r="43" ht="22" customHeight="1">
      <c r="B43" s="26" t="inlineStr">
        <is>
          <t>📝 SOAL TES #4: Kasus Penjualan Retail &amp; Target Toko</t>
        </is>
      </c>
    </row>
    <row r="44" ht="30" customHeight="1">
      <c r="B44" s="14" t="inlineStr">
        <is>
          <t>Status Evaluasi</t>
        </is>
      </c>
      <c r="C44" s="14" t="inlineStr">
        <is>
          <t>Skor Nilai</t>
        </is>
      </c>
      <c r="E44" s="27" t="inlineStr">
        <is>
          <t>Persoalan Tes #4: Hitung berapa banyak peserta yang berstatus "Lulus" di B45:B48 sekaligus memiliki skor minimal 80 ("&gt;=80") di C45:C48 menggunakan fungsi COUNTIFS!</t>
        </is>
      </c>
    </row>
    <row r="45">
      <c r="B45" s="19" t="inlineStr">
        <is>
          <t>Lulus</t>
        </is>
      </c>
      <c r="C45" s="19" t="n">
        <v>88</v>
      </c>
      <c r="E45" s="14" t="inlineStr">
        <is>
          <t>✏️ KETIK RUMUS JAWABAN TES DI BAWAH:</t>
        </is>
      </c>
      <c r="F45" s="14" t="inlineStr">
        <is>
          <t>📌 STATUS KOREKSI JAWABAN TES:</t>
        </is>
      </c>
      <c r="G45" s="5" t="n"/>
    </row>
    <row r="46" ht="26" customHeight="1">
      <c r="B46" s="19" t="inlineStr">
        <is>
          <t>Remedial</t>
        </is>
      </c>
      <c r="C46" s="19" t="n">
        <v>65</v>
      </c>
      <c r="E46" s="28" t="n"/>
      <c r="F46" s="29">
        <f>IF(ISBLANK(E46), "⏳ Belum Diisi (Ketik Rumus di Sel Kuning E46)", IF(E46='99_KUNCI_JAWABAN'!F113, "✅ BENAR! JAWABAN TES TEPAT!", "❌ Belum Tepat (Cek Sheet Akhir: 99_KUNCI_JAWABAN)"))</f>
        <v/>
      </c>
      <c r="G46" s="5" t="n"/>
    </row>
    <row r="47">
      <c r="B47" s="19" t="inlineStr">
        <is>
          <t>Lulus</t>
        </is>
      </c>
      <c r="C47" s="19" t="n">
        <v>90</v>
      </c>
    </row>
    <row r="48">
      <c r="B48" s="19" t="inlineStr">
        <is>
          <t>Lulus</t>
        </is>
      </c>
      <c r="C48" s="19" t="n">
        <v>88</v>
      </c>
    </row>
    <row r="51" ht="22" customHeight="1">
      <c r="B51" s="26" t="inlineStr">
        <is>
          <t>📝 SOAL TES #5: Kasus Akademik Sekolah &amp; Layanan Publik</t>
        </is>
      </c>
    </row>
    <row r="52" ht="30" customHeight="1">
      <c r="B52" s="14" t="inlineStr">
        <is>
          <t>Status Evaluasi</t>
        </is>
      </c>
      <c r="C52" s="14" t="inlineStr">
        <is>
          <t>Skor Nilai</t>
        </is>
      </c>
      <c r="E52" s="27" t="inlineStr">
        <is>
          <t>Persoalan Tes #5: Hitung berapa banyak peserta yang berstatus "Lulus" di B53:B56 sekaligus memiliki skor minimal 80 ("&gt;=80") di C53:C56 menggunakan fungsi COUNTIFS!</t>
        </is>
      </c>
    </row>
    <row r="53">
      <c r="B53" s="19" t="inlineStr">
        <is>
          <t>Lulus</t>
        </is>
      </c>
      <c r="C53" s="19" t="n">
        <v>89</v>
      </c>
      <c r="E53" s="14" t="inlineStr">
        <is>
          <t>✏️ KETIK RUMUS JAWABAN TES DI BAWAH:</t>
        </is>
      </c>
      <c r="F53" s="14" t="inlineStr">
        <is>
          <t>📌 STATUS KOREKSI JAWABAN TES:</t>
        </is>
      </c>
      <c r="G53" s="5" t="n"/>
    </row>
    <row r="54" ht="26" customHeight="1">
      <c r="B54" s="19" t="inlineStr">
        <is>
          <t>Remedial</t>
        </is>
      </c>
      <c r="C54" s="19" t="n">
        <v>65</v>
      </c>
      <c r="E54" s="28" t="n"/>
      <c r="F54" s="29">
        <f>IF(ISBLANK(E54), "⏳ Belum Diisi (Ketik Rumus di Sel Kuning E54)", IF(E54='99_KUNCI_JAWABAN'!F114, "✅ BENAR! JAWABAN TES TEPAT!", "❌ Belum Tepat (Cek Sheet Akhir: 99_KUNCI_JAWABAN)"))</f>
        <v/>
      </c>
      <c r="G54" s="5" t="n"/>
    </row>
    <row r="55">
      <c r="B55" s="19" t="inlineStr">
        <is>
          <t>Lulus</t>
        </is>
      </c>
      <c r="C55" s="19" t="n">
        <v>90</v>
      </c>
    </row>
    <row r="56">
      <c r="B56" s="19" t="inlineStr">
        <is>
          <t>Lulus</t>
        </is>
      </c>
      <c r="C56" s="19" t="n">
        <v>88</v>
      </c>
    </row>
  </sheetData>
  <mergeCells count="33">
    <mergeCell ref="E10:G10"/>
    <mergeCell ref="F11:G11"/>
    <mergeCell ref="E28:G28"/>
    <mergeCell ref="F29:G29"/>
    <mergeCell ref="C6:G6"/>
    <mergeCell ref="F54:G54"/>
    <mergeCell ref="B17:G17"/>
    <mergeCell ref="B1:G1"/>
    <mergeCell ref="C5:G5"/>
    <mergeCell ref="B19:G19"/>
    <mergeCell ref="F21:G21"/>
    <mergeCell ref="F12:G12"/>
    <mergeCell ref="F30:G30"/>
    <mergeCell ref="E36:G36"/>
    <mergeCell ref="B9:G9"/>
    <mergeCell ref="F45:G45"/>
    <mergeCell ref="B51:G51"/>
    <mergeCell ref="F38:G38"/>
    <mergeCell ref="B35:G35"/>
    <mergeCell ref="B4:G4"/>
    <mergeCell ref="F46:G46"/>
    <mergeCell ref="F22:G22"/>
    <mergeCell ref="B2:E2"/>
    <mergeCell ref="F13:G13"/>
    <mergeCell ref="B16:G16"/>
    <mergeCell ref="F37:G37"/>
    <mergeCell ref="C7:G7"/>
    <mergeCell ref="E52:G52"/>
    <mergeCell ref="B27:G27"/>
    <mergeCell ref="B43:G43"/>
    <mergeCell ref="E44:G44"/>
    <mergeCell ref="E20:G20"/>
    <mergeCell ref="F53:G53"/>
  </mergeCells>
  <hyperlinks>
    <hyperlink xmlns:r="http://schemas.openxmlformats.org/officeDocument/2006/relationships" ref="F2" r:id="rId1"/>
    <hyperlink xmlns:r="http://schemas.openxmlformats.org/officeDocument/2006/relationships" ref="G2" r:id="rId2"/>
  </hyperlink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B1:G56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22" customWidth="1" min="3" max="3"/>
    <col width="4" customWidth="1" min="4" max="4"/>
    <col width="34" customWidth="1" min="5" max="5"/>
    <col width="44" customWidth="1" min="6" max="6"/>
    <col width="28" customWidth="1" min="7" max="7"/>
  </cols>
  <sheetData>
    <row r="1" ht="30" customHeight="1">
      <c r="B1" s="10" t="inlineStr">
        <is>
          <t>📊 #023 — RUMUS EXCEL: COVARIANCE.P   |   Kategori: 8. Statistik &amp; Analisis Data</t>
        </is>
      </c>
    </row>
    <row r="2" ht="22" customHeight="1">
      <c r="B2" s="11" t="inlineStr">
        <is>
          <t>1 Rumus = 1 Contoh Soal + Jawaban Benar &amp; 5 Soal Tes Mandiri (Kunci Jawaban Ada di Sheet Paling Terakhir)</t>
        </is>
      </c>
      <c r="F2" s="12" t="inlineStr">
        <is>
          <t>⬅️ Ke Daftar Isi (00_DAFTAR_ISI)</t>
        </is>
      </c>
      <c r="G2" s="3" t="inlineStr">
        <is>
          <t>🔑 Ke Kunci Jawaban (Sheet Akhir)</t>
        </is>
      </c>
    </row>
    <row r="4" ht="24" customHeight="1">
      <c r="B4" s="13" t="inlineStr">
        <is>
          <t>1️⃣ IDENTITAS RUMUS &amp; FUNGSINYA BUAT APA? (COVARIANCE.P)</t>
        </is>
      </c>
    </row>
    <row r="5" ht="21" customHeight="1">
      <c r="B5" s="14" t="inlineStr">
        <is>
          <t>Nama Rumus Excel</t>
        </is>
      </c>
      <c r="C5" s="15">
        <f>COVARIANCE.P(...)</f>
        <v/>
      </c>
      <c r="D5" s="5" t="n"/>
      <c r="E5" s="5" t="n"/>
      <c r="F5" s="5" t="n"/>
      <c r="G5" s="5" t="n"/>
    </row>
    <row r="6" ht="21" customHeight="1">
      <c r="B6" s="14" t="inlineStr">
        <is>
          <t>Sintaks / Pola Umum</t>
        </is>
      </c>
      <c r="C6" s="15">
        <f>COVARIANCE.P(range_x, range_y)</f>
        <v/>
      </c>
      <c r="D6" s="5" t="n"/>
      <c r="E6" s="5" t="n"/>
      <c r="F6" s="5" t="n"/>
      <c r="G6" s="5" t="n"/>
    </row>
    <row r="7" ht="26" customHeight="1">
      <c r="B7" s="14" t="inlineStr">
        <is>
          <t>👶 Fungsinya Buat Apa?</t>
        </is>
      </c>
      <c r="C7" s="16" t="inlineStr">
        <is>
          <t>Menghitung kovarians populasi antara dua kumpulan data.</t>
        </is>
      </c>
      <c r="D7" s="5" t="n"/>
      <c r="E7" s="5" t="n"/>
      <c r="F7" s="5" t="n"/>
      <c r="G7" s="5" t="n"/>
    </row>
    <row r="9" ht="24" customHeight="1">
      <c r="B9" s="17" t="inlineStr">
        <is>
          <t>2️⃣ 1 CONTOH SOAL &amp; CONTOH JAWABAN BENAR (PELAJARI POLA RUMUS COVARIANCE.P DI SINI)</t>
        </is>
      </c>
    </row>
    <row r="10">
      <c r="B10" s="18" t="inlineStr">
        <is>
          <t>Data Variabel 1</t>
        </is>
      </c>
      <c r="C10" s="18" t="inlineStr">
        <is>
          <t>Data Variabel 2</t>
        </is>
      </c>
      <c r="E10" s="18" t="inlineStr">
        <is>
          <t>✅ 1 CONTOH SOAL BESERTA CONTOH RUMUS &amp; HASIL JAWABAN BENAR:</t>
        </is>
      </c>
      <c r="F10" s="5" t="n"/>
      <c r="G10" s="5" t="n"/>
    </row>
    <row r="11" ht="28" customHeight="1">
      <c r="B11" s="19" t="n">
        <v>60</v>
      </c>
      <c r="C11" s="19" t="n">
        <v>90</v>
      </c>
      <c r="E11" s="20" t="inlineStr">
        <is>
          <t>Contoh Soal:</t>
        </is>
      </c>
      <c r="F11" s="21" t="inlineStr">
        <is>
          <t>Analisis hubungan antara data pertama (B11:B14) dan data kedua (C11:C14) menggunakan fungsi COVARIANCE.P!</t>
        </is>
      </c>
      <c r="G11" s="5" t="n"/>
    </row>
    <row r="12">
      <c r="B12" s="19" t="n">
        <v>120</v>
      </c>
      <c r="C12" s="19" t="n">
        <v>168</v>
      </c>
      <c r="E12" s="20" t="inlineStr">
        <is>
          <t>Contoh Rumus Benar:</t>
        </is>
      </c>
      <c r="F12" s="22" t="inlineStr">
        <is>
          <t>'=COVARIANCE.P(B11:B14, C11:C14)</t>
        </is>
      </c>
      <c r="G12" s="5" t="n"/>
    </row>
    <row r="13">
      <c r="B13" s="19" t="n">
        <v>210</v>
      </c>
      <c r="C13" s="19" t="n">
        <v>240</v>
      </c>
      <c r="E13" s="20" t="inlineStr">
        <is>
          <t>Contoh Hasil Benar:</t>
        </is>
      </c>
      <c r="F13" s="23">
        <f>COVARIANCE.P(B11:B14, C11:C14)</f>
        <v/>
      </c>
      <c r="G13" s="5" t="n"/>
    </row>
    <row r="14">
      <c r="B14" s="19" t="n">
        <v>300</v>
      </c>
      <c r="C14" s="19" t="n">
        <v>348</v>
      </c>
    </row>
    <row r="16" ht="26" customHeight="1">
      <c r="B16" s="24" t="inlineStr">
        <is>
          <t>3️⃣ 5 SOAL TES DUNIA NYATA — KERJAKAN DI KOTAK KUNING (TANPA KUNCI RUMUS / HASIL DI SINI!)</t>
        </is>
      </c>
    </row>
    <row r="17" ht="20" customHeight="1">
      <c r="B17" s="25" t="inlineStr">
        <is>
          <t>📌 Catatan Tes: Soal Tes #1 s/d #5 di bawah ini tidak menampilkan kunci rumus maupun hasil. Kunci jawaban lengkap tersedia di sheet paling terakhir (99_KUNCI_JAWABAN).</t>
        </is>
      </c>
    </row>
    <row r="19" ht="22" customHeight="1">
      <c r="B19" s="26" t="inlineStr">
        <is>
          <t>📝 SOAL TES #1: Kasus Keuangan &amp; Akuntansi Kantor</t>
        </is>
      </c>
    </row>
    <row r="20" ht="30" customHeight="1">
      <c r="B20" s="14" t="inlineStr">
        <is>
          <t>Data Variabel 1</t>
        </is>
      </c>
      <c r="C20" s="14" t="inlineStr">
        <is>
          <t>Data Variabel 2</t>
        </is>
      </c>
      <c r="E20" s="27" t="inlineStr">
        <is>
          <t>Persoalan Tes #1: Analisis hubungan antara data pertama (B21:B24) dan data kedua (C21:C24) menggunakan fungsi COVARIANCE.P!</t>
        </is>
      </c>
    </row>
    <row r="21">
      <c r="B21" s="19" t="n">
        <v>10</v>
      </c>
      <c r="C21" s="19" t="n">
        <v>15</v>
      </c>
      <c r="E21" s="14" t="inlineStr">
        <is>
          <t>✏️ KETIK RUMUS JAWABAN TES DI BAWAH:</t>
        </is>
      </c>
      <c r="F21" s="14" t="inlineStr">
        <is>
          <t>📌 STATUS KOREKSI JAWABAN TES:</t>
        </is>
      </c>
      <c r="G21" s="5" t="n"/>
    </row>
    <row r="22" ht="26" customHeight="1">
      <c r="B22" s="19" t="n">
        <v>20</v>
      </c>
      <c r="C22" s="19" t="n">
        <v>28</v>
      </c>
      <c r="E22" s="28" t="n"/>
      <c r="F22" s="29">
        <f>IF(ISBLANK(E22), "⏳ Belum Diisi (Ketik Rumus di Sel Kuning E22)", IF(E22='99_KUNCI_JAWABAN'!F115, "✅ BENAR! JAWABAN TES TEPAT!", "❌ Belum Tepat (Cek Sheet Akhir: 99_KUNCI_JAWABAN)"))</f>
        <v/>
      </c>
      <c r="G22" s="5" t="n"/>
    </row>
    <row r="23">
      <c r="B23" s="19" t="n">
        <v>35</v>
      </c>
      <c r="C23" s="19" t="n">
        <v>40</v>
      </c>
    </row>
    <row r="24">
      <c r="B24" s="19" t="n">
        <v>50</v>
      </c>
      <c r="C24" s="19" t="n">
        <v>58</v>
      </c>
    </row>
    <row r="27" ht="22" customHeight="1">
      <c r="B27" s="26" t="inlineStr">
        <is>
          <t>📝 SOAL TES #2: Kasus HRD, Gaji &amp; Lembur Karyawan</t>
        </is>
      </c>
    </row>
    <row r="28" ht="30" customHeight="1">
      <c r="B28" s="14" t="inlineStr">
        <is>
          <t>Data Variabel 1</t>
        </is>
      </c>
      <c r="C28" s="14" t="inlineStr">
        <is>
          <t>Data Variabel 2</t>
        </is>
      </c>
      <c r="E28" s="27" t="inlineStr">
        <is>
          <t>Persoalan Tes #2: Analisis hubungan antara data pertama (B29:B32) dan data kedua (C29:C32) menggunakan fungsi COVARIANCE.P!</t>
        </is>
      </c>
    </row>
    <row r="29">
      <c r="B29" s="19" t="n">
        <v>20</v>
      </c>
      <c r="C29" s="19" t="n">
        <v>30</v>
      </c>
      <c r="E29" s="14" t="inlineStr">
        <is>
          <t>✏️ KETIK RUMUS JAWABAN TES DI BAWAH:</t>
        </is>
      </c>
      <c r="F29" s="14" t="inlineStr">
        <is>
          <t>📌 STATUS KOREKSI JAWABAN TES:</t>
        </is>
      </c>
      <c r="G29" s="5" t="n"/>
    </row>
    <row r="30" ht="26" customHeight="1">
      <c r="B30" s="19" t="n">
        <v>40</v>
      </c>
      <c r="C30" s="19" t="n">
        <v>56</v>
      </c>
      <c r="E30" s="28" t="n"/>
      <c r="F30" s="29">
        <f>IF(ISBLANK(E30), "⏳ Belum Diisi (Ketik Rumus di Sel Kuning E30)", IF(E30='99_KUNCI_JAWABAN'!F116, "✅ BENAR! JAWABAN TES TEPAT!", "❌ Belum Tepat (Cek Sheet Akhir: 99_KUNCI_JAWABAN)"))</f>
        <v/>
      </c>
      <c r="G30" s="5" t="n"/>
    </row>
    <row r="31">
      <c r="B31" s="19" t="n">
        <v>70</v>
      </c>
      <c r="C31" s="19" t="n">
        <v>80</v>
      </c>
    </row>
    <row r="32">
      <c r="B32" s="19" t="n">
        <v>100</v>
      </c>
      <c r="C32" s="19" t="n">
        <v>116</v>
      </c>
    </row>
    <row r="35" ht="22" customHeight="1">
      <c r="B35" s="26" t="inlineStr">
        <is>
          <t>📝 SOAL TES #3: Kasus Logistik &amp; Stok Gudang Utama</t>
        </is>
      </c>
    </row>
    <row r="36" ht="30" customHeight="1">
      <c r="B36" s="14" t="inlineStr">
        <is>
          <t>Data Variabel 1</t>
        </is>
      </c>
      <c r="C36" s="14" t="inlineStr">
        <is>
          <t>Data Variabel 2</t>
        </is>
      </c>
      <c r="E36" s="27" t="inlineStr">
        <is>
          <t>Persoalan Tes #3: Analisis hubungan antara data pertama (B37:B40) dan data kedua (C37:C40) menggunakan fungsi COVARIANCE.P!</t>
        </is>
      </c>
    </row>
    <row r="37">
      <c r="B37" s="19" t="n">
        <v>30</v>
      </c>
      <c r="C37" s="19" t="n">
        <v>45</v>
      </c>
      <c r="E37" s="14" t="inlineStr">
        <is>
          <t>✏️ KETIK RUMUS JAWABAN TES DI BAWAH:</t>
        </is>
      </c>
      <c r="F37" s="14" t="inlineStr">
        <is>
          <t>📌 STATUS KOREKSI JAWABAN TES:</t>
        </is>
      </c>
      <c r="G37" s="5" t="n"/>
    </row>
    <row r="38" ht="26" customHeight="1">
      <c r="B38" s="19" t="n">
        <v>60</v>
      </c>
      <c r="C38" s="19" t="n">
        <v>84</v>
      </c>
      <c r="E38" s="28" t="n"/>
      <c r="F38" s="29">
        <f>IF(ISBLANK(E38), "⏳ Belum Diisi (Ketik Rumus di Sel Kuning E38)", IF(E38='99_KUNCI_JAWABAN'!F117, "✅ BENAR! JAWABAN TES TEPAT!", "❌ Belum Tepat (Cek Sheet Akhir: 99_KUNCI_JAWABAN)"))</f>
        <v/>
      </c>
      <c r="G38" s="5" t="n"/>
    </row>
    <row r="39">
      <c r="B39" s="19" t="n">
        <v>105</v>
      </c>
      <c r="C39" s="19" t="n">
        <v>120</v>
      </c>
    </row>
    <row r="40">
      <c r="B40" s="19" t="n">
        <v>150</v>
      </c>
      <c r="C40" s="19" t="n">
        <v>174</v>
      </c>
    </row>
    <row r="43" ht="22" customHeight="1">
      <c r="B43" s="26" t="inlineStr">
        <is>
          <t>📝 SOAL TES #4: Kasus Penjualan Retail &amp; Target Toko</t>
        </is>
      </c>
    </row>
    <row r="44" ht="30" customHeight="1">
      <c r="B44" s="14" t="inlineStr">
        <is>
          <t>Data Variabel 1</t>
        </is>
      </c>
      <c r="C44" s="14" t="inlineStr">
        <is>
          <t>Data Variabel 2</t>
        </is>
      </c>
      <c r="E44" s="27" t="inlineStr">
        <is>
          <t>Persoalan Tes #4: Analisis hubungan antara data pertama (B45:B48) dan data kedua (C45:C48) menggunakan fungsi COVARIANCE.P!</t>
        </is>
      </c>
    </row>
    <row r="45">
      <c r="B45" s="19" t="n">
        <v>40</v>
      </c>
      <c r="C45" s="19" t="n">
        <v>60</v>
      </c>
      <c r="E45" s="14" t="inlineStr">
        <is>
          <t>✏️ KETIK RUMUS JAWABAN TES DI BAWAH:</t>
        </is>
      </c>
      <c r="F45" s="14" t="inlineStr">
        <is>
          <t>📌 STATUS KOREKSI JAWABAN TES:</t>
        </is>
      </c>
      <c r="G45" s="5" t="n"/>
    </row>
    <row r="46" ht="26" customHeight="1">
      <c r="B46" s="19" t="n">
        <v>80</v>
      </c>
      <c r="C46" s="19" t="n">
        <v>112</v>
      </c>
      <c r="E46" s="28" t="n"/>
      <c r="F46" s="29">
        <f>IF(ISBLANK(E46), "⏳ Belum Diisi (Ketik Rumus di Sel Kuning E46)", IF(E46='99_KUNCI_JAWABAN'!F118, "✅ BENAR! JAWABAN TES TEPAT!", "❌ Belum Tepat (Cek Sheet Akhir: 99_KUNCI_JAWABAN)"))</f>
        <v/>
      </c>
      <c r="G46" s="5" t="n"/>
    </row>
    <row r="47">
      <c r="B47" s="19" t="n">
        <v>140</v>
      </c>
      <c r="C47" s="19" t="n">
        <v>160</v>
      </c>
    </row>
    <row r="48">
      <c r="B48" s="19" t="n">
        <v>200</v>
      </c>
      <c r="C48" s="19" t="n">
        <v>232</v>
      </c>
    </row>
    <row r="51" ht="22" customHeight="1">
      <c r="B51" s="26" t="inlineStr">
        <is>
          <t>📝 SOAL TES #5: Kasus Akademik Sekolah &amp; Layanan Publik</t>
        </is>
      </c>
    </row>
    <row r="52" ht="30" customHeight="1">
      <c r="B52" s="14" t="inlineStr">
        <is>
          <t>Data Variabel 1</t>
        </is>
      </c>
      <c r="C52" s="14" t="inlineStr">
        <is>
          <t>Data Variabel 2</t>
        </is>
      </c>
      <c r="E52" s="27" t="inlineStr">
        <is>
          <t>Persoalan Tes #5: Analisis hubungan antara data pertama (B53:B56) dan data kedua (C53:C56) menggunakan fungsi COVARIANCE.P!</t>
        </is>
      </c>
    </row>
    <row r="53">
      <c r="B53" s="19" t="n">
        <v>50</v>
      </c>
      <c r="C53" s="19" t="n">
        <v>75</v>
      </c>
      <c r="E53" s="14" t="inlineStr">
        <is>
          <t>✏️ KETIK RUMUS JAWABAN TES DI BAWAH:</t>
        </is>
      </c>
      <c r="F53" s="14" t="inlineStr">
        <is>
          <t>📌 STATUS KOREKSI JAWABAN TES:</t>
        </is>
      </c>
      <c r="G53" s="5" t="n"/>
    </row>
    <row r="54" ht="26" customHeight="1">
      <c r="B54" s="19" t="n">
        <v>100</v>
      </c>
      <c r="C54" s="19" t="n">
        <v>140</v>
      </c>
      <c r="E54" s="28" t="n"/>
      <c r="F54" s="29">
        <f>IF(ISBLANK(E54), "⏳ Belum Diisi (Ketik Rumus di Sel Kuning E54)", IF(E54='99_KUNCI_JAWABAN'!F119, "✅ BENAR! JAWABAN TES TEPAT!", "❌ Belum Tepat (Cek Sheet Akhir: 99_KUNCI_JAWABAN)"))</f>
        <v/>
      </c>
      <c r="G54" s="5" t="n"/>
    </row>
    <row r="55">
      <c r="B55" s="19" t="n">
        <v>175</v>
      </c>
      <c r="C55" s="19" t="n">
        <v>200</v>
      </c>
    </row>
    <row r="56">
      <c r="B56" s="19" t="n">
        <v>250</v>
      </c>
      <c r="C56" s="19" t="n">
        <v>290</v>
      </c>
    </row>
  </sheetData>
  <mergeCells count="33">
    <mergeCell ref="E10:G10"/>
    <mergeCell ref="F11:G11"/>
    <mergeCell ref="E28:G28"/>
    <mergeCell ref="F29:G29"/>
    <mergeCell ref="C6:G6"/>
    <mergeCell ref="F54:G54"/>
    <mergeCell ref="B17:G17"/>
    <mergeCell ref="B1:G1"/>
    <mergeCell ref="C5:G5"/>
    <mergeCell ref="B19:G19"/>
    <mergeCell ref="F21:G21"/>
    <mergeCell ref="F12:G12"/>
    <mergeCell ref="F30:G30"/>
    <mergeCell ref="E36:G36"/>
    <mergeCell ref="B9:G9"/>
    <mergeCell ref="F45:G45"/>
    <mergeCell ref="B51:G51"/>
    <mergeCell ref="F38:G38"/>
    <mergeCell ref="B35:G35"/>
    <mergeCell ref="B4:G4"/>
    <mergeCell ref="F46:G46"/>
    <mergeCell ref="F22:G22"/>
    <mergeCell ref="B2:E2"/>
    <mergeCell ref="F13:G13"/>
    <mergeCell ref="B16:G16"/>
    <mergeCell ref="F37:G37"/>
    <mergeCell ref="C7:G7"/>
    <mergeCell ref="E52:G52"/>
    <mergeCell ref="B27:G27"/>
    <mergeCell ref="B43:G43"/>
    <mergeCell ref="E44:G44"/>
    <mergeCell ref="E20:G20"/>
    <mergeCell ref="F53:G53"/>
  </mergeCells>
  <hyperlinks>
    <hyperlink xmlns:r="http://schemas.openxmlformats.org/officeDocument/2006/relationships" ref="F2" r:id="rId1"/>
    <hyperlink xmlns:r="http://schemas.openxmlformats.org/officeDocument/2006/relationships" ref="G2" r:id="rId2"/>
  </hyperlink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B1:G56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22" customWidth="1" min="3" max="3"/>
    <col width="4" customWidth="1" min="4" max="4"/>
    <col width="34" customWidth="1" min="5" max="5"/>
    <col width="44" customWidth="1" min="6" max="6"/>
    <col width="28" customWidth="1" min="7" max="7"/>
  </cols>
  <sheetData>
    <row r="1" ht="30" customHeight="1">
      <c r="B1" s="10" t="inlineStr">
        <is>
          <t>📊 #024 — RUMUS EXCEL: COVARIANCE.T   |   Kategori: 8. Statistik &amp; Analisis Data</t>
        </is>
      </c>
    </row>
    <row r="2" ht="22" customHeight="1">
      <c r="B2" s="11" t="inlineStr">
        <is>
          <t>1 Rumus = 1 Contoh Soal + Jawaban Benar &amp; 5 Soal Tes Mandiri (Kunci Jawaban Ada di Sheet Paling Terakhir)</t>
        </is>
      </c>
      <c r="F2" s="12" t="inlineStr">
        <is>
          <t>⬅️ Ke Daftar Isi (00_DAFTAR_ISI)</t>
        </is>
      </c>
      <c r="G2" s="3" t="inlineStr">
        <is>
          <t>🔑 Ke Kunci Jawaban (Sheet Akhir)</t>
        </is>
      </c>
    </row>
    <row r="4" ht="24" customHeight="1">
      <c r="B4" s="13" t="inlineStr">
        <is>
          <t>1️⃣ IDENTITAS RUMUS &amp; FUNGSINYA BUAT APA? (COVARIANCE.T)</t>
        </is>
      </c>
    </row>
    <row r="5" ht="21" customHeight="1">
      <c r="B5" s="14" t="inlineStr">
        <is>
          <t>Nama Rumus Excel</t>
        </is>
      </c>
      <c r="C5" s="15">
        <f>COVARIANCE.T(...)</f>
        <v/>
      </c>
      <c r="D5" s="5" t="n"/>
      <c r="E5" s="5" t="n"/>
      <c r="F5" s="5" t="n"/>
      <c r="G5" s="5" t="n"/>
    </row>
    <row r="6" ht="21" customHeight="1">
      <c r="B6" s="14" t="inlineStr">
        <is>
          <t>Sintaks / Pola Umum</t>
        </is>
      </c>
      <c r="C6" s="15">
        <f>COVARIANCE.S(range_x, range_y)</f>
        <v/>
      </c>
      <c r="D6" s="5" t="n"/>
      <c r="E6" s="5" t="n"/>
      <c r="F6" s="5" t="n"/>
      <c r="G6" s="5" t="n"/>
    </row>
    <row r="7" ht="26" customHeight="1">
      <c r="B7" s="14" t="inlineStr">
        <is>
          <t>👶 Fungsinya Buat Apa?</t>
        </is>
      </c>
      <c r="C7" s="16" t="inlineStr">
        <is>
          <t>Menghitung kovarians sampel antara dua variabel pengamatan.</t>
        </is>
      </c>
      <c r="D7" s="5" t="n"/>
      <c r="E7" s="5" t="n"/>
      <c r="F7" s="5" t="n"/>
      <c r="G7" s="5" t="n"/>
    </row>
    <row r="9" ht="24" customHeight="1">
      <c r="B9" s="17" t="inlineStr">
        <is>
          <t>2️⃣ 1 CONTOH SOAL &amp; CONTOH JAWABAN BENAR (PELAJARI POLA RUMUS COVARIANCE.T DI SINI)</t>
        </is>
      </c>
    </row>
    <row r="10">
      <c r="B10" s="18" t="inlineStr">
        <is>
          <t>Data Variabel 1</t>
        </is>
      </c>
      <c r="C10" s="18" t="inlineStr">
        <is>
          <t>Data Variabel 2</t>
        </is>
      </c>
      <c r="E10" s="18" t="inlineStr">
        <is>
          <t>✅ 1 CONTOH SOAL BESERTA CONTOH RUMUS &amp; HASIL JAWABAN BENAR:</t>
        </is>
      </c>
      <c r="F10" s="5" t="n"/>
      <c r="G10" s="5" t="n"/>
    </row>
    <row r="11" ht="28" customHeight="1">
      <c r="B11" s="19" t="n">
        <v>60</v>
      </c>
      <c r="C11" s="19" t="n">
        <v>90</v>
      </c>
      <c r="E11" s="20" t="inlineStr">
        <is>
          <t>Contoh Soal:</t>
        </is>
      </c>
      <c r="F11" s="21" t="inlineStr">
        <is>
          <t>Analisis hubungan antara data pertama (B11:B14) dan data kedua (C11:C14) menggunakan fungsi COVARIANCE.T!</t>
        </is>
      </c>
      <c r="G11" s="5" t="n"/>
    </row>
    <row r="12">
      <c r="B12" s="19" t="n">
        <v>120</v>
      </c>
      <c r="C12" s="19" t="n">
        <v>168</v>
      </c>
      <c r="E12" s="20" t="inlineStr">
        <is>
          <t>Contoh Rumus Benar:</t>
        </is>
      </c>
      <c r="F12" s="22" t="inlineStr">
        <is>
          <t>'=COVARIANCE.S(B11:B14, C11:C14)</t>
        </is>
      </c>
      <c r="G12" s="5" t="n"/>
    </row>
    <row r="13">
      <c r="B13" s="19" t="n">
        <v>210</v>
      </c>
      <c r="C13" s="19" t="n">
        <v>240</v>
      </c>
      <c r="E13" s="20" t="inlineStr">
        <is>
          <t>Contoh Hasil Benar:</t>
        </is>
      </c>
      <c r="F13" s="23">
        <f>COVARIANCE.S(B11:B14, C11:C14)</f>
        <v/>
      </c>
      <c r="G13" s="5" t="n"/>
    </row>
    <row r="14">
      <c r="B14" s="19" t="n">
        <v>300</v>
      </c>
      <c r="C14" s="19" t="n">
        <v>348</v>
      </c>
    </row>
    <row r="16" ht="26" customHeight="1">
      <c r="B16" s="24" t="inlineStr">
        <is>
          <t>3️⃣ 5 SOAL TES DUNIA NYATA — KERJAKAN DI KOTAK KUNING (TANPA KUNCI RUMUS / HASIL DI SINI!)</t>
        </is>
      </c>
    </row>
    <row r="17" ht="20" customHeight="1">
      <c r="B17" s="25" t="inlineStr">
        <is>
          <t>📌 Catatan Tes: Soal Tes #1 s/d #5 di bawah ini tidak menampilkan kunci rumus maupun hasil. Kunci jawaban lengkap tersedia di sheet paling terakhir (99_KUNCI_JAWABAN).</t>
        </is>
      </c>
    </row>
    <row r="19" ht="22" customHeight="1">
      <c r="B19" s="26" t="inlineStr">
        <is>
          <t>📝 SOAL TES #1: Kasus Keuangan &amp; Akuntansi Kantor</t>
        </is>
      </c>
    </row>
    <row r="20" ht="30" customHeight="1">
      <c r="B20" s="14" t="inlineStr">
        <is>
          <t>Data Variabel 1</t>
        </is>
      </c>
      <c r="C20" s="14" t="inlineStr">
        <is>
          <t>Data Variabel 2</t>
        </is>
      </c>
      <c r="E20" s="27" t="inlineStr">
        <is>
          <t>Persoalan Tes #1: Analisis hubungan antara data pertama (B21:B24) dan data kedua (C21:C24) menggunakan fungsi COVARIANCE.T!</t>
        </is>
      </c>
    </row>
    <row r="21">
      <c r="B21" s="19" t="n">
        <v>10</v>
      </c>
      <c r="C21" s="19" t="n">
        <v>15</v>
      </c>
      <c r="E21" s="14" t="inlineStr">
        <is>
          <t>✏️ KETIK RUMUS JAWABAN TES DI BAWAH:</t>
        </is>
      </c>
      <c r="F21" s="14" t="inlineStr">
        <is>
          <t>📌 STATUS KOREKSI JAWABAN TES:</t>
        </is>
      </c>
      <c r="G21" s="5" t="n"/>
    </row>
    <row r="22" ht="26" customHeight="1">
      <c r="B22" s="19" t="n">
        <v>20</v>
      </c>
      <c r="C22" s="19" t="n">
        <v>28</v>
      </c>
      <c r="E22" s="28" t="n"/>
      <c r="F22" s="29">
        <f>IF(ISBLANK(E22), "⏳ Belum Diisi (Ketik Rumus di Sel Kuning E22)", IF(E22='99_KUNCI_JAWABAN'!F120, "✅ BENAR! JAWABAN TES TEPAT!", "❌ Belum Tepat (Cek Sheet Akhir: 99_KUNCI_JAWABAN)"))</f>
        <v/>
      </c>
      <c r="G22" s="5" t="n"/>
    </row>
    <row r="23">
      <c r="B23" s="19" t="n">
        <v>35</v>
      </c>
      <c r="C23" s="19" t="n">
        <v>40</v>
      </c>
    </row>
    <row r="24">
      <c r="B24" s="19" t="n">
        <v>50</v>
      </c>
      <c r="C24" s="19" t="n">
        <v>58</v>
      </c>
    </row>
    <row r="27" ht="22" customHeight="1">
      <c r="B27" s="26" t="inlineStr">
        <is>
          <t>📝 SOAL TES #2: Kasus HRD, Gaji &amp; Lembur Karyawan</t>
        </is>
      </c>
    </row>
    <row r="28" ht="30" customHeight="1">
      <c r="B28" s="14" t="inlineStr">
        <is>
          <t>Data Variabel 1</t>
        </is>
      </c>
      <c r="C28" s="14" t="inlineStr">
        <is>
          <t>Data Variabel 2</t>
        </is>
      </c>
      <c r="E28" s="27" t="inlineStr">
        <is>
          <t>Persoalan Tes #2: Analisis hubungan antara data pertama (B29:B32) dan data kedua (C29:C32) menggunakan fungsi COVARIANCE.T!</t>
        </is>
      </c>
    </row>
    <row r="29">
      <c r="B29" s="19" t="n">
        <v>20</v>
      </c>
      <c r="C29" s="19" t="n">
        <v>30</v>
      </c>
      <c r="E29" s="14" t="inlineStr">
        <is>
          <t>✏️ KETIK RUMUS JAWABAN TES DI BAWAH:</t>
        </is>
      </c>
      <c r="F29" s="14" t="inlineStr">
        <is>
          <t>📌 STATUS KOREKSI JAWABAN TES:</t>
        </is>
      </c>
      <c r="G29" s="5" t="n"/>
    </row>
    <row r="30" ht="26" customHeight="1">
      <c r="B30" s="19" t="n">
        <v>40</v>
      </c>
      <c r="C30" s="19" t="n">
        <v>56</v>
      </c>
      <c r="E30" s="28" t="n"/>
      <c r="F30" s="29">
        <f>IF(ISBLANK(E30), "⏳ Belum Diisi (Ketik Rumus di Sel Kuning E30)", IF(E30='99_KUNCI_JAWABAN'!F121, "✅ BENAR! JAWABAN TES TEPAT!", "❌ Belum Tepat (Cek Sheet Akhir: 99_KUNCI_JAWABAN)"))</f>
        <v/>
      </c>
      <c r="G30" s="5" t="n"/>
    </row>
    <row r="31">
      <c r="B31" s="19" t="n">
        <v>70</v>
      </c>
      <c r="C31" s="19" t="n">
        <v>80</v>
      </c>
    </row>
    <row r="32">
      <c r="B32" s="19" t="n">
        <v>100</v>
      </c>
      <c r="C32" s="19" t="n">
        <v>116</v>
      </c>
    </row>
    <row r="35" ht="22" customHeight="1">
      <c r="B35" s="26" t="inlineStr">
        <is>
          <t>📝 SOAL TES #3: Kasus Logistik &amp; Stok Gudang Utama</t>
        </is>
      </c>
    </row>
    <row r="36" ht="30" customHeight="1">
      <c r="B36" s="14" t="inlineStr">
        <is>
          <t>Data Variabel 1</t>
        </is>
      </c>
      <c r="C36" s="14" t="inlineStr">
        <is>
          <t>Data Variabel 2</t>
        </is>
      </c>
      <c r="E36" s="27" t="inlineStr">
        <is>
          <t>Persoalan Tes #3: Analisis hubungan antara data pertama (B37:B40) dan data kedua (C37:C40) menggunakan fungsi COVARIANCE.T!</t>
        </is>
      </c>
    </row>
    <row r="37">
      <c r="B37" s="19" t="n">
        <v>30</v>
      </c>
      <c r="C37" s="19" t="n">
        <v>45</v>
      </c>
      <c r="E37" s="14" t="inlineStr">
        <is>
          <t>✏️ KETIK RUMUS JAWABAN TES DI BAWAH:</t>
        </is>
      </c>
      <c r="F37" s="14" t="inlineStr">
        <is>
          <t>📌 STATUS KOREKSI JAWABAN TES:</t>
        </is>
      </c>
      <c r="G37" s="5" t="n"/>
    </row>
    <row r="38" ht="26" customHeight="1">
      <c r="B38" s="19" t="n">
        <v>60</v>
      </c>
      <c r="C38" s="19" t="n">
        <v>84</v>
      </c>
      <c r="E38" s="28" t="n"/>
      <c r="F38" s="29">
        <f>IF(ISBLANK(E38), "⏳ Belum Diisi (Ketik Rumus di Sel Kuning E38)", IF(E38='99_KUNCI_JAWABAN'!F122, "✅ BENAR! JAWABAN TES TEPAT!", "❌ Belum Tepat (Cek Sheet Akhir: 99_KUNCI_JAWABAN)"))</f>
        <v/>
      </c>
      <c r="G38" s="5" t="n"/>
    </row>
    <row r="39">
      <c r="B39" s="19" t="n">
        <v>105</v>
      </c>
      <c r="C39" s="19" t="n">
        <v>120</v>
      </c>
    </row>
    <row r="40">
      <c r="B40" s="19" t="n">
        <v>150</v>
      </c>
      <c r="C40" s="19" t="n">
        <v>174</v>
      </c>
    </row>
    <row r="43" ht="22" customHeight="1">
      <c r="B43" s="26" t="inlineStr">
        <is>
          <t>📝 SOAL TES #4: Kasus Penjualan Retail &amp; Target Toko</t>
        </is>
      </c>
    </row>
    <row r="44" ht="30" customHeight="1">
      <c r="B44" s="14" t="inlineStr">
        <is>
          <t>Data Variabel 1</t>
        </is>
      </c>
      <c r="C44" s="14" t="inlineStr">
        <is>
          <t>Data Variabel 2</t>
        </is>
      </c>
      <c r="E44" s="27" t="inlineStr">
        <is>
          <t>Persoalan Tes #4: Analisis hubungan antara data pertama (B45:B48) dan data kedua (C45:C48) menggunakan fungsi COVARIANCE.T!</t>
        </is>
      </c>
    </row>
    <row r="45">
      <c r="B45" s="19" t="n">
        <v>40</v>
      </c>
      <c r="C45" s="19" t="n">
        <v>60</v>
      </c>
      <c r="E45" s="14" t="inlineStr">
        <is>
          <t>✏️ KETIK RUMUS JAWABAN TES DI BAWAH:</t>
        </is>
      </c>
      <c r="F45" s="14" t="inlineStr">
        <is>
          <t>📌 STATUS KOREKSI JAWABAN TES:</t>
        </is>
      </c>
      <c r="G45" s="5" t="n"/>
    </row>
    <row r="46" ht="26" customHeight="1">
      <c r="B46" s="19" t="n">
        <v>80</v>
      </c>
      <c r="C46" s="19" t="n">
        <v>112</v>
      </c>
      <c r="E46" s="28" t="n"/>
      <c r="F46" s="29">
        <f>IF(ISBLANK(E46), "⏳ Belum Diisi (Ketik Rumus di Sel Kuning E46)", IF(E46='99_KUNCI_JAWABAN'!F123, "✅ BENAR! JAWABAN TES TEPAT!", "❌ Belum Tepat (Cek Sheet Akhir: 99_KUNCI_JAWABAN)"))</f>
        <v/>
      </c>
      <c r="G46" s="5" t="n"/>
    </row>
    <row r="47">
      <c r="B47" s="19" t="n">
        <v>140</v>
      </c>
      <c r="C47" s="19" t="n">
        <v>160</v>
      </c>
    </row>
    <row r="48">
      <c r="B48" s="19" t="n">
        <v>200</v>
      </c>
      <c r="C48" s="19" t="n">
        <v>232</v>
      </c>
    </row>
    <row r="51" ht="22" customHeight="1">
      <c r="B51" s="26" t="inlineStr">
        <is>
          <t>📝 SOAL TES #5: Kasus Akademik Sekolah &amp; Layanan Publik</t>
        </is>
      </c>
    </row>
    <row r="52" ht="30" customHeight="1">
      <c r="B52" s="14" t="inlineStr">
        <is>
          <t>Data Variabel 1</t>
        </is>
      </c>
      <c r="C52" s="14" t="inlineStr">
        <is>
          <t>Data Variabel 2</t>
        </is>
      </c>
      <c r="E52" s="27" t="inlineStr">
        <is>
          <t>Persoalan Tes #5: Analisis hubungan antara data pertama (B53:B56) dan data kedua (C53:C56) menggunakan fungsi COVARIANCE.T!</t>
        </is>
      </c>
    </row>
    <row r="53">
      <c r="B53" s="19" t="n">
        <v>50</v>
      </c>
      <c r="C53" s="19" t="n">
        <v>75</v>
      </c>
      <c r="E53" s="14" t="inlineStr">
        <is>
          <t>✏️ KETIK RUMUS JAWABAN TES DI BAWAH:</t>
        </is>
      </c>
      <c r="F53" s="14" t="inlineStr">
        <is>
          <t>📌 STATUS KOREKSI JAWABAN TES:</t>
        </is>
      </c>
      <c r="G53" s="5" t="n"/>
    </row>
    <row r="54" ht="26" customHeight="1">
      <c r="B54" s="19" t="n">
        <v>100</v>
      </c>
      <c r="C54" s="19" t="n">
        <v>140</v>
      </c>
      <c r="E54" s="28" t="n"/>
      <c r="F54" s="29">
        <f>IF(ISBLANK(E54), "⏳ Belum Diisi (Ketik Rumus di Sel Kuning E54)", IF(E54='99_KUNCI_JAWABAN'!F124, "✅ BENAR! JAWABAN TES TEPAT!", "❌ Belum Tepat (Cek Sheet Akhir: 99_KUNCI_JAWABAN)"))</f>
        <v/>
      </c>
      <c r="G54" s="5" t="n"/>
    </row>
    <row r="55">
      <c r="B55" s="19" t="n">
        <v>175</v>
      </c>
      <c r="C55" s="19" t="n">
        <v>200</v>
      </c>
    </row>
    <row r="56">
      <c r="B56" s="19" t="n">
        <v>250</v>
      </c>
      <c r="C56" s="19" t="n">
        <v>290</v>
      </c>
    </row>
  </sheetData>
  <mergeCells count="33">
    <mergeCell ref="E10:G10"/>
    <mergeCell ref="F11:G11"/>
    <mergeCell ref="E28:G28"/>
    <mergeCell ref="F29:G29"/>
    <mergeCell ref="C6:G6"/>
    <mergeCell ref="F54:G54"/>
    <mergeCell ref="B17:G17"/>
    <mergeCell ref="B1:G1"/>
    <mergeCell ref="C5:G5"/>
    <mergeCell ref="B19:G19"/>
    <mergeCell ref="F21:G21"/>
    <mergeCell ref="F12:G12"/>
    <mergeCell ref="F30:G30"/>
    <mergeCell ref="E36:G36"/>
    <mergeCell ref="B9:G9"/>
    <mergeCell ref="F45:G45"/>
    <mergeCell ref="B51:G51"/>
    <mergeCell ref="F38:G38"/>
    <mergeCell ref="B35:G35"/>
    <mergeCell ref="B4:G4"/>
    <mergeCell ref="F46:G46"/>
    <mergeCell ref="F22:G22"/>
    <mergeCell ref="B2:E2"/>
    <mergeCell ref="F13:G13"/>
    <mergeCell ref="B16:G16"/>
    <mergeCell ref="F37:G37"/>
    <mergeCell ref="C7:G7"/>
    <mergeCell ref="E52:G52"/>
    <mergeCell ref="B27:G27"/>
    <mergeCell ref="B43:G43"/>
    <mergeCell ref="E44:G44"/>
    <mergeCell ref="E20:G20"/>
    <mergeCell ref="F53:G53"/>
  </mergeCells>
  <hyperlinks>
    <hyperlink xmlns:r="http://schemas.openxmlformats.org/officeDocument/2006/relationships" ref="F2" r:id="rId1"/>
    <hyperlink xmlns:r="http://schemas.openxmlformats.org/officeDocument/2006/relationships" ref="G2" r:id="rId2"/>
  </hyperlink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B1:G56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22" customWidth="1" min="3" max="3"/>
    <col width="4" customWidth="1" min="4" max="4"/>
    <col width="34" customWidth="1" min="5" max="5"/>
    <col width="44" customWidth="1" min="6" max="6"/>
    <col width="28" customWidth="1" min="7" max="7"/>
  </cols>
  <sheetData>
    <row r="1" ht="30" customHeight="1">
      <c r="B1" s="10" t="inlineStr">
        <is>
          <t>📊 #025 — RUMUS EXCEL: CRITBINOM   |   Kategori: 8. Statistik &amp; Analisis Data</t>
        </is>
      </c>
    </row>
    <row r="2" ht="22" customHeight="1">
      <c r="B2" s="11" t="inlineStr">
        <is>
          <t>1 Rumus = 1 Contoh Soal + Jawaban Benar &amp; 5 Soal Tes Mandiri (Kunci Jawaban Ada di Sheet Paling Terakhir)</t>
        </is>
      </c>
      <c r="F2" s="12" t="inlineStr">
        <is>
          <t>⬅️ Ke Daftar Isi (00_DAFTAR_ISI)</t>
        </is>
      </c>
      <c r="G2" s="3" t="inlineStr">
        <is>
          <t>🔑 Ke Kunci Jawaban (Sheet Akhir)</t>
        </is>
      </c>
    </row>
    <row r="4" ht="24" customHeight="1">
      <c r="B4" s="13" t="inlineStr">
        <is>
          <t>1️⃣ IDENTITAS RUMUS &amp; FUNGSINYA BUAT APA? (CRITBINOM)</t>
        </is>
      </c>
    </row>
    <row r="5" ht="21" customHeight="1">
      <c r="B5" s="14" t="inlineStr">
        <is>
          <t>Nama Rumus Excel</t>
        </is>
      </c>
      <c r="C5" s="15">
        <f>CRITBINOM(...)</f>
        <v/>
      </c>
      <c r="D5" s="5" t="n"/>
      <c r="E5" s="5" t="n"/>
      <c r="F5" s="5" t="n"/>
      <c r="G5" s="5" t="n"/>
    </row>
    <row r="6" ht="21" customHeight="1">
      <c r="B6" s="14" t="inlineStr">
        <is>
          <t>Sintaks / Pola Umum</t>
        </is>
      </c>
      <c r="C6" s="15">
        <f>CRITBINOM(cobaan, prob_sukses, alpha)</f>
        <v/>
      </c>
      <c r="D6" s="5" t="n"/>
      <c r="E6" s="5" t="n"/>
      <c r="F6" s="5" t="n"/>
      <c r="G6" s="5" t="n"/>
    </row>
    <row r="7" ht="26" customHeight="1">
      <c r="B7" s="14" t="inlineStr">
        <is>
          <t>👶 Fungsinya Buat Apa?</t>
        </is>
      </c>
      <c r="C7" s="16" t="inlineStr">
        <is>
          <t>Mencari nilai batas kritis distribusi binomial kumulatif.</t>
        </is>
      </c>
      <c r="D7" s="5" t="n"/>
      <c r="E7" s="5" t="n"/>
      <c r="F7" s="5" t="n"/>
      <c r="G7" s="5" t="n"/>
    </row>
    <row r="9" ht="24" customHeight="1">
      <c r="B9" s="17" t="inlineStr">
        <is>
          <t>2️⃣ 1 CONTOH SOAL &amp; CONTOH JAWABAN BENAR (PELAJARI POLA RUMUS CRITBINOM DI SINI)</t>
        </is>
      </c>
    </row>
    <row r="10">
      <c r="B10" s="18" t="inlineStr">
        <is>
          <t>Parameter Binomial</t>
        </is>
      </c>
      <c r="C10" s="18" t="inlineStr">
        <is>
          <t>Nilai Input</t>
        </is>
      </c>
      <c r="E10" s="18" t="inlineStr">
        <is>
          <t>✅ 1 CONTOH SOAL BESERTA CONTOH RUMUS &amp; HASIL JAWABAN BENAR:</t>
        </is>
      </c>
      <c r="F10" s="5" t="n"/>
      <c r="G10" s="5" t="n"/>
    </row>
    <row r="11" ht="28" customHeight="1">
      <c r="B11" s="19" t="inlineStr">
        <is>
          <t>Total Percobaan (C11)</t>
        </is>
      </c>
      <c r="C11" s="19" t="n">
        <v>20</v>
      </c>
      <c r="E11" s="20" t="inlineStr">
        <is>
          <t>Contoh Soal:</t>
        </is>
      </c>
      <c r="F11" s="21" t="inlineStr">
        <is>
          <t>Cari nilai batas kritis binomial menggunakan fungsi CRITBINOM dengan argumen berurutan C11, C12, dan C13!</t>
        </is>
      </c>
      <c r="G11" s="5" t="n"/>
    </row>
    <row r="12">
      <c r="B12" s="19" t="inlineStr">
        <is>
          <t>Peluang Sukses (C12)</t>
        </is>
      </c>
      <c r="C12" s="19" t="n">
        <v>0.5</v>
      </c>
      <c r="E12" s="20" t="inlineStr">
        <is>
          <t>Contoh Rumus Benar:</t>
        </is>
      </c>
      <c r="F12" s="22" t="inlineStr">
        <is>
          <t>'=CRITBINOM(C11, C12, C13)</t>
        </is>
      </c>
      <c r="G12" s="5" t="n"/>
    </row>
    <row r="13">
      <c r="B13" s="19" t="inlineStr">
        <is>
          <t>Alpha Kriteria (C13)</t>
        </is>
      </c>
      <c r="C13" s="19" t="n">
        <v>0.75</v>
      </c>
      <c r="E13" s="20" t="inlineStr">
        <is>
          <t>Contoh Hasil Benar:</t>
        </is>
      </c>
      <c r="F13" s="23">
        <f>CRITBINOM(C11, C12, C13)</f>
        <v/>
      </c>
      <c r="G13" s="5" t="n"/>
    </row>
    <row r="14">
      <c r="B14" s="19" t="inlineStr">
        <is>
          <t>Cadangan</t>
        </is>
      </c>
      <c r="C14" s="19" t="n">
        <v>1</v>
      </c>
    </row>
    <row r="16" ht="26" customHeight="1">
      <c r="B16" s="24" t="inlineStr">
        <is>
          <t>3️⃣ 5 SOAL TES DUNIA NYATA — KERJAKAN DI KOTAK KUNING (TANPA KUNCI RUMUS / HASIL DI SINI!)</t>
        </is>
      </c>
    </row>
    <row r="17" ht="20" customHeight="1">
      <c r="B17" s="25" t="inlineStr">
        <is>
          <t>📌 Catatan Tes: Soal Tes #1 s/d #5 di bawah ini tidak menampilkan kunci rumus maupun hasil. Kunci jawaban lengkap tersedia di sheet paling terakhir (99_KUNCI_JAWABAN).</t>
        </is>
      </c>
    </row>
    <row r="19" ht="22" customHeight="1">
      <c r="B19" s="26" t="inlineStr">
        <is>
          <t>📝 SOAL TES #1: Kasus Keuangan &amp; Akuntansi Kantor</t>
        </is>
      </c>
    </row>
    <row r="20" ht="30" customHeight="1">
      <c r="B20" s="14" t="inlineStr">
        <is>
          <t>Parameter Binomial</t>
        </is>
      </c>
      <c r="C20" s="14" t="inlineStr">
        <is>
          <t>Nilai Input</t>
        </is>
      </c>
      <c r="E20" s="27" t="inlineStr">
        <is>
          <t>Persoalan Tes #1: Cari nilai batas kritis binomial menggunakan fungsi CRITBINOM dengan argumen berurutan C21, C22, dan C23!</t>
        </is>
      </c>
    </row>
    <row r="21">
      <c r="B21" s="19" t="inlineStr">
        <is>
          <t>Total Percobaan (C21)</t>
        </is>
      </c>
      <c r="C21" s="19" t="n">
        <v>10</v>
      </c>
      <c r="E21" s="14" t="inlineStr">
        <is>
          <t>✏️ KETIK RUMUS JAWABAN TES DI BAWAH:</t>
        </is>
      </c>
      <c r="F21" s="14" t="inlineStr">
        <is>
          <t>📌 STATUS KOREKSI JAWABAN TES:</t>
        </is>
      </c>
      <c r="G21" s="5" t="n"/>
    </row>
    <row r="22" ht="26" customHeight="1">
      <c r="B22" s="19" t="inlineStr">
        <is>
          <t>Peluang Sukses (C22)</t>
        </is>
      </c>
      <c r="C22" s="19" t="n">
        <v>0.5</v>
      </c>
      <c r="E22" s="28" t="n"/>
      <c r="F22" s="29">
        <f>IF(ISBLANK(E22), "⏳ Belum Diisi (Ketik Rumus di Sel Kuning E22)", IF(E22='99_KUNCI_JAWABAN'!F125, "✅ BENAR! JAWABAN TES TEPAT!", "❌ Belum Tepat (Cek Sheet Akhir: 99_KUNCI_JAWABAN)"))</f>
        <v/>
      </c>
      <c r="G22" s="5" t="n"/>
    </row>
    <row r="23">
      <c r="B23" s="19" t="inlineStr">
        <is>
          <t>Alpha Kriteria (C23)</t>
        </is>
      </c>
      <c r="C23" s="19" t="n">
        <v>0.5</v>
      </c>
    </row>
    <row r="24">
      <c r="B24" s="19" t="inlineStr">
        <is>
          <t>Cadangan</t>
        </is>
      </c>
      <c r="C24" s="19" t="n">
        <v>1</v>
      </c>
    </row>
    <row r="27" ht="22" customHeight="1">
      <c r="B27" s="26" t="inlineStr">
        <is>
          <t>📝 SOAL TES #2: Kasus HRD, Gaji &amp; Lembur Karyawan</t>
        </is>
      </c>
    </row>
    <row r="28" ht="30" customHeight="1">
      <c r="B28" s="14" t="inlineStr">
        <is>
          <t>Parameter Binomial</t>
        </is>
      </c>
      <c r="C28" s="14" t="inlineStr">
        <is>
          <t>Nilai Input</t>
        </is>
      </c>
      <c r="E28" s="27" t="inlineStr">
        <is>
          <t>Persoalan Tes #2: Cari nilai batas kritis binomial menggunakan fungsi CRITBINOM dengan argumen berurutan C29, C30, dan C31!</t>
        </is>
      </c>
    </row>
    <row r="29">
      <c r="B29" s="19" t="inlineStr">
        <is>
          <t>Total Percobaan (C29)</t>
        </is>
      </c>
      <c r="C29" s="19" t="n">
        <v>12</v>
      </c>
      <c r="E29" s="14" t="inlineStr">
        <is>
          <t>✏️ KETIK RUMUS JAWABAN TES DI BAWAH:</t>
        </is>
      </c>
      <c r="F29" s="14" t="inlineStr">
        <is>
          <t>📌 STATUS KOREKSI JAWABAN TES:</t>
        </is>
      </c>
      <c r="G29" s="5" t="n"/>
    </row>
    <row r="30" ht="26" customHeight="1">
      <c r="B30" s="19" t="inlineStr">
        <is>
          <t>Peluang Sukses (C30)</t>
        </is>
      </c>
      <c r="C30" s="19" t="n">
        <v>0.5</v>
      </c>
      <c r="E30" s="28" t="n"/>
      <c r="F30" s="29">
        <f>IF(ISBLANK(E30), "⏳ Belum Diisi (Ketik Rumus di Sel Kuning E30)", IF(E30='99_KUNCI_JAWABAN'!F126, "✅ BENAR! JAWABAN TES TEPAT!", "❌ Belum Tepat (Cek Sheet Akhir: 99_KUNCI_JAWABAN)"))</f>
        <v/>
      </c>
      <c r="G30" s="5" t="n"/>
    </row>
    <row r="31">
      <c r="B31" s="19" t="inlineStr">
        <is>
          <t>Alpha Kriteria (C31)</t>
        </is>
      </c>
      <c r="C31" s="19" t="n">
        <v>0.55</v>
      </c>
    </row>
    <row r="32">
      <c r="B32" s="19" t="inlineStr">
        <is>
          <t>Cadangan</t>
        </is>
      </c>
      <c r="C32" s="19" t="n">
        <v>1</v>
      </c>
    </row>
    <row r="35" ht="22" customHeight="1">
      <c r="B35" s="26" t="inlineStr">
        <is>
          <t>📝 SOAL TES #3: Kasus Logistik &amp; Stok Gudang Utama</t>
        </is>
      </c>
    </row>
    <row r="36" ht="30" customHeight="1">
      <c r="B36" s="14" t="inlineStr">
        <is>
          <t>Parameter Binomial</t>
        </is>
      </c>
      <c r="C36" s="14" t="inlineStr">
        <is>
          <t>Nilai Input</t>
        </is>
      </c>
      <c r="E36" s="27" t="inlineStr">
        <is>
          <t>Persoalan Tes #3: Cari nilai batas kritis binomial menggunakan fungsi CRITBINOM dengan argumen berurutan C37, C38, dan C39!</t>
        </is>
      </c>
    </row>
    <row r="37">
      <c r="B37" s="19" t="inlineStr">
        <is>
          <t>Total Percobaan (C37)</t>
        </is>
      </c>
      <c r="C37" s="19" t="n">
        <v>14</v>
      </c>
      <c r="E37" s="14" t="inlineStr">
        <is>
          <t>✏️ KETIK RUMUS JAWABAN TES DI BAWAH:</t>
        </is>
      </c>
      <c r="F37" s="14" t="inlineStr">
        <is>
          <t>📌 STATUS KOREKSI JAWABAN TES:</t>
        </is>
      </c>
      <c r="G37" s="5" t="n"/>
    </row>
    <row r="38" ht="26" customHeight="1">
      <c r="B38" s="19" t="inlineStr">
        <is>
          <t>Peluang Sukses (C38)</t>
        </is>
      </c>
      <c r="C38" s="19" t="n">
        <v>0.5</v>
      </c>
      <c r="E38" s="28" t="n"/>
      <c r="F38" s="29">
        <f>IF(ISBLANK(E38), "⏳ Belum Diisi (Ketik Rumus di Sel Kuning E38)", IF(E38='99_KUNCI_JAWABAN'!F127, "✅ BENAR! JAWABAN TES TEPAT!", "❌ Belum Tepat (Cek Sheet Akhir: 99_KUNCI_JAWABAN)"))</f>
        <v/>
      </c>
      <c r="G38" s="5" t="n"/>
    </row>
    <row r="39">
      <c r="B39" s="19" t="inlineStr">
        <is>
          <t>Alpha Kriteria (C39)</t>
        </is>
      </c>
      <c r="C39" s="19" t="n">
        <v>0.6</v>
      </c>
    </row>
    <row r="40">
      <c r="B40" s="19" t="inlineStr">
        <is>
          <t>Cadangan</t>
        </is>
      </c>
      <c r="C40" s="19" t="n">
        <v>1</v>
      </c>
    </row>
    <row r="43" ht="22" customHeight="1">
      <c r="B43" s="26" t="inlineStr">
        <is>
          <t>📝 SOAL TES #4: Kasus Penjualan Retail &amp; Target Toko</t>
        </is>
      </c>
    </row>
    <row r="44" ht="30" customHeight="1">
      <c r="B44" s="14" t="inlineStr">
        <is>
          <t>Parameter Binomial</t>
        </is>
      </c>
      <c r="C44" s="14" t="inlineStr">
        <is>
          <t>Nilai Input</t>
        </is>
      </c>
      <c r="E44" s="27" t="inlineStr">
        <is>
          <t>Persoalan Tes #4: Cari nilai batas kritis binomial menggunakan fungsi CRITBINOM dengan argumen berurutan C45, C46, dan C47!</t>
        </is>
      </c>
    </row>
    <row r="45">
      <c r="B45" s="19" t="inlineStr">
        <is>
          <t>Total Percobaan (C45)</t>
        </is>
      </c>
      <c r="C45" s="19" t="n">
        <v>16</v>
      </c>
      <c r="E45" s="14" t="inlineStr">
        <is>
          <t>✏️ KETIK RUMUS JAWABAN TES DI BAWAH:</t>
        </is>
      </c>
      <c r="F45" s="14" t="inlineStr">
        <is>
          <t>📌 STATUS KOREKSI JAWABAN TES:</t>
        </is>
      </c>
      <c r="G45" s="5" t="n"/>
    </row>
    <row r="46" ht="26" customHeight="1">
      <c r="B46" s="19" t="inlineStr">
        <is>
          <t>Peluang Sukses (C46)</t>
        </is>
      </c>
      <c r="C46" s="19" t="n">
        <v>0.5</v>
      </c>
      <c r="E46" s="28" t="n"/>
      <c r="F46" s="29">
        <f>IF(ISBLANK(E46), "⏳ Belum Diisi (Ketik Rumus di Sel Kuning E46)", IF(E46='99_KUNCI_JAWABAN'!F128, "✅ BENAR! JAWABAN TES TEPAT!", "❌ Belum Tepat (Cek Sheet Akhir: 99_KUNCI_JAWABAN)"))</f>
        <v/>
      </c>
      <c r="G46" s="5" t="n"/>
    </row>
    <row r="47">
      <c r="B47" s="19" t="inlineStr">
        <is>
          <t>Alpha Kriteria (C47)</t>
        </is>
      </c>
      <c r="C47" s="19" t="n">
        <v>0.65</v>
      </c>
    </row>
    <row r="48">
      <c r="B48" s="19" t="inlineStr">
        <is>
          <t>Cadangan</t>
        </is>
      </c>
      <c r="C48" s="19" t="n">
        <v>1</v>
      </c>
    </row>
    <row r="51" ht="22" customHeight="1">
      <c r="B51" s="26" t="inlineStr">
        <is>
          <t>📝 SOAL TES #5: Kasus Akademik Sekolah &amp; Layanan Publik</t>
        </is>
      </c>
    </row>
    <row r="52" ht="30" customHeight="1">
      <c r="B52" s="14" t="inlineStr">
        <is>
          <t>Parameter Binomial</t>
        </is>
      </c>
      <c r="C52" s="14" t="inlineStr">
        <is>
          <t>Nilai Input</t>
        </is>
      </c>
      <c r="E52" s="27" t="inlineStr">
        <is>
          <t>Persoalan Tes #5: Cari nilai batas kritis binomial menggunakan fungsi CRITBINOM dengan argumen berurutan C53, C54, dan C55!</t>
        </is>
      </c>
    </row>
    <row r="53">
      <c r="B53" s="19" t="inlineStr">
        <is>
          <t>Total Percobaan (C53)</t>
        </is>
      </c>
      <c r="C53" s="19" t="n">
        <v>18</v>
      </c>
      <c r="E53" s="14" t="inlineStr">
        <is>
          <t>✏️ KETIK RUMUS JAWABAN TES DI BAWAH:</t>
        </is>
      </c>
      <c r="F53" s="14" t="inlineStr">
        <is>
          <t>📌 STATUS KOREKSI JAWABAN TES:</t>
        </is>
      </c>
      <c r="G53" s="5" t="n"/>
    </row>
    <row r="54" ht="26" customHeight="1">
      <c r="B54" s="19" t="inlineStr">
        <is>
          <t>Peluang Sukses (C54)</t>
        </is>
      </c>
      <c r="C54" s="19" t="n">
        <v>0.5</v>
      </c>
      <c r="E54" s="28" t="n"/>
      <c r="F54" s="29">
        <f>IF(ISBLANK(E54), "⏳ Belum Diisi (Ketik Rumus di Sel Kuning E54)", IF(E54='99_KUNCI_JAWABAN'!F129, "✅ BENAR! JAWABAN TES TEPAT!", "❌ Belum Tepat (Cek Sheet Akhir: 99_KUNCI_JAWABAN)"))</f>
        <v/>
      </c>
      <c r="G54" s="5" t="n"/>
    </row>
    <row r="55">
      <c r="B55" s="19" t="inlineStr">
        <is>
          <t>Alpha Kriteria (C55)</t>
        </is>
      </c>
      <c r="C55" s="19" t="n">
        <v>0.7</v>
      </c>
    </row>
    <row r="56">
      <c r="B56" s="19" t="inlineStr">
        <is>
          <t>Cadangan</t>
        </is>
      </c>
      <c r="C56" s="19" t="n">
        <v>1</v>
      </c>
    </row>
  </sheetData>
  <mergeCells count="33">
    <mergeCell ref="E10:G10"/>
    <mergeCell ref="F11:G11"/>
    <mergeCell ref="E28:G28"/>
    <mergeCell ref="F29:G29"/>
    <mergeCell ref="C6:G6"/>
    <mergeCell ref="F54:G54"/>
    <mergeCell ref="B17:G17"/>
    <mergeCell ref="B1:G1"/>
    <mergeCell ref="C5:G5"/>
    <mergeCell ref="B19:G19"/>
    <mergeCell ref="F21:G21"/>
    <mergeCell ref="F12:G12"/>
    <mergeCell ref="F30:G30"/>
    <mergeCell ref="E36:G36"/>
    <mergeCell ref="B9:G9"/>
    <mergeCell ref="F45:G45"/>
    <mergeCell ref="B51:G51"/>
    <mergeCell ref="F38:G38"/>
    <mergeCell ref="B35:G35"/>
    <mergeCell ref="B4:G4"/>
    <mergeCell ref="F46:G46"/>
    <mergeCell ref="F22:G22"/>
    <mergeCell ref="B2:E2"/>
    <mergeCell ref="F13:G13"/>
    <mergeCell ref="B16:G16"/>
    <mergeCell ref="F37:G37"/>
    <mergeCell ref="C7:G7"/>
    <mergeCell ref="E52:G52"/>
    <mergeCell ref="B27:G27"/>
    <mergeCell ref="B43:G43"/>
    <mergeCell ref="E44:G44"/>
    <mergeCell ref="E20:G20"/>
    <mergeCell ref="F53:G53"/>
  </mergeCells>
  <hyperlinks>
    <hyperlink xmlns:r="http://schemas.openxmlformats.org/officeDocument/2006/relationships" ref="F2" r:id="rId1"/>
    <hyperlink xmlns:r="http://schemas.openxmlformats.org/officeDocument/2006/relationships" ref="G2" r:id="rId2"/>
  </hyperlink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B1:G56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22" customWidth="1" min="3" max="3"/>
    <col width="4" customWidth="1" min="4" max="4"/>
    <col width="34" customWidth="1" min="5" max="5"/>
    <col width="44" customWidth="1" min="6" max="6"/>
    <col width="28" customWidth="1" min="7" max="7"/>
  </cols>
  <sheetData>
    <row r="1" ht="30" customHeight="1">
      <c r="B1" s="10" t="inlineStr">
        <is>
          <t>📊 #026 — RUMUS EXCEL: DEVSQ   |   Kategori: 8. Statistik &amp; Analisis Data</t>
        </is>
      </c>
    </row>
    <row r="2" ht="22" customHeight="1">
      <c r="B2" s="11" t="inlineStr">
        <is>
          <t>1 Rumus = 1 Contoh Soal + Jawaban Benar &amp; 5 Soal Tes Mandiri (Kunci Jawaban Ada di Sheet Paling Terakhir)</t>
        </is>
      </c>
      <c r="F2" s="12" t="inlineStr">
        <is>
          <t>⬅️ Ke Daftar Isi (00_DAFTAR_ISI)</t>
        </is>
      </c>
      <c r="G2" s="3" t="inlineStr">
        <is>
          <t>🔑 Ke Kunci Jawaban (Sheet Akhir)</t>
        </is>
      </c>
    </row>
    <row r="4" ht="24" customHeight="1">
      <c r="B4" s="13" t="inlineStr">
        <is>
          <t>1️⃣ IDENTITAS RUMUS &amp; FUNGSINYA BUAT APA? (DEVSQ)</t>
        </is>
      </c>
    </row>
    <row r="5" ht="21" customHeight="1">
      <c r="B5" s="14" t="inlineStr">
        <is>
          <t>Nama Rumus Excel</t>
        </is>
      </c>
      <c r="C5" s="15">
        <f>DEVSQ(...)</f>
        <v/>
      </c>
      <c r="D5" s="5" t="n"/>
      <c r="E5" s="5" t="n"/>
      <c r="F5" s="5" t="n"/>
      <c r="G5" s="5" t="n"/>
    </row>
    <row r="6" ht="21" customHeight="1">
      <c r="B6" s="14" t="inlineStr">
        <is>
          <t>Sintaks / Pola Umum</t>
        </is>
      </c>
      <c r="C6" s="15">
        <f>DEVSQ(range_data)</f>
        <v/>
      </c>
      <c r="D6" s="5" t="n"/>
      <c r="E6" s="5" t="n"/>
      <c r="F6" s="5" t="n"/>
      <c r="G6" s="5" t="n"/>
    </row>
    <row r="7" ht="26" customHeight="1">
      <c r="B7" s="14" t="inlineStr">
        <is>
          <t>👶 Fungsinya Buat Apa?</t>
        </is>
      </c>
      <c r="C7" s="16" t="inlineStr">
        <is>
          <t>Menghitung jumlah kuadrat simpangan data dari rata-ratanya.</t>
        </is>
      </c>
      <c r="D7" s="5" t="n"/>
      <c r="E7" s="5" t="n"/>
      <c r="F7" s="5" t="n"/>
      <c r="G7" s="5" t="n"/>
    </row>
    <row r="9" ht="24" customHeight="1">
      <c r="B9" s="17" t="inlineStr">
        <is>
          <t>2️⃣ 1 CONTOH SOAL &amp; CONTOH JAWABAN BENAR (PELAJARI POLA RUMUS DEVSQ DI SINI)</t>
        </is>
      </c>
    </row>
    <row r="10">
      <c r="B10" s="18" t="inlineStr">
        <is>
          <t>Nama Unit / Kategori</t>
        </is>
      </c>
      <c r="C10" s="18" t="inlineStr">
        <is>
          <t>Nilai Data</t>
        </is>
      </c>
      <c r="E10" s="18" t="inlineStr">
        <is>
          <t>✅ 1 CONTOH SOAL BESERTA CONTOH RUMUS &amp; HASIL JAWABAN BENAR:</t>
        </is>
      </c>
      <c r="F10" s="5" t="n"/>
      <c r="G10" s="5" t="n"/>
    </row>
    <row r="11" ht="28" customHeight="1">
      <c r="B11" s="19" t="inlineStr">
        <is>
          <t>Simulasi Unit A</t>
        </is>
      </c>
      <c r="C11" s="19" t="n">
        <v>500000</v>
      </c>
      <c r="E11" s="20" t="inlineStr">
        <is>
          <t>Contoh Soal:</t>
        </is>
      </c>
      <c r="F11" s="21" t="inlineStr">
        <is>
          <t>Hitung hasil pengolahan fungsi DEVSQ untuk keempat baris data pada rentang C11:C14!</t>
        </is>
      </c>
      <c r="G11" s="5" t="n"/>
    </row>
    <row r="12">
      <c r="B12" s="19" t="inlineStr">
        <is>
          <t>Simulasi Unit B</t>
        </is>
      </c>
      <c r="C12" s="19" t="n">
        <v>750000</v>
      </c>
      <c r="E12" s="20" t="inlineStr">
        <is>
          <t>Contoh Rumus Benar:</t>
        </is>
      </c>
      <c r="F12" s="22" t="inlineStr">
        <is>
          <t>'=DEVSQ(C11:C14)</t>
        </is>
      </c>
      <c r="G12" s="5" t="n"/>
    </row>
    <row r="13">
      <c r="B13" s="19" t="inlineStr">
        <is>
          <t>Simulasi Unit C</t>
        </is>
      </c>
      <c r="C13" s="19" t="n">
        <v>600000</v>
      </c>
      <c r="E13" s="20" t="inlineStr">
        <is>
          <t>Contoh Hasil Benar:</t>
        </is>
      </c>
      <c r="F13" s="23">
        <f>DEVSQ(C11:C14)</f>
        <v/>
      </c>
      <c r="G13" s="5" t="n"/>
    </row>
    <row r="14">
      <c r="B14" s="19" t="inlineStr">
        <is>
          <t>Simulasi Unit D</t>
        </is>
      </c>
      <c r="C14" s="19" t="n">
        <v>950000</v>
      </c>
    </row>
    <row r="16" ht="26" customHeight="1">
      <c r="B16" s="24" t="inlineStr">
        <is>
          <t>3️⃣ 5 SOAL TES DUNIA NYATA — KERJAKAN DI KOTAK KUNING (TANPA KUNCI RUMUS / HASIL DI SINI!)</t>
        </is>
      </c>
    </row>
    <row r="17" ht="20" customHeight="1">
      <c r="B17" s="25" t="inlineStr">
        <is>
          <t>📌 Catatan Tes: Soal Tes #1 s/d #5 di bawah ini tidak menampilkan kunci rumus maupun hasil. Kunci jawaban lengkap tersedia di sheet paling terakhir (99_KUNCI_JAWABAN).</t>
        </is>
      </c>
    </row>
    <row r="19" ht="22" customHeight="1">
      <c r="B19" s="26" t="inlineStr">
        <is>
          <t>📝 SOAL TES #1: Kasus Keuangan &amp; Akuntansi Kantor</t>
        </is>
      </c>
    </row>
    <row r="20" ht="30" customHeight="1">
      <c r="B20" s="14" t="inlineStr">
        <is>
          <t>Nama Unit / Kategori</t>
        </is>
      </c>
      <c r="C20" s="14" t="inlineStr">
        <is>
          <t>Nilai Data</t>
        </is>
      </c>
      <c r="E20" s="27" t="inlineStr">
        <is>
          <t>Persoalan Tes #1: Hitung hasil pengolahan fungsi DEVSQ untuk keempat baris data pada rentang C21:C24!</t>
        </is>
      </c>
    </row>
    <row r="21">
      <c r="B21" s="19" t="inlineStr">
        <is>
          <t>Cabang Jakarta</t>
        </is>
      </c>
      <c r="C21" s="19" t="n">
        <v>1250000</v>
      </c>
      <c r="E21" s="14" t="inlineStr">
        <is>
          <t>✏️ KETIK RUMUS JAWABAN TES DI BAWAH:</t>
        </is>
      </c>
      <c r="F21" s="14" t="inlineStr">
        <is>
          <t>📌 STATUS KOREKSI JAWABAN TES:</t>
        </is>
      </c>
      <c r="G21" s="5" t="n"/>
    </row>
    <row r="22" ht="26" customHeight="1">
      <c r="B22" s="19" t="inlineStr">
        <is>
          <t>Cabang Bandung</t>
        </is>
      </c>
      <c r="C22" s="19" t="n">
        <v>1850000</v>
      </c>
      <c r="E22" s="28" t="n"/>
      <c r="F22" s="29">
        <f>IF(ISBLANK(E22), "⏳ Belum Diisi (Ketik Rumus di Sel Kuning E22)", IF(E22='99_KUNCI_JAWABAN'!F130, "✅ BENAR! JAWABAN TES TEPAT!", "❌ Belum Tepat (Cek Sheet Akhir: 99_KUNCI_JAWABAN)"))</f>
        <v/>
      </c>
      <c r="G22" s="5" t="n"/>
    </row>
    <row r="23">
      <c r="B23" s="19" t="inlineStr">
        <is>
          <t>Cabang Surabaya</t>
        </is>
      </c>
      <c r="C23" s="19" t="n">
        <v>2100000</v>
      </c>
    </row>
    <row r="24">
      <c r="B24" s="19" t="inlineStr">
        <is>
          <t>Cabang Medan</t>
        </is>
      </c>
      <c r="C24" s="19" t="n">
        <v>1600000</v>
      </c>
    </row>
    <row r="27" ht="22" customHeight="1">
      <c r="B27" s="26" t="inlineStr">
        <is>
          <t>📝 SOAL TES #2: Kasus HRD, Gaji &amp; Lembur Karyawan</t>
        </is>
      </c>
    </row>
    <row r="28" ht="30" customHeight="1">
      <c r="B28" s="14" t="inlineStr">
        <is>
          <t>Nama Unit / Kategori</t>
        </is>
      </c>
      <c r="C28" s="14" t="inlineStr">
        <is>
          <t>Nilai Data</t>
        </is>
      </c>
      <c r="E28" s="27" t="inlineStr">
        <is>
          <t>Persoalan Tes #2: Hitung hasil pengolahan fungsi DEVSQ untuk keempat baris data pada rentang C29:C32!</t>
        </is>
      </c>
    </row>
    <row r="29">
      <c r="B29" s="19" t="inlineStr">
        <is>
          <t>Budi Santoso</t>
        </is>
      </c>
      <c r="C29" s="19" t="n">
        <v>4500000</v>
      </c>
      <c r="E29" s="14" t="inlineStr">
        <is>
          <t>✏️ KETIK RUMUS JAWABAN TES DI BAWAH:</t>
        </is>
      </c>
      <c r="F29" s="14" t="inlineStr">
        <is>
          <t>📌 STATUS KOREKSI JAWABAN TES:</t>
        </is>
      </c>
      <c r="G29" s="5" t="n"/>
    </row>
    <row r="30" ht="26" customHeight="1">
      <c r="B30" s="19" t="inlineStr">
        <is>
          <t>Siti Aminah</t>
        </is>
      </c>
      <c r="C30" s="19" t="n">
        <v>5200000</v>
      </c>
      <c r="E30" s="28" t="n"/>
      <c r="F30" s="29">
        <f>IF(ISBLANK(E30), "⏳ Belum Diisi (Ketik Rumus di Sel Kuning E30)", IF(E30='99_KUNCI_JAWABAN'!F131, "✅ BENAR! JAWABAN TES TEPAT!", "❌ Belum Tepat (Cek Sheet Akhir: 99_KUNCI_JAWABAN)"))</f>
        <v/>
      </c>
      <c r="G30" s="5" t="n"/>
    </row>
    <row r="31">
      <c r="B31" s="19" t="inlineStr">
        <is>
          <t>Andi Pratama</t>
        </is>
      </c>
      <c r="C31" s="19" t="n">
        <v>4800000</v>
      </c>
    </row>
    <row r="32">
      <c r="B32" s="19" t="inlineStr">
        <is>
          <t>Rina Wijaya</t>
        </is>
      </c>
      <c r="C32" s="19" t="n">
        <v>6100000</v>
      </c>
    </row>
    <row r="35" ht="22" customHeight="1">
      <c r="B35" s="26" t="inlineStr">
        <is>
          <t>📝 SOAL TES #3: Kasus Logistik &amp; Stok Gudang Utama</t>
        </is>
      </c>
    </row>
    <row r="36" ht="30" customHeight="1">
      <c r="B36" s="14" t="inlineStr">
        <is>
          <t>Nama Unit / Kategori</t>
        </is>
      </c>
      <c r="C36" s="14" t="inlineStr">
        <is>
          <t>Nilai Data</t>
        </is>
      </c>
      <c r="E36" s="27" t="inlineStr">
        <is>
          <t>Persoalan Tes #3: Hitung hasil pengolahan fungsi DEVSQ untuk keempat baris data pada rentang C37:C40!</t>
        </is>
      </c>
    </row>
    <row r="37">
      <c r="B37" s="19" t="inlineStr">
        <is>
          <t>Gudang Blok A</t>
        </is>
      </c>
      <c r="C37" s="19" t="n">
        <v>240</v>
      </c>
      <c r="E37" s="14" t="inlineStr">
        <is>
          <t>✏️ KETIK RUMUS JAWABAN TES DI BAWAH:</t>
        </is>
      </c>
      <c r="F37" s="14" t="inlineStr">
        <is>
          <t>📌 STATUS KOREKSI JAWABAN TES:</t>
        </is>
      </c>
      <c r="G37" s="5" t="n"/>
    </row>
    <row r="38" ht="26" customHeight="1">
      <c r="B38" s="19" t="inlineStr">
        <is>
          <t>Gudang Blok B</t>
        </is>
      </c>
      <c r="C38" s="19" t="n">
        <v>380</v>
      </c>
      <c r="E38" s="28" t="n"/>
      <c r="F38" s="29">
        <f>IF(ISBLANK(E38), "⏳ Belum Diisi (Ketik Rumus di Sel Kuning E38)", IF(E38='99_KUNCI_JAWABAN'!F132, "✅ BENAR! JAWABAN TES TEPAT!", "❌ Belum Tepat (Cek Sheet Akhir: 99_KUNCI_JAWABAN)"))</f>
        <v/>
      </c>
      <c r="G38" s="5" t="n"/>
    </row>
    <row r="39">
      <c r="B39" s="19" t="inlineStr">
        <is>
          <t>Gudang Blok C</t>
        </is>
      </c>
      <c r="C39" s="19" t="n">
        <v>195</v>
      </c>
    </row>
    <row r="40">
      <c r="B40" s="19" t="inlineStr">
        <is>
          <t>Gudang Blok D</t>
        </is>
      </c>
      <c r="C40" s="19" t="n">
        <v>425</v>
      </c>
    </row>
    <row r="43" ht="22" customHeight="1">
      <c r="B43" s="26" t="inlineStr">
        <is>
          <t>📝 SOAL TES #4: Kasus Penjualan Retail &amp; Target Toko</t>
        </is>
      </c>
    </row>
    <row r="44" ht="30" customHeight="1">
      <c r="B44" s="14" t="inlineStr">
        <is>
          <t>Nama Unit / Kategori</t>
        </is>
      </c>
      <c r="C44" s="14" t="inlineStr">
        <is>
          <t>Nilai Data</t>
        </is>
      </c>
      <c r="E44" s="27" t="inlineStr">
        <is>
          <t>Persoalan Tes #4: Hitung hasil pengolahan fungsi DEVSQ untuk keempat baris data pada rentang C45:C48!</t>
        </is>
      </c>
    </row>
    <row r="45">
      <c r="B45" s="19" t="inlineStr">
        <is>
          <t>Toko Elektronik</t>
        </is>
      </c>
      <c r="C45" s="19" t="n">
        <v>85</v>
      </c>
      <c r="E45" s="14" t="inlineStr">
        <is>
          <t>✏️ KETIK RUMUS JAWABAN TES DI BAWAH:</t>
        </is>
      </c>
      <c r="F45" s="14" t="inlineStr">
        <is>
          <t>📌 STATUS KOREKSI JAWABAN TES:</t>
        </is>
      </c>
      <c r="G45" s="5" t="n"/>
    </row>
    <row r="46" ht="26" customHeight="1">
      <c r="B46" s="19" t="inlineStr">
        <is>
          <t>Toko Komputer</t>
        </is>
      </c>
      <c r="C46" s="19" t="n">
        <v>92</v>
      </c>
      <c r="E46" s="28" t="n"/>
      <c r="F46" s="29">
        <f>IF(ISBLANK(E46), "⏳ Belum Diisi (Ketik Rumus di Sel Kuning E46)", IF(E46='99_KUNCI_JAWABAN'!F133, "✅ BENAR! JAWABAN TES TEPAT!", "❌ Belum Tepat (Cek Sheet Akhir: 99_KUNCI_JAWABAN)"))</f>
        <v/>
      </c>
      <c r="G46" s="5" t="n"/>
    </row>
    <row r="47">
      <c r="B47" s="19" t="inlineStr">
        <is>
          <t>Toko Aksesoris</t>
        </is>
      </c>
      <c r="C47" s="19" t="n">
        <v>78</v>
      </c>
    </row>
    <row r="48">
      <c r="B48" s="19" t="inlineStr">
        <is>
          <t>Toko Servis</t>
        </is>
      </c>
      <c r="C48" s="19" t="n">
        <v>95</v>
      </c>
    </row>
    <row r="51" ht="22" customHeight="1">
      <c r="B51" s="26" t="inlineStr">
        <is>
          <t>📝 SOAL TES #5: Kasus Akademik Sekolah &amp; Layanan Publik</t>
        </is>
      </c>
    </row>
    <row r="52" ht="30" customHeight="1">
      <c r="B52" s="14" t="inlineStr">
        <is>
          <t>Nama Unit / Kategori</t>
        </is>
      </c>
      <c r="C52" s="14" t="inlineStr">
        <is>
          <t>Nilai Data</t>
        </is>
      </c>
      <c r="E52" s="27" t="inlineStr">
        <is>
          <t>Persoalan Tes #5: Hitung hasil pengolahan fungsi DEVSQ untuk keempat baris data pada rentang C53:C56!</t>
        </is>
      </c>
    </row>
    <row r="53">
      <c r="B53" s="19" t="inlineStr">
        <is>
          <t>Kelas 10 IPA</t>
        </is>
      </c>
      <c r="C53" s="19" t="n">
        <v>82</v>
      </c>
      <c r="E53" s="14" t="inlineStr">
        <is>
          <t>✏️ KETIK RUMUS JAWABAN TES DI BAWAH:</t>
        </is>
      </c>
      <c r="F53" s="14" t="inlineStr">
        <is>
          <t>📌 STATUS KOREKSI JAWABAN TES:</t>
        </is>
      </c>
      <c r="G53" s="5" t="n"/>
    </row>
    <row r="54" ht="26" customHeight="1">
      <c r="B54" s="19" t="inlineStr">
        <is>
          <t>Kelas 11 IPA</t>
        </is>
      </c>
      <c r="C54" s="19" t="n">
        <v>88</v>
      </c>
      <c r="E54" s="28" t="n"/>
      <c r="F54" s="29">
        <f>IF(ISBLANK(E54), "⏳ Belum Diisi (Ketik Rumus di Sel Kuning E54)", IF(E54='99_KUNCI_JAWABAN'!F134, "✅ BENAR! JAWABAN TES TEPAT!", "❌ Belum Tepat (Cek Sheet Akhir: 99_KUNCI_JAWABAN)"))</f>
        <v/>
      </c>
      <c r="G54" s="5" t="n"/>
    </row>
    <row r="55">
      <c r="B55" s="19" t="inlineStr">
        <is>
          <t>Kelas 12 IPA</t>
        </is>
      </c>
      <c r="C55" s="19" t="n">
        <v>91</v>
      </c>
    </row>
    <row r="56">
      <c r="B56" s="19" t="inlineStr">
        <is>
          <t>Kelas Unggulan</t>
        </is>
      </c>
      <c r="C56" s="19" t="n">
        <v>79</v>
      </c>
    </row>
  </sheetData>
  <mergeCells count="33">
    <mergeCell ref="E10:G10"/>
    <mergeCell ref="F11:G11"/>
    <mergeCell ref="E28:G28"/>
    <mergeCell ref="F29:G29"/>
    <mergeCell ref="C6:G6"/>
    <mergeCell ref="F54:G54"/>
    <mergeCell ref="B17:G17"/>
    <mergeCell ref="B1:G1"/>
    <mergeCell ref="C5:G5"/>
    <mergeCell ref="B19:G19"/>
    <mergeCell ref="F21:G21"/>
    <mergeCell ref="F12:G12"/>
    <mergeCell ref="F30:G30"/>
    <mergeCell ref="E36:G36"/>
    <mergeCell ref="B9:G9"/>
    <mergeCell ref="F45:G45"/>
    <mergeCell ref="B51:G51"/>
    <mergeCell ref="F38:G38"/>
    <mergeCell ref="B35:G35"/>
    <mergeCell ref="B4:G4"/>
    <mergeCell ref="F46:G46"/>
    <mergeCell ref="F22:G22"/>
    <mergeCell ref="B2:E2"/>
    <mergeCell ref="F13:G13"/>
    <mergeCell ref="B16:G16"/>
    <mergeCell ref="F37:G37"/>
    <mergeCell ref="C7:G7"/>
    <mergeCell ref="E52:G52"/>
    <mergeCell ref="B27:G27"/>
    <mergeCell ref="B43:G43"/>
    <mergeCell ref="E44:G44"/>
    <mergeCell ref="E20:G20"/>
    <mergeCell ref="F53:G53"/>
  </mergeCells>
  <hyperlinks>
    <hyperlink xmlns:r="http://schemas.openxmlformats.org/officeDocument/2006/relationships" ref="F2" r:id="rId1"/>
    <hyperlink xmlns:r="http://schemas.openxmlformats.org/officeDocument/2006/relationships" ref="G2" r:id="rId2"/>
  </hyperlink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B1:G56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22" customWidth="1" min="3" max="3"/>
    <col width="4" customWidth="1" min="4" max="4"/>
    <col width="34" customWidth="1" min="5" max="5"/>
    <col width="44" customWidth="1" min="6" max="6"/>
    <col width="28" customWidth="1" min="7" max="7"/>
  </cols>
  <sheetData>
    <row r="1" ht="30" customHeight="1">
      <c r="B1" s="10" t="inlineStr">
        <is>
          <t>📊 #027 — RUMUS EXCEL: EXPON.DIST   |   Kategori: 8. Statistik &amp; Analisis Data</t>
        </is>
      </c>
    </row>
    <row r="2" ht="22" customHeight="1">
      <c r="B2" s="11" t="inlineStr">
        <is>
          <t>1 Rumus = 1 Contoh Soal + Jawaban Benar &amp; 5 Soal Tes Mandiri (Kunci Jawaban Ada di Sheet Paling Terakhir)</t>
        </is>
      </c>
      <c r="F2" s="12" t="inlineStr">
        <is>
          <t>⬅️ Ke Daftar Isi (00_DAFTAR_ISI)</t>
        </is>
      </c>
      <c r="G2" s="3" t="inlineStr">
        <is>
          <t>🔑 Ke Kunci Jawaban (Sheet Akhir)</t>
        </is>
      </c>
    </row>
    <row r="4" ht="24" customHeight="1">
      <c r="B4" s="13" t="inlineStr">
        <is>
          <t>1️⃣ IDENTITAS RUMUS &amp; FUNGSINYA BUAT APA? (EXPON.DIST)</t>
        </is>
      </c>
    </row>
    <row r="5" ht="21" customHeight="1">
      <c r="B5" s="14" t="inlineStr">
        <is>
          <t>Nama Rumus Excel</t>
        </is>
      </c>
      <c r="C5" s="15">
        <f>EXPON.DIST(...)</f>
        <v/>
      </c>
      <c r="D5" s="5" t="n"/>
      <c r="E5" s="5" t="n"/>
      <c r="F5" s="5" t="n"/>
      <c r="G5" s="5" t="n"/>
    </row>
    <row r="6" ht="21" customHeight="1">
      <c r="B6" s="14" t="inlineStr">
        <is>
          <t>Sintaks / Pola Umum</t>
        </is>
      </c>
      <c r="C6" s="15">
        <f>EXPON.DIST(x, lambda, TRUE)</f>
        <v/>
      </c>
      <c r="D6" s="5" t="n"/>
      <c r="E6" s="5" t="n"/>
      <c r="F6" s="5" t="n"/>
      <c r="G6" s="5" t="n"/>
    </row>
    <row r="7" ht="26" customHeight="1">
      <c r="B7" s="14" t="inlineStr">
        <is>
          <t>👶 Fungsinya Buat Apa?</t>
        </is>
      </c>
      <c r="C7" s="16" t="inlineStr">
        <is>
          <t>Menghitung distribusi eksponensial (untuk memodelkan waktu tunggu antar-kejadian).</t>
        </is>
      </c>
      <c r="D7" s="5" t="n"/>
      <c r="E7" s="5" t="n"/>
      <c r="F7" s="5" t="n"/>
      <c r="G7" s="5" t="n"/>
    </row>
    <row r="9" ht="24" customHeight="1">
      <c r="B9" s="17" t="inlineStr">
        <is>
          <t>2️⃣ 1 CONTOH SOAL &amp; CONTOH JAWABAN BENAR (PELAJARI POLA RUMUS EXPON.DIST DI SINI)</t>
        </is>
      </c>
    </row>
    <row r="10">
      <c r="B10" s="18" t="inlineStr">
        <is>
          <t>Nama Parameter</t>
        </is>
      </c>
      <c r="C10" s="18" t="inlineStr">
        <is>
          <t>Nilai Parameter</t>
        </is>
      </c>
      <c r="E10" s="18" t="inlineStr">
        <is>
          <t>✅ 1 CONTOH SOAL BESERTA CONTOH RUMUS &amp; HASIL JAWABAN BENAR:</t>
        </is>
      </c>
      <c r="F10" s="5" t="n"/>
      <c r="G10" s="5" t="n"/>
    </row>
    <row r="11" ht="28" customHeight="1">
      <c r="B11" s="19" t="inlineStr">
        <is>
          <t>Nilai X (C11)</t>
        </is>
      </c>
      <c r="C11" s="19" t="n">
        <v>7</v>
      </c>
      <c r="E11" s="20" t="inlineStr">
        <is>
          <t>Contoh Soal:</t>
        </is>
      </c>
      <c r="F11" s="21" t="inlineStr">
        <is>
          <t>Hitung nilai distribusi kumulatif (TRUE) menggunakan fungsi EXPON.DIST dengan argumen C11, C12, dan TRUE!</t>
        </is>
      </c>
      <c r="G11" s="5" t="n"/>
    </row>
    <row r="12">
      <c r="B12" s="19" t="inlineStr">
        <is>
          <t>Derajat / Mean (C12)</t>
        </is>
      </c>
      <c r="C12" s="19" t="n">
        <v>10</v>
      </c>
      <c r="E12" s="20" t="inlineStr">
        <is>
          <t>Contoh Rumus Benar:</t>
        </is>
      </c>
      <c r="F12" s="22" t="inlineStr">
        <is>
          <t>'=EXPON.DIST(C11, C12, TRUE)</t>
        </is>
      </c>
      <c r="G12" s="5" t="n"/>
    </row>
    <row r="13">
      <c r="B13" s="19" t="inlineStr">
        <is>
          <t>Cadangan 1</t>
        </is>
      </c>
      <c r="C13" s="19" t="n">
        <v>1</v>
      </c>
      <c r="E13" s="20" t="inlineStr">
        <is>
          <t>Contoh Hasil Benar:</t>
        </is>
      </c>
      <c r="F13" s="23">
        <f>EXPON.DIST(C11, C12, TRUE)</f>
        <v/>
      </c>
      <c r="G13" s="5" t="n"/>
    </row>
    <row r="14">
      <c r="B14" s="19" t="inlineStr">
        <is>
          <t>Cadangan 2</t>
        </is>
      </c>
      <c r="C14" s="19" t="n">
        <v>1</v>
      </c>
    </row>
    <row r="16" ht="26" customHeight="1">
      <c r="B16" s="24" t="inlineStr">
        <is>
          <t>3️⃣ 5 SOAL TES DUNIA NYATA — KERJAKAN DI KOTAK KUNING (TANPA KUNCI RUMUS / HASIL DI SINI!)</t>
        </is>
      </c>
    </row>
    <row r="17" ht="20" customHeight="1">
      <c r="B17" s="25" t="inlineStr">
        <is>
          <t>📌 Catatan Tes: Soal Tes #1 s/d #5 di bawah ini tidak menampilkan kunci rumus maupun hasil. Kunci jawaban lengkap tersedia di sheet paling terakhir (99_KUNCI_JAWABAN).</t>
        </is>
      </c>
    </row>
    <row r="19" ht="22" customHeight="1">
      <c r="B19" s="26" t="inlineStr">
        <is>
          <t>📝 SOAL TES #1: Kasus Keuangan &amp; Akuntansi Kantor</t>
        </is>
      </c>
    </row>
    <row r="20" ht="30" customHeight="1">
      <c r="B20" s="14" t="inlineStr">
        <is>
          <t>Nama Parameter</t>
        </is>
      </c>
      <c r="C20" s="14" t="inlineStr">
        <is>
          <t>Nilai Parameter</t>
        </is>
      </c>
      <c r="E20" s="27" t="inlineStr">
        <is>
          <t>Persoalan Tes #1: Hitung nilai distribusi kumulatif (TRUE) menggunakan fungsi EXPON.DIST dengan argumen C21, C22, dan TRUE!</t>
        </is>
      </c>
    </row>
    <row r="21">
      <c r="B21" s="19" t="inlineStr">
        <is>
          <t>Nilai X (C21)</t>
        </is>
      </c>
      <c r="C21" s="19" t="n">
        <v>2</v>
      </c>
      <c r="E21" s="14" t="inlineStr">
        <is>
          <t>✏️ KETIK RUMUS JAWABAN TES DI BAWAH:</t>
        </is>
      </c>
      <c r="F21" s="14" t="inlineStr">
        <is>
          <t>📌 STATUS KOREKSI JAWABAN TES:</t>
        </is>
      </c>
      <c r="G21" s="5" t="n"/>
    </row>
    <row r="22" ht="26" customHeight="1">
      <c r="B22" s="19" t="inlineStr">
        <is>
          <t>Derajat / Mean (C22)</t>
        </is>
      </c>
      <c r="C22" s="19" t="n">
        <v>5</v>
      </c>
      <c r="E22" s="28" t="n"/>
      <c r="F22" s="29">
        <f>IF(ISBLANK(E22), "⏳ Belum Diisi (Ketik Rumus di Sel Kuning E22)", IF(E22='99_KUNCI_JAWABAN'!F135, "✅ BENAR! JAWABAN TES TEPAT!", "❌ Belum Tepat (Cek Sheet Akhir: 99_KUNCI_JAWABAN)"))</f>
        <v/>
      </c>
      <c r="G22" s="5" t="n"/>
    </row>
    <row r="23">
      <c r="B23" s="19" t="inlineStr">
        <is>
          <t>Cadangan 1</t>
        </is>
      </c>
      <c r="C23" s="19" t="n">
        <v>1</v>
      </c>
    </row>
    <row r="24">
      <c r="B24" s="19" t="inlineStr">
        <is>
          <t>Cadangan 2</t>
        </is>
      </c>
      <c r="C24" s="19" t="n">
        <v>1</v>
      </c>
    </row>
    <row r="27" ht="22" customHeight="1">
      <c r="B27" s="26" t="inlineStr">
        <is>
          <t>📝 SOAL TES #2: Kasus HRD, Gaji &amp; Lembur Karyawan</t>
        </is>
      </c>
    </row>
    <row r="28" ht="30" customHeight="1">
      <c r="B28" s="14" t="inlineStr">
        <is>
          <t>Nama Parameter</t>
        </is>
      </c>
      <c r="C28" s="14" t="inlineStr">
        <is>
          <t>Nilai Parameter</t>
        </is>
      </c>
      <c r="E28" s="27" t="inlineStr">
        <is>
          <t>Persoalan Tes #2: Hitung nilai distribusi kumulatif (TRUE) menggunakan fungsi EXPON.DIST dengan argumen C29, C30, dan TRUE!</t>
        </is>
      </c>
    </row>
    <row r="29">
      <c r="B29" s="19" t="inlineStr">
        <is>
          <t>Nilai X (C29)</t>
        </is>
      </c>
      <c r="C29" s="19" t="n">
        <v>3</v>
      </c>
      <c r="E29" s="14" t="inlineStr">
        <is>
          <t>✏️ KETIK RUMUS JAWABAN TES DI BAWAH:</t>
        </is>
      </c>
      <c r="F29" s="14" t="inlineStr">
        <is>
          <t>📌 STATUS KOREKSI JAWABAN TES:</t>
        </is>
      </c>
      <c r="G29" s="5" t="n"/>
    </row>
    <row r="30" ht="26" customHeight="1">
      <c r="B30" s="19" t="inlineStr">
        <is>
          <t>Derajat / Mean (C30)</t>
        </is>
      </c>
      <c r="C30" s="19" t="n">
        <v>6</v>
      </c>
      <c r="E30" s="28" t="n"/>
      <c r="F30" s="29">
        <f>IF(ISBLANK(E30), "⏳ Belum Diisi (Ketik Rumus di Sel Kuning E30)", IF(E30='99_KUNCI_JAWABAN'!F136, "✅ BENAR! JAWABAN TES TEPAT!", "❌ Belum Tepat (Cek Sheet Akhir: 99_KUNCI_JAWABAN)"))</f>
        <v/>
      </c>
      <c r="G30" s="5" t="n"/>
    </row>
    <row r="31">
      <c r="B31" s="19" t="inlineStr">
        <is>
          <t>Cadangan 1</t>
        </is>
      </c>
      <c r="C31" s="19" t="n">
        <v>1</v>
      </c>
    </row>
    <row r="32">
      <c r="B32" s="19" t="inlineStr">
        <is>
          <t>Cadangan 2</t>
        </is>
      </c>
      <c r="C32" s="19" t="n">
        <v>1</v>
      </c>
    </row>
    <row r="35" ht="22" customHeight="1">
      <c r="B35" s="26" t="inlineStr">
        <is>
          <t>📝 SOAL TES #3: Kasus Logistik &amp; Stok Gudang Utama</t>
        </is>
      </c>
    </row>
    <row r="36" ht="30" customHeight="1">
      <c r="B36" s="14" t="inlineStr">
        <is>
          <t>Nama Parameter</t>
        </is>
      </c>
      <c r="C36" s="14" t="inlineStr">
        <is>
          <t>Nilai Parameter</t>
        </is>
      </c>
      <c r="E36" s="27" t="inlineStr">
        <is>
          <t>Persoalan Tes #3: Hitung nilai distribusi kumulatif (TRUE) menggunakan fungsi EXPON.DIST dengan argumen C37, C38, dan TRUE!</t>
        </is>
      </c>
    </row>
    <row r="37">
      <c r="B37" s="19" t="inlineStr">
        <is>
          <t>Nilai X (C37)</t>
        </is>
      </c>
      <c r="C37" s="19" t="n">
        <v>4</v>
      </c>
      <c r="E37" s="14" t="inlineStr">
        <is>
          <t>✏️ KETIK RUMUS JAWABAN TES DI BAWAH:</t>
        </is>
      </c>
      <c r="F37" s="14" t="inlineStr">
        <is>
          <t>📌 STATUS KOREKSI JAWABAN TES:</t>
        </is>
      </c>
      <c r="G37" s="5" t="n"/>
    </row>
    <row r="38" ht="26" customHeight="1">
      <c r="B38" s="19" t="inlineStr">
        <is>
          <t>Derajat / Mean (C38)</t>
        </is>
      </c>
      <c r="C38" s="19" t="n">
        <v>7</v>
      </c>
      <c r="E38" s="28" t="n"/>
      <c r="F38" s="29">
        <f>IF(ISBLANK(E38), "⏳ Belum Diisi (Ketik Rumus di Sel Kuning E38)", IF(E38='99_KUNCI_JAWABAN'!F137, "✅ BENAR! JAWABAN TES TEPAT!", "❌ Belum Tepat (Cek Sheet Akhir: 99_KUNCI_JAWABAN)"))</f>
        <v/>
      </c>
      <c r="G38" s="5" t="n"/>
    </row>
    <row r="39">
      <c r="B39" s="19" t="inlineStr">
        <is>
          <t>Cadangan 1</t>
        </is>
      </c>
      <c r="C39" s="19" t="n">
        <v>1</v>
      </c>
    </row>
    <row r="40">
      <c r="B40" s="19" t="inlineStr">
        <is>
          <t>Cadangan 2</t>
        </is>
      </c>
      <c r="C40" s="19" t="n">
        <v>1</v>
      </c>
    </row>
    <row r="43" ht="22" customHeight="1">
      <c r="B43" s="26" t="inlineStr">
        <is>
          <t>📝 SOAL TES #4: Kasus Penjualan Retail &amp; Target Toko</t>
        </is>
      </c>
    </row>
    <row r="44" ht="30" customHeight="1">
      <c r="B44" s="14" t="inlineStr">
        <is>
          <t>Nama Parameter</t>
        </is>
      </c>
      <c r="C44" s="14" t="inlineStr">
        <is>
          <t>Nilai Parameter</t>
        </is>
      </c>
      <c r="E44" s="27" t="inlineStr">
        <is>
          <t>Persoalan Tes #4: Hitung nilai distribusi kumulatif (TRUE) menggunakan fungsi EXPON.DIST dengan argumen C45, C46, dan TRUE!</t>
        </is>
      </c>
    </row>
    <row r="45">
      <c r="B45" s="19" t="inlineStr">
        <is>
          <t>Nilai X (C45)</t>
        </is>
      </c>
      <c r="C45" s="19" t="n">
        <v>5</v>
      </c>
      <c r="E45" s="14" t="inlineStr">
        <is>
          <t>✏️ KETIK RUMUS JAWABAN TES DI BAWAH:</t>
        </is>
      </c>
      <c r="F45" s="14" t="inlineStr">
        <is>
          <t>📌 STATUS KOREKSI JAWABAN TES:</t>
        </is>
      </c>
      <c r="G45" s="5" t="n"/>
    </row>
    <row r="46" ht="26" customHeight="1">
      <c r="B46" s="19" t="inlineStr">
        <is>
          <t>Derajat / Mean (C46)</t>
        </is>
      </c>
      <c r="C46" s="19" t="n">
        <v>8</v>
      </c>
      <c r="E46" s="28" t="n"/>
      <c r="F46" s="29">
        <f>IF(ISBLANK(E46), "⏳ Belum Diisi (Ketik Rumus di Sel Kuning E46)", IF(E46='99_KUNCI_JAWABAN'!F138, "✅ BENAR! JAWABAN TES TEPAT!", "❌ Belum Tepat (Cek Sheet Akhir: 99_KUNCI_JAWABAN)"))</f>
        <v/>
      </c>
      <c r="G46" s="5" t="n"/>
    </row>
    <row r="47">
      <c r="B47" s="19" t="inlineStr">
        <is>
          <t>Cadangan 1</t>
        </is>
      </c>
      <c r="C47" s="19" t="n">
        <v>1</v>
      </c>
    </row>
    <row r="48">
      <c r="B48" s="19" t="inlineStr">
        <is>
          <t>Cadangan 2</t>
        </is>
      </c>
      <c r="C48" s="19" t="n">
        <v>1</v>
      </c>
    </row>
    <row r="51" ht="22" customHeight="1">
      <c r="B51" s="26" t="inlineStr">
        <is>
          <t>📝 SOAL TES #5: Kasus Akademik Sekolah &amp; Layanan Publik</t>
        </is>
      </c>
    </row>
    <row r="52" ht="30" customHeight="1">
      <c r="B52" s="14" t="inlineStr">
        <is>
          <t>Nama Parameter</t>
        </is>
      </c>
      <c r="C52" s="14" t="inlineStr">
        <is>
          <t>Nilai Parameter</t>
        </is>
      </c>
      <c r="E52" s="27" t="inlineStr">
        <is>
          <t>Persoalan Tes #5: Hitung nilai distribusi kumulatif (TRUE) menggunakan fungsi EXPON.DIST dengan argumen C53, C54, dan TRUE!</t>
        </is>
      </c>
    </row>
    <row r="53">
      <c r="B53" s="19" t="inlineStr">
        <is>
          <t>Nilai X (C53)</t>
        </is>
      </c>
      <c r="C53" s="19" t="n">
        <v>6</v>
      </c>
      <c r="E53" s="14" t="inlineStr">
        <is>
          <t>✏️ KETIK RUMUS JAWABAN TES DI BAWAH:</t>
        </is>
      </c>
      <c r="F53" s="14" t="inlineStr">
        <is>
          <t>📌 STATUS KOREKSI JAWABAN TES:</t>
        </is>
      </c>
      <c r="G53" s="5" t="n"/>
    </row>
    <row r="54" ht="26" customHeight="1">
      <c r="B54" s="19" t="inlineStr">
        <is>
          <t>Derajat / Mean (C54)</t>
        </is>
      </c>
      <c r="C54" s="19" t="n">
        <v>9</v>
      </c>
      <c r="E54" s="28" t="n"/>
      <c r="F54" s="29">
        <f>IF(ISBLANK(E54), "⏳ Belum Diisi (Ketik Rumus di Sel Kuning E54)", IF(E54='99_KUNCI_JAWABAN'!F139, "✅ BENAR! JAWABAN TES TEPAT!", "❌ Belum Tepat (Cek Sheet Akhir: 99_KUNCI_JAWABAN)"))</f>
        <v/>
      </c>
      <c r="G54" s="5" t="n"/>
    </row>
    <row r="55">
      <c r="B55" s="19" t="inlineStr">
        <is>
          <t>Cadangan 1</t>
        </is>
      </c>
      <c r="C55" s="19" t="n">
        <v>1</v>
      </c>
    </row>
    <row r="56">
      <c r="B56" s="19" t="inlineStr">
        <is>
          <t>Cadangan 2</t>
        </is>
      </c>
      <c r="C56" s="19" t="n">
        <v>1</v>
      </c>
    </row>
  </sheetData>
  <mergeCells count="33">
    <mergeCell ref="E10:G10"/>
    <mergeCell ref="F11:G11"/>
    <mergeCell ref="E28:G28"/>
    <mergeCell ref="F29:G29"/>
    <mergeCell ref="C6:G6"/>
    <mergeCell ref="F54:G54"/>
    <mergeCell ref="B17:G17"/>
    <mergeCell ref="B1:G1"/>
    <mergeCell ref="C5:G5"/>
    <mergeCell ref="B19:G19"/>
    <mergeCell ref="F21:G21"/>
    <mergeCell ref="F12:G12"/>
    <mergeCell ref="F30:G30"/>
    <mergeCell ref="E36:G36"/>
    <mergeCell ref="B9:G9"/>
    <mergeCell ref="F45:G45"/>
    <mergeCell ref="B51:G51"/>
    <mergeCell ref="F38:G38"/>
    <mergeCell ref="B35:G35"/>
    <mergeCell ref="B4:G4"/>
    <mergeCell ref="F46:G46"/>
    <mergeCell ref="F22:G22"/>
    <mergeCell ref="B2:E2"/>
    <mergeCell ref="F13:G13"/>
    <mergeCell ref="B16:G16"/>
    <mergeCell ref="F37:G37"/>
    <mergeCell ref="C7:G7"/>
    <mergeCell ref="E52:G52"/>
    <mergeCell ref="B27:G27"/>
    <mergeCell ref="B43:G43"/>
    <mergeCell ref="E44:G44"/>
    <mergeCell ref="E20:G20"/>
    <mergeCell ref="F53:G53"/>
  </mergeCells>
  <hyperlinks>
    <hyperlink xmlns:r="http://schemas.openxmlformats.org/officeDocument/2006/relationships" ref="F2" r:id="rId1"/>
    <hyperlink xmlns:r="http://schemas.openxmlformats.org/officeDocument/2006/relationships" ref="G2" r:id="rId2"/>
  </hyperlink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B1:G56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22" customWidth="1" min="3" max="3"/>
    <col width="4" customWidth="1" min="4" max="4"/>
    <col width="34" customWidth="1" min="5" max="5"/>
    <col width="44" customWidth="1" min="6" max="6"/>
    <col width="28" customWidth="1" min="7" max="7"/>
  </cols>
  <sheetData>
    <row r="1" ht="30" customHeight="1">
      <c r="B1" s="10" t="inlineStr">
        <is>
          <t>📊 #028 — RUMUS EXCEL: F.DIST   |   Kategori: 8. Statistik &amp; Analisis Data</t>
        </is>
      </c>
    </row>
    <row r="2" ht="22" customHeight="1">
      <c r="B2" s="11" t="inlineStr">
        <is>
          <t>1 Rumus = 1 Contoh Soal + Jawaban Benar &amp; 5 Soal Tes Mandiri (Kunci Jawaban Ada di Sheet Paling Terakhir)</t>
        </is>
      </c>
      <c r="F2" s="12" t="inlineStr">
        <is>
          <t>⬅️ Ke Daftar Isi (00_DAFTAR_ISI)</t>
        </is>
      </c>
      <c r="G2" s="3" t="inlineStr">
        <is>
          <t>🔑 Ke Kunci Jawaban (Sheet Akhir)</t>
        </is>
      </c>
    </row>
    <row r="4" ht="24" customHeight="1">
      <c r="B4" s="13" t="inlineStr">
        <is>
          <t>1️⃣ IDENTITAS RUMUS &amp; FUNGSINYA BUAT APA? (F.DIST)</t>
        </is>
      </c>
    </row>
    <row r="5" ht="21" customHeight="1">
      <c r="B5" s="14" t="inlineStr">
        <is>
          <t>Nama Rumus Excel</t>
        </is>
      </c>
      <c r="C5" s="15">
        <f>F.DIST(...)</f>
        <v/>
      </c>
      <c r="D5" s="5" t="n"/>
      <c r="E5" s="5" t="n"/>
      <c r="F5" s="5" t="n"/>
      <c r="G5" s="5" t="n"/>
    </row>
    <row r="6" ht="21" customHeight="1">
      <c r="B6" s="14" t="inlineStr">
        <is>
          <t>Sintaks / Pola Umum</t>
        </is>
      </c>
      <c r="C6" s="15">
        <f>F.DIST(x, deg_freedom1, deg_freedom2, TRUE)</f>
        <v/>
      </c>
      <c r="D6" s="5" t="n"/>
      <c r="E6" s="5" t="n"/>
      <c r="F6" s="5" t="n"/>
      <c r="G6" s="5" t="n"/>
    </row>
    <row r="7" ht="26" customHeight="1">
      <c r="B7" s="14" t="inlineStr">
        <is>
          <t>👶 Fungsinya Buat Apa?</t>
        </is>
      </c>
      <c r="C7" s="16" t="inlineStr">
        <is>
          <t>Menghitung distribusi probabilitas F untuk membandingkan tingkat keragaman.</t>
        </is>
      </c>
      <c r="D7" s="5" t="n"/>
      <c r="E7" s="5" t="n"/>
      <c r="F7" s="5" t="n"/>
      <c r="G7" s="5" t="n"/>
    </row>
    <row r="9" ht="24" customHeight="1">
      <c r="B9" s="17" t="inlineStr">
        <is>
          <t>2️⃣ 1 CONTOH SOAL &amp; CONTOH JAWABAN BENAR (PELAJARI POLA RUMUS F.DIST DI SINI)</t>
        </is>
      </c>
    </row>
    <row r="10">
      <c r="B10" s="18" t="inlineStr">
        <is>
          <t>Parameter F</t>
        </is>
      </c>
      <c r="C10" s="18" t="inlineStr">
        <is>
          <t>Nilai Input</t>
        </is>
      </c>
      <c r="E10" s="18" t="inlineStr">
        <is>
          <t>✅ 1 CONTOH SOAL BESERTA CONTOH RUMUS &amp; HASIL JAWABAN BENAR:</t>
        </is>
      </c>
      <c r="F10" s="5" t="n"/>
      <c r="G10" s="5" t="n"/>
    </row>
    <row r="11" ht="28" customHeight="1">
      <c r="B11" s="19" t="inlineStr">
        <is>
          <t>Nilai X (C11)</t>
        </is>
      </c>
      <c r="C11" s="19" t="n">
        <v>2.8</v>
      </c>
      <c r="E11" s="20" t="inlineStr">
        <is>
          <t>Contoh Soal:</t>
        </is>
      </c>
      <c r="F11" s="21" t="inlineStr">
        <is>
          <t>Hitung distribusi F kumulatif menggunakan fungsi F.DIST dengan argumen C11, C12, C13, dan TRUE!</t>
        </is>
      </c>
      <c r="G11" s="5" t="n"/>
    </row>
    <row r="12">
      <c r="B12" s="19" t="inlineStr">
        <is>
          <t>Deg Freedom 1 (C12)</t>
        </is>
      </c>
      <c r="C12" s="19" t="n">
        <v>4</v>
      </c>
      <c r="E12" s="20" t="inlineStr">
        <is>
          <t>Contoh Rumus Benar:</t>
        </is>
      </c>
      <c r="F12" s="22" t="inlineStr">
        <is>
          <t>'=F.DIST(C11, C12, C13, TRUE)</t>
        </is>
      </c>
      <c r="G12" s="5" t="n"/>
    </row>
    <row r="13">
      <c r="B13" s="19" t="inlineStr">
        <is>
          <t>Deg Freedom 2 (C13)</t>
        </is>
      </c>
      <c r="C13" s="19" t="n">
        <v>15</v>
      </c>
      <c r="E13" s="20" t="inlineStr">
        <is>
          <t>Contoh Hasil Benar:</t>
        </is>
      </c>
      <c r="F13" s="23">
        <f>F.DIST(C11, C12, C13, TRUE)</f>
        <v/>
      </c>
      <c r="G13" s="5" t="n"/>
    </row>
    <row r="14">
      <c r="B14" s="19" t="inlineStr">
        <is>
          <t>Kumulatif</t>
        </is>
      </c>
      <c r="C14" s="19" t="n">
        <v>1</v>
      </c>
    </row>
    <row r="16" ht="26" customHeight="1">
      <c r="B16" s="24" t="inlineStr">
        <is>
          <t>3️⃣ 5 SOAL TES DUNIA NYATA — KERJAKAN DI KOTAK KUNING (TANPA KUNCI RUMUS / HASIL DI SINI!)</t>
        </is>
      </c>
    </row>
    <row r="17" ht="20" customHeight="1">
      <c r="B17" s="25" t="inlineStr">
        <is>
          <t>📌 Catatan Tes: Soal Tes #1 s/d #5 di bawah ini tidak menampilkan kunci rumus maupun hasil. Kunci jawaban lengkap tersedia di sheet paling terakhir (99_KUNCI_JAWABAN).</t>
        </is>
      </c>
    </row>
    <row r="19" ht="22" customHeight="1">
      <c r="B19" s="26" t="inlineStr">
        <is>
          <t>📝 SOAL TES #1: Kasus Keuangan &amp; Akuntansi Kantor</t>
        </is>
      </c>
    </row>
    <row r="20" ht="30" customHeight="1">
      <c r="B20" s="14" t="inlineStr">
        <is>
          <t>Parameter F</t>
        </is>
      </c>
      <c r="C20" s="14" t="inlineStr">
        <is>
          <t>Nilai Input</t>
        </is>
      </c>
      <c r="E20" s="27" t="inlineStr">
        <is>
          <t>Persoalan Tes #1: Hitung distribusi F kumulatif menggunakan fungsi F.DIST dengan argumen C21, C22, C23, dan TRUE!</t>
        </is>
      </c>
    </row>
    <row r="21">
      <c r="B21" s="19" t="inlineStr">
        <is>
          <t>Nilai X (C21)</t>
        </is>
      </c>
      <c r="C21" s="19" t="n">
        <v>1.8</v>
      </c>
      <c r="E21" s="14" t="inlineStr">
        <is>
          <t>✏️ KETIK RUMUS JAWABAN TES DI BAWAH:</t>
        </is>
      </c>
      <c r="F21" s="14" t="inlineStr">
        <is>
          <t>📌 STATUS KOREKSI JAWABAN TES:</t>
        </is>
      </c>
      <c r="G21" s="5" t="n"/>
    </row>
    <row r="22" ht="26" customHeight="1">
      <c r="B22" s="19" t="inlineStr">
        <is>
          <t>Deg Freedom 1 (C22)</t>
        </is>
      </c>
      <c r="C22" s="19" t="n">
        <v>4</v>
      </c>
      <c r="E22" s="28" t="n"/>
      <c r="F22" s="29">
        <f>IF(ISBLANK(E22), "⏳ Belum Diisi (Ketik Rumus di Sel Kuning E22)", IF(E22='99_KUNCI_JAWABAN'!F140, "✅ BENAR! JAWABAN TES TEPAT!", "❌ Belum Tepat (Cek Sheet Akhir: 99_KUNCI_JAWABAN)"))</f>
        <v/>
      </c>
      <c r="G22" s="5" t="n"/>
    </row>
    <row r="23">
      <c r="B23" s="19" t="inlineStr">
        <is>
          <t>Deg Freedom 2 (C23)</t>
        </is>
      </c>
      <c r="C23" s="19" t="n">
        <v>10</v>
      </c>
    </row>
    <row r="24">
      <c r="B24" s="19" t="inlineStr">
        <is>
          <t>Kumulatif</t>
        </is>
      </c>
      <c r="C24" s="19" t="n">
        <v>1</v>
      </c>
    </row>
    <row r="27" ht="22" customHeight="1">
      <c r="B27" s="26" t="inlineStr">
        <is>
          <t>📝 SOAL TES #2: Kasus HRD, Gaji &amp; Lembur Karyawan</t>
        </is>
      </c>
    </row>
    <row r="28" ht="30" customHeight="1">
      <c r="B28" s="14" t="inlineStr">
        <is>
          <t>Parameter F</t>
        </is>
      </c>
      <c r="C28" s="14" t="inlineStr">
        <is>
          <t>Nilai Input</t>
        </is>
      </c>
      <c r="E28" s="27" t="inlineStr">
        <is>
          <t>Persoalan Tes #2: Hitung distribusi F kumulatif menggunakan fungsi F.DIST dengan argumen C29, C30, C31, dan TRUE!</t>
        </is>
      </c>
    </row>
    <row r="29">
      <c r="B29" s="19" t="inlineStr">
        <is>
          <t>Nilai X (C29)</t>
        </is>
      </c>
      <c r="C29" s="19" t="n">
        <v>2</v>
      </c>
      <c r="E29" s="14" t="inlineStr">
        <is>
          <t>✏️ KETIK RUMUS JAWABAN TES DI BAWAH:</t>
        </is>
      </c>
      <c r="F29" s="14" t="inlineStr">
        <is>
          <t>📌 STATUS KOREKSI JAWABAN TES:</t>
        </is>
      </c>
      <c r="G29" s="5" t="n"/>
    </row>
    <row r="30" ht="26" customHeight="1">
      <c r="B30" s="19" t="inlineStr">
        <is>
          <t>Deg Freedom 1 (C30)</t>
        </is>
      </c>
      <c r="C30" s="19" t="n">
        <v>4</v>
      </c>
      <c r="E30" s="28" t="n"/>
      <c r="F30" s="29">
        <f>IF(ISBLANK(E30), "⏳ Belum Diisi (Ketik Rumus di Sel Kuning E30)", IF(E30='99_KUNCI_JAWABAN'!F141, "✅ BENAR! JAWABAN TES TEPAT!", "❌ Belum Tepat (Cek Sheet Akhir: 99_KUNCI_JAWABAN)"))</f>
        <v/>
      </c>
      <c r="G30" s="5" t="n"/>
    </row>
    <row r="31">
      <c r="B31" s="19" t="inlineStr">
        <is>
          <t>Deg Freedom 2 (C31)</t>
        </is>
      </c>
      <c r="C31" s="19" t="n">
        <v>11</v>
      </c>
    </row>
    <row r="32">
      <c r="B32" s="19" t="inlineStr">
        <is>
          <t>Kumulatif</t>
        </is>
      </c>
      <c r="C32" s="19" t="n">
        <v>1</v>
      </c>
    </row>
    <row r="35" ht="22" customHeight="1">
      <c r="B35" s="26" t="inlineStr">
        <is>
          <t>📝 SOAL TES #3: Kasus Logistik &amp; Stok Gudang Utama</t>
        </is>
      </c>
    </row>
    <row r="36" ht="30" customHeight="1">
      <c r="B36" s="14" t="inlineStr">
        <is>
          <t>Parameter F</t>
        </is>
      </c>
      <c r="C36" s="14" t="inlineStr">
        <is>
          <t>Nilai Input</t>
        </is>
      </c>
      <c r="E36" s="27" t="inlineStr">
        <is>
          <t>Persoalan Tes #3: Hitung distribusi F kumulatif menggunakan fungsi F.DIST dengan argumen C37, C38, C39, dan TRUE!</t>
        </is>
      </c>
    </row>
    <row r="37">
      <c r="B37" s="19" t="inlineStr">
        <is>
          <t>Nilai X (C37)</t>
        </is>
      </c>
      <c r="C37" s="19" t="n">
        <v>2.2</v>
      </c>
      <c r="E37" s="14" t="inlineStr">
        <is>
          <t>✏️ KETIK RUMUS JAWABAN TES DI BAWAH:</t>
        </is>
      </c>
      <c r="F37" s="14" t="inlineStr">
        <is>
          <t>📌 STATUS KOREKSI JAWABAN TES:</t>
        </is>
      </c>
      <c r="G37" s="5" t="n"/>
    </row>
    <row r="38" ht="26" customHeight="1">
      <c r="B38" s="19" t="inlineStr">
        <is>
          <t>Deg Freedom 1 (C38)</t>
        </is>
      </c>
      <c r="C38" s="19" t="n">
        <v>4</v>
      </c>
      <c r="E38" s="28" t="n"/>
      <c r="F38" s="29">
        <f>IF(ISBLANK(E38), "⏳ Belum Diisi (Ketik Rumus di Sel Kuning E38)", IF(E38='99_KUNCI_JAWABAN'!F142, "✅ BENAR! JAWABAN TES TEPAT!", "❌ Belum Tepat (Cek Sheet Akhir: 99_KUNCI_JAWABAN)"))</f>
        <v/>
      </c>
      <c r="G38" s="5" t="n"/>
    </row>
    <row r="39">
      <c r="B39" s="19" t="inlineStr">
        <is>
          <t>Deg Freedom 2 (C39)</t>
        </is>
      </c>
      <c r="C39" s="19" t="n">
        <v>12</v>
      </c>
    </row>
    <row r="40">
      <c r="B40" s="19" t="inlineStr">
        <is>
          <t>Kumulatif</t>
        </is>
      </c>
      <c r="C40" s="19" t="n">
        <v>1</v>
      </c>
    </row>
    <row r="43" ht="22" customHeight="1">
      <c r="B43" s="26" t="inlineStr">
        <is>
          <t>📝 SOAL TES #4: Kasus Penjualan Retail &amp; Target Toko</t>
        </is>
      </c>
    </row>
    <row r="44" ht="30" customHeight="1">
      <c r="B44" s="14" t="inlineStr">
        <is>
          <t>Parameter F</t>
        </is>
      </c>
      <c r="C44" s="14" t="inlineStr">
        <is>
          <t>Nilai Input</t>
        </is>
      </c>
      <c r="E44" s="27" t="inlineStr">
        <is>
          <t>Persoalan Tes #4: Hitung distribusi F kumulatif menggunakan fungsi F.DIST dengan argumen C45, C46, C47, dan TRUE!</t>
        </is>
      </c>
    </row>
    <row r="45">
      <c r="B45" s="19" t="inlineStr">
        <is>
          <t>Nilai X (C45)</t>
        </is>
      </c>
      <c r="C45" s="19" t="n">
        <v>2.4</v>
      </c>
      <c r="E45" s="14" t="inlineStr">
        <is>
          <t>✏️ KETIK RUMUS JAWABAN TES DI BAWAH:</t>
        </is>
      </c>
      <c r="F45" s="14" t="inlineStr">
        <is>
          <t>📌 STATUS KOREKSI JAWABAN TES:</t>
        </is>
      </c>
      <c r="G45" s="5" t="n"/>
    </row>
    <row r="46" ht="26" customHeight="1">
      <c r="B46" s="19" t="inlineStr">
        <is>
          <t>Deg Freedom 1 (C46)</t>
        </is>
      </c>
      <c r="C46" s="19" t="n">
        <v>4</v>
      </c>
      <c r="E46" s="28" t="n"/>
      <c r="F46" s="29">
        <f>IF(ISBLANK(E46), "⏳ Belum Diisi (Ketik Rumus di Sel Kuning E46)", IF(E46='99_KUNCI_JAWABAN'!F143, "✅ BENAR! JAWABAN TES TEPAT!", "❌ Belum Tepat (Cek Sheet Akhir: 99_KUNCI_JAWABAN)"))</f>
        <v/>
      </c>
      <c r="G46" s="5" t="n"/>
    </row>
    <row r="47">
      <c r="B47" s="19" t="inlineStr">
        <is>
          <t>Deg Freedom 2 (C47)</t>
        </is>
      </c>
      <c r="C47" s="19" t="n">
        <v>13</v>
      </c>
    </row>
    <row r="48">
      <c r="B48" s="19" t="inlineStr">
        <is>
          <t>Kumulatif</t>
        </is>
      </c>
      <c r="C48" s="19" t="n">
        <v>1</v>
      </c>
    </row>
    <row r="51" ht="22" customHeight="1">
      <c r="B51" s="26" t="inlineStr">
        <is>
          <t>📝 SOAL TES #5: Kasus Akademik Sekolah &amp; Layanan Publik</t>
        </is>
      </c>
    </row>
    <row r="52" ht="30" customHeight="1">
      <c r="B52" s="14" t="inlineStr">
        <is>
          <t>Parameter F</t>
        </is>
      </c>
      <c r="C52" s="14" t="inlineStr">
        <is>
          <t>Nilai Input</t>
        </is>
      </c>
      <c r="E52" s="27" t="inlineStr">
        <is>
          <t>Persoalan Tes #5: Hitung distribusi F kumulatif menggunakan fungsi F.DIST dengan argumen C53, C54, C55, dan TRUE!</t>
        </is>
      </c>
    </row>
    <row r="53">
      <c r="B53" s="19" t="inlineStr">
        <is>
          <t>Nilai X (C53)</t>
        </is>
      </c>
      <c r="C53" s="19" t="n">
        <v>2.6</v>
      </c>
      <c r="E53" s="14" t="inlineStr">
        <is>
          <t>✏️ KETIK RUMUS JAWABAN TES DI BAWAH:</t>
        </is>
      </c>
      <c r="F53" s="14" t="inlineStr">
        <is>
          <t>📌 STATUS KOREKSI JAWABAN TES:</t>
        </is>
      </c>
      <c r="G53" s="5" t="n"/>
    </row>
    <row r="54" ht="26" customHeight="1">
      <c r="B54" s="19" t="inlineStr">
        <is>
          <t>Deg Freedom 1 (C54)</t>
        </is>
      </c>
      <c r="C54" s="19" t="n">
        <v>4</v>
      </c>
      <c r="E54" s="28" t="n"/>
      <c r="F54" s="29">
        <f>IF(ISBLANK(E54), "⏳ Belum Diisi (Ketik Rumus di Sel Kuning E54)", IF(E54='99_KUNCI_JAWABAN'!F144, "✅ BENAR! JAWABAN TES TEPAT!", "❌ Belum Tepat (Cek Sheet Akhir: 99_KUNCI_JAWABAN)"))</f>
        <v/>
      </c>
      <c r="G54" s="5" t="n"/>
    </row>
    <row r="55">
      <c r="B55" s="19" t="inlineStr">
        <is>
          <t>Deg Freedom 2 (C55)</t>
        </is>
      </c>
      <c r="C55" s="19" t="n">
        <v>14</v>
      </c>
    </row>
    <row r="56">
      <c r="B56" s="19" t="inlineStr">
        <is>
          <t>Kumulatif</t>
        </is>
      </c>
      <c r="C56" s="19" t="n">
        <v>1</v>
      </c>
    </row>
  </sheetData>
  <mergeCells count="33">
    <mergeCell ref="E10:G10"/>
    <mergeCell ref="F11:G11"/>
    <mergeCell ref="E28:G28"/>
    <mergeCell ref="F29:G29"/>
    <mergeCell ref="C6:G6"/>
    <mergeCell ref="F54:G54"/>
    <mergeCell ref="B17:G17"/>
    <mergeCell ref="B1:G1"/>
    <mergeCell ref="C5:G5"/>
    <mergeCell ref="B19:G19"/>
    <mergeCell ref="F21:G21"/>
    <mergeCell ref="F12:G12"/>
    <mergeCell ref="F30:G30"/>
    <mergeCell ref="E36:G36"/>
    <mergeCell ref="B9:G9"/>
    <mergeCell ref="F45:G45"/>
    <mergeCell ref="B51:G51"/>
    <mergeCell ref="F38:G38"/>
    <mergeCell ref="B35:G35"/>
    <mergeCell ref="B4:G4"/>
    <mergeCell ref="F46:G46"/>
    <mergeCell ref="F22:G22"/>
    <mergeCell ref="B2:E2"/>
    <mergeCell ref="F13:G13"/>
    <mergeCell ref="B16:G16"/>
    <mergeCell ref="F37:G37"/>
    <mergeCell ref="C7:G7"/>
    <mergeCell ref="E52:G52"/>
    <mergeCell ref="B27:G27"/>
    <mergeCell ref="B43:G43"/>
    <mergeCell ref="E44:G44"/>
    <mergeCell ref="E20:G20"/>
    <mergeCell ref="F53:G53"/>
  </mergeCells>
  <hyperlinks>
    <hyperlink xmlns:r="http://schemas.openxmlformats.org/officeDocument/2006/relationships" ref="F2" r:id="rId1"/>
    <hyperlink xmlns:r="http://schemas.openxmlformats.org/officeDocument/2006/relationships" ref="G2" r:id="rId2"/>
  </hyperlink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B1:G56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22" customWidth="1" min="3" max="3"/>
    <col width="4" customWidth="1" min="4" max="4"/>
    <col width="34" customWidth="1" min="5" max="5"/>
    <col width="44" customWidth="1" min="6" max="6"/>
    <col width="28" customWidth="1" min="7" max="7"/>
  </cols>
  <sheetData>
    <row r="1" ht="30" customHeight="1">
      <c r="B1" s="10" t="inlineStr">
        <is>
          <t>📊 #029 — RUMUS EXCEL: F.DIST.RT   |   Kategori: 8. Statistik &amp; Analisis Data</t>
        </is>
      </c>
    </row>
    <row r="2" ht="22" customHeight="1">
      <c r="B2" s="11" t="inlineStr">
        <is>
          <t>1 Rumus = 1 Contoh Soal + Jawaban Benar &amp; 5 Soal Tes Mandiri (Kunci Jawaban Ada di Sheet Paling Terakhir)</t>
        </is>
      </c>
      <c r="F2" s="12" t="inlineStr">
        <is>
          <t>⬅️ Ke Daftar Isi (00_DAFTAR_ISI)</t>
        </is>
      </c>
      <c r="G2" s="3" t="inlineStr">
        <is>
          <t>🔑 Ke Kunci Jawaban (Sheet Akhir)</t>
        </is>
      </c>
    </row>
    <row r="4" ht="24" customHeight="1">
      <c r="B4" s="13" t="inlineStr">
        <is>
          <t>1️⃣ IDENTITAS RUMUS &amp; FUNGSINYA BUAT APA? (F.DIST.RT)</t>
        </is>
      </c>
    </row>
    <row r="5" ht="21" customHeight="1">
      <c r="B5" s="14" t="inlineStr">
        <is>
          <t>Nama Rumus Excel</t>
        </is>
      </c>
      <c r="C5" s="15">
        <f>F.DIST.RT(...)</f>
        <v/>
      </c>
      <c r="D5" s="5" t="n"/>
      <c r="E5" s="5" t="n"/>
      <c r="F5" s="5" t="n"/>
      <c r="G5" s="5" t="n"/>
    </row>
    <row r="6" ht="21" customHeight="1">
      <c r="B6" s="14" t="inlineStr">
        <is>
          <t>Sintaks / Pola Umum</t>
        </is>
      </c>
      <c r="C6" s="15">
        <f>F.DIST.RT(x, deg_freedom1, deg_freedom2)</f>
        <v/>
      </c>
      <c r="D6" s="5" t="n"/>
      <c r="E6" s="5" t="n"/>
      <c r="F6" s="5" t="n"/>
      <c r="G6" s="5" t="n"/>
    </row>
    <row r="7" ht="26" customHeight="1">
      <c r="B7" s="14" t="inlineStr">
        <is>
          <t>👶 Fungsinya Buat Apa?</t>
        </is>
      </c>
      <c r="C7" s="16" t="inlineStr">
        <is>
          <t>Menghitung distribusi probabilitas F ekor kanan (Right-Tailed).</t>
        </is>
      </c>
      <c r="D7" s="5" t="n"/>
      <c r="E7" s="5" t="n"/>
      <c r="F7" s="5" t="n"/>
      <c r="G7" s="5" t="n"/>
    </row>
    <row r="9" ht="24" customHeight="1">
      <c r="B9" s="17" t="inlineStr">
        <is>
          <t>2️⃣ 1 CONTOH SOAL &amp; CONTOH JAWABAN BENAR (PELAJARI POLA RUMUS F.DIST.RT DI SINI)</t>
        </is>
      </c>
    </row>
    <row r="10">
      <c r="B10" s="18" t="inlineStr">
        <is>
          <t>Parameter F</t>
        </is>
      </c>
      <c r="C10" s="18" t="inlineStr">
        <is>
          <t>Nilai Input</t>
        </is>
      </c>
      <c r="E10" s="18" t="inlineStr">
        <is>
          <t>✅ 1 CONTOH SOAL BESERTA CONTOH RUMUS &amp; HASIL JAWABAN BENAR:</t>
        </is>
      </c>
      <c r="F10" s="5" t="n"/>
      <c r="G10" s="5" t="n"/>
    </row>
    <row r="11" ht="28" customHeight="1">
      <c r="B11" s="19" t="inlineStr">
        <is>
          <t>Nilai X (C11)</t>
        </is>
      </c>
      <c r="C11" s="19" t="n">
        <v>2.8</v>
      </c>
      <c r="E11" s="20" t="inlineStr">
        <is>
          <t>Contoh Soal:</t>
        </is>
      </c>
      <c r="F11" s="21" t="inlineStr">
        <is>
          <t>Hitung probabilitas distribusi F ekor kanan menggunakan fungsi F.DIST.RT dengan argumen C11, C12, dan C13!</t>
        </is>
      </c>
      <c r="G11" s="5" t="n"/>
    </row>
    <row r="12">
      <c r="B12" s="19" t="inlineStr">
        <is>
          <t>Deg Freedom 1 (C12)</t>
        </is>
      </c>
      <c r="C12" s="19" t="n">
        <v>4</v>
      </c>
      <c r="E12" s="20" t="inlineStr">
        <is>
          <t>Contoh Rumus Benar:</t>
        </is>
      </c>
      <c r="F12" s="22" t="inlineStr">
        <is>
          <t>'=F.DIST.RT(C11, C12, C13)</t>
        </is>
      </c>
      <c r="G12" s="5" t="n"/>
    </row>
    <row r="13">
      <c r="B13" s="19" t="inlineStr">
        <is>
          <t>Deg Freedom 2 (C13)</t>
        </is>
      </c>
      <c r="C13" s="19" t="n">
        <v>15</v>
      </c>
      <c r="E13" s="20" t="inlineStr">
        <is>
          <t>Contoh Hasil Benar:</t>
        </is>
      </c>
      <c r="F13" s="23">
        <f>F.DIST.RT(C11, C12, C13)</f>
        <v/>
      </c>
      <c r="G13" s="5" t="n"/>
    </row>
    <row r="14">
      <c r="B14" s="19" t="inlineStr">
        <is>
          <t>Cadangan</t>
        </is>
      </c>
      <c r="C14" s="19" t="n">
        <v>1</v>
      </c>
    </row>
    <row r="16" ht="26" customHeight="1">
      <c r="B16" s="24" t="inlineStr">
        <is>
          <t>3️⃣ 5 SOAL TES DUNIA NYATA — KERJAKAN DI KOTAK KUNING (TANPA KUNCI RUMUS / HASIL DI SINI!)</t>
        </is>
      </c>
    </row>
    <row r="17" ht="20" customHeight="1">
      <c r="B17" s="25" t="inlineStr">
        <is>
          <t>📌 Catatan Tes: Soal Tes #1 s/d #5 di bawah ini tidak menampilkan kunci rumus maupun hasil. Kunci jawaban lengkap tersedia di sheet paling terakhir (99_KUNCI_JAWABAN).</t>
        </is>
      </c>
    </row>
    <row r="19" ht="22" customHeight="1">
      <c r="B19" s="26" t="inlineStr">
        <is>
          <t>📝 SOAL TES #1: Kasus Keuangan &amp; Akuntansi Kantor</t>
        </is>
      </c>
    </row>
    <row r="20" ht="30" customHeight="1">
      <c r="B20" s="14" t="inlineStr">
        <is>
          <t>Parameter F</t>
        </is>
      </c>
      <c r="C20" s="14" t="inlineStr">
        <is>
          <t>Nilai Input</t>
        </is>
      </c>
      <c r="E20" s="27" t="inlineStr">
        <is>
          <t>Persoalan Tes #1: Hitung probabilitas distribusi F ekor kanan menggunakan fungsi F.DIST.RT dengan argumen C21, C22, dan C23!</t>
        </is>
      </c>
    </row>
    <row r="21">
      <c r="B21" s="19" t="inlineStr">
        <is>
          <t>Nilai X (C21)</t>
        </is>
      </c>
      <c r="C21" s="19" t="n">
        <v>1.8</v>
      </c>
      <c r="E21" s="14" t="inlineStr">
        <is>
          <t>✏️ KETIK RUMUS JAWABAN TES DI BAWAH:</t>
        </is>
      </c>
      <c r="F21" s="14" t="inlineStr">
        <is>
          <t>📌 STATUS KOREKSI JAWABAN TES:</t>
        </is>
      </c>
      <c r="G21" s="5" t="n"/>
    </row>
    <row r="22" ht="26" customHeight="1">
      <c r="B22" s="19" t="inlineStr">
        <is>
          <t>Deg Freedom 1 (C22)</t>
        </is>
      </c>
      <c r="C22" s="19" t="n">
        <v>4</v>
      </c>
      <c r="E22" s="28" t="n"/>
      <c r="F22" s="29">
        <f>IF(ISBLANK(E22), "⏳ Belum Diisi (Ketik Rumus di Sel Kuning E22)", IF(E22='99_KUNCI_JAWABAN'!F145, "✅ BENAR! JAWABAN TES TEPAT!", "❌ Belum Tepat (Cek Sheet Akhir: 99_KUNCI_JAWABAN)"))</f>
        <v/>
      </c>
      <c r="G22" s="5" t="n"/>
    </row>
    <row r="23">
      <c r="B23" s="19" t="inlineStr">
        <is>
          <t>Deg Freedom 2 (C23)</t>
        </is>
      </c>
      <c r="C23" s="19" t="n">
        <v>10</v>
      </c>
    </row>
    <row r="24">
      <c r="B24" s="19" t="inlineStr">
        <is>
          <t>Cadangan</t>
        </is>
      </c>
      <c r="C24" s="19" t="n">
        <v>1</v>
      </c>
    </row>
    <row r="27" ht="22" customHeight="1">
      <c r="B27" s="26" t="inlineStr">
        <is>
          <t>📝 SOAL TES #2: Kasus HRD, Gaji &amp; Lembur Karyawan</t>
        </is>
      </c>
    </row>
    <row r="28" ht="30" customHeight="1">
      <c r="B28" s="14" t="inlineStr">
        <is>
          <t>Parameter F</t>
        </is>
      </c>
      <c r="C28" s="14" t="inlineStr">
        <is>
          <t>Nilai Input</t>
        </is>
      </c>
      <c r="E28" s="27" t="inlineStr">
        <is>
          <t>Persoalan Tes #2: Hitung probabilitas distribusi F ekor kanan menggunakan fungsi F.DIST.RT dengan argumen C29, C30, dan C31!</t>
        </is>
      </c>
    </row>
    <row r="29">
      <c r="B29" s="19" t="inlineStr">
        <is>
          <t>Nilai X (C29)</t>
        </is>
      </c>
      <c r="C29" s="19" t="n">
        <v>2</v>
      </c>
      <c r="E29" s="14" t="inlineStr">
        <is>
          <t>✏️ KETIK RUMUS JAWABAN TES DI BAWAH:</t>
        </is>
      </c>
      <c r="F29" s="14" t="inlineStr">
        <is>
          <t>📌 STATUS KOREKSI JAWABAN TES:</t>
        </is>
      </c>
      <c r="G29" s="5" t="n"/>
    </row>
    <row r="30" ht="26" customHeight="1">
      <c r="B30" s="19" t="inlineStr">
        <is>
          <t>Deg Freedom 1 (C30)</t>
        </is>
      </c>
      <c r="C30" s="19" t="n">
        <v>4</v>
      </c>
      <c r="E30" s="28" t="n"/>
      <c r="F30" s="29">
        <f>IF(ISBLANK(E30), "⏳ Belum Diisi (Ketik Rumus di Sel Kuning E30)", IF(E30='99_KUNCI_JAWABAN'!F146, "✅ BENAR! JAWABAN TES TEPAT!", "❌ Belum Tepat (Cek Sheet Akhir: 99_KUNCI_JAWABAN)"))</f>
        <v/>
      </c>
      <c r="G30" s="5" t="n"/>
    </row>
    <row r="31">
      <c r="B31" s="19" t="inlineStr">
        <is>
          <t>Deg Freedom 2 (C31)</t>
        </is>
      </c>
      <c r="C31" s="19" t="n">
        <v>11</v>
      </c>
    </row>
    <row r="32">
      <c r="B32" s="19" t="inlineStr">
        <is>
          <t>Cadangan</t>
        </is>
      </c>
      <c r="C32" s="19" t="n">
        <v>1</v>
      </c>
    </row>
    <row r="35" ht="22" customHeight="1">
      <c r="B35" s="26" t="inlineStr">
        <is>
          <t>📝 SOAL TES #3: Kasus Logistik &amp; Stok Gudang Utama</t>
        </is>
      </c>
    </row>
    <row r="36" ht="30" customHeight="1">
      <c r="B36" s="14" t="inlineStr">
        <is>
          <t>Parameter F</t>
        </is>
      </c>
      <c r="C36" s="14" t="inlineStr">
        <is>
          <t>Nilai Input</t>
        </is>
      </c>
      <c r="E36" s="27" t="inlineStr">
        <is>
          <t>Persoalan Tes #3: Hitung probabilitas distribusi F ekor kanan menggunakan fungsi F.DIST.RT dengan argumen C37, C38, dan C39!</t>
        </is>
      </c>
    </row>
    <row r="37">
      <c r="B37" s="19" t="inlineStr">
        <is>
          <t>Nilai X (C37)</t>
        </is>
      </c>
      <c r="C37" s="19" t="n">
        <v>2.2</v>
      </c>
      <c r="E37" s="14" t="inlineStr">
        <is>
          <t>✏️ KETIK RUMUS JAWABAN TES DI BAWAH:</t>
        </is>
      </c>
      <c r="F37" s="14" t="inlineStr">
        <is>
          <t>📌 STATUS KOREKSI JAWABAN TES:</t>
        </is>
      </c>
      <c r="G37" s="5" t="n"/>
    </row>
    <row r="38" ht="26" customHeight="1">
      <c r="B38" s="19" t="inlineStr">
        <is>
          <t>Deg Freedom 1 (C38)</t>
        </is>
      </c>
      <c r="C38" s="19" t="n">
        <v>4</v>
      </c>
      <c r="E38" s="28" t="n"/>
      <c r="F38" s="29">
        <f>IF(ISBLANK(E38), "⏳ Belum Diisi (Ketik Rumus di Sel Kuning E38)", IF(E38='99_KUNCI_JAWABAN'!F147, "✅ BENAR! JAWABAN TES TEPAT!", "❌ Belum Tepat (Cek Sheet Akhir: 99_KUNCI_JAWABAN)"))</f>
        <v/>
      </c>
      <c r="G38" s="5" t="n"/>
    </row>
    <row r="39">
      <c r="B39" s="19" t="inlineStr">
        <is>
          <t>Deg Freedom 2 (C39)</t>
        </is>
      </c>
      <c r="C39" s="19" t="n">
        <v>12</v>
      </c>
    </row>
    <row r="40">
      <c r="B40" s="19" t="inlineStr">
        <is>
          <t>Cadangan</t>
        </is>
      </c>
      <c r="C40" s="19" t="n">
        <v>1</v>
      </c>
    </row>
    <row r="43" ht="22" customHeight="1">
      <c r="B43" s="26" t="inlineStr">
        <is>
          <t>📝 SOAL TES #4: Kasus Penjualan Retail &amp; Target Toko</t>
        </is>
      </c>
    </row>
    <row r="44" ht="30" customHeight="1">
      <c r="B44" s="14" t="inlineStr">
        <is>
          <t>Parameter F</t>
        </is>
      </c>
      <c r="C44" s="14" t="inlineStr">
        <is>
          <t>Nilai Input</t>
        </is>
      </c>
      <c r="E44" s="27" t="inlineStr">
        <is>
          <t>Persoalan Tes #4: Hitung probabilitas distribusi F ekor kanan menggunakan fungsi F.DIST.RT dengan argumen C45, C46, dan C47!</t>
        </is>
      </c>
    </row>
    <row r="45">
      <c r="B45" s="19" t="inlineStr">
        <is>
          <t>Nilai X (C45)</t>
        </is>
      </c>
      <c r="C45" s="19" t="n">
        <v>2.4</v>
      </c>
      <c r="E45" s="14" t="inlineStr">
        <is>
          <t>✏️ KETIK RUMUS JAWABAN TES DI BAWAH:</t>
        </is>
      </c>
      <c r="F45" s="14" t="inlineStr">
        <is>
          <t>📌 STATUS KOREKSI JAWABAN TES:</t>
        </is>
      </c>
      <c r="G45" s="5" t="n"/>
    </row>
    <row r="46" ht="26" customHeight="1">
      <c r="B46" s="19" t="inlineStr">
        <is>
          <t>Deg Freedom 1 (C46)</t>
        </is>
      </c>
      <c r="C46" s="19" t="n">
        <v>4</v>
      </c>
      <c r="E46" s="28" t="n"/>
      <c r="F46" s="29">
        <f>IF(ISBLANK(E46), "⏳ Belum Diisi (Ketik Rumus di Sel Kuning E46)", IF(E46='99_KUNCI_JAWABAN'!F148, "✅ BENAR! JAWABAN TES TEPAT!", "❌ Belum Tepat (Cek Sheet Akhir: 99_KUNCI_JAWABAN)"))</f>
        <v/>
      </c>
      <c r="G46" s="5" t="n"/>
    </row>
    <row r="47">
      <c r="B47" s="19" t="inlineStr">
        <is>
          <t>Deg Freedom 2 (C47)</t>
        </is>
      </c>
      <c r="C47" s="19" t="n">
        <v>13</v>
      </c>
    </row>
    <row r="48">
      <c r="B48" s="19" t="inlineStr">
        <is>
          <t>Cadangan</t>
        </is>
      </c>
      <c r="C48" s="19" t="n">
        <v>1</v>
      </c>
    </row>
    <row r="51" ht="22" customHeight="1">
      <c r="B51" s="26" t="inlineStr">
        <is>
          <t>📝 SOAL TES #5: Kasus Akademik Sekolah &amp; Layanan Publik</t>
        </is>
      </c>
    </row>
    <row r="52" ht="30" customHeight="1">
      <c r="B52" s="14" t="inlineStr">
        <is>
          <t>Parameter F</t>
        </is>
      </c>
      <c r="C52" s="14" t="inlineStr">
        <is>
          <t>Nilai Input</t>
        </is>
      </c>
      <c r="E52" s="27" t="inlineStr">
        <is>
          <t>Persoalan Tes #5: Hitung probabilitas distribusi F ekor kanan menggunakan fungsi F.DIST.RT dengan argumen C53, C54, dan C55!</t>
        </is>
      </c>
    </row>
    <row r="53">
      <c r="B53" s="19" t="inlineStr">
        <is>
          <t>Nilai X (C53)</t>
        </is>
      </c>
      <c r="C53" s="19" t="n">
        <v>2.6</v>
      </c>
      <c r="E53" s="14" t="inlineStr">
        <is>
          <t>✏️ KETIK RUMUS JAWABAN TES DI BAWAH:</t>
        </is>
      </c>
      <c r="F53" s="14" t="inlineStr">
        <is>
          <t>📌 STATUS KOREKSI JAWABAN TES:</t>
        </is>
      </c>
      <c r="G53" s="5" t="n"/>
    </row>
    <row r="54" ht="26" customHeight="1">
      <c r="B54" s="19" t="inlineStr">
        <is>
          <t>Deg Freedom 1 (C54)</t>
        </is>
      </c>
      <c r="C54" s="19" t="n">
        <v>4</v>
      </c>
      <c r="E54" s="28" t="n"/>
      <c r="F54" s="29">
        <f>IF(ISBLANK(E54), "⏳ Belum Diisi (Ketik Rumus di Sel Kuning E54)", IF(E54='99_KUNCI_JAWABAN'!F149, "✅ BENAR! JAWABAN TES TEPAT!", "❌ Belum Tepat (Cek Sheet Akhir: 99_KUNCI_JAWABAN)"))</f>
        <v/>
      </c>
      <c r="G54" s="5" t="n"/>
    </row>
    <row r="55">
      <c r="B55" s="19" t="inlineStr">
        <is>
          <t>Deg Freedom 2 (C55)</t>
        </is>
      </c>
      <c r="C55" s="19" t="n">
        <v>14</v>
      </c>
    </row>
    <row r="56">
      <c r="B56" s="19" t="inlineStr">
        <is>
          <t>Cadangan</t>
        </is>
      </c>
      <c r="C56" s="19" t="n">
        <v>1</v>
      </c>
    </row>
  </sheetData>
  <mergeCells count="33">
    <mergeCell ref="E10:G10"/>
    <mergeCell ref="F11:G11"/>
    <mergeCell ref="E28:G28"/>
    <mergeCell ref="F29:G29"/>
    <mergeCell ref="C6:G6"/>
    <mergeCell ref="F54:G54"/>
    <mergeCell ref="B17:G17"/>
    <mergeCell ref="B1:G1"/>
    <mergeCell ref="C5:G5"/>
    <mergeCell ref="B19:G19"/>
    <mergeCell ref="F21:G21"/>
    <mergeCell ref="F12:G12"/>
    <mergeCell ref="F30:G30"/>
    <mergeCell ref="E36:G36"/>
    <mergeCell ref="B9:G9"/>
    <mergeCell ref="F45:G45"/>
    <mergeCell ref="B51:G51"/>
    <mergeCell ref="F38:G38"/>
    <mergeCell ref="B35:G35"/>
    <mergeCell ref="B4:G4"/>
    <mergeCell ref="F46:G46"/>
    <mergeCell ref="F22:G22"/>
    <mergeCell ref="B2:E2"/>
    <mergeCell ref="F13:G13"/>
    <mergeCell ref="B16:G16"/>
    <mergeCell ref="F37:G37"/>
    <mergeCell ref="C7:G7"/>
    <mergeCell ref="E52:G52"/>
    <mergeCell ref="B27:G27"/>
    <mergeCell ref="B43:G43"/>
    <mergeCell ref="E44:G44"/>
    <mergeCell ref="E20:G20"/>
    <mergeCell ref="F53:G53"/>
  </mergeCells>
  <hyperlinks>
    <hyperlink xmlns:r="http://schemas.openxmlformats.org/officeDocument/2006/relationships" ref="F2" r:id="rId1"/>
    <hyperlink xmlns:r="http://schemas.openxmlformats.org/officeDocument/2006/relationships" ref="G2" r:id="rId2"/>
  </hyperlink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B1:G56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22" customWidth="1" min="3" max="3"/>
    <col width="4" customWidth="1" min="4" max="4"/>
    <col width="34" customWidth="1" min="5" max="5"/>
    <col width="44" customWidth="1" min="6" max="6"/>
    <col width="28" customWidth="1" min="7" max="7"/>
  </cols>
  <sheetData>
    <row r="1" ht="30" customHeight="1">
      <c r="B1" s="10" t="inlineStr">
        <is>
          <t>📊 #030 — RUMUS EXCEL: F.INV   |   Kategori: 8. Statistik &amp; Analisis Data</t>
        </is>
      </c>
    </row>
    <row r="2" ht="22" customHeight="1">
      <c r="B2" s="11" t="inlineStr">
        <is>
          <t>1 Rumus = 1 Contoh Soal + Jawaban Benar &amp; 5 Soal Tes Mandiri (Kunci Jawaban Ada di Sheet Paling Terakhir)</t>
        </is>
      </c>
      <c r="F2" s="12" t="inlineStr">
        <is>
          <t>⬅️ Ke Daftar Isi (00_DAFTAR_ISI)</t>
        </is>
      </c>
      <c r="G2" s="3" t="inlineStr">
        <is>
          <t>🔑 Ke Kunci Jawaban (Sheet Akhir)</t>
        </is>
      </c>
    </row>
    <row r="4" ht="24" customHeight="1">
      <c r="B4" s="13" t="inlineStr">
        <is>
          <t>1️⃣ IDENTITAS RUMUS &amp; FUNGSINYA BUAT APA? (F.INV)</t>
        </is>
      </c>
    </row>
    <row r="5" ht="21" customHeight="1">
      <c r="B5" s="14" t="inlineStr">
        <is>
          <t>Nama Rumus Excel</t>
        </is>
      </c>
      <c r="C5" s="15">
        <f>F.INV(...)</f>
        <v/>
      </c>
      <c r="D5" s="5" t="n"/>
      <c r="E5" s="5" t="n"/>
      <c r="F5" s="5" t="n"/>
      <c r="G5" s="5" t="n"/>
    </row>
    <row r="6" ht="21" customHeight="1">
      <c r="B6" s="14" t="inlineStr">
        <is>
          <t>Sintaks / Pola Umum</t>
        </is>
      </c>
      <c r="C6" s="15">
        <f>F.INV(probabilitas, deg_freedom1, deg_freedom2)</f>
        <v/>
      </c>
      <c r="D6" s="5" t="n"/>
      <c r="E6" s="5" t="n"/>
      <c r="F6" s="5" t="n"/>
      <c r="G6" s="5" t="n"/>
    </row>
    <row r="7" ht="26" customHeight="1">
      <c r="B7" s="14" t="inlineStr">
        <is>
          <t>👶 Fungsinya Buat Apa?</t>
        </is>
      </c>
      <c r="C7" s="16" t="inlineStr">
        <is>
          <t>Menghitung nilai invers dari distribusi probabilitas F ekor kiri.</t>
        </is>
      </c>
      <c r="D7" s="5" t="n"/>
      <c r="E7" s="5" t="n"/>
      <c r="F7" s="5" t="n"/>
      <c r="G7" s="5" t="n"/>
    </row>
    <row r="9" ht="24" customHeight="1">
      <c r="B9" s="17" t="inlineStr">
        <is>
          <t>2️⃣ 1 CONTOH SOAL &amp; CONTOH JAWABAN BENAR (PELAJARI POLA RUMUS F.INV DI SINI)</t>
        </is>
      </c>
    </row>
    <row r="10">
      <c r="B10" s="18" t="inlineStr">
        <is>
          <t>Parameter F</t>
        </is>
      </c>
      <c r="C10" s="18" t="inlineStr">
        <is>
          <t>Nilai Input</t>
        </is>
      </c>
      <c r="E10" s="18" t="inlineStr">
        <is>
          <t>✅ 1 CONTOH SOAL BESERTA CONTOH RUMUS &amp; HASIL JAWABAN BENAR:</t>
        </is>
      </c>
      <c r="F10" s="5" t="n"/>
      <c r="G10" s="5" t="n"/>
    </row>
    <row r="11" ht="28" customHeight="1">
      <c r="B11" s="19" t="inlineStr">
        <is>
          <t>Probabilitas (C11)</t>
        </is>
      </c>
      <c r="C11" s="19" t="n">
        <v>0.15</v>
      </c>
      <c r="E11" s="20" t="inlineStr">
        <is>
          <t>Contoh Soal:</t>
        </is>
      </c>
      <c r="F11" s="21" t="inlineStr">
        <is>
          <t>Hitung nilai invers distribusi F menggunakan fungsi F.INV dengan argumen berurutan C11, C12, dan C13!</t>
        </is>
      </c>
      <c r="G11" s="5" t="n"/>
    </row>
    <row r="12">
      <c r="B12" s="19" t="inlineStr">
        <is>
          <t>Deg Freedom 1 (C12)</t>
        </is>
      </c>
      <c r="C12" s="19" t="n">
        <v>4</v>
      </c>
      <c r="E12" s="20" t="inlineStr">
        <is>
          <t>Contoh Rumus Benar:</t>
        </is>
      </c>
      <c r="F12" s="22" t="inlineStr">
        <is>
          <t>'=F.INV(C11, C12, C13)</t>
        </is>
      </c>
      <c r="G12" s="5" t="n"/>
    </row>
    <row r="13">
      <c r="B13" s="19" t="inlineStr">
        <is>
          <t>Deg Freedom 2 (C13)</t>
        </is>
      </c>
      <c r="C13" s="19" t="n">
        <v>15</v>
      </c>
      <c r="E13" s="20" t="inlineStr">
        <is>
          <t>Contoh Hasil Benar:</t>
        </is>
      </c>
      <c r="F13" s="23">
        <f>F.INV(C11, C12, C13)</f>
        <v/>
      </c>
      <c r="G13" s="5" t="n"/>
    </row>
    <row r="14">
      <c r="B14" s="19" t="inlineStr">
        <is>
          <t>Cadangan</t>
        </is>
      </c>
      <c r="C14" s="19" t="n">
        <v>1</v>
      </c>
    </row>
    <row r="16" ht="26" customHeight="1">
      <c r="B16" s="24" t="inlineStr">
        <is>
          <t>3️⃣ 5 SOAL TES DUNIA NYATA — KERJAKAN DI KOTAK KUNING (TANPA KUNCI RUMUS / HASIL DI SINI!)</t>
        </is>
      </c>
    </row>
    <row r="17" ht="20" customHeight="1">
      <c r="B17" s="25" t="inlineStr">
        <is>
          <t>📌 Catatan Tes: Soal Tes #1 s/d #5 di bawah ini tidak menampilkan kunci rumus maupun hasil. Kunci jawaban lengkap tersedia di sheet paling terakhir (99_KUNCI_JAWABAN).</t>
        </is>
      </c>
    </row>
    <row r="19" ht="22" customHeight="1">
      <c r="B19" s="26" t="inlineStr">
        <is>
          <t>📝 SOAL TES #1: Kasus Keuangan &amp; Akuntansi Kantor</t>
        </is>
      </c>
    </row>
    <row r="20" ht="30" customHeight="1">
      <c r="B20" s="14" t="inlineStr">
        <is>
          <t>Parameter F</t>
        </is>
      </c>
      <c r="C20" s="14" t="inlineStr">
        <is>
          <t>Nilai Input</t>
        </is>
      </c>
      <c r="E20" s="27" t="inlineStr">
        <is>
          <t>Persoalan Tes #1: Hitung nilai invers distribusi F menggunakan fungsi F.INV dengan argumen berurutan C21, C22, dan C23!</t>
        </is>
      </c>
    </row>
    <row r="21">
      <c r="B21" s="19" t="inlineStr">
        <is>
          <t>Probabilitas (C21)</t>
        </is>
      </c>
      <c r="C21" s="19" t="n">
        <v>0.05</v>
      </c>
      <c r="E21" s="14" t="inlineStr">
        <is>
          <t>✏️ KETIK RUMUS JAWABAN TES DI BAWAH:</t>
        </is>
      </c>
      <c r="F21" s="14" t="inlineStr">
        <is>
          <t>📌 STATUS KOREKSI JAWABAN TES:</t>
        </is>
      </c>
      <c r="G21" s="5" t="n"/>
    </row>
    <row r="22" ht="26" customHeight="1">
      <c r="B22" s="19" t="inlineStr">
        <is>
          <t>Deg Freedom 1 (C22)</t>
        </is>
      </c>
      <c r="C22" s="19" t="n">
        <v>4</v>
      </c>
      <c r="E22" s="28" t="n"/>
      <c r="F22" s="29">
        <f>IF(ISBLANK(E22), "⏳ Belum Diisi (Ketik Rumus di Sel Kuning E22)", IF(E22='99_KUNCI_JAWABAN'!F150, "✅ BENAR! JAWABAN TES TEPAT!", "❌ Belum Tepat (Cek Sheet Akhir: 99_KUNCI_JAWABAN)"))</f>
        <v/>
      </c>
      <c r="G22" s="5" t="n"/>
    </row>
    <row r="23">
      <c r="B23" s="19" t="inlineStr">
        <is>
          <t>Deg Freedom 2 (C23)</t>
        </is>
      </c>
      <c r="C23" s="19" t="n">
        <v>10</v>
      </c>
    </row>
    <row r="24">
      <c r="B24" s="19" t="inlineStr">
        <is>
          <t>Cadangan</t>
        </is>
      </c>
      <c r="C24" s="19" t="n">
        <v>1</v>
      </c>
    </row>
    <row r="27" ht="22" customHeight="1">
      <c r="B27" s="26" t="inlineStr">
        <is>
          <t>📝 SOAL TES #2: Kasus HRD, Gaji &amp; Lembur Karyawan</t>
        </is>
      </c>
    </row>
    <row r="28" ht="30" customHeight="1">
      <c r="B28" s="14" t="inlineStr">
        <is>
          <t>Parameter F</t>
        </is>
      </c>
      <c r="C28" s="14" t="inlineStr">
        <is>
          <t>Nilai Input</t>
        </is>
      </c>
      <c r="E28" s="27" t="inlineStr">
        <is>
          <t>Persoalan Tes #2: Hitung nilai invers distribusi F menggunakan fungsi F.INV dengan argumen berurutan C29, C30, dan C31!</t>
        </is>
      </c>
    </row>
    <row r="29">
      <c r="B29" s="19" t="inlineStr">
        <is>
          <t>Probabilitas (C29)</t>
        </is>
      </c>
      <c r="C29" s="19" t="n">
        <v>0.07000000000000001</v>
      </c>
      <c r="E29" s="14" t="inlineStr">
        <is>
          <t>✏️ KETIK RUMUS JAWABAN TES DI BAWAH:</t>
        </is>
      </c>
      <c r="F29" s="14" t="inlineStr">
        <is>
          <t>📌 STATUS KOREKSI JAWABAN TES:</t>
        </is>
      </c>
      <c r="G29" s="5" t="n"/>
    </row>
    <row r="30" ht="26" customHeight="1">
      <c r="B30" s="19" t="inlineStr">
        <is>
          <t>Deg Freedom 1 (C30)</t>
        </is>
      </c>
      <c r="C30" s="19" t="n">
        <v>4</v>
      </c>
      <c r="E30" s="28" t="n"/>
      <c r="F30" s="29">
        <f>IF(ISBLANK(E30), "⏳ Belum Diisi (Ketik Rumus di Sel Kuning E30)", IF(E30='99_KUNCI_JAWABAN'!F151, "✅ BENAR! JAWABAN TES TEPAT!", "❌ Belum Tepat (Cek Sheet Akhir: 99_KUNCI_JAWABAN)"))</f>
        <v/>
      </c>
      <c r="G30" s="5" t="n"/>
    </row>
    <row r="31">
      <c r="B31" s="19" t="inlineStr">
        <is>
          <t>Deg Freedom 2 (C31)</t>
        </is>
      </c>
      <c r="C31" s="19" t="n">
        <v>11</v>
      </c>
    </row>
    <row r="32">
      <c r="B32" s="19" t="inlineStr">
        <is>
          <t>Cadangan</t>
        </is>
      </c>
      <c r="C32" s="19" t="n">
        <v>1</v>
      </c>
    </row>
    <row r="35" ht="22" customHeight="1">
      <c r="B35" s="26" t="inlineStr">
        <is>
          <t>📝 SOAL TES #3: Kasus Logistik &amp; Stok Gudang Utama</t>
        </is>
      </c>
    </row>
    <row r="36" ht="30" customHeight="1">
      <c r="B36" s="14" t="inlineStr">
        <is>
          <t>Parameter F</t>
        </is>
      </c>
      <c r="C36" s="14" t="inlineStr">
        <is>
          <t>Nilai Input</t>
        </is>
      </c>
      <c r="E36" s="27" t="inlineStr">
        <is>
          <t>Persoalan Tes #3: Hitung nilai invers distribusi F menggunakan fungsi F.INV dengan argumen berurutan C37, C38, dan C39!</t>
        </is>
      </c>
    </row>
    <row r="37">
      <c r="B37" s="19" t="inlineStr">
        <is>
          <t>Probabilitas (C37)</t>
        </is>
      </c>
      <c r="C37" s="19" t="n">
        <v>0.09</v>
      </c>
      <c r="E37" s="14" t="inlineStr">
        <is>
          <t>✏️ KETIK RUMUS JAWABAN TES DI BAWAH:</t>
        </is>
      </c>
      <c r="F37" s="14" t="inlineStr">
        <is>
          <t>📌 STATUS KOREKSI JAWABAN TES:</t>
        </is>
      </c>
      <c r="G37" s="5" t="n"/>
    </row>
    <row r="38" ht="26" customHeight="1">
      <c r="B38" s="19" t="inlineStr">
        <is>
          <t>Deg Freedom 1 (C38)</t>
        </is>
      </c>
      <c r="C38" s="19" t="n">
        <v>4</v>
      </c>
      <c r="E38" s="28" t="n"/>
      <c r="F38" s="29">
        <f>IF(ISBLANK(E38), "⏳ Belum Diisi (Ketik Rumus di Sel Kuning E38)", IF(E38='99_KUNCI_JAWABAN'!F152, "✅ BENAR! JAWABAN TES TEPAT!", "❌ Belum Tepat (Cek Sheet Akhir: 99_KUNCI_JAWABAN)"))</f>
        <v/>
      </c>
      <c r="G38" s="5" t="n"/>
    </row>
    <row r="39">
      <c r="B39" s="19" t="inlineStr">
        <is>
          <t>Deg Freedom 2 (C39)</t>
        </is>
      </c>
      <c r="C39" s="19" t="n">
        <v>12</v>
      </c>
    </row>
    <row r="40">
      <c r="B40" s="19" t="inlineStr">
        <is>
          <t>Cadangan</t>
        </is>
      </c>
      <c r="C40" s="19" t="n">
        <v>1</v>
      </c>
    </row>
    <row r="43" ht="22" customHeight="1">
      <c r="B43" s="26" t="inlineStr">
        <is>
          <t>📝 SOAL TES #4: Kasus Penjualan Retail &amp; Target Toko</t>
        </is>
      </c>
    </row>
    <row r="44" ht="30" customHeight="1">
      <c r="B44" s="14" t="inlineStr">
        <is>
          <t>Parameter F</t>
        </is>
      </c>
      <c r="C44" s="14" t="inlineStr">
        <is>
          <t>Nilai Input</t>
        </is>
      </c>
      <c r="E44" s="27" t="inlineStr">
        <is>
          <t>Persoalan Tes #4: Hitung nilai invers distribusi F menggunakan fungsi F.INV dengan argumen berurutan C45, C46, dan C47!</t>
        </is>
      </c>
    </row>
    <row r="45">
      <c r="B45" s="19" t="inlineStr">
        <is>
          <t>Probabilitas (C45)</t>
        </is>
      </c>
      <c r="C45" s="19" t="n">
        <v>0.11</v>
      </c>
      <c r="E45" s="14" t="inlineStr">
        <is>
          <t>✏️ KETIK RUMUS JAWABAN TES DI BAWAH:</t>
        </is>
      </c>
      <c r="F45" s="14" t="inlineStr">
        <is>
          <t>📌 STATUS KOREKSI JAWABAN TES:</t>
        </is>
      </c>
      <c r="G45" s="5" t="n"/>
    </row>
    <row r="46" ht="26" customHeight="1">
      <c r="B46" s="19" t="inlineStr">
        <is>
          <t>Deg Freedom 1 (C46)</t>
        </is>
      </c>
      <c r="C46" s="19" t="n">
        <v>4</v>
      </c>
      <c r="E46" s="28" t="n"/>
      <c r="F46" s="29">
        <f>IF(ISBLANK(E46), "⏳ Belum Diisi (Ketik Rumus di Sel Kuning E46)", IF(E46='99_KUNCI_JAWABAN'!F153, "✅ BENAR! JAWABAN TES TEPAT!", "❌ Belum Tepat (Cek Sheet Akhir: 99_KUNCI_JAWABAN)"))</f>
        <v/>
      </c>
      <c r="G46" s="5" t="n"/>
    </row>
    <row r="47">
      <c r="B47" s="19" t="inlineStr">
        <is>
          <t>Deg Freedom 2 (C47)</t>
        </is>
      </c>
      <c r="C47" s="19" t="n">
        <v>13</v>
      </c>
    </row>
    <row r="48">
      <c r="B48" s="19" t="inlineStr">
        <is>
          <t>Cadangan</t>
        </is>
      </c>
      <c r="C48" s="19" t="n">
        <v>1</v>
      </c>
    </row>
    <row r="51" ht="22" customHeight="1">
      <c r="B51" s="26" t="inlineStr">
        <is>
          <t>📝 SOAL TES #5: Kasus Akademik Sekolah &amp; Layanan Publik</t>
        </is>
      </c>
    </row>
    <row r="52" ht="30" customHeight="1">
      <c r="B52" s="14" t="inlineStr">
        <is>
          <t>Parameter F</t>
        </is>
      </c>
      <c r="C52" s="14" t="inlineStr">
        <is>
          <t>Nilai Input</t>
        </is>
      </c>
      <c r="E52" s="27" t="inlineStr">
        <is>
          <t>Persoalan Tes #5: Hitung nilai invers distribusi F menggunakan fungsi F.INV dengan argumen berurutan C53, C54, dan C55!</t>
        </is>
      </c>
    </row>
    <row r="53">
      <c r="B53" s="19" t="inlineStr">
        <is>
          <t>Probabilitas (C53)</t>
        </is>
      </c>
      <c r="C53" s="19" t="n">
        <v>0.13</v>
      </c>
      <c r="E53" s="14" t="inlineStr">
        <is>
          <t>✏️ KETIK RUMUS JAWABAN TES DI BAWAH:</t>
        </is>
      </c>
      <c r="F53" s="14" t="inlineStr">
        <is>
          <t>📌 STATUS KOREKSI JAWABAN TES:</t>
        </is>
      </c>
      <c r="G53" s="5" t="n"/>
    </row>
    <row r="54" ht="26" customHeight="1">
      <c r="B54" s="19" t="inlineStr">
        <is>
          <t>Deg Freedom 1 (C54)</t>
        </is>
      </c>
      <c r="C54" s="19" t="n">
        <v>4</v>
      </c>
      <c r="E54" s="28" t="n"/>
      <c r="F54" s="29">
        <f>IF(ISBLANK(E54), "⏳ Belum Diisi (Ketik Rumus di Sel Kuning E54)", IF(E54='99_KUNCI_JAWABAN'!F154, "✅ BENAR! JAWABAN TES TEPAT!", "❌ Belum Tepat (Cek Sheet Akhir: 99_KUNCI_JAWABAN)"))</f>
        <v/>
      </c>
      <c r="G54" s="5" t="n"/>
    </row>
    <row r="55">
      <c r="B55" s="19" t="inlineStr">
        <is>
          <t>Deg Freedom 2 (C55)</t>
        </is>
      </c>
      <c r="C55" s="19" t="n">
        <v>14</v>
      </c>
    </row>
    <row r="56">
      <c r="B56" s="19" t="inlineStr">
        <is>
          <t>Cadangan</t>
        </is>
      </c>
      <c r="C56" s="19" t="n">
        <v>1</v>
      </c>
    </row>
  </sheetData>
  <mergeCells count="33">
    <mergeCell ref="E10:G10"/>
    <mergeCell ref="F11:G11"/>
    <mergeCell ref="E28:G28"/>
    <mergeCell ref="F29:G29"/>
    <mergeCell ref="C6:G6"/>
    <mergeCell ref="F54:G54"/>
    <mergeCell ref="B17:G17"/>
    <mergeCell ref="B1:G1"/>
    <mergeCell ref="C5:G5"/>
    <mergeCell ref="B19:G19"/>
    <mergeCell ref="F21:G21"/>
    <mergeCell ref="F12:G12"/>
    <mergeCell ref="F30:G30"/>
    <mergeCell ref="E36:G36"/>
    <mergeCell ref="B9:G9"/>
    <mergeCell ref="F45:G45"/>
    <mergeCell ref="B51:G51"/>
    <mergeCell ref="F38:G38"/>
    <mergeCell ref="B35:G35"/>
    <mergeCell ref="B4:G4"/>
    <mergeCell ref="F46:G46"/>
    <mergeCell ref="F22:G22"/>
    <mergeCell ref="B2:E2"/>
    <mergeCell ref="F13:G13"/>
    <mergeCell ref="B16:G16"/>
    <mergeCell ref="F37:G37"/>
    <mergeCell ref="C7:G7"/>
    <mergeCell ref="E52:G52"/>
    <mergeCell ref="B27:G27"/>
    <mergeCell ref="B43:G43"/>
    <mergeCell ref="E44:G44"/>
    <mergeCell ref="E20:G20"/>
    <mergeCell ref="F53:G53"/>
  </mergeCells>
  <hyperlinks>
    <hyperlink xmlns:r="http://schemas.openxmlformats.org/officeDocument/2006/relationships" ref="F2" r:id="rId1"/>
    <hyperlink xmlns:r="http://schemas.openxmlformats.org/officeDocument/2006/relationships" ref="G2" r:id="rId2"/>
  </hyperlink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B1:G56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22" customWidth="1" min="3" max="3"/>
    <col width="4" customWidth="1" min="4" max="4"/>
    <col width="34" customWidth="1" min="5" max="5"/>
    <col width="44" customWidth="1" min="6" max="6"/>
    <col width="28" customWidth="1" min="7" max="7"/>
  </cols>
  <sheetData>
    <row r="1" ht="30" customHeight="1">
      <c r="B1" s="10" t="inlineStr">
        <is>
          <t>📊 #031 — RUMUS EXCEL: F.INV.RT   |   Kategori: 8. Statistik &amp; Analisis Data</t>
        </is>
      </c>
    </row>
    <row r="2" ht="22" customHeight="1">
      <c r="B2" s="11" t="inlineStr">
        <is>
          <t>1 Rumus = 1 Contoh Soal + Jawaban Benar &amp; 5 Soal Tes Mandiri (Kunci Jawaban Ada di Sheet Paling Terakhir)</t>
        </is>
      </c>
      <c r="F2" s="12" t="inlineStr">
        <is>
          <t>⬅️ Ke Daftar Isi (00_DAFTAR_ISI)</t>
        </is>
      </c>
      <c r="G2" s="3" t="inlineStr">
        <is>
          <t>🔑 Ke Kunci Jawaban (Sheet Akhir)</t>
        </is>
      </c>
    </row>
    <row r="4" ht="24" customHeight="1">
      <c r="B4" s="13" t="inlineStr">
        <is>
          <t>1️⃣ IDENTITAS RUMUS &amp; FUNGSINYA BUAT APA? (F.INV.RT)</t>
        </is>
      </c>
    </row>
    <row r="5" ht="21" customHeight="1">
      <c r="B5" s="14" t="inlineStr">
        <is>
          <t>Nama Rumus Excel</t>
        </is>
      </c>
      <c r="C5" s="15">
        <f>F.INV.RT(...)</f>
        <v/>
      </c>
      <c r="D5" s="5" t="n"/>
      <c r="E5" s="5" t="n"/>
      <c r="F5" s="5" t="n"/>
      <c r="G5" s="5" t="n"/>
    </row>
    <row r="6" ht="21" customHeight="1">
      <c r="B6" s="14" t="inlineStr">
        <is>
          <t>Sintaks / Pola Umum</t>
        </is>
      </c>
      <c r="C6" s="15">
        <f>F.INV.RT(probabilitas, deg_freedom1, deg_freedom2)</f>
        <v/>
      </c>
      <c r="D6" s="5" t="n"/>
      <c r="E6" s="5" t="n"/>
      <c r="F6" s="5" t="n"/>
      <c r="G6" s="5" t="n"/>
    </row>
    <row r="7" ht="26" customHeight="1">
      <c r="B7" s="14" t="inlineStr">
        <is>
          <t>👶 Fungsinya Buat Apa?</t>
        </is>
      </c>
      <c r="C7" s="16" t="inlineStr">
        <is>
          <t>Menghitung nilai invers dari distribusi probabilitas F ekor kanan.</t>
        </is>
      </c>
      <c r="D7" s="5" t="n"/>
      <c r="E7" s="5" t="n"/>
      <c r="F7" s="5" t="n"/>
      <c r="G7" s="5" t="n"/>
    </row>
    <row r="9" ht="24" customHeight="1">
      <c r="B9" s="17" t="inlineStr">
        <is>
          <t>2️⃣ 1 CONTOH SOAL &amp; CONTOH JAWABAN BENAR (PELAJARI POLA RUMUS F.INV.RT DI SINI)</t>
        </is>
      </c>
    </row>
    <row r="10">
      <c r="B10" s="18" t="inlineStr">
        <is>
          <t>Parameter F</t>
        </is>
      </c>
      <c r="C10" s="18" t="inlineStr">
        <is>
          <t>Nilai Input</t>
        </is>
      </c>
      <c r="E10" s="18" t="inlineStr">
        <is>
          <t>✅ 1 CONTOH SOAL BESERTA CONTOH RUMUS &amp; HASIL JAWABAN BENAR:</t>
        </is>
      </c>
      <c r="F10" s="5" t="n"/>
      <c r="G10" s="5" t="n"/>
    </row>
    <row r="11" ht="28" customHeight="1">
      <c r="B11" s="19" t="inlineStr">
        <is>
          <t>Probabilitas (C11)</t>
        </is>
      </c>
      <c r="C11" s="19" t="n">
        <v>0.15</v>
      </c>
      <c r="E11" s="20" t="inlineStr">
        <is>
          <t>Contoh Soal:</t>
        </is>
      </c>
      <c r="F11" s="21" t="inlineStr">
        <is>
          <t>Hitung nilai invers distribusi F menggunakan fungsi F.INV.RT dengan argumen berurutan C11, C12, dan C13!</t>
        </is>
      </c>
      <c r="G11" s="5" t="n"/>
    </row>
    <row r="12">
      <c r="B12" s="19" t="inlineStr">
        <is>
          <t>Deg Freedom 1 (C12)</t>
        </is>
      </c>
      <c r="C12" s="19" t="n">
        <v>4</v>
      </c>
      <c r="E12" s="20" t="inlineStr">
        <is>
          <t>Contoh Rumus Benar:</t>
        </is>
      </c>
      <c r="F12" s="22" t="inlineStr">
        <is>
          <t>'=F.INV.RT(C11, C12, C13)</t>
        </is>
      </c>
      <c r="G12" s="5" t="n"/>
    </row>
    <row r="13">
      <c r="B13" s="19" t="inlineStr">
        <is>
          <t>Deg Freedom 2 (C13)</t>
        </is>
      </c>
      <c r="C13" s="19" t="n">
        <v>15</v>
      </c>
      <c r="E13" s="20" t="inlineStr">
        <is>
          <t>Contoh Hasil Benar:</t>
        </is>
      </c>
      <c r="F13" s="23">
        <f>F.INV.RT(C11, C12, C13)</f>
        <v/>
      </c>
      <c r="G13" s="5" t="n"/>
    </row>
    <row r="14">
      <c r="B14" s="19" t="inlineStr">
        <is>
          <t>Cadangan</t>
        </is>
      </c>
      <c r="C14" s="19" t="n">
        <v>1</v>
      </c>
    </row>
    <row r="16" ht="26" customHeight="1">
      <c r="B16" s="24" t="inlineStr">
        <is>
          <t>3️⃣ 5 SOAL TES DUNIA NYATA — KERJAKAN DI KOTAK KUNING (TANPA KUNCI RUMUS / HASIL DI SINI!)</t>
        </is>
      </c>
    </row>
    <row r="17" ht="20" customHeight="1">
      <c r="B17" s="25" t="inlineStr">
        <is>
          <t>📌 Catatan Tes: Soal Tes #1 s/d #5 di bawah ini tidak menampilkan kunci rumus maupun hasil. Kunci jawaban lengkap tersedia di sheet paling terakhir (99_KUNCI_JAWABAN).</t>
        </is>
      </c>
    </row>
    <row r="19" ht="22" customHeight="1">
      <c r="B19" s="26" t="inlineStr">
        <is>
          <t>📝 SOAL TES #1: Kasus Keuangan &amp; Akuntansi Kantor</t>
        </is>
      </c>
    </row>
    <row r="20" ht="30" customHeight="1">
      <c r="B20" s="14" t="inlineStr">
        <is>
          <t>Parameter F</t>
        </is>
      </c>
      <c r="C20" s="14" t="inlineStr">
        <is>
          <t>Nilai Input</t>
        </is>
      </c>
      <c r="E20" s="27" t="inlineStr">
        <is>
          <t>Persoalan Tes #1: Hitung nilai invers distribusi F menggunakan fungsi F.INV.RT dengan argumen berurutan C21, C22, dan C23!</t>
        </is>
      </c>
    </row>
    <row r="21">
      <c r="B21" s="19" t="inlineStr">
        <is>
          <t>Probabilitas (C21)</t>
        </is>
      </c>
      <c r="C21" s="19" t="n">
        <v>0.05</v>
      </c>
      <c r="E21" s="14" t="inlineStr">
        <is>
          <t>✏️ KETIK RUMUS JAWABAN TES DI BAWAH:</t>
        </is>
      </c>
      <c r="F21" s="14" t="inlineStr">
        <is>
          <t>📌 STATUS KOREKSI JAWABAN TES:</t>
        </is>
      </c>
      <c r="G21" s="5" t="n"/>
    </row>
    <row r="22" ht="26" customHeight="1">
      <c r="B22" s="19" t="inlineStr">
        <is>
          <t>Deg Freedom 1 (C22)</t>
        </is>
      </c>
      <c r="C22" s="19" t="n">
        <v>4</v>
      </c>
      <c r="E22" s="28" t="n"/>
      <c r="F22" s="29">
        <f>IF(ISBLANK(E22), "⏳ Belum Diisi (Ketik Rumus di Sel Kuning E22)", IF(E22='99_KUNCI_JAWABAN'!F155, "✅ BENAR! JAWABAN TES TEPAT!", "❌ Belum Tepat (Cek Sheet Akhir: 99_KUNCI_JAWABAN)"))</f>
        <v/>
      </c>
      <c r="G22" s="5" t="n"/>
    </row>
    <row r="23">
      <c r="B23" s="19" t="inlineStr">
        <is>
          <t>Deg Freedom 2 (C23)</t>
        </is>
      </c>
      <c r="C23" s="19" t="n">
        <v>10</v>
      </c>
    </row>
    <row r="24">
      <c r="B24" s="19" t="inlineStr">
        <is>
          <t>Cadangan</t>
        </is>
      </c>
      <c r="C24" s="19" t="n">
        <v>1</v>
      </c>
    </row>
    <row r="27" ht="22" customHeight="1">
      <c r="B27" s="26" t="inlineStr">
        <is>
          <t>📝 SOAL TES #2: Kasus HRD, Gaji &amp; Lembur Karyawan</t>
        </is>
      </c>
    </row>
    <row r="28" ht="30" customHeight="1">
      <c r="B28" s="14" t="inlineStr">
        <is>
          <t>Parameter F</t>
        </is>
      </c>
      <c r="C28" s="14" t="inlineStr">
        <is>
          <t>Nilai Input</t>
        </is>
      </c>
      <c r="E28" s="27" t="inlineStr">
        <is>
          <t>Persoalan Tes #2: Hitung nilai invers distribusi F menggunakan fungsi F.INV.RT dengan argumen berurutan C29, C30, dan C31!</t>
        </is>
      </c>
    </row>
    <row r="29">
      <c r="B29" s="19" t="inlineStr">
        <is>
          <t>Probabilitas (C29)</t>
        </is>
      </c>
      <c r="C29" s="19" t="n">
        <v>0.07000000000000001</v>
      </c>
      <c r="E29" s="14" t="inlineStr">
        <is>
          <t>✏️ KETIK RUMUS JAWABAN TES DI BAWAH:</t>
        </is>
      </c>
      <c r="F29" s="14" t="inlineStr">
        <is>
          <t>📌 STATUS KOREKSI JAWABAN TES:</t>
        </is>
      </c>
      <c r="G29" s="5" t="n"/>
    </row>
    <row r="30" ht="26" customHeight="1">
      <c r="B30" s="19" t="inlineStr">
        <is>
          <t>Deg Freedom 1 (C30)</t>
        </is>
      </c>
      <c r="C30" s="19" t="n">
        <v>4</v>
      </c>
      <c r="E30" s="28" t="n"/>
      <c r="F30" s="29">
        <f>IF(ISBLANK(E30), "⏳ Belum Diisi (Ketik Rumus di Sel Kuning E30)", IF(E30='99_KUNCI_JAWABAN'!F156, "✅ BENAR! JAWABAN TES TEPAT!", "❌ Belum Tepat (Cek Sheet Akhir: 99_KUNCI_JAWABAN)"))</f>
        <v/>
      </c>
      <c r="G30" s="5" t="n"/>
    </row>
    <row r="31">
      <c r="B31" s="19" t="inlineStr">
        <is>
          <t>Deg Freedom 2 (C31)</t>
        </is>
      </c>
      <c r="C31" s="19" t="n">
        <v>11</v>
      </c>
    </row>
    <row r="32">
      <c r="B32" s="19" t="inlineStr">
        <is>
          <t>Cadangan</t>
        </is>
      </c>
      <c r="C32" s="19" t="n">
        <v>1</v>
      </c>
    </row>
    <row r="35" ht="22" customHeight="1">
      <c r="B35" s="26" t="inlineStr">
        <is>
          <t>📝 SOAL TES #3: Kasus Logistik &amp; Stok Gudang Utama</t>
        </is>
      </c>
    </row>
    <row r="36" ht="30" customHeight="1">
      <c r="B36" s="14" t="inlineStr">
        <is>
          <t>Parameter F</t>
        </is>
      </c>
      <c r="C36" s="14" t="inlineStr">
        <is>
          <t>Nilai Input</t>
        </is>
      </c>
      <c r="E36" s="27" t="inlineStr">
        <is>
          <t>Persoalan Tes #3: Hitung nilai invers distribusi F menggunakan fungsi F.INV.RT dengan argumen berurutan C37, C38, dan C39!</t>
        </is>
      </c>
    </row>
    <row r="37">
      <c r="B37" s="19" t="inlineStr">
        <is>
          <t>Probabilitas (C37)</t>
        </is>
      </c>
      <c r="C37" s="19" t="n">
        <v>0.09</v>
      </c>
      <c r="E37" s="14" t="inlineStr">
        <is>
          <t>✏️ KETIK RUMUS JAWABAN TES DI BAWAH:</t>
        </is>
      </c>
      <c r="F37" s="14" t="inlineStr">
        <is>
          <t>📌 STATUS KOREKSI JAWABAN TES:</t>
        </is>
      </c>
      <c r="G37" s="5" t="n"/>
    </row>
    <row r="38" ht="26" customHeight="1">
      <c r="B38" s="19" t="inlineStr">
        <is>
          <t>Deg Freedom 1 (C38)</t>
        </is>
      </c>
      <c r="C38" s="19" t="n">
        <v>4</v>
      </c>
      <c r="E38" s="28" t="n"/>
      <c r="F38" s="29">
        <f>IF(ISBLANK(E38), "⏳ Belum Diisi (Ketik Rumus di Sel Kuning E38)", IF(E38='99_KUNCI_JAWABAN'!F157, "✅ BENAR! JAWABAN TES TEPAT!", "❌ Belum Tepat (Cek Sheet Akhir: 99_KUNCI_JAWABAN)"))</f>
        <v/>
      </c>
      <c r="G38" s="5" t="n"/>
    </row>
    <row r="39">
      <c r="B39" s="19" t="inlineStr">
        <is>
          <t>Deg Freedom 2 (C39)</t>
        </is>
      </c>
      <c r="C39" s="19" t="n">
        <v>12</v>
      </c>
    </row>
    <row r="40">
      <c r="B40" s="19" t="inlineStr">
        <is>
          <t>Cadangan</t>
        </is>
      </c>
      <c r="C40" s="19" t="n">
        <v>1</v>
      </c>
    </row>
    <row r="43" ht="22" customHeight="1">
      <c r="B43" s="26" t="inlineStr">
        <is>
          <t>📝 SOAL TES #4: Kasus Penjualan Retail &amp; Target Toko</t>
        </is>
      </c>
    </row>
    <row r="44" ht="30" customHeight="1">
      <c r="B44" s="14" t="inlineStr">
        <is>
          <t>Parameter F</t>
        </is>
      </c>
      <c r="C44" s="14" t="inlineStr">
        <is>
          <t>Nilai Input</t>
        </is>
      </c>
      <c r="E44" s="27" t="inlineStr">
        <is>
          <t>Persoalan Tes #4: Hitung nilai invers distribusi F menggunakan fungsi F.INV.RT dengan argumen berurutan C45, C46, dan C47!</t>
        </is>
      </c>
    </row>
    <row r="45">
      <c r="B45" s="19" t="inlineStr">
        <is>
          <t>Probabilitas (C45)</t>
        </is>
      </c>
      <c r="C45" s="19" t="n">
        <v>0.11</v>
      </c>
      <c r="E45" s="14" t="inlineStr">
        <is>
          <t>✏️ KETIK RUMUS JAWABAN TES DI BAWAH:</t>
        </is>
      </c>
      <c r="F45" s="14" t="inlineStr">
        <is>
          <t>📌 STATUS KOREKSI JAWABAN TES:</t>
        </is>
      </c>
      <c r="G45" s="5" t="n"/>
    </row>
    <row r="46" ht="26" customHeight="1">
      <c r="B46" s="19" t="inlineStr">
        <is>
          <t>Deg Freedom 1 (C46)</t>
        </is>
      </c>
      <c r="C46" s="19" t="n">
        <v>4</v>
      </c>
      <c r="E46" s="28" t="n"/>
      <c r="F46" s="29">
        <f>IF(ISBLANK(E46), "⏳ Belum Diisi (Ketik Rumus di Sel Kuning E46)", IF(E46='99_KUNCI_JAWABAN'!F158, "✅ BENAR! JAWABAN TES TEPAT!", "❌ Belum Tepat (Cek Sheet Akhir: 99_KUNCI_JAWABAN)"))</f>
        <v/>
      </c>
      <c r="G46" s="5" t="n"/>
    </row>
    <row r="47">
      <c r="B47" s="19" t="inlineStr">
        <is>
          <t>Deg Freedom 2 (C47)</t>
        </is>
      </c>
      <c r="C47" s="19" t="n">
        <v>13</v>
      </c>
    </row>
    <row r="48">
      <c r="B48" s="19" t="inlineStr">
        <is>
          <t>Cadangan</t>
        </is>
      </c>
      <c r="C48" s="19" t="n">
        <v>1</v>
      </c>
    </row>
    <row r="51" ht="22" customHeight="1">
      <c r="B51" s="26" t="inlineStr">
        <is>
          <t>📝 SOAL TES #5: Kasus Akademik Sekolah &amp; Layanan Publik</t>
        </is>
      </c>
    </row>
    <row r="52" ht="30" customHeight="1">
      <c r="B52" s="14" t="inlineStr">
        <is>
          <t>Parameter F</t>
        </is>
      </c>
      <c r="C52" s="14" t="inlineStr">
        <is>
          <t>Nilai Input</t>
        </is>
      </c>
      <c r="E52" s="27" t="inlineStr">
        <is>
          <t>Persoalan Tes #5: Hitung nilai invers distribusi F menggunakan fungsi F.INV.RT dengan argumen berurutan C53, C54, dan C55!</t>
        </is>
      </c>
    </row>
    <row r="53">
      <c r="B53" s="19" t="inlineStr">
        <is>
          <t>Probabilitas (C53)</t>
        </is>
      </c>
      <c r="C53" s="19" t="n">
        <v>0.13</v>
      </c>
      <c r="E53" s="14" t="inlineStr">
        <is>
          <t>✏️ KETIK RUMUS JAWABAN TES DI BAWAH:</t>
        </is>
      </c>
      <c r="F53" s="14" t="inlineStr">
        <is>
          <t>📌 STATUS KOREKSI JAWABAN TES:</t>
        </is>
      </c>
      <c r="G53" s="5" t="n"/>
    </row>
    <row r="54" ht="26" customHeight="1">
      <c r="B54" s="19" t="inlineStr">
        <is>
          <t>Deg Freedom 1 (C54)</t>
        </is>
      </c>
      <c r="C54" s="19" t="n">
        <v>4</v>
      </c>
      <c r="E54" s="28" t="n"/>
      <c r="F54" s="29">
        <f>IF(ISBLANK(E54), "⏳ Belum Diisi (Ketik Rumus di Sel Kuning E54)", IF(E54='99_KUNCI_JAWABAN'!F159, "✅ BENAR! JAWABAN TES TEPAT!", "❌ Belum Tepat (Cek Sheet Akhir: 99_KUNCI_JAWABAN)"))</f>
        <v/>
      </c>
      <c r="G54" s="5" t="n"/>
    </row>
    <row r="55">
      <c r="B55" s="19" t="inlineStr">
        <is>
          <t>Deg Freedom 2 (C55)</t>
        </is>
      </c>
      <c r="C55" s="19" t="n">
        <v>14</v>
      </c>
    </row>
    <row r="56">
      <c r="B56" s="19" t="inlineStr">
        <is>
          <t>Cadangan</t>
        </is>
      </c>
      <c r="C56" s="19" t="n">
        <v>1</v>
      </c>
    </row>
  </sheetData>
  <mergeCells count="33">
    <mergeCell ref="E10:G10"/>
    <mergeCell ref="F11:G11"/>
    <mergeCell ref="E28:G28"/>
    <mergeCell ref="F29:G29"/>
    <mergeCell ref="C6:G6"/>
    <mergeCell ref="F54:G54"/>
    <mergeCell ref="B17:G17"/>
    <mergeCell ref="B1:G1"/>
    <mergeCell ref="C5:G5"/>
    <mergeCell ref="B19:G19"/>
    <mergeCell ref="F21:G21"/>
    <mergeCell ref="F12:G12"/>
    <mergeCell ref="F30:G30"/>
    <mergeCell ref="E36:G36"/>
    <mergeCell ref="B9:G9"/>
    <mergeCell ref="F45:G45"/>
    <mergeCell ref="B51:G51"/>
    <mergeCell ref="F38:G38"/>
    <mergeCell ref="B35:G35"/>
    <mergeCell ref="B4:G4"/>
    <mergeCell ref="F46:G46"/>
    <mergeCell ref="F22:G22"/>
    <mergeCell ref="B2:E2"/>
    <mergeCell ref="F13:G13"/>
    <mergeCell ref="B16:G16"/>
    <mergeCell ref="F37:G37"/>
    <mergeCell ref="C7:G7"/>
    <mergeCell ref="E52:G52"/>
    <mergeCell ref="B27:G27"/>
    <mergeCell ref="B43:G43"/>
    <mergeCell ref="E44:G44"/>
    <mergeCell ref="E20:G20"/>
    <mergeCell ref="F53:G53"/>
  </mergeCells>
  <hyperlinks>
    <hyperlink xmlns:r="http://schemas.openxmlformats.org/officeDocument/2006/relationships" ref="F2" r:id="rId1"/>
    <hyperlink xmlns:r="http://schemas.openxmlformats.org/officeDocument/2006/relationships" ref="G2" r:id="rId2"/>
  </hyperlink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B1:G56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22" customWidth="1" min="3" max="3"/>
    <col width="4" customWidth="1" min="4" max="4"/>
    <col width="34" customWidth="1" min="5" max="5"/>
    <col width="44" customWidth="1" min="6" max="6"/>
    <col width="28" customWidth="1" min="7" max="7"/>
  </cols>
  <sheetData>
    <row r="1" ht="30" customHeight="1">
      <c r="B1" s="10" t="inlineStr">
        <is>
          <t>📊 #032 — RUMUS EXCEL: FTEST   |   Kategori: 8. Statistik &amp; Analisis Data</t>
        </is>
      </c>
    </row>
    <row r="2" ht="22" customHeight="1">
      <c r="B2" s="11" t="inlineStr">
        <is>
          <t>1 Rumus = 1 Contoh Soal + Jawaban Benar &amp; 5 Soal Tes Mandiri (Kunci Jawaban Ada di Sheet Paling Terakhir)</t>
        </is>
      </c>
      <c r="F2" s="12" t="inlineStr">
        <is>
          <t>⬅️ Ke Daftar Isi (00_DAFTAR_ISI)</t>
        </is>
      </c>
      <c r="G2" s="3" t="inlineStr">
        <is>
          <t>🔑 Ke Kunci Jawaban (Sheet Akhir)</t>
        </is>
      </c>
    </row>
    <row r="4" ht="24" customHeight="1">
      <c r="B4" s="13" t="inlineStr">
        <is>
          <t>1️⃣ IDENTITAS RUMUS &amp; FUNGSINYA BUAT APA? (FTEST)</t>
        </is>
      </c>
    </row>
    <row r="5" ht="21" customHeight="1">
      <c r="B5" s="14" t="inlineStr">
        <is>
          <t>Nama Rumus Excel</t>
        </is>
      </c>
      <c r="C5" s="15">
        <f>FTEST(...)</f>
        <v/>
      </c>
      <c r="D5" s="5" t="n"/>
      <c r="E5" s="5" t="n"/>
      <c r="F5" s="5" t="n"/>
      <c r="G5" s="5" t="n"/>
    </row>
    <row r="6" ht="21" customHeight="1">
      <c r="B6" s="14" t="inlineStr">
        <is>
          <t>Sintaks / Pola Umum</t>
        </is>
      </c>
      <c r="C6" s="15">
        <f>FTEST(array1, array2)</f>
        <v/>
      </c>
      <c r="D6" s="5" t="n"/>
      <c r="E6" s="5" t="n"/>
      <c r="F6" s="5" t="n"/>
      <c r="G6" s="5" t="n"/>
    </row>
    <row r="7" ht="26" customHeight="1">
      <c r="B7" s="14" t="inlineStr">
        <is>
          <t>👶 Fungsinya Buat Apa?</t>
        </is>
      </c>
      <c r="C7" s="16" t="inlineStr">
        <is>
          <t>Menghasilkan hasil uji-F untuk membandingkan varians dari dua sampel data.</t>
        </is>
      </c>
      <c r="D7" s="5" t="n"/>
      <c r="E7" s="5" t="n"/>
      <c r="F7" s="5" t="n"/>
      <c r="G7" s="5" t="n"/>
    </row>
    <row r="9" ht="24" customHeight="1">
      <c r="B9" s="17" t="inlineStr">
        <is>
          <t>2️⃣ 1 CONTOH SOAL &amp; CONTOH JAWABAN BENAR (PELAJARI POLA RUMUS FTEST DI SINI)</t>
        </is>
      </c>
    </row>
    <row r="10">
      <c r="B10" s="18" t="inlineStr">
        <is>
          <t>Data Variabel 1</t>
        </is>
      </c>
      <c r="C10" s="18" t="inlineStr">
        <is>
          <t>Data Variabel 2</t>
        </is>
      </c>
      <c r="E10" s="18" t="inlineStr">
        <is>
          <t>✅ 1 CONTOH SOAL BESERTA CONTOH RUMUS &amp; HASIL JAWABAN BENAR:</t>
        </is>
      </c>
      <c r="F10" s="5" t="n"/>
      <c r="G10" s="5" t="n"/>
    </row>
    <row r="11" ht="28" customHeight="1">
      <c r="B11" s="19" t="n">
        <v>60</v>
      </c>
      <c r="C11" s="19" t="n">
        <v>90</v>
      </c>
      <c r="E11" s="20" t="inlineStr">
        <is>
          <t>Contoh Soal:</t>
        </is>
      </c>
      <c r="F11" s="21" t="inlineStr">
        <is>
          <t>Analisis hubungan antara data pertama (B11:B14) dan data kedua (C11:C14) menggunakan fungsi FTEST!</t>
        </is>
      </c>
      <c r="G11" s="5" t="n"/>
    </row>
    <row r="12">
      <c r="B12" s="19" t="n">
        <v>120</v>
      </c>
      <c r="C12" s="19" t="n">
        <v>168</v>
      </c>
      <c r="E12" s="20" t="inlineStr">
        <is>
          <t>Contoh Rumus Benar:</t>
        </is>
      </c>
      <c r="F12" s="22" t="inlineStr">
        <is>
          <t>'=FTEST(B11:B14, C11:C14)</t>
        </is>
      </c>
      <c r="G12" s="5" t="n"/>
    </row>
    <row r="13">
      <c r="B13" s="19" t="n">
        <v>210</v>
      </c>
      <c r="C13" s="19" t="n">
        <v>240</v>
      </c>
      <c r="E13" s="20" t="inlineStr">
        <is>
          <t>Contoh Hasil Benar:</t>
        </is>
      </c>
      <c r="F13" s="23">
        <f>FTEST(B11:B14, C11:C14)</f>
        <v/>
      </c>
      <c r="G13" s="5" t="n"/>
    </row>
    <row r="14">
      <c r="B14" s="19" t="n">
        <v>300</v>
      </c>
      <c r="C14" s="19" t="n">
        <v>348</v>
      </c>
    </row>
    <row r="16" ht="26" customHeight="1">
      <c r="B16" s="24" t="inlineStr">
        <is>
          <t>3️⃣ 5 SOAL TES DUNIA NYATA — KERJAKAN DI KOTAK KUNING (TANPA KUNCI RUMUS / HASIL DI SINI!)</t>
        </is>
      </c>
    </row>
    <row r="17" ht="20" customHeight="1">
      <c r="B17" s="25" t="inlineStr">
        <is>
          <t>📌 Catatan Tes: Soal Tes #1 s/d #5 di bawah ini tidak menampilkan kunci rumus maupun hasil. Kunci jawaban lengkap tersedia di sheet paling terakhir (99_KUNCI_JAWABAN).</t>
        </is>
      </c>
    </row>
    <row r="19" ht="22" customHeight="1">
      <c r="B19" s="26" t="inlineStr">
        <is>
          <t>📝 SOAL TES #1: Kasus Keuangan &amp; Akuntansi Kantor</t>
        </is>
      </c>
    </row>
    <row r="20" ht="30" customHeight="1">
      <c r="B20" s="14" t="inlineStr">
        <is>
          <t>Data Variabel 1</t>
        </is>
      </c>
      <c r="C20" s="14" t="inlineStr">
        <is>
          <t>Data Variabel 2</t>
        </is>
      </c>
      <c r="E20" s="27" t="inlineStr">
        <is>
          <t>Persoalan Tes #1: Analisis hubungan antara data pertama (B21:B24) dan data kedua (C21:C24) menggunakan fungsi FTEST!</t>
        </is>
      </c>
    </row>
    <row r="21">
      <c r="B21" s="19" t="n">
        <v>10</v>
      </c>
      <c r="C21" s="19" t="n">
        <v>15</v>
      </c>
      <c r="E21" s="14" t="inlineStr">
        <is>
          <t>✏️ KETIK RUMUS JAWABAN TES DI BAWAH:</t>
        </is>
      </c>
      <c r="F21" s="14" t="inlineStr">
        <is>
          <t>📌 STATUS KOREKSI JAWABAN TES:</t>
        </is>
      </c>
      <c r="G21" s="5" t="n"/>
    </row>
    <row r="22" ht="26" customHeight="1">
      <c r="B22" s="19" t="n">
        <v>20</v>
      </c>
      <c r="C22" s="19" t="n">
        <v>28</v>
      </c>
      <c r="E22" s="28" t="n"/>
      <c r="F22" s="29">
        <f>IF(ISBLANK(E22), "⏳ Belum Diisi (Ketik Rumus di Sel Kuning E22)", IF(E22='99_KUNCI_JAWABAN'!F160, "✅ BENAR! JAWABAN TES TEPAT!", "❌ Belum Tepat (Cek Sheet Akhir: 99_KUNCI_JAWABAN)"))</f>
        <v/>
      </c>
      <c r="G22" s="5" t="n"/>
    </row>
    <row r="23">
      <c r="B23" s="19" t="n">
        <v>35</v>
      </c>
      <c r="C23" s="19" t="n">
        <v>40</v>
      </c>
    </row>
    <row r="24">
      <c r="B24" s="19" t="n">
        <v>50</v>
      </c>
      <c r="C24" s="19" t="n">
        <v>58</v>
      </c>
    </row>
    <row r="27" ht="22" customHeight="1">
      <c r="B27" s="26" t="inlineStr">
        <is>
          <t>📝 SOAL TES #2: Kasus HRD, Gaji &amp; Lembur Karyawan</t>
        </is>
      </c>
    </row>
    <row r="28" ht="30" customHeight="1">
      <c r="B28" s="14" t="inlineStr">
        <is>
          <t>Data Variabel 1</t>
        </is>
      </c>
      <c r="C28" s="14" t="inlineStr">
        <is>
          <t>Data Variabel 2</t>
        </is>
      </c>
      <c r="E28" s="27" t="inlineStr">
        <is>
          <t>Persoalan Tes #2: Analisis hubungan antara data pertama (B29:B32) dan data kedua (C29:C32) menggunakan fungsi FTEST!</t>
        </is>
      </c>
    </row>
    <row r="29">
      <c r="B29" s="19" t="n">
        <v>20</v>
      </c>
      <c r="C29" s="19" t="n">
        <v>30</v>
      </c>
      <c r="E29" s="14" t="inlineStr">
        <is>
          <t>✏️ KETIK RUMUS JAWABAN TES DI BAWAH:</t>
        </is>
      </c>
      <c r="F29" s="14" t="inlineStr">
        <is>
          <t>📌 STATUS KOREKSI JAWABAN TES:</t>
        </is>
      </c>
      <c r="G29" s="5" t="n"/>
    </row>
    <row r="30" ht="26" customHeight="1">
      <c r="B30" s="19" t="n">
        <v>40</v>
      </c>
      <c r="C30" s="19" t="n">
        <v>56</v>
      </c>
      <c r="E30" s="28" t="n"/>
      <c r="F30" s="29">
        <f>IF(ISBLANK(E30), "⏳ Belum Diisi (Ketik Rumus di Sel Kuning E30)", IF(E30='99_KUNCI_JAWABAN'!F161, "✅ BENAR! JAWABAN TES TEPAT!", "❌ Belum Tepat (Cek Sheet Akhir: 99_KUNCI_JAWABAN)"))</f>
        <v/>
      </c>
      <c r="G30" s="5" t="n"/>
    </row>
    <row r="31">
      <c r="B31" s="19" t="n">
        <v>70</v>
      </c>
      <c r="C31" s="19" t="n">
        <v>80</v>
      </c>
    </row>
    <row r="32">
      <c r="B32" s="19" t="n">
        <v>100</v>
      </c>
      <c r="C32" s="19" t="n">
        <v>116</v>
      </c>
    </row>
    <row r="35" ht="22" customHeight="1">
      <c r="B35" s="26" t="inlineStr">
        <is>
          <t>📝 SOAL TES #3: Kasus Logistik &amp; Stok Gudang Utama</t>
        </is>
      </c>
    </row>
    <row r="36" ht="30" customHeight="1">
      <c r="B36" s="14" t="inlineStr">
        <is>
          <t>Data Variabel 1</t>
        </is>
      </c>
      <c r="C36" s="14" t="inlineStr">
        <is>
          <t>Data Variabel 2</t>
        </is>
      </c>
      <c r="E36" s="27" t="inlineStr">
        <is>
          <t>Persoalan Tes #3: Analisis hubungan antara data pertama (B37:B40) dan data kedua (C37:C40) menggunakan fungsi FTEST!</t>
        </is>
      </c>
    </row>
    <row r="37">
      <c r="B37" s="19" t="n">
        <v>30</v>
      </c>
      <c r="C37" s="19" t="n">
        <v>45</v>
      </c>
      <c r="E37" s="14" t="inlineStr">
        <is>
          <t>✏️ KETIK RUMUS JAWABAN TES DI BAWAH:</t>
        </is>
      </c>
      <c r="F37" s="14" t="inlineStr">
        <is>
          <t>📌 STATUS KOREKSI JAWABAN TES:</t>
        </is>
      </c>
      <c r="G37" s="5" t="n"/>
    </row>
    <row r="38" ht="26" customHeight="1">
      <c r="B38" s="19" t="n">
        <v>60</v>
      </c>
      <c r="C38" s="19" t="n">
        <v>84</v>
      </c>
      <c r="E38" s="28" t="n"/>
      <c r="F38" s="29">
        <f>IF(ISBLANK(E38), "⏳ Belum Diisi (Ketik Rumus di Sel Kuning E38)", IF(E38='99_KUNCI_JAWABAN'!F162, "✅ BENAR! JAWABAN TES TEPAT!", "❌ Belum Tepat (Cek Sheet Akhir: 99_KUNCI_JAWABAN)"))</f>
        <v/>
      </c>
      <c r="G38" s="5" t="n"/>
    </row>
    <row r="39">
      <c r="B39" s="19" t="n">
        <v>105</v>
      </c>
      <c r="C39" s="19" t="n">
        <v>120</v>
      </c>
    </row>
    <row r="40">
      <c r="B40" s="19" t="n">
        <v>150</v>
      </c>
      <c r="C40" s="19" t="n">
        <v>174</v>
      </c>
    </row>
    <row r="43" ht="22" customHeight="1">
      <c r="B43" s="26" t="inlineStr">
        <is>
          <t>📝 SOAL TES #4: Kasus Penjualan Retail &amp; Target Toko</t>
        </is>
      </c>
    </row>
    <row r="44" ht="30" customHeight="1">
      <c r="B44" s="14" t="inlineStr">
        <is>
          <t>Data Variabel 1</t>
        </is>
      </c>
      <c r="C44" s="14" t="inlineStr">
        <is>
          <t>Data Variabel 2</t>
        </is>
      </c>
      <c r="E44" s="27" t="inlineStr">
        <is>
          <t>Persoalan Tes #4: Analisis hubungan antara data pertama (B45:B48) dan data kedua (C45:C48) menggunakan fungsi FTEST!</t>
        </is>
      </c>
    </row>
    <row r="45">
      <c r="B45" s="19" t="n">
        <v>40</v>
      </c>
      <c r="C45" s="19" t="n">
        <v>60</v>
      </c>
      <c r="E45" s="14" t="inlineStr">
        <is>
          <t>✏️ KETIK RUMUS JAWABAN TES DI BAWAH:</t>
        </is>
      </c>
      <c r="F45" s="14" t="inlineStr">
        <is>
          <t>📌 STATUS KOREKSI JAWABAN TES:</t>
        </is>
      </c>
      <c r="G45" s="5" t="n"/>
    </row>
    <row r="46" ht="26" customHeight="1">
      <c r="B46" s="19" t="n">
        <v>80</v>
      </c>
      <c r="C46" s="19" t="n">
        <v>112</v>
      </c>
      <c r="E46" s="28" t="n"/>
      <c r="F46" s="29">
        <f>IF(ISBLANK(E46), "⏳ Belum Diisi (Ketik Rumus di Sel Kuning E46)", IF(E46='99_KUNCI_JAWABAN'!F163, "✅ BENAR! JAWABAN TES TEPAT!", "❌ Belum Tepat (Cek Sheet Akhir: 99_KUNCI_JAWABAN)"))</f>
        <v/>
      </c>
      <c r="G46" s="5" t="n"/>
    </row>
    <row r="47">
      <c r="B47" s="19" t="n">
        <v>140</v>
      </c>
      <c r="C47" s="19" t="n">
        <v>160</v>
      </c>
    </row>
    <row r="48">
      <c r="B48" s="19" t="n">
        <v>200</v>
      </c>
      <c r="C48" s="19" t="n">
        <v>232</v>
      </c>
    </row>
    <row r="51" ht="22" customHeight="1">
      <c r="B51" s="26" t="inlineStr">
        <is>
          <t>📝 SOAL TES #5: Kasus Akademik Sekolah &amp; Layanan Publik</t>
        </is>
      </c>
    </row>
    <row r="52" ht="30" customHeight="1">
      <c r="B52" s="14" t="inlineStr">
        <is>
          <t>Data Variabel 1</t>
        </is>
      </c>
      <c r="C52" s="14" t="inlineStr">
        <is>
          <t>Data Variabel 2</t>
        </is>
      </c>
      <c r="E52" s="27" t="inlineStr">
        <is>
          <t>Persoalan Tes #5: Analisis hubungan antara data pertama (B53:B56) dan data kedua (C53:C56) menggunakan fungsi FTEST!</t>
        </is>
      </c>
    </row>
    <row r="53">
      <c r="B53" s="19" t="n">
        <v>50</v>
      </c>
      <c r="C53" s="19" t="n">
        <v>75</v>
      </c>
      <c r="E53" s="14" t="inlineStr">
        <is>
          <t>✏️ KETIK RUMUS JAWABAN TES DI BAWAH:</t>
        </is>
      </c>
      <c r="F53" s="14" t="inlineStr">
        <is>
          <t>📌 STATUS KOREKSI JAWABAN TES:</t>
        </is>
      </c>
      <c r="G53" s="5" t="n"/>
    </row>
    <row r="54" ht="26" customHeight="1">
      <c r="B54" s="19" t="n">
        <v>100</v>
      </c>
      <c r="C54" s="19" t="n">
        <v>140</v>
      </c>
      <c r="E54" s="28" t="n"/>
      <c r="F54" s="29">
        <f>IF(ISBLANK(E54), "⏳ Belum Diisi (Ketik Rumus di Sel Kuning E54)", IF(E54='99_KUNCI_JAWABAN'!F164, "✅ BENAR! JAWABAN TES TEPAT!", "❌ Belum Tepat (Cek Sheet Akhir: 99_KUNCI_JAWABAN)"))</f>
        <v/>
      </c>
      <c r="G54" s="5" t="n"/>
    </row>
    <row r="55">
      <c r="B55" s="19" t="n">
        <v>175</v>
      </c>
      <c r="C55" s="19" t="n">
        <v>200</v>
      </c>
    </row>
    <row r="56">
      <c r="B56" s="19" t="n">
        <v>250</v>
      </c>
      <c r="C56" s="19" t="n">
        <v>290</v>
      </c>
    </row>
  </sheetData>
  <mergeCells count="33">
    <mergeCell ref="E10:G10"/>
    <mergeCell ref="F11:G11"/>
    <mergeCell ref="E28:G28"/>
    <mergeCell ref="F29:G29"/>
    <mergeCell ref="C6:G6"/>
    <mergeCell ref="F54:G54"/>
    <mergeCell ref="B17:G17"/>
    <mergeCell ref="B1:G1"/>
    <mergeCell ref="C5:G5"/>
    <mergeCell ref="B19:G19"/>
    <mergeCell ref="F21:G21"/>
    <mergeCell ref="F12:G12"/>
    <mergeCell ref="F30:G30"/>
    <mergeCell ref="E36:G36"/>
    <mergeCell ref="B9:G9"/>
    <mergeCell ref="F45:G45"/>
    <mergeCell ref="B51:G51"/>
    <mergeCell ref="F38:G38"/>
    <mergeCell ref="B35:G35"/>
    <mergeCell ref="B4:G4"/>
    <mergeCell ref="F46:G46"/>
    <mergeCell ref="F22:G22"/>
    <mergeCell ref="B2:E2"/>
    <mergeCell ref="F13:G13"/>
    <mergeCell ref="B16:G16"/>
    <mergeCell ref="F37:G37"/>
    <mergeCell ref="C7:G7"/>
    <mergeCell ref="E52:G52"/>
    <mergeCell ref="B27:G27"/>
    <mergeCell ref="B43:G43"/>
    <mergeCell ref="E44:G44"/>
    <mergeCell ref="E20:G20"/>
    <mergeCell ref="F53:G53"/>
  </mergeCells>
  <hyperlinks>
    <hyperlink xmlns:r="http://schemas.openxmlformats.org/officeDocument/2006/relationships" ref="F2" r:id="rId1"/>
    <hyperlink xmlns:r="http://schemas.openxmlformats.org/officeDocument/2006/relationships" ref="G2" r:id="rId2"/>
  </hyperlink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B1:G56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22" customWidth="1" min="3" max="3"/>
    <col width="4" customWidth="1" min="4" max="4"/>
    <col width="34" customWidth="1" min="5" max="5"/>
    <col width="44" customWidth="1" min="6" max="6"/>
    <col width="28" customWidth="1" min="7" max="7"/>
  </cols>
  <sheetData>
    <row r="1" ht="30" customHeight="1">
      <c r="B1" s="10" t="inlineStr">
        <is>
          <t>📊 #033 — RUMUS EXCEL: FISHER   |   Kategori: 8. Statistik &amp; Analisis Data</t>
        </is>
      </c>
    </row>
    <row r="2" ht="22" customHeight="1">
      <c r="B2" s="11" t="inlineStr">
        <is>
          <t>1 Rumus = 1 Contoh Soal + Jawaban Benar &amp; 5 Soal Tes Mandiri (Kunci Jawaban Ada di Sheet Paling Terakhir)</t>
        </is>
      </c>
      <c r="F2" s="12" t="inlineStr">
        <is>
          <t>⬅️ Ke Daftar Isi (00_DAFTAR_ISI)</t>
        </is>
      </c>
      <c r="G2" s="3" t="inlineStr">
        <is>
          <t>🔑 Ke Kunci Jawaban (Sheet Akhir)</t>
        </is>
      </c>
    </row>
    <row r="4" ht="24" customHeight="1">
      <c r="B4" s="13" t="inlineStr">
        <is>
          <t>1️⃣ IDENTITAS RUMUS &amp; FUNGSINYA BUAT APA? (FISHER)</t>
        </is>
      </c>
    </row>
    <row r="5" ht="21" customHeight="1">
      <c r="B5" s="14" t="inlineStr">
        <is>
          <t>Nama Rumus Excel</t>
        </is>
      </c>
      <c r="C5" s="15">
        <f>FISHER(...)</f>
        <v/>
      </c>
      <c r="D5" s="5" t="n"/>
      <c r="E5" s="5" t="n"/>
      <c r="F5" s="5" t="n"/>
      <c r="G5" s="5" t="n"/>
    </row>
    <row r="6" ht="21" customHeight="1">
      <c r="B6" s="14" t="inlineStr">
        <is>
          <t>Sintaks / Pola Umum</t>
        </is>
      </c>
      <c r="C6" s="15">
        <f>FISHER(x)</f>
        <v/>
      </c>
      <c r="D6" s="5" t="n"/>
      <c r="E6" s="5" t="n"/>
      <c r="F6" s="5" t="n"/>
      <c r="G6" s="5" t="n"/>
    </row>
    <row r="7" ht="26" customHeight="1">
      <c r="B7" s="14" t="inlineStr">
        <is>
          <t>👶 Fungsinya Buat Apa?</t>
        </is>
      </c>
      <c r="C7" s="16" t="inlineStr">
        <is>
          <t>Menghitung transformasi Fisher pada nilai koefisien korelasi r (-1 &lt; x &lt; 1).</t>
        </is>
      </c>
      <c r="D7" s="5" t="n"/>
      <c r="E7" s="5" t="n"/>
      <c r="F7" s="5" t="n"/>
      <c r="G7" s="5" t="n"/>
    </row>
    <row r="9" ht="24" customHeight="1">
      <c r="B9" s="17" t="inlineStr">
        <is>
          <t>2️⃣ 1 CONTOH SOAL &amp; CONTOH JAWABAN BENAR (PELAJARI POLA RUMUS FISHER DI SINI)</t>
        </is>
      </c>
    </row>
    <row r="10">
      <c r="B10" s="18" t="inlineStr">
        <is>
          <t>Parameter Statistik</t>
        </is>
      </c>
      <c r="C10" s="18" t="inlineStr">
        <is>
          <t>Nilai Koefisien</t>
        </is>
      </c>
      <c r="E10" s="18" t="inlineStr">
        <is>
          <t>✅ 1 CONTOH SOAL BESERTA CONTOH RUMUS &amp; HASIL JAWABAN BENAR:</t>
        </is>
      </c>
      <c r="F10" s="5" t="n"/>
      <c r="G10" s="5" t="n"/>
    </row>
    <row r="11" ht="28" customHeight="1">
      <c r="B11" s="19" t="inlineStr">
        <is>
          <t>Simulasi Unit A</t>
        </is>
      </c>
      <c r="C11" s="19" t="n">
        <v>0.75</v>
      </c>
      <c r="E11" s="20" t="inlineStr">
        <is>
          <t>Contoh Soal:</t>
        </is>
      </c>
      <c r="F11" s="21" t="inlineStr">
        <is>
          <t>Hitung hasil transformasi FISHER untuk nilai koefisien pada sel C11 (0.75)!</t>
        </is>
      </c>
      <c r="G11" s="5" t="n"/>
    </row>
    <row r="12">
      <c r="B12" s="19" t="inlineStr">
        <is>
          <t>Simulasi Unit B</t>
        </is>
      </c>
      <c r="C12" s="19" t="n">
        <v>0.4</v>
      </c>
      <c r="E12" s="20" t="inlineStr">
        <is>
          <t>Contoh Rumus Benar:</t>
        </is>
      </c>
      <c r="F12" s="22" t="inlineStr">
        <is>
          <t>'=FISHER(C11)</t>
        </is>
      </c>
      <c r="G12" s="5" t="n"/>
    </row>
    <row r="13">
      <c r="B13" s="19" t="inlineStr">
        <is>
          <t>Simulasi Unit C</t>
        </is>
      </c>
      <c r="C13" s="19" t="n">
        <v>0.5</v>
      </c>
      <c r="E13" s="20" t="inlineStr">
        <is>
          <t>Contoh Hasil Benar:</t>
        </is>
      </c>
      <c r="F13" s="23">
        <f>FISHER(C11)</f>
        <v/>
      </c>
      <c r="G13" s="5" t="n"/>
    </row>
    <row r="14">
      <c r="B14" s="19" t="inlineStr">
        <is>
          <t>Simulasi Unit D</t>
        </is>
      </c>
      <c r="C14" s="19" t="n">
        <v>0.6</v>
      </c>
    </row>
    <row r="16" ht="26" customHeight="1">
      <c r="B16" s="24" t="inlineStr">
        <is>
          <t>3️⃣ 5 SOAL TES DUNIA NYATA — KERJAKAN DI KOTAK KUNING (TANPA KUNCI RUMUS / HASIL DI SINI!)</t>
        </is>
      </c>
    </row>
    <row r="17" ht="20" customHeight="1">
      <c r="B17" s="25" t="inlineStr">
        <is>
          <t>📌 Catatan Tes: Soal Tes #1 s/d #5 di bawah ini tidak menampilkan kunci rumus maupun hasil. Kunci jawaban lengkap tersedia di sheet paling terakhir (99_KUNCI_JAWABAN).</t>
        </is>
      </c>
    </row>
    <row r="19" ht="22" customHeight="1">
      <c r="B19" s="26" t="inlineStr">
        <is>
          <t>📝 SOAL TES #1: Kasus Keuangan &amp; Akuntansi Kantor</t>
        </is>
      </c>
    </row>
    <row r="20" ht="30" customHeight="1">
      <c r="B20" s="14" t="inlineStr">
        <is>
          <t>Parameter Statistik</t>
        </is>
      </c>
      <c r="C20" s="14" t="inlineStr">
        <is>
          <t>Nilai Koefisien</t>
        </is>
      </c>
      <c r="E20" s="27" t="inlineStr">
        <is>
          <t>Persoalan Tes #1: Hitung hasil transformasi FISHER untuk nilai koefisien pada sel C21 (0.25)!</t>
        </is>
      </c>
    </row>
    <row r="21">
      <c r="B21" s="19" t="inlineStr">
        <is>
          <t>Cabang Jakarta</t>
        </is>
      </c>
      <c r="C21" s="19" t="n">
        <v>0.25</v>
      </c>
      <c r="E21" s="14" t="inlineStr">
        <is>
          <t>✏️ KETIK RUMUS JAWABAN TES DI BAWAH:</t>
        </is>
      </c>
      <c r="F21" s="14" t="inlineStr">
        <is>
          <t>📌 STATUS KOREKSI JAWABAN TES:</t>
        </is>
      </c>
      <c r="G21" s="5" t="n"/>
    </row>
    <row r="22" ht="26" customHeight="1">
      <c r="B22" s="19" t="inlineStr">
        <is>
          <t>Cabang Bandung</t>
        </is>
      </c>
      <c r="C22" s="19" t="n">
        <v>0.4</v>
      </c>
      <c r="E22" s="28" t="n"/>
      <c r="F22" s="29">
        <f>IF(ISBLANK(E22), "⏳ Belum Diisi (Ketik Rumus di Sel Kuning E22)", IF(E22='99_KUNCI_JAWABAN'!F165, "✅ BENAR! JAWABAN TES TEPAT!", "❌ Belum Tepat (Cek Sheet Akhir: 99_KUNCI_JAWABAN)"))</f>
        <v/>
      </c>
      <c r="G22" s="5" t="n"/>
    </row>
    <row r="23">
      <c r="B23" s="19" t="inlineStr">
        <is>
          <t>Cabang Surabaya</t>
        </is>
      </c>
      <c r="C23" s="19" t="n">
        <v>0.5</v>
      </c>
    </row>
    <row r="24">
      <c r="B24" s="19" t="inlineStr">
        <is>
          <t>Cabang Medan</t>
        </is>
      </c>
      <c r="C24" s="19" t="n">
        <v>0.6</v>
      </c>
    </row>
    <row r="27" ht="22" customHeight="1">
      <c r="B27" s="26" t="inlineStr">
        <is>
          <t>📝 SOAL TES #2: Kasus HRD, Gaji &amp; Lembur Karyawan</t>
        </is>
      </c>
    </row>
    <row r="28" ht="30" customHeight="1">
      <c r="B28" s="14" t="inlineStr">
        <is>
          <t>Parameter Statistik</t>
        </is>
      </c>
      <c r="C28" s="14" t="inlineStr">
        <is>
          <t>Nilai Koefisien</t>
        </is>
      </c>
      <c r="E28" s="27" t="inlineStr">
        <is>
          <t>Persoalan Tes #2: Hitung hasil transformasi FISHER untuk nilai koefisien pada sel C29 (0.35)!</t>
        </is>
      </c>
    </row>
    <row r="29">
      <c r="B29" s="19" t="inlineStr">
        <is>
          <t>Budi Santoso</t>
        </is>
      </c>
      <c r="C29" s="19" t="n">
        <v>0.35</v>
      </c>
      <c r="E29" s="14" t="inlineStr">
        <is>
          <t>✏️ KETIK RUMUS JAWABAN TES DI BAWAH:</t>
        </is>
      </c>
      <c r="F29" s="14" t="inlineStr">
        <is>
          <t>📌 STATUS KOREKSI JAWABAN TES:</t>
        </is>
      </c>
      <c r="G29" s="5" t="n"/>
    </row>
    <row r="30" ht="26" customHeight="1">
      <c r="B30" s="19" t="inlineStr">
        <is>
          <t>Siti Aminah</t>
        </is>
      </c>
      <c r="C30" s="19" t="n">
        <v>0.4</v>
      </c>
      <c r="E30" s="28" t="n"/>
      <c r="F30" s="29">
        <f>IF(ISBLANK(E30), "⏳ Belum Diisi (Ketik Rumus di Sel Kuning E30)", IF(E30='99_KUNCI_JAWABAN'!F166, "✅ BENAR! JAWABAN TES TEPAT!", "❌ Belum Tepat (Cek Sheet Akhir: 99_KUNCI_JAWABAN)"))</f>
        <v/>
      </c>
      <c r="G30" s="5" t="n"/>
    </row>
    <row r="31">
      <c r="B31" s="19" t="inlineStr">
        <is>
          <t>Andi Pratama</t>
        </is>
      </c>
      <c r="C31" s="19" t="n">
        <v>0.5</v>
      </c>
    </row>
    <row r="32">
      <c r="B32" s="19" t="inlineStr">
        <is>
          <t>Rina Wijaya</t>
        </is>
      </c>
      <c r="C32" s="19" t="n">
        <v>0.6</v>
      </c>
    </row>
    <row r="35" ht="22" customHeight="1">
      <c r="B35" s="26" t="inlineStr">
        <is>
          <t>📝 SOAL TES #3: Kasus Logistik &amp; Stok Gudang Utama</t>
        </is>
      </c>
    </row>
    <row r="36" ht="30" customHeight="1">
      <c r="B36" s="14" t="inlineStr">
        <is>
          <t>Parameter Statistik</t>
        </is>
      </c>
      <c r="C36" s="14" t="inlineStr">
        <is>
          <t>Nilai Koefisien</t>
        </is>
      </c>
      <c r="E36" s="27" t="inlineStr">
        <is>
          <t>Persoalan Tes #3: Hitung hasil transformasi FISHER untuk nilai koefisien pada sel C37 (0.45)!</t>
        </is>
      </c>
    </row>
    <row r="37">
      <c r="B37" s="19" t="inlineStr">
        <is>
          <t>Gudang Blok A</t>
        </is>
      </c>
      <c r="C37" s="19" t="n">
        <v>0.45</v>
      </c>
      <c r="E37" s="14" t="inlineStr">
        <is>
          <t>✏️ KETIK RUMUS JAWABAN TES DI BAWAH:</t>
        </is>
      </c>
      <c r="F37" s="14" t="inlineStr">
        <is>
          <t>📌 STATUS KOREKSI JAWABAN TES:</t>
        </is>
      </c>
      <c r="G37" s="5" t="n"/>
    </row>
    <row r="38" ht="26" customHeight="1">
      <c r="B38" s="19" t="inlineStr">
        <is>
          <t>Gudang Blok B</t>
        </is>
      </c>
      <c r="C38" s="19" t="n">
        <v>0.4</v>
      </c>
      <c r="E38" s="28" t="n"/>
      <c r="F38" s="29">
        <f>IF(ISBLANK(E38), "⏳ Belum Diisi (Ketik Rumus di Sel Kuning E38)", IF(E38='99_KUNCI_JAWABAN'!F167, "✅ BENAR! JAWABAN TES TEPAT!", "❌ Belum Tepat (Cek Sheet Akhir: 99_KUNCI_JAWABAN)"))</f>
        <v/>
      </c>
      <c r="G38" s="5" t="n"/>
    </row>
    <row r="39">
      <c r="B39" s="19" t="inlineStr">
        <is>
          <t>Gudang Blok C</t>
        </is>
      </c>
      <c r="C39" s="19" t="n">
        <v>0.5</v>
      </c>
    </row>
    <row r="40">
      <c r="B40" s="19" t="inlineStr">
        <is>
          <t>Gudang Blok D</t>
        </is>
      </c>
      <c r="C40" s="19" t="n">
        <v>0.6</v>
      </c>
    </row>
    <row r="43" ht="22" customHeight="1">
      <c r="B43" s="26" t="inlineStr">
        <is>
          <t>📝 SOAL TES #4: Kasus Penjualan Retail &amp; Target Toko</t>
        </is>
      </c>
    </row>
    <row r="44" ht="30" customHeight="1">
      <c r="B44" s="14" t="inlineStr">
        <is>
          <t>Parameter Statistik</t>
        </is>
      </c>
      <c r="C44" s="14" t="inlineStr">
        <is>
          <t>Nilai Koefisien</t>
        </is>
      </c>
      <c r="E44" s="27" t="inlineStr">
        <is>
          <t>Persoalan Tes #4: Hitung hasil transformasi FISHER untuk nilai koefisien pada sel C45 (0.55)!</t>
        </is>
      </c>
    </row>
    <row r="45">
      <c r="B45" s="19" t="inlineStr">
        <is>
          <t>Toko Elektronik</t>
        </is>
      </c>
      <c r="C45" s="19" t="n">
        <v>0.55</v>
      </c>
      <c r="E45" s="14" t="inlineStr">
        <is>
          <t>✏️ KETIK RUMUS JAWABAN TES DI BAWAH:</t>
        </is>
      </c>
      <c r="F45" s="14" t="inlineStr">
        <is>
          <t>📌 STATUS KOREKSI JAWABAN TES:</t>
        </is>
      </c>
      <c r="G45" s="5" t="n"/>
    </row>
    <row r="46" ht="26" customHeight="1">
      <c r="B46" s="19" t="inlineStr">
        <is>
          <t>Toko Komputer</t>
        </is>
      </c>
      <c r="C46" s="19" t="n">
        <v>0.4</v>
      </c>
      <c r="E46" s="28" t="n"/>
      <c r="F46" s="29">
        <f>IF(ISBLANK(E46), "⏳ Belum Diisi (Ketik Rumus di Sel Kuning E46)", IF(E46='99_KUNCI_JAWABAN'!F168, "✅ BENAR! JAWABAN TES TEPAT!", "❌ Belum Tepat (Cek Sheet Akhir: 99_KUNCI_JAWABAN)"))</f>
        <v/>
      </c>
      <c r="G46" s="5" t="n"/>
    </row>
    <row r="47">
      <c r="B47" s="19" t="inlineStr">
        <is>
          <t>Toko Aksesoris</t>
        </is>
      </c>
      <c r="C47" s="19" t="n">
        <v>0.5</v>
      </c>
    </row>
    <row r="48">
      <c r="B48" s="19" t="inlineStr">
        <is>
          <t>Toko Servis</t>
        </is>
      </c>
      <c r="C48" s="19" t="n">
        <v>0.6</v>
      </c>
    </row>
    <row r="51" ht="22" customHeight="1">
      <c r="B51" s="26" t="inlineStr">
        <is>
          <t>📝 SOAL TES #5: Kasus Akademik Sekolah &amp; Layanan Publik</t>
        </is>
      </c>
    </row>
    <row r="52" ht="30" customHeight="1">
      <c r="B52" s="14" t="inlineStr">
        <is>
          <t>Parameter Statistik</t>
        </is>
      </c>
      <c r="C52" s="14" t="inlineStr">
        <is>
          <t>Nilai Koefisien</t>
        </is>
      </c>
      <c r="E52" s="27" t="inlineStr">
        <is>
          <t>Persoalan Tes #5: Hitung hasil transformasi FISHER untuk nilai koefisien pada sel C53 (0.65)!</t>
        </is>
      </c>
    </row>
    <row r="53">
      <c r="B53" s="19" t="inlineStr">
        <is>
          <t>Kelas 10 IPA</t>
        </is>
      </c>
      <c r="C53" s="19" t="n">
        <v>0.65</v>
      </c>
      <c r="E53" s="14" t="inlineStr">
        <is>
          <t>✏️ KETIK RUMUS JAWABAN TES DI BAWAH:</t>
        </is>
      </c>
      <c r="F53" s="14" t="inlineStr">
        <is>
          <t>📌 STATUS KOREKSI JAWABAN TES:</t>
        </is>
      </c>
      <c r="G53" s="5" t="n"/>
    </row>
    <row r="54" ht="26" customHeight="1">
      <c r="B54" s="19" t="inlineStr">
        <is>
          <t>Kelas 11 IPA</t>
        </is>
      </c>
      <c r="C54" s="19" t="n">
        <v>0.4</v>
      </c>
      <c r="E54" s="28" t="n"/>
      <c r="F54" s="29">
        <f>IF(ISBLANK(E54), "⏳ Belum Diisi (Ketik Rumus di Sel Kuning E54)", IF(E54='99_KUNCI_JAWABAN'!F169, "✅ BENAR! JAWABAN TES TEPAT!", "❌ Belum Tepat (Cek Sheet Akhir: 99_KUNCI_JAWABAN)"))</f>
        <v/>
      </c>
      <c r="G54" s="5" t="n"/>
    </row>
    <row r="55">
      <c r="B55" s="19" t="inlineStr">
        <is>
          <t>Kelas 12 IPA</t>
        </is>
      </c>
      <c r="C55" s="19" t="n">
        <v>0.5</v>
      </c>
    </row>
    <row r="56">
      <c r="B56" s="19" t="inlineStr">
        <is>
          <t>Kelas Unggulan</t>
        </is>
      </c>
      <c r="C56" s="19" t="n">
        <v>0.6</v>
      </c>
    </row>
  </sheetData>
  <mergeCells count="33">
    <mergeCell ref="E10:G10"/>
    <mergeCell ref="F11:G11"/>
    <mergeCell ref="E28:G28"/>
    <mergeCell ref="F29:G29"/>
    <mergeCell ref="C6:G6"/>
    <mergeCell ref="F54:G54"/>
    <mergeCell ref="B17:G17"/>
    <mergeCell ref="B1:G1"/>
    <mergeCell ref="C5:G5"/>
    <mergeCell ref="B19:G19"/>
    <mergeCell ref="F21:G21"/>
    <mergeCell ref="F12:G12"/>
    <mergeCell ref="F30:G30"/>
    <mergeCell ref="E36:G36"/>
    <mergeCell ref="B9:G9"/>
    <mergeCell ref="F45:G45"/>
    <mergeCell ref="B51:G51"/>
    <mergeCell ref="F38:G38"/>
    <mergeCell ref="B35:G35"/>
    <mergeCell ref="B4:G4"/>
    <mergeCell ref="F46:G46"/>
    <mergeCell ref="F22:G22"/>
    <mergeCell ref="B2:E2"/>
    <mergeCell ref="F13:G13"/>
    <mergeCell ref="B16:G16"/>
    <mergeCell ref="F37:G37"/>
    <mergeCell ref="C7:G7"/>
    <mergeCell ref="E52:G52"/>
    <mergeCell ref="B27:G27"/>
    <mergeCell ref="B43:G43"/>
    <mergeCell ref="E44:G44"/>
    <mergeCell ref="E20:G20"/>
    <mergeCell ref="F53:G53"/>
  </mergeCells>
  <hyperlinks>
    <hyperlink xmlns:r="http://schemas.openxmlformats.org/officeDocument/2006/relationships" ref="F2" r:id="rId1"/>
    <hyperlink xmlns:r="http://schemas.openxmlformats.org/officeDocument/2006/relationships" ref="G2" r:id="rId2"/>
  </hyperlink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B1:G56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22" customWidth="1" min="3" max="3"/>
    <col width="4" customWidth="1" min="4" max="4"/>
    <col width="34" customWidth="1" min="5" max="5"/>
    <col width="44" customWidth="1" min="6" max="6"/>
    <col width="28" customWidth="1" min="7" max="7"/>
  </cols>
  <sheetData>
    <row r="1" ht="30" customHeight="1">
      <c r="B1" s="10" t="inlineStr">
        <is>
          <t>📊 #034 — RUMUS EXCEL: FISHER.INV   |   Kategori: 8. Statistik &amp; Analisis Data</t>
        </is>
      </c>
    </row>
    <row r="2" ht="22" customHeight="1">
      <c r="B2" s="11" t="inlineStr">
        <is>
          <t>1 Rumus = 1 Contoh Soal + Jawaban Benar &amp; 5 Soal Tes Mandiri (Kunci Jawaban Ada di Sheet Paling Terakhir)</t>
        </is>
      </c>
      <c r="F2" s="12" t="inlineStr">
        <is>
          <t>⬅️ Ke Daftar Isi (00_DAFTAR_ISI)</t>
        </is>
      </c>
      <c r="G2" s="3" t="inlineStr">
        <is>
          <t>🔑 Ke Kunci Jawaban (Sheet Akhir)</t>
        </is>
      </c>
    </row>
    <row r="4" ht="24" customHeight="1">
      <c r="B4" s="13" t="inlineStr">
        <is>
          <t>1️⃣ IDENTITAS RUMUS &amp; FUNGSINYA BUAT APA? (FISHER.INV)</t>
        </is>
      </c>
    </row>
    <row r="5" ht="21" customHeight="1">
      <c r="B5" s="14" t="inlineStr">
        <is>
          <t>Nama Rumus Excel</t>
        </is>
      </c>
      <c r="C5" s="15">
        <f>FISHER.INV(...)</f>
        <v/>
      </c>
      <c r="D5" s="5" t="n"/>
      <c r="E5" s="5" t="n"/>
      <c r="F5" s="5" t="n"/>
      <c r="G5" s="5" t="n"/>
    </row>
    <row r="6" ht="21" customHeight="1">
      <c r="B6" s="14" t="inlineStr">
        <is>
          <t>Sintaks / Pola Umum</t>
        </is>
      </c>
      <c r="C6" s="15">
        <f>FISHERINV(y)</f>
        <v/>
      </c>
      <c r="D6" s="5" t="n"/>
      <c r="E6" s="5" t="n"/>
      <c r="F6" s="5" t="n"/>
      <c r="G6" s="5" t="n"/>
    </row>
    <row r="7" ht="26" customHeight="1">
      <c r="B7" s="14" t="inlineStr">
        <is>
          <t>👶 Fungsinya Buat Apa?</t>
        </is>
      </c>
      <c r="C7" s="16" t="inlineStr">
        <is>
          <t>Menghitung kebalikan (invers) dari transformasi Fisher.</t>
        </is>
      </c>
      <c r="D7" s="5" t="n"/>
      <c r="E7" s="5" t="n"/>
      <c r="F7" s="5" t="n"/>
      <c r="G7" s="5" t="n"/>
    </row>
    <row r="9" ht="24" customHeight="1">
      <c r="B9" s="17" t="inlineStr">
        <is>
          <t>2️⃣ 1 CONTOH SOAL &amp; CONTOH JAWABAN BENAR (PELAJARI POLA RUMUS FISHER.INV DI SINI)</t>
        </is>
      </c>
    </row>
    <row r="10">
      <c r="B10" s="18" t="inlineStr">
        <is>
          <t>Parameter Statistik</t>
        </is>
      </c>
      <c r="C10" s="18" t="inlineStr">
        <is>
          <t>Nilai Koefisien</t>
        </is>
      </c>
      <c r="E10" s="18" t="inlineStr">
        <is>
          <t>✅ 1 CONTOH SOAL BESERTA CONTOH RUMUS &amp; HASIL JAWABAN BENAR:</t>
        </is>
      </c>
      <c r="F10" s="5" t="n"/>
      <c r="G10" s="5" t="n"/>
    </row>
    <row r="11" ht="28" customHeight="1">
      <c r="B11" s="19" t="inlineStr">
        <is>
          <t>Simulasi Unit A</t>
        </is>
      </c>
      <c r="C11" s="19" t="n">
        <v>0.75</v>
      </c>
      <c r="E11" s="20" t="inlineStr">
        <is>
          <t>Contoh Soal:</t>
        </is>
      </c>
      <c r="F11" s="21" t="inlineStr">
        <is>
          <t>Hitung hasil transformasi FISHERINV untuk nilai koefisien pada sel C11 (0.75)!</t>
        </is>
      </c>
      <c r="G11" s="5" t="n"/>
    </row>
    <row r="12">
      <c r="B12" s="19" t="inlineStr">
        <is>
          <t>Simulasi Unit B</t>
        </is>
      </c>
      <c r="C12" s="19" t="n">
        <v>0.4</v>
      </c>
      <c r="E12" s="20" t="inlineStr">
        <is>
          <t>Contoh Rumus Benar:</t>
        </is>
      </c>
      <c r="F12" s="22" t="inlineStr">
        <is>
          <t>'=FISHERINV(C11)</t>
        </is>
      </c>
      <c r="G12" s="5" t="n"/>
    </row>
    <row r="13">
      <c r="B13" s="19" t="inlineStr">
        <is>
          <t>Simulasi Unit C</t>
        </is>
      </c>
      <c r="C13" s="19" t="n">
        <v>0.5</v>
      </c>
      <c r="E13" s="20" t="inlineStr">
        <is>
          <t>Contoh Hasil Benar:</t>
        </is>
      </c>
      <c r="F13" s="23">
        <f>FISHERINV(C11)</f>
        <v/>
      </c>
      <c r="G13" s="5" t="n"/>
    </row>
    <row r="14">
      <c r="B14" s="19" t="inlineStr">
        <is>
          <t>Simulasi Unit D</t>
        </is>
      </c>
      <c r="C14" s="19" t="n">
        <v>0.6</v>
      </c>
    </row>
    <row r="16" ht="26" customHeight="1">
      <c r="B16" s="24" t="inlineStr">
        <is>
          <t>3️⃣ 5 SOAL TES DUNIA NYATA — KERJAKAN DI KOTAK KUNING (TANPA KUNCI RUMUS / HASIL DI SINI!)</t>
        </is>
      </c>
    </row>
    <row r="17" ht="20" customHeight="1">
      <c r="B17" s="25" t="inlineStr">
        <is>
          <t>📌 Catatan Tes: Soal Tes #1 s/d #5 di bawah ini tidak menampilkan kunci rumus maupun hasil. Kunci jawaban lengkap tersedia di sheet paling terakhir (99_KUNCI_JAWABAN).</t>
        </is>
      </c>
    </row>
    <row r="19" ht="22" customHeight="1">
      <c r="B19" s="26" t="inlineStr">
        <is>
          <t>📝 SOAL TES #1: Kasus Keuangan &amp; Akuntansi Kantor</t>
        </is>
      </c>
    </row>
    <row r="20" ht="30" customHeight="1">
      <c r="B20" s="14" t="inlineStr">
        <is>
          <t>Parameter Statistik</t>
        </is>
      </c>
      <c r="C20" s="14" t="inlineStr">
        <is>
          <t>Nilai Koefisien</t>
        </is>
      </c>
      <c r="E20" s="27" t="inlineStr">
        <is>
          <t>Persoalan Tes #1: Hitung hasil transformasi FISHERINV untuk nilai koefisien pada sel C21 (0.25)!</t>
        </is>
      </c>
    </row>
    <row r="21">
      <c r="B21" s="19" t="inlineStr">
        <is>
          <t>Cabang Jakarta</t>
        </is>
      </c>
      <c r="C21" s="19" t="n">
        <v>0.25</v>
      </c>
      <c r="E21" s="14" t="inlineStr">
        <is>
          <t>✏️ KETIK RUMUS JAWABAN TES DI BAWAH:</t>
        </is>
      </c>
      <c r="F21" s="14" t="inlineStr">
        <is>
          <t>📌 STATUS KOREKSI JAWABAN TES:</t>
        </is>
      </c>
      <c r="G21" s="5" t="n"/>
    </row>
    <row r="22" ht="26" customHeight="1">
      <c r="B22" s="19" t="inlineStr">
        <is>
          <t>Cabang Bandung</t>
        </is>
      </c>
      <c r="C22" s="19" t="n">
        <v>0.4</v>
      </c>
      <c r="E22" s="28" t="n"/>
      <c r="F22" s="29">
        <f>IF(ISBLANK(E22), "⏳ Belum Diisi (Ketik Rumus di Sel Kuning E22)", IF(E22='99_KUNCI_JAWABAN'!F170, "✅ BENAR! JAWABAN TES TEPAT!", "❌ Belum Tepat (Cek Sheet Akhir: 99_KUNCI_JAWABAN)"))</f>
        <v/>
      </c>
      <c r="G22" s="5" t="n"/>
    </row>
    <row r="23">
      <c r="B23" s="19" t="inlineStr">
        <is>
          <t>Cabang Surabaya</t>
        </is>
      </c>
      <c r="C23" s="19" t="n">
        <v>0.5</v>
      </c>
    </row>
    <row r="24">
      <c r="B24" s="19" t="inlineStr">
        <is>
          <t>Cabang Medan</t>
        </is>
      </c>
      <c r="C24" s="19" t="n">
        <v>0.6</v>
      </c>
    </row>
    <row r="27" ht="22" customHeight="1">
      <c r="B27" s="26" t="inlineStr">
        <is>
          <t>📝 SOAL TES #2: Kasus HRD, Gaji &amp; Lembur Karyawan</t>
        </is>
      </c>
    </row>
    <row r="28" ht="30" customHeight="1">
      <c r="B28" s="14" t="inlineStr">
        <is>
          <t>Parameter Statistik</t>
        </is>
      </c>
      <c r="C28" s="14" t="inlineStr">
        <is>
          <t>Nilai Koefisien</t>
        </is>
      </c>
      <c r="E28" s="27" t="inlineStr">
        <is>
          <t>Persoalan Tes #2: Hitung hasil transformasi FISHERINV untuk nilai koefisien pada sel C29 (0.35)!</t>
        </is>
      </c>
    </row>
    <row r="29">
      <c r="B29" s="19" t="inlineStr">
        <is>
          <t>Budi Santoso</t>
        </is>
      </c>
      <c r="C29" s="19" t="n">
        <v>0.35</v>
      </c>
      <c r="E29" s="14" t="inlineStr">
        <is>
          <t>✏️ KETIK RUMUS JAWABAN TES DI BAWAH:</t>
        </is>
      </c>
      <c r="F29" s="14" t="inlineStr">
        <is>
          <t>📌 STATUS KOREKSI JAWABAN TES:</t>
        </is>
      </c>
      <c r="G29" s="5" t="n"/>
    </row>
    <row r="30" ht="26" customHeight="1">
      <c r="B30" s="19" t="inlineStr">
        <is>
          <t>Siti Aminah</t>
        </is>
      </c>
      <c r="C30" s="19" t="n">
        <v>0.4</v>
      </c>
      <c r="E30" s="28" t="n"/>
      <c r="F30" s="29">
        <f>IF(ISBLANK(E30), "⏳ Belum Diisi (Ketik Rumus di Sel Kuning E30)", IF(E30='99_KUNCI_JAWABAN'!F171, "✅ BENAR! JAWABAN TES TEPAT!", "❌ Belum Tepat (Cek Sheet Akhir: 99_KUNCI_JAWABAN)"))</f>
        <v/>
      </c>
      <c r="G30" s="5" t="n"/>
    </row>
    <row r="31">
      <c r="B31" s="19" t="inlineStr">
        <is>
          <t>Andi Pratama</t>
        </is>
      </c>
      <c r="C31" s="19" t="n">
        <v>0.5</v>
      </c>
    </row>
    <row r="32">
      <c r="B32" s="19" t="inlineStr">
        <is>
          <t>Rina Wijaya</t>
        </is>
      </c>
      <c r="C32" s="19" t="n">
        <v>0.6</v>
      </c>
    </row>
    <row r="35" ht="22" customHeight="1">
      <c r="B35" s="26" t="inlineStr">
        <is>
          <t>📝 SOAL TES #3: Kasus Logistik &amp; Stok Gudang Utama</t>
        </is>
      </c>
    </row>
    <row r="36" ht="30" customHeight="1">
      <c r="B36" s="14" t="inlineStr">
        <is>
          <t>Parameter Statistik</t>
        </is>
      </c>
      <c r="C36" s="14" t="inlineStr">
        <is>
          <t>Nilai Koefisien</t>
        </is>
      </c>
      <c r="E36" s="27" t="inlineStr">
        <is>
          <t>Persoalan Tes #3: Hitung hasil transformasi FISHERINV untuk nilai koefisien pada sel C37 (0.45)!</t>
        </is>
      </c>
    </row>
    <row r="37">
      <c r="B37" s="19" t="inlineStr">
        <is>
          <t>Gudang Blok A</t>
        </is>
      </c>
      <c r="C37" s="19" t="n">
        <v>0.45</v>
      </c>
      <c r="E37" s="14" t="inlineStr">
        <is>
          <t>✏️ KETIK RUMUS JAWABAN TES DI BAWAH:</t>
        </is>
      </c>
      <c r="F37" s="14" t="inlineStr">
        <is>
          <t>📌 STATUS KOREKSI JAWABAN TES:</t>
        </is>
      </c>
      <c r="G37" s="5" t="n"/>
    </row>
    <row r="38" ht="26" customHeight="1">
      <c r="B38" s="19" t="inlineStr">
        <is>
          <t>Gudang Blok B</t>
        </is>
      </c>
      <c r="C38" s="19" t="n">
        <v>0.4</v>
      </c>
      <c r="E38" s="28" t="n"/>
      <c r="F38" s="29">
        <f>IF(ISBLANK(E38), "⏳ Belum Diisi (Ketik Rumus di Sel Kuning E38)", IF(E38='99_KUNCI_JAWABAN'!F172, "✅ BENAR! JAWABAN TES TEPAT!", "❌ Belum Tepat (Cek Sheet Akhir: 99_KUNCI_JAWABAN)"))</f>
        <v/>
      </c>
      <c r="G38" s="5" t="n"/>
    </row>
    <row r="39">
      <c r="B39" s="19" t="inlineStr">
        <is>
          <t>Gudang Blok C</t>
        </is>
      </c>
      <c r="C39" s="19" t="n">
        <v>0.5</v>
      </c>
    </row>
    <row r="40">
      <c r="B40" s="19" t="inlineStr">
        <is>
          <t>Gudang Blok D</t>
        </is>
      </c>
      <c r="C40" s="19" t="n">
        <v>0.6</v>
      </c>
    </row>
    <row r="43" ht="22" customHeight="1">
      <c r="B43" s="26" t="inlineStr">
        <is>
          <t>📝 SOAL TES #4: Kasus Penjualan Retail &amp; Target Toko</t>
        </is>
      </c>
    </row>
    <row r="44" ht="30" customHeight="1">
      <c r="B44" s="14" t="inlineStr">
        <is>
          <t>Parameter Statistik</t>
        </is>
      </c>
      <c r="C44" s="14" t="inlineStr">
        <is>
          <t>Nilai Koefisien</t>
        </is>
      </c>
      <c r="E44" s="27" t="inlineStr">
        <is>
          <t>Persoalan Tes #4: Hitung hasil transformasi FISHERINV untuk nilai koefisien pada sel C45 (0.55)!</t>
        </is>
      </c>
    </row>
    <row r="45">
      <c r="B45" s="19" t="inlineStr">
        <is>
          <t>Toko Elektronik</t>
        </is>
      </c>
      <c r="C45" s="19" t="n">
        <v>0.55</v>
      </c>
      <c r="E45" s="14" t="inlineStr">
        <is>
          <t>✏️ KETIK RUMUS JAWABAN TES DI BAWAH:</t>
        </is>
      </c>
      <c r="F45" s="14" t="inlineStr">
        <is>
          <t>📌 STATUS KOREKSI JAWABAN TES:</t>
        </is>
      </c>
      <c r="G45" s="5" t="n"/>
    </row>
    <row r="46" ht="26" customHeight="1">
      <c r="B46" s="19" t="inlineStr">
        <is>
          <t>Toko Komputer</t>
        </is>
      </c>
      <c r="C46" s="19" t="n">
        <v>0.4</v>
      </c>
      <c r="E46" s="28" t="n"/>
      <c r="F46" s="29">
        <f>IF(ISBLANK(E46), "⏳ Belum Diisi (Ketik Rumus di Sel Kuning E46)", IF(E46='99_KUNCI_JAWABAN'!F173, "✅ BENAR! JAWABAN TES TEPAT!", "❌ Belum Tepat (Cek Sheet Akhir: 99_KUNCI_JAWABAN)"))</f>
        <v/>
      </c>
      <c r="G46" s="5" t="n"/>
    </row>
    <row r="47">
      <c r="B47" s="19" t="inlineStr">
        <is>
          <t>Toko Aksesoris</t>
        </is>
      </c>
      <c r="C47" s="19" t="n">
        <v>0.5</v>
      </c>
    </row>
    <row r="48">
      <c r="B48" s="19" t="inlineStr">
        <is>
          <t>Toko Servis</t>
        </is>
      </c>
      <c r="C48" s="19" t="n">
        <v>0.6</v>
      </c>
    </row>
    <row r="51" ht="22" customHeight="1">
      <c r="B51" s="26" t="inlineStr">
        <is>
          <t>📝 SOAL TES #5: Kasus Akademik Sekolah &amp; Layanan Publik</t>
        </is>
      </c>
    </row>
    <row r="52" ht="30" customHeight="1">
      <c r="B52" s="14" t="inlineStr">
        <is>
          <t>Parameter Statistik</t>
        </is>
      </c>
      <c r="C52" s="14" t="inlineStr">
        <is>
          <t>Nilai Koefisien</t>
        </is>
      </c>
      <c r="E52" s="27" t="inlineStr">
        <is>
          <t>Persoalan Tes #5: Hitung hasil transformasi FISHERINV untuk nilai koefisien pada sel C53 (0.65)!</t>
        </is>
      </c>
    </row>
    <row r="53">
      <c r="B53" s="19" t="inlineStr">
        <is>
          <t>Kelas 10 IPA</t>
        </is>
      </c>
      <c r="C53" s="19" t="n">
        <v>0.65</v>
      </c>
      <c r="E53" s="14" t="inlineStr">
        <is>
          <t>✏️ KETIK RUMUS JAWABAN TES DI BAWAH:</t>
        </is>
      </c>
      <c r="F53" s="14" t="inlineStr">
        <is>
          <t>📌 STATUS KOREKSI JAWABAN TES:</t>
        </is>
      </c>
      <c r="G53" s="5" t="n"/>
    </row>
    <row r="54" ht="26" customHeight="1">
      <c r="B54" s="19" t="inlineStr">
        <is>
          <t>Kelas 11 IPA</t>
        </is>
      </c>
      <c r="C54" s="19" t="n">
        <v>0.4</v>
      </c>
      <c r="E54" s="28" t="n"/>
      <c r="F54" s="29">
        <f>IF(ISBLANK(E54), "⏳ Belum Diisi (Ketik Rumus di Sel Kuning E54)", IF(E54='99_KUNCI_JAWABAN'!F174, "✅ BENAR! JAWABAN TES TEPAT!", "❌ Belum Tepat (Cek Sheet Akhir: 99_KUNCI_JAWABAN)"))</f>
        <v/>
      </c>
      <c r="G54" s="5" t="n"/>
    </row>
    <row r="55">
      <c r="B55" s="19" t="inlineStr">
        <is>
          <t>Kelas 12 IPA</t>
        </is>
      </c>
      <c r="C55" s="19" t="n">
        <v>0.5</v>
      </c>
    </row>
    <row r="56">
      <c r="B56" s="19" t="inlineStr">
        <is>
          <t>Kelas Unggulan</t>
        </is>
      </c>
      <c r="C56" s="19" t="n">
        <v>0.6</v>
      </c>
    </row>
  </sheetData>
  <mergeCells count="33">
    <mergeCell ref="E10:G10"/>
    <mergeCell ref="F11:G11"/>
    <mergeCell ref="E28:G28"/>
    <mergeCell ref="F29:G29"/>
    <mergeCell ref="C6:G6"/>
    <mergeCell ref="F54:G54"/>
    <mergeCell ref="B17:G17"/>
    <mergeCell ref="B1:G1"/>
    <mergeCell ref="C5:G5"/>
    <mergeCell ref="B19:G19"/>
    <mergeCell ref="F21:G21"/>
    <mergeCell ref="F12:G12"/>
    <mergeCell ref="F30:G30"/>
    <mergeCell ref="E36:G36"/>
    <mergeCell ref="B9:G9"/>
    <mergeCell ref="F45:G45"/>
    <mergeCell ref="B51:G51"/>
    <mergeCell ref="F38:G38"/>
    <mergeCell ref="B35:G35"/>
    <mergeCell ref="B4:G4"/>
    <mergeCell ref="F46:G46"/>
    <mergeCell ref="F22:G22"/>
    <mergeCell ref="B2:E2"/>
    <mergeCell ref="F13:G13"/>
    <mergeCell ref="B16:G16"/>
    <mergeCell ref="F37:G37"/>
    <mergeCell ref="C7:G7"/>
    <mergeCell ref="E52:G52"/>
    <mergeCell ref="B27:G27"/>
    <mergeCell ref="B43:G43"/>
    <mergeCell ref="E44:G44"/>
    <mergeCell ref="E20:G20"/>
    <mergeCell ref="F53:G53"/>
  </mergeCells>
  <hyperlinks>
    <hyperlink xmlns:r="http://schemas.openxmlformats.org/officeDocument/2006/relationships" ref="F2" r:id="rId1"/>
    <hyperlink xmlns:r="http://schemas.openxmlformats.org/officeDocument/2006/relationships" ref="G2" r:id="rId2"/>
  </hyperlink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B1:G56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22" customWidth="1" min="3" max="3"/>
    <col width="4" customWidth="1" min="4" max="4"/>
    <col width="34" customWidth="1" min="5" max="5"/>
    <col width="44" customWidth="1" min="6" max="6"/>
    <col width="28" customWidth="1" min="7" max="7"/>
  </cols>
  <sheetData>
    <row r="1" ht="30" customHeight="1">
      <c r="B1" s="10" t="inlineStr">
        <is>
          <t>📊 #035 — RUMUS EXCEL: FORECAST   |   Kategori: 8. Statistik &amp; Analisis Data</t>
        </is>
      </c>
    </row>
    <row r="2" ht="22" customHeight="1">
      <c r="B2" s="11" t="inlineStr">
        <is>
          <t>1 Rumus = 1 Contoh Soal + Jawaban Benar &amp; 5 Soal Tes Mandiri (Kunci Jawaban Ada di Sheet Paling Terakhir)</t>
        </is>
      </c>
      <c r="F2" s="12" t="inlineStr">
        <is>
          <t>⬅️ Ke Daftar Isi (00_DAFTAR_ISI)</t>
        </is>
      </c>
      <c r="G2" s="3" t="inlineStr">
        <is>
          <t>🔑 Ke Kunci Jawaban (Sheet Akhir)</t>
        </is>
      </c>
    </row>
    <row r="4" ht="24" customHeight="1">
      <c r="B4" s="13" t="inlineStr">
        <is>
          <t>1️⃣ IDENTITAS RUMUS &amp; FUNGSINYA BUAT APA? (FORECAST)</t>
        </is>
      </c>
    </row>
    <row r="5" ht="21" customHeight="1">
      <c r="B5" s="14" t="inlineStr">
        <is>
          <t>Nama Rumus Excel</t>
        </is>
      </c>
      <c r="C5" s="15">
        <f>FORECAST(...)</f>
        <v/>
      </c>
      <c r="D5" s="5" t="n"/>
      <c r="E5" s="5" t="n"/>
      <c r="F5" s="5" t="n"/>
      <c r="G5" s="5" t="n"/>
    </row>
    <row r="6" ht="21" customHeight="1">
      <c r="B6" s="14" t="inlineStr">
        <is>
          <t>Sintaks / Pola Umum</t>
        </is>
      </c>
      <c r="C6" s="15">
        <f>FORECAST(target_x, range_y, range_x)</f>
        <v/>
      </c>
      <c r="D6" s="5" t="n"/>
      <c r="E6" s="5" t="n"/>
      <c r="F6" s="5" t="n"/>
      <c r="G6" s="5" t="n"/>
    </row>
    <row r="7" ht="26" customHeight="1">
      <c r="B7" s="14" t="inlineStr">
        <is>
          <t>👶 Fungsinya Buat Apa?</t>
        </is>
      </c>
      <c r="C7" s="16" t="inlineStr">
        <is>
          <t>Meramal nilai masa depan berdasarkan tren regresi linear.</t>
        </is>
      </c>
      <c r="D7" s="5" t="n"/>
      <c r="E7" s="5" t="n"/>
      <c r="F7" s="5" t="n"/>
      <c r="G7" s="5" t="n"/>
    </row>
    <row r="9" ht="24" customHeight="1">
      <c r="B9" s="17" t="inlineStr">
        <is>
          <t>2️⃣ 1 CONTOH SOAL &amp; CONTOH JAWABAN BENAR (PELAJARI POLA RUMUS FORECAST DI SINI)</t>
        </is>
      </c>
    </row>
    <row r="10">
      <c r="B10" s="18" t="inlineStr">
        <is>
          <t>Periode Bulan (X)</t>
        </is>
      </c>
      <c r="C10" s="18" t="inlineStr">
        <is>
          <t>Omzet Juta (Y)</t>
        </is>
      </c>
      <c r="E10" s="18" t="inlineStr">
        <is>
          <t>✅ 1 CONTOH SOAL BESERTA CONTOH RUMUS &amp; HASIL JAWABAN BENAR:</t>
        </is>
      </c>
      <c r="F10" s="5" t="n"/>
      <c r="G10" s="5" t="n"/>
    </row>
    <row r="11" ht="28" customHeight="1">
      <c r="B11" s="19" t="n">
        <v>1</v>
      </c>
      <c r="C11" s="19" t="n">
        <v>600</v>
      </c>
      <c r="E11" s="20" t="inlineStr">
        <is>
          <t>Contoh Soal:</t>
        </is>
      </c>
      <c r="F11" s="21" t="inlineStr">
        <is>
          <t>Ramal nilai pada target periode ke-5 berdasarkan data historis Y (C11:C14) dan periode X (B11:B14) menggunakan fungsi FORECAST!</t>
        </is>
      </c>
      <c r="G11" s="5" t="n"/>
    </row>
    <row r="12">
      <c r="B12" s="19" t="n">
        <v>2</v>
      </c>
      <c r="C12" s="19" t="n">
        <v>810</v>
      </c>
      <c r="E12" s="20" t="inlineStr">
        <is>
          <t>Contoh Rumus Benar:</t>
        </is>
      </c>
      <c r="F12" s="22" t="inlineStr">
        <is>
          <t>'=FORECAST(5, C11:C14, B11:B14)</t>
        </is>
      </c>
      <c r="G12" s="5" t="n"/>
    </row>
    <row r="13">
      <c r="B13" s="19" t="n">
        <v>3</v>
      </c>
      <c r="C13" s="19" t="n">
        <v>1020</v>
      </c>
      <c r="E13" s="20" t="inlineStr">
        <is>
          <t>Contoh Hasil Benar:</t>
        </is>
      </c>
      <c r="F13" s="23">
        <f>FORECAST(5, C11:C14, B11:B14)</f>
        <v/>
      </c>
      <c r="G13" s="5" t="n"/>
    </row>
    <row r="14">
      <c r="B14" s="19" t="n">
        <v>4</v>
      </c>
      <c r="C14" s="19" t="n">
        <v>1230</v>
      </c>
    </row>
    <row r="16" ht="26" customHeight="1">
      <c r="B16" s="24" t="inlineStr">
        <is>
          <t>3️⃣ 5 SOAL TES DUNIA NYATA — KERJAKAN DI KOTAK KUNING (TANPA KUNCI RUMUS / HASIL DI SINI!)</t>
        </is>
      </c>
    </row>
    <row r="17" ht="20" customHeight="1">
      <c r="B17" s="25" t="inlineStr">
        <is>
          <t>📌 Catatan Tes: Soal Tes #1 s/d #5 di bawah ini tidak menampilkan kunci rumus maupun hasil. Kunci jawaban lengkap tersedia di sheet paling terakhir (99_KUNCI_JAWABAN).</t>
        </is>
      </c>
    </row>
    <row r="19" ht="22" customHeight="1">
      <c r="B19" s="26" t="inlineStr">
        <is>
          <t>📝 SOAL TES #1: Kasus Keuangan &amp; Akuntansi Kantor</t>
        </is>
      </c>
    </row>
    <row r="20" ht="30" customHeight="1">
      <c r="B20" s="14" t="inlineStr">
        <is>
          <t>Periode Bulan (X)</t>
        </is>
      </c>
      <c r="C20" s="14" t="inlineStr">
        <is>
          <t>Omzet Juta (Y)</t>
        </is>
      </c>
      <c r="E20" s="27" t="inlineStr">
        <is>
          <t>Persoalan Tes #1: Ramal nilai pada target periode ke-5 berdasarkan data historis Y (C21:C24) dan periode X (B21:B24) menggunakan fungsi FORECAST!</t>
        </is>
      </c>
    </row>
    <row r="21">
      <c r="B21" s="19" t="n">
        <v>1</v>
      </c>
      <c r="C21" s="19" t="n">
        <v>100</v>
      </c>
      <c r="E21" s="14" t="inlineStr">
        <is>
          <t>✏️ KETIK RUMUS JAWABAN TES DI BAWAH:</t>
        </is>
      </c>
      <c r="F21" s="14" t="inlineStr">
        <is>
          <t>📌 STATUS KOREKSI JAWABAN TES:</t>
        </is>
      </c>
      <c r="G21" s="5" t="n"/>
    </row>
    <row r="22" ht="26" customHeight="1">
      <c r="B22" s="19" t="n">
        <v>2</v>
      </c>
      <c r="C22" s="19" t="n">
        <v>135</v>
      </c>
      <c r="E22" s="28" t="n"/>
      <c r="F22" s="29">
        <f>IF(ISBLANK(E22), "⏳ Belum Diisi (Ketik Rumus di Sel Kuning E22)", IF(E22='99_KUNCI_JAWABAN'!F175, "✅ BENAR! JAWABAN TES TEPAT!", "❌ Belum Tepat (Cek Sheet Akhir: 99_KUNCI_JAWABAN)"))</f>
        <v/>
      </c>
      <c r="G22" s="5" t="n"/>
    </row>
    <row r="23">
      <c r="B23" s="19" t="n">
        <v>3</v>
      </c>
      <c r="C23" s="19" t="n">
        <v>170</v>
      </c>
    </row>
    <row r="24">
      <c r="B24" s="19" t="n">
        <v>4</v>
      </c>
      <c r="C24" s="19" t="n">
        <v>205</v>
      </c>
    </row>
    <row r="27" ht="22" customHeight="1">
      <c r="B27" s="26" t="inlineStr">
        <is>
          <t>📝 SOAL TES #2: Kasus HRD, Gaji &amp; Lembur Karyawan</t>
        </is>
      </c>
    </row>
    <row r="28" ht="30" customHeight="1">
      <c r="B28" s="14" t="inlineStr">
        <is>
          <t>Periode Bulan (X)</t>
        </is>
      </c>
      <c r="C28" s="14" t="inlineStr">
        <is>
          <t>Omzet Juta (Y)</t>
        </is>
      </c>
      <c r="E28" s="27" t="inlineStr">
        <is>
          <t>Persoalan Tes #2: Ramal nilai pada target periode ke-5 berdasarkan data historis Y (C29:C32) dan periode X (B29:B32) menggunakan fungsi FORECAST!</t>
        </is>
      </c>
    </row>
    <row r="29">
      <c r="B29" s="19" t="n">
        <v>1</v>
      </c>
      <c r="C29" s="19" t="n">
        <v>200</v>
      </c>
      <c r="E29" s="14" t="inlineStr">
        <is>
          <t>✏️ KETIK RUMUS JAWABAN TES DI BAWAH:</t>
        </is>
      </c>
      <c r="F29" s="14" t="inlineStr">
        <is>
          <t>📌 STATUS KOREKSI JAWABAN TES:</t>
        </is>
      </c>
      <c r="G29" s="5" t="n"/>
    </row>
    <row r="30" ht="26" customHeight="1">
      <c r="B30" s="19" t="n">
        <v>2</v>
      </c>
      <c r="C30" s="19" t="n">
        <v>270</v>
      </c>
      <c r="E30" s="28" t="n"/>
      <c r="F30" s="29">
        <f>IF(ISBLANK(E30), "⏳ Belum Diisi (Ketik Rumus di Sel Kuning E30)", IF(E30='99_KUNCI_JAWABAN'!F176, "✅ BENAR! JAWABAN TES TEPAT!", "❌ Belum Tepat (Cek Sheet Akhir: 99_KUNCI_JAWABAN)"))</f>
        <v/>
      </c>
      <c r="G30" s="5" t="n"/>
    </row>
    <row r="31">
      <c r="B31" s="19" t="n">
        <v>3</v>
      </c>
      <c r="C31" s="19" t="n">
        <v>340</v>
      </c>
    </row>
    <row r="32">
      <c r="B32" s="19" t="n">
        <v>4</v>
      </c>
      <c r="C32" s="19" t="n">
        <v>410</v>
      </c>
    </row>
    <row r="35" ht="22" customHeight="1">
      <c r="B35" s="26" t="inlineStr">
        <is>
          <t>📝 SOAL TES #3: Kasus Logistik &amp; Stok Gudang Utama</t>
        </is>
      </c>
    </row>
    <row r="36" ht="30" customHeight="1">
      <c r="B36" s="14" t="inlineStr">
        <is>
          <t>Periode Bulan (X)</t>
        </is>
      </c>
      <c r="C36" s="14" t="inlineStr">
        <is>
          <t>Omzet Juta (Y)</t>
        </is>
      </c>
      <c r="E36" s="27" t="inlineStr">
        <is>
          <t>Persoalan Tes #3: Ramal nilai pada target periode ke-5 berdasarkan data historis Y (C37:C40) dan periode X (B37:B40) menggunakan fungsi FORECAST!</t>
        </is>
      </c>
    </row>
    <row r="37">
      <c r="B37" s="19" t="n">
        <v>1</v>
      </c>
      <c r="C37" s="19" t="n">
        <v>300</v>
      </c>
      <c r="E37" s="14" t="inlineStr">
        <is>
          <t>✏️ KETIK RUMUS JAWABAN TES DI BAWAH:</t>
        </is>
      </c>
      <c r="F37" s="14" t="inlineStr">
        <is>
          <t>📌 STATUS KOREKSI JAWABAN TES:</t>
        </is>
      </c>
      <c r="G37" s="5" t="n"/>
    </row>
    <row r="38" ht="26" customHeight="1">
      <c r="B38" s="19" t="n">
        <v>2</v>
      </c>
      <c r="C38" s="19" t="n">
        <v>405</v>
      </c>
      <c r="E38" s="28" t="n"/>
      <c r="F38" s="29">
        <f>IF(ISBLANK(E38), "⏳ Belum Diisi (Ketik Rumus di Sel Kuning E38)", IF(E38='99_KUNCI_JAWABAN'!F177, "✅ BENAR! JAWABAN TES TEPAT!", "❌ Belum Tepat (Cek Sheet Akhir: 99_KUNCI_JAWABAN)"))</f>
        <v/>
      </c>
      <c r="G38" s="5" t="n"/>
    </row>
    <row r="39">
      <c r="B39" s="19" t="n">
        <v>3</v>
      </c>
      <c r="C39" s="19" t="n">
        <v>510</v>
      </c>
    </row>
    <row r="40">
      <c r="B40" s="19" t="n">
        <v>4</v>
      </c>
      <c r="C40" s="19" t="n">
        <v>615</v>
      </c>
    </row>
    <row r="43" ht="22" customHeight="1">
      <c r="B43" s="26" t="inlineStr">
        <is>
          <t>📝 SOAL TES #4: Kasus Penjualan Retail &amp; Target Toko</t>
        </is>
      </c>
    </row>
    <row r="44" ht="30" customHeight="1">
      <c r="B44" s="14" t="inlineStr">
        <is>
          <t>Periode Bulan (X)</t>
        </is>
      </c>
      <c r="C44" s="14" t="inlineStr">
        <is>
          <t>Omzet Juta (Y)</t>
        </is>
      </c>
      <c r="E44" s="27" t="inlineStr">
        <is>
          <t>Persoalan Tes #4: Ramal nilai pada target periode ke-5 berdasarkan data historis Y (C45:C48) dan periode X (B45:B48) menggunakan fungsi FORECAST!</t>
        </is>
      </c>
    </row>
    <row r="45">
      <c r="B45" s="19" t="n">
        <v>1</v>
      </c>
      <c r="C45" s="19" t="n">
        <v>400</v>
      </c>
      <c r="E45" s="14" t="inlineStr">
        <is>
          <t>✏️ KETIK RUMUS JAWABAN TES DI BAWAH:</t>
        </is>
      </c>
      <c r="F45" s="14" t="inlineStr">
        <is>
          <t>📌 STATUS KOREKSI JAWABAN TES:</t>
        </is>
      </c>
      <c r="G45" s="5" t="n"/>
    </row>
    <row r="46" ht="26" customHeight="1">
      <c r="B46" s="19" t="n">
        <v>2</v>
      </c>
      <c r="C46" s="19" t="n">
        <v>540</v>
      </c>
      <c r="E46" s="28" t="n"/>
      <c r="F46" s="29">
        <f>IF(ISBLANK(E46), "⏳ Belum Diisi (Ketik Rumus di Sel Kuning E46)", IF(E46='99_KUNCI_JAWABAN'!F178, "✅ BENAR! JAWABAN TES TEPAT!", "❌ Belum Tepat (Cek Sheet Akhir: 99_KUNCI_JAWABAN)"))</f>
        <v/>
      </c>
      <c r="G46" s="5" t="n"/>
    </row>
    <row r="47">
      <c r="B47" s="19" t="n">
        <v>3</v>
      </c>
      <c r="C47" s="19" t="n">
        <v>680</v>
      </c>
    </row>
    <row r="48">
      <c r="B48" s="19" t="n">
        <v>4</v>
      </c>
      <c r="C48" s="19" t="n">
        <v>820</v>
      </c>
    </row>
    <row r="51" ht="22" customHeight="1">
      <c r="B51" s="26" t="inlineStr">
        <is>
          <t>📝 SOAL TES #5: Kasus Akademik Sekolah &amp; Layanan Publik</t>
        </is>
      </c>
    </row>
    <row r="52" ht="30" customHeight="1">
      <c r="B52" s="14" t="inlineStr">
        <is>
          <t>Periode Bulan (X)</t>
        </is>
      </c>
      <c r="C52" s="14" t="inlineStr">
        <is>
          <t>Omzet Juta (Y)</t>
        </is>
      </c>
      <c r="E52" s="27" t="inlineStr">
        <is>
          <t>Persoalan Tes #5: Ramal nilai pada target periode ke-5 berdasarkan data historis Y (C53:C56) dan periode X (B53:B56) menggunakan fungsi FORECAST!</t>
        </is>
      </c>
    </row>
    <row r="53">
      <c r="B53" s="19" t="n">
        <v>1</v>
      </c>
      <c r="C53" s="19" t="n">
        <v>500</v>
      </c>
      <c r="E53" s="14" t="inlineStr">
        <is>
          <t>✏️ KETIK RUMUS JAWABAN TES DI BAWAH:</t>
        </is>
      </c>
      <c r="F53" s="14" t="inlineStr">
        <is>
          <t>📌 STATUS KOREKSI JAWABAN TES:</t>
        </is>
      </c>
      <c r="G53" s="5" t="n"/>
    </row>
    <row r="54" ht="26" customHeight="1">
      <c r="B54" s="19" t="n">
        <v>2</v>
      </c>
      <c r="C54" s="19" t="n">
        <v>675</v>
      </c>
      <c r="E54" s="28" t="n"/>
      <c r="F54" s="29">
        <f>IF(ISBLANK(E54), "⏳ Belum Diisi (Ketik Rumus di Sel Kuning E54)", IF(E54='99_KUNCI_JAWABAN'!F179, "✅ BENAR! JAWABAN TES TEPAT!", "❌ Belum Tepat (Cek Sheet Akhir: 99_KUNCI_JAWABAN)"))</f>
        <v/>
      </c>
      <c r="G54" s="5" t="n"/>
    </row>
    <row r="55">
      <c r="B55" s="19" t="n">
        <v>3</v>
      </c>
      <c r="C55" s="19" t="n">
        <v>850</v>
      </c>
    </row>
    <row r="56">
      <c r="B56" s="19" t="n">
        <v>4</v>
      </c>
      <c r="C56" s="19" t="n">
        <v>1025</v>
      </c>
    </row>
  </sheetData>
  <mergeCells count="33">
    <mergeCell ref="E10:G10"/>
    <mergeCell ref="F11:G11"/>
    <mergeCell ref="E28:G28"/>
    <mergeCell ref="F29:G29"/>
    <mergeCell ref="C6:G6"/>
    <mergeCell ref="F54:G54"/>
    <mergeCell ref="B17:G17"/>
    <mergeCell ref="B1:G1"/>
    <mergeCell ref="C5:G5"/>
    <mergeCell ref="B19:G19"/>
    <mergeCell ref="F21:G21"/>
    <mergeCell ref="F12:G12"/>
    <mergeCell ref="F30:G30"/>
    <mergeCell ref="E36:G36"/>
    <mergeCell ref="B9:G9"/>
    <mergeCell ref="F45:G45"/>
    <mergeCell ref="B51:G51"/>
    <mergeCell ref="F38:G38"/>
    <mergeCell ref="B35:G35"/>
    <mergeCell ref="B4:G4"/>
    <mergeCell ref="F46:G46"/>
    <mergeCell ref="F22:G22"/>
    <mergeCell ref="B2:E2"/>
    <mergeCell ref="F13:G13"/>
    <mergeCell ref="B16:G16"/>
    <mergeCell ref="F37:G37"/>
    <mergeCell ref="C7:G7"/>
    <mergeCell ref="E52:G52"/>
    <mergeCell ref="B27:G27"/>
    <mergeCell ref="B43:G43"/>
    <mergeCell ref="E44:G44"/>
    <mergeCell ref="E20:G20"/>
    <mergeCell ref="F53:G53"/>
  </mergeCells>
  <hyperlinks>
    <hyperlink xmlns:r="http://schemas.openxmlformats.org/officeDocument/2006/relationships" ref="F2" r:id="rId1"/>
    <hyperlink xmlns:r="http://schemas.openxmlformats.org/officeDocument/2006/relationships" ref="G2" r:id="rId2"/>
  </hyperlink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B1:G56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22" customWidth="1" min="3" max="3"/>
    <col width="4" customWidth="1" min="4" max="4"/>
    <col width="34" customWidth="1" min="5" max="5"/>
    <col width="44" customWidth="1" min="6" max="6"/>
    <col width="28" customWidth="1" min="7" max="7"/>
  </cols>
  <sheetData>
    <row r="1" ht="30" customHeight="1">
      <c r="B1" s="10" t="inlineStr">
        <is>
          <t>📊 #036 — RUMUS EXCEL: FREQUENCY   |   Kategori: 8. Statistik &amp; Analisis Data</t>
        </is>
      </c>
    </row>
    <row r="2" ht="22" customHeight="1">
      <c r="B2" s="11" t="inlineStr">
        <is>
          <t>1 Rumus = 1 Contoh Soal + Jawaban Benar &amp; 5 Soal Tes Mandiri (Kunci Jawaban Ada di Sheet Paling Terakhir)</t>
        </is>
      </c>
      <c r="F2" s="12" t="inlineStr">
        <is>
          <t>⬅️ Ke Daftar Isi (00_DAFTAR_ISI)</t>
        </is>
      </c>
      <c r="G2" s="3" t="inlineStr">
        <is>
          <t>🔑 Ke Kunci Jawaban (Sheet Akhir)</t>
        </is>
      </c>
    </row>
    <row r="4" ht="24" customHeight="1">
      <c r="B4" s="13" t="inlineStr">
        <is>
          <t>1️⃣ IDENTITAS RUMUS &amp; FUNGSINYA BUAT APA? (FREQUENCY)</t>
        </is>
      </c>
    </row>
    <row r="5" ht="21" customHeight="1">
      <c r="B5" s="14" t="inlineStr">
        <is>
          <t>Nama Rumus Excel</t>
        </is>
      </c>
      <c r="C5" s="15">
        <f>FREQUENCY(...)</f>
        <v/>
      </c>
      <c r="D5" s="5" t="n"/>
      <c r="E5" s="5" t="n"/>
      <c r="F5" s="5" t="n"/>
      <c r="G5" s="5" t="n"/>
    </row>
    <row r="6" ht="21" customHeight="1">
      <c r="B6" s="14" t="inlineStr">
        <is>
          <t>Sintaks / Pola Umum</t>
        </is>
      </c>
      <c r="C6" s="15">
        <f>FREQUENCY(data_array, bins_array)</f>
        <v/>
      </c>
      <c r="D6" s="5" t="n"/>
      <c r="E6" s="5" t="n"/>
      <c r="F6" s="5" t="n"/>
      <c r="G6" s="5" t="n"/>
    </row>
    <row r="7" ht="26" customHeight="1">
      <c r="B7" s="14" t="inlineStr">
        <is>
          <t>👶 Fungsinya Buat Apa?</t>
        </is>
      </c>
      <c r="C7" s="16" t="inlineStr">
        <is>
          <t>Menghitung distribusi frekuensi kemunculan data berdasarkan batas interval.</t>
        </is>
      </c>
      <c r="D7" s="5" t="n"/>
      <c r="E7" s="5" t="n"/>
      <c r="F7" s="5" t="n"/>
      <c r="G7" s="5" t="n"/>
    </row>
    <row r="9" ht="24" customHeight="1">
      <c r="B9" s="17" t="inlineStr">
        <is>
          <t>2️⃣ 1 CONTOH SOAL &amp; CONTOH JAWABAN BENAR (PELAJARI POLA RUMUS FREQUENCY DI SINI)</t>
        </is>
      </c>
    </row>
    <row r="10">
      <c r="B10" s="18" t="inlineStr">
        <is>
          <t>Data Skor (B)</t>
        </is>
      </c>
      <c r="C10" s="18" t="inlineStr">
        <is>
          <t>Batas Interval (C)</t>
        </is>
      </c>
      <c r="E10" s="18" t="inlineStr">
        <is>
          <t>✅ 1 CONTOH SOAL BESERTA CONTOH RUMUS &amp; HASIL JAWABAN BENAR:</t>
        </is>
      </c>
      <c r="F10" s="5" t="n"/>
      <c r="G10" s="5" t="n"/>
    </row>
    <row r="11" ht="28" customHeight="1">
      <c r="B11" s="19" t="n">
        <v>75</v>
      </c>
      <c r="C11" s="19" t="n">
        <v>78</v>
      </c>
      <c r="E11" s="20" t="inlineStr">
        <is>
          <t>Contoh Soal:</t>
        </is>
      </c>
      <c r="F11" s="21" t="inlineStr">
        <is>
          <t>Hitung frekuensi data pada rentang B11:B14 terhadap batas kelas di sel C11 menggunakan fungsi FREQUENCY!</t>
        </is>
      </c>
      <c r="G11" s="5" t="n"/>
    </row>
    <row r="12">
      <c r="B12" s="19" t="n">
        <v>82</v>
      </c>
      <c r="C12" s="19" t="n">
        <v>85</v>
      </c>
      <c r="E12" s="20" t="inlineStr">
        <is>
          <t>Contoh Rumus Benar:</t>
        </is>
      </c>
      <c r="F12" s="22" t="inlineStr">
        <is>
          <t>'=FREQUENCY(B11:B14, C11)</t>
        </is>
      </c>
      <c r="G12" s="5" t="n"/>
    </row>
    <row r="13">
      <c r="B13" s="19" t="n">
        <v>75</v>
      </c>
      <c r="C13" s="19" t="n">
        <v>95</v>
      </c>
      <c r="E13" s="20" t="inlineStr">
        <is>
          <t>Contoh Hasil Benar:</t>
        </is>
      </c>
      <c r="F13" s="23">
        <f>FREQUENCY(B11:B14, C11)</f>
        <v/>
      </c>
      <c r="G13" s="5" t="n"/>
    </row>
    <row r="14">
      <c r="B14" s="19" t="n">
        <v>90</v>
      </c>
      <c r="C14" s="19" t="n">
        <v>100</v>
      </c>
    </row>
    <row r="16" ht="26" customHeight="1">
      <c r="B16" s="24" t="inlineStr">
        <is>
          <t>3️⃣ 5 SOAL TES DUNIA NYATA — KERJAKAN DI KOTAK KUNING (TANPA KUNCI RUMUS / HASIL DI SINI!)</t>
        </is>
      </c>
    </row>
    <row r="17" ht="20" customHeight="1">
      <c r="B17" s="25" t="inlineStr">
        <is>
          <t>📌 Catatan Tes: Soal Tes #1 s/d #5 di bawah ini tidak menampilkan kunci rumus maupun hasil. Kunci jawaban lengkap tersedia di sheet paling terakhir (99_KUNCI_JAWABAN).</t>
        </is>
      </c>
    </row>
    <row r="19" ht="22" customHeight="1">
      <c r="B19" s="26" t="inlineStr">
        <is>
          <t>📝 SOAL TES #1: Kasus Keuangan &amp; Akuntansi Kantor</t>
        </is>
      </c>
    </row>
    <row r="20" ht="30" customHeight="1">
      <c r="B20" s="14" t="inlineStr">
        <is>
          <t>Data Skor (B)</t>
        </is>
      </c>
      <c r="C20" s="14" t="inlineStr">
        <is>
          <t>Batas Interval (C)</t>
        </is>
      </c>
      <c r="E20" s="27" t="inlineStr">
        <is>
          <t>Persoalan Tes #1: Hitung frekuensi data pada rentang B21:B24 terhadap batas kelas di sel C21 menggunakan fungsi FREQUENCY!</t>
        </is>
      </c>
    </row>
    <row r="21">
      <c r="B21" s="19" t="n">
        <v>70</v>
      </c>
      <c r="C21" s="19" t="n">
        <v>78</v>
      </c>
      <c r="E21" s="14" t="inlineStr">
        <is>
          <t>✏️ KETIK RUMUS JAWABAN TES DI BAWAH:</t>
        </is>
      </c>
      <c r="F21" s="14" t="inlineStr">
        <is>
          <t>📌 STATUS KOREKSI JAWABAN TES:</t>
        </is>
      </c>
      <c r="G21" s="5" t="n"/>
    </row>
    <row r="22" ht="26" customHeight="1">
      <c r="B22" s="19" t="n">
        <v>82</v>
      </c>
      <c r="C22" s="19" t="n">
        <v>85</v>
      </c>
      <c r="E22" s="28" t="n"/>
      <c r="F22" s="29">
        <f>IF(ISBLANK(E22), "⏳ Belum Diisi (Ketik Rumus di Sel Kuning E22)", IF(E22='99_KUNCI_JAWABAN'!F180, "✅ BENAR! JAWABAN TES TEPAT!", "❌ Belum Tepat (Cek Sheet Akhir: 99_KUNCI_JAWABAN)"))</f>
        <v/>
      </c>
      <c r="G22" s="5" t="n"/>
    </row>
    <row r="23">
      <c r="B23" s="19" t="n">
        <v>75</v>
      </c>
      <c r="C23" s="19" t="n">
        <v>95</v>
      </c>
    </row>
    <row r="24">
      <c r="B24" s="19" t="n">
        <v>90</v>
      </c>
      <c r="C24" s="19" t="n">
        <v>100</v>
      </c>
    </row>
    <row r="27" ht="22" customHeight="1">
      <c r="B27" s="26" t="inlineStr">
        <is>
          <t>📝 SOAL TES #2: Kasus HRD, Gaji &amp; Lembur Karyawan</t>
        </is>
      </c>
    </row>
    <row r="28" ht="30" customHeight="1">
      <c r="B28" s="14" t="inlineStr">
        <is>
          <t>Data Skor (B)</t>
        </is>
      </c>
      <c r="C28" s="14" t="inlineStr">
        <is>
          <t>Batas Interval (C)</t>
        </is>
      </c>
      <c r="E28" s="27" t="inlineStr">
        <is>
          <t>Persoalan Tes #2: Hitung frekuensi data pada rentang B29:B32 terhadap batas kelas di sel C29 menggunakan fungsi FREQUENCY!</t>
        </is>
      </c>
    </row>
    <row r="29">
      <c r="B29" s="19" t="n">
        <v>71</v>
      </c>
      <c r="C29" s="19" t="n">
        <v>78</v>
      </c>
      <c r="E29" s="14" t="inlineStr">
        <is>
          <t>✏️ KETIK RUMUS JAWABAN TES DI BAWAH:</t>
        </is>
      </c>
      <c r="F29" s="14" t="inlineStr">
        <is>
          <t>📌 STATUS KOREKSI JAWABAN TES:</t>
        </is>
      </c>
      <c r="G29" s="5" t="n"/>
    </row>
    <row r="30" ht="26" customHeight="1">
      <c r="B30" s="19" t="n">
        <v>82</v>
      </c>
      <c r="C30" s="19" t="n">
        <v>85</v>
      </c>
      <c r="E30" s="28" t="n"/>
      <c r="F30" s="29">
        <f>IF(ISBLANK(E30), "⏳ Belum Diisi (Ketik Rumus di Sel Kuning E30)", IF(E30='99_KUNCI_JAWABAN'!F181, "✅ BENAR! JAWABAN TES TEPAT!", "❌ Belum Tepat (Cek Sheet Akhir: 99_KUNCI_JAWABAN)"))</f>
        <v/>
      </c>
      <c r="G30" s="5" t="n"/>
    </row>
    <row r="31">
      <c r="B31" s="19" t="n">
        <v>75</v>
      </c>
      <c r="C31" s="19" t="n">
        <v>95</v>
      </c>
    </row>
    <row r="32">
      <c r="B32" s="19" t="n">
        <v>90</v>
      </c>
      <c r="C32" s="19" t="n">
        <v>100</v>
      </c>
    </row>
    <row r="35" ht="22" customHeight="1">
      <c r="B35" s="26" t="inlineStr">
        <is>
          <t>📝 SOAL TES #3: Kasus Logistik &amp; Stok Gudang Utama</t>
        </is>
      </c>
    </row>
    <row r="36" ht="30" customHeight="1">
      <c r="B36" s="14" t="inlineStr">
        <is>
          <t>Data Skor (B)</t>
        </is>
      </c>
      <c r="C36" s="14" t="inlineStr">
        <is>
          <t>Batas Interval (C)</t>
        </is>
      </c>
      <c r="E36" s="27" t="inlineStr">
        <is>
          <t>Persoalan Tes #3: Hitung frekuensi data pada rentang B37:B40 terhadap batas kelas di sel C37 menggunakan fungsi FREQUENCY!</t>
        </is>
      </c>
    </row>
    <row r="37">
      <c r="B37" s="19" t="n">
        <v>72</v>
      </c>
      <c r="C37" s="19" t="n">
        <v>78</v>
      </c>
      <c r="E37" s="14" t="inlineStr">
        <is>
          <t>✏️ KETIK RUMUS JAWABAN TES DI BAWAH:</t>
        </is>
      </c>
      <c r="F37" s="14" t="inlineStr">
        <is>
          <t>📌 STATUS KOREKSI JAWABAN TES:</t>
        </is>
      </c>
      <c r="G37" s="5" t="n"/>
    </row>
    <row r="38" ht="26" customHeight="1">
      <c r="B38" s="19" t="n">
        <v>82</v>
      </c>
      <c r="C38" s="19" t="n">
        <v>85</v>
      </c>
      <c r="E38" s="28" t="n"/>
      <c r="F38" s="29">
        <f>IF(ISBLANK(E38), "⏳ Belum Diisi (Ketik Rumus di Sel Kuning E38)", IF(E38='99_KUNCI_JAWABAN'!F182, "✅ BENAR! JAWABAN TES TEPAT!", "❌ Belum Tepat (Cek Sheet Akhir: 99_KUNCI_JAWABAN)"))</f>
        <v/>
      </c>
      <c r="G38" s="5" t="n"/>
    </row>
    <row r="39">
      <c r="B39" s="19" t="n">
        <v>75</v>
      </c>
      <c r="C39" s="19" t="n">
        <v>95</v>
      </c>
    </row>
    <row r="40">
      <c r="B40" s="19" t="n">
        <v>90</v>
      </c>
      <c r="C40" s="19" t="n">
        <v>100</v>
      </c>
    </row>
    <row r="43" ht="22" customHeight="1">
      <c r="B43" s="26" t="inlineStr">
        <is>
          <t>📝 SOAL TES #4: Kasus Penjualan Retail &amp; Target Toko</t>
        </is>
      </c>
    </row>
    <row r="44" ht="30" customHeight="1">
      <c r="B44" s="14" t="inlineStr">
        <is>
          <t>Data Skor (B)</t>
        </is>
      </c>
      <c r="C44" s="14" t="inlineStr">
        <is>
          <t>Batas Interval (C)</t>
        </is>
      </c>
      <c r="E44" s="27" t="inlineStr">
        <is>
          <t>Persoalan Tes #4: Hitung frekuensi data pada rentang B45:B48 terhadap batas kelas di sel C45 menggunakan fungsi FREQUENCY!</t>
        </is>
      </c>
    </row>
    <row r="45">
      <c r="B45" s="19" t="n">
        <v>73</v>
      </c>
      <c r="C45" s="19" t="n">
        <v>78</v>
      </c>
      <c r="E45" s="14" t="inlineStr">
        <is>
          <t>✏️ KETIK RUMUS JAWABAN TES DI BAWAH:</t>
        </is>
      </c>
      <c r="F45" s="14" t="inlineStr">
        <is>
          <t>📌 STATUS KOREKSI JAWABAN TES:</t>
        </is>
      </c>
      <c r="G45" s="5" t="n"/>
    </row>
    <row r="46" ht="26" customHeight="1">
      <c r="B46" s="19" t="n">
        <v>82</v>
      </c>
      <c r="C46" s="19" t="n">
        <v>85</v>
      </c>
      <c r="E46" s="28" t="n"/>
      <c r="F46" s="29">
        <f>IF(ISBLANK(E46), "⏳ Belum Diisi (Ketik Rumus di Sel Kuning E46)", IF(E46='99_KUNCI_JAWABAN'!F183, "✅ BENAR! JAWABAN TES TEPAT!", "❌ Belum Tepat (Cek Sheet Akhir: 99_KUNCI_JAWABAN)"))</f>
        <v/>
      </c>
      <c r="G46" s="5" t="n"/>
    </row>
    <row r="47">
      <c r="B47" s="19" t="n">
        <v>75</v>
      </c>
      <c r="C47" s="19" t="n">
        <v>95</v>
      </c>
    </row>
    <row r="48">
      <c r="B48" s="19" t="n">
        <v>90</v>
      </c>
      <c r="C48" s="19" t="n">
        <v>100</v>
      </c>
    </row>
    <row r="51" ht="22" customHeight="1">
      <c r="B51" s="26" t="inlineStr">
        <is>
          <t>📝 SOAL TES #5: Kasus Akademik Sekolah &amp; Layanan Publik</t>
        </is>
      </c>
    </row>
    <row r="52" ht="30" customHeight="1">
      <c r="B52" s="14" t="inlineStr">
        <is>
          <t>Data Skor (B)</t>
        </is>
      </c>
      <c r="C52" s="14" t="inlineStr">
        <is>
          <t>Batas Interval (C)</t>
        </is>
      </c>
      <c r="E52" s="27" t="inlineStr">
        <is>
          <t>Persoalan Tes #5: Hitung frekuensi data pada rentang B53:B56 terhadap batas kelas di sel C53 menggunakan fungsi FREQUENCY!</t>
        </is>
      </c>
    </row>
    <row r="53">
      <c r="B53" s="19" t="n">
        <v>74</v>
      </c>
      <c r="C53" s="19" t="n">
        <v>78</v>
      </c>
      <c r="E53" s="14" t="inlineStr">
        <is>
          <t>✏️ KETIK RUMUS JAWABAN TES DI BAWAH:</t>
        </is>
      </c>
      <c r="F53" s="14" t="inlineStr">
        <is>
          <t>📌 STATUS KOREKSI JAWABAN TES:</t>
        </is>
      </c>
      <c r="G53" s="5" t="n"/>
    </row>
    <row r="54" ht="26" customHeight="1">
      <c r="B54" s="19" t="n">
        <v>82</v>
      </c>
      <c r="C54" s="19" t="n">
        <v>85</v>
      </c>
      <c r="E54" s="28" t="n"/>
      <c r="F54" s="29">
        <f>IF(ISBLANK(E54), "⏳ Belum Diisi (Ketik Rumus di Sel Kuning E54)", IF(E54='99_KUNCI_JAWABAN'!F184, "✅ BENAR! JAWABAN TES TEPAT!", "❌ Belum Tepat (Cek Sheet Akhir: 99_KUNCI_JAWABAN)"))</f>
        <v/>
      </c>
      <c r="G54" s="5" t="n"/>
    </row>
    <row r="55">
      <c r="B55" s="19" t="n">
        <v>75</v>
      </c>
      <c r="C55" s="19" t="n">
        <v>95</v>
      </c>
    </row>
    <row r="56">
      <c r="B56" s="19" t="n">
        <v>90</v>
      </c>
      <c r="C56" s="19" t="n">
        <v>100</v>
      </c>
    </row>
  </sheetData>
  <mergeCells count="33">
    <mergeCell ref="E10:G10"/>
    <mergeCell ref="F11:G11"/>
    <mergeCell ref="E28:G28"/>
    <mergeCell ref="F29:G29"/>
    <mergeCell ref="C6:G6"/>
    <mergeCell ref="F54:G54"/>
    <mergeCell ref="B17:G17"/>
    <mergeCell ref="B1:G1"/>
    <mergeCell ref="C5:G5"/>
    <mergeCell ref="B19:G19"/>
    <mergeCell ref="F21:G21"/>
    <mergeCell ref="F12:G12"/>
    <mergeCell ref="F30:G30"/>
    <mergeCell ref="E36:G36"/>
    <mergeCell ref="B9:G9"/>
    <mergeCell ref="F45:G45"/>
    <mergeCell ref="B51:G51"/>
    <mergeCell ref="F38:G38"/>
    <mergeCell ref="B35:G35"/>
    <mergeCell ref="B4:G4"/>
    <mergeCell ref="F46:G46"/>
    <mergeCell ref="F22:G22"/>
    <mergeCell ref="B2:E2"/>
    <mergeCell ref="F13:G13"/>
    <mergeCell ref="B16:G16"/>
    <mergeCell ref="F37:G37"/>
    <mergeCell ref="C7:G7"/>
    <mergeCell ref="E52:G52"/>
    <mergeCell ref="B27:G27"/>
    <mergeCell ref="B43:G43"/>
    <mergeCell ref="E44:G44"/>
    <mergeCell ref="E20:G20"/>
    <mergeCell ref="F53:G53"/>
  </mergeCells>
  <hyperlinks>
    <hyperlink xmlns:r="http://schemas.openxmlformats.org/officeDocument/2006/relationships" ref="F2" r:id="rId1"/>
    <hyperlink xmlns:r="http://schemas.openxmlformats.org/officeDocument/2006/relationships" ref="G2" r:id="rId2"/>
  </hyperlink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B1:G56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22" customWidth="1" min="3" max="3"/>
    <col width="4" customWidth="1" min="4" max="4"/>
    <col width="34" customWidth="1" min="5" max="5"/>
    <col width="44" customWidth="1" min="6" max="6"/>
    <col width="28" customWidth="1" min="7" max="7"/>
  </cols>
  <sheetData>
    <row r="1" ht="30" customHeight="1">
      <c r="B1" s="10" t="inlineStr">
        <is>
          <t>📊 #037 — RUMUS EXCEL: GAMMADIST   |   Kategori: 8. Statistik &amp; Analisis Data</t>
        </is>
      </c>
    </row>
    <row r="2" ht="22" customHeight="1">
      <c r="B2" s="11" t="inlineStr">
        <is>
          <t>1 Rumus = 1 Contoh Soal + Jawaban Benar &amp; 5 Soal Tes Mandiri (Kunci Jawaban Ada di Sheet Paling Terakhir)</t>
        </is>
      </c>
      <c r="F2" s="12" t="inlineStr">
        <is>
          <t>⬅️ Ke Daftar Isi (00_DAFTAR_ISI)</t>
        </is>
      </c>
      <c r="G2" s="3" t="inlineStr">
        <is>
          <t>🔑 Ke Kunci Jawaban (Sheet Akhir)</t>
        </is>
      </c>
    </row>
    <row r="4" ht="24" customHeight="1">
      <c r="B4" s="13" t="inlineStr">
        <is>
          <t>1️⃣ IDENTITAS RUMUS &amp; FUNGSINYA BUAT APA? (GAMMADIST)</t>
        </is>
      </c>
    </row>
    <row r="5" ht="21" customHeight="1">
      <c r="B5" s="14" t="inlineStr">
        <is>
          <t>Nama Rumus Excel</t>
        </is>
      </c>
      <c r="C5" s="15">
        <f>GAMMADIST(...)</f>
        <v/>
      </c>
      <c r="D5" s="5" t="n"/>
      <c r="E5" s="5" t="n"/>
      <c r="F5" s="5" t="n"/>
      <c r="G5" s="5" t="n"/>
    </row>
    <row r="6" ht="21" customHeight="1">
      <c r="B6" s="14" t="inlineStr">
        <is>
          <t>Sintaks / Pola Umum</t>
        </is>
      </c>
      <c r="C6" s="15">
        <f>GAMMA.DIST(x, alpha, beta, TRUE)</f>
        <v/>
      </c>
      <c r="D6" s="5" t="n"/>
      <c r="E6" s="5" t="n"/>
      <c r="F6" s="5" t="n"/>
      <c r="G6" s="5" t="n"/>
    </row>
    <row r="7" ht="26" customHeight="1">
      <c r="B7" s="14" t="inlineStr">
        <is>
          <t>👶 Fungsinya Buat Apa?</t>
        </is>
      </c>
      <c r="C7" s="16" t="inlineStr">
        <is>
          <t>Menghitung distribusi Gamma untuk analisis variabel yang memiliki kemencengan.</t>
        </is>
      </c>
      <c r="D7" s="5" t="n"/>
      <c r="E7" s="5" t="n"/>
      <c r="F7" s="5" t="n"/>
      <c r="G7" s="5" t="n"/>
    </row>
    <row r="9" ht="24" customHeight="1">
      <c r="B9" s="17" t="inlineStr">
        <is>
          <t>2️⃣ 1 CONTOH SOAL &amp; CONTOH JAWABAN BENAR (PELAJARI POLA RUMUS GAMMADIST DI SINI)</t>
        </is>
      </c>
    </row>
    <row r="10">
      <c r="B10" s="18" t="inlineStr">
        <is>
          <t>Nama Parameter</t>
        </is>
      </c>
      <c r="C10" s="18" t="inlineStr">
        <is>
          <t>Nilai Parameter</t>
        </is>
      </c>
      <c r="E10" s="18" t="inlineStr">
        <is>
          <t>✅ 1 CONTOH SOAL BESERTA CONTOH RUMUS &amp; HASIL JAWABAN BENAR:</t>
        </is>
      </c>
      <c r="F10" s="5" t="n"/>
      <c r="G10" s="5" t="n"/>
    </row>
    <row r="11" ht="28" customHeight="1">
      <c r="B11" s="19" t="inlineStr">
        <is>
          <t>Nilai X (C11)</t>
        </is>
      </c>
      <c r="C11" s="19" t="n">
        <v>15</v>
      </c>
      <c r="E11" s="20" t="inlineStr">
        <is>
          <t>Contoh Soal:</t>
        </is>
      </c>
      <c r="F11" s="21" t="inlineStr">
        <is>
          <t>Hitung nilai distribusi kumulatif (TRUE) menggunakan fungsi GAMMA.DIST dengan argumen berurutan C11, C12, C13, dan TRUE!</t>
        </is>
      </c>
      <c r="G11" s="5" t="n"/>
    </row>
    <row r="12">
      <c r="B12" s="19" t="inlineStr">
        <is>
          <t>Parameter 1 / Mean (C12)</t>
        </is>
      </c>
      <c r="C12" s="19" t="n">
        <v>8</v>
      </c>
      <c r="E12" s="20" t="inlineStr">
        <is>
          <t>Contoh Rumus Benar:</t>
        </is>
      </c>
      <c r="F12" s="22" t="inlineStr">
        <is>
          <t>'=GAMMA.DIST(C11, C12, C13, TRUE)</t>
        </is>
      </c>
      <c r="G12" s="5" t="n"/>
    </row>
    <row r="13">
      <c r="B13" s="19" t="inlineStr">
        <is>
          <t>Parameter 2 / SD (C13)</t>
        </is>
      </c>
      <c r="C13" s="19" t="n">
        <v>2</v>
      </c>
      <c r="E13" s="20" t="inlineStr">
        <is>
          <t>Contoh Hasil Benar:</t>
        </is>
      </c>
      <c r="F13" s="23">
        <f>GAMMA.DIST(C11, C12, C13, TRUE)</f>
        <v/>
      </c>
      <c r="G13" s="5" t="n"/>
    </row>
    <row r="14">
      <c r="B14" s="19" t="inlineStr">
        <is>
          <t>Kumulatif</t>
        </is>
      </c>
      <c r="C14" s="19" t="n">
        <v>1</v>
      </c>
    </row>
    <row r="16" ht="26" customHeight="1">
      <c r="B16" s="24" t="inlineStr">
        <is>
          <t>3️⃣ 5 SOAL TES DUNIA NYATA — KERJAKAN DI KOTAK KUNING (TANPA KUNCI RUMUS / HASIL DI SINI!)</t>
        </is>
      </c>
    </row>
    <row r="17" ht="20" customHeight="1">
      <c r="B17" s="25" t="inlineStr">
        <is>
          <t>📌 Catatan Tes: Soal Tes #1 s/d #5 di bawah ini tidak menampilkan kunci rumus maupun hasil. Kunci jawaban lengkap tersedia di sheet paling terakhir (99_KUNCI_JAWABAN).</t>
        </is>
      </c>
    </row>
    <row r="19" ht="22" customHeight="1">
      <c r="B19" s="26" t="inlineStr">
        <is>
          <t>📝 SOAL TES #1: Kasus Keuangan &amp; Akuntansi Kantor</t>
        </is>
      </c>
    </row>
    <row r="20" ht="30" customHeight="1">
      <c r="B20" s="14" t="inlineStr">
        <is>
          <t>Nama Parameter</t>
        </is>
      </c>
      <c r="C20" s="14" t="inlineStr">
        <is>
          <t>Nilai Parameter</t>
        </is>
      </c>
      <c r="E20" s="27" t="inlineStr">
        <is>
          <t>Persoalan Tes #1: Hitung nilai distribusi kumulatif (TRUE) menggunakan fungsi GAMMA.DIST dengan argumen berurutan C21, C22, C23, dan TRUE!</t>
        </is>
      </c>
    </row>
    <row r="21">
      <c r="B21" s="19" t="inlineStr">
        <is>
          <t>Nilai X (C21)</t>
        </is>
      </c>
      <c r="C21" s="19" t="n">
        <v>10</v>
      </c>
      <c r="E21" s="14" t="inlineStr">
        <is>
          <t>✏️ KETIK RUMUS JAWABAN TES DI BAWAH:</t>
        </is>
      </c>
      <c r="F21" s="14" t="inlineStr">
        <is>
          <t>📌 STATUS KOREKSI JAWABAN TES:</t>
        </is>
      </c>
      <c r="G21" s="5" t="n"/>
    </row>
    <row r="22" ht="26" customHeight="1">
      <c r="B22" s="19" t="inlineStr">
        <is>
          <t>Parameter 1 / Mean (C22)</t>
        </is>
      </c>
      <c r="C22" s="19" t="n">
        <v>8</v>
      </c>
      <c r="E22" s="28" t="n"/>
      <c r="F22" s="29">
        <f>IF(ISBLANK(E22), "⏳ Belum Diisi (Ketik Rumus di Sel Kuning E22)", IF(E22='99_KUNCI_JAWABAN'!F185, "✅ BENAR! JAWABAN TES TEPAT!", "❌ Belum Tepat (Cek Sheet Akhir: 99_KUNCI_JAWABAN)"))</f>
        <v/>
      </c>
      <c r="G22" s="5" t="n"/>
    </row>
    <row r="23">
      <c r="B23" s="19" t="inlineStr">
        <is>
          <t>Parameter 2 / SD (C23)</t>
        </is>
      </c>
      <c r="C23" s="19" t="n">
        <v>2</v>
      </c>
    </row>
    <row r="24">
      <c r="B24" s="19" t="inlineStr">
        <is>
          <t>Kumulatif</t>
        </is>
      </c>
      <c r="C24" s="19" t="n">
        <v>1</v>
      </c>
    </row>
    <row r="27" ht="22" customHeight="1">
      <c r="B27" s="26" t="inlineStr">
        <is>
          <t>📝 SOAL TES #2: Kasus HRD, Gaji &amp; Lembur Karyawan</t>
        </is>
      </c>
    </row>
    <row r="28" ht="30" customHeight="1">
      <c r="B28" s="14" t="inlineStr">
        <is>
          <t>Nama Parameter</t>
        </is>
      </c>
      <c r="C28" s="14" t="inlineStr">
        <is>
          <t>Nilai Parameter</t>
        </is>
      </c>
      <c r="E28" s="27" t="inlineStr">
        <is>
          <t>Persoalan Tes #2: Hitung nilai distribusi kumulatif (TRUE) menggunakan fungsi GAMMA.DIST dengan argumen berurutan C29, C30, C31, dan TRUE!</t>
        </is>
      </c>
    </row>
    <row r="29">
      <c r="B29" s="19" t="inlineStr">
        <is>
          <t>Nilai X (C29)</t>
        </is>
      </c>
      <c r="C29" s="19" t="n">
        <v>11</v>
      </c>
      <c r="E29" s="14" t="inlineStr">
        <is>
          <t>✏️ KETIK RUMUS JAWABAN TES DI BAWAH:</t>
        </is>
      </c>
      <c r="F29" s="14" t="inlineStr">
        <is>
          <t>📌 STATUS KOREKSI JAWABAN TES:</t>
        </is>
      </c>
      <c r="G29" s="5" t="n"/>
    </row>
    <row r="30" ht="26" customHeight="1">
      <c r="B30" s="19" t="inlineStr">
        <is>
          <t>Parameter 1 / Mean (C30)</t>
        </is>
      </c>
      <c r="C30" s="19" t="n">
        <v>8</v>
      </c>
      <c r="E30" s="28" t="n"/>
      <c r="F30" s="29">
        <f>IF(ISBLANK(E30), "⏳ Belum Diisi (Ketik Rumus di Sel Kuning E30)", IF(E30='99_KUNCI_JAWABAN'!F186, "✅ BENAR! JAWABAN TES TEPAT!", "❌ Belum Tepat (Cek Sheet Akhir: 99_KUNCI_JAWABAN)"))</f>
        <v/>
      </c>
      <c r="G30" s="5" t="n"/>
    </row>
    <row r="31">
      <c r="B31" s="19" t="inlineStr">
        <is>
          <t>Parameter 2 / SD (C31)</t>
        </is>
      </c>
      <c r="C31" s="19" t="n">
        <v>2</v>
      </c>
    </row>
    <row r="32">
      <c r="B32" s="19" t="inlineStr">
        <is>
          <t>Kumulatif</t>
        </is>
      </c>
      <c r="C32" s="19" t="n">
        <v>1</v>
      </c>
    </row>
    <row r="35" ht="22" customHeight="1">
      <c r="B35" s="26" t="inlineStr">
        <is>
          <t>📝 SOAL TES #3: Kasus Logistik &amp; Stok Gudang Utama</t>
        </is>
      </c>
    </row>
    <row r="36" ht="30" customHeight="1">
      <c r="B36" s="14" t="inlineStr">
        <is>
          <t>Nama Parameter</t>
        </is>
      </c>
      <c r="C36" s="14" t="inlineStr">
        <is>
          <t>Nilai Parameter</t>
        </is>
      </c>
      <c r="E36" s="27" t="inlineStr">
        <is>
          <t>Persoalan Tes #3: Hitung nilai distribusi kumulatif (TRUE) menggunakan fungsi GAMMA.DIST dengan argumen berurutan C37, C38, C39, dan TRUE!</t>
        </is>
      </c>
    </row>
    <row r="37">
      <c r="B37" s="19" t="inlineStr">
        <is>
          <t>Nilai X (C37)</t>
        </is>
      </c>
      <c r="C37" s="19" t="n">
        <v>12</v>
      </c>
      <c r="E37" s="14" t="inlineStr">
        <is>
          <t>✏️ KETIK RUMUS JAWABAN TES DI BAWAH:</t>
        </is>
      </c>
      <c r="F37" s="14" t="inlineStr">
        <is>
          <t>📌 STATUS KOREKSI JAWABAN TES:</t>
        </is>
      </c>
      <c r="G37" s="5" t="n"/>
    </row>
    <row r="38" ht="26" customHeight="1">
      <c r="B38" s="19" t="inlineStr">
        <is>
          <t>Parameter 1 / Mean (C38)</t>
        </is>
      </c>
      <c r="C38" s="19" t="n">
        <v>8</v>
      </c>
      <c r="E38" s="28" t="n"/>
      <c r="F38" s="29">
        <f>IF(ISBLANK(E38), "⏳ Belum Diisi (Ketik Rumus di Sel Kuning E38)", IF(E38='99_KUNCI_JAWABAN'!F187, "✅ BENAR! JAWABAN TES TEPAT!", "❌ Belum Tepat (Cek Sheet Akhir: 99_KUNCI_JAWABAN)"))</f>
        <v/>
      </c>
      <c r="G38" s="5" t="n"/>
    </row>
    <row r="39">
      <c r="B39" s="19" t="inlineStr">
        <is>
          <t>Parameter 2 / SD (C39)</t>
        </is>
      </c>
      <c r="C39" s="19" t="n">
        <v>2</v>
      </c>
    </row>
    <row r="40">
      <c r="B40" s="19" t="inlineStr">
        <is>
          <t>Kumulatif</t>
        </is>
      </c>
      <c r="C40" s="19" t="n">
        <v>1</v>
      </c>
    </row>
    <row r="43" ht="22" customHeight="1">
      <c r="B43" s="26" t="inlineStr">
        <is>
          <t>📝 SOAL TES #4: Kasus Penjualan Retail &amp; Target Toko</t>
        </is>
      </c>
    </row>
    <row r="44" ht="30" customHeight="1">
      <c r="B44" s="14" t="inlineStr">
        <is>
          <t>Nama Parameter</t>
        </is>
      </c>
      <c r="C44" s="14" t="inlineStr">
        <is>
          <t>Nilai Parameter</t>
        </is>
      </c>
      <c r="E44" s="27" t="inlineStr">
        <is>
          <t>Persoalan Tes #4: Hitung nilai distribusi kumulatif (TRUE) menggunakan fungsi GAMMA.DIST dengan argumen berurutan C45, C46, C47, dan TRUE!</t>
        </is>
      </c>
    </row>
    <row r="45">
      <c r="B45" s="19" t="inlineStr">
        <is>
          <t>Nilai X (C45)</t>
        </is>
      </c>
      <c r="C45" s="19" t="n">
        <v>13</v>
      </c>
      <c r="E45" s="14" t="inlineStr">
        <is>
          <t>✏️ KETIK RUMUS JAWABAN TES DI BAWAH:</t>
        </is>
      </c>
      <c r="F45" s="14" t="inlineStr">
        <is>
          <t>📌 STATUS KOREKSI JAWABAN TES:</t>
        </is>
      </c>
      <c r="G45" s="5" t="n"/>
    </row>
    <row r="46" ht="26" customHeight="1">
      <c r="B46" s="19" t="inlineStr">
        <is>
          <t>Parameter 1 / Mean (C46)</t>
        </is>
      </c>
      <c r="C46" s="19" t="n">
        <v>8</v>
      </c>
      <c r="E46" s="28" t="n"/>
      <c r="F46" s="29">
        <f>IF(ISBLANK(E46), "⏳ Belum Diisi (Ketik Rumus di Sel Kuning E46)", IF(E46='99_KUNCI_JAWABAN'!F188, "✅ BENAR! JAWABAN TES TEPAT!", "❌ Belum Tepat (Cek Sheet Akhir: 99_KUNCI_JAWABAN)"))</f>
        <v/>
      </c>
      <c r="G46" s="5" t="n"/>
    </row>
    <row r="47">
      <c r="B47" s="19" t="inlineStr">
        <is>
          <t>Parameter 2 / SD (C47)</t>
        </is>
      </c>
      <c r="C47" s="19" t="n">
        <v>2</v>
      </c>
    </row>
    <row r="48">
      <c r="B48" s="19" t="inlineStr">
        <is>
          <t>Kumulatif</t>
        </is>
      </c>
      <c r="C48" s="19" t="n">
        <v>1</v>
      </c>
    </row>
    <row r="51" ht="22" customHeight="1">
      <c r="B51" s="26" t="inlineStr">
        <is>
          <t>📝 SOAL TES #5: Kasus Akademik Sekolah &amp; Layanan Publik</t>
        </is>
      </c>
    </row>
    <row r="52" ht="30" customHeight="1">
      <c r="B52" s="14" t="inlineStr">
        <is>
          <t>Nama Parameter</t>
        </is>
      </c>
      <c r="C52" s="14" t="inlineStr">
        <is>
          <t>Nilai Parameter</t>
        </is>
      </c>
      <c r="E52" s="27" t="inlineStr">
        <is>
          <t>Persoalan Tes #5: Hitung nilai distribusi kumulatif (TRUE) menggunakan fungsi GAMMA.DIST dengan argumen berurutan C53, C54, C55, dan TRUE!</t>
        </is>
      </c>
    </row>
    <row r="53">
      <c r="B53" s="19" t="inlineStr">
        <is>
          <t>Nilai X (C53)</t>
        </is>
      </c>
      <c r="C53" s="19" t="n">
        <v>14</v>
      </c>
      <c r="E53" s="14" t="inlineStr">
        <is>
          <t>✏️ KETIK RUMUS JAWABAN TES DI BAWAH:</t>
        </is>
      </c>
      <c r="F53" s="14" t="inlineStr">
        <is>
          <t>📌 STATUS KOREKSI JAWABAN TES:</t>
        </is>
      </c>
      <c r="G53" s="5" t="n"/>
    </row>
    <row r="54" ht="26" customHeight="1">
      <c r="B54" s="19" t="inlineStr">
        <is>
          <t>Parameter 1 / Mean (C54)</t>
        </is>
      </c>
      <c r="C54" s="19" t="n">
        <v>8</v>
      </c>
      <c r="E54" s="28" t="n"/>
      <c r="F54" s="29">
        <f>IF(ISBLANK(E54), "⏳ Belum Diisi (Ketik Rumus di Sel Kuning E54)", IF(E54='99_KUNCI_JAWABAN'!F189, "✅ BENAR! JAWABAN TES TEPAT!", "❌ Belum Tepat (Cek Sheet Akhir: 99_KUNCI_JAWABAN)"))</f>
        <v/>
      </c>
      <c r="G54" s="5" t="n"/>
    </row>
    <row r="55">
      <c r="B55" s="19" t="inlineStr">
        <is>
          <t>Parameter 2 / SD (C55)</t>
        </is>
      </c>
      <c r="C55" s="19" t="n">
        <v>2</v>
      </c>
    </row>
    <row r="56">
      <c r="B56" s="19" t="inlineStr">
        <is>
          <t>Kumulatif</t>
        </is>
      </c>
      <c r="C56" s="19" t="n">
        <v>1</v>
      </c>
    </row>
  </sheetData>
  <mergeCells count="33">
    <mergeCell ref="E10:G10"/>
    <mergeCell ref="F11:G11"/>
    <mergeCell ref="E28:G28"/>
    <mergeCell ref="F29:G29"/>
    <mergeCell ref="C6:G6"/>
    <mergeCell ref="F54:G54"/>
    <mergeCell ref="B17:G17"/>
    <mergeCell ref="B1:G1"/>
    <mergeCell ref="C5:G5"/>
    <mergeCell ref="B19:G19"/>
    <mergeCell ref="F21:G21"/>
    <mergeCell ref="F12:G12"/>
    <mergeCell ref="F30:G30"/>
    <mergeCell ref="E36:G36"/>
    <mergeCell ref="B9:G9"/>
    <mergeCell ref="F45:G45"/>
    <mergeCell ref="B51:G51"/>
    <mergeCell ref="F38:G38"/>
    <mergeCell ref="B35:G35"/>
    <mergeCell ref="B4:G4"/>
    <mergeCell ref="F46:G46"/>
    <mergeCell ref="F22:G22"/>
    <mergeCell ref="B2:E2"/>
    <mergeCell ref="F13:G13"/>
    <mergeCell ref="B16:G16"/>
    <mergeCell ref="F37:G37"/>
    <mergeCell ref="C7:G7"/>
    <mergeCell ref="E52:G52"/>
    <mergeCell ref="B27:G27"/>
    <mergeCell ref="B43:G43"/>
    <mergeCell ref="E44:G44"/>
    <mergeCell ref="E20:G20"/>
    <mergeCell ref="F53:G53"/>
  </mergeCells>
  <hyperlinks>
    <hyperlink xmlns:r="http://schemas.openxmlformats.org/officeDocument/2006/relationships" ref="F2" r:id="rId1"/>
    <hyperlink xmlns:r="http://schemas.openxmlformats.org/officeDocument/2006/relationships" ref="G2" r:id="rId2"/>
  </hyperlink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B1:G56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22" customWidth="1" min="3" max="3"/>
    <col width="4" customWidth="1" min="4" max="4"/>
    <col width="34" customWidth="1" min="5" max="5"/>
    <col width="44" customWidth="1" min="6" max="6"/>
    <col width="28" customWidth="1" min="7" max="7"/>
  </cols>
  <sheetData>
    <row r="1" ht="30" customHeight="1">
      <c r="B1" s="10" t="inlineStr">
        <is>
          <t>📊 #038 — RUMUS EXCEL: GAMMAINV   |   Kategori: 8. Statistik &amp; Analisis Data</t>
        </is>
      </c>
    </row>
    <row r="2" ht="22" customHeight="1">
      <c r="B2" s="11" t="inlineStr">
        <is>
          <t>1 Rumus = 1 Contoh Soal + Jawaban Benar &amp; 5 Soal Tes Mandiri (Kunci Jawaban Ada di Sheet Paling Terakhir)</t>
        </is>
      </c>
      <c r="F2" s="12" t="inlineStr">
        <is>
          <t>⬅️ Ke Daftar Isi (00_DAFTAR_ISI)</t>
        </is>
      </c>
      <c r="G2" s="3" t="inlineStr">
        <is>
          <t>🔑 Ke Kunci Jawaban (Sheet Akhir)</t>
        </is>
      </c>
    </row>
    <row r="4" ht="24" customHeight="1">
      <c r="B4" s="13" t="inlineStr">
        <is>
          <t>1️⃣ IDENTITAS RUMUS &amp; FUNGSINYA BUAT APA? (GAMMAINV)</t>
        </is>
      </c>
    </row>
    <row r="5" ht="21" customHeight="1">
      <c r="B5" s="14" t="inlineStr">
        <is>
          <t>Nama Rumus Excel</t>
        </is>
      </c>
      <c r="C5" s="15">
        <f>GAMMAINV(...)</f>
        <v/>
      </c>
      <c r="D5" s="5" t="n"/>
      <c r="E5" s="5" t="n"/>
      <c r="F5" s="5" t="n"/>
      <c r="G5" s="5" t="n"/>
    </row>
    <row r="6" ht="21" customHeight="1">
      <c r="B6" s="14" t="inlineStr">
        <is>
          <t>Sintaks / Pola Umum</t>
        </is>
      </c>
      <c r="C6" s="15">
        <f>GAMMA.INV(probabilitas, alpha, beta)</f>
        <v/>
      </c>
      <c r="D6" s="5" t="n"/>
      <c r="E6" s="5" t="n"/>
      <c r="F6" s="5" t="n"/>
      <c r="G6" s="5" t="n"/>
    </row>
    <row r="7" ht="26" customHeight="1">
      <c r="B7" s="14" t="inlineStr">
        <is>
          <t>👶 Fungsinya Buat Apa?</t>
        </is>
      </c>
      <c r="C7" s="16" t="inlineStr">
        <is>
          <t>Menghasilkan invers dari distribusi Gamma kumulatif.</t>
        </is>
      </c>
      <c r="D7" s="5" t="n"/>
      <c r="E7" s="5" t="n"/>
      <c r="F7" s="5" t="n"/>
      <c r="G7" s="5" t="n"/>
    </row>
    <row r="9" ht="24" customHeight="1">
      <c r="B9" s="17" t="inlineStr">
        <is>
          <t>2️⃣ 1 CONTOH SOAL &amp; CONTOH JAWABAN BENAR (PELAJARI POLA RUMUS GAMMAINV DI SINI)</t>
        </is>
      </c>
    </row>
    <row r="10">
      <c r="B10" s="18" t="inlineStr">
        <is>
          <t>Nama Parameter</t>
        </is>
      </c>
      <c r="C10" s="18" t="inlineStr">
        <is>
          <t>Nilai Parameter</t>
        </is>
      </c>
      <c r="E10" s="18" t="inlineStr">
        <is>
          <t>✅ 1 CONTOH SOAL BESERTA CONTOH RUMUS &amp; HASIL JAWABAN BENAR:</t>
        </is>
      </c>
      <c r="F10" s="5" t="n"/>
      <c r="G10" s="5" t="n"/>
    </row>
    <row r="11" ht="28" customHeight="1">
      <c r="B11" s="19" t="inlineStr">
        <is>
          <t>Probabilitas (C11)</t>
        </is>
      </c>
      <c r="C11" s="19" t="n">
        <v>0.75</v>
      </c>
      <c r="E11" s="20" t="inlineStr">
        <is>
          <t>Contoh Soal:</t>
        </is>
      </c>
      <c r="F11" s="21" t="inlineStr">
        <is>
          <t>Hitung nilai invers distribusi menggunakan fungsi GAMMA.INV dengan argumen berurutan C11, C12, dan C13!</t>
        </is>
      </c>
      <c r="G11" s="5" t="n"/>
    </row>
    <row r="12">
      <c r="B12" s="19" t="inlineStr">
        <is>
          <t>Parameter 1 / Mean (C12)</t>
        </is>
      </c>
      <c r="C12" s="19" t="n">
        <v>10</v>
      </c>
      <c r="E12" s="20" t="inlineStr">
        <is>
          <t>Contoh Rumus Benar:</t>
        </is>
      </c>
      <c r="F12" s="22" t="inlineStr">
        <is>
          <t>'=GAMMA.INV(C11, C12, C13)</t>
        </is>
      </c>
      <c r="G12" s="5" t="n"/>
    </row>
    <row r="13">
      <c r="B13" s="19" t="inlineStr">
        <is>
          <t>Parameter 2 / SD (C13)</t>
        </is>
      </c>
      <c r="C13" s="19" t="n">
        <v>2</v>
      </c>
      <c r="E13" s="20" t="inlineStr">
        <is>
          <t>Contoh Hasil Benar:</t>
        </is>
      </c>
      <c r="F13" s="23">
        <f>GAMMA.INV(C11, C12, C13)</f>
        <v/>
      </c>
      <c r="G13" s="5" t="n"/>
    </row>
    <row r="14">
      <c r="B14" s="19" t="inlineStr">
        <is>
          <t>Cadangan</t>
        </is>
      </c>
      <c r="C14" s="19" t="n">
        <v>1</v>
      </c>
    </row>
    <row r="16" ht="26" customHeight="1">
      <c r="B16" s="24" t="inlineStr">
        <is>
          <t>3️⃣ 5 SOAL TES DUNIA NYATA — KERJAKAN DI KOTAK KUNING (TANPA KUNCI RUMUS / HASIL DI SINI!)</t>
        </is>
      </c>
    </row>
    <row r="17" ht="20" customHeight="1">
      <c r="B17" s="25" t="inlineStr">
        <is>
          <t>📌 Catatan Tes: Soal Tes #1 s/d #5 di bawah ini tidak menampilkan kunci rumus maupun hasil. Kunci jawaban lengkap tersedia di sheet paling terakhir (99_KUNCI_JAWABAN).</t>
        </is>
      </c>
    </row>
    <row r="19" ht="22" customHeight="1">
      <c r="B19" s="26" t="inlineStr">
        <is>
          <t>📝 SOAL TES #1: Kasus Keuangan &amp; Akuntansi Kantor</t>
        </is>
      </c>
    </row>
    <row r="20" ht="30" customHeight="1">
      <c r="B20" s="14" t="inlineStr">
        <is>
          <t>Nama Parameter</t>
        </is>
      </c>
      <c r="C20" s="14" t="inlineStr">
        <is>
          <t>Nilai Parameter</t>
        </is>
      </c>
      <c r="E20" s="27" t="inlineStr">
        <is>
          <t>Persoalan Tes #1: Hitung nilai invers distribusi menggunakan fungsi GAMMA.INV dengan argumen berurutan C21, C22, dan C23!</t>
        </is>
      </c>
    </row>
    <row r="21">
      <c r="B21" s="19" t="inlineStr">
        <is>
          <t>Probabilitas (C21)</t>
        </is>
      </c>
      <c r="C21" s="19" t="n">
        <v>0.25</v>
      </c>
      <c r="E21" s="14" t="inlineStr">
        <is>
          <t>✏️ KETIK RUMUS JAWABAN TES DI BAWAH:</t>
        </is>
      </c>
      <c r="F21" s="14" t="inlineStr">
        <is>
          <t>📌 STATUS KOREKSI JAWABAN TES:</t>
        </is>
      </c>
      <c r="G21" s="5" t="n"/>
    </row>
    <row r="22" ht="26" customHeight="1">
      <c r="B22" s="19" t="inlineStr">
        <is>
          <t>Parameter 1 / Mean (C22)</t>
        </is>
      </c>
      <c r="C22" s="19" t="n">
        <v>10</v>
      </c>
      <c r="E22" s="28" t="n"/>
      <c r="F22" s="29">
        <f>IF(ISBLANK(E22), "⏳ Belum Diisi (Ketik Rumus di Sel Kuning E22)", IF(E22='99_KUNCI_JAWABAN'!F190, "✅ BENAR! JAWABAN TES TEPAT!", "❌ Belum Tepat (Cek Sheet Akhir: 99_KUNCI_JAWABAN)"))</f>
        <v/>
      </c>
      <c r="G22" s="5" t="n"/>
    </row>
    <row r="23">
      <c r="B23" s="19" t="inlineStr">
        <is>
          <t>Parameter 2 / SD (C23)</t>
        </is>
      </c>
      <c r="C23" s="19" t="n">
        <v>2</v>
      </c>
    </row>
    <row r="24">
      <c r="B24" s="19" t="inlineStr">
        <is>
          <t>Cadangan</t>
        </is>
      </c>
      <c r="C24" s="19" t="n">
        <v>1</v>
      </c>
    </row>
    <row r="27" ht="22" customHeight="1">
      <c r="B27" s="26" t="inlineStr">
        <is>
          <t>📝 SOAL TES #2: Kasus HRD, Gaji &amp; Lembur Karyawan</t>
        </is>
      </c>
    </row>
    <row r="28" ht="30" customHeight="1">
      <c r="B28" s="14" t="inlineStr">
        <is>
          <t>Nama Parameter</t>
        </is>
      </c>
      <c r="C28" s="14" t="inlineStr">
        <is>
          <t>Nilai Parameter</t>
        </is>
      </c>
      <c r="E28" s="27" t="inlineStr">
        <is>
          <t>Persoalan Tes #2: Hitung nilai invers distribusi menggunakan fungsi GAMMA.INV dengan argumen berurutan C29, C30, dan C31!</t>
        </is>
      </c>
    </row>
    <row r="29">
      <c r="B29" s="19" t="inlineStr">
        <is>
          <t>Probabilitas (C29)</t>
        </is>
      </c>
      <c r="C29" s="19" t="n">
        <v>0.35</v>
      </c>
      <c r="E29" s="14" t="inlineStr">
        <is>
          <t>✏️ KETIK RUMUS JAWABAN TES DI BAWAH:</t>
        </is>
      </c>
      <c r="F29" s="14" t="inlineStr">
        <is>
          <t>📌 STATUS KOREKSI JAWABAN TES:</t>
        </is>
      </c>
      <c r="G29" s="5" t="n"/>
    </row>
    <row r="30" ht="26" customHeight="1">
      <c r="B30" s="19" t="inlineStr">
        <is>
          <t>Parameter 1 / Mean (C30)</t>
        </is>
      </c>
      <c r="C30" s="19" t="n">
        <v>10</v>
      </c>
      <c r="E30" s="28" t="n"/>
      <c r="F30" s="29">
        <f>IF(ISBLANK(E30), "⏳ Belum Diisi (Ketik Rumus di Sel Kuning E30)", IF(E30='99_KUNCI_JAWABAN'!F191, "✅ BENAR! JAWABAN TES TEPAT!", "❌ Belum Tepat (Cek Sheet Akhir: 99_KUNCI_JAWABAN)"))</f>
        <v/>
      </c>
      <c r="G30" s="5" t="n"/>
    </row>
    <row r="31">
      <c r="B31" s="19" t="inlineStr">
        <is>
          <t>Parameter 2 / SD (C31)</t>
        </is>
      </c>
      <c r="C31" s="19" t="n">
        <v>2</v>
      </c>
    </row>
    <row r="32">
      <c r="B32" s="19" t="inlineStr">
        <is>
          <t>Cadangan</t>
        </is>
      </c>
      <c r="C32" s="19" t="n">
        <v>1</v>
      </c>
    </row>
    <row r="35" ht="22" customHeight="1">
      <c r="B35" s="26" t="inlineStr">
        <is>
          <t>📝 SOAL TES #3: Kasus Logistik &amp; Stok Gudang Utama</t>
        </is>
      </c>
    </row>
    <row r="36" ht="30" customHeight="1">
      <c r="B36" s="14" t="inlineStr">
        <is>
          <t>Nama Parameter</t>
        </is>
      </c>
      <c r="C36" s="14" t="inlineStr">
        <is>
          <t>Nilai Parameter</t>
        </is>
      </c>
      <c r="E36" s="27" t="inlineStr">
        <is>
          <t>Persoalan Tes #3: Hitung nilai invers distribusi menggunakan fungsi GAMMA.INV dengan argumen berurutan C37, C38, dan C39!</t>
        </is>
      </c>
    </row>
    <row r="37">
      <c r="B37" s="19" t="inlineStr">
        <is>
          <t>Probabilitas (C37)</t>
        </is>
      </c>
      <c r="C37" s="19" t="n">
        <v>0.45</v>
      </c>
      <c r="E37" s="14" t="inlineStr">
        <is>
          <t>✏️ KETIK RUMUS JAWABAN TES DI BAWAH:</t>
        </is>
      </c>
      <c r="F37" s="14" t="inlineStr">
        <is>
          <t>📌 STATUS KOREKSI JAWABAN TES:</t>
        </is>
      </c>
      <c r="G37" s="5" t="n"/>
    </row>
    <row r="38" ht="26" customHeight="1">
      <c r="B38" s="19" t="inlineStr">
        <is>
          <t>Parameter 1 / Mean (C38)</t>
        </is>
      </c>
      <c r="C38" s="19" t="n">
        <v>10</v>
      </c>
      <c r="E38" s="28" t="n"/>
      <c r="F38" s="29">
        <f>IF(ISBLANK(E38), "⏳ Belum Diisi (Ketik Rumus di Sel Kuning E38)", IF(E38='99_KUNCI_JAWABAN'!F192, "✅ BENAR! JAWABAN TES TEPAT!", "❌ Belum Tepat (Cek Sheet Akhir: 99_KUNCI_JAWABAN)"))</f>
        <v/>
      </c>
      <c r="G38" s="5" t="n"/>
    </row>
    <row r="39">
      <c r="B39" s="19" t="inlineStr">
        <is>
          <t>Parameter 2 / SD (C39)</t>
        </is>
      </c>
      <c r="C39" s="19" t="n">
        <v>2</v>
      </c>
    </row>
    <row r="40">
      <c r="B40" s="19" t="inlineStr">
        <is>
          <t>Cadangan</t>
        </is>
      </c>
      <c r="C40" s="19" t="n">
        <v>1</v>
      </c>
    </row>
    <row r="43" ht="22" customHeight="1">
      <c r="B43" s="26" t="inlineStr">
        <is>
          <t>📝 SOAL TES #4: Kasus Penjualan Retail &amp; Target Toko</t>
        </is>
      </c>
    </row>
    <row r="44" ht="30" customHeight="1">
      <c r="B44" s="14" t="inlineStr">
        <is>
          <t>Nama Parameter</t>
        </is>
      </c>
      <c r="C44" s="14" t="inlineStr">
        <is>
          <t>Nilai Parameter</t>
        </is>
      </c>
      <c r="E44" s="27" t="inlineStr">
        <is>
          <t>Persoalan Tes #4: Hitung nilai invers distribusi menggunakan fungsi GAMMA.INV dengan argumen berurutan C45, C46, dan C47!</t>
        </is>
      </c>
    </row>
    <row r="45">
      <c r="B45" s="19" t="inlineStr">
        <is>
          <t>Probabilitas (C45)</t>
        </is>
      </c>
      <c r="C45" s="19" t="n">
        <v>0.55</v>
      </c>
      <c r="E45" s="14" t="inlineStr">
        <is>
          <t>✏️ KETIK RUMUS JAWABAN TES DI BAWAH:</t>
        </is>
      </c>
      <c r="F45" s="14" t="inlineStr">
        <is>
          <t>📌 STATUS KOREKSI JAWABAN TES:</t>
        </is>
      </c>
      <c r="G45" s="5" t="n"/>
    </row>
    <row r="46" ht="26" customHeight="1">
      <c r="B46" s="19" t="inlineStr">
        <is>
          <t>Parameter 1 / Mean (C46)</t>
        </is>
      </c>
      <c r="C46" s="19" t="n">
        <v>10</v>
      </c>
      <c r="E46" s="28" t="n"/>
      <c r="F46" s="29">
        <f>IF(ISBLANK(E46), "⏳ Belum Diisi (Ketik Rumus di Sel Kuning E46)", IF(E46='99_KUNCI_JAWABAN'!F193, "✅ BENAR! JAWABAN TES TEPAT!", "❌ Belum Tepat (Cek Sheet Akhir: 99_KUNCI_JAWABAN)"))</f>
        <v/>
      </c>
      <c r="G46" s="5" t="n"/>
    </row>
    <row r="47">
      <c r="B47" s="19" t="inlineStr">
        <is>
          <t>Parameter 2 / SD (C47)</t>
        </is>
      </c>
      <c r="C47" s="19" t="n">
        <v>2</v>
      </c>
    </row>
    <row r="48">
      <c r="B48" s="19" t="inlineStr">
        <is>
          <t>Cadangan</t>
        </is>
      </c>
      <c r="C48" s="19" t="n">
        <v>1</v>
      </c>
    </row>
    <row r="51" ht="22" customHeight="1">
      <c r="B51" s="26" t="inlineStr">
        <is>
          <t>📝 SOAL TES #5: Kasus Akademik Sekolah &amp; Layanan Publik</t>
        </is>
      </c>
    </row>
    <row r="52" ht="30" customHeight="1">
      <c r="B52" s="14" t="inlineStr">
        <is>
          <t>Nama Parameter</t>
        </is>
      </c>
      <c r="C52" s="14" t="inlineStr">
        <is>
          <t>Nilai Parameter</t>
        </is>
      </c>
      <c r="E52" s="27" t="inlineStr">
        <is>
          <t>Persoalan Tes #5: Hitung nilai invers distribusi menggunakan fungsi GAMMA.INV dengan argumen berurutan C53, C54, dan C55!</t>
        </is>
      </c>
    </row>
    <row r="53">
      <c r="B53" s="19" t="inlineStr">
        <is>
          <t>Probabilitas (C53)</t>
        </is>
      </c>
      <c r="C53" s="19" t="n">
        <v>0.65</v>
      </c>
      <c r="E53" s="14" t="inlineStr">
        <is>
          <t>✏️ KETIK RUMUS JAWABAN TES DI BAWAH:</t>
        </is>
      </c>
      <c r="F53" s="14" t="inlineStr">
        <is>
          <t>📌 STATUS KOREKSI JAWABAN TES:</t>
        </is>
      </c>
      <c r="G53" s="5" t="n"/>
    </row>
    <row r="54" ht="26" customHeight="1">
      <c r="B54" s="19" t="inlineStr">
        <is>
          <t>Parameter 1 / Mean (C54)</t>
        </is>
      </c>
      <c r="C54" s="19" t="n">
        <v>10</v>
      </c>
      <c r="E54" s="28" t="n"/>
      <c r="F54" s="29">
        <f>IF(ISBLANK(E54), "⏳ Belum Diisi (Ketik Rumus di Sel Kuning E54)", IF(E54='99_KUNCI_JAWABAN'!F194, "✅ BENAR! JAWABAN TES TEPAT!", "❌ Belum Tepat (Cek Sheet Akhir: 99_KUNCI_JAWABAN)"))</f>
        <v/>
      </c>
      <c r="G54" s="5" t="n"/>
    </row>
    <row r="55">
      <c r="B55" s="19" t="inlineStr">
        <is>
          <t>Parameter 2 / SD (C55)</t>
        </is>
      </c>
      <c r="C55" s="19" t="n">
        <v>2</v>
      </c>
    </row>
    <row r="56">
      <c r="B56" s="19" t="inlineStr">
        <is>
          <t>Cadangan</t>
        </is>
      </c>
      <c r="C56" s="19" t="n">
        <v>1</v>
      </c>
    </row>
  </sheetData>
  <mergeCells count="33">
    <mergeCell ref="E10:G10"/>
    <mergeCell ref="F11:G11"/>
    <mergeCell ref="E28:G28"/>
    <mergeCell ref="F29:G29"/>
    <mergeCell ref="C6:G6"/>
    <mergeCell ref="F54:G54"/>
    <mergeCell ref="B17:G17"/>
    <mergeCell ref="B1:G1"/>
    <mergeCell ref="C5:G5"/>
    <mergeCell ref="B19:G19"/>
    <mergeCell ref="F21:G21"/>
    <mergeCell ref="F12:G12"/>
    <mergeCell ref="F30:G30"/>
    <mergeCell ref="E36:G36"/>
    <mergeCell ref="B9:G9"/>
    <mergeCell ref="F45:G45"/>
    <mergeCell ref="B51:G51"/>
    <mergeCell ref="F38:G38"/>
    <mergeCell ref="B35:G35"/>
    <mergeCell ref="B4:G4"/>
    <mergeCell ref="F46:G46"/>
    <mergeCell ref="F22:G22"/>
    <mergeCell ref="B2:E2"/>
    <mergeCell ref="F13:G13"/>
    <mergeCell ref="B16:G16"/>
    <mergeCell ref="F37:G37"/>
    <mergeCell ref="C7:G7"/>
    <mergeCell ref="E52:G52"/>
    <mergeCell ref="B27:G27"/>
    <mergeCell ref="B43:G43"/>
    <mergeCell ref="E44:G44"/>
    <mergeCell ref="E20:G20"/>
    <mergeCell ref="F53:G53"/>
  </mergeCells>
  <hyperlinks>
    <hyperlink xmlns:r="http://schemas.openxmlformats.org/officeDocument/2006/relationships" ref="F2" r:id="rId1"/>
    <hyperlink xmlns:r="http://schemas.openxmlformats.org/officeDocument/2006/relationships" ref="G2" r:id="rId2"/>
  </hyperlink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B1:G56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22" customWidth="1" min="3" max="3"/>
    <col width="4" customWidth="1" min="4" max="4"/>
    <col width="34" customWidth="1" min="5" max="5"/>
    <col width="44" customWidth="1" min="6" max="6"/>
    <col width="28" customWidth="1" min="7" max="7"/>
  </cols>
  <sheetData>
    <row r="1" ht="30" customHeight="1">
      <c r="B1" s="10" t="inlineStr">
        <is>
          <t>📊 #039 — RUMUS EXCEL: GAMMALN   |   Kategori: 8. Statistik &amp; Analisis Data</t>
        </is>
      </c>
    </row>
    <row r="2" ht="22" customHeight="1">
      <c r="B2" s="11" t="inlineStr">
        <is>
          <t>1 Rumus = 1 Contoh Soal + Jawaban Benar &amp; 5 Soal Tes Mandiri (Kunci Jawaban Ada di Sheet Paling Terakhir)</t>
        </is>
      </c>
      <c r="F2" s="12" t="inlineStr">
        <is>
          <t>⬅️ Ke Daftar Isi (00_DAFTAR_ISI)</t>
        </is>
      </c>
      <c r="G2" s="3" t="inlineStr">
        <is>
          <t>🔑 Ke Kunci Jawaban (Sheet Akhir)</t>
        </is>
      </c>
    </row>
    <row r="4" ht="24" customHeight="1">
      <c r="B4" s="13" t="inlineStr">
        <is>
          <t>1️⃣ IDENTITAS RUMUS &amp; FUNGSINYA BUAT APA? (GAMMALN)</t>
        </is>
      </c>
    </row>
    <row r="5" ht="21" customHeight="1">
      <c r="B5" s="14" t="inlineStr">
        <is>
          <t>Nama Rumus Excel</t>
        </is>
      </c>
      <c r="C5" s="15">
        <f>GAMMALN(...)</f>
        <v/>
      </c>
      <c r="D5" s="5" t="n"/>
      <c r="E5" s="5" t="n"/>
      <c r="F5" s="5" t="n"/>
      <c r="G5" s="5" t="n"/>
    </row>
    <row r="6" ht="21" customHeight="1">
      <c r="B6" s="14" t="inlineStr">
        <is>
          <t>Sintaks / Pola Umum</t>
        </is>
      </c>
      <c r="C6" s="15">
        <f>GAMMALN(x)</f>
        <v/>
      </c>
      <c r="D6" s="5" t="n"/>
      <c r="E6" s="5" t="n"/>
      <c r="F6" s="5" t="n"/>
      <c r="G6" s="5" t="n"/>
    </row>
    <row r="7" ht="26" customHeight="1">
      <c r="B7" s="14" t="inlineStr">
        <is>
          <t>👶 Fungsinya Buat Apa?</t>
        </is>
      </c>
      <c r="C7" s="16" t="inlineStr">
        <is>
          <t>Menghitung logaritma natural dari fungsi Gamma Γ(x).</t>
        </is>
      </c>
      <c r="D7" s="5" t="n"/>
      <c r="E7" s="5" t="n"/>
      <c r="F7" s="5" t="n"/>
      <c r="G7" s="5" t="n"/>
    </row>
    <row r="9" ht="24" customHeight="1">
      <c r="B9" s="17" t="inlineStr">
        <is>
          <t>2️⃣ 1 CONTOH SOAL &amp; CONTOH JAWABAN BENAR (PELAJARI POLA RUMUS GAMMALN DI SINI)</t>
        </is>
      </c>
    </row>
    <row r="10">
      <c r="B10" s="18" t="inlineStr">
        <is>
          <t>Parameter Uji</t>
        </is>
      </c>
      <c r="C10" s="18" t="inlineStr">
        <is>
          <t>Nilai Input</t>
        </is>
      </c>
      <c r="E10" s="18" t="inlineStr">
        <is>
          <t>✅ 1 CONTOH SOAL BESERTA CONTOH RUMUS &amp; HASIL JAWABAN BENAR:</t>
        </is>
      </c>
      <c r="F10" s="5" t="n"/>
      <c r="G10" s="5" t="n"/>
    </row>
    <row r="11" ht="28" customHeight="1">
      <c r="B11" s="19" t="inlineStr">
        <is>
          <t>Simulasi Unit A</t>
        </is>
      </c>
      <c r="C11" s="19" t="n">
        <v>3</v>
      </c>
      <c r="E11" s="20" t="inlineStr">
        <is>
          <t>Contoh Soal:</t>
        </is>
      </c>
      <c r="F11" s="21" t="inlineStr">
        <is>
          <t>Hitung hasil fungsi GAMMALN untuk nilai input pada sel C11 (3)!</t>
        </is>
      </c>
      <c r="G11" s="5" t="n"/>
    </row>
    <row r="12">
      <c r="B12" s="19" t="inlineStr">
        <is>
          <t>Simulasi Unit B</t>
        </is>
      </c>
      <c r="C12" s="19" t="n">
        <v>5</v>
      </c>
      <c r="E12" s="20" t="inlineStr">
        <is>
          <t>Contoh Rumus Benar:</t>
        </is>
      </c>
      <c r="F12" s="22" t="inlineStr">
        <is>
          <t>'=GAMMALN(C11)</t>
        </is>
      </c>
      <c r="G12" s="5" t="n"/>
    </row>
    <row r="13">
      <c r="B13" s="19" t="inlineStr">
        <is>
          <t>Simulasi Unit C</t>
        </is>
      </c>
      <c r="C13" s="19" t="n">
        <v>6</v>
      </c>
      <c r="E13" s="20" t="inlineStr">
        <is>
          <t>Contoh Hasil Benar:</t>
        </is>
      </c>
      <c r="F13" s="23">
        <f>GAMMALN(C11)</f>
        <v/>
      </c>
      <c r="G13" s="5" t="n"/>
    </row>
    <row r="14">
      <c r="B14" s="19" t="inlineStr">
        <is>
          <t>Simulasi Unit D</t>
        </is>
      </c>
      <c r="C14" s="19" t="n">
        <v>4</v>
      </c>
    </row>
    <row r="16" ht="26" customHeight="1">
      <c r="B16" s="24" t="inlineStr">
        <is>
          <t>3️⃣ 5 SOAL TES DUNIA NYATA — KERJAKAN DI KOTAK KUNING (TANPA KUNCI RUMUS / HASIL DI SINI!)</t>
        </is>
      </c>
    </row>
    <row r="17" ht="20" customHeight="1">
      <c r="B17" s="25" t="inlineStr">
        <is>
          <t>📌 Catatan Tes: Soal Tes #1 s/d #5 di bawah ini tidak menampilkan kunci rumus maupun hasil. Kunci jawaban lengkap tersedia di sheet paling terakhir (99_KUNCI_JAWABAN).</t>
        </is>
      </c>
    </row>
    <row r="19" ht="22" customHeight="1">
      <c r="B19" s="26" t="inlineStr">
        <is>
          <t>📝 SOAL TES #1: Kasus Keuangan &amp; Akuntansi Kantor</t>
        </is>
      </c>
    </row>
    <row r="20" ht="30" customHeight="1">
      <c r="B20" s="14" t="inlineStr">
        <is>
          <t>Parameter Uji</t>
        </is>
      </c>
      <c r="C20" s="14" t="inlineStr">
        <is>
          <t>Nilai Input</t>
        </is>
      </c>
      <c r="E20" s="27" t="inlineStr">
        <is>
          <t>Persoalan Tes #1: Hitung hasil fungsi GAMMALN untuk nilai input pada sel C21 (3)!</t>
        </is>
      </c>
    </row>
    <row r="21">
      <c r="B21" s="19" t="inlineStr">
        <is>
          <t>Cabang Jakarta</t>
        </is>
      </c>
      <c r="C21" s="19" t="n">
        <v>3</v>
      </c>
      <c r="E21" s="14" t="inlineStr">
        <is>
          <t>✏️ KETIK RUMUS JAWABAN TES DI BAWAH:</t>
        </is>
      </c>
      <c r="F21" s="14" t="inlineStr">
        <is>
          <t>📌 STATUS KOREKSI JAWABAN TES:</t>
        </is>
      </c>
      <c r="G21" s="5" t="n"/>
    </row>
    <row r="22" ht="26" customHeight="1">
      <c r="B22" s="19" t="inlineStr">
        <is>
          <t>Cabang Bandung</t>
        </is>
      </c>
      <c r="C22" s="19" t="n">
        <v>5</v>
      </c>
      <c r="E22" s="28" t="n"/>
      <c r="F22" s="29">
        <f>IF(ISBLANK(E22), "⏳ Belum Diisi (Ketik Rumus di Sel Kuning E22)", IF(E22='99_KUNCI_JAWABAN'!F195, "✅ BENAR! JAWABAN TES TEPAT!", "❌ Belum Tepat (Cek Sheet Akhir: 99_KUNCI_JAWABAN)"))</f>
        <v/>
      </c>
      <c r="G22" s="5" t="n"/>
    </row>
    <row r="23">
      <c r="B23" s="19" t="inlineStr">
        <is>
          <t>Cabang Surabaya</t>
        </is>
      </c>
      <c r="C23" s="19" t="n">
        <v>6</v>
      </c>
    </row>
    <row r="24">
      <c r="B24" s="19" t="inlineStr">
        <is>
          <t>Cabang Medan</t>
        </is>
      </c>
      <c r="C24" s="19" t="n">
        <v>4</v>
      </c>
    </row>
    <row r="27" ht="22" customHeight="1">
      <c r="B27" s="26" t="inlineStr">
        <is>
          <t>📝 SOAL TES #2: Kasus HRD, Gaji &amp; Lembur Karyawan</t>
        </is>
      </c>
    </row>
    <row r="28" ht="30" customHeight="1">
      <c r="B28" s="14" t="inlineStr">
        <is>
          <t>Parameter Uji</t>
        </is>
      </c>
      <c r="C28" s="14" t="inlineStr">
        <is>
          <t>Nilai Input</t>
        </is>
      </c>
      <c r="E28" s="27" t="inlineStr">
        <is>
          <t>Persoalan Tes #2: Hitung hasil fungsi GAMMALN untuk nilai input pada sel C29 (4)!</t>
        </is>
      </c>
    </row>
    <row r="29">
      <c r="B29" s="19" t="inlineStr">
        <is>
          <t>Budi Santoso</t>
        </is>
      </c>
      <c r="C29" s="19" t="n">
        <v>4</v>
      </c>
      <c r="E29" s="14" t="inlineStr">
        <is>
          <t>✏️ KETIK RUMUS JAWABAN TES DI BAWAH:</t>
        </is>
      </c>
      <c r="F29" s="14" t="inlineStr">
        <is>
          <t>📌 STATUS KOREKSI JAWABAN TES:</t>
        </is>
      </c>
      <c r="G29" s="5" t="n"/>
    </row>
    <row r="30" ht="26" customHeight="1">
      <c r="B30" s="19" t="inlineStr">
        <is>
          <t>Siti Aminah</t>
        </is>
      </c>
      <c r="C30" s="19" t="n">
        <v>5</v>
      </c>
      <c r="E30" s="28" t="n"/>
      <c r="F30" s="29">
        <f>IF(ISBLANK(E30), "⏳ Belum Diisi (Ketik Rumus di Sel Kuning E30)", IF(E30='99_KUNCI_JAWABAN'!F196, "✅ BENAR! JAWABAN TES TEPAT!", "❌ Belum Tepat (Cek Sheet Akhir: 99_KUNCI_JAWABAN)"))</f>
        <v/>
      </c>
      <c r="G30" s="5" t="n"/>
    </row>
    <row r="31">
      <c r="B31" s="19" t="inlineStr">
        <is>
          <t>Andi Pratama</t>
        </is>
      </c>
      <c r="C31" s="19" t="n">
        <v>6</v>
      </c>
    </row>
    <row r="32">
      <c r="B32" s="19" t="inlineStr">
        <is>
          <t>Rina Wijaya</t>
        </is>
      </c>
      <c r="C32" s="19" t="n">
        <v>4</v>
      </c>
    </row>
    <row r="35" ht="22" customHeight="1">
      <c r="B35" s="26" t="inlineStr">
        <is>
          <t>📝 SOAL TES #3: Kasus Logistik &amp; Stok Gudang Utama</t>
        </is>
      </c>
    </row>
    <row r="36" ht="30" customHeight="1">
      <c r="B36" s="14" t="inlineStr">
        <is>
          <t>Parameter Uji</t>
        </is>
      </c>
      <c r="C36" s="14" t="inlineStr">
        <is>
          <t>Nilai Input</t>
        </is>
      </c>
      <c r="E36" s="27" t="inlineStr">
        <is>
          <t>Persoalan Tes #3: Hitung hasil fungsi GAMMALN untuk nilai input pada sel C37 (5)!</t>
        </is>
      </c>
    </row>
    <row r="37">
      <c r="B37" s="19" t="inlineStr">
        <is>
          <t>Gudang Blok A</t>
        </is>
      </c>
      <c r="C37" s="19" t="n">
        <v>5</v>
      </c>
      <c r="E37" s="14" t="inlineStr">
        <is>
          <t>✏️ KETIK RUMUS JAWABAN TES DI BAWAH:</t>
        </is>
      </c>
      <c r="F37" s="14" t="inlineStr">
        <is>
          <t>📌 STATUS KOREKSI JAWABAN TES:</t>
        </is>
      </c>
      <c r="G37" s="5" t="n"/>
    </row>
    <row r="38" ht="26" customHeight="1">
      <c r="B38" s="19" t="inlineStr">
        <is>
          <t>Gudang Blok B</t>
        </is>
      </c>
      <c r="C38" s="19" t="n">
        <v>5</v>
      </c>
      <c r="E38" s="28" t="n"/>
      <c r="F38" s="29">
        <f>IF(ISBLANK(E38), "⏳ Belum Diisi (Ketik Rumus di Sel Kuning E38)", IF(E38='99_KUNCI_JAWABAN'!F197, "✅ BENAR! JAWABAN TES TEPAT!", "❌ Belum Tepat (Cek Sheet Akhir: 99_KUNCI_JAWABAN)"))</f>
        <v/>
      </c>
      <c r="G38" s="5" t="n"/>
    </row>
    <row r="39">
      <c r="B39" s="19" t="inlineStr">
        <is>
          <t>Gudang Blok C</t>
        </is>
      </c>
      <c r="C39" s="19" t="n">
        <v>6</v>
      </c>
    </row>
    <row r="40">
      <c r="B40" s="19" t="inlineStr">
        <is>
          <t>Gudang Blok D</t>
        </is>
      </c>
      <c r="C40" s="19" t="n">
        <v>4</v>
      </c>
    </row>
    <row r="43" ht="22" customHeight="1">
      <c r="B43" s="26" t="inlineStr">
        <is>
          <t>📝 SOAL TES #4: Kasus Penjualan Retail &amp; Target Toko</t>
        </is>
      </c>
    </row>
    <row r="44" ht="30" customHeight="1">
      <c r="B44" s="14" t="inlineStr">
        <is>
          <t>Parameter Uji</t>
        </is>
      </c>
      <c r="C44" s="14" t="inlineStr">
        <is>
          <t>Nilai Input</t>
        </is>
      </c>
      <c r="E44" s="27" t="inlineStr">
        <is>
          <t>Persoalan Tes #4: Hitung hasil fungsi GAMMALN untuk nilai input pada sel C45 (6)!</t>
        </is>
      </c>
    </row>
    <row r="45">
      <c r="B45" s="19" t="inlineStr">
        <is>
          <t>Toko Elektronik</t>
        </is>
      </c>
      <c r="C45" s="19" t="n">
        <v>6</v>
      </c>
      <c r="E45" s="14" t="inlineStr">
        <is>
          <t>✏️ KETIK RUMUS JAWABAN TES DI BAWAH:</t>
        </is>
      </c>
      <c r="F45" s="14" t="inlineStr">
        <is>
          <t>📌 STATUS KOREKSI JAWABAN TES:</t>
        </is>
      </c>
      <c r="G45" s="5" t="n"/>
    </row>
    <row r="46" ht="26" customHeight="1">
      <c r="B46" s="19" t="inlineStr">
        <is>
          <t>Toko Komputer</t>
        </is>
      </c>
      <c r="C46" s="19" t="n">
        <v>5</v>
      </c>
      <c r="E46" s="28" t="n"/>
      <c r="F46" s="29">
        <f>IF(ISBLANK(E46), "⏳ Belum Diisi (Ketik Rumus di Sel Kuning E46)", IF(E46='99_KUNCI_JAWABAN'!F198, "✅ BENAR! JAWABAN TES TEPAT!", "❌ Belum Tepat (Cek Sheet Akhir: 99_KUNCI_JAWABAN)"))</f>
        <v/>
      </c>
      <c r="G46" s="5" t="n"/>
    </row>
    <row r="47">
      <c r="B47" s="19" t="inlineStr">
        <is>
          <t>Toko Aksesoris</t>
        </is>
      </c>
      <c r="C47" s="19" t="n">
        <v>6</v>
      </c>
    </row>
    <row r="48">
      <c r="B48" s="19" t="inlineStr">
        <is>
          <t>Toko Servis</t>
        </is>
      </c>
      <c r="C48" s="19" t="n">
        <v>4</v>
      </c>
    </row>
    <row r="51" ht="22" customHeight="1">
      <c r="B51" s="26" t="inlineStr">
        <is>
          <t>📝 SOAL TES #5: Kasus Akademik Sekolah &amp; Layanan Publik</t>
        </is>
      </c>
    </row>
    <row r="52" ht="30" customHeight="1">
      <c r="B52" s="14" t="inlineStr">
        <is>
          <t>Parameter Uji</t>
        </is>
      </c>
      <c r="C52" s="14" t="inlineStr">
        <is>
          <t>Nilai Input</t>
        </is>
      </c>
      <c r="E52" s="27" t="inlineStr">
        <is>
          <t>Persoalan Tes #5: Hitung hasil fungsi GAMMALN untuk nilai input pada sel C53 (7)!</t>
        </is>
      </c>
    </row>
    <row r="53">
      <c r="B53" s="19" t="inlineStr">
        <is>
          <t>Kelas 10 IPA</t>
        </is>
      </c>
      <c r="C53" s="19" t="n">
        <v>7</v>
      </c>
      <c r="E53" s="14" t="inlineStr">
        <is>
          <t>✏️ KETIK RUMUS JAWABAN TES DI BAWAH:</t>
        </is>
      </c>
      <c r="F53" s="14" t="inlineStr">
        <is>
          <t>📌 STATUS KOREKSI JAWABAN TES:</t>
        </is>
      </c>
      <c r="G53" s="5" t="n"/>
    </row>
    <row r="54" ht="26" customHeight="1">
      <c r="B54" s="19" t="inlineStr">
        <is>
          <t>Kelas 11 IPA</t>
        </is>
      </c>
      <c r="C54" s="19" t="n">
        <v>5</v>
      </c>
      <c r="E54" s="28" t="n"/>
      <c r="F54" s="29">
        <f>IF(ISBLANK(E54), "⏳ Belum Diisi (Ketik Rumus di Sel Kuning E54)", IF(E54='99_KUNCI_JAWABAN'!F199, "✅ BENAR! JAWABAN TES TEPAT!", "❌ Belum Tepat (Cek Sheet Akhir: 99_KUNCI_JAWABAN)"))</f>
        <v/>
      </c>
      <c r="G54" s="5" t="n"/>
    </row>
    <row r="55">
      <c r="B55" s="19" t="inlineStr">
        <is>
          <t>Kelas 12 IPA</t>
        </is>
      </c>
      <c r="C55" s="19" t="n">
        <v>6</v>
      </c>
    </row>
    <row r="56">
      <c r="B56" s="19" t="inlineStr">
        <is>
          <t>Kelas Unggulan</t>
        </is>
      </c>
      <c r="C56" s="19" t="n">
        <v>4</v>
      </c>
    </row>
  </sheetData>
  <mergeCells count="33">
    <mergeCell ref="E10:G10"/>
    <mergeCell ref="F11:G11"/>
    <mergeCell ref="E28:G28"/>
    <mergeCell ref="F29:G29"/>
    <mergeCell ref="C6:G6"/>
    <mergeCell ref="F54:G54"/>
    <mergeCell ref="B17:G17"/>
    <mergeCell ref="B1:G1"/>
    <mergeCell ref="C5:G5"/>
    <mergeCell ref="B19:G19"/>
    <mergeCell ref="F21:G21"/>
    <mergeCell ref="F12:G12"/>
    <mergeCell ref="F30:G30"/>
    <mergeCell ref="E36:G36"/>
    <mergeCell ref="B9:G9"/>
    <mergeCell ref="F45:G45"/>
    <mergeCell ref="B51:G51"/>
    <mergeCell ref="F38:G38"/>
    <mergeCell ref="B35:G35"/>
    <mergeCell ref="B4:G4"/>
    <mergeCell ref="F46:G46"/>
    <mergeCell ref="F22:G22"/>
    <mergeCell ref="B2:E2"/>
    <mergeCell ref="F13:G13"/>
    <mergeCell ref="B16:G16"/>
    <mergeCell ref="F37:G37"/>
    <mergeCell ref="C7:G7"/>
    <mergeCell ref="E52:G52"/>
    <mergeCell ref="B27:G27"/>
    <mergeCell ref="B43:G43"/>
    <mergeCell ref="E44:G44"/>
    <mergeCell ref="E20:G20"/>
    <mergeCell ref="F53:G53"/>
  </mergeCells>
  <hyperlinks>
    <hyperlink xmlns:r="http://schemas.openxmlformats.org/officeDocument/2006/relationships" ref="F2" r:id="rId1"/>
    <hyperlink xmlns:r="http://schemas.openxmlformats.org/officeDocument/2006/relationships" ref="G2" r:id="rId2"/>
  </hyperlink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B1:G56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22" customWidth="1" min="3" max="3"/>
    <col width="4" customWidth="1" min="4" max="4"/>
    <col width="34" customWidth="1" min="5" max="5"/>
    <col width="44" customWidth="1" min="6" max="6"/>
    <col width="28" customWidth="1" min="7" max="7"/>
  </cols>
  <sheetData>
    <row r="1" ht="30" customHeight="1">
      <c r="B1" s="10" t="inlineStr">
        <is>
          <t>📊 #040 — RUMUS EXCEL: GEOMEAN   |   Kategori: 8. Statistik &amp; Analisis Data</t>
        </is>
      </c>
    </row>
    <row r="2" ht="22" customHeight="1">
      <c r="B2" s="11" t="inlineStr">
        <is>
          <t>1 Rumus = 1 Contoh Soal + Jawaban Benar &amp; 5 Soal Tes Mandiri (Kunci Jawaban Ada di Sheet Paling Terakhir)</t>
        </is>
      </c>
      <c r="F2" s="12" t="inlineStr">
        <is>
          <t>⬅️ Ke Daftar Isi (00_DAFTAR_ISI)</t>
        </is>
      </c>
      <c r="G2" s="3" t="inlineStr">
        <is>
          <t>🔑 Ke Kunci Jawaban (Sheet Akhir)</t>
        </is>
      </c>
    </row>
    <row r="4" ht="24" customHeight="1">
      <c r="B4" s="13" t="inlineStr">
        <is>
          <t>1️⃣ IDENTITAS RUMUS &amp; FUNGSINYA BUAT APA? (GEOMEAN)</t>
        </is>
      </c>
    </row>
    <row r="5" ht="21" customHeight="1">
      <c r="B5" s="14" t="inlineStr">
        <is>
          <t>Nama Rumus Excel</t>
        </is>
      </c>
      <c r="C5" s="15">
        <f>GEOMEAN(...)</f>
        <v/>
      </c>
      <c r="D5" s="5" t="n"/>
      <c r="E5" s="5" t="n"/>
      <c r="F5" s="5" t="n"/>
      <c r="G5" s="5" t="n"/>
    </row>
    <row r="6" ht="21" customHeight="1">
      <c r="B6" s="14" t="inlineStr">
        <is>
          <t>Sintaks / Pola Umum</t>
        </is>
      </c>
      <c r="C6" s="15">
        <f>GEOMEAN(range_data)</f>
        <v/>
      </c>
      <c r="D6" s="5" t="n"/>
      <c r="E6" s="5" t="n"/>
      <c r="F6" s="5" t="n"/>
      <c r="G6" s="5" t="n"/>
    </row>
    <row r="7" ht="26" customHeight="1">
      <c r="B7" s="14" t="inlineStr">
        <is>
          <t>👶 Fungsinya Buat Apa?</t>
        </is>
      </c>
      <c r="C7" s="16" t="inlineStr">
        <is>
          <t>Menghitung Rata-Rata Geometrik untuk laju pertumbuhan majemuk.</t>
        </is>
      </c>
      <c r="D7" s="5" t="n"/>
      <c r="E7" s="5" t="n"/>
      <c r="F7" s="5" t="n"/>
      <c r="G7" s="5" t="n"/>
    </row>
    <row r="9" ht="24" customHeight="1">
      <c r="B9" s="17" t="inlineStr">
        <is>
          <t>2️⃣ 1 CONTOH SOAL &amp; CONTOH JAWABAN BENAR (PELAJARI POLA RUMUS GEOMEAN DI SINI)</t>
        </is>
      </c>
    </row>
    <row r="10">
      <c r="B10" s="18" t="inlineStr">
        <is>
          <t>Nama Unit / Kategori</t>
        </is>
      </c>
      <c r="C10" s="18" t="inlineStr">
        <is>
          <t>Nilai Data</t>
        </is>
      </c>
      <c r="E10" s="18" t="inlineStr">
        <is>
          <t>✅ 1 CONTOH SOAL BESERTA CONTOH RUMUS &amp; HASIL JAWABAN BENAR:</t>
        </is>
      </c>
      <c r="F10" s="5" t="n"/>
      <c r="G10" s="5" t="n"/>
    </row>
    <row r="11" ht="28" customHeight="1">
      <c r="B11" s="19" t="inlineStr">
        <is>
          <t>Simulasi Unit A</t>
        </is>
      </c>
      <c r="C11" s="19" t="n">
        <v>500000</v>
      </c>
      <c r="E11" s="20" t="inlineStr">
        <is>
          <t>Contoh Soal:</t>
        </is>
      </c>
      <c r="F11" s="21" t="inlineStr">
        <is>
          <t>Hitung hasil pengolahan fungsi GEOMEAN untuk keempat baris data pada rentang C11:C14!</t>
        </is>
      </c>
      <c r="G11" s="5" t="n"/>
    </row>
    <row r="12">
      <c r="B12" s="19" t="inlineStr">
        <is>
          <t>Simulasi Unit B</t>
        </is>
      </c>
      <c r="C12" s="19" t="n">
        <v>750000</v>
      </c>
      <c r="E12" s="20" t="inlineStr">
        <is>
          <t>Contoh Rumus Benar:</t>
        </is>
      </c>
      <c r="F12" s="22" t="inlineStr">
        <is>
          <t>'=GEOMEAN(C11:C14)</t>
        </is>
      </c>
      <c r="G12" s="5" t="n"/>
    </row>
    <row r="13">
      <c r="B13" s="19" t="inlineStr">
        <is>
          <t>Simulasi Unit C</t>
        </is>
      </c>
      <c r="C13" s="19" t="n">
        <v>600000</v>
      </c>
      <c r="E13" s="20" t="inlineStr">
        <is>
          <t>Contoh Hasil Benar:</t>
        </is>
      </c>
      <c r="F13" s="23">
        <f>GEOMEAN(C11:C14)</f>
        <v/>
      </c>
      <c r="G13" s="5" t="n"/>
    </row>
    <row r="14">
      <c r="B14" s="19" t="inlineStr">
        <is>
          <t>Simulasi Unit D</t>
        </is>
      </c>
      <c r="C14" s="19" t="n">
        <v>950000</v>
      </c>
    </row>
    <row r="16" ht="26" customHeight="1">
      <c r="B16" s="24" t="inlineStr">
        <is>
          <t>3️⃣ 5 SOAL TES DUNIA NYATA — KERJAKAN DI KOTAK KUNING (TANPA KUNCI RUMUS / HASIL DI SINI!)</t>
        </is>
      </c>
    </row>
    <row r="17" ht="20" customHeight="1">
      <c r="B17" s="25" t="inlineStr">
        <is>
          <t>📌 Catatan Tes: Soal Tes #1 s/d #5 di bawah ini tidak menampilkan kunci rumus maupun hasil. Kunci jawaban lengkap tersedia di sheet paling terakhir (99_KUNCI_JAWABAN).</t>
        </is>
      </c>
    </row>
    <row r="19" ht="22" customHeight="1">
      <c r="B19" s="26" t="inlineStr">
        <is>
          <t>📝 SOAL TES #1: Kasus Keuangan &amp; Akuntansi Kantor</t>
        </is>
      </c>
    </row>
    <row r="20" ht="30" customHeight="1">
      <c r="B20" s="14" t="inlineStr">
        <is>
          <t>Nama Unit / Kategori</t>
        </is>
      </c>
      <c r="C20" s="14" t="inlineStr">
        <is>
          <t>Nilai Data</t>
        </is>
      </c>
      <c r="E20" s="27" t="inlineStr">
        <is>
          <t>Persoalan Tes #1: Hitung hasil pengolahan fungsi GEOMEAN untuk keempat baris data pada rentang C21:C24!</t>
        </is>
      </c>
    </row>
    <row r="21">
      <c r="B21" s="19" t="inlineStr">
        <is>
          <t>Cabang Jakarta</t>
        </is>
      </c>
      <c r="C21" s="19" t="n">
        <v>1250000</v>
      </c>
      <c r="E21" s="14" t="inlineStr">
        <is>
          <t>✏️ KETIK RUMUS JAWABAN TES DI BAWAH:</t>
        </is>
      </c>
      <c r="F21" s="14" t="inlineStr">
        <is>
          <t>📌 STATUS KOREKSI JAWABAN TES:</t>
        </is>
      </c>
      <c r="G21" s="5" t="n"/>
    </row>
    <row r="22" ht="26" customHeight="1">
      <c r="B22" s="19" t="inlineStr">
        <is>
          <t>Cabang Bandung</t>
        </is>
      </c>
      <c r="C22" s="19" t="n">
        <v>1850000</v>
      </c>
      <c r="E22" s="28" t="n"/>
      <c r="F22" s="29">
        <f>IF(ISBLANK(E22), "⏳ Belum Diisi (Ketik Rumus di Sel Kuning E22)", IF(E22='99_KUNCI_JAWABAN'!F200, "✅ BENAR! JAWABAN TES TEPAT!", "❌ Belum Tepat (Cek Sheet Akhir: 99_KUNCI_JAWABAN)"))</f>
        <v/>
      </c>
      <c r="G22" s="5" t="n"/>
    </row>
    <row r="23">
      <c r="B23" s="19" t="inlineStr">
        <is>
          <t>Cabang Surabaya</t>
        </is>
      </c>
      <c r="C23" s="19" t="n">
        <v>2100000</v>
      </c>
    </row>
    <row r="24">
      <c r="B24" s="19" t="inlineStr">
        <is>
          <t>Cabang Medan</t>
        </is>
      </c>
      <c r="C24" s="19" t="n">
        <v>1600000</v>
      </c>
    </row>
    <row r="27" ht="22" customHeight="1">
      <c r="B27" s="26" t="inlineStr">
        <is>
          <t>📝 SOAL TES #2: Kasus HRD, Gaji &amp; Lembur Karyawan</t>
        </is>
      </c>
    </row>
    <row r="28" ht="30" customHeight="1">
      <c r="B28" s="14" t="inlineStr">
        <is>
          <t>Nama Unit / Kategori</t>
        </is>
      </c>
      <c r="C28" s="14" t="inlineStr">
        <is>
          <t>Nilai Data</t>
        </is>
      </c>
      <c r="E28" s="27" t="inlineStr">
        <is>
          <t>Persoalan Tes #2: Hitung hasil pengolahan fungsi GEOMEAN untuk keempat baris data pada rentang C29:C32!</t>
        </is>
      </c>
    </row>
    <row r="29">
      <c r="B29" s="19" t="inlineStr">
        <is>
          <t>Budi Santoso</t>
        </is>
      </c>
      <c r="C29" s="19" t="n">
        <v>4500000</v>
      </c>
      <c r="E29" s="14" t="inlineStr">
        <is>
          <t>✏️ KETIK RUMUS JAWABAN TES DI BAWAH:</t>
        </is>
      </c>
      <c r="F29" s="14" t="inlineStr">
        <is>
          <t>📌 STATUS KOREKSI JAWABAN TES:</t>
        </is>
      </c>
      <c r="G29" s="5" t="n"/>
    </row>
    <row r="30" ht="26" customHeight="1">
      <c r="B30" s="19" t="inlineStr">
        <is>
          <t>Siti Aminah</t>
        </is>
      </c>
      <c r="C30" s="19" t="n">
        <v>5200000</v>
      </c>
      <c r="E30" s="28" t="n"/>
      <c r="F30" s="29">
        <f>IF(ISBLANK(E30), "⏳ Belum Diisi (Ketik Rumus di Sel Kuning E30)", IF(E30='99_KUNCI_JAWABAN'!F201, "✅ BENAR! JAWABAN TES TEPAT!", "❌ Belum Tepat (Cek Sheet Akhir: 99_KUNCI_JAWABAN)"))</f>
        <v/>
      </c>
      <c r="G30" s="5" t="n"/>
    </row>
    <row r="31">
      <c r="B31" s="19" t="inlineStr">
        <is>
          <t>Andi Pratama</t>
        </is>
      </c>
      <c r="C31" s="19" t="n">
        <v>4800000</v>
      </c>
    </row>
    <row r="32">
      <c r="B32" s="19" t="inlineStr">
        <is>
          <t>Rina Wijaya</t>
        </is>
      </c>
      <c r="C32" s="19" t="n">
        <v>6100000</v>
      </c>
    </row>
    <row r="35" ht="22" customHeight="1">
      <c r="B35" s="26" t="inlineStr">
        <is>
          <t>📝 SOAL TES #3: Kasus Logistik &amp; Stok Gudang Utama</t>
        </is>
      </c>
    </row>
    <row r="36" ht="30" customHeight="1">
      <c r="B36" s="14" t="inlineStr">
        <is>
          <t>Nama Unit / Kategori</t>
        </is>
      </c>
      <c r="C36" s="14" t="inlineStr">
        <is>
          <t>Nilai Data</t>
        </is>
      </c>
      <c r="E36" s="27" t="inlineStr">
        <is>
          <t>Persoalan Tes #3: Hitung hasil pengolahan fungsi GEOMEAN untuk keempat baris data pada rentang C37:C40!</t>
        </is>
      </c>
    </row>
    <row r="37">
      <c r="B37" s="19" t="inlineStr">
        <is>
          <t>Gudang Blok A</t>
        </is>
      </c>
      <c r="C37" s="19" t="n">
        <v>240</v>
      </c>
      <c r="E37" s="14" t="inlineStr">
        <is>
          <t>✏️ KETIK RUMUS JAWABAN TES DI BAWAH:</t>
        </is>
      </c>
      <c r="F37" s="14" t="inlineStr">
        <is>
          <t>📌 STATUS KOREKSI JAWABAN TES:</t>
        </is>
      </c>
      <c r="G37" s="5" t="n"/>
    </row>
    <row r="38" ht="26" customHeight="1">
      <c r="B38" s="19" t="inlineStr">
        <is>
          <t>Gudang Blok B</t>
        </is>
      </c>
      <c r="C38" s="19" t="n">
        <v>380</v>
      </c>
      <c r="E38" s="28" t="n"/>
      <c r="F38" s="29">
        <f>IF(ISBLANK(E38), "⏳ Belum Diisi (Ketik Rumus di Sel Kuning E38)", IF(E38='99_KUNCI_JAWABAN'!F202, "✅ BENAR! JAWABAN TES TEPAT!", "❌ Belum Tepat (Cek Sheet Akhir: 99_KUNCI_JAWABAN)"))</f>
        <v/>
      </c>
      <c r="G38" s="5" t="n"/>
    </row>
    <row r="39">
      <c r="B39" s="19" t="inlineStr">
        <is>
          <t>Gudang Blok C</t>
        </is>
      </c>
      <c r="C39" s="19" t="n">
        <v>195</v>
      </c>
    </row>
    <row r="40">
      <c r="B40" s="19" t="inlineStr">
        <is>
          <t>Gudang Blok D</t>
        </is>
      </c>
      <c r="C40" s="19" t="n">
        <v>425</v>
      </c>
    </row>
    <row r="43" ht="22" customHeight="1">
      <c r="B43" s="26" t="inlineStr">
        <is>
          <t>📝 SOAL TES #4: Kasus Penjualan Retail &amp; Target Toko</t>
        </is>
      </c>
    </row>
    <row r="44" ht="30" customHeight="1">
      <c r="B44" s="14" t="inlineStr">
        <is>
          <t>Nama Unit / Kategori</t>
        </is>
      </c>
      <c r="C44" s="14" t="inlineStr">
        <is>
          <t>Nilai Data</t>
        </is>
      </c>
      <c r="E44" s="27" t="inlineStr">
        <is>
          <t>Persoalan Tes #4: Hitung hasil pengolahan fungsi GEOMEAN untuk keempat baris data pada rentang C45:C48!</t>
        </is>
      </c>
    </row>
    <row r="45">
      <c r="B45" s="19" t="inlineStr">
        <is>
          <t>Toko Elektronik</t>
        </is>
      </c>
      <c r="C45" s="19" t="n">
        <v>85</v>
      </c>
      <c r="E45" s="14" t="inlineStr">
        <is>
          <t>✏️ KETIK RUMUS JAWABAN TES DI BAWAH:</t>
        </is>
      </c>
      <c r="F45" s="14" t="inlineStr">
        <is>
          <t>📌 STATUS KOREKSI JAWABAN TES:</t>
        </is>
      </c>
      <c r="G45" s="5" t="n"/>
    </row>
    <row r="46" ht="26" customHeight="1">
      <c r="B46" s="19" t="inlineStr">
        <is>
          <t>Toko Komputer</t>
        </is>
      </c>
      <c r="C46" s="19" t="n">
        <v>92</v>
      </c>
      <c r="E46" s="28" t="n"/>
      <c r="F46" s="29">
        <f>IF(ISBLANK(E46), "⏳ Belum Diisi (Ketik Rumus di Sel Kuning E46)", IF(E46='99_KUNCI_JAWABAN'!F203, "✅ BENAR! JAWABAN TES TEPAT!", "❌ Belum Tepat (Cek Sheet Akhir: 99_KUNCI_JAWABAN)"))</f>
        <v/>
      </c>
      <c r="G46" s="5" t="n"/>
    </row>
    <row r="47">
      <c r="B47" s="19" t="inlineStr">
        <is>
          <t>Toko Aksesoris</t>
        </is>
      </c>
      <c r="C47" s="19" t="n">
        <v>78</v>
      </c>
    </row>
    <row r="48">
      <c r="B48" s="19" t="inlineStr">
        <is>
          <t>Toko Servis</t>
        </is>
      </c>
      <c r="C48" s="19" t="n">
        <v>95</v>
      </c>
    </row>
    <row r="51" ht="22" customHeight="1">
      <c r="B51" s="26" t="inlineStr">
        <is>
          <t>📝 SOAL TES #5: Kasus Akademik Sekolah &amp; Layanan Publik</t>
        </is>
      </c>
    </row>
    <row r="52" ht="30" customHeight="1">
      <c r="B52" s="14" t="inlineStr">
        <is>
          <t>Nama Unit / Kategori</t>
        </is>
      </c>
      <c r="C52" s="14" t="inlineStr">
        <is>
          <t>Nilai Data</t>
        </is>
      </c>
      <c r="E52" s="27" t="inlineStr">
        <is>
          <t>Persoalan Tes #5: Hitung hasil pengolahan fungsi GEOMEAN untuk keempat baris data pada rentang C53:C56!</t>
        </is>
      </c>
    </row>
    <row r="53">
      <c r="B53" s="19" t="inlineStr">
        <is>
          <t>Kelas 10 IPA</t>
        </is>
      </c>
      <c r="C53" s="19" t="n">
        <v>82</v>
      </c>
      <c r="E53" s="14" t="inlineStr">
        <is>
          <t>✏️ KETIK RUMUS JAWABAN TES DI BAWAH:</t>
        </is>
      </c>
      <c r="F53" s="14" t="inlineStr">
        <is>
          <t>📌 STATUS KOREKSI JAWABAN TES:</t>
        </is>
      </c>
      <c r="G53" s="5" t="n"/>
    </row>
    <row r="54" ht="26" customHeight="1">
      <c r="B54" s="19" t="inlineStr">
        <is>
          <t>Kelas 11 IPA</t>
        </is>
      </c>
      <c r="C54" s="19" t="n">
        <v>88</v>
      </c>
      <c r="E54" s="28" t="n"/>
      <c r="F54" s="29">
        <f>IF(ISBLANK(E54), "⏳ Belum Diisi (Ketik Rumus di Sel Kuning E54)", IF(E54='99_KUNCI_JAWABAN'!F204, "✅ BENAR! JAWABAN TES TEPAT!", "❌ Belum Tepat (Cek Sheet Akhir: 99_KUNCI_JAWABAN)"))</f>
        <v/>
      </c>
      <c r="G54" s="5" t="n"/>
    </row>
    <row r="55">
      <c r="B55" s="19" t="inlineStr">
        <is>
          <t>Kelas 12 IPA</t>
        </is>
      </c>
      <c r="C55" s="19" t="n">
        <v>91</v>
      </c>
    </row>
    <row r="56">
      <c r="B56" s="19" t="inlineStr">
        <is>
          <t>Kelas Unggulan</t>
        </is>
      </c>
      <c r="C56" s="19" t="n">
        <v>79</v>
      </c>
    </row>
  </sheetData>
  <mergeCells count="33">
    <mergeCell ref="E10:G10"/>
    <mergeCell ref="F11:G11"/>
    <mergeCell ref="E28:G28"/>
    <mergeCell ref="F29:G29"/>
    <mergeCell ref="C6:G6"/>
    <mergeCell ref="F54:G54"/>
    <mergeCell ref="B17:G17"/>
    <mergeCell ref="B1:G1"/>
    <mergeCell ref="C5:G5"/>
    <mergeCell ref="B19:G19"/>
    <mergeCell ref="F21:G21"/>
    <mergeCell ref="F12:G12"/>
    <mergeCell ref="F30:G30"/>
    <mergeCell ref="E36:G36"/>
    <mergeCell ref="B9:G9"/>
    <mergeCell ref="F45:G45"/>
    <mergeCell ref="B51:G51"/>
    <mergeCell ref="F38:G38"/>
    <mergeCell ref="B35:G35"/>
    <mergeCell ref="B4:G4"/>
    <mergeCell ref="F46:G46"/>
    <mergeCell ref="F22:G22"/>
    <mergeCell ref="B2:E2"/>
    <mergeCell ref="F13:G13"/>
    <mergeCell ref="B16:G16"/>
    <mergeCell ref="F37:G37"/>
    <mergeCell ref="C7:G7"/>
    <mergeCell ref="E52:G52"/>
    <mergeCell ref="B27:G27"/>
    <mergeCell ref="B43:G43"/>
    <mergeCell ref="E44:G44"/>
    <mergeCell ref="E20:G20"/>
    <mergeCell ref="F53:G53"/>
  </mergeCells>
  <hyperlinks>
    <hyperlink xmlns:r="http://schemas.openxmlformats.org/officeDocument/2006/relationships" ref="F2" r:id="rId1"/>
    <hyperlink xmlns:r="http://schemas.openxmlformats.org/officeDocument/2006/relationships" ref="G2" r:id="rId2"/>
  </hyperlink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B1:G56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22" customWidth="1" min="3" max="3"/>
    <col width="4" customWidth="1" min="4" max="4"/>
    <col width="34" customWidth="1" min="5" max="5"/>
    <col width="44" customWidth="1" min="6" max="6"/>
    <col width="28" customWidth="1" min="7" max="7"/>
  </cols>
  <sheetData>
    <row r="1" ht="30" customHeight="1">
      <c r="B1" s="10" t="inlineStr">
        <is>
          <t>📊 #041 — RUMUS EXCEL: GROWTH   |   Kategori: 8. Statistik &amp; Analisis Data</t>
        </is>
      </c>
    </row>
    <row r="2" ht="22" customHeight="1">
      <c r="B2" s="11" t="inlineStr">
        <is>
          <t>1 Rumus = 1 Contoh Soal + Jawaban Benar &amp; 5 Soal Tes Mandiri (Kunci Jawaban Ada di Sheet Paling Terakhir)</t>
        </is>
      </c>
      <c r="F2" s="12" t="inlineStr">
        <is>
          <t>⬅️ Ke Daftar Isi (00_DAFTAR_ISI)</t>
        </is>
      </c>
      <c r="G2" s="3" t="inlineStr">
        <is>
          <t>🔑 Ke Kunci Jawaban (Sheet Akhir)</t>
        </is>
      </c>
    </row>
    <row r="4" ht="24" customHeight="1">
      <c r="B4" s="13" t="inlineStr">
        <is>
          <t>1️⃣ IDENTITAS RUMUS &amp; FUNGSINYA BUAT APA? (GROWTH)</t>
        </is>
      </c>
    </row>
    <row r="5" ht="21" customHeight="1">
      <c r="B5" s="14" t="inlineStr">
        <is>
          <t>Nama Rumus Excel</t>
        </is>
      </c>
      <c r="C5" s="15">
        <f>GROWTH(...)</f>
        <v/>
      </c>
      <c r="D5" s="5" t="n"/>
      <c r="E5" s="5" t="n"/>
      <c r="F5" s="5" t="n"/>
      <c r="G5" s="5" t="n"/>
    </row>
    <row r="6" ht="21" customHeight="1">
      <c r="B6" s="14" t="inlineStr">
        <is>
          <t>Sintaks / Pola Umum</t>
        </is>
      </c>
      <c r="C6" s="15">
        <f>GROWTH(range_y, range_x, target_x)</f>
        <v/>
      </c>
      <c r="D6" s="5" t="n"/>
      <c r="E6" s="5" t="n"/>
      <c r="F6" s="5" t="n"/>
      <c r="G6" s="5" t="n"/>
    </row>
    <row r="7" ht="26" customHeight="1">
      <c r="B7" s="14" t="inlineStr">
        <is>
          <t>👶 Fungsinya Buat Apa?</t>
        </is>
      </c>
      <c r="C7" s="16" t="inlineStr">
        <is>
          <t>Memprediksi pertumbuhan eksponensial berdasarkan data historis.</t>
        </is>
      </c>
      <c r="D7" s="5" t="n"/>
      <c r="E7" s="5" t="n"/>
      <c r="F7" s="5" t="n"/>
      <c r="G7" s="5" t="n"/>
    </row>
    <row r="9" ht="24" customHeight="1">
      <c r="B9" s="17" t="inlineStr">
        <is>
          <t>2️⃣ 1 CONTOH SOAL &amp; CONTOH JAWABAN BENAR (PELAJARI POLA RUMUS GROWTH DI SINI)</t>
        </is>
      </c>
    </row>
    <row r="10">
      <c r="B10" s="18" t="inlineStr">
        <is>
          <t>Periode (X)</t>
        </is>
      </c>
      <c r="C10" s="18" t="inlineStr">
        <is>
          <t>Realisasi (Y)</t>
        </is>
      </c>
      <c r="E10" s="18" t="inlineStr">
        <is>
          <t>✅ 1 CONTOH SOAL BESERTA CONTOH RUMUS &amp; HASIL JAWABAN BENAR:</t>
        </is>
      </c>
      <c r="F10" s="5" t="n"/>
      <c r="G10" s="5" t="n"/>
    </row>
    <row r="11" ht="28" customHeight="1">
      <c r="B11" s="19" t="n">
        <v>1</v>
      </c>
      <c r="C11" s="19" t="n">
        <v>600</v>
      </c>
      <c r="E11" s="20" t="inlineStr">
        <is>
          <t>Contoh Soal:</t>
        </is>
      </c>
      <c r="F11" s="21" t="inlineStr">
        <is>
          <t>Prediksi nilai periode ke-5 berdasarkan deret hasil Y (C11:C14) dan periode X (B11:B14) menggunakan fungsi GROWTH!</t>
        </is>
      </c>
      <c r="G11" s="5" t="n"/>
    </row>
    <row r="12">
      <c r="B12" s="19" t="n">
        <v>2</v>
      </c>
      <c r="C12" s="19" t="n">
        <v>720</v>
      </c>
      <c r="E12" s="20" t="inlineStr">
        <is>
          <t>Contoh Rumus Benar:</t>
        </is>
      </c>
      <c r="F12" s="22" t="inlineStr">
        <is>
          <t>'=GROWTH(C11:C14, B11:B14, 5)</t>
        </is>
      </c>
      <c r="G12" s="5" t="n"/>
    </row>
    <row r="13">
      <c r="B13" s="19" t="n">
        <v>3</v>
      </c>
      <c r="C13" s="19" t="n">
        <v>870</v>
      </c>
      <c r="E13" s="20" t="inlineStr">
        <is>
          <t>Contoh Hasil Benar:</t>
        </is>
      </c>
      <c r="F13" s="23">
        <f>GROWTH(C11:C14, B11:B14, 5)</f>
        <v/>
      </c>
      <c r="G13" s="5" t="n"/>
    </row>
    <row r="14">
      <c r="B14" s="19" t="n">
        <v>4</v>
      </c>
      <c r="C14" s="19" t="n">
        <v>1050</v>
      </c>
    </row>
    <row r="16" ht="26" customHeight="1">
      <c r="B16" s="24" t="inlineStr">
        <is>
          <t>3️⃣ 5 SOAL TES DUNIA NYATA — KERJAKAN DI KOTAK KUNING (TANPA KUNCI RUMUS / HASIL DI SINI!)</t>
        </is>
      </c>
    </row>
    <row r="17" ht="20" customHeight="1">
      <c r="B17" s="25" t="inlineStr">
        <is>
          <t>📌 Catatan Tes: Soal Tes #1 s/d #5 di bawah ini tidak menampilkan kunci rumus maupun hasil. Kunci jawaban lengkap tersedia di sheet paling terakhir (99_KUNCI_JAWABAN).</t>
        </is>
      </c>
    </row>
    <row r="19" ht="22" customHeight="1">
      <c r="B19" s="26" t="inlineStr">
        <is>
          <t>📝 SOAL TES #1: Kasus Keuangan &amp; Akuntansi Kantor</t>
        </is>
      </c>
    </row>
    <row r="20" ht="30" customHeight="1">
      <c r="B20" s="14" t="inlineStr">
        <is>
          <t>Periode (X)</t>
        </is>
      </c>
      <c r="C20" s="14" t="inlineStr">
        <is>
          <t>Realisasi (Y)</t>
        </is>
      </c>
      <c r="E20" s="27" t="inlineStr">
        <is>
          <t>Persoalan Tes #1: Prediksi nilai periode ke-5 berdasarkan deret hasil Y (C21:C24) dan periode X (B21:B24) menggunakan fungsi GROWTH!</t>
        </is>
      </c>
    </row>
    <row r="21">
      <c r="B21" s="19" t="n">
        <v>1</v>
      </c>
      <c r="C21" s="19" t="n">
        <v>100</v>
      </c>
      <c r="E21" s="14" t="inlineStr">
        <is>
          <t>✏️ KETIK RUMUS JAWABAN TES DI BAWAH:</t>
        </is>
      </c>
      <c r="F21" s="14" t="inlineStr">
        <is>
          <t>📌 STATUS KOREKSI JAWABAN TES:</t>
        </is>
      </c>
      <c r="G21" s="5" t="n"/>
    </row>
    <row r="22" ht="26" customHeight="1">
      <c r="B22" s="19" t="n">
        <v>2</v>
      </c>
      <c r="C22" s="19" t="n">
        <v>120</v>
      </c>
      <c r="E22" s="28" t="n"/>
      <c r="F22" s="29">
        <f>IF(ISBLANK(E22), "⏳ Belum Diisi (Ketik Rumus di Sel Kuning E22)", IF(E22='99_KUNCI_JAWABAN'!F205, "✅ BENAR! JAWABAN TES TEPAT!", "❌ Belum Tepat (Cek Sheet Akhir: 99_KUNCI_JAWABAN)"))</f>
        <v/>
      </c>
      <c r="G22" s="5" t="n"/>
    </row>
    <row r="23">
      <c r="B23" s="19" t="n">
        <v>3</v>
      </c>
      <c r="C23" s="19" t="n">
        <v>145</v>
      </c>
    </row>
    <row r="24">
      <c r="B24" s="19" t="n">
        <v>4</v>
      </c>
      <c r="C24" s="19" t="n">
        <v>175</v>
      </c>
    </row>
    <row r="27" ht="22" customHeight="1">
      <c r="B27" s="26" t="inlineStr">
        <is>
          <t>📝 SOAL TES #2: Kasus HRD, Gaji &amp; Lembur Karyawan</t>
        </is>
      </c>
    </row>
    <row r="28" ht="30" customHeight="1">
      <c r="B28" s="14" t="inlineStr">
        <is>
          <t>Periode (X)</t>
        </is>
      </c>
      <c r="C28" s="14" t="inlineStr">
        <is>
          <t>Realisasi (Y)</t>
        </is>
      </c>
      <c r="E28" s="27" t="inlineStr">
        <is>
          <t>Persoalan Tes #2: Prediksi nilai periode ke-5 berdasarkan deret hasil Y (C29:C32) dan periode X (B29:B32) menggunakan fungsi GROWTH!</t>
        </is>
      </c>
    </row>
    <row r="29">
      <c r="B29" s="19" t="n">
        <v>1</v>
      </c>
      <c r="C29" s="19" t="n">
        <v>200</v>
      </c>
      <c r="E29" s="14" t="inlineStr">
        <is>
          <t>✏️ KETIK RUMUS JAWABAN TES DI BAWAH:</t>
        </is>
      </c>
      <c r="F29" s="14" t="inlineStr">
        <is>
          <t>📌 STATUS KOREKSI JAWABAN TES:</t>
        </is>
      </c>
      <c r="G29" s="5" t="n"/>
    </row>
    <row r="30" ht="26" customHeight="1">
      <c r="B30" s="19" t="n">
        <v>2</v>
      </c>
      <c r="C30" s="19" t="n">
        <v>240</v>
      </c>
      <c r="E30" s="28" t="n"/>
      <c r="F30" s="29">
        <f>IF(ISBLANK(E30), "⏳ Belum Diisi (Ketik Rumus di Sel Kuning E30)", IF(E30='99_KUNCI_JAWABAN'!F206, "✅ BENAR! JAWABAN TES TEPAT!", "❌ Belum Tepat (Cek Sheet Akhir: 99_KUNCI_JAWABAN)"))</f>
        <v/>
      </c>
      <c r="G30" s="5" t="n"/>
    </row>
    <row r="31">
      <c r="B31" s="19" t="n">
        <v>3</v>
      </c>
      <c r="C31" s="19" t="n">
        <v>290</v>
      </c>
    </row>
    <row r="32">
      <c r="B32" s="19" t="n">
        <v>4</v>
      </c>
      <c r="C32" s="19" t="n">
        <v>350</v>
      </c>
    </row>
    <row r="35" ht="22" customHeight="1">
      <c r="B35" s="26" t="inlineStr">
        <is>
          <t>📝 SOAL TES #3: Kasus Logistik &amp; Stok Gudang Utama</t>
        </is>
      </c>
    </row>
    <row r="36" ht="30" customHeight="1">
      <c r="B36" s="14" t="inlineStr">
        <is>
          <t>Periode (X)</t>
        </is>
      </c>
      <c r="C36" s="14" t="inlineStr">
        <is>
          <t>Realisasi (Y)</t>
        </is>
      </c>
      <c r="E36" s="27" t="inlineStr">
        <is>
          <t>Persoalan Tes #3: Prediksi nilai periode ke-5 berdasarkan deret hasil Y (C37:C40) dan periode X (B37:B40) menggunakan fungsi GROWTH!</t>
        </is>
      </c>
    </row>
    <row r="37">
      <c r="B37" s="19" t="n">
        <v>1</v>
      </c>
      <c r="C37" s="19" t="n">
        <v>300</v>
      </c>
      <c r="E37" s="14" t="inlineStr">
        <is>
          <t>✏️ KETIK RUMUS JAWABAN TES DI BAWAH:</t>
        </is>
      </c>
      <c r="F37" s="14" t="inlineStr">
        <is>
          <t>📌 STATUS KOREKSI JAWABAN TES:</t>
        </is>
      </c>
      <c r="G37" s="5" t="n"/>
    </row>
    <row r="38" ht="26" customHeight="1">
      <c r="B38" s="19" t="n">
        <v>2</v>
      </c>
      <c r="C38" s="19" t="n">
        <v>360</v>
      </c>
      <c r="E38" s="28" t="n"/>
      <c r="F38" s="29">
        <f>IF(ISBLANK(E38), "⏳ Belum Diisi (Ketik Rumus di Sel Kuning E38)", IF(E38='99_KUNCI_JAWABAN'!F207, "✅ BENAR! JAWABAN TES TEPAT!", "❌ Belum Tepat (Cek Sheet Akhir: 99_KUNCI_JAWABAN)"))</f>
        <v/>
      </c>
      <c r="G38" s="5" t="n"/>
    </row>
    <row r="39">
      <c r="B39" s="19" t="n">
        <v>3</v>
      </c>
      <c r="C39" s="19" t="n">
        <v>435</v>
      </c>
    </row>
    <row r="40">
      <c r="B40" s="19" t="n">
        <v>4</v>
      </c>
      <c r="C40" s="19" t="n">
        <v>525</v>
      </c>
    </row>
    <row r="43" ht="22" customHeight="1">
      <c r="B43" s="26" t="inlineStr">
        <is>
          <t>📝 SOAL TES #4: Kasus Penjualan Retail &amp; Target Toko</t>
        </is>
      </c>
    </row>
    <row r="44" ht="30" customHeight="1">
      <c r="B44" s="14" t="inlineStr">
        <is>
          <t>Periode (X)</t>
        </is>
      </c>
      <c r="C44" s="14" t="inlineStr">
        <is>
          <t>Realisasi (Y)</t>
        </is>
      </c>
      <c r="E44" s="27" t="inlineStr">
        <is>
          <t>Persoalan Tes #4: Prediksi nilai periode ke-5 berdasarkan deret hasil Y (C45:C48) dan periode X (B45:B48) menggunakan fungsi GROWTH!</t>
        </is>
      </c>
    </row>
    <row r="45">
      <c r="B45" s="19" t="n">
        <v>1</v>
      </c>
      <c r="C45" s="19" t="n">
        <v>400</v>
      </c>
      <c r="E45" s="14" t="inlineStr">
        <is>
          <t>✏️ KETIK RUMUS JAWABAN TES DI BAWAH:</t>
        </is>
      </c>
      <c r="F45" s="14" t="inlineStr">
        <is>
          <t>📌 STATUS KOREKSI JAWABAN TES:</t>
        </is>
      </c>
      <c r="G45" s="5" t="n"/>
    </row>
    <row r="46" ht="26" customHeight="1">
      <c r="B46" s="19" t="n">
        <v>2</v>
      </c>
      <c r="C46" s="19" t="n">
        <v>480</v>
      </c>
      <c r="E46" s="28" t="n"/>
      <c r="F46" s="29">
        <f>IF(ISBLANK(E46), "⏳ Belum Diisi (Ketik Rumus di Sel Kuning E46)", IF(E46='99_KUNCI_JAWABAN'!F208, "✅ BENAR! JAWABAN TES TEPAT!", "❌ Belum Tepat (Cek Sheet Akhir: 99_KUNCI_JAWABAN)"))</f>
        <v/>
      </c>
      <c r="G46" s="5" t="n"/>
    </row>
    <row r="47">
      <c r="B47" s="19" t="n">
        <v>3</v>
      </c>
      <c r="C47" s="19" t="n">
        <v>580</v>
      </c>
    </row>
    <row r="48">
      <c r="B48" s="19" t="n">
        <v>4</v>
      </c>
      <c r="C48" s="19" t="n">
        <v>700</v>
      </c>
    </row>
    <row r="51" ht="22" customHeight="1">
      <c r="B51" s="26" t="inlineStr">
        <is>
          <t>📝 SOAL TES #5: Kasus Akademik Sekolah &amp; Layanan Publik</t>
        </is>
      </c>
    </row>
    <row r="52" ht="30" customHeight="1">
      <c r="B52" s="14" t="inlineStr">
        <is>
          <t>Periode (X)</t>
        </is>
      </c>
      <c r="C52" s="14" t="inlineStr">
        <is>
          <t>Realisasi (Y)</t>
        </is>
      </c>
      <c r="E52" s="27" t="inlineStr">
        <is>
          <t>Persoalan Tes #5: Prediksi nilai periode ke-5 berdasarkan deret hasil Y (C53:C56) dan periode X (B53:B56) menggunakan fungsi GROWTH!</t>
        </is>
      </c>
    </row>
    <row r="53">
      <c r="B53" s="19" t="n">
        <v>1</v>
      </c>
      <c r="C53" s="19" t="n">
        <v>500</v>
      </c>
      <c r="E53" s="14" t="inlineStr">
        <is>
          <t>✏️ KETIK RUMUS JAWABAN TES DI BAWAH:</t>
        </is>
      </c>
      <c r="F53" s="14" t="inlineStr">
        <is>
          <t>📌 STATUS KOREKSI JAWABAN TES:</t>
        </is>
      </c>
      <c r="G53" s="5" t="n"/>
    </row>
    <row r="54" ht="26" customHeight="1">
      <c r="B54" s="19" t="n">
        <v>2</v>
      </c>
      <c r="C54" s="19" t="n">
        <v>600</v>
      </c>
      <c r="E54" s="28" t="n"/>
      <c r="F54" s="29">
        <f>IF(ISBLANK(E54), "⏳ Belum Diisi (Ketik Rumus di Sel Kuning E54)", IF(E54='99_KUNCI_JAWABAN'!F209, "✅ BENAR! JAWABAN TES TEPAT!", "❌ Belum Tepat (Cek Sheet Akhir: 99_KUNCI_JAWABAN)"))</f>
        <v/>
      </c>
      <c r="G54" s="5" t="n"/>
    </row>
    <row r="55">
      <c r="B55" s="19" t="n">
        <v>3</v>
      </c>
      <c r="C55" s="19" t="n">
        <v>725</v>
      </c>
    </row>
    <row r="56">
      <c r="B56" s="19" t="n">
        <v>4</v>
      </c>
      <c r="C56" s="19" t="n">
        <v>875</v>
      </c>
    </row>
  </sheetData>
  <mergeCells count="33">
    <mergeCell ref="E10:G10"/>
    <mergeCell ref="F11:G11"/>
    <mergeCell ref="E28:G28"/>
    <mergeCell ref="F29:G29"/>
    <mergeCell ref="C6:G6"/>
    <mergeCell ref="F54:G54"/>
    <mergeCell ref="B17:G17"/>
    <mergeCell ref="B1:G1"/>
    <mergeCell ref="C5:G5"/>
    <mergeCell ref="B19:G19"/>
    <mergeCell ref="F21:G21"/>
    <mergeCell ref="F12:G12"/>
    <mergeCell ref="F30:G30"/>
    <mergeCell ref="E36:G36"/>
    <mergeCell ref="B9:G9"/>
    <mergeCell ref="F45:G45"/>
    <mergeCell ref="B51:G51"/>
    <mergeCell ref="F38:G38"/>
    <mergeCell ref="B35:G35"/>
    <mergeCell ref="B4:G4"/>
    <mergeCell ref="F46:G46"/>
    <mergeCell ref="F22:G22"/>
    <mergeCell ref="B2:E2"/>
    <mergeCell ref="F13:G13"/>
    <mergeCell ref="B16:G16"/>
    <mergeCell ref="F37:G37"/>
    <mergeCell ref="C7:G7"/>
    <mergeCell ref="E52:G52"/>
    <mergeCell ref="B27:G27"/>
    <mergeCell ref="B43:G43"/>
    <mergeCell ref="E44:G44"/>
    <mergeCell ref="E20:G20"/>
    <mergeCell ref="F53:G53"/>
  </mergeCells>
  <hyperlinks>
    <hyperlink xmlns:r="http://schemas.openxmlformats.org/officeDocument/2006/relationships" ref="F2" r:id="rId1"/>
    <hyperlink xmlns:r="http://schemas.openxmlformats.org/officeDocument/2006/relationships" ref="G2" r:id="rId2"/>
  </hyperlinks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B1:G56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22" customWidth="1" min="3" max="3"/>
    <col width="4" customWidth="1" min="4" max="4"/>
    <col width="34" customWidth="1" min="5" max="5"/>
    <col width="44" customWidth="1" min="6" max="6"/>
    <col width="28" customWidth="1" min="7" max="7"/>
  </cols>
  <sheetData>
    <row r="1" ht="30" customHeight="1">
      <c r="B1" s="10" t="inlineStr">
        <is>
          <t>📊 #042 — RUMUS EXCEL: HARMEAN   |   Kategori: 8. Statistik &amp; Analisis Data</t>
        </is>
      </c>
    </row>
    <row r="2" ht="22" customHeight="1">
      <c r="B2" s="11" t="inlineStr">
        <is>
          <t>1 Rumus = 1 Contoh Soal + Jawaban Benar &amp; 5 Soal Tes Mandiri (Kunci Jawaban Ada di Sheet Paling Terakhir)</t>
        </is>
      </c>
      <c r="F2" s="12" t="inlineStr">
        <is>
          <t>⬅️ Ke Daftar Isi (00_DAFTAR_ISI)</t>
        </is>
      </c>
      <c r="G2" s="3" t="inlineStr">
        <is>
          <t>🔑 Ke Kunci Jawaban (Sheet Akhir)</t>
        </is>
      </c>
    </row>
    <row r="4" ht="24" customHeight="1">
      <c r="B4" s="13" t="inlineStr">
        <is>
          <t>1️⃣ IDENTITAS RUMUS &amp; FUNGSINYA BUAT APA? (HARMEAN)</t>
        </is>
      </c>
    </row>
    <row r="5" ht="21" customHeight="1">
      <c r="B5" s="14" t="inlineStr">
        <is>
          <t>Nama Rumus Excel</t>
        </is>
      </c>
      <c r="C5" s="15">
        <f>HARMEAN(...)</f>
        <v/>
      </c>
      <c r="D5" s="5" t="n"/>
      <c r="E5" s="5" t="n"/>
      <c r="F5" s="5" t="n"/>
      <c r="G5" s="5" t="n"/>
    </row>
    <row r="6" ht="21" customHeight="1">
      <c r="B6" s="14" t="inlineStr">
        <is>
          <t>Sintaks / Pola Umum</t>
        </is>
      </c>
      <c r="C6" s="15">
        <f>HARMEAN(range_data)</f>
        <v/>
      </c>
      <c r="D6" s="5" t="n"/>
      <c r="E6" s="5" t="n"/>
      <c r="F6" s="5" t="n"/>
      <c r="G6" s="5" t="n"/>
    </row>
    <row r="7" ht="26" customHeight="1">
      <c r="B7" s="14" t="inlineStr">
        <is>
          <t>👶 Fungsinya Buat Apa?</t>
        </is>
      </c>
      <c r="C7" s="16" t="inlineStr">
        <is>
          <t>Menghitung Rata-Rata Harmonik untuk laju atau kecepatan rata-rata.</t>
        </is>
      </c>
      <c r="D7" s="5" t="n"/>
      <c r="E7" s="5" t="n"/>
      <c r="F7" s="5" t="n"/>
      <c r="G7" s="5" t="n"/>
    </row>
    <row r="9" ht="24" customHeight="1">
      <c r="B9" s="17" t="inlineStr">
        <is>
          <t>2️⃣ 1 CONTOH SOAL &amp; CONTOH JAWABAN BENAR (PELAJARI POLA RUMUS HARMEAN DI SINI)</t>
        </is>
      </c>
    </row>
    <row r="10">
      <c r="B10" s="18" t="inlineStr">
        <is>
          <t>Nama Unit / Kategori</t>
        </is>
      </c>
      <c r="C10" s="18" t="inlineStr">
        <is>
          <t>Nilai Data</t>
        </is>
      </c>
      <c r="E10" s="18" t="inlineStr">
        <is>
          <t>✅ 1 CONTOH SOAL BESERTA CONTOH RUMUS &amp; HASIL JAWABAN BENAR:</t>
        </is>
      </c>
      <c r="F10" s="5" t="n"/>
      <c r="G10" s="5" t="n"/>
    </row>
    <row r="11" ht="28" customHeight="1">
      <c r="B11" s="19" t="inlineStr">
        <is>
          <t>Simulasi Unit A</t>
        </is>
      </c>
      <c r="C11" s="19" t="n">
        <v>500000</v>
      </c>
      <c r="E11" s="20" t="inlineStr">
        <is>
          <t>Contoh Soal:</t>
        </is>
      </c>
      <c r="F11" s="21" t="inlineStr">
        <is>
          <t>Hitung hasil pengolahan fungsi HARMEAN untuk keempat baris data pada rentang C11:C14!</t>
        </is>
      </c>
      <c r="G11" s="5" t="n"/>
    </row>
    <row r="12">
      <c r="B12" s="19" t="inlineStr">
        <is>
          <t>Simulasi Unit B</t>
        </is>
      </c>
      <c r="C12" s="19" t="n">
        <v>750000</v>
      </c>
      <c r="E12" s="20" t="inlineStr">
        <is>
          <t>Contoh Rumus Benar:</t>
        </is>
      </c>
      <c r="F12" s="22" t="inlineStr">
        <is>
          <t>'=HARMEAN(C11:C14)</t>
        </is>
      </c>
      <c r="G12" s="5" t="n"/>
    </row>
    <row r="13">
      <c r="B13" s="19" t="inlineStr">
        <is>
          <t>Simulasi Unit C</t>
        </is>
      </c>
      <c r="C13" s="19" t="n">
        <v>600000</v>
      </c>
      <c r="E13" s="20" t="inlineStr">
        <is>
          <t>Contoh Hasil Benar:</t>
        </is>
      </c>
      <c r="F13" s="23">
        <f>HARMEAN(C11:C14)</f>
        <v/>
      </c>
      <c r="G13" s="5" t="n"/>
    </row>
    <row r="14">
      <c r="B14" s="19" t="inlineStr">
        <is>
          <t>Simulasi Unit D</t>
        </is>
      </c>
      <c r="C14" s="19" t="n">
        <v>950000</v>
      </c>
    </row>
    <row r="16" ht="26" customHeight="1">
      <c r="B16" s="24" t="inlineStr">
        <is>
          <t>3️⃣ 5 SOAL TES DUNIA NYATA — KERJAKAN DI KOTAK KUNING (TANPA KUNCI RUMUS / HASIL DI SINI!)</t>
        </is>
      </c>
    </row>
    <row r="17" ht="20" customHeight="1">
      <c r="B17" s="25" t="inlineStr">
        <is>
          <t>📌 Catatan Tes: Soal Tes #1 s/d #5 di bawah ini tidak menampilkan kunci rumus maupun hasil. Kunci jawaban lengkap tersedia di sheet paling terakhir (99_KUNCI_JAWABAN).</t>
        </is>
      </c>
    </row>
    <row r="19" ht="22" customHeight="1">
      <c r="B19" s="26" t="inlineStr">
        <is>
          <t>📝 SOAL TES #1: Kasus Keuangan &amp; Akuntansi Kantor</t>
        </is>
      </c>
    </row>
    <row r="20" ht="30" customHeight="1">
      <c r="B20" s="14" t="inlineStr">
        <is>
          <t>Nama Unit / Kategori</t>
        </is>
      </c>
      <c r="C20" s="14" t="inlineStr">
        <is>
          <t>Nilai Data</t>
        </is>
      </c>
      <c r="E20" s="27" t="inlineStr">
        <is>
          <t>Persoalan Tes #1: Hitung hasil pengolahan fungsi HARMEAN untuk keempat baris data pada rentang C21:C24!</t>
        </is>
      </c>
    </row>
    <row r="21">
      <c r="B21" s="19" t="inlineStr">
        <is>
          <t>Cabang Jakarta</t>
        </is>
      </c>
      <c r="C21" s="19" t="n">
        <v>1250000</v>
      </c>
      <c r="E21" s="14" t="inlineStr">
        <is>
          <t>✏️ KETIK RUMUS JAWABAN TES DI BAWAH:</t>
        </is>
      </c>
      <c r="F21" s="14" t="inlineStr">
        <is>
          <t>📌 STATUS KOREKSI JAWABAN TES:</t>
        </is>
      </c>
      <c r="G21" s="5" t="n"/>
    </row>
    <row r="22" ht="26" customHeight="1">
      <c r="B22" s="19" t="inlineStr">
        <is>
          <t>Cabang Bandung</t>
        </is>
      </c>
      <c r="C22" s="19" t="n">
        <v>1850000</v>
      </c>
      <c r="E22" s="28" t="n"/>
      <c r="F22" s="29">
        <f>IF(ISBLANK(E22), "⏳ Belum Diisi (Ketik Rumus di Sel Kuning E22)", IF(E22='99_KUNCI_JAWABAN'!F210, "✅ BENAR! JAWABAN TES TEPAT!", "❌ Belum Tepat (Cek Sheet Akhir: 99_KUNCI_JAWABAN)"))</f>
        <v/>
      </c>
      <c r="G22" s="5" t="n"/>
    </row>
    <row r="23">
      <c r="B23" s="19" t="inlineStr">
        <is>
          <t>Cabang Surabaya</t>
        </is>
      </c>
      <c r="C23" s="19" t="n">
        <v>2100000</v>
      </c>
    </row>
    <row r="24">
      <c r="B24" s="19" t="inlineStr">
        <is>
          <t>Cabang Medan</t>
        </is>
      </c>
      <c r="C24" s="19" t="n">
        <v>1600000</v>
      </c>
    </row>
    <row r="27" ht="22" customHeight="1">
      <c r="B27" s="26" t="inlineStr">
        <is>
          <t>📝 SOAL TES #2: Kasus HRD, Gaji &amp; Lembur Karyawan</t>
        </is>
      </c>
    </row>
    <row r="28" ht="30" customHeight="1">
      <c r="B28" s="14" t="inlineStr">
        <is>
          <t>Nama Unit / Kategori</t>
        </is>
      </c>
      <c r="C28" s="14" t="inlineStr">
        <is>
          <t>Nilai Data</t>
        </is>
      </c>
      <c r="E28" s="27" t="inlineStr">
        <is>
          <t>Persoalan Tes #2: Hitung hasil pengolahan fungsi HARMEAN untuk keempat baris data pada rentang C29:C32!</t>
        </is>
      </c>
    </row>
    <row r="29">
      <c r="B29" s="19" t="inlineStr">
        <is>
          <t>Budi Santoso</t>
        </is>
      </c>
      <c r="C29" s="19" t="n">
        <v>4500000</v>
      </c>
      <c r="E29" s="14" t="inlineStr">
        <is>
          <t>✏️ KETIK RUMUS JAWABAN TES DI BAWAH:</t>
        </is>
      </c>
      <c r="F29" s="14" t="inlineStr">
        <is>
          <t>📌 STATUS KOREKSI JAWABAN TES:</t>
        </is>
      </c>
      <c r="G29" s="5" t="n"/>
    </row>
    <row r="30" ht="26" customHeight="1">
      <c r="B30" s="19" t="inlineStr">
        <is>
          <t>Siti Aminah</t>
        </is>
      </c>
      <c r="C30" s="19" t="n">
        <v>5200000</v>
      </c>
      <c r="E30" s="28" t="n"/>
      <c r="F30" s="29">
        <f>IF(ISBLANK(E30), "⏳ Belum Diisi (Ketik Rumus di Sel Kuning E30)", IF(E30='99_KUNCI_JAWABAN'!F211, "✅ BENAR! JAWABAN TES TEPAT!", "❌ Belum Tepat (Cek Sheet Akhir: 99_KUNCI_JAWABAN)"))</f>
        <v/>
      </c>
      <c r="G30" s="5" t="n"/>
    </row>
    <row r="31">
      <c r="B31" s="19" t="inlineStr">
        <is>
          <t>Andi Pratama</t>
        </is>
      </c>
      <c r="C31" s="19" t="n">
        <v>4800000</v>
      </c>
    </row>
    <row r="32">
      <c r="B32" s="19" t="inlineStr">
        <is>
          <t>Rina Wijaya</t>
        </is>
      </c>
      <c r="C32" s="19" t="n">
        <v>6100000</v>
      </c>
    </row>
    <row r="35" ht="22" customHeight="1">
      <c r="B35" s="26" t="inlineStr">
        <is>
          <t>📝 SOAL TES #3: Kasus Logistik &amp; Stok Gudang Utama</t>
        </is>
      </c>
    </row>
    <row r="36" ht="30" customHeight="1">
      <c r="B36" s="14" t="inlineStr">
        <is>
          <t>Nama Unit / Kategori</t>
        </is>
      </c>
      <c r="C36" s="14" t="inlineStr">
        <is>
          <t>Nilai Data</t>
        </is>
      </c>
      <c r="E36" s="27" t="inlineStr">
        <is>
          <t>Persoalan Tes #3: Hitung hasil pengolahan fungsi HARMEAN untuk keempat baris data pada rentang C37:C40!</t>
        </is>
      </c>
    </row>
    <row r="37">
      <c r="B37" s="19" t="inlineStr">
        <is>
          <t>Gudang Blok A</t>
        </is>
      </c>
      <c r="C37" s="19" t="n">
        <v>240</v>
      </c>
      <c r="E37" s="14" t="inlineStr">
        <is>
          <t>✏️ KETIK RUMUS JAWABAN TES DI BAWAH:</t>
        </is>
      </c>
      <c r="F37" s="14" t="inlineStr">
        <is>
          <t>📌 STATUS KOREKSI JAWABAN TES:</t>
        </is>
      </c>
      <c r="G37" s="5" t="n"/>
    </row>
    <row r="38" ht="26" customHeight="1">
      <c r="B38" s="19" t="inlineStr">
        <is>
          <t>Gudang Blok B</t>
        </is>
      </c>
      <c r="C38" s="19" t="n">
        <v>380</v>
      </c>
      <c r="E38" s="28" t="n"/>
      <c r="F38" s="29">
        <f>IF(ISBLANK(E38), "⏳ Belum Diisi (Ketik Rumus di Sel Kuning E38)", IF(E38='99_KUNCI_JAWABAN'!F212, "✅ BENAR! JAWABAN TES TEPAT!", "❌ Belum Tepat (Cek Sheet Akhir: 99_KUNCI_JAWABAN)"))</f>
        <v/>
      </c>
      <c r="G38" s="5" t="n"/>
    </row>
    <row r="39">
      <c r="B39" s="19" t="inlineStr">
        <is>
          <t>Gudang Blok C</t>
        </is>
      </c>
      <c r="C39" s="19" t="n">
        <v>195</v>
      </c>
    </row>
    <row r="40">
      <c r="B40" s="19" t="inlineStr">
        <is>
          <t>Gudang Blok D</t>
        </is>
      </c>
      <c r="C40" s="19" t="n">
        <v>425</v>
      </c>
    </row>
    <row r="43" ht="22" customHeight="1">
      <c r="B43" s="26" t="inlineStr">
        <is>
          <t>📝 SOAL TES #4: Kasus Penjualan Retail &amp; Target Toko</t>
        </is>
      </c>
    </row>
    <row r="44" ht="30" customHeight="1">
      <c r="B44" s="14" t="inlineStr">
        <is>
          <t>Nama Unit / Kategori</t>
        </is>
      </c>
      <c r="C44" s="14" t="inlineStr">
        <is>
          <t>Nilai Data</t>
        </is>
      </c>
      <c r="E44" s="27" t="inlineStr">
        <is>
          <t>Persoalan Tes #4: Hitung hasil pengolahan fungsi HARMEAN untuk keempat baris data pada rentang C45:C48!</t>
        </is>
      </c>
    </row>
    <row r="45">
      <c r="B45" s="19" t="inlineStr">
        <is>
          <t>Toko Elektronik</t>
        </is>
      </c>
      <c r="C45" s="19" t="n">
        <v>85</v>
      </c>
      <c r="E45" s="14" t="inlineStr">
        <is>
          <t>✏️ KETIK RUMUS JAWABAN TES DI BAWAH:</t>
        </is>
      </c>
      <c r="F45" s="14" t="inlineStr">
        <is>
          <t>📌 STATUS KOREKSI JAWABAN TES:</t>
        </is>
      </c>
      <c r="G45" s="5" t="n"/>
    </row>
    <row r="46" ht="26" customHeight="1">
      <c r="B46" s="19" t="inlineStr">
        <is>
          <t>Toko Komputer</t>
        </is>
      </c>
      <c r="C46" s="19" t="n">
        <v>92</v>
      </c>
      <c r="E46" s="28" t="n"/>
      <c r="F46" s="29">
        <f>IF(ISBLANK(E46), "⏳ Belum Diisi (Ketik Rumus di Sel Kuning E46)", IF(E46='99_KUNCI_JAWABAN'!F213, "✅ BENAR! JAWABAN TES TEPAT!", "❌ Belum Tepat (Cek Sheet Akhir: 99_KUNCI_JAWABAN)"))</f>
        <v/>
      </c>
      <c r="G46" s="5" t="n"/>
    </row>
    <row r="47">
      <c r="B47" s="19" t="inlineStr">
        <is>
          <t>Toko Aksesoris</t>
        </is>
      </c>
      <c r="C47" s="19" t="n">
        <v>78</v>
      </c>
    </row>
    <row r="48">
      <c r="B48" s="19" t="inlineStr">
        <is>
          <t>Toko Servis</t>
        </is>
      </c>
      <c r="C48" s="19" t="n">
        <v>95</v>
      </c>
    </row>
    <row r="51" ht="22" customHeight="1">
      <c r="B51" s="26" t="inlineStr">
        <is>
          <t>📝 SOAL TES #5: Kasus Akademik Sekolah &amp; Layanan Publik</t>
        </is>
      </c>
    </row>
    <row r="52" ht="30" customHeight="1">
      <c r="B52" s="14" t="inlineStr">
        <is>
          <t>Nama Unit / Kategori</t>
        </is>
      </c>
      <c r="C52" s="14" t="inlineStr">
        <is>
          <t>Nilai Data</t>
        </is>
      </c>
      <c r="E52" s="27" t="inlineStr">
        <is>
          <t>Persoalan Tes #5: Hitung hasil pengolahan fungsi HARMEAN untuk keempat baris data pada rentang C53:C56!</t>
        </is>
      </c>
    </row>
    <row r="53">
      <c r="B53" s="19" t="inlineStr">
        <is>
          <t>Kelas 10 IPA</t>
        </is>
      </c>
      <c r="C53" s="19" t="n">
        <v>82</v>
      </c>
      <c r="E53" s="14" t="inlineStr">
        <is>
          <t>✏️ KETIK RUMUS JAWABAN TES DI BAWAH:</t>
        </is>
      </c>
      <c r="F53" s="14" t="inlineStr">
        <is>
          <t>📌 STATUS KOREKSI JAWABAN TES:</t>
        </is>
      </c>
      <c r="G53" s="5" t="n"/>
    </row>
    <row r="54" ht="26" customHeight="1">
      <c r="B54" s="19" t="inlineStr">
        <is>
          <t>Kelas 11 IPA</t>
        </is>
      </c>
      <c r="C54" s="19" t="n">
        <v>88</v>
      </c>
      <c r="E54" s="28" t="n"/>
      <c r="F54" s="29">
        <f>IF(ISBLANK(E54), "⏳ Belum Diisi (Ketik Rumus di Sel Kuning E54)", IF(E54='99_KUNCI_JAWABAN'!F214, "✅ BENAR! JAWABAN TES TEPAT!", "❌ Belum Tepat (Cek Sheet Akhir: 99_KUNCI_JAWABAN)"))</f>
        <v/>
      </c>
      <c r="G54" s="5" t="n"/>
    </row>
    <row r="55">
      <c r="B55" s="19" t="inlineStr">
        <is>
          <t>Kelas 12 IPA</t>
        </is>
      </c>
      <c r="C55" s="19" t="n">
        <v>91</v>
      </c>
    </row>
    <row r="56">
      <c r="B56" s="19" t="inlineStr">
        <is>
          <t>Kelas Unggulan</t>
        </is>
      </c>
      <c r="C56" s="19" t="n">
        <v>79</v>
      </c>
    </row>
  </sheetData>
  <mergeCells count="33">
    <mergeCell ref="E10:G10"/>
    <mergeCell ref="F11:G11"/>
    <mergeCell ref="E28:G28"/>
    <mergeCell ref="F29:G29"/>
    <mergeCell ref="C6:G6"/>
    <mergeCell ref="F54:G54"/>
    <mergeCell ref="B17:G17"/>
    <mergeCell ref="B1:G1"/>
    <mergeCell ref="C5:G5"/>
    <mergeCell ref="B19:G19"/>
    <mergeCell ref="F21:G21"/>
    <mergeCell ref="F12:G12"/>
    <mergeCell ref="F30:G30"/>
    <mergeCell ref="E36:G36"/>
    <mergeCell ref="B9:G9"/>
    <mergeCell ref="F45:G45"/>
    <mergeCell ref="B51:G51"/>
    <mergeCell ref="F38:G38"/>
    <mergeCell ref="B35:G35"/>
    <mergeCell ref="B4:G4"/>
    <mergeCell ref="F46:G46"/>
    <mergeCell ref="F22:G22"/>
    <mergeCell ref="B2:E2"/>
    <mergeCell ref="F13:G13"/>
    <mergeCell ref="B16:G16"/>
    <mergeCell ref="F37:G37"/>
    <mergeCell ref="C7:G7"/>
    <mergeCell ref="E52:G52"/>
    <mergeCell ref="B27:G27"/>
    <mergeCell ref="B43:G43"/>
    <mergeCell ref="E44:G44"/>
    <mergeCell ref="E20:G20"/>
    <mergeCell ref="F53:G53"/>
  </mergeCells>
  <hyperlinks>
    <hyperlink xmlns:r="http://schemas.openxmlformats.org/officeDocument/2006/relationships" ref="F2" r:id="rId1"/>
    <hyperlink xmlns:r="http://schemas.openxmlformats.org/officeDocument/2006/relationships" ref="G2" r:id="rId2"/>
  </hyperlinks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B1:G56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22" customWidth="1" min="3" max="3"/>
    <col width="4" customWidth="1" min="4" max="4"/>
    <col width="34" customWidth="1" min="5" max="5"/>
    <col width="44" customWidth="1" min="6" max="6"/>
    <col width="28" customWidth="1" min="7" max="7"/>
  </cols>
  <sheetData>
    <row r="1" ht="30" customHeight="1">
      <c r="B1" s="10" t="inlineStr">
        <is>
          <t>📊 #043 — RUMUS EXCEL: HYPGEOMDIST   |   Kategori: 8. Statistik &amp; Analisis Data</t>
        </is>
      </c>
    </row>
    <row r="2" ht="22" customHeight="1">
      <c r="B2" s="11" t="inlineStr">
        <is>
          <t>1 Rumus = 1 Contoh Soal + Jawaban Benar &amp; 5 Soal Tes Mandiri (Kunci Jawaban Ada di Sheet Paling Terakhir)</t>
        </is>
      </c>
      <c r="F2" s="12" t="inlineStr">
        <is>
          <t>⬅️ Ke Daftar Isi (00_DAFTAR_ISI)</t>
        </is>
      </c>
      <c r="G2" s="3" t="inlineStr">
        <is>
          <t>🔑 Ke Kunci Jawaban (Sheet Akhir)</t>
        </is>
      </c>
    </row>
    <row r="4" ht="24" customHeight="1">
      <c r="B4" s="13" t="inlineStr">
        <is>
          <t>1️⃣ IDENTITAS RUMUS &amp; FUNGSINYA BUAT APA? (HYPGEOMDIST)</t>
        </is>
      </c>
    </row>
    <row r="5" ht="21" customHeight="1">
      <c r="B5" s="14" t="inlineStr">
        <is>
          <t>Nama Rumus Excel</t>
        </is>
      </c>
      <c r="C5" s="15">
        <f>HYPGEOMDIST(...)</f>
        <v/>
      </c>
      <c r="D5" s="5" t="n"/>
      <c r="E5" s="5" t="n"/>
      <c r="F5" s="5" t="n"/>
      <c r="G5" s="5" t="n"/>
    </row>
    <row r="6" ht="21" customHeight="1">
      <c r="B6" s="14" t="inlineStr">
        <is>
          <t>Sintaks / Pola Umum</t>
        </is>
      </c>
      <c r="C6" s="15">
        <f>HYPGEOM.DIST(sampel_s, ukuran_sampel, pop_s, ukuran_pop, TRUE)</f>
        <v/>
      </c>
      <c r="D6" s="5" t="n"/>
      <c r="E6" s="5" t="n"/>
      <c r="F6" s="5" t="n"/>
      <c r="G6" s="5" t="n"/>
    </row>
    <row r="7" ht="26" customHeight="1">
      <c r="B7" s="14" t="inlineStr">
        <is>
          <t>👶 Fungsinya Buat Apa?</t>
        </is>
      </c>
      <c r="C7" s="16" t="inlineStr">
        <is>
          <t>Menghitung peluang distribusi Hipergeometrik (pengambilan sampel tanpa pengembalian).</t>
        </is>
      </c>
      <c r="D7" s="5" t="n"/>
      <c r="E7" s="5" t="n"/>
      <c r="F7" s="5" t="n"/>
      <c r="G7" s="5" t="n"/>
    </row>
    <row r="9" ht="24" customHeight="1">
      <c r="B9" s="17" t="inlineStr">
        <is>
          <t>2️⃣ 1 CONTOH SOAL &amp; CONTOH JAWABAN BENAR (PELAJARI POLA RUMUS HYPGEOMDIST DI SINI)</t>
        </is>
      </c>
    </row>
    <row r="10">
      <c r="B10" s="18" t="inlineStr">
        <is>
          <t>Parameter Hipergeometrik</t>
        </is>
      </c>
      <c r="C10" s="18" t="inlineStr">
        <is>
          <t>Nilai Input</t>
        </is>
      </c>
      <c r="E10" s="18" t="inlineStr">
        <is>
          <t>✅ 1 CONTOH SOAL BESERTA CONTOH RUMUS &amp; HASIL JAWABAN BENAR:</t>
        </is>
      </c>
      <c r="F10" s="5" t="n"/>
      <c r="G10" s="5" t="n"/>
    </row>
    <row r="11" ht="28" customHeight="1">
      <c r="B11" s="19" t="inlineStr">
        <is>
          <t>Sukses Sampel (C11)</t>
        </is>
      </c>
      <c r="C11" s="19" t="n">
        <v>2</v>
      </c>
      <c r="E11" s="20" t="inlineStr">
        <is>
          <t>Contoh Soal:</t>
        </is>
      </c>
      <c r="F11" s="21" t="inlineStr">
        <is>
          <t>Hitung distribusi hipergeometrik kumulatif menggunakan fungsi HYPGEOM.DIST dengan argumen C11, C12, C13, C14, dan TRUE!</t>
        </is>
      </c>
      <c r="G11" s="5" t="n"/>
    </row>
    <row r="12">
      <c r="B12" s="19" t="inlineStr">
        <is>
          <t>Ukuran Sampel (C12)</t>
        </is>
      </c>
      <c r="C12" s="19" t="n">
        <v>4</v>
      </c>
      <c r="E12" s="20" t="inlineStr">
        <is>
          <t>Contoh Rumus Benar:</t>
        </is>
      </c>
      <c r="F12" s="22" t="inlineStr">
        <is>
          <t>'=HYPGEOM.DIST(C11, C12, C13, C14, TRUE)</t>
        </is>
      </c>
      <c r="G12" s="5" t="n"/>
    </row>
    <row r="13">
      <c r="B13" s="19" t="inlineStr">
        <is>
          <t>Sukses Populasi (C13)</t>
        </is>
      </c>
      <c r="C13" s="19" t="n">
        <v>4</v>
      </c>
      <c r="E13" s="20" t="inlineStr">
        <is>
          <t>Contoh Hasil Benar:</t>
        </is>
      </c>
      <c r="F13" s="23">
        <f>HYPGEOM.DIST(C11, C12, C13, C14, TRUE)</f>
        <v/>
      </c>
      <c r="G13" s="5" t="n"/>
    </row>
    <row r="14">
      <c r="B14" s="19" t="inlineStr">
        <is>
          <t>Ukuran Populasi (C14)</t>
        </is>
      </c>
      <c r="C14" s="19" t="n">
        <v>15</v>
      </c>
    </row>
    <row r="16" ht="26" customHeight="1">
      <c r="B16" s="24" t="inlineStr">
        <is>
          <t>3️⃣ 5 SOAL TES DUNIA NYATA — KERJAKAN DI KOTAK KUNING (TANPA KUNCI RUMUS / HASIL DI SINI!)</t>
        </is>
      </c>
    </row>
    <row r="17" ht="20" customHeight="1">
      <c r="B17" s="25" t="inlineStr">
        <is>
          <t>📌 Catatan Tes: Soal Tes #1 s/d #5 di bawah ini tidak menampilkan kunci rumus maupun hasil. Kunci jawaban lengkap tersedia di sheet paling terakhir (99_KUNCI_JAWABAN).</t>
        </is>
      </c>
    </row>
    <row r="19" ht="22" customHeight="1">
      <c r="B19" s="26" t="inlineStr">
        <is>
          <t>📝 SOAL TES #1: Kasus Keuangan &amp; Akuntansi Kantor</t>
        </is>
      </c>
    </row>
    <row r="20" ht="30" customHeight="1">
      <c r="B20" s="14" t="inlineStr">
        <is>
          <t>Parameter Hipergeometrik</t>
        </is>
      </c>
      <c r="C20" s="14" t="inlineStr">
        <is>
          <t>Nilai Input</t>
        </is>
      </c>
      <c r="E20" s="27" t="inlineStr">
        <is>
          <t>Persoalan Tes #1: Hitung distribusi hipergeometrik kumulatif menggunakan fungsi HYPGEOM.DIST dengan argumen C21, C22, C23, C24, dan TRUE!</t>
        </is>
      </c>
    </row>
    <row r="21">
      <c r="B21" s="19" t="inlineStr">
        <is>
          <t>Sukses Sampel (C21)</t>
        </is>
      </c>
      <c r="C21" s="19" t="n">
        <v>1</v>
      </c>
      <c r="E21" s="14" t="inlineStr">
        <is>
          <t>✏️ KETIK RUMUS JAWABAN TES DI BAWAH:</t>
        </is>
      </c>
      <c r="F21" s="14" t="inlineStr">
        <is>
          <t>📌 STATUS KOREKSI JAWABAN TES:</t>
        </is>
      </c>
      <c r="G21" s="5" t="n"/>
    </row>
    <row r="22" ht="26" customHeight="1">
      <c r="B22" s="19" t="inlineStr">
        <is>
          <t>Ukuran Sampel (C22)</t>
        </is>
      </c>
      <c r="C22" s="19" t="n">
        <v>4</v>
      </c>
      <c r="E22" s="28" t="n"/>
      <c r="F22" s="29">
        <f>IF(ISBLANK(E22), "⏳ Belum Diisi (Ketik Rumus di Sel Kuning E22)", IF(E22='99_KUNCI_JAWABAN'!F215, "✅ BENAR! JAWABAN TES TEPAT!", "❌ Belum Tepat (Cek Sheet Akhir: 99_KUNCI_JAWABAN)"))</f>
        <v/>
      </c>
      <c r="G22" s="5" t="n"/>
    </row>
    <row r="23">
      <c r="B23" s="19" t="inlineStr">
        <is>
          <t>Sukses Populasi (C23)</t>
        </is>
      </c>
      <c r="C23" s="19" t="n">
        <v>4</v>
      </c>
    </row>
    <row r="24">
      <c r="B24" s="19" t="inlineStr">
        <is>
          <t>Ukuran Populasi (C24)</t>
        </is>
      </c>
      <c r="C24" s="19" t="n">
        <v>10</v>
      </c>
    </row>
    <row r="27" ht="22" customHeight="1">
      <c r="B27" s="26" t="inlineStr">
        <is>
          <t>📝 SOAL TES #2: Kasus HRD, Gaji &amp; Lembur Karyawan</t>
        </is>
      </c>
    </row>
    <row r="28" ht="30" customHeight="1">
      <c r="B28" s="14" t="inlineStr">
        <is>
          <t>Parameter Hipergeometrik</t>
        </is>
      </c>
      <c r="C28" s="14" t="inlineStr">
        <is>
          <t>Nilai Input</t>
        </is>
      </c>
      <c r="E28" s="27" t="inlineStr">
        <is>
          <t>Persoalan Tes #2: Hitung distribusi hipergeometrik kumulatif menggunakan fungsi HYPGEOM.DIST dengan argumen C29, C30, C31, C32, dan TRUE!</t>
        </is>
      </c>
    </row>
    <row r="29">
      <c r="B29" s="19" t="inlineStr">
        <is>
          <t>Sukses Sampel (C29)</t>
        </is>
      </c>
      <c r="C29" s="19" t="n">
        <v>2</v>
      </c>
      <c r="E29" s="14" t="inlineStr">
        <is>
          <t>✏️ KETIK RUMUS JAWABAN TES DI BAWAH:</t>
        </is>
      </c>
      <c r="F29" s="14" t="inlineStr">
        <is>
          <t>📌 STATUS KOREKSI JAWABAN TES:</t>
        </is>
      </c>
      <c r="G29" s="5" t="n"/>
    </row>
    <row r="30" ht="26" customHeight="1">
      <c r="B30" s="19" t="inlineStr">
        <is>
          <t>Ukuran Sampel (C30)</t>
        </is>
      </c>
      <c r="C30" s="19" t="n">
        <v>4</v>
      </c>
      <c r="E30" s="28" t="n"/>
      <c r="F30" s="29">
        <f>IF(ISBLANK(E30), "⏳ Belum Diisi (Ketik Rumus di Sel Kuning E30)", IF(E30='99_KUNCI_JAWABAN'!F216, "✅ BENAR! JAWABAN TES TEPAT!", "❌ Belum Tepat (Cek Sheet Akhir: 99_KUNCI_JAWABAN)"))</f>
        <v/>
      </c>
      <c r="G30" s="5" t="n"/>
    </row>
    <row r="31">
      <c r="B31" s="19" t="inlineStr">
        <is>
          <t>Sukses Populasi (C31)</t>
        </is>
      </c>
      <c r="C31" s="19" t="n">
        <v>4</v>
      </c>
    </row>
    <row r="32">
      <c r="B32" s="19" t="inlineStr">
        <is>
          <t>Ukuran Populasi (C32)</t>
        </is>
      </c>
      <c r="C32" s="19" t="n">
        <v>11</v>
      </c>
    </row>
    <row r="35" ht="22" customHeight="1">
      <c r="B35" s="26" t="inlineStr">
        <is>
          <t>📝 SOAL TES #3: Kasus Logistik &amp; Stok Gudang Utama</t>
        </is>
      </c>
    </row>
    <row r="36" ht="30" customHeight="1">
      <c r="B36" s="14" t="inlineStr">
        <is>
          <t>Parameter Hipergeometrik</t>
        </is>
      </c>
      <c r="C36" s="14" t="inlineStr">
        <is>
          <t>Nilai Input</t>
        </is>
      </c>
      <c r="E36" s="27" t="inlineStr">
        <is>
          <t>Persoalan Tes #3: Hitung distribusi hipergeometrik kumulatif menggunakan fungsi HYPGEOM.DIST dengan argumen C37, C38, C39, C40, dan TRUE!</t>
        </is>
      </c>
    </row>
    <row r="37">
      <c r="B37" s="19" t="inlineStr">
        <is>
          <t>Sukses Sampel (C37)</t>
        </is>
      </c>
      <c r="C37" s="19" t="n">
        <v>1</v>
      </c>
      <c r="E37" s="14" t="inlineStr">
        <is>
          <t>✏️ KETIK RUMUS JAWABAN TES DI BAWAH:</t>
        </is>
      </c>
      <c r="F37" s="14" t="inlineStr">
        <is>
          <t>📌 STATUS KOREKSI JAWABAN TES:</t>
        </is>
      </c>
      <c r="G37" s="5" t="n"/>
    </row>
    <row r="38" ht="26" customHeight="1">
      <c r="B38" s="19" t="inlineStr">
        <is>
          <t>Ukuran Sampel (C38)</t>
        </is>
      </c>
      <c r="C38" s="19" t="n">
        <v>4</v>
      </c>
      <c r="E38" s="28" t="n"/>
      <c r="F38" s="29">
        <f>IF(ISBLANK(E38), "⏳ Belum Diisi (Ketik Rumus di Sel Kuning E38)", IF(E38='99_KUNCI_JAWABAN'!F217, "✅ BENAR! JAWABAN TES TEPAT!", "❌ Belum Tepat (Cek Sheet Akhir: 99_KUNCI_JAWABAN)"))</f>
        <v/>
      </c>
      <c r="G38" s="5" t="n"/>
    </row>
    <row r="39">
      <c r="B39" s="19" t="inlineStr">
        <is>
          <t>Sukses Populasi (C39)</t>
        </is>
      </c>
      <c r="C39" s="19" t="n">
        <v>4</v>
      </c>
    </row>
    <row r="40">
      <c r="B40" s="19" t="inlineStr">
        <is>
          <t>Ukuran Populasi (C40)</t>
        </is>
      </c>
      <c r="C40" s="19" t="n">
        <v>12</v>
      </c>
    </row>
    <row r="43" ht="22" customHeight="1">
      <c r="B43" s="26" t="inlineStr">
        <is>
          <t>📝 SOAL TES #4: Kasus Penjualan Retail &amp; Target Toko</t>
        </is>
      </c>
    </row>
    <row r="44" ht="30" customHeight="1">
      <c r="B44" s="14" t="inlineStr">
        <is>
          <t>Parameter Hipergeometrik</t>
        </is>
      </c>
      <c r="C44" s="14" t="inlineStr">
        <is>
          <t>Nilai Input</t>
        </is>
      </c>
      <c r="E44" s="27" t="inlineStr">
        <is>
          <t>Persoalan Tes #4: Hitung distribusi hipergeometrik kumulatif menggunakan fungsi HYPGEOM.DIST dengan argumen C45, C46, C47, C48, dan TRUE!</t>
        </is>
      </c>
    </row>
    <row r="45">
      <c r="B45" s="19" t="inlineStr">
        <is>
          <t>Sukses Sampel (C45)</t>
        </is>
      </c>
      <c r="C45" s="19" t="n">
        <v>2</v>
      </c>
      <c r="E45" s="14" t="inlineStr">
        <is>
          <t>✏️ KETIK RUMUS JAWABAN TES DI BAWAH:</t>
        </is>
      </c>
      <c r="F45" s="14" t="inlineStr">
        <is>
          <t>📌 STATUS KOREKSI JAWABAN TES:</t>
        </is>
      </c>
      <c r="G45" s="5" t="n"/>
    </row>
    <row r="46" ht="26" customHeight="1">
      <c r="B46" s="19" t="inlineStr">
        <is>
          <t>Ukuran Sampel (C46)</t>
        </is>
      </c>
      <c r="C46" s="19" t="n">
        <v>4</v>
      </c>
      <c r="E46" s="28" t="n"/>
      <c r="F46" s="29">
        <f>IF(ISBLANK(E46), "⏳ Belum Diisi (Ketik Rumus di Sel Kuning E46)", IF(E46='99_KUNCI_JAWABAN'!F218, "✅ BENAR! JAWABAN TES TEPAT!", "❌ Belum Tepat (Cek Sheet Akhir: 99_KUNCI_JAWABAN)"))</f>
        <v/>
      </c>
      <c r="G46" s="5" t="n"/>
    </row>
    <row r="47">
      <c r="B47" s="19" t="inlineStr">
        <is>
          <t>Sukses Populasi (C47)</t>
        </is>
      </c>
      <c r="C47" s="19" t="n">
        <v>4</v>
      </c>
    </row>
    <row r="48">
      <c r="B48" s="19" t="inlineStr">
        <is>
          <t>Ukuran Populasi (C48)</t>
        </is>
      </c>
      <c r="C48" s="19" t="n">
        <v>13</v>
      </c>
    </row>
    <row r="51" ht="22" customHeight="1">
      <c r="B51" s="26" t="inlineStr">
        <is>
          <t>📝 SOAL TES #5: Kasus Akademik Sekolah &amp; Layanan Publik</t>
        </is>
      </c>
    </row>
    <row r="52" ht="30" customHeight="1">
      <c r="B52" s="14" t="inlineStr">
        <is>
          <t>Parameter Hipergeometrik</t>
        </is>
      </c>
      <c r="C52" s="14" t="inlineStr">
        <is>
          <t>Nilai Input</t>
        </is>
      </c>
      <c r="E52" s="27" t="inlineStr">
        <is>
          <t>Persoalan Tes #5: Hitung distribusi hipergeometrik kumulatif menggunakan fungsi HYPGEOM.DIST dengan argumen C53, C54, C55, C56, dan TRUE!</t>
        </is>
      </c>
    </row>
    <row r="53">
      <c r="B53" s="19" t="inlineStr">
        <is>
          <t>Sukses Sampel (C53)</t>
        </is>
      </c>
      <c r="C53" s="19" t="n">
        <v>1</v>
      </c>
      <c r="E53" s="14" t="inlineStr">
        <is>
          <t>✏️ KETIK RUMUS JAWABAN TES DI BAWAH:</t>
        </is>
      </c>
      <c r="F53" s="14" t="inlineStr">
        <is>
          <t>📌 STATUS KOREKSI JAWABAN TES:</t>
        </is>
      </c>
      <c r="G53" s="5" t="n"/>
    </row>
    <row r="54" ht="26" customHeight="1">
      <c r="B54" s="19" t="inlineStr">
        <is>
          <t>Ukuran Sampel (C54)</t>
        </is>
      </c>
      <c r="C54" s="19" t="n">
        <v>4</v>
      </c>
      <c r="E54" s="28" t="n"/>
      <c r="F54" s="29">
        <f>IF(ISBLANK(E54), "⏳ Belum Diisi (Ketik Rumus di Sel Kuning E54)", IF(E54='99_KUNCI_JAWABAN'!F219, "✅ BENAR! JAWABAN TES TEPAT!", "❌ Belum Tepat (Cek Sheet Akhir: 99_KUNCI_JAWABAN)"))</f>
        <v/>
      </c>
      <c r="G54" s="5" t="n"/>
    </row>
    <row r="55">
      <c r="B55" s="19" t="inlineStr">
        <is>
          <t>Sukses Populasi (C55)</t>
        </is>
      </c>
      <c r="C55" s="19" t="n">
        <v>4</v>
      </c>
    </row>
    <row r="56">
      <c r="B56" s="19" t="inlineStr">
        <is>
          <t>Ukuran Populasi (C56)</t>
        </is>
      </c>
      <c r="C56" s="19" t="n">
        <v>14</v>
      </c>
    </row>
  </sheetData>
  <mergeCells count="33">
    <mergeCell ref="E10:G10"/>
    <mergeCell ref="F11:G11"/>
    <mergeCell ref="E28:G28"/>
    <mergeCell ref="F29:G29"/>
    <mergeCell ref="C6:G6"/>
    <mergeCell ref="F54:G54"/>
    <mergeCell ref="B17:G17"/>
    <mergeCell ref="B1:G1"/>
    <mergeCell ref="C5:G5"/>
    <mergeCell ref="B19:G19"/>
    <mergeCell ref="F21:G21"/>
    <mergeCell ref="F12:G12"/>
    <mergeCell ref="F30:G30"/>
    <mergeCell ref="E36:G36"/>
    <mergeCell ref="B9:G9"/>
    <mergeCell ref="F45:G45"/>
    <mergeCell ref="B51:G51"/>
    <mergeCell ref="F38:G38"/>
    <mergeCell ref="B35:G35"/>
    <mergeCell ref="B4:G4"/>
    <mergeCell ref="F46:G46"/>
    <mergeCell ref="F22:G22"/>
    <mergeCell ref="B2:E2"/>
    <mergeCell ref="F13:G13"/>
    <mergeCell ref="B16:G16"/>
    <mergeCell ref="F37:G37"/>
    <mergeCell ref="C7:G7"/>
    <mergeCell ref="E52:G52"/>
    <mergeCell ref="B27:G27"/>
    <mergeCell ref="B43:G43"/>
    <mergeCell ref="E44:G44"/>
    <mergeCell ref="E20:G20"/>
    <mergeCell ref="F53:G53"/>
  </mergeCells>
  <hyperlinks>
    <hyperlink xmlns:r="http://schemas.openxmlformats.org/officeDocument/2006/relationships" ref="F2" r:id="rId1"/>
    <hyperlink xmlns:r="http://schemas.openxmlformats.org/officeDocument/2006/relationships" ref="G2" r:id="rId2"/>
  </hyperlinks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B1:G56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22" customWidth="1" min="3" max="3"/>
    <col width="4" customWidth="1" min="4" max="4"/>
    <col width="34" customWidth="1" min="5" max="5"/>
    <col width="44" customWidth="1" min="6" max="6"/>
    <col width="28" customWidth="1" min="7" max="7"/>
  </cols>
  <sheetData>
    <row r="1" ht="30" customHeight="1">
      <c r="B1" s="10" t="inlineStr">
        <is>
          <t>📊 #044 — RUMUS EXCEL: INTERCEPT   |   Kategori: 8. Statistik &amp; Analisis Data</t>
        </is>
      </c>
    </row>
    <row r="2" ht="22" customHeight="1">
      <c r="B2" s="11" t="inlineStr">
        <is>
          <t>1 Rumus = 1 Contoh Soal + Jawaban Benar &amp; 5 Soal Tes Mandiri (Kunci Jawaban Ada di Sheet Paling Terakhir)</t>
        </is>
      </c>
      <c r="F2" s="12" t="inlineStr">
        <is>
          <t>⬅️ Ke Daftar Isi (00_DAFTAR_ISI)</t>
        </is>
      </c>
      <c r="G2" s="3" t="inlineStr">
        <is>
          <t>🔑 Ke Kunci Jawaban (Sheet Akhir)</t>
        </is>
      </c>
    </row>
    <row r="4" ht="24" customHeight="1">
      <c r="B4" s="13" t="inlineStr">
        <is>
          <t>1️⃣ IDENTITAS RUMUS &amp; FUNGSINYA BUAT APA? (INTERCEPT)</t>
        </is>
      </c>
    </row>
    <row r="5" ht="21" customHeight="1">
      <c r="B5" s="14" t="inlineStr">
        <is>
          <t>Nama Rumus Excel</t>
        </is>
      </c>
      <c r="C5" s="15">
        <f>INTERCEPT(...)</f>
        <v/>
      </c>
      <c r="D5" s="5" t="n"/>
      <c r="E5" s="5" t="n"/>
      <c r="F5" s="5" t="n"/>
      <c r="G5" s="5" t="n"/>
    </row>
    <row r="6" ht="21" customHeight="1">
      <c r="B6" s="14" t="inlineStr">
        <is>
          <t>Sintaks / Pola Umum</t>
        </is>
      </c>
      <c r="C6" s="15">
        <f>INTERCEPT(range_y, range_x)</f>
        <v/>
      </c>
      <c r="D6" s="5" t="n"/>
      <c r="E6" s="5" t="n"/>
      <c r="F6" s="5" t="n"/>
      <c r="G6" s="5" t="n"/>
    </row>
    <row r="7" ht="26" customHeight="1">
      <c r="B7" s="14" t="inlineStr">
        <is>
          <t>👶 Fungsinya Buat Apa?</t>
        </is>
      </c>
      <c r="C7" s="16" t="inlineStr">
        <is>
          <t>Mencari titik potong sumbu Y pada garis regresi linear.</t>
        </is>
      </c>
      <c r="D7" s="5" t="n"/>
      <c r="E7" s="5" t="n"/>
      <c r="F7" s="5" t="n"/>
      <c r="G7" s="5" t="n"/>
    </row>
    <row r="9" ht="24" customHeight="1">
      <c r="B9" s="17" t="inlineStr">
        <is>
          <t>2️⃣ 1 CONTOH SOAL &amp; CONTOH JAWABAN BENAR (PELAJARI POLA RUMUS INTERCEPT DI SINI)</t>
        </is>
      </c>
    </row>
    <row r="10">
      <c r="B10" s="18" t="inlineStr">
        <is>
          <t>Variabel X (Biaya)</t>
        </is>
      </c>
      <c r="C10" s="18" t="inlineStr">
        <is>
          <t>Variabel Y (Hasil)</t>
        </is>
      </c>
      <c r="E10" s="18" t="inlineStr">
        <is>
          <t>✅ 1 CONTOH SOAL BESERTA CONTOH RUMUS &amp; HASIL JAWABAN BENAR:</t>
        </is>
      </c>
      <c r="F10" s="5" t="n"/>
      <c r="G10" s="5" t="n"/>
    </row>
    <row r="11" ht="28" customHeight="1">
      <c r="B11" s="19" t="n">
        <v>60</v>
      </c>
      <c r="C11" s="19" t="n">
        <v>90</v>
      </c>
      <c r="E11" s="20" t="inlineStr">
        <is>
          <t>Contoh Soal:</t>
        </is>
      </c>
      <c r="F11" s="21" t="inlineStr">
        <is>
          <t>Analisis regresi linear dengan menempatkan rentang hasil Y (C11:C14) dan rentang variabel X (B11:B14) menggunakan fungsi INTERCEPT!</t>
        </is>
      </c>
      <c r="G11" s="5" t="n"/>
    </row>
    <row r="12">
      <c r="B12" s="19" t="n">
        <v>120</v>
      </c>
      <c r="C12" s="19" t="n">
        <v>168</v>
      </c>
      <c r="E12" s="20" t="inlineStr">
        <is>
          <t>Contoh Rumus Benar:</t>
        </is>
      </c>
      <c r="F12" s="22" t="inlineStr">
        <is>
          <t>'=INTERCEPT(C11:C14, B11:B14)</t>
        </is>
      </c>
      <c r="G12" s="5" t="n"/>
    </row>
    <row r="13">
      <c r="B13" s="19" t="n">
        <v>210</v>
      </c>
      <c r="C13" s="19" t="n">
        <v>240</v>
      </c>
      <c r="E13" s="20" t="inlineStr">
        <is>
          <t>Contoh Hasil Benar:</t>
        </is>
      </c>
      <c r="F13" s="23">
        <f>INTERCEPT(C11:C14, B11:B14)</f>
        <v/>
      </c>
      <c r="G13" s="5" t="n"/>
    </row>
    <row r="14">
      <c r="B14" s="19" t="n">
        <v>300</v>
      </c>
      <c r="C14" s="19" t="n">
        <v>348</v>
      </c>
    </row>
    <row r="16" ht="26" customHeight="1">
      <c r="B16" s="24" t="inlineStr">
        <is>
          <t>3️⃣ 5 SOAL TES DUNIA NYATA — KERJAKAN DI KOTAK KUNING (TANPA KUNCI RUMUS / HASIL DI SINI!)</t>
        </is>
      </c>
    </row>
    <row r="17" ht="20" customHeight="1">
      <c r="B17" s="25" t="inlineStr">
        <is>
          <t>📌 Catatan Tes: Soal Tes #1 s/d #5 di bawah ini tidak menampilkan kunci rumus maupun hasil. Kunci jawaban lengkap tersedia di sheet paling terakhir (99_KUNCI_JAWABAN).</t>
        </is>
      </c>
    </row>
    <row r="19" ht="22" customHeight="1">
      <c r="B19" s="26" t="inlineStr">
        <is>
          <t>📝 SOAL TES #1: Kasus Keuangan &amp; Akuntansi Kantor</t>
        </is>
      </c>
    </row>
    <row r="20" ht="30" customHeight="1">
      <c r="B20" s="14" t="inlineStr">
        <is>
          <t>Variabel X (Biaya)</t>
        </is>
      </c>
      <c r="C20" s="14" t="inlineStr">
        <is>
          <t>Variabel Y (Hasil)</t>
        </is>
      </c>
      <c r="E20" s="27" t="inlineStr">
        <is>
          <t>Persoalan Tes #1: Analisis regresi linear dengan menempatkan rentang hasil Y (C21:C24) dan rentang variabel X (B21:B24) menggunakan fungsi INTERCEPT!</t>
        </is>
      </c>
    </row>
    <row r="21">
      <c r="B21" s="19" t="n">
        <v>10</v>
      </c>
      <c r="C21" s="19" t="n">
        <v>15</v>
      </c>
      <c r="E21" s="14" t="inlineStr">
        <is>
          <t>✏️ KETIK RUMUS JAWABAN TES DI BAWAH:</t>
        </is>
      </c>
      <c r="F21" s="14" t="inlineStr">
        <is>
          <t>📌 STATUS KOREKSI JAWABAN TES:</t>
        </is>
      </c>
      <c r="G21" s="5" t="n"/>
    </row>
    <row r="22" ht="26" customHeight="1">
      <c r="B22" s="19" t="n">
        <v>20</v>
      </c>
      <c r="C22" s="19" t="n">
        <v>28</v>
      </c>
      <c r="E22" s="28" t="n"/>
      <c r="F22" s="29">
        <f>IF(ISBLANK(E22), "⏳ Belum Diisi (Ketik Rumus di Sel Kuning E22)", IF(E22='99_KUNCI_JAWABAN'!F220, "✅ BENAR! JAWABAN TES TEPAT!", "❌ Belum Tepat (Cek Sheet Akhir: 99_KUNCI_JAWABAN)"))</f>
        <v/>
      </c>
      <c r="G22" s="5" t="n"/>
    </row>
    <row r="23">
      <c r="B23" s="19" t="n">
        <v>35</v>
      </c>
      <c r="C23" s="19" t="n">
        <v>40</v>
      </c>
    </row>
    <row r="24">
      <c r="B24" s="19" t="n">
        <v>50</v>
      </c>
      <c r="C24" s="19" t="n">
        <v>58</v>
      </c>
    </row>
    <row r="27" ht="22" customHeight="1">
      <c r="B27" s="26" t="inlineStr">
        <is>
          <t>📝 SOAL TES #2: Kasus HRD, Gaji &amp; Lembur Karyawan</t>
        </is>
      </c>
    </row>
    <row r="28" ht="30" customHeight="1">
      <c r="B28" s="14" t="inlineStr">
        <is>
          <t>Variabel X (Biaya)</t>
        </is>
      </c>
      <c r="C28" s="14" t="inlineStr">
        <is>
          <t>Variabel Y (Hasil)</t>
        </is>
      </c>
      <c r="E28" s="27" t="inlineStr">
        <is>
          <t>Persoalan Tes #2: Analisis regresi linear dengan menempatkan rentang hasil Y (C29:C32) dan rentang variabel X (B29:B32) menggunakan fungsi INTERCEPT!</t>
        </is>
      </c>
    </row>
    <row r="29">
      <c r="B29" s="19" t="n">
        <v>20</v>
      </c>
      <c r="C29" s="19" t="n">
        <v>30</v>
      </c>
      <c r="E29" s="14" t="inlineStr">
        <is>
          <t>✏️ KETIK RUMUS JAWABAN TES DI BAWAH:</t>
        </is>
      </c>
      <c r="F29" s="14" t="inlineStr">
        <is>
          <t>📌 STATUS KOREKSI JAWABAN TES:</t>
        </is>
      </c>
      <c r="G29" s="5" t="n"/>
    </row>
    <row r="30" ht="26" customHeight="1">
      <c r="B30" s="19" t="n">
        <v>40</v>
      </c>
      <c r="C30" s="19" t="n">
        <v>56</v>
      </c>
      <c r="E30" s="28" t="n"/>
      <c r="F30" s="29">
        <f>IF(ISBLANK(E30), "⏳ Belum Diisi (Ketik Rumus di Sel Kuning E30)", IF(E30='99_KUNCI_JAWABAN'!F221, "✅ BENAR! JAWABAN TES TEPAT!", "❌ Belum Tepat (Cek Sheet Akhir: 99_KUNCI_JAWABAN)"))</f>
        <v/>
      </c>
      <c r="G30" s="5" t="n"/>
    </row>
    <row r="31">
      <c r="B31" s="19" t="n">
        <v>70</v>
      </c>
      <c r="C31" s="19" t="n">
        <v>80</v>
      </c>
    </row>
    <row r="32">
      <c r="B32" s="19" t="n">
        <v>100</v>
      </c>
      <c r="C32" s="19" t="n">
        <v>116</v>
      </c>
    </row>
    <row r="35" ht="22" customHeight="1">
      <c r="B35" s="26" t="inlineStr">
        <is>
          <t>📝 SOAL TES #3: Kasus Logistik &amp; Stok Gudang Utama</t>
        </is>
      </c>
    </row>
    <row r="36" ht="30" customHeight="1">
      <c r="B36" s="14" t="inlineStr">
        <is>
          <t>Variabel X (Biaya)</t>
        </is>
      </c>
      <c r="C36" s="14" t="inlineStr">
        <is>
          <t>Variabel Y (Hasil)</t>
        </is>
      </c>
      <c r="E36" s="27" t="inlineStr">
        <is>
          <t>Persoalan Tes #3: Analisis regresi linear dengan menempatkan rentang hasil Y (C37:C40) dan rentang variabel X (B37:B40) menggunakan fungsi INTERCEPT!</t>
        </is>
      </c>
    </row>
    <row r="37">
      <c r="B37" s="19" t="n">
        <v>30</v>
      </c>
      <c r="C37" s="19" t="n">
        <v>45</v>
      </c>
      <c r="E37" s="14" t="inlineStr">
        <is>
          <t>✏️ KETIK RUMUS JAWABAN TES DI BAWAH:</t>
        </is>
      </c>
      <c r="F37" s="14" t="inlineStr">
        <is>
          <t>📌 STATUS KOREKSI JAWABAN TES:</t>
        </is>
      </c>
      <c r="G37" s="5" t="n"/>
    </row>
    <row r="38" ht="26" customHeight="1">
      <c r="B38" s="19" t="n">
        <v>60</v>
      </c>
      <c r="C38" s="19" t="n">
        <v>84</v>
      </c>
      <c r="E38" s="28" t="n"/>
      <c r="F38" s="29">
        <f>IF(ISBLANK(E38), "⏳ Belum Diisi (Ketik Rumus di Sel Kuning E38)", IF(E38='99_KUNCI_JAWABAN'!F222, "✅ BENAR! JAWABAN TES TEPAT!", "❌ Belum Tepat (Cek Sheet Akhir: 99_KUNCI_JAWABAN)"))</f>
        <v/>
      </c>
      <c r="G38" s="5" t="n"/>
    </row>
    <row r="39">
      <c r="B39" s="19" t="n">
        <v>105</v>
      </c>
      <c r="C39" s="19" t="n">
        <v>120</v>
      </c>
    </row>
    <row r="40">
      <c r="B40" s="19" t="n">
        <v>150</v>
      </c>
      <c r="C40" s="19" t="n">
        <v>174</v>
      </c>
    </row>
    <row r="43" ht="22" customHeight="1">
      <c r="B43" s="26" t="inlineStr">
        <is>
          <t>📝 SOAL TES #4: Kasus Penjualan Retail &amp; Target Toko</t>
        </is>
      </c>
    </row>
    <row r="44" ht="30" customHeight="1">
      <c r="B44" s="14" t="inlineStr">
        <is>
          <t>Variabel X (Biaya)</t>
        </is>
      </c>
      <c r="C44" s="14" t="inlineStr">
        <is>
          <t>Variabel Y (Hasil)</t>
        </is>
      </c>
      <c r="E44" s="27" t="inlineStr">
        <is>
          <t>Persoalan Tes #4: Analisis regresi linear dengan menempatkan rentang hasil Y (C45:C48) dan rentang variabel X (B45:B48) menggunakan fungsi INTERCEPT!</t>
        </is>
      </c>
    </row>
    <row r="45">
      <c r="B45" s="19" t="n">
        <v>40</v>
      </c>
      <c r="C45" s="19" t="n">
        <v>60</v>
      </c>
      <c r="E45" s="14" t="inlineStr">
        <is>
          <t>✏️ KETIK RUMUS JAWABAN TES DI BAWAH:</t>
        </is>
      </c>
      <c r="F45" s="14" t="inlineStr">
        <is>
          <t>📌 STATUS KOREKSI JAWABAN TES:</t>
        </is>
      </c>
      <c r="G45" s="5" t="n"/>
    </row>
    <row r="46" ht="26" customHeight="1">
      <c r="B46" s="19" t="n">
        <v>80</v>
      </c>
      <c r="C46" s="19" t="n">
        <v>112</v>
      </c>
      <c r="E46" s="28" t="n"/>
      <c r="F46" s="29">
        <f>IF(ISBLANK(E46), "⏳ Belum Diisi (Ketik Rumus di Sel Kuning E46)", IF(E46='99_KUNCI_JAWABAN'!F223, "✅ BENAR! JAWABAN TES TEPAT!", "❌ Belum Tepat (Cek Sheet Akhir: 99_KUNCI_JAWABAN)"))</f>
        <v/>
      </c>
      <c r="G46" s="5" t="n"/>
    </row>
    <row r="47">
      <c r="B47" s="19" t="n">
        <v>140</v>
      </c>
      <c r="C47" s="19" t="n">
        <v>160</v>
      </c>
    </row>
    <row r="48">
      <c r="B48" s="19" t="n">
        <v>200</v>
      </c>
      <c r="C48" s="19" t="n">
        <v>232</v>
      </c>
    </row>
    <row r="51" ht="22" customHeight="1">
      <c r="B51" s="26" t="inlineStr">
        <is>
          <t>📝 SOAL TES #5: Kasus Akademik Sekolah &amp; Layanan Publik</t>
        </is>
      </c>
    </row>
    <row r="52" ht="30" customHeight="1">
      <c r="B52" s="14" t="inlineStr">
        <is>
          <t>Variabel X (Biaya)</t>
        </is>
      </c>
      <c r="C52" s="14" t="inlineStr">
        <is>
          <t>Variabel Y (Hasil)</t>
        </is>
      </c>
      <c r="E52" s="27" t="inlineStr">
        <is>
          <t>Persoalan Tes #5: Analisis regresi linear dengan menempatkan rentang hasil Y (C53:C56) dan rentang variabel X (B53:B56) menggunakan fungsi INTERCEPT!</t>
        </is>
      </c>
    </row>
    <row r="53">
      <c r="B53" s="19" t="n">
        <v>50</v>
      </c>
      <c r="C53" s="19" t="n">
        <v>75</v>
      </c>
      <c r="E53" s="14" t="inlineStr">
        <is>
          <t>✏️ KETIK RUMUS JAWABAN TES DI BAWAH:</t>
        </is>
      </c>
      <c r="F53" s="14" t="inlineStr">
        <is>
          <t>📌 STATUS KOREKSI JAWABAN TES:</t>
        </is>
      </c>
      <c r="G53" s="5" t="n"/>
    </row>
    <row r="54" ht="26" customHeight="1">
      <c r="B54" s="19" t="n">
        <v>100</v>
      </c>
      <c r="C54" s="19" t="n">
        <v>140</v>
      </c>
      <c r="E54" s="28" t="n"/>
      <c r="F54" s="29">
        <f>IF(ISBLANK(E54), "⏳ Belum Diisi (Ketik Rumus di Sel Kuning E54)", IF(E54='99_KUNCI_JAWABAN'!F224, "✅ BENAR! JAWABAN TES TEPAT!", "❌ Belum Tepat (Cek Sheet Akhir: 99_KUNCI_JAWABAN)"))</f>
        <v/>
      </c>
      <c r="G54" s="5" t="n"/>
    </row>
    <row r="55">
      <c r="B55" s="19" t="n">
        <v>175</v>
      </c>
      <c r="C55" s="19" t="n">
        <v>200</v>
      </c>
    </row>
    <row r="56">
      <c r="B56" s="19" t="n">
        <v>250</v>
      </c>
      <c r="C56" s="19" t="n">
        <v>290</v>
      </c>
    </row>
  </sheetData>
  <mergeCells count="33">
    <mergeCell ref="E10:G10"/>
    <mergeCell ref="F11:G11"/>
    <mergeCell ref="E28:G28"/>
    <mergeCell ref="F29:G29"/>
    <mergeCell ref="C6:G6"/>
    <mergeCell ref="F54:G54"/>
    <mergeCell ref="B17:G17"/>
    <mergeCell ref="B1:G1"/>
    <mergeCell ref="C5:G5"/>
    <mergeCell ref="B19:G19"/>
    <mergeCell ref="F21:G21"/>
    <mergeCell ref="F12:G12"/>
    <mergeCell ref="F30:G30"/>
    <mergeCell ref="E36:G36"/>
    <mergeCell ref="B9:G9"/>
    <mergeCell ref="F45:G45"/>
    <mergeCell ref="B51:G51"/>
    <mergeCell ref="F38:G38"/>
    <mergeCell ref="B35:G35"/>
    <mergeCell ref="B4:G4"/>
    <mergeCell ref="F46:G46"/>
    <mergeCell ref="F22:G22"/>
    <mergeCell ref="B2:E2"/>
    <mergeCell ref="F13:G13"/>
    <mergeCell ref="B16:G16"/>
    <mergeCell ref="F37:G37"/>
    <mergeCell ref="C7:G7"/>
    <mergeCell ref="E52:G52"/>
    <mergeCell ref="B27:G27"/>
    <mergeCell ref="B43:G43"/>
    <mergeCell ref="E44:G44"/>
    <mergeCell ref="E20:G20"/>
    <mergeCell ref="F53:G53"/>
  </mergeCells>
  <hyperlinks>
    <hyperlink xmlns:r="http://schemas.openxmlformats.org/officeDocument/2006/relationships" ref="F2" r:id="rId1"/>
    <hyperlink xmlns:r="http://schemas.openxmlformats.org/officeDocument/2006/relationships" ref="G2" r:id="rId2"/>
  </hyperlinks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B1:G56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22" customWidth="1" min="3" max="3"/>
    <col width="4" customWidth="1" min="4" max="4"/>
    <col width="34" customWidth="1" min="5" max="5"/>
    <col width="44" customWidth="1" min="6" max="6"/>
    <col width="28" customWidth="1" min="7" max="7"/>
  </cols>
  <sheetData>
    <row r="1" ht="30" customHeight="1">
      <c r="B1" s="10" t="inlineStr">
        <is>
          <t>📊 #045 — RUMUS EXCEL: KURT   |   Kategori: 8. Statistik &amp; Analisis Data</t>
        </is>
      </c>
    </row>
    <row r="2" ht="22" customHeight="1">
      <c r="B2" s="11" t="inlineStr">
        <is>
          <t>1 Rumus = 1 Contoh Soal + Jawaban Benar &amp; 5 Soal Tes Mandiri (Kunci Jawaban Ada di Sheet Paling Terakhir)</t>
        </is>
      </c>
      <c r="F2" s="12" t="inlineStr">
        <is>
          <t>⬅️ Ke Daftar Isi (00_DAFTAR_ISI)</t>
        </is>
      </c>
      <c r="G2" s="3" t="inlineStr">
        <is>
          <t>🔑 Ke Kunci Jawaban (Sheet Akhir)</t>
        </is>
      </c>
    </row>
    <row r="4" ht="24" customHeight="1">
      <c r="B4" s="13" t="inlineStr">
        <is>
          <t>1️⃣ IDENTITAS RUMUS &amp; FUNGSINYA BUAT APA? (KURT)</t>
        </is>
      </c>
    </row>
    <row r="5" ht="21" customHeight="1">
      <c r="B5" s="14" t="inlineStr">
        <is>
          <t>Nama Rumus Excel</t>
        </is>
      </c>
      <c r="C5" s="15">
        <f>KURT(...)</f>
        <v/>
      </c>
      <c r="D5" s="5" t="n"/>
      <c r="E5" s="5" t="n"/>
      <c r="F5" s="5" t="n"/>
      <c r="G5" s="5" t="n"/>
    </row>
    <row r="6" ht="21" customHeight="1">
      <c r="B6" s="14" t="inlineStr">
        <is>
          <t>Sintaks / Pola Umum</t>
        </is>
      </c>
      <c r="C6" s="15">
        <f>KURT(range_data)</f>
        <v/>
      </c>
      <c r="D6" s="5" t="n"/>
      <c r="E6" s="5" t="n"/>
      <c r="F6" s="5" t="n"/>
      <c r="G6" s="5" t="n"/>
    </row>
    <row r="7" ht="26" customHeight="1">
      <c r="B7" s="14" t="inlineStr">
        <is>
          <t>👶 Fungsinya Buat Apa?</t>
        </is>
      </c>
      <c r="C7" s="16" t="inlineStr">
        <is>
          <t>Mengukur keruncingan (Kurtosis) distribusi data statistik.</t>
        </is>
      </c>
      <c r="D7" s="5" t="n"/>
      <c r="E7" s="5" t="n"/>
      <c r="F7" s="5" t="n"/>
      <c r="G7" s="5" t="n"/>
    </row>
    <row r="9" ht="24" customHeight="1">
      <c r="B9" s="17" t="inlineStr">
        <is>
          <t>2️⃣ 1 CONTOH SOAL &amp; CONTOH JAWABAN BENAR (PELAJARI POLA RUMUS KURT DI SINI)</t>
        </is>
      </c>
    </row>
    <row r="10">
      <c r="B10" s="18" t="inlineStr">
        <is>
          <t>Nama Unit / Kategori</t>
        </is>
      </c>
      <c r="C10" s="18" t="inlineStr">
        <is>
          <t>Nilai Data</t>
        </is>
      </c>
      <c r="E10" s="18" t="inlineStr">
        <is>
          <t>✅ 1 CONTOH SOAL BESERTA CONTOH RUMUS &amp; HASIL JAWABAN BENAR:</t>
        </is>
      </c>
      <c r="F10" s="5" t="n"/>
      <c r="G10" s="5" t="n"/>
    </row>
    <row r="11" ht="28" customHeight="1">
      <c r="B11" s="19" t="inlineStr">
        <is>
          <t>Simulasi Unit A</t>
        </is>
      </c>
      <c r="C11" s="19" t="n">
        <v>500000</v>
      </c>
      <c r="E11" s="20" t="inlineStr">
        <is>
          <t>Contoh Soal:</t>
        </is>
      </c>
      <c r="F11" s="21" t="inlineStr">
        <is>
          <t>Hitung hasil pengolahan fungsi KURT untuk keempat baris data pada rentang C11:C14!</t>
        </is>
      </c>
      <c r="G11" s="5" t="n"/>
    </row>
    <row r="12">
      <c r="B12" s="19" t="inlineStr">
        <is>
          <t>Simulasi Unit B</t>
        </is>
      </c>
      <c r="C12" s="19" t="n">
        <v>750000</v>
      </c>
      <c r="E12" s="20" t="inlineStr">
        <is>
          <t>Contoh Rumus Benar:</t>
        </is>
      </c>
      <c r="F12" s="22" t="inlineStr">
        <is>
          <t>'=KURT(C11:C14)</t>
        </is>
      </c>
      <c r="G12" s="5" t="n"/>
    </row>
    <row r="13">
      <c r="B13" s="19" t="inlineStr">
        <is>
          <t>Simulasi Unit C</t>
        </is>
      </c>
      <c r="C13" s="19" t="n">
        <v>600000</v>
      </c>
      <c r="E13" s="20" t="inlineStr">
        <is>
          <t>Contoh Hasil Benar:</t>
        </is>
      </c>
      <c r="F13" s="23">
        <f>KURT(C11:C14)</f>
        <v/>
      </c>
      <c r="G13" s="5" t="n"/>
    </row>
    <row r="14">
      <c r="B14" s="19" t="inlineStr">
        <is>
          <t>Simulasi Unit D</t>
        </is>
      </c>
      <c r="C14" s="19" t="n">
        <v>950000</v>
      </c>
    </row>
    <row r="16" ht="26" customHeight="1">
      <c r="B16" s="24" t="inlineStr">
        <is>
          <t>3️⃣ 5 SOAL TES DUNIA NYATA — KERJAKAN DI KOTAK KUNING (TANPA KUNCI RUMUS / HASIL DI SINI!)</t>
        </is>
      </c>
    </row>
    <row r="17" ht="20" customHeight="1">
      <c r="B17" s="25" t="inlineStr">
        <is>
          <t>📌 Catatan Tes: Soal Tes #1 s/d #5 di bawah ini tidak menampilkan kunci rumus maupun hasil. Kunci jawaban lengkap tersedia di sheet paling terakhir (99_KUNCI_JAWABAN).</t>
        </is>
      </c>
    </row>
    <row r="19" ht="22" customHeight="1">
      <c r="B19" s="26" t="inlineStr">
        <is>
          <t>📝 SOAL TES #1: Kasus Keuangan &amp; Akuntansi Kantor</t>
        </is>
      </c>
    </row>
    <row r="20" ht="30" customHeight="1">
      <c r="B20" s="14" t="inlineStr">
        <is>
          <t>Nama Unit / Kategori</t>
        </is>
      </c>
      <c r="C20" s="14" t="inlineStr">
        <is>
          <t>Nilai Data</t>
        </is>
      </c>
      <c r="E20" s="27" t="inlineStr">
        <is>
          <t>Persoalan Tes #1: Hitung hasil pengolahan fungsi KURT untuk keempat baris data pada rentang C21:C24!</t>
        </is>
      </c>
    </row>
    <row r="21">
      <c r="B21" s="19" t="inlineStr">
        <is>
          <t>Cabang Jakarta</t>
        </is>
      </c>
      <c r="C21" s="19" t="n">
        <v>1250000</v>
      </c>
      <c r="E21" s="14" t="inlineStr">
        <is>
          <t>✏️ KETIK RUMUS JAWABAN TES DI BAWAH:</t>
        </is>
      </c>
      <c r="F21" s="14" t="inlineStr">
        <is>
          <t>📌 STATUS KOREKSI JAWABAN TES:</t>
        </is>
      </c>
      <c r="G21" s="5" t="n"/>
    </row>
    <row r="22" ht="26" customHeight="1">
      <c r="B22" s="19" t="inlineStr">
        <is>
          <t>Cabang Bandung</t>
        </is>
      </c>
      <c r="C22" s="19" t="n">
        <v>1850000</v>
      </c>
      <c r="E22" s="28" t="n"/>
      <c r="F22" s="29">
        <f>IF(ISBLANK(E22), "⏳ Belum Diisi (Ketik Rumus di Sel Kuning E22)", IF(E22='99_KUNCI_JAWABAN'!F225, "✅ BENAR! JAWABAN TES TEPAT!", "❌ Belum Tepat (Cek Sheet Akhir: 99_KUNCI_JAWABAN)"))</f>
        <v/>
      </c>
      <c r="G22" s="5" t="n"/>
    </row>
    <row r="23">
      <c r="B23" s="19" t="inlineStr">
        <is>
          <t>Cabang Surabaya</t>
        </is>
      </c>
      <c r="C23" s="19" t="n">
        <v>2100000</v>
      </c>
    </row>
    <row r="24">
      <c r="B24" s="19" t="inlineStr">
        <is>
          <t>Cabang Medan</t>
        </is>
      </c>
      <c r="C24" s="19" t="n">
        <v>1600000</v>
      </c>
    </row>
    <row r="27" ht="22" customHeight="1">
      <c r="B27" s="26" t="inlineStr">
        <is>
          <t>📝 SOAL TES #2: Kasus HRD, Gaji &amp; Lembur Karyawan</t>
        </is>
      </c>
    </row>
    <row r="28" ht="30" customHeight="1">
      <c r="B28" s="14" t="inlineStr">
        <is>
          <t>Nama Unit / Kategori</t>
        </is>
      </c>
      <c r="C28" s="14" t="inlineStr">
        <is>
          <t>Nilai Data</t>
        </is>
      </c>
      <c r="E28" s="27" t="inlineStr">
        <is>
          <t>Persoalan Tes #2: Hitung hasil pengolahan fungsi KURT untuk keempat baris data pada rentang C29:C32!</t>
        </is>
      </c>
    </row>
    <row r="29">
      <c r="B29" s="19" t="inlineStr">
        <is>
          <t>Budi Santoso</t>
        </is>
      </c>
      <c r="C29" s="19" t="n">
        <v>4500000</v>
      </c>
      <c r="E29" s="14" t="inlineStr">
        <is>
          <t>✏️ KETIK RUMUS JAWABAN TES DI BAWAH:</t>
        </is>
      </c>
      <c r="F29" s="14" t="inlineStr">
        <is>
          <t>📌 STATUS KOREKSI JAWABAN TES:</t>
        </is>
      </c>
      <c r="G29" s="5" t="n"/>
    </row>
    <row r="30" ht="26" customHeight="1">
      <c r="B30" s="19" t="inlineStr">
        <is>
          <t>Siti Aminah</t>
        </is>
      </c>
      <c r="C30" s="19" t="n">
        <v>5200000</v>
      </c>
      <c r="E30" s="28" t="n"/>
      <c r="F30" s="29">
        <f>IF(ISBLANK(E30), "⏳ Belum Diisi (Ketik Rumus di Sel Kuning E30)", IF(E30='99_KUNCI_JAWABAN'!F226, "✅ BENAR! JAWABAN TES TEPAT!", "❌ Belum Tepat (Cek Sheet Akhir: 99_KUNCI_JAWABAN)"))</f>
        <v/>
      </c>
      <c r="G30" s="5" t="n"/>
    </row>
    <row r="31">
      <c r="B31" s="19" t="inlineStr">
        <is>
          <t>Andi Pratama</t>
        </is>
      </c>
      <c r="C31" s="19" t="n">
        <v>4800000</v>
      </c>
    </row>
    <row r="32">
      <c r="B32" s="19" t="inlineStr">
        <is>
          <t>Rina Wijaya</t>
        </is>
      </c>
      <c r="C32" s="19" t="n">
        <v>6100000</v>
      </c>
    </row>
    <row r="35" ht="22" customHeight="1">
      <c r="B35" s="26" t="inlineStr">
        <is>
          <t>📝 SOAL TES #3: Kasus Logistik &amp; Stok Gudang Utama</t>
        </is>
      </c>
    </row>
    <row r="36" ht="30" customHeight="1">
      <c r="B36" s="14" t="inlineStr">
        <is>
          <t>Nama Unit / Kategori</t>
        </is>
      </c>
      <c r="C36" s="14" t="inlineStr">
        <is>
          <t>Nilai Data</t>
        </is>
      </c>
      <c r="E36" s="27" t="inlineStr">
        <is>
          <t>Persoalan Tes #3: Hitung hasil pengolahan fungsi KURT untuk keempat baris data pada rentang C37:C40!</t>
        </is>
      </c>
    </row>
    <row r="37">
      <c r="B37" s="19" t="inlineStr">
        <is>
          <t>Gudang Blok A</t>
        </is>
      </c>
      <c r="C37" s="19" t="n">
        <v>240</v>
      </c>
      <c r="E37" s="14" t="inlineStr">
        <is>
          <t>✏️ KETIK RUMUS JAWABAN TES DI BAWAH:</t>
        </is>
      </c>
      <c r="F37" s="14" t="inlineStr">
        <is>
          <t>📌 STATUS KOREKSI JAWABAN TES:</t>
        </is>
      </c>
      <c r="G37" s="5" t="n"/>
    </row>
    <row r="38" ht="26" customHeight="1">
      <c r="B38" s="19" t="inlineStr">
        <is>
          <t>Gudang Blok B</t>
        </is>
      </c>
      <c r="C38" s="19" t="n">
        <v>380</v>
      </c>
      <c r="E38" s="28" t="n"/>
      <c r="F38" s="29">
        <f>IF(ISBLANK(E38), "⏳ Belum Diisi (Ketik Rumus di Sel Kuning E38)", IF(E38='99_KUNCI_JAWABAN'!F227, "✅ BENAR! JAWABAN TES TEPAT!", "❌ Belum Tepat (Cek Sheet Akhir: 99_KUNCI_JAWABAN)"))</f>
        <v/>
      </c>
      <c r="G38" s="5" t="n"/>
    </row>
    <row r="39">
      <c r="B39" s="19" t="inlineStr">
        <is>
          <t>Gudang Blok C</t>
        </is>
      </c>
      <c r="C39" s="19" t="n">
        <v>195</v>
      </c>
    </row>
    <row r="40">
      <c r="B40" s="19" t="inlineStr">
        <is>
          <t>Gudang Blok D</t>
        </is>
      </c>
      <c r="C40" s="19" t="n">
        <v>425</v>
      </c>
    </row>
    <row r="43" ht="22" customHeight="1">
      <c r="B43" s="26" t="inlineStr">
        <is>
          <t>📝 SOAL TES #4: Kasus Penjualan Retail &amp; Target Toko</t>
        </is>
      </c>
    </row>
    <row r="44" ht="30" customHeight="1">
      <c r="B44" s="14" t="inlineStr">
        <is>
          <t>Nama Unit / Kategori</t>
        </is>
      </c>
      <c r="C44" s="14" t="inlineStr">
        <is>
          <t>Nilai Data</t>
        </is>
      </c>
      <c r="E44" s="27" t="inlineStr">
        <is>
          <t>Persoalan Tes #4: Hitung hasil pengolahan fungsi KURT untuk keempat baris data pada rentang C45:C48!</t>
        </is>
      </c>
    </row>
    <row r="45">
      <c r="B45" s="19" t="inlineStr">
        <is>
          <t>Toko Elektronik</t>
        </is>
      </c>
      <c r="C45" s="19" t="n">
        <v>85</v>
      </c>
      <c r="E45" s="14" t="inlineStr">
        <is>
          <t>✏️ KETIK RUMUS JAWABAN TES DI BAWAH:</t>
        </is>
      </c>
      <c r="F45" s="14" t="inlineStr">
        <is>
          <t>📌 STATUS KOREKSI JAWABAN TES:</t>
        </is>
      </c>
      <c r="G45" s="5" t="n"/>
    </row>
    <row r="46" ht="26" customHeight="1">
      <c r="B46" s="19" t="inlineStr">
        <is>
          <t>Toko Komputer</t>
        </is>
      </c>
      <c r="C46" s="19" t="n">
        <v>92</v>
      </c>
      <c r="E46" s="28" t="n"/>
      <c r="F46" s="29">
        <f>IF(ISBLANK(E46), "⏳ Belum Diisi (Ketik Rumus di Sel Kuning E46)", IF(E46='99_KUNCI_JAWABAN'!F228, "✅ BENAR! JAWABAN TES TEPAT!", "❌ Belum Tepat (Cek Sheet Akhir: 99_KUNCI_JAWABAN)"))</f>
        <v/>
      </c>
      <c r="G46" s="5" t="n"/>
    </row>
    <row r="47">
      <c r="B47" s="19" t="inlineStr">
        <is>
          <t>Toko Aksesoris</t>
        </is>
      </c>
      <c r="C47" s="19" t="n">
        <v>78</v>
      </c>
    </row>
    <row r="48">
      <c r="B48" s="19" t="inlineStr">
        <is>
          <t>Toko Servis</t>
        </is>
      </c>
      <c r="C48" s="19" t="n">
        <v>95</v>
      </c>
    </row>
    <row r="51" ht="22" customHeight="1">
      <c r="B51" s="26" t="inlineStr">
        <is>
          <t>📝 SOAL TES #5: Kasus Akademik Sekolah &amp; Layanan Publik</t>
        </is>
      </c>
    </row>
    <row r="52" ht="30" customHeight="1">
      <c r="B52" s="14" t="inlineStr">
        <is>
          <t>Nama Unit / Kategori</t>
        </is>
      </c>
      <c r="C52" s="14" t="inlineStr">
        <is>
          <t>Nilai Data</t>
        </is>
      </c>
      <c r="E52" s="27" t="inlineStr">
        <is>
          <t>Persoalan Tes #5: Hitung hasil pengolahan fungsi KURT untuk keempat baris data pada rentang C53:C56!</t>
        </is>
      </c>
    </row>
    <row r="53">
      <c r="B53" s="19" t="inlineStr">
        <is>
          <t>Kelas 10 IPA</t>
        </is>
      </c>
      <c r="C53" s="19" t="n">
        <v>82</v>
      </c>
      <c r="E53" s="14" t="inlineStr">
        <is>
          <t>✏️ KETIK RUMUS JAWABAN TES DI BAWAH:</t>
        </is>
      </c>
      <c r="F53" s="14" t="inlineStr">
        <is>
          <t>📌 STATUS KOREKSI JAWABAN TES:</t>
        </is>
      </c>
      <c r="G53" s="5" t="n"/>
    </row>
    <row r="54" ht="26" customHeight="1">
      <c r="B54" s="19" t="inlineStr">
        <is>
          <t>Kelas 11 IPA</t>
        </is>
      </c>
      <c r="C54" s="19" t="n">
        <v>88</v>
      </c>
      <c r="E54" s="28" t="n"/>
      <c r="F54" s="29">
        <f>IF(ISBLANK(E54), "⏳ Belum Diisi (Ketik Rumus di Sel Kuning E54)", IF(E54='99_KUNCI_JAWABAN'!F229, "✅ BENAR! JAWABAN TES TEPAT!", "❌ Belum Tepat (Cek Sheet Akhir: 99_KUNCI_JAWABAN)"))</f>
        <v/>
      </c>
      <c r="G54" s="5" t="n"/>
    </row>
    <row r="55">
      <c r="B55" s="19" t="inlineStr">
        <is>
          <t>Kelas 12 IPA</t>
        </is>
      </c>
      <c r="C55" s="19" t="n">
        <v>91</v>
      </c>
    </row>
    <row r="56">
      <c r="B56" s="19" t="inlineStr">
        <is>
          <t>Kelas Unggulan</t>
        </is>
      </c>
      <c r="C56" s="19" t="n">
        <v>79</v>
      </c>
    </row>
  </sheetData>
  <mergeCells count="33">
    <mergeCell ref="E10:G10"/>
    <mergeCell ref="F11:G11"/>
    <mergeCell ref="E28:G28"/>
    <mergeCell ref="F29:G29"/>
    <mergeCell ref="C6:G6"/>
    <mergeCell ref="F54:G54"/>
    <mergeCell ref="B17:G17"/>
    <mergeCell ref="B1:G1"/>
    <mergeCell ref="C5:G5"/>
    <mergeCell ref="B19:G19"/>
    <mergeCell ref="F21:G21"/>
    <mergeCell ref="F12:G12"/>
    <mergeCell ref="F30:G30"/>
    <mergeCell ref="E36:G36"/>
    <mergeCell ref="B9:G9"/>
    <mergeCell ref="F45:G45"/>
    <mergeCell ref="B51:G51"/>
    <mergeCell ref="F38:G38"/>
    <mergeCell ref="B35:G35"/>
    <mergeCell ref="B4:G4"/>
    <mergeCell ref="F46:G46"/>
    <mergeCell ref="F22:G22"/>
    <mergeCell ref="B2:E2"/>
    <mergeCell ref="F13:G13"/>
    <mergeCell ref="B16:G16"/>
    <mergeCell ref="F37:G37"/>
    <mergeCell ref="C7:G7"/>
    <mergeCell ref="E52:G52"/>
    <mergeCell ref="B27:G27"/>
    <mergeCell ref="B43:G43"/>
    <mergeCell ref="E44:G44"/>
    <mergeCell ref="E20:G20"/>
    <mergeCell ref="F53:G53"/>
  </mergeCells>
  <hyperlinks>
    <hyperlink xmlns:r="http://schemas.openxmlformats.org/officeDocument/2006/relationships" ref="F2" r:id="rId1"/>
    <hyperlink xmlns:r="http://schemas.openxmlformats.org/officeDocument/2006/relationships" ref="G2" r:id="rId2"/>
  </hyperlinks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B1:G56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22" customWidth="1" min="3" max="3"/>
    <col width="4" customWidth="1" min="4" max="4"/>
    <col width="34" customWidth="1" min="5" max="5"/>
    <col width="44" customWidth="1" min="6" max="6"/>
    <col width="28" customWidth="1" min="7" max="7"/>
  </cols>
  <sheetData>
    <row r="1" ht="30" customHeight="1">
      <c r="B1" s="10" t="inlineStr">
        <is>
          <t>📊 #046 — RUMUS EXCEL: LARGE   |   Kategori: 8. Statistik &amp; Analisis Data</t>
        </is>
      </c>
    </row>
    <row r="2" ht="22" customHeight="1">
      <c r="B2" s="11" t="inlineStr">
        <is>
          <t>1 Rumus = 1 Contoh Soal + Jawaban Benar &amp; 5 Soal Tes Mandiri (Kunci Jawaban Ada di Sheet Paling Terakhir)</t>
        </is>
      </c>
      <c r="F2" s="12" t="inlineStr">
        <is>
          <t>⬅️ Ke Daftar Isi (00_DAFTAR_ISI)</t>
        </is>
      </c>
      <c r="G2" s="3" t="inlineStr">
        <is>
          <t>🔑 Ke Kunci Jawaban (Sheet Akhir)</t>
        </is>
      </c>
    </row>
    <row r="4" ht="24" customHeight="1">
      <c r="B4" s="13" t="inlineStr">
        <is>
          <t>1️⃣ IDENTITAS RUMUS &amp; FUNGSINYA BUAT APA? (LARGE)</t>
        </is>
      </c>
    </row>
    <row r="5" ht="21" customHeight="1">
      <c r="B5" s="14" t="inlineStr">
        <is>
          <t>Nama Rumus Excel</t>
        </is>
      </c>
      <c r="C5" s="15">
        <f>LARGE(...)</f>
        <v/>
      </c>
      <c r="D5" s="5" t="n"/>
      <c r="E5" s="5" t="n"/>
      <c r="F5" s="5" t="n"/>
      <c r="G5" s="5" t="n"/>
    </row>
    <row r="6" ht="21" customHeight="1">
      <c r="B6" s="14" t="inlineStr">
        <is>
          <t>Sintaks / Pola Umum</t>
        </is>
      </c>
      <c r="C6" s="15">
        <f>LARGE(range_data, k)</f>
        <v/>
      </c>
      <c r="D6" s="5" t="n"/>
      <c r="E6" s="5" t="n"/>
      <c r="F6" s="5" t="n"/>
      <c r="G6" s="5" t="n"/>
    </row>
    <row r="7" ht="26" customHeight="1">
      <c r="B7" s="14" t="inlineStr">
        <is>
          <t>👶 Fungsinya Buat Apa?</t>
        </is>
      </c>
      <c r="C7" s="16" t="inlineStr">
        <is>
          <t>Mencari nilai terbesar ke-k (Juara ke-1, Juara ke-2, atau Juara ke-3).</t>
        </is>
      </c>
      <c r="D7" s="5" t="n"/>
      <c r="E7" s="5" t="n"/>
      <c r="F7" s="5" t="n"/>
      <c r="G7" s="5" t="n"/>
    </row>
    <row r="9" ht="24" customHeight="1">
      <c r="B9" s="17" t="inlineStr">
        <is>
          <t>2️⃣ 1 CONTOH SOAL &amp; CONTOH JAWABAN BENAR (PELAJARI POLA RUMUS LARGE DI SINI)</t>
        </is>
      </c>
    </row>
    <row r="10">
      <c r="B10" s="18" t="inlineStr">
        <is>
          <t>Peserta / Cabang</t>
        </is>
      </c>
      <c r="C10" s="18" t="inlineStr">
        <is>
          <t>Skor Capaian</t>
        </is>
      </c>
      <c r="E10" s="18" t="inlineStr">
        <is>
          <t>✅ 1 CONTOH SOAL BESERTA CONTOH RUMUS &amp; HASIL JAWABAN BENAR:</t>
        </is>
      </c>
      <c r="F10" s="5" t="n"/>
      <c r="G10" s="5" t="n"/>
    </row>
    <row r="11" ht="28" customHeight="1">
      <c r="B11" s="19" t="inlineStr">
        <is>
          <t>Simulasi Unit A</t>
        </is>
      </c>
      <c r="C11" s="19" t="n">
        <v>500000</v>
      </c>
      <c r="E11" s="20" t="inlineStr">
        <is>
          <t>Contoh Soal:</t>
        </is>
      </c>
      <c r="F11" s="21" t="inlineStr">
        <is>
          <t>Temukan nilai pada urutan ke-3 dari rentang data C11:C14 menggunakan fungsi LARGE!</t>
        </is>
      </c>
      <c r="G11" s="5" t="n"/>
    </row>
    <row r="12">
      <c r="B12" s="19" t="inlineStr">
        <is>
          <t>Simulasi Unit B</t>
        </is>
      </c>
      <c r="C12" s="19" t="n">
        <v>750000</v>
      </c>
      <c r="E12" s="20" t="inlineStr">
        <is>
          <t>Contoh Rumus Benar:</t>
        </is>
      </c>
      <c r="F12" s="22" t="inlineStr">
        <is>
          <t>'=LARGE(C11:C14, 3)</t>
        </is>
      </c>
      <c r="G12" s="5" t="n"/>
    </row>
    <row r="13">
      <c r="B13" s="19" t="inlineStr">
        <is>
          <t>Simulasi Unit C</t>
        </is>
      </c>
      <c r="C13" s="19" t="n">
        <v>600000</v>
      </c>
      <c r="E13" s="20" t="inlineStr">
        <is>
          <t>Contoh Hasil Benar:</t>
        </is>
      </c>
      <c r="F13" s="23">
        <f>LARGE(C11:C14, 3)</f>
        <v/>
      </c>
      <c r="G13" s="5" t="n"/>
    </row>
    <row r="14">
      <c r="B14" s="19" t="inlineStr">
        <is>
          <t>Simulasi Unit D</t>
        </is>
      </c>
      <c r="C14" s="19" t="n">
        <v>950000</v>
      </c>
    </row>
    <row r="16" ht="26" customHeight="1">
      <c r="B16" s="24" t="inlineStr">
        <is>
          <t>3️⃣ 5 SOAL TES DUNIA NYATA — KERJAKAN DI KOTAK KUNING (TANPA KUNCI RUMUS / HASIL DI SINI!)</t>
        </is>
      </c>
    </row>
    <row r="17" ht="20" customHeight="1">
      <c r="B17" s="25" t="inlineStr">
        <is>
          <t>📌 Catatan Tes: Soal Tes #1 s/d #5 di bawah ini tidak menampilkan kunci rumus maupun hasil. Kunci jawaban lengkap tersedia di sheet paling terakhir (99_KUNCI_JAWABAN).</t>
        </is>
      </c>
    </row>
    <row r="19" ht="22" customHeight="1">
      <c r="B19" s="26" t="inlineStr">
        <is>
          <t>📝 SOAL TES #1: Kasus Keuangan &amp; Akuntansi Kantor</t>
        </is>
      </c>
    </row>
    <row r="20" ht="30" customHeight="1">
      <c r="B20" s="14" t="inlineStr">
        <is>
          <t>Peserta / Cabang</t>
        </is>
      </c>
      <c r="C20" s="14" t="inlineStr">
        <is>
          <t>Skor Capaian</t>
        </is>
      </c>
      <c r="E20" s="27" t="inlineStr">
        <is>
          <t>Persoalan Tes #1: Temukan nilai pada urutan ke-1 dari rentang data C21:C24 menggunakan fungsi LARGE!</t>
        </is>
      </c>
    </row>
    <row r="21">
      <c r="B21" s="19" t="inlineStr">
        <is>
          <t>Cabang Jakarta</t>
        </is>
      </c>
      <c r="C21" s="19" t="n">
        <v>1250000</v>
      </c>
      <c r="E21" s="14" t="inlineStr">
        <is>
          <t>✏️ KETIK RUMUS JAWABAN TES DI BAWAH:</t>
        </is>
      </c>
      <c r="F21" s="14" t="inlineStr">
        <is>
          <t>📌 STATUS KOREKSI JAWABAN TES:</t>
        </is>
      </c>
      <c r="G21" s="5" t="n"/>
    </row>
    <row r="22" ht="26" customHeight="1">
      <c r="B22" s="19" t="inlineStr">
        <is>
          <t>Cabang Bandung</t>
        </is>
      </c>
      <c r="C22" s="19" t="n">
        <v>1850000</v>
      </c>
      <c r="E22" s="28" t="n"/>
      <c r="F22" s="29">
        <f>IF(ISBLANK(E22), "⏳ Belum Diisi (Ketik Rumus di Sel Kuning E22)", IF(E22='99_KUNCI_JAWABAN'!F230, "✅ BENAR! JAWABAN TES TEPAT!", "❌ Belum Tepat (Cek Sheet Akhir: 99_KUNCI_JAWABAN)"))</f>
        <v/>
      </c>
      <c r="G22" s="5" t="n"/>
    </row>
    <row r="23">
      <c r="B23" s="19" t="inlineStr">
        <is>
          <t>Cabang Surabaya</t>
        </is>
      </c>
      <c r="C23" s="19" t="n">
        <v>2100000</v>
      </c>
    </row>
    <row r="24">
      <c r="B24" s="19" t="inlineStr">
        <is>
          <t>Cabang Medan</t>
        </is>
      </c>
      <c r="C24" s="19" t="n">
        <v>1600000</v>
      </c>
    </row>
    <row r="27" ht="22" customHeight="1">
      <c r="B27" s="26" t="inlineStr">
        <is>
          <t>📝 SOAL TES #2: Kasus HRD, Gaji &amp; Lembur Karyawan</t>
        </is>
      </c>
    </row>
    <row r="28" ht="30" customHeight="1">
      <c r="B28" s="14" t="inlineStr">
        <is>
          <t>Peserta / Cabang</t>
        </is>
      </c>
      <c r="C28" s="14" t="inlineStr">
        <is>
          <t>Skor Capaian</t>
        </is>
      </c>
      <c r="E28" s="27" t="inlineStr">
        <is>
          <t>Persoalan Tes #2: Temukan nilai pada urutan ke-2 dari rentang data C29:C32 menggunakan fungsi LARGE!</t>
        </is>
      </c>
    </row>
    <row r="29">
      <c r="B29" s="19" t="inlineStr">
        <is>
          <t>Budi Santoso</t>
        </is>
      </c>
      <c r="C29" s="19" t="n">
        <v>4500000</v>
      </c>
      <c r="E29" s="14" t="inlineStr">
        <is>
          <t>✏️ KETIK RUMUS JAWABAN TES DI BAWAH:</t>
        </is>
      </c>
      <c r="F29" s="14" t="inlineStr">
        <is>
          <t>📌 STATUS KOREKSI JAWABAN TES:</t>
        </is>
      </c>
      <c r="G29" s="5" t="n"/>
    </row>
    <row r="30" ht="26" customHeight="1">
      <c r="B30" s="19" t="inlineStr">
        <is>
          <t>Siti Aminah</t>
        </is>
      </c>
      <c r="C30" s="19" t="n">
        <v>5200000</v>
      </c>
      <c r="E30" s="28" t="n"/>
      <c r="F30" s="29">
        <f>IF(ISBLANK(E30), "⏳ Belum Diisi (Ketik Rumus di Sel Kuning E30)", IF(E30='99_KUNCI_JAWABAN'!F231, "✅ BENAR! JAWABAN TES TEPAT!", "❌ Belum Tepat (Cek Sheet Akhir: 99_KUNCI_JAWABAN)"))</f>
        <v/>
      </c>
      <c r="G30" s="5" t="n"/>
    </row>
    <row r="31">
      <c r="B31" s="19" t="inlineStr">
        <is>
          <t>Andi Pratama</t>
        </is>
      </c>
      <c r="C31" s="19" t="n">
        <v>4800000</v>
      </c>
    </row>
    <row r="32">
      <c r="B32" s="19" t="inlineStr">
        <is>
          <t>Rina Wijaya</t>
        </is>
      </c>
      <c r="C32" s="19" t="n">
        <v>6100000</v>
      </c>
    </row>
    <row r="35" ht="22" customHeight="1">
      <c r="B35" s="26" t="inlineStr">
        <is>
          <t>📝 SOAL TES #3: Kasus Logistik &amp; Stok Gudang Utama</t>
        </is>
      </c>
    </row>
    <row r="36" ht="30" customHeight="1">
      <c r="B36" s="14" t="inlineStr">
        <is>
          <t>Peserta / Cabang</t>
        </is>
      </c>
      <c r="C36" s="14" t="inlineStr">
        <is>
          <t>Skor Capaian</t>
        </is>
      </c>
      <c r="E36" s="27" t="inlineStr">
        <is>
          <t>Persoalan Tes #3: Temukan nilai pada urutan ke-3 dari rentang data C37:C40 menggunakan fungsi LARGE!</t>
        </is>
      </c>
    </row>
    <row r="37">
      <c r="B37" s="19" t="inlineStr">
        <is>
          <t>Gudang Blok A</t>
        </is>
      </c>
      <c r="C37" s="19" t="n">
        <v>240</v>
      </c>
      <c r="E37" s="14" t="inlineStr">
        <is>
          <t>✏️ KETIK RUMUS JAWABAN TES DI BAWAH:</t>
        </is>
      </c>
      <c r="F37" s="14" t="inlineStr">
        <is>
          <t>📌 STATUS KOREKSI JAWABAN TES:</t>
        </is>
      </c>
      <c r="G37" s="5" t="n"/>
    </row>
    <row r="38" ht="26" customHeight="1">
      <c r="B38" s="19" t="inlineStr">
        <is>
          <t>Gudang Blok B</t>
        </is>
      </c>
      <c r="C38" s="19" t="n">
        <v>380</v>
      </c>
      <c r="E38" s="28" t="n"/>
      <c r="F38" s="29">
        <f>IF(ISBLANK(E38), "⏳ Belum Diisi (Ketik Rumus di Sel Kuning E38)", IF(E38='99_KUNCI_JAWABAN'!F232, "✅ BENAR! JAWABAN TES TEPAT!", "❌ Belum Tepat (Cek Sheet Akhir: 99_KUNCI_JAWABAN)"))</f>
        <v/>
      </c>
      <c r="G38" s="5" t="n"/>
    </row>
    <row r="39">
      <c r="B39" s="19" t="inlineStr">
        <is>
          <t>Gudang Blok C</t>
        </is>
      </c>
      <c r="C39" s="19" t="n">
        <v>195</v>
      </c>
    </row>
    <row r="40">
      <c r="B40" s="19" t="inlineStr">
        <is>
          <t>Gudang Blok D</t>
        </is>
      </c>
      <c r="C40" s="19" t="n">
        <v>425</v>
      </c>
    </row>
    <row r="43" ht="22" customHeight="1">
      <c r="B43" s="26" t="inlineStr">
        <is>
          <t>📝 SOAL TES #4: Kasus Penjualan Retail &amp; Target Toko</t>
        </is>
      </c>
    </row>
    <row r="44" ht="30" customHeight="1">
      <c r="B44" s="14" t="inlineStr">
        <is>
          <t>Peserta / Cabang</t>
        </is>
      </c>
      <c r="C44" s="14" t="inlineStr">
        <is>
          <t>Skor Capaian</t>
        </is>
      </c>
      <c r="E44" s="27" t="inlineStr">
        <is>
          <t>Persoalan Tes #4: Temukan nilai pada urutan ke-1 dari rentang data C45:C48 menggunakan fungsi LARGE!</t>
        </is>
      </c>
    </row>
    <row r="45">
      <c r="B45" s="19" t="inlineStr">
        <is>
          <t>Toko Elektronik</t>
        </is>
      </c>
      <c r="C45" s="19" t="n">
        <v>85</v>
      </c>
      <c r="E45" s="14" t="inlineStr">
        <is>
          <t>✏️ KETIK RUMUS JAWABAN TES DI BAWAH:</t>
        </is>
      </c>
      <c r="F45" s="14" t="inlineStr">
        <is>
          <t>📌 STATUS KOREKSI JAWABAN TES:</t>
        </is>
      </c>
      <c r="G45" s="5" t="n"/>
    </row>
    <row r="46" ht="26" customHeight="1">
      <c r="B46" s="19" t="inlineStr">
        <is>
          <t>Toko Komputer</t>
        </is>
      </c>
      <c r="C46" s="19" t="n">
        <v>92</v>
      </c>
      <c r="E46" s="28" t="n"/>
      <c r="F46" s="29">
        <f>IF(ISBLANK(E46), "⏳ Belum Diisi (Ketik Rumus di Sel Kuning E46)", IF(E46='99_KUNCI_JAWABAN'!F233, "✅ BENAR! JAWABAN TES TEPAT!", "❌ Belum Tepat (Cek Sheet Akhir: 99_KUNCI_JAWABAN)"))</f>
        <v/>
      </c>
      <c r="G46" s="5" t="n"/>
    </row>
    <row r="47">
      <c r="B47" s="19" t="inlineStr">
        <is>
          <t>Toko Aksesoris</t>
        </is>
      </c>
      <c r="C47" s="19" t="n">
        <v>78</v>
      </c>
    </row>
    <row r="48">
      <c r="B48" s="19" t="inlineStr">
        <is>
          <t>Toko Servis</t>
        </is>
      </c>
      <c r="C48" s="19" t="n">
        <v>95</v>
      </c>
    </row>
    <row r="51" ht="22" customHeight="1">
      <c r="B51" s="26" t="inlineStr">
        <is>
          <t>📝 SOAL TES #5: Kasus Akademik Sekolah &amp; Layanan Publik</t>
        </is>
      </c>
    </row>
    <row r="52" ht="30" customHeight="1">
      <c r="B52" s="14" t="inlineStr">
        <is>
          <t>Peserta / Cabang</t>
        </is>
      </c>
      <c r="C52" s="14" t="inlineStr">
        <is>
          <t>Skor Capaian</t>
        </is>
      </c>
      <c r="E52" s="27" t="inlineStr">
        <is>
          <t>Persoalan Tes #5: Temukan nilai pada urutan ke-2 dari rentang data C53:C56 menggunakan fungsi LARGE!</t>
        </is>
      </c>
    </row>
    <row r="53">
      <c r="B53" s="19" t="inlineStr">
        <is>
          <t>Kelas 10 IPA</t>
        </is>
      </c>
      <c r="C53" s="19" t="n">
        <v>82</v>
      </c>
      <c r="E53" s="14" t="inlineStr">
        <is>
          <t>✏️ KETIK RUMUS JAWABAN TES DI BAWAH:</t>
        </is>
      </c>
      <c r="F53" s="14" t="inlineStr">
        <is>
          <t>📌 STATUS KOREKSI JAWABAN TES:</t>
        </is>
      </c>
      <c r="G53" s="5" t="n"/>
    </row>
    <row r="54" ht="26" customHeight="1">
      <c r="B54" s="19" t="inlineStr">
        <is>
          <t>Kelas 11 IPA</t>
        </is>
      </c>
      <c r="C54" s="19" t="n">
        <v>88</v>
      </c>
      <c r="E54" s="28" t="n"/>
      <c r="F54" s="29">
        <f>IF(ISBLANK(E54), "⏳ Belum Diisi (Ketik Rumus di Sel Kuning E54)", IF(E54='99_KUNCI_JAWABAN'!F234, "✅ BENAR! JAWABAN TES TEPAT!", "❌ Belum Tepat (Cek Sheet Akhir: 99_KUNCI_JAWABAN)"))</f>
        <v/>
      </c>
      <c r="G54" s="5" t="n"/>
    </row>
    <row r="55">
      <c r="B55" s="19" t="inlineStr">
        <is>
          <t>Kelas 12 IPA</t>
        </is>
      </c>
      <c r="C55" s="19" t="n">
        <v>91</v>
      </c>
    </row>
    <row r="56">
      <c r="B56" s="19" t="inlineStr">
        <is>
          <t>Kelas Unggulan</t>
        </is>
      </c>
      <c r="C56" s="19" t="n">
        <v>79</v>
      </c>
    </row>
  </sheetData>
  <mergeCells count="33">
    <mergeCell ref="E10:G10"/>
    <mergeCell ref="F11:G11"/>
    <mergeCell ref="E28:G28"/>
    <mergeCell ref="F29:G29"/>
    <mergeCell ref="C6:G6"/>
    <mergeCell ref="F54:G54"/>
    <mergeCell ref="B17:G17"/>
    <mergeCell ref="B1:G1"/>
    <mergeCell ref="C5:G5"/>
    <mergeCell ref="B19:G19"/>
    <mergeCell ref="F21:G21"/>
    <mergeCell ref="F12:G12"/>
    <mergeCell ref="F30:G30"/>
    <mergeCell ref="E36:G36"/>
    <mergeCell ref="B9:G9"/>
    <mergeCell ref="F45:G45"/>
    <mergeCell ref="B51:G51"/>
    <mergeCell ref="F38:G38"/>
    <mergeCell ref="B35:G35"/>
    <mergeCell ref="B4:G4"/>
    <mergeCell ref="F46:G46"/>
    <mergeCell ref="F22:G22"/>
    <mergeCell ref="B2:E2"/>
    <mergeCell ref="F13:G13"/>
    <mergeCell ref="B16:G16"/>
    <mergeCell ref="F37:G37"/>
    <mergeCell ref="C7:G7"/>
    <mergeCell ref="E52:G52"/>
    <mergeCell ref="B27:G27"/>
    <mergeCell ref="B43:G43"/>
    <mergeCell ref="E44:G44"/>
    <mergeCell ref="E20:G20"/>
    <mergeCell ref="F53:G53"/>
  </mergeCells>
  <hyperlinks>
    <hyperlink xmlns:r="http://schemas.openxmlformats.org/officeDocument/2006/relationships" ref="F2" r:id="rId1"/>
    <hyperlink xmlns:r="http://schemas.openxmlformats.org/officeDocument/2006/relationships" ref="G2" r:id="rId2"/>
  </hyperlinks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B1:G56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22" customWidth="1" min="3" max="3"/>
    <col width="4" customWidth="1" min="4" max="4"/>
    <col width="34" customWidth="1" min="5" max="5"/>
    <col width="44" customWidth="1" min="6" max="6"/>
    <col width="28" customWidth="1" min="7" max="7"/>
  </cols>
  <sheetData>
    <row r="1" ht="30" customHeight="1">
      <c r="B1" s="10" t="inlineStr">
        <is>
          <t>📊 #047 — RUMUS EXCEL: LOGNORM.DIST   |   Kategori: 8. Statistik &amp; Analisis Data</t>
        </is>
      </c>
    </row>
    <row r="2" ht="22" customHeight="1">
      <c r="B2" s="11" t="inlineStr">
        <is>
          <t>1 Rumus = 1 Contoh Soal + Jawaban Benar &amp; 5 Soal Tes Mandiri (Kunci Jawaban Ada di Sheet Paling Terakhir)</t>
        </is>
      </c>
      <c r="F2" s="12" t="inlineStr">
        <is>
          <t>⬅️ Ke Daftar Isi (00_DAFTAR_ISI)</t>
        </is>
      </c>
      <c r="G2" s="3" t="inlineStr">
        <is>
          <t>🔑 Ke Kunci Jawaban (Sheet Akhir)</t>
        </is>
      </c>
    </row>
    <row r="4" ht="24" customHeight="1">
      <c r="B4" s="13" t="inlineStr">
        <is>
          <t>1️⃣ IDENTITAS RUMUS &amp; FUNGSINYA BUAT APA? (LOGNORM.DIST)</t>
        </is>
      </c>
    </row>
    <row r="5" ht="21" customHeight="1">
      <c r="B5" s="14" t="inlineStr">
        <is>
          <t>Nama Rumus Excel</t>
        </is>
      </c>
      <c r="C5" s="15">
        <f>LOGNORM.DIST(...)</f>
        <v/>
      </c>
      <c r="D5" s="5" t="n"/>
      <c r="E5" s="5" t="n"/>
      <c r="F5" s="5" t="n"/>
      <c r="G5" s="5" t="n"/>
    </row>
    <row r="6" ht="21" customHeight="1">
      <c r="B6" s="14" t="inlineStr">
        <is>
          <t>Sintaks / Pola Umum</t>
        </is>
      </c>
      <c r="C6" s="15">
        <f>LOGNORM.DIST(x, mean, standard_dev, TRUE)</f>
        <v/>
      </c>
      <c r="D6" s="5" t="n"/>
      <c r="E6" s="5" t="n"/>
      <c r="F6" s="5" t="n"/>
      <c r="G6" s="5" t="n"/>
    </row>
    <row r="7" ht="26" customHeight="1">
      <c r="B7" s="14" t="inlineStr">
        <is>
          <t>👶 Fungsinya Buat Apa?</t>
        </is>
      </c>
      <c r="C7" s="16" t="inlineStr">
        <is>
          <t>Menghitung distribusi lognormal kumulatif dari variabel x.</t>
        </is>
      </c>
      <c r="D7" s="5" t="n"/>
      <c r="E7" s="5" t="n"/>
      <c r="F7" s="5" t="n"/>
      <c r="G7" s="5" t="n"/>
    </row>
    <row r="9" ht="24" customHeight="1">
      <c r="B9" s="17" t="inlineStr">
        <is>
          <t>2️⃣ 1 CONTOH SOAL &amp; CONTOH JAWABAN BENAR (PELAJARI POLA RUMUS LOGNORM.DIST DI SINI)</t>
        </is>
      </c>
    </row>
    <row r="10">
      <c r="B10" s="18" t="inlineStr">
        <is>
          <t>Nama Parameter</t>
        </is>
      </c>
      <c r="C10" s="18" t="inlineStr">
        <is>
          <t>Nilai Parameter</t>
        </is>
      </c>
      <c r="E10" s="18" t="inlineStr">
        <is>
          <t>✅ 1 CONTOH SOAL BESERTA CONTOH RUMUS &amp; HASIL JAWABAN BENAR:</t>
        </is>
      </c>
      <c r="F10" s="5" t="n"/>
      <c r="G10" s="5" t="n"/>
    </row>
    <row r="11" ht="28" customHeight="1">
      <c r="B11" s="19" t="inlineStr">
        <is>
          <t>Nilai X (C11)</t>
        </is>
      </c>
      <c r="C11" s="19" t="n">
        <v>15</v>
      </c>
      <c r="E11" s="20" t="inlineStr">
        <is>
          <t>Contoh Soal:</t>
        </is>
      </c>
      <c r="F11" s="21" t="inlineStr">
        <is>
          <t>Hitung nilai distribusi kumulatif (TRUE) menggunakan fungsi LOGNORM.DIST dengan argumen berurutan C11, C12, C13, dan TRUE!</t>
        </is>
      </c>
      <c r="G11" s="5" t="n"/>
    </row>
    <row r="12">
      <c r="B12" s="19" t="inlineStr">
        <is>
          <t>Parameter 1 / Mean (C12)</t>
        </is>
      </c>
      <c r="C12" s="19" t="n">
        <v>8</v>
      </c>
      <c r="E12" s="20" t="inlineStr">
        <is>
          <t>Contoh Rumus Benar:</t>
        </is>
      </c>
      <c r="F12" s="22" t="inlineStr">
        <is>
          <t>'=LOGNORM.DIST(C11, C12, C13, TRUE)</t>
        </is>
      </c>
      <c r="G12" s="5" t="n"/>
    </row>
    <row r="13">
      <c r="B13" s="19" t="inlineStr">
        <is>
          <t>Parameter 2 / SD (C13)</t>
        </is>
      </c>
      <c r="C13" s="19" t="n">
        <v>2</v>
      </c>
      <c r="E13" s="20" t="inlineStr">
        <is>
          <t>Contoh Hasil Benar:</t>
        </is>
      </c>
      <c r="F13" s="23">
        <f>LOGNORM.DIST(C11, C12, C13, TRUE)</f>
        <v/>
      </c>
      <c r="G13" s="5" t="n"/>
    </row>
    <row r="14">
      <c r="B14" s="19" t="inlineStr">
        <is>
          <t>Kumulatif</t>
        </is>
      </c>
      <c r="C14" s="19" t="n">
        <v>1</v>
      </c>
    </row>
    <row r="16" ht="26" customHeight="1">
      <c r="B16" s="24" t="inlineStr">
        <is>
          <t>3️⃣ 5 SOAL TES DUNIA NYATA — KERJAKAN DI KOTAK KUNING (TANPA KUNCI RUMUS / HASIL DI SINI!)</t>
        </is>
      </c>
    </row>
    <row r="17" ht="20" customHeight="1">
      <c r="B17" s="25" t="inlineStr">
        <is>
          <t>📌 Catatan Tes: Soal Tes #1 s/d #5 di bawah ini tidak menampilkan kunci rumus maupun hasil. Kunci jawaban lengkap tersedia di sheet paling terakhir (99_KUNCI_JAWABAN).</t>
        </is>
      </c>
    </row>
    <row r="19" ht="22" customHeight="1">
      <c r="B19" s="26" t="inlineStr">
        <is>
          <t>📝 SOAL TES #1: Kasus Keuangan &amp; Akuntansi Kantor</t>
        </is>
      </c>
    </row>
    <row r="20" ht="30" customHeight="1">
      <c r="B20" s="14" t="inlineStr">
        <is>
          <t>Nama Parameter</t>
        </is>
      </c>
      <c r="C20" s="14" t="inlineStr">
        <is>
          <t>Nilai Parameter</t>
        </is>
      </c>
      <c r="E20" s="27" t="inlineStr">
        <is>
          <t>Persoalan Tes #1: Hitung nilai distribusi kumulatif (TRUE) menggunakan fungsi LOGNORM.DIST dengan argumen berurutan C21, C22, C23, dan TRUE!</t>
        </is>
      </c>
    </row>
    <row r="21">
      <c r="B21" s="19" t="inlineStr">
        <is>
          <t>Nilai X (C21)</t>
        </is>
      </c>
      <c r="C21" s="19" t="n">
        <v>10</v>
      </c>
      <c r="E21" s="14" t="inlineStr">
        <is>
          <t>✏️ KETIK RUMUS JAWABAN TES DI BAWAH:</t>
        </is>
      </c>
      <c r="F21" s="14" t="inlineStr">
        <is>
          <t>📌 STATUS KOREKSI JAWABAN TES:</t>
        </is>
      </c>
      <c r="G21" s="5" t="n"/>
    </row>
    <row r="22" ht="26" customHeight="1">
      <c r="B22" s="19" t="inlineStr">
        <is>
          <t>Parameter 1 / Mean (C22)</t>
        </is>
      </c>
      <c r="C22" s="19" t="n">
        <v>8</v>
      </c>
      <c r="E22" s="28" t="n"/>
      <c r="F22" s="29">
        <f>IF(ISBLANK(E22), "⏳ Belum Diisi (Ketik Rumus di Sel Kuning E22)", IF(E22='99_KUNCI_JAWABAN'!F235, "✅ BENAR! JAWABAN TES TEPAT!", "❌ Belum Tepat (Cek Sheet Akhir: 99_KUNCI_JAWABAN)"))</f>
        <v/>
      </c>
      <c r="G22" s="5" t="n"/>
    </row>
    <row r="23">
      <c r="B23" s="19" t="inlineStr">
        <is>
          <t>Parameter 2 / SD (C23)</t>
        </is>
      </c>
      <c r="C23" s="19" t="n">
        <v>2</v>
      </c>
    </row>
    <row r="24">
      <c r="B24" s="19" t="inlineStr">
        <is>
          <t>Kumulatif</t>
        </is>
      </c>
      <c r="C24" s="19" t="n">
        <v>1</v>
      </c>
    </row>
    <row r="27" ht="22" customHeight="1">
      <c r="B27" s="26" t="inlineStr">
        <is>
          <t>📝 SOAL TES #2: Kasus HRD, Gaji &amp; Lembur Karyawan</t>
        </is>
      </c>
    </row>
    <row r="28" ht="30" customHeight="1">
      <c r="B28" s="14" t="inlineStr">
        <is>
          <t>Nama Parameter</t>
        </is>
      </c>
      <c r="C28" s="14" t="inlineStr">
        <is>
          <t>Nilai Parameter</t>
        </is>
      </c>
      <c r="E28" s="27" t="inlineStr">
        <is>
          <t>Persoalan Tes #2: Hitung nilai distribusi kumulatif (TRUE) menggunakan fungsi LOGNORM.DIST dengan argumen berurutan C29, C30, C31, dan TRUE!</t>
        </is>
      </c>
    </row>
    <row r="29">
      <c r="B29" s="19" t="inlineStr">
        <is>
          <t>Nilai X (C29)</t>
        </is>
      </c>
      <c r="C29" s="19" t="n">
        <v>11</v>
      </c>
      <c r="E29" s="14" t="inlineStr">
        <is>
          <t>✏️ KETIK RUMUS JAWABAN TES DI BAWAH:</t>
        </is>
      </c>
      <c r="F29" s="14" t="inlineStr">
        <is>
          <t>📌 STATUS KOREKSI JAWABAN TES:</t>
        </is>
      </c>
      <c r="G29" s="5" t="n"/>
    </row>
    <row r="30" ht="26" customHeight="1">
      <c r="B30" s="19" t="inlineStr">
        <is>
          <t>Parameter 1 / Mean (C30)</t>
        </is>
      </c>
      <c r="C30" s="19" t="n">
        <v>8</v>
      </c>
      <c r="E30" s="28" t="n"/>
      <c r="F30" s="29">
        <f>IF(ISBLANK(E30), "⏳ Belum Diisi (Ketik Rumus di Sel Kuning E30)", IF(E30='99_KUNCI_JAWABAN'!F236, "✅ BENAR! JAWABAN TES TEPAT!", "❌ Belum Tepat (Cek Sheet Akhir: 99_KUNCI_JAWABAN)"))</f>
        <v/>
      </c>
      <c r="G30" s="5" t="n"/>
    </row>
    <row r="31">
      <c r="B31" s="19" t="inlineStr">
        <is>
          <t>Parameter 2 / SD (C31)</t>
        </is>
      </c>
      <c r="C31" s="19" t="n">
        <v>2</v>
      </c>
    </row>
    <row r="32">
      <c r="B32" s="19" t="inlineStr">
        <is>
          <t>Kumulatif</t>
        </is>
      </c>
      <c r="C32" s="19" t="n">
        <v>1</v>
      </c>
    </row>
    <row r="35" ht="22" customHeight="1">
      <c r="B35" s="26" t="inlineStr">
        <is>
          <t>📝 SOAL TES #3: Kasus Logistik &amp; Stok Gudang Utama</t>
        </is>
      </c>
    </row>
    <row r="36" ht="30" customHeight="1">
      <c r="B36" s="14" t="inlineStr">
        <is>
          <t>Nama Parameter</t>
        </is>
      </c>
      <c r="C36" s="14" t="inlineStr">
        <is>
          <t>Nilai Parameter</t>
        </is>
      </c>
      <c r="E36" s="27" t="inlineStr">
        <is>
          <t>Persoalan Tes #3: Hitung nilai distribusi kumulatif (TRUE) menggunakan fungsi LOGNORM.DIST dengan argumen berurutan C37, C38, C39, dan TRUE!</t>
        </is>
      </c>
    </row>
    <row r="37">
      <c r="B37" s="19" t="inlineStr">
        <is>
          <t>Nilai X (C37)</t>
        </is>
      </c>
      <c r="C37" s="19" t="n">
        <v>12</v>
      </c>
      <c r="E37" s="14" t="inlineStr">
        <is>
          <t>✏️ KETIK RUMUS JAWABAN TES DI BAWAH:</t>
        </is>
      </c>
      <c r="F37" s="14" t="inlineStr">
        <is>
          <t>📌 STATUS KOREKSI JAWABAN TES:</t>
        </is>
      </c>
      <c r="G37" s="5" t="n"/>
    </row>
    <row r="38" ht="26" customHeight="1">
      <c r="B38" s="19" t="inlineStr">
        <is>
          <t>Parameter 1 / Mean (C38)</t>
        </is>
      </c>
      <c r="C38" s="19" t="n">
        <v>8</v>
      </c>
      <c r="E38" s="28" t="n"/>
      <c r="F38" s="29">
        <f>IF(ISBLANK(E38), "⏳ Belum Diisi (Ketik Rumus di Sel Kuning E38)", IF(E38='99_KUNCI_JAWABAN'!F237, "✅ BENAR! JAWABAN TES TEPAT!", "❌ Belum Tepat (Cek Sheet Akhir: 99_KUNCI_JAWABAN)"))</f>
        <v/>
      </c>
      <c r="G38" s="5" t="n"/>
    </row>
    <row r="39">
      <c r="B39" s="19" t="inlineStr">
        <is>
          <t>Parameter 2 / SD (C39)</t>
        </is>
      </c>
      <c r="C39" s="19" t="n">
        <v>2</v>
      </c>
    </row>
    <row r="40">
      <c r="B40" s="19" t="inlineStr">
        <is>
          <t>Kumulatif</t>
        </is>
      </c>
      <c r="C40" s="19" t="n">
        <v>1</v>
      </c>
    </row>
    <row r="43" ht="22" customHeight="1">
      <c r="B43" s="26" t="inlineStr">
        <is>
          <t>📝 SOAL TES #4: Kasus Penjualan Retail &amp; Target Toko</t>
        </is>
      </c>
    </row>
    <row r="44" ht="30" customHeight="1">
      <c r="B44" s="14" t="inlineStr">
        <is>
          <t>Nama Parameter</t>
        </is>
      </c>
      <c r="C44" s="14" t="inlineStr">
        <is>
          <t>Nilai Parameter</t>
        </is>
      </c>
      <c r="E44" s="27" t="inlineStr">
        <is>
          <t>Persoalan Tes #4: Hitung nilai distribusi kumulatif (TRUE) menggunakan fungsi LOGNORM.DIST dengan argumen berurutan C45, C46, C47, dan TRUE!</t>
        </is>
      </c>
    </row>
    <row r="45">
      <c r="B45" s="19" t="inlineStr">
        <is>
          <t>Nilai X (C45)</t>
        </is>
      </c>
      <c r="C45" s="19" t="n">
        <v>13</v>
      </c>
      <c r="E45" s="14" t="inlineStr">
        <is>
          <t>✏️ KETIK RUMUS JAWABAN TES DI BAWAH:</t>
        </is>
      </c>
      <c r="F45" s="14" t="inlineStr">
        <is>
          <t>📌 STATUS KOREKSI JAWABAN TES:</t>
        </is>
      </c>
      <c r="G45" s="5" t="n"/>
    </row>
    <row r="46" ht="26" customHeight="1">
      <c r="B46" s="19" t="inlineStr">
        <is>
          <t>Parameter 1 / Mean (C46)</t>
        </is>
      </c>
      <c r="C46" s="19" t="n">
        <v>8</v>
      </c>
      <c r="E46" s="28" t="n"/>
      <c r="F46" s="29">
        <f>IF(ISBLANK(E46), "⏳ Belum Diisi (Ketik Rumus di Sel Kuning E46)", IF(E46='99_KUNCI_JAWABAN'!F238, "✅ BENAR! JAWABAN TES TEPAT!", "❌ Belum Tepat (Cek Sheet Akhir: 99_KUNCI_JAWABAN)"))</f>
        <v/>
      </c>
      <c r="G46" s="5" t="n"/>
    </row>
    <row r="47">
      <c r="B47" s="19" t="inlineStr">
        <is>
          <t>Parameter 2 / SD (C47)</t>
        </is>
      </c>
      <c r="C47" s="19" t="n">
        <v>2</v>
      </c>
    </row>
    <row r="48">
      <c r="B48" s="19" t="inlineStr">
        <is>
          <t>Kumulatif</t>
        </is>
      </c>
      <c r="C48" s="19" t="n">
        <v>1</v>
      </c>
    </row>
    <row r="51" ht="22" customHeight="1">
      <c r="B51" s="26" t="inlineStr">
        <is>
          <t>📝 SOAL TES #5: Kasus Akademik Sekolah &amp; Layanan Publik</t>
        </is>
      </c>
    </row>
    <row r="52" ht="30" customHeight="1">
      <c r="B52" s="14" t="inlineStr">
        <is>
          <t>Nama Parameter</t>
        </is>
      </c>
      <c r="C52" s="14" t="inlineStr">
        <is>
          <t>Nilai Parameter</t>
        </is>
      </c>
      <c r="E52" s="27" t="inlineStr">
        <is>
          <t>Persoalan Tes #5: Hitung nilai distribusi kumulatif (TRUE) menggunakan fungsi LOGNORM.DIST dengan argumen berurutan C53, C54, C55, dan TRUE!</t>
        </is>
      </c>
    </row>
    <row r="53">
      <c r="B53" s="19" t="inlineStr">
        <is>
          <t>Nilai X (C53)</t>
        </is>
      </c>
      <c r="C53" s="19" t="n">
        <v>14</v>
      </c>
      <c r="E53" s="14" t="inlineStr">
        <is>
          <t>✏️ KETIK RUMUS JAWABAN TES DI BAWAH:</t>
        </is>
      </c>
      <c r="F53" s="14" t="inlineStr">
        <is>
          <t>📌 STATUS KOREKSI JAWABAN TES:</t>
        </is>
      </c>
      <c r="G53" s="5" t="n"/>
    </row>
    <row r="54" ht="26" customHeight="1">
      <c r="B54" s="19" t="inlineStr">
        <is>
          <t>Parameter 1 / Mean (C54)</t>
        </is>
      </c>
      <c r="C54" s="19" t="n">
        <v>8</v>
      </c>
      <c r="E54" s="28" t="n"/>
      <c r="F54" s="29">
        <f>IF(ISBLANK(E54), "⏳ Belum Diisi (Ketik Rumus di Sel Kuning E54)", IF(E54='99_KUNCI_JAWABAN'!F239, "✅ BENAR! JAWABAN TES TEPAT!", "❌ Belum Tepat (Cek Sheet Akhir: 99_KUNCI_JAWABAN)"))</f>
        <v/>
      </c>
      <c r="G54" s="5" t="n"/>
    </row>
    <row r="55">
      <c r="B55" s="19" t="inlineStr">
        <is>
          <t>Parameter 2 / SD (C55)</t>
        </is>
      </c>
      <c r="C55" s="19" t="n">
        <v>2</v>
      </c>
    </row>
    <row r="56">
      <c r="B56" s="19" t="inlineStr">
        <is>
          <t>Kumulatif</t>
        </is>
      </c>
      <c r="C56" s="19" t="n">
        <v>1</v>
      </c>
    </row>
  </sheetData>
  <mergeCells count="33">
    <mergeCell ref="E10:G10"/>
    <mergeCell ref="F11:G11"/>
    <mergeCell ref="E28:G28"/>
    <mergeCell ref="F29:G29"/>
    <mergeCell ref="C6:G6"/>
    <mergeCell ref="F54:G54"/>
    <mergeCell ref="B17:G17"/>
    <mergeCell ref="B1:G1"/>
    <mergeCell ref="C5:G5"/>
    <mergeCell ref="B19:G19"/>
    <mergeCell ref="F21:G21"/>
    <mergeCell ref="F12:G12"/>
    <mergeCell ref="F30:G30"/>
    <mergeCell ref="E36:G36"/>
    <mergeCell ref="B9:G9"/>
    <mergeCell ref="F45:G45"/>
    <mergeCell ref="B51:G51"/>
    <mergeCell ref="F38:G38"/>
    <mergeCell ref="B35:G35"/>
    <mergeCell ref="B4:G4"/>
    <mergeCell ref="F46:G46"/>
    <mergeCell ref="F22:G22"/>
    <mergeCell ref="B2:E2"/>
    <mergeCell ref="F13:G13"/>
    <mergeCell ref="B16:G16"/>
    <mergeCell ref="F37:G37"/>
    <mergeCell ref="C7:G7"/>
    <mergeCell ref="E52:G52"/>
    <mergeCell ref="B27:G27"/>
    <mergeCell ref="B43:G43"/>
    <mergeCell ref="E44:G44"/>
    <mergeCell ref="E20:G20"/>
    <mergeCell ref="F53:G53"/>
  </mergeCells>
  <hyperlinks>
    <hyperlink xmlns:r="http://schemas.openxmlformats.org/officeDocument/2006/relationships" ref="F2" r:id="rId1"/>
    <hyperlink xmlns:r="http://schemas.openxmlformats.org/officeDocument/2006/relationships" ref="G2" r:id="rId2"/>
  </hyperlinks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B1:G56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22" customWidth="1" min="3" max="3"/>
    <col width="4" customWidth="1" min="4" max="4"/>
    <col width="34" customWidth="1" min="5" max="5"/>
    <col width="44" customWidth="1" min="6" max="6"/>
    <col width="28" customWidth="1" min="7" max="7"/>
  </cols>
  <sheetData>
    <row r="1" ht="30" customHeight="1">
      <c r="B1" s="10" t="inlineStr">
        <is>
          <t>📊 #048 — RUMUS EXCEL: LOGINV   |   Kategori: 8. Statistik &amp; Analisis Data</t>
        </is>
      </c>
    </row>
    <row r="2" ht="22" customHeight="1">
      <c r="B2" s="11" t="inlineStr">
        <is>
          <t>1 Rumus = 1 Contoh Soal + Jawaban Benar &amp; 5 Soal Tes Mandiri (Kunci Jawaban Ada di Sheet Paling Terakhir)</t>
        </is>
      </c>
      <c r="F2" s="12" t="inlineStr">
        <is>
          <t>⬅️ Ke Daftar Isi (00_DAFTAR_ISI)</t>
        </is>
      </c>
      <c r="G2" s="3" t="inlineStr">
        <is>
          <t>🔑 Ke Kunci Jawaban (Sheet Akhir)</t>
        </is>
      </c>
    </row>
    <row r="4" ht="24" customHeight="1">
      <c r="B4" s="13" t="inlineStr">
        <is>
          <t>1️⃣ IDENTITAS RUMUS &amp; FUNGSINYA BUAT APA? (LOGINV)</t>
        </is>
      </c>
    </row>
    <row r="5" ht="21" customHeight="1">
      <c r="B5" s="14" t="inlineStr">
        <is>
          <t>Nama Rumus Excel</t>
        </is>
      </c>
      <c r="C5" s="15">
        <f>LOGINV(...)</f>
        <v/>
      </c>
      <c r="D5" s="5" t="n"/>
      <c r="E5" s="5" t="n"/>
      <c r="F5" s="5" t="n"/>
      <c r="G5" s="5" t="n"/>
    </row>
    <row r="6" ht="21" customHeight="1">
      <c r="B6" s="14" t="inlineStr">
        <is>
          <t>Sintaks / Pola Umum</t>
        </is>
      </c>
      <c r="C6" s="15">
        <f>LOGNORM.INV(probabilitas, mean, standard_dev)</f>
        <v/>
      </c>
      <c r="D6" s="5" t="n"/>
      <c r="E6" s="5" t="n"/>
      <c r="F6" s="5" t="n"/>
      <c r="G6" s="5" t="n"/>
    </row>
    <row r="7" ht="26" customHeight="1">
      <c r="B7" s="14" t="inlineStr">
        <is>
          <t>👶 Fungsinya Buat Apa?</t>
        </is>
      </c>
      <c r="C7" s="16" t="inlineStr">
        <is>
          <t>Menghasilkan invers dari distribusi lognormal kumulatif.</t>
        </is>
      </c>
      <c r="D7" s="5" t="n"/>
      <c r="E7" s="5" t="n"/>
      <c r="F7" s="5" t="n"/>
      <c r="G7" s="5" t="n"/>
    </row>
    <row r="9" ht="24" customHeight="1">
      <c r="B9" s="17" t="inlineStr">
        <is>
          <t>2️⃣ 1 CONTOH SOAL &amp; CONTOH JAWABAN BENAR (PELAJARI POLA RUMUS LOGINV DI SINI)</t>
        </is>
      </c>
    </row>
    <row r="10">
      <c r="B10" s="18" t="inlineStr">
        <is>
          <t>Nama Parameter</t>
        </is>
      </c>
      <c r="C10" s="18" t="inlineStr">
        <is>
          <t>Nilai Parameter</t>
        </is>
      </c>
      <c r="E10" s="18" t="inlineStr">
        <is>
          <t>✅ 1 CONTOH SOAL BESERTA CONTOH RUMUS &amp; HASIL JAWABAN BENAR:</t>
        </is>
      </c>
      <c r="F10" s="5" t="n"/>
      <c r="G10" s="5" t="n"/>
    </row>
    <row r="11" ht="28" customHeight="1">
      <c r="B11" s="19" t="inlineStr">
        <is>
          <t>Probabilitas (C11)</t>
        </is>
      </c>
      <c r="C11" s="19" t="n">
        <v>0.75</v>
      </c>
      <c r="E11" s="20" t="inlineStr">
        <is>
          <t>Contoh Soal:</t>
        </is>
      </c>
      <c r="F11" s="21" t="inlineStr">
        <is>
          <t>Hitung nilai invers distribusi menggunakan fungsi LOGNORM.INV dengan argumen berurutan C11, C12, dan C13!</t>
        </is>
      </c>
      <c r="G11" s="5" t="n"/>
    </row>
    <row r="12">
      <c r="B12" s="19" t="inlineStr">
        <is>
          <t>Parameter 1 / Mean (C12)</t>
        </is>
      </c>
      <c r="C12" s="19" t="n">
        <v>10</v>
      </c>
      <c r="E12" s="20" t="inlineStr">
        <is>
          <t>Contoh Rumus Benar:</t>
        </is>
      </c>
      <c r="F12" s="22" t="inlineStr">
        <is>
          <t>'=LOGNORM.INV(C11, C12, C13)</t>
        </is>
      </c>
      <c r="G12" s="5" t="n"/>
    </row>
    <row r="13">
      <c r="B13" s="19" t="inlineStr">
        <is>
          <t>Parameter 2 / SD (C13)</t>
        </is>
      </c>
      <c r="C13" s="19" t="n">
        <v>2</v>
      </c>
      <c r="E13" s="20" t="inlineStr">
        <is>
          <t>Contoh Hasil Benar:</t>
        </is>
      </c>
      <c r="F13" s="23">
        <f>LOGNORM.INV(C11, C12, C13)</f>
        <v/>
      </c>
      <c r="G13" s="5" t="n"/>
    </row>
    <row r="14">
      <c r="B14" s="19" t="inlineStr">
        <is>
          <t>Cadangan</t>
        </is>
      </c>
      <c r="C14" s="19" t="n">
        <v>1</v>
      </c>
    </row>
    <row r="16" ht="26" customHeight="1">
      <c r="B16" s="24" t="inlineStr">
        <is>
          <t>3️⃣ 5 SOAL TES DUNIA NYATA — KERJAKAN DI KOTAK KUNING (TANPA KUNCI RUMUS / HASIL DI SINI!)</t>
        </is>
      </c>
    </row>
    <row r="17" ht="20" customHeight="1">
      <c r="B17" s="25" t="inlineStr">
        <is>
          <t>📌 Catatan Tes: Soal Tes #1 s/d #5 di bawah ini tidak menampilkan kunci rumus maupun hasil. Kunci jawaban lengkap tersedia di sheet paling terakhir (99_KUNCI_JAWABAN).</t>
        </is>
      </c>
    </row>
    <row r="19" ht="22" customHeight="1">
      <c r="B19" s="26" t="inlineStr">
        <is>
          <t>📝 SOAL TES #1: Kasus Keuangan &amp; Akuntansi Kantor</t>
        </is>
      </c>
    </row>
    <row r="20" ht="30" customHeight="1">
      <c r="B20" s="14" t="inlineStr">
        <is>
          <t>Nama Parameter</t>
        </is>
      </c>
      <c r="C20" s="14" t="inlineStr">
        <is>
          <t>Nilai Parameter</t>
        </is>
      </c>
      <c r="E20" s="27" t="inlineStr">
        <is>
          <t>Persoalan Tes #1: Hitung nilai invers distribusi menggunakan fungsi LOGNORM.INV dengan argumen berurutan C21, C22, dan C23!</t>
        </is>
      </c>
    </row>
    <row r="21">
      <c r="B21" s="19" t="inlineStr">
        <is>
          <t>Probabilitas (C21)</t>
        </is>
      </c>
      <c r="C21" s="19" t="n">
        <v>0.25</v>
      </c>
      <c r="E21" s="14" t="inlineStr">
        <is>
          <t>✏️ KETIK RUMUS JAWABAN TES DI BAWAH:</t>
        </is>
      </c>
      <c r="F21" s="14" t="inlineStr">
        <is>
          <t>📌 STATUS KOREKSI JAWABAN TES:</t>
        </is>
      </c>
      <c r="G21" s="5" t="n"/>
    </row>
    <row r="22" ht="26" customHeight="1">
      <c r="B22" s="19" t="inlineStr">
        <is>
          <t>Parameter 1 / Mean (C22)</t>
        </is>
      </c>
      <c r="C22" s="19" t="n">
        <v>10</v>
      </c>
      <c r="E22" s="28" t="n"/>
      <c r="F22" s="29">
        <f>IF(ISBLANK(E22), "⏳ Belum Diisi (Ketik Rumus di Sel Kuning E22)", IF(E22='99_KUNCI_JAWABAN'!F240, "✅ BENAR! JAWABAN TES TEPAT!", "❌ Belum Tepat (Cek Sheet Akhir: 99_KUNCI_JAWABAN)"))</f>
        <v/>
      </c>
      <c r="G22" s="5" t="n"/>
    </row>
    <row r="23">
      <c r="B23" s="19" t="inlineStr">
        <is>
          <t>Parameter 2 / SD (C23)</t>
        </is>
      </c>
      <c r="C23" s="19" t="n">
        <v>2</v>
      </c>
    </row>
    <row r="24">
      <c r="B24" s="19" t="inlineStr">
        <is>
          <t>Cadangan</t>
        </is>
      </c>
      <c r="C24" s="19" t="n">
        <v>1</v>
      </c>
    </row>
    <row r="27" ht="22" customHeight="1">
      <c r="B27" s="26" t="inlineStr">
        <is>
          <t>📝 SOAL TES #2: Kasus HRD, Gaji &amp; Lembur Karyawan</t>
        </is>
      </c>
    </row>
    <row r="28" ht="30" customHeight="1">
      <c r="B28" s="14" t="inlineStr">
        <is>
          <t>Nama Parameter</t>
        </is>
      </c>
      <c r="C28" s="14" t="inlineStr">
        <is>
          <t>Nilai Parameter</t>
        </is>
      </c>
      <c r="E28" s="27" t="inlineStr">
        <is>
          <t>Persoalan Tes #2: Hitung nilai invers distribusi menggunakan fungsi LOGNORM.INV dengan argumen berurutan C29, C30, dan C31!</t>
        </is>
      </c>
    </row>
    <row r="29">
      <c r="B29" s="19" t="inlineStr">
        <is>
          <t>Probabilitas (C29)</t>
        </is>
      </c>
      <c r="C29" s="19" t="n">
        <v>0.35</v>
      </c>
      <c r="E29" s="14" t="inlineStr">
        <is>
          <t>✏️ KETIK RUMUS JAWABAN TES DI BAWAH:</t>
        </is>
      </c>
      <c r="F29" s="14" t="inlineStr">
        <is>
          <t>📌 STATUS KOREKSI JAWABAN TES:</t>
        </is>
      </c>
      <c r="G29" s="5" t="n"/>
    </row>
    <row r="30" ht="26" customHeight="1">
      <c r="B30" s="19" t="inlineStr">
        <is>
          <t>Parameter 1 / Mean (C30)</t>
        </is>
      </c>
      <c r="C30" s="19" t="n">
        <v>10</v>
      </c>
      <c r="E30" s="28" t="n"/>
      <c r="F30" s="29">
        <f>IF(ISBLANK(E30), "⏳ Belum Diisi (Ketik Rumus di Sel Kuning E30)", IF(E30='99_KUNCI_JAWABAN'!F241, "✅ BENAR! JAWABAN TES TEPAT!", "❌ Belum Tepat (Cek Sheet Akhir: 99_KUNCI_JAWABAN)"))</f>
        <v/>
      </c>
      <c r="G30" s="5" t="n"/>
    </row>
    <row r="31">
      <c r="B31" s="19" t="inlineStr">
        <is>
          <t>Parameter 2 / SD (C31)</t>
        </is>
      </c>
      <c r="C31" s="19" t="n">
        <v>2</v>
      </c>
    </row>
    <row r="32">
      <c r="B32" s="19" t="inlineStr">
        <is>
          <t>Cadangan</t>
        </is>
      </c>
      <c r="C32" s="19" t="n">
        <v>1</v>
      </c>
    </row>
    <row r="35" ht="22" customHeight="1">
      <c r="B35" s="26" t="inlineStr">
        <is>
          <t>📝 SOAL TES #3: Kasus Logistik &amp; Stok Gudang Utama</t>
        </is>
      </c>
    </row>
    <row r="36" ht="30" customHeight="1">
      <c r="B36" s="14" t="inlineStr">
        <is>
          <t>Nama Parameter</t>
        </is>
      </c>
      <c r="C36" s="14" t="inlineStr">
        <is>
          <t>Nilai Parameter</t>
        </is>
      </c>
      <c r="E36" s="27" t="inlineStr">
        <is>
          <t>Persoalan Tes #3: Hitung nilai invers distribusi menggunakan fungsi LOGNORM.INV dengan argumen berurutan C37, C38, dan C39!</t>
        </is>
      </c>
    </row>
    <row r="37">
      <c r="B37" s="19" t="inlineStr">
        <is>
          <t>Probabilitas (C37)</t>
        </is>
      </c>
      <c r="C37" s="19" t="n">
        <v>0.45</v>
      </c>
      <c r="E37" s="14" t="inlineStr">
        <is>
          <t>✏️ KETIK RUMUS JAWABAN TES DI BAWAH:</t>
        </is>
      </c>
      <c r="F37" s="14" t="inlineStr">
        <is>
          <t>📌 STATUS KOREKSI JAWABAN TES:</t>
        </is>
      </c>
      <c r="G37" s="5" t="n"/>
    </row>
    <row r="38" ht="26" customHeight="1">
      <c r="B38" s="19" t="inlineStr">
        <is>
          <t>Parameter 1 / Mean (C38)</t>
        </is>
      </c>
      <c r="C38" s="19" t="n">
        <v>10</v>
      </c>
      <c r="E38" s="28" t="n"/>
      <c r="F38" s="29">
        <f>IF(ISBLANK(E38), "⏳ Belum Diisi (Ketik Rumus di Sel Kuning E38)", IF(E38='99_KUNCI_JAWABAN'!F242, "✅ BENAR! JAWABAN TES TEPAT!", "❌ Belum Tepat (Cek Sheet Akhir: 99_KUNCI_JAWABAN)"))</f>
        <v/>
      </c>
      <c r="G38" s="5" t="n"/>
    </row>
    <row r="39">
      <c r="B39" s="19" t="inlineStr">
        <is>
          <t>Parameter 2 / SD (C39)</t>
        </is>
      </c>
      <c r="C39" s="19" t="n">
        <v>2</v>
      </c>
    </row>
    <row r="40">
      <c r="B40" s="19" t="inlineStr">
        <is>
          <t>Cadangan</t>
        </is>
      </c>
      <c r="C40" s="19" t="n">
        <v>1</v>
      </c>
    </row>
    <row r="43" ht="22" customHeight="1">
      <c r="B43" s="26" t="inlineStr">
        <is>
          <t>📝 SOAL TES #4: Kasus Penjualan Retail &amp; Target Toko</t>
        </is>
      </c>
    </row>
    <row r="44" ht="30" customHeight="1">
      <c r="B44" s="14" t="inlineStr">
        <is>
          <t>Nama Parameter</t>
        </is>
      </c>
      <c r="C44" s="14" t="inlineStr">
        <is>
          <t>Nilai Parameter</t>
        </is>
      </c>
      <c r="E44" s="27" t="inlineStr">
        <is>
          <t>Persoalan Tes #4: Hitung nilai invers distribusi menggunakan fungsi LOGNORM.INV dengan argumen berurutan C45, C46, dan C47!</t>
        </is>
      </c>
    </row>
    <row r="45">
      <c r="B45" s="19" t="inlineStr">
        <is>
          <t>Probabilitas (C45)</t>
        </is>
      </c>
      <c r="C45" s="19" t="n">
        <v>0.55</v>
      </c>
      <c r="E45" s="14" t="inlineStr">
        <is>
          <t>✏️ KETIK RUMUS JAWABAN TES DI BAWAH:</t>
        </is>
      </c>
      <c r="F45" s="14" t="inlineStr">
        <is>
          <t>📌 STATUS KOREKSI JAWABAN TES:</t>
        </is>
      </c>
      <c r="G45" s="5" t="n"/>
    </row>
    <row r="46" ht="26" customHeight="1">
      <c r="B46" s="19" t="inlineStr">
        <is>
          <t>Parameter 1 / Mean (C46)</t>
        </is>
      </c>
      <c r="C46" s="19" t="n">
        <v>10</v>
      </c>
      <c r="E46" s="28" t="n"/>
      <c r="F46" s="29">
        <f>IF(ISBLANK(E46), "⏳ Belum Diisi (Ketik Rumus di Sel Kuning E46)", IF(E46='99_KUNCI_JAWABAN'!F243, "✅ BENAR! JAWABAN TES TEPAT!", "❌ Belum Tepat (Cek Sheet Akhir: 99_KUNCI_JAWABAN)"))</f>
        <v/>
      </c>
      <c r="G46" s="5" t="n"/>
    </row>
    <row r="47">
      <c r="B47" s="19" t="inlineStr">
        <is>
          <t>Parameter 2 / SD (C47)</t>
        </is>
      </c>
      <c r="C47" s="19" t="n">
        <v>2</v>
      </c>
    </row>
    <row r="48">
      <c r="B48" s="19" t="inlineStr">
        <is>
          <t>Cadangan</t>
        </is>
      </c>
      <c r="C48" s="19" t="n">
        <v>1</v>
      </c>
    </row>
    <row r="51" ht="22" customHeight="1">
      <c r="B51" s="26" t="inlineStr">
        <is>
          <t>📝 SOAL TES #5: Kasus Akademik Sekolah &amp; Layanan Publik</t>
        </is>
      </c>
    </row>
    <row r="52" ht="30" customHeight="1">
      <c r="B52" s="14" t="inlineStr">
        <is>
          <t>Nama Parameter</t>
        </is>
      </c>
      <c r="C52" s="14" t="inlineStr">
        <is>
          <t>Nilai Parameter</t>
        </is>
      </c>
      <c r="E52" s="27" t="inlineStr">
        <is>
          <t>Persoalan Tes #5: Hitung nilai invers distribusi menggunakan fungsi LOGNORM.INV dengan argumen berurutan C53, C54, dan C55!</t>
        </is>
      </c>
    </row>
    <row r="53">
      <c r="B53" s="19" t="inlineStr">
        <is>
          <t>Probabilitas (C53)</t>
        </is>
      </c>
      <c r="C53" s="19" t="n">
        <v>0.65</v>
      </c>
      <c r="E53" s="14" t="inlineStr">
        <is>
          <t>✏️ KETIK RUMUS JAWABAN TES DI BAWAH:</t>
        </is>
      </c>
      <c r="F53" s="14" t="inlineStr">
        <is>
          <t>📌 STATUS KOREKSI JAWABAN TES:</t>
        </is>
      </c>
      <c r="G53" s="5" t="n"/>
    </row>
    <row r="54" ht="26" customHeight="1">
      <c r="B54" s="19" t="inlineStr">
        <is>
          <t>Parameter 1 / Mean (C54)</t>
        </is>
      </c>
      <c r="C54" s="19" t="n">
        <v>10</v>
      </c>
      <c r="E54" s="28" t="n"/>
      <c r="F54" s="29">
        <f>IF(ISBLANK(E54), "⏳ Belum Diisi (Ketik Rumus di Sel Kuning E54)", IF(E54='99_KUNCI_JAWABAN'!F244, "✅ BENAR! JAWABAN TES TEPAT!", "❌ Belum Tepat (Cek Sheet Akhir: 99_KUNCI_JAWABAN)"))</f>
        <v/>
      </c>
      <c r="G54" s="5" t="n"/>
    </row>
    <row r="55">
      <c r="B55" s="19" t="inlineStr">
        <is>
          <t>Parameter 2 / SD (C55)</t>
        </is>
      </c>
      <c r="C55" s="19" t="n">
        <v>2</v>
      </c>
    </row>
    <row r="56">
      <c r="B56" s="19" t="inlineStr">
        <is>
          <t>Cadangan</t>
        </is>
      </c>
      <c r="C56" s="19" t="n">
        <v>1</v>
      </c>
    </row>
  </sheetData>
  <mergeCells count="33">
    <mergeCell ref="E10:G10"/>
    <mergeCell ref="F11:G11"/>
    <mergeCell ref="E28:G28"/>
    <mergeCell ref="F29:G29"/>
    <mergeCell ref="C6:G6"/>
    <mergeCell ref="F54:G54"/>
    <mergeCell ref="B17:G17"/>
    <mergeCell ref="B1:G1"/>
    <mergeCell ref="C5:G5"/>
    <mergeCell ref="B19:G19"/>
    <mergeCell ref="F21:G21"/>
    <mergeCell ref="F12:G12"/>
    <mergeCell ref="F30:G30"/>
    <mergeCell ref="E36:G36"/>
    <mergeCell ref="B9:G9"/>
    <mergeCell ref="F45:G45"/>
    <mergeCell ref="B51:G51"/>
    <mergeCell ref="F38:G38"/>
    <mergeCell ref="B35:G35"/>
    <mergeCell ref="B4:G4"/>
    <mergeCell ref="F46:G46"/>
    <mergeCell ref="F22:G22"/>
    <mergeCell ref="B2:E2"/>
    <mergeCell ref="F13:G13"/>
    <mergeCell ref="B16:G16"/>
    <mergeCell ref="F37:G37"/>
    <mergeCell ref="C7:G7"/>
    <mergeCell ref="E52:G52"/>
    <mergeCell ref="B27:G27"/>
    <mergeCell ref="B43:G43"/>
    <mergeCell ref="E44:G44"/>
    <mergeCell ref="E20:G20"/>
    <mergeCell ref="F53:G53"/>
  </mergeCells>
  <hyperlinks>
    <hyperlink xmlns:r="http://schemas.openxmlformats.org/officeDocument/2006/relationships" ref="F2" r:id="rId1"/>
    <hyperlink xmlns:r="http://schemas.openxmlformats.org/officeDocument/2006/relationships" ref="G2" r:id="rId2"/>
  </hyperlinks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B1:G56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22" customWidth="1" min="3" max="3"/>
    <col width="4" customWidth="1" min="4" max="4"/>
    <col width="34" customWidth="1" min="5" max="5"/>
    <col width="44" customWidth="1" min="6" max="6"/>
    <col width="28" customWidth="1" min="7" max="7"/>
  </cols>
  <sheetData>
    <row r="1" ht="30" customHeight="1">
      <c r="B1" s="10" t="inlineStr">
        <is>
          <t>📊 #049 — RUMUS EXCEL: MAX   |   Kategori: 8. Statistik &amp; Analisis Data</t>
        </is>
      </c>
    </row>
    <row r="2" ht="22" customHeight="1">
      <c r="B2" s="11" t="inlineStr">
        <is>
          <t>1 Rumus = 1 Contoh Soal + Jawaban Benar &amp; 5 Soal Tes Mandiri (Kunci Jawaban Ada di Sheet Paling Terakhir)</t>
        </is>
      </c>
      <c r="F2" s="12" t="inlineStr">
        <is>
          <t>⬅️ Ke Daftar Isi (00_DAFTAR_ISI)</t>
        </is>
      </c>
      <c r="G2" s="3" t="inlineStr">
        <is>
          <t>🔑 Ke Kunci Jawaban (Sheet Akhir)</t>
        </is>
      </c>
    </row>
    <row r="4" ht="24" customHeight="1">
      <c r="B4" s="13" t="inlineStr">
        <is>
          <t>1️⃣ IDENTITAS RUMUS &amp; FUNGSINYA BUAT APA? (MAX)</t>
        </is>
      </c>
    </row>
    <row r="5" ht="21" customHeight="1">
      <c r="B5" s="14" t="inlineStr">
        <is>
          <t>Nama Rumus Excel</t>
        </is>
      </c>
      <c r="C5" s="15">
        <f>MAX(...)</f>
        <v/>
      </c>
      <c r="D5" s="5" t="n"/>
      <c r="E5" s="5" t="n"/>
      <c r="F5" s="5" t="n"/>
      <c r="G5" s="5" t="n"/>
    </row>
    <row r="6" ht="21" customHeight="1">
      <c r="B6" s="14" t="inlineStr">
        <is>
          <t>Sintaks / Pola Umum</t>
        </is>
      </c>
      <c r="C6" s="15">
        <f>MAX(range_data)</f>
        <v/>
      </c>
      <c r="D6" s="5" t="n"/>
      <c r="E6" s="5" t="n"/>
      <c r="F6" s="5" t="n"/>
      <c r="G6" s="5" t="n"/>
    </row>
    <row r="7" ht="26" customHeight="1">
      <c r="B7" s="14" t="inlineStr">
        <is>
          <t>👶 Fungsinya Buat Apa?</t>
        </is>
      </c>
      <c r="C7" s="16" t="inlineStr">
        <is>
          <t>Mencari nilai PALING TINGGI (Maksimum / Rekor Juara 1) dari sekumpulan data.</t>
        </is>
      </c>
      <c r="D7" s="5" t="n"/>
      <c r="E7" s="5" t="n"/>
      <c r="F7" s="5" t="n"/>
      <c r="G7" s="5" t="n"/>
    </row>
    <row r="9" ht="24" customHeight="1">
      <c r="B9" s="17" t="inlineStr">
        <is>
          <t>2️⃣ 1 CONTOH SOAL &amp; CONTOH JAWABAN BENAR (PELAJARI POLA RUMUS MAX DI SINI)</t>
        </is>
      </c>
    </row>
    <row r="10">
      <c r="B10" s="18" t="inlineStr">
        <is>
          <t>Nama Unit / Kategori</t>
        </is>
      </c>
      <c r="C10" s="18" t="inlineStr">
        <is>
          <t>Nilai Data</t>
        </is>
      </c>
      <c r="E10" s="18" t="inlineStr">
        <is>
          <t>✅ 1 CONTOH SOAL BESERTA CONTOH RUMUS &amp; HASIL JAWABAN BENAR:</t>
        </is>
      </c>
      <c r="F10" s="5" t="n"/>
      <c r="G10" s="5" t="n"/>
    </row>
    <row r="11" ht="28" customHeight="1">
      <c r="B11" s="19" t="inlineStr">
        <is>
          <t>Simulasi Unit A</t>
        </is>
      </c>
      <c r="C11" s="19" t="n">
        <v>500000</v>
      </c>
      <c r="E11" s="20" t="inlineStr">
        <is>
          <t>Contoh Soal:</t>
        </is>
      </c>
      <c r="F11" s="21" t="inlineStr">
        <is>
          <t>Hitung hasil pengolahan fungsi MAX untuk keempat baris data pada rentang C11:C14!</t>
        </is>
      </c>
      <c r="G11" s="5" t="n"/>
    </row>
    <row r="12">
      <c r="B12" s="19" t="inlineStr">
        <is>
          <t>Simulasi Unit B</t>
        </is>
      </c>
      <c r="C12" s="19" t="n">
        <v>750000</v>
      </c>
      <c r="E12" s="20" t="inlineStr">
        <is>
          <t>Contoh Rumus Benar:</t>
        </is>
      </c>
      <c r="F12" s="22" t="inlineStr">
        <is>
          <t>'=MAX(C11:C14)</t>
        </is>
      </c>
      <c r="G12" s="5" t="n"/>
    </row>
    <row r="13">
      <c r="B13" s="19" t="inlineStr">
        <is>
          <t>Simulasi Unit C</t>
        </is>
      </c>
      <c r="C13" s="19" t="n">
        <v>600000</v>
      </c>
      <c r="E13" s="20" t="inlineStr">
        <is>
          <t>Contoh Hasil Benar:</t>
        </is>
      </c>
      <c r="F13" s="23">
        <f>MAX(C11:C14)</f>
        <v/>
      </c>
      <c r="G13" s="5" t="n"/>
    </row>
    <row r="14">
      <c r="B14" s="19" t="inlineStr">
        <is>
          <t>Simulasi Unit D</t>
        </is>
      </c>
      <c r="C14" s="19" t="n">
        <v>950000</v>
      </c>
    </row>
    <row r="16" ht="26" customHeight="1">
      <c r="B16" s="24" t="inlineStr">
        <is>
          <t>3️⃣ 5 SOAL TES DUNIA NYATA — KERJAKAN DI KOTAK KUNING (TANPA KUNCI RUMUS / HASIL DI SINI!)</t>
        </is>
      </c>
    </row>
    <row r="17" ht="20" customHeight="1">
      <c r="B17" s="25" t="inlineStr">
        <is>
          <t>📌 Catatan Tes: Soal Tes #1 s/d #5 di bawah ini tidak menampilkan kunci rumus maupun hasil. Kunci jawaban lengkap tersedia di sheet paling terakhir (99_KUNCI_JAWABAN).</t>
        </is>
      </c>
    </row>
    <row r="19" ht="22" customHeight="1">
      <c r="B19" s="26" t="inlineStr">
        <is>
          <t>📝 SOAL TES #1: Kasus Keuangan &amp; Akuntansi Kantor</t>
        </is>
      </c>
    </row>
    <row r="20" ht="30" customHeight="1">
      <c r="B20" s="14" t="inlineStr">
        <is>
          <t>Nama Unit / Kategori</t>
        </is>
      </c>
      <c r="C20" s="14" t="inlineStr">
        <is>
          <t>Nilai Data</t>
        </is>
      </c>
      <c r="E20" s="27" t="inlineStr">
        <is>
          <t>Persoalan Tes #1: Hitung hasil pengolahan fungsi MAX untuk keempat baris data pada rentang C21:C24!</t>
        </is>
      </c>
    </row>
    <row r="21">
      <c r="B21" s="19" t="inlineStr">
        <is>
          <t>Cabang Jakarta</t>
        </is>
      </c>
      <c r="C21" s="19" t="n">
        <v>1250000</v>
      </c>
      <c r="E21" s="14" t="inlineStr">
        <is>
          <t>✏️ KETIK RUMUS JAWABAN TES DI BAWAH:</t>
        </is>
      </c>
      <c r="F21" s="14" t="inlineStr">
        <is>
          <t>📌 STATUS KOREKSI JAWABAN TES:</t>
        </is>
      </c>
      <c r="G21" s="5" t="n"/>
    </row>
    <row r="22" ht="26" customHeight="1">
      <c r="B22" s="19" t="inlineStr">
        <is>
          <t>Cabang Bandung</t>
        </is>
      </c>
      <c r="C22" s="19" t="n">
        <v>1850000</v>
      </c>
      <c r="E22" s="28" t="n"/>
      <c r="F22" s="29">
        <f>IF(ISBLANK(E22), "⏳ Belum Diisi (Ketik Rumus di Sel Kuning E22)", IF(E22='99_KUNCI_JAWABAN'!F245, "✅ BENAR! JAWABAN TES TEPAT!", "❌ Belum Tepat (Cek Sheet Akhir: 99_KUNCI_JAWABAN)"))</f>
        <v/>
      </c>
      <c r="G22" s="5" t="n"/>
    </row>
    <row r="23">
      <c r="B23" s="19" t="inlineStr">
        <is>
          <t>Cabang Surabaya</t>
        </is>
      </c>
      <c r="C23" s="19" t="n">
        <v>2100000</v>
      </c>
    </row>
    <row r="24">
      <c r="B24" s="19" t="inlineStr">
        <is>
          <t>Cabang Medan</t>
        </is>
      </c>
      <c r="C24" s="19" t="n">
        <v>1600000</v>
      </c>
    </row>
    <row r="27" ht="22" customHeight="1">
      <c r="B27" s="26" t="inlineStr">
        <is>
          <t>📝 SOAL TES #2: Kasus HRD, Gaji &amp; Lembur Karyawan</t>
        </is>
      </c>
    </row>
    <row r="28" ht="30" customHeight="1">
      <c r="B28" s="14" t="inlineStr">
        <is>
          <t>Nama Unit / Kategori</t>
        </is>
      </c>
      <c r="C28" s="14" t="inlineStr">
        <is>
          <t>Nilai Data</t>
        </is>
      </c>
      <c r="E28" s="27" t="inlineStr">
        <is>
          <t>Persoalan Tes #2: Hitung hasil pengolahan fungsi MAX untuk keempat baris data pada rentang C29:C32!</t>
        </is>
      </c>
    </row>
    <row r="29">
      <c r="B29" s="19" t="inlineStr">
        <is>
          <t>Budi Santoso</t>
        </is>
      </c>
      <c r="C29" s="19" t="n">
        <v>4500000</v>
      </c>
      <c r="E29" s="14" t="inlineStr">
        <is>
          <t>✏️ KETIK RUMUS JAWABAN TES DI BAWAH:</t>
        </is>
      </c>
      <c r="F29" s="14" t="inlineStr">
        <is>
          <t>📌 STATUS KOREKSI JAWABAN TES:</t>
        </is>
      </c>
      <c r="G29" s="5" t="n"/>
    </row>
    <row r="30" ht="26" customHeight="1">
      <c r="B30" s="19" t="inlineStr">
        <is>
          <t>Siti Aminah</t>
        </is>
      </c>
      <c r="C30" s="19" t="n">
        <v>5200000</v>
      </c>
      <c r="E30" s="28" t="n"/>
      <c r="F30" s="29">
        <f>IF(ISBLANK(E30), "⏳ Belum Diisi (Ketik Rumus di Sel Kuning E30)", IF(E30='99_KUNCI_JAWABAN'!F246, "✅ BENAR! JAWABAN TES TEPAT!", "❌ Belum Tepat (Cek Sheet Akhir: 99_KUNCI_JAWABAN)"))</f>
        <v/>
      </c>
      <c r="G30" s="5" t="n"/>
    </row>
    <row r="31">
      <c r="B31" s="19" t="inlineStr">
        <is>
          <t>Andi Pratama</t>
        </is>
      </c>
      <c r="C31" s="19" t="n">
        <v>4800000</v>
      </c>
    </row>
    <row r="32">
      <c r="B32" s="19" t="inlineStr">
        <is>
          <t>Rina Wijaya</t>
        </is>
      </c>
      <c r="C32" s="19" t="n">
        <v>6100000</v>
      </c>
    </row>
    <row r="35" ht="22" customHeight="1">
      <c r="B35" s="26" t="inlineStr">
        <is>
          <t>📝 SOAL TES #3: Kasus Logistik &amp; Stok Gudang Utama</t>
        </is>
      </c>
    </row>
    <row r="36" ht="30" customHeight="1">
      <c r="B36" s="14" t="inlineStr">
        <is>
          <t>Nama Unit / Kategori</t>
        </is>
      </c>
      <c r="C36" s="14" t="inlineStr">
        <is>
          <t>Nilai Data</t>
        </is>
      </c>
      <c r="E36" s="27" t="inlineStr">
        <is>
          <t>Persoalan Tes #3: Hitung hasil pengolahan fungsi MAX untuk keempat baris data pada rentang C37:C40!</t>
        </is>
      </c>
    </row>
    <row r="37">
      <c r="B37" s="19" t="inlineStr">
        <is>
          <t>Gudang Blok A</t>
        </is>
      </c>
      <c r="C37" s="19" t="n">
        <v>240</v>
      </c>
      <c r="E37" s="14" t="inlineStr">
        <is>
          <t>✏️ KETIK RUMUS JAWABAN TES DI BAWAH:</t>
        </is>
      </c>
      <c r="F37" s="14" t="inlineStr">
        <is>
          <t>📌 STATUS KOREKSI JAWABAN TES:</t>
        </is>
      </c>
      <c r="G37" s="5" t="n"/>
    </row>
    <row r="38" ht="26" customHeight="1">
      <c r="B38" s="19" t="inlineStr">
        <is>
          <t>Gudang Blok B</t>
        </is>
      </c>
      <c r="C38" s="19" t="n">
        <v>380</v>
      </c>
      <c r="E38" s="28" t="n"/>
      <c r="F38" s="29">
        <f>IF(ISBLANK(E38), "⏳ Belum Diisi (Ketik Rumus di Sel Kuning E38)", IF(E38='99_KUNCI_JAWABAN'!F247, "✅ BENAR! JAWABAN TES TEPAT!", "❌ Belum Tepat (Cek Sheet Akhir: 99_KUNCI_JAWABAN)"))</f>
        <v/>
      </c>
      <c r="G38" s="5" t="n"/>
    </row>
    <row r="39">
      <c r="B39" s="19" t="inlineStr">
        <is>
          <t>Gudang Blok C</t>
        </is>
      </c>
      <c r="C39" s="19" t="n">
        <v>195</v>
      </c>
    </row>
    <row r="40">
      <c r="B40" s="19" t="inlineStr">
        <is>
          <t>Gudang Blok D</t>
        </is>
      </c>
      <c r="C40" s="19" t="n">
        <v>425</v>
      </c>
    </row>
    <row r="43" ht="22" customHeight="1">
      <c r="B43" s="26" t="inlineStr">
        <is>
          <t>📝 SOAL TES #4: Kasus Penjualan Retail &amp; Target Toko</t>
        </is>
      </c>
    </row>
    <row r="44" ht="30" customHeight="1">
      <c r="B44" s="14" t="inlineStr">
        <is>
          <t>Nama Unit / Kategori</t>
        </is>
      </c>
      <c r="C44" s="14" t="inlineStr">
        <is>
          <t>Nilai Data</t>
        </is>
      </c>
      <c r="E44" s="27" t="inlineStr">
        <is>
          <t>Persoalan Tes #4: Hitung hasil pengolahan fungsi MAX untuk keempat baris data pada rentang C45:C48!</t>
        </is>
      </c>
    </row>
    <row r="45">
      <c r="B45" s="19" t="inlineStr">
        <is>
          <t>Toko Elektronik</t>
        </is>
      </c>
      <c r="C45" s="19" t="n">
        <v>85</v>
      </c>
      <c r="E45" s="14" t="inlineStr">
        <is>
          <t>✏️ KETIK RUMUS JAWABAN TES DI BAWAH:</t>
        </is>
      </c>
      <c r="F45" s="14" t="inlineStr">
        <is>
          <t>📌 STATUS KOREKSI JAWABAN TES:</t>
        </is>
      </c>
      <c r="G45" s="5" t="n"/>
    </row>
    <row r="46" ht="26" customHeight="1">
      <c r="B46" s="19" t="inlineStr">
        <is>
          <t>Toko Komputer</t>
        </is>
      </c>
      <c r="C46" s="19" t="n">
        <v>92</v>
      </c>
      <c r="E46" s="28" t="n"/>
      <c r="F46" s="29">
        <f>IF(ISBLANK(E46), "⏳ Belum Diisi (Ketik Rumus di Sel Kuning E46)", IF(E46='99_KUNCI_JAWABAN'!F248, "✅ BENAR! JAWABAN TES TEPAT!", "❌ Belum Tepat (Cek Sheet Akhir: 99_KUNCI_JAWABAN)"))</f>
        <v/>
      </c>
      <c r="G46" s="5" t="n"/>
    </row>
    <row r="47">
      <c r="B47" s="19" t="inlineStr">
        <is>
          <t>Toko Aksesoris</t>
        </is>
      </c>
      <c r="C47" s="19" t="n">
        <v>78</v>
      </c>
    </row>
    <row r="48">
      <c r="B48" s="19" t="inlineStr">
        <is>
          <t>Toko Servis</t>
        </is>
      </c>
      <c r="C48" s="19" t="n">
        <v>95</v>
      </c>
    </row>
    <row r="51" ht="22" customHeight="1">
      <c r="B51" s="26" t="inlineStr">
        <is>
          <t>📝 SOAL TES #5: Kasus Akademik Sekolah &amp; Layanan Publik</t>
        </is>
      </c>
    </row>
    <row r="52" ht="30" customHeight="1">
      <c r="B52" s="14" t="inlineStr">
        <is>
          <t>Nama Unit / Kategori</t>
        </is>
      </c>
      <c r="C52" s="14" t="inlineStr">
        <is>
          <t>Nilai Data</t>
        </is>
      </c>
      <c r="E52" s="27" t="inlineStr">
        <is>
          <t>Persoalan Tes #5: Hitung hasil pengolahan fungsi MAX untuk keempat baris data pada rentang C53:C56!</t>
        </is>
      </c>
    </row>
    <row r="53">
      <c r="B53" s="19" t="inlineStr">
        <is>
          <t>Kelas 10 IPA</t>
        </is>
      </c>
      <c r="C53" s="19" t="n">
        <v>82</v>
      </c>
      <c r="E53" s="14" t="inlineStr">
        <is>
          <t>✏️ KETIK RUMUS JAWABAN TES DI BAWAH:</t>
        </is>
      </c>
      <c r="F53" s="14" t="inlineStr">
        <is>
          <t>📌 STATUS KOREKSI JAWABAN TES:</t>
        </is>
      </c>
      <c r="G53" s="5" t="n"/>
    </row>
    <row r="54" ht="26" customHeight="1">
      <c r="B54" s="19" t="inlineStr">
        <is>
          <t>Kelas 11 IPA</t>
        </is>
      </c>
      <c r="C54" s="19" t="n">
        <v>88</v>
      </c>
      <c r="E54" s="28" t="n"/>
      <c r="F54" s="29">
        <f>IF(ISBLANK(E54), "⏳ Belum Diisi (Ketik Rumus di Sel Kuning E54)", IF(E54='99_KUNCI_JAWABAN'!F249, "✅ BENAR! JAWABAN TES TEPAT!", "❌ Belum Tepat (Cek Sheet Akhir: 99_KUNCI_JAWABAN)"))</f>
        <v/>
      </c>
      <c r="G54" s="5" t="n"/>
    </row>
    <row r="55">
      <c r="B55" s="19" t="inlineStr">
        <is>
          <t>Kelas 12 IPA</t>
        </is>
      </c>
      <c r="C55" s="19" t="n">
        <v>91</v>
      </c>
    </row>
    <row r="56">
      <c r="B56" s="19" t="inlineStr">
        <is>
          <t>Kelas Unggulan</t>
        </is>
      </c>
      <c r="C56" s="19" t="n">
        <v>79</v>
      </c>
    </row>
  </sheetData>
  <mergeCells count="33">
    <mergeCell ref="E10:G10"/>
    <mergeCell ref="F11:G11"/>
    <mergeCell ref="E28:G28"/>
    <mergeCell ref="F29:G29"/>
    <mergeCell ref="C6:G6"/>
    <mergeCell ref="F54:G54"/>
    <mergeCell ref="B17:G17"/>
    <mergeCell ref="B1:G1"/>
    <mergeCell ref="C5:G5"/>
    <mergeCell ref="B19:G19"/>
    <mergeCell ref="F21:G21"/>
    <mergeCell ref="F12:G12"/>
    <mergeCell ref="F30:G30"/>
    <mergeCell ref="E36:G36"/>
    <mergeCell ref="B9:G9"/>
    <mergeCell ref="F45:G45"/>
    <mergeCell ref="B51:G51"/>
    <mergeCell ref="F38:G38"/>
    <mergeCell ref="B35:G35"/>
    <mergeCell ref="B4:G4"/>
    <mergeCell ref="F46:G46"/>
    <mergeCell ref="F22:G22"/>
    <mergeCell ref="B2:E2"/>
    <mergeCell ref="F13:G13"/>
    <mergeCell ref="B16:G16"/>
    <mergeCell ref="F37:G37"/>
    <mergeCell ref="C7:G7"/>
    <mergeCell ref="E52:G52"/>
    <mergeCell ref="B27:G27"/>
    <mergeCell ref="B43:G43"/>
    <mergeCell ref="E44:G44"/>
    <mergeCell ref="E20:G20"/>
    <mergeCell ref="F53:G53"/>
  </mergeCells>
  <hyperlinks>
    <hyperlink xmlns:r="http://schemas.openxmlformats.org/officeDocument/2006/relationships" ref="F2" r:id="rId1"/>
    <hyperlink xmlns:r="http://schemas.openxmlformats.org/officeDocument/2006/relationships" ref="G2" r:id="rId2"/>
  </hyperlinks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B1:G56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22" customWidth="1" min="3" max="3"/>
    <col width="4" customWidth="1" min="4" max="4"/>
    <col width="34" customWidth="1" min="5" max="5"/>
    <col width="44" customWidth="1" min="6" max="6"/>
    <col width="28" customWidth="1" min="7" max="7"/>
  </cols>
  <sheetData>
    <row r="1" ht="30" customHeight="1">
      <c r="B1" s="10" t="inlineStr">
        <is>
          <t>📊 #050 — RUMUS EXCEL: MAXA   |   Kategori: 8. Statistik &amp; Analisis Data</t>
        </is>
      </c>
    </row>
    <row r="2" ht="22" customHeight="1">
      <c r="B2" s="11" t="inlineStr">
        <is>
          <t>1 Rumus = 1 Contoh Soal + Jawaban Benar &amp; 5 Soal Tes Mandiri (Kunci Jawaban Ada di Sheet Paling Terakhir)</t>
        </is>
      </c>
      <c r="F2" s="12" t="inlineStr">
        <is>
          <t>⬅️ Ke Daftar Isi (00_DAFTAR_ISI)</t>
        </is>
      </c>
      <c r="G2" s="3" t="inlineStr">
        <is>
          <t>🔑 Ke Kunci Jawaban (Sheet Akhir)</t>
        </is>
      </c>
    </row>
    <row r="4" ht="24" customHeight="1">
      <c r="B4" s="13" t="inlineStr">
        <is>
          <t>1️⃣ IDENTITAS RUMUS &amp; FUNGSINYA BUAT APA? (MAXA)</t>
        </is>
      </c>
    </row>
    <row r="5" ht="21" customHeight="1">
      <c r="B5" s="14" t="inlineStr">
        <is>
          <t>Nama Rumus Excel</t>
        </is>
      </c>
      <c r="C5" s="15">
        <f>MAXA(...)</f>
        <v/>
      </c>
      <c r="D5" s="5" t="n"/>
      <c r="E5" s="5" t="n"/>
      <c r="F5" s="5" t="n"/>
      <c r="G5" s="5" t="n"/>
    </row>
    <row r="6" ht="21" customHeight="1">
      <c r="B6" s="14" t="inlineStr">
        <is>
          <t>Sintaks / Pola Umum</t>
        </is>
      </c>
      <c r="C6" s="15">
        <f>MAXA(range_data)</f>
        <v/>
      </c>
      <c r="D6" s="5" t="n"/>
      <c r="E6" s="5" t="n"/>
      <c r="F6" s="5" t="n"/>
      <c r="G6" s="5" t="n"/>
    </row>
    <row r="7" ht="26" customHeight="1">
      <c r="B7" s="14" t="inlineStr">
        <is>
          <t>👶 Fungsinya Buat Apa?</t>
        </is>
      </c>
      <c r="C7" s="16" t="inlineStr">
        <is>
          <t>Mencari nilai maksimum dengan menyertakan nilai logika dan teks.</t>
        </is>
      </c>
      <c r="D7" s="5" t="n"/>
      <c r="E7" s="5" t="n"/>
      <c r="F7" s="5" t="n"/>
      <c r="G7" s="5" t="n"/>
    </row>
    <row r="9" ht="24" customHeight="1">
      <c r="B9" s="17" t="inlineStr">
        <is>
          <t>2️⃣ 1 CONTOH SOAL &amp; CONTOH JAWABAN BENAR (PELAJARI POLA RUMUS MAXA DI SINI)</t>
        </is>
      </c>
    </row>
    <row r="10">
      <c r="B10" s="18" t="inlineStr">
        <is>
          <t>Nama Unit / Kategori</t>
        </is>
      </c>
      <c r="C10" s="18" t="inlineStr">
        <is>
          <t>Nilai Data</t>
        </is>
      </c>
      <c r="E10" s="18" t="inlineStr">
        <is>
          <t>✅ 1 CONTOH SOAL BESERTA CONTOH RUMUS &amp; HASIL JAWABAN BENAR:</t>
        </is>
      </c>
      <c r="F10" s="5" t="n"/>
      <c r="G10" s="5" t="n"/>
    </row>
    <row r="11" ht="28" customHeight="1">
      <c r="B11" s="19" t="inlineStr">
        <is>
          <t>Simulasi Unit A</t>
        </is>
      </c>
      <c r="C11" s="19" t="n">
        <v>500000</v>
      </c>
      <c r="E11" s="20" t="inlineStr">
        <is>
          <t>Contoh Soal:</t>
        </is>
      </c>
      <c r="F11" s="21" t="inlineStr">
        <is>
          <t>Hitung hasil pengolahan fungsi MAXA untuk keempat baris data pada rentang C11:C14!</t>
        </is>
      </c>
      <c r="G11" s="5" t="n"/>
    </row>
    <row r="12">
      <c r="B12" s="19" t="inlineStr">
        <is>
          <t>Simulasi Unit B</t>
        </is>
      </c>
      <c r="C12" s="19" t="n">
        <v>750000</v>
      </c>
      <c r="E12" s="20" t="inlineStr">
        <is>
          <t>Contoh Rumus Benar:</t>
        </is>
      </c>
      <c r="F12" s="22" t="inlineStr">
        <is>
          <t>'=MAXA(C11:C14)</t>
        </is>
      </c>
      <c r="G12" s="5" t="n"/>
    </row>
    <row r="13">
      <c r="B13" s="19" t="inlineStr">
        <is>
          <t>Simulasi Unit C</t>
        </is>
      </c>
      <c r="C13" s="19" t="n">
        <v>600000</v>
      </c>
      <c r="E13" s="20" t="inlineStr">
        <is>
          <t>Contoh Hasil Benar:</t>
        </is>
      </c>
      <c r="F13" s="23">
        <f>MAXA(C11:C14)</f>
        <v/>
      </c>
      <c r="G13" s="5" t="n"/>
    </row>
    <row r="14">
      <c r="B14" s="19" t="inlineStr">
        <is>
          <t>Simulasi Unit D</t>
        </is>
      </c>
      <c r="C14" s="19" t="n">
        <v>950000</v>
      </c>
    </row>
    <row r="16" ht="26" customHeight="1">
      <c r="B16" s="24" t="inlineStr">
        <is>
          <t>3️⃣ 5 SOAL TES DUNIA NYATA — KERJAKAN DI KOTAK KUNING (TANPA KUNCI RUMUS / HASIL DI SINI!)</t>
        </is>
      </c>
    </row>
    <row r="17" ht="20" customHeight="1">
      <c r="B17" s="25" t="inlineStr">
        <is>
          <t>📌 Catatan Tes: Soal Tes #1 s/d #5 di bawah ini tidak menampilkan kunci rumus maupun hasil. Kunci jawaban lengkap tersedia di sheet paling terakhir (99_KUNCI_JAWABAN).</t>
        </is>
      </c>
    </row>
    <row r="19" ht="22" customHeight="1">
      <c r="B19" s="26" t="inlineStr">
        <is>
          <t>📝 SOAL TES #1: Kasus Keuangan &amp; Akuntansi Kantor</t>
        </is>
      </c>
    </row>
    <row r="20" ht="30" customHeight="1">
      <c r="B20" s="14" t="inlineStr">
        <is>
          <t>Nama Unit / Kategori</t>
        </is>
      </c>
      <c r="C20" s="14" t="inlineStr">
        <is>
          <t>Nilai Data</t>
        </is>
      </c>
      <c r="E20" s="27" t="inlineStr">
        <is>
          <t>Persoalan Tes #1: Hitung hasil pengolahan fungsi MAXA untuk keempat baris data pada rentang C21:C24!</t>
        </is>
      </c>
    </row>
    <row r="21">
      <c r="B21" s="19" t="inlineStr">
        <is>
          <t>Cabang Jakarta</t>
        </is>
      </c>
      <c r="C21" s="19" t="n">
        <v>1250000</v>
      </c>
      <c r="E21" s="14" t="inlineStr">
        <is>
          <t>✏️ KETIK RUMUS JAWABAN TES DI BAWAH:</t>
        </is>
      </c>
      <c r="F21" s="14" t="inlineStr">
        <is>
          <t>📌 STATUS KOREKSI JAWABAN TES:</t>
        </is>
      </c>
      <c r="G21" s="5" t="n"/>
    </row>
    <row r="22" ht="26" customHeight="1">
      <c r="B22" s="19" t="inlineStr">
        <is>
          <t>Cabang Bandung</t>
        </is>
      </c>
      <c r="C22" s="19" t="n">
        <v>1850000</v>
      </c>
      <c r="E22" s="28" t="n"/>
      <c r="F22" s="29">
        <f>IF(ISBLANK(E22), "⏳ Belum Diisi (Ketik Rumus di Sel Kuning E22)", IF(E22='99_KUNCI_JAWABAN'!F250, "✅ BENAR! JAWABAN TES TEPAT!", "❌ Belum Tepat (Cek Sheet Akhir: 99_KUNCI_JAWABAN)"))</f>
        <v/>
      </c>
      <c r="G22" s="5" t="n"/>
    </row>
    <row r="23">
      <c r="B23" s="19" t="inlineStr">
        <is>
          <t>Cabang Surabaya</t>
        </is>
      </c>
      <c r="C23" s="19" t="n">
        <v>2100000</v>
      </c>
    </row>
    <row r="24">
      <c r="B24" s="19" t="inlineStr">
        <is>
          <t>Cabang Medan</t>
        </is>
      </c>
      <c r="C24" s="19" t="n">
        <v>1600000</v>
      </c>
    </row>
    <row r="27" ht="22" customHeight="1">
      <c r="B27" s="26" t="inlineStr">
        <is>
          <t>📝 SOAL TES #2: Kasus HRD, Gaji &amp; Lembur Karyawan</t>
        </is>
      </c>
    </row>
    <row r="28" ht="30" customHeight="1">
      <c r="B28" s="14" t="inlineStr">
        <is>
          <t>Nama Unit / Kategori</t>
        </is>
      </c>
      <c r="C28" s="14" t="inlineStr">
        <is>
          <t>Nilai Data</t>
        </is>
      </c>
      <c r="E28" s="27" t="inlineStr">
        <is>
          <t>Persoalan Tes #2: Hitung hasil pengolahan fungsi MAXA untuk keempat baris data pada rentang C29:C32!</t>
        </is>
      </c>
    </row>
    <row r="29">
      <c r="B29" s="19" t="inlineStr">
        <is>
          <t>Budi Santoso</t>
        </is>
      </c>
      <c r="C29" s="19" t="n">
        <v>4500000</v>
      </c>
      <c r="E29" s="14" t="inlineStr">
        <is>
          <t>✏️ KETIK RUMUS JAWABAN TES DI BAWAH:</t>
        </is>
      </c>
      <c r="F29" s="14" t="inlineStr">
        <is>
          <t>📌 STATUS KOREKSI JAWABAN TES:</t>
        </is>
      </c>
      <c r="G29" s="5" t="n"/>
    </row>
    <row r="30" ht="26" customHeight="1">
      <c r="B30" s="19" t="inlineStr">
        <is>
          <t>Siti Aminah</t>
        </is>
      </c>
      <c r="C30" s="19" t="n">
        <v>5200000</v>
      </c>
      <c r="E30" s="28" t="n"/>
      <c r="F30" s="29">
        <f>IF(ISBLANK(E30), "⏳ Belum Diisi (Ketik Rumus di Sel Kuning E30)", IF(E30='99_KUNCI_JAWABAN'!F251, "✅ BENAR! JAWABAN TES TEPAT!", "❌ Belum Tepat (Cek Sheet Akhir: 99_KUNCI_JAWABAN)"))</f>
        <v/>
      </c>
      <c r="G30" s="5" t="n"/>
    </row>
    <row r="31">
      <c r="B31" s="19" t="inlineStr">
        <is>
          <t>Andi Pratama</t>
        </is>
      </c>
      <c r="C31" s="19" t="n">
        <v>4800000</v>
      </c>
    </row>
    <row r="32">
      <c r="B32" s="19" t="inlineStr">
        <is>
          <t>Rina Wijaya</t>
        </is>
      </c>
      <c r="C32" s="19" t="n">
        <v>6100000</v>
      </c>
    </row>
    <row r="35" ht="22" customHeight="1">
      <c r="B35" s="26" t="inlineStr">
        <is>
          <t>📝 SOAL TES #3: Kasus Logistik &amp; Stok Gudang Utama</t>
        </is>
      </c>
    </row>
    <row r="36" ht="30" customHeight="1">
      <c r="B36" s="14" t="inlineStr">
        <is>
          <t>Nama Unit / Kategori</t>
        </is>
      </c>
      <c r="C36" s="14" t="inlineStr">
        <is>
          <t>Nilai Data</t>
        </is>
      </c>
      <c r="E36" s="27" t="inlineStr">
        <is>
          <t>Persoalan Tes #3: Hitung hasil pengolahan fungsi MAXA untuk keempat baris data pada rentang C37:C40!</t>
        </is>
      </c>
    </row>
    <row r="37">
      <c r="B37" s="19" t="inlineStr">
        <is>
          <t>Gudang Blok A</t>
        </is>
      </c>
      <c r="C37" s="19" t="n">
        <v>240</v>
      </c>
      <c r="E37" s="14" t="inlineStr">
        <is>
          <t>✏️ KETIK RUMUS JAWABAN TES DI BAWAH:</t>
        </is>
      </c>
      <c r="F37" s="14" t="inlineStr">
        <is>
          <t>📌 STATUS KOREKSI JAWABAN TES:</t>
        </is>
      </c>
      <c r="G37" s="5" t="n"/>
    </row>
    <row r="38" ht="26" customHeight="1">
      <c r="B38" s="19" t="inlineStr">
        <is>
          <t>Gudang Blok B</t>
        </is>
      </c>
      <c r="C38" s="19" t="n">
        <v>380</v>
      </c>
      <c r="E38" s="28" t="n"/>
      <c r="F38" s="29">
        <f>IF(ISBLANK(E38), "⏳ Belum Diisi (Ketik Rumus di Sel Kuning E38)", IF(E38='99_KUNCI_JAWABAN'!F252, "✅ BENAR! JAWABAN TES TEPAT!", "❌ Belum Tepat (Cek Sheet Akhir: 99_KUNCI_JAWABAN)"))</f>
        <v/>
      </c>
      <c r="G38" s="5" t="n"/>
    </row>
    <row r="39">
      <c r="B39" s="19" t="inlineStr">
        <is>
          <t>Gudang Blok C</t>
        </is>
      </c>
      <c r="C39" s="19" t="n">
        <v>195</v>
      </c>
    </row>
    <row r="40">
      <c r="B40" s="19" t="inlineStr">
        <is>
          <t>Gudang Blok D</t>
        </is>
      </c>
      <c r="C40" s="19" t="n">
        <v>425</v>
      </c>
    </row>
    <row r="43" ht="22" customHeight="1">
      <c r="B43" s="26" t="inlineStr">
        <is>
          <t>📝 SOAL TES #4: Kasus Penjualan Retail &amp; Target Toko</t>
        </is>
      </c>
    </row>
    <row r="44" ht="30" customHeight="1">
      <c r="B44" s="14" t="inlineStr">
        <is>
          <t>Nama Unit / Kategori</t>
        </is>
      </c>
      <c r="C44" s="14" t="inlineStr">
        <is>
          <t>Nilai Data</t>
        </is>
      </c>
      <c r="E44" s="27" t="inlineStr">
        <is>
          <t>Persoalan Tes #4: Hitung hasil pengolahan fungsi MAXA untuk keempat baris data pada rentang C45:C48!</t>
        </is>
      </c>
    </row>
    <row r="45">
      <c r="B45" s="19" t="inlineStr">
        <is>
          <t>Toko Elektronik</t>
        </is>
      </c>
      <c r="C45" s="19" t="n">
        <v>85</v>
      </c>
      <c r="E45" s="14" t="inlineStr">
        <is>
          <t>✏️ KETIK RUMUS JAWABAN TES DI BAWAH:</t>
        </is>
      </c>
      <c r="F45" s="14" t="inlineStr">
        <is>
          <t>📌 STATUS KOREKSI JAWABAN TES:</t>
        </is>
      </c>
      <c r="G45" s="5" t="n"/>
    </row>
    <row r="46" ht="26" customHeight="1">
      <c r="B46" s="19" t="inlineStr">
        <is>
          <t>Toko Komputer</t>
        </is>
      </c>
      <c r="C46" s="19" t="n">
        <v>92</v>
      </c>
      <c r="E46" s="28" t="n"/>
      <c r="F46" s="29">
        <f>IF(ISBLANK(E46), "⏳ Belum Diisi (Ketik Rumus di Sel Kuning E46)", IF(E46='99_KUNCI_JAWABAN'!F253, "✅ BENAR! JAWABAN TES TEPAT!", "❌ Belum Tepat (Cek Sheet Akhir: 99_KUNCI_JAWABAN)"))</f>
        <v/>
      </c>
      <c r="G46" s="5" t="n"/>
    </row>
    <row r="47">
      <c r="B47" s="19" t="inlineStr">
        <is>
          <t>Toko Aksesoris</t>
        </is>
      </c>
      <c r="C47" s="19" t="n">
        <v>78</v>
      </c>
    </row>
    <row r="48">
      <c r="B48" s="19" t="inlineStr">
        <is>
          <t>Toko Servis</t>
        </is>
      </c>
      <c r="C48" s="19" t="n">
        <v>95</v>
      </c>
    </row>
    <row r="51" ht="22" customHeight="1">
      <c r="B51" s="26" t="inlineStr">
        <is>
          <t>📝 SOAL TES #5: Kasus Akademik Sekolah &amp; Layanan Publik</t>
        </is>
      </c>
    </row>
    <row r="52" ht="30" customHeight="1">
      <c r="B52" s="14" t="inlineStr">
        <is>
          <t>Nama Unit / Kategori</t>
        </is>
      </c>
      <c r="C52" s="14" t="inlineStr">
        <is>
          <t>Nilai Data</t>
        </is>
      </c>
      <c r="E52" s="27" t="inlineStr">
        <is>
          <t>Persoalan Tes #5: Hitung hasil pengolahan fungsi MAXA untuk keempat baris data pada rentang C53:C56!</t>
        </is>
      </c>
    </row>
    <row r="53">
      <c r="B53" s="19" t="inlineStr">
        <is>
          <t>Kelas 10 IPA</t>
        </is>
      </c>
      <c r="C53" s="19" t="n">
        <v>82</v>
      </c>
      <c r="E53" s="14" t="inlineStr">
        <is>
          <t>✏️ KETIK RUMUS JAWABAN TES DI BAWAH:</t>
        </is>
      </c>
      <c r="F53" s="14" t="inlineStr">
        <is>
          <t>📌 STATUS KOREKSI JAWABAN TES:</t>
        </is>
      </c>
      <c r="G53" s="5" t="n"/>
    </row>
    <row r="54" ht="26" customHeight="1">
      <c r="B54" s="19" t="inlineStr">
        <is>
          <t>Kelas 11 IPA</t>
        </is>
      </c>
      <c r="C54" s="19" t="n">
        <v>88</v>
      </c>
      <c r="E54" s="28" t="n"/>
      <c r="F54" s="29">
        <f>IF(ISBLANK(E54), "⏳ Belum Diisi (Ketik Rumus di Sel Kuning E54)", IF(E54='99_KUNCI_JAWABAN'!F254, "✅ BENAR! JAWABAN TES TEPAT!", "❌ Belum Tepat (Cek Sheet Akhir: 99_KUNCI_JAWABAN)"))</f>
        <v/>
      </c>
      <c r="G54" s="5" t="n"/>
    </row>
    <row r="55">
      <c r="B55" s="19" t="inlineStr">
        <is>
          <t>Kelas 12 IPA</t>
        </is>
      </c>
      <c r="C55" s="19" t="n">
        <v>91</v>
      </c>
    </row>
    <row r="56">
      <c r="B56" s="19" t="inlineStr">
        <is>
          <t>Kelas Unggulan</t>
        </is>
      </c>
      <c r="C56" s="19" t="n">
        <v>79</v>
      </c>
    </row>
  </sheetData>
  <mergeCells count="33">
    <mergeCell ref="E10:G10"/>
    <mergeCell ref="F11:G11"/>
    <mergeCell ref="E28:G28"/>
    <mergeCell ref="F29:G29"/>
    <mergeCell ref="C6:G6"/>
    <mergeCell ref="F54:G54"/>
    <mergeCell ref="B17:G17"/>
    <mergeCell ref="B1:G1"/>
    <mergeCell ref="C5:G5"/>
    <mergeCell ref="B19:G19"/>
    <mergeCell ref="F21:G21"/>
    <mergeCell ref="F12:G12"/>
    <mergeCell ref="F30:G30"/>
    <mergeCell ref="E36:G36"/>
    <mergeCell ref="B9:G9"/>
    <mergeCell ref="F45:G45"/>
    <mergeCell ref="B51:G51"/>
    <mergeCell ref="F38:G38"/>
    <mergeCell ref="B35:G35"/>
    <mergeCell ref="B4:G4"/>
    <mergeCell ref="F46:G46"/>
    <mergeCell ref="F22:G22"/>
    <mergeCell ref="B2:E2"/>
    <mergeCell ref="F13:G13"/>
    <mergeCell ref="B16:G16"/>
    <mergeCell ref="F37:G37"/>
    <mergeCell ref="C7:G7"/>
    <mergeCell ref="E52:G52"/>
    <mergeCell ref="B27:G27"/>
    <mergeCell ref="B43:G43"/>
    <mergeCell ref="E44:G44"/>
    <mergeCell ref="E20:G20"/>
    <mergeCell ref="F53:G53"/>
  </mergeCells>
  <hyperlinks>
    <hyperlink xmlns:r="http://schemas.openxmlformats.org/officeDocument/2006/relationships" ref="F2" r:id="rId1"/>
    <hyperlink xmlns:r="http://schemas.openxmlformats.org/officeDocument/2006/relationships" ref="G2" r:id="rId2"/>
  </hyperlinks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B1:G56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22" customWidth="1" min="3" max="3"/>
    <col width="4" customWidth="1" min="4" max="4"/>
    <col width="34" customWidth="1" min="5" max="5"/>
    <col width="44" customWidth="1" min="6" max="6"/>
    <col width="28" customWidth="1" min="7" max="7"/>
  </cols>
  <sheetData>
    <row r="1" ht="30" customHeight="1">
      <c r="B1" s="10" t="inlineStr">
        <is>
          <t>📊 #051 — RUMUS EXCEL: MEDIAN   |   Kategori: 8. Statistik &amp; Analisis Data</t>
        </is>
      </c>
    </row>
    <row r="2" ht="22" customHeight="1">
      <c r="B2" s="11" t="inlineStr">
        <is>
          <t>1 Rumus = 1 Contoh Soal + Jawaban Benar &amp; 5 Soal Tes Mandiri (Kunci Jawaban Ada di Sheet Paling Terakhir)</t>
        </is>
      </c>
      <c r="F2" s="12" t="inlineStr">
        <is>
          <t>⬅️ Ke Daftar Isi (00_DAFTAR_ISI)</t>
        </is>
      </c>
      <c r="G2" s="3" t="inlineStr">
        <is>
          <t>🔑 Ke Kunci Jawaban (Sheet Akhir)</t>
        </is>
      </c>
    </row>
    <row r="4" ht="24" customHeight="1">
      <c r="B4" s="13" t="inlineStr">
        <is>
          <t>1️⃣ IDENTITAS RUMUS &amp; FUNGSINYA BUAT APA? (MEDIAN)</t>
        </is>
      </c>
    </row>
    <row r="5" ht="21" customHeight="1">
      <c r="B5" s="14" t="inlineStr">
        <is>
          <t>Nama Rumus Excel</t>
        </is>
      </c>
      <c r="C5" s="15">
        <f>MEDIAN(...)</f>
        <v/>
      </c>
      <c r="D5" s="5" t="n"/>
      <c r="E5" s="5" t="n"/>
      <c r="F5" s="5" t="n"/>
      <c r="G5" s="5" t="n"/>
    </row>
    <row r="6" ht="21" customHeight="1">
      <c r="B6" s="14" t="inlineStr">
        <is>
          <t>Sintaks / Pola Umum</t>
        </is>
      </c>
      <c r="C6" s="15">
        <f>MEDIAN(range_data)</f>
        <v/>
      </c>
      <c r="D6" s="5" t="n"/>
      <c r="E6" s="5" t="n"/>
      <c r="F6" s="5" t="n"/>
      <c r="G6" s="5" t="n"/>
    </row>
    <row r="7" ht="26" customHeight="1">
      <c r="B7" s="14" t="inlineStr">
        <is>
          <t>👶 Fungsinya Buat Apa?</t>
        </is>
      </c>
      <c r="C7" s="16" t="inlineStr">
        <is>
          <t>Mencari NILAI TENGAH setelah data diurutkan dari terkecil ke terbesar.</t>
        </is>
      </c>
      <c r="D7" s="5" t="n"/>
      <c r="E7" s="5" t="n"/>
      <c r="F7" s="5" t="n"/>
      <c r="G7" s="5" t="n"/>
    </row>
    <row r="9" ht="24" customHeight="1">
      <c r="B9" s="17" t="inlineStr">
        <is>
          <t>2️⃣ 1 CONTOH SOAL &amp; CONTOH JAWABAN BENAR (PELAJARI POLA RUMUS MEDIAN DI SINI)</t>
        </is>
      </c>
    </row>
    <row r="10">
      <c r="B10" s="18" t="inlineStr">
        <is>
          <t>Nama Unit / Kategori</t>
        </is>
      </c>
      <c r="C10" s="18" t="inlineStr">
        <is>
          <t>Nilai Data</t>
        </is>
      </c>
      <c r="E10" s="18" t="inlineStr">
        <is>
          <t>✅ 1 CONTOH SOAL BESERTA CONTOH RUMUS &amp; HASIL JAWABAN BENAR:</t>
        </is>
      </c>
      <c r="F10" s="5" t="n"/>
      <c r="G10" s="5" t="n"/>
    </row>
    <row r="11" ht="28" customHeight="1">
      <c r="B11" s="19" t="inlineStr">
        <is>
          <t>Simulasi Unit A</t>
        </is>
      </c>
      <c r="C11" s="19" t="n">
        <v>500000</v>
      </c>
      <c r="E11" s="20" t="inlineStr">
        <is>
          <t>Contoh Soal:</t>
        </is>
      </c>
      <c r="F11" s="21" t="inlineStr">
        <is>
          <t>Hitung hasil pengolahan fungsi MEDIAN untuk keempat baris data pada rentang C11:C14!</t>
        </is>
      </c>
      <c r="G11" s="5" t="n"/>
    </row>
    <row r="12">
      <c r="B12" s="19" t="inlineStr">
        <is>
          <t>Simulasi Unit B</t>
        </is>
      </c>
      <c r="C12" s="19" t="n">
        <v>750000</v>
      </c>
      <c r="E12" s="20" t="inlineStr">
        <is>
          <t>Contoh Rumus Benar:</t>
        </is>
      </c>
      <c r="F12" s="22" t="inlineStr">
        <is>
          <t>'=MEDIAN(C11:C14)</t>
        </is>
      </c>
      <c r="G12" s="5" t="n"/>
    </row>
    <row r="13">
      <c r="B13" s="19" t="inlineStr">
        <is>
          <t>Simulasi Unit C</t>
        </is>
      </c>
      <c r="C13" s="19" t="n">
        <v>600000</v>
      </c>
      <c r="E13" s="20" t="inlineStr">
        <is>
          <t>Contoh Hasil Benar:</t>
        </is>
      </c>
      <c r="F13" s="23">
        <f>MEDIAN(C11:C14)</f>
        <v/>
      </c>
      <c r="G13" s="5" t="n"/>
    </row>
    <row r="14">
      <c r="B14" s="19" t="inlineStr">
        <is>
          <t>Simulasi Unit D</t>
        </is>
      </c>
      <c r="C14" s="19" t="n">
        <v>950000</v>
      </c>
    </row>
    <row r="16" ht="26" customHeight="1">
      <c r="B16" s="24" t="inlineStr">
        <is>
          <t>3️⃣ 5 SOAL TES DUNIA NYATA — KERJAKAN DI KOTAK KUNING (TANPA KUNCI RUMUS / HASIL DI SINI!)</t>
        </is>
      </c>
    </row>
    <row r="17" ht="20" customHeight="1">
      <c r="B17" s="25" t="inlineStr">
        <is>
          <t>📌 Catatan Tes: Soal Tes #1 s/d #5 di bawah ini tidak menampilkan kunci rumus maupun hasil. Kunci jawaban lengkap tersedia di sheet paling terakhir (99_KUNCI_JAWABAN).</t>
        </is>
      </c>
    </row>
    <row r="19" ht="22" customHeight="1">
      <c r="B19" s="26" t="inlineStr">
        <is>
          <t>📝 SOAL TES #1: Kasus Keuangan &amp; Akuntansi Kantor</t>
        </is>
      </c>
    </row>
    <row r="20" ht="30" customHeight="1">
      <c r="B20" s="14" t="inlineStr">
        <is>
          <t>Nama Unit / Kategori</t>
        </is>
      </c>
      <c r="C20" s="14" t="inlineStr">
        <is>
          <t>Nilai Data</t>
        </is>
      </c>
      <c r="E20" s="27" t="inlineStr">
        <is>
          <t>Persoalan Tes #1: Hitung hasil pengolahan fungsi MEDIAN untuk keempat baris data pada rentang C21:C24!</t>
        </is>
      </c>
    </row>
    <row r="21">
      <c r="B21" s="19" t="inlineStr">
        <is>
          <t>Cabang Jakarta</t>
        </is>
      </c>
      <c r="C21" s="19" t="n">
        <v>1250000</v>
      </c>
      <c r="E21" s="14" t="inlineStr">
        <is>
          <t>✏️ KETIK RUMUS JAWABAN TES DI BAWAH:</t>
        </is>
      </c>
      <c r="F21" s="14" t="inlineStr">
        <is>
          <t>📌 STATUS KOREKSI JAWABAN TES:</t>
        </is>
      </c>
      <c r="G21" s="5" t="n"/>
    </row>
    <row r="22" ht="26" customHeight="1">
      <c r="B22" s="19" t="inlineStr">
        <is>
          <t>Cabang Bandung</t>
        </is>
      </c>
      <c r="C22" s="19" t="n">
        <v>1850000</v>
      </c>
      <c r="E22" s="28" t="n"/>
      <c r="F22" s="29">
        <f>IF(ISBLANK(E22), "⏳ Belum Diisi (Ketik Rumus di Sel Kuning E22)", IF(E22='99_KUNCI_JAWABAN'!F255, "✅ BENAR! JAWABAN TES TEPAT!", "❌ Belum Tepat (Cek Sheet Akhir: 99_KUNCI_JAWABAN)"))</f>
        <v/>
      </c>
      <c r="G22" s="5" t="n"/>
    </row>
    <row r="23">
      <c r="B23" s="19" t="inlineStr">
        <is>
          <t>Cabang Surabaya</t>
        </is>
      </c>
      <c r="C23" s="19" t="n">
        <v>2100000</v>
      </c>
    </row>
    <row r="24">
      <c r="B24" s="19" t="inlineStr">
        <is>
          <t>Cabang Medan</t>
        </is>
      </c>
      <c r="C24" s="19" t="n">
        <v>1600000</v>
      </c>
    </row>
    <row r="27" ht="22" customHeight="1">
      <c r="B27" s="26" t="inlineStr">
        <is>
          <t>📝 SOAL TES #2: Kasus HRD, Gaji &amp; Lembur Karyawan</t>
        </is>
      </c>
    </row>
    <row r="28" ht="30" customHeight="1">
      <c r="B28" s="14" t="inlineStr">
        <is>
          <t>Nama Unit / Kategori</t>
        </is>
      </c>
      <c r="C28" s="14" t="inlineStr">
        <is>
          <t>Nilai Data</t>
        </is>
      </c>
      <c r="E28" s="27" t="inlineStr">
        <is>
          <t>Persoalan Tes #2: Hitung hasil pengolahan fungsi MEDIAN untuk keempat baris data pada rentang C29:C32!</t>
        </is>
      </c>
    </row>
    <row r="29">
      <c r="B29" s="19" t="inlineStr">
        <is>
          <t>Budi Santoso</t>
        </is>
      </c>
      <c r="C29" s="19" t="n">
        <v>4500000</v>
      </c>
      <c r="E29" s="14" t="inlineStr">
        <is>
          <t>✏️ KETIK RUMUS JAWABAN TES DI BAWAH:</t>
        </is>
      </c>
      <c r="F29" s="14" t="inlineStr">
        <is>
          <t>📌 STATUS KOREKSI JAWABAN TES:</t>
        </is>
      </c>
      <c r="G29" s="5" t="n"/>
    </row>
    <row r="30" ht="26" customHeight="1">
      <c r="B30" s="19" t="inlineStr">
        <is>
          <t>Siti Aminah</t>
        </is>
      </c>
      <c r="C30" s="19" t="n">
        <v>5200000</v>
      </c>
      <c r="E30" s="28" t="n"/>
      <c r="F30" s="29">
        <f>IF(ISBLANK(E30), "⏳ Belum Diisi (Ketik Rumus di Sel Kuning E30)", IF(E30='99_KUNCI_JAWABAN'!F256, "✅ BENAR! JAWABAN TES TEPAT!", "❌ Belum Tepat (Cek Sheet Akhir: 99_KUNCI_JAWABAN)"))</f>
        <v/>
      </c>
      <c r="G30" s="5" t="n"/>
    </row>
    <row r="31">
      <c r="B31" s="19" t="inlineStr">
        <is>
          <t>Andi Pratama</t>
        </is>
      </c>
      <c r="C31" s="19" t="n">
        <v>4800000</v>
      </c>
    </row>
    <row r="32">
      <c r="B32" s="19" t="inlineStr">
        <is>
          <t>Rina Wijaya</t>
        </is>
      </c>
      <c r="C32" s="19" t="n">
        <v>6100000</v>
      </c>
    </row>
    <row r="35" ht="22" customHeight="1">
      <c r="B35" s="26" t="inlineStr">
        <is>
          <t>📝 SOAL TES #3: Kasus Logistik &amp; Stok Gudang Utama</t>
        </is>
      </c>
    </row>
    <row r="36" ht="30" customHeight="1">
      <c r="B36" s="14" t="inlineStr">
        <is>
          <t>Nama Unit / Kategori</t>
        </is>
      </c>
      <c r="C36" s="14" t="inlineStr">
        <is>
          <t>Nilai Data</t>
        </is>
      </c>
      <c r="E36" s="27" t="inlineStr">
        <is>
          <t>Persoalan Tes #3: Hitung hasil pengolahan fungsi MEDIAN untuk keempat baris data pada rentang C37:C40!</t>
        </is>
      </c>
    </row>
    <row r="37">
      <c r="B37" s="19" t="inlineStr">
        <is>
          <t>Gudang Blok A</t>
        </is>
      </c>
      <c r="C37" s="19" t="n">
        <v>240</v>
      </c>
      <c r="E37" s="14" t="inlineStr">
        <is>
          <t>✏️ KETIK RUMUS JAWABAN TES DI BAWAH:</t>
        </is>
      </c>
      <c r="F37" s="14" t="inlineStr">
        <is>
          <t>📌 STATUS KOREKSI JAWABAN TES:</t>
        </is>
      </c>
      <c r="G37" s="5" t="n"/>
    </row>
    <row r="38" ht="26" customHeight="1">
      <c r="B38" s="19" t="inlineStr">
        <is>
          <t>Gudang Blok B</t>
        </is>
      </c>
      <c r="C38" s="19" t="n">
        <v>380</v>
      </c>
      <c r="E38" s="28" t="n"/>
      <c r="F38" s="29">
        <f>IF(ISBLANK(E38), "⏳ Belum Diisi (Ketik Rumus di Sel Kuning E38)", IF(E38='99_KUNCI_JAWABAN'!F257, "✅ BENAR! JAWABAN TES TEPAT!", "❌ Belum Tepat (Cek Sheet Akhir: 99_KUNCI_JAWABAN)"))</f>
        <v/>
      </c>
      <c r="G38" s="5" t="n"/>
    </row>
    <row r="39">
      <c r="B39" s="19" t="inlineStr">
        <is>
          <t>Gudang Blok C</t>
        </is>
      </c>
      <c r="C39" s="19" t="n">
        <v>195</v>
      </c>
    </row>
    <row r="40">
      <c r="B40" s="19" t="inlineStr">
        <is>
          <t>Gudang Blok D</t>
        </is>
      </c>
      <c r="C40" s="19" t="n">
        <v>425</v>
      </c>
    </row>
    <row r="43" ht="22" customHeight="1">
      <c r="B43" s="26" t="inlineStr">
        <is>
          <t>📝 SOAL TES #4: Kasus Penjualan Retail &amp; Target Toko</t>
        </is>
      </c>
    </row>
    <row r="44" ht="30" customHeight="1">
      <c r="B44" s="14" t="inlineStr">
        <is>
          <t>Nama Unit / Kategori</t>
        </is>
      </c>
      <c r="C44" s="14" t="inlineStr">
        <is>
          <t>Nilai Data</t>
        </is>
      </c>
      <c r="E44" s="27" t="inlineStr">
        <is>
          <t>Persoalan Tes #4: Hitung hasil pengolahan fungsi MEDIAN untuk keempat baris data pada rentang C45:C48!</t>
        </is>
      </c>
    </row>
    <row r="45">
      <c r="B45" s="19" t="inlineStr">
        <is>
          <t>Toko Elektronik</t>
        </is>
      </c>
      <c r="C45" s="19" t="n">
        <v>85</v>
      </c>
      <c r="E45" s="14" t="inlineStr">
        <is>
          <t>✏️ KETIK RUMUS JAWABAN TES DI BAWAH:</t>
        </is>
      </c>
      <c r="F45" s="14" t="inlineStr">
        <is>
          <t>📌 STATUS KOREKSI JAWABAN TES:</t>
        </is>
      </c>
      <c r="G45" s="5" t="n"/>
    </row>
    <row r="46" ht="26" customHeight="1">
      <c r="B46" s="19" t="inlineStr">
        <is>
          <t>Toko Komputer</t>
        </is>
      </c>
      <c r="C46" s="19" t="n">
        <v>92</v>
      </c>
      <c r="E46" s="28" t="n"/>
      <c r="F46" s="29">
        <f>IF(ISBLANK(E46), "⏳ Belum Diisi (Ketik Rumus di Sel Kuning E46)", IF(E46='99_KUNCI_JAWABAN'!F258, "✅ BENAR! JAWABAN TES TEPAT!", "❌ Belum Tepat (Cek Sheet Akhir: 99_KUNCI_JAWABAN)"))</f>
        <v/>
      </c>
      <c r="G46" s="5" t="n"/>
    </row>
    <row r="47">
      <c r="B47" s="19" t="inlineStr">
        <is>
          <t>Toko Aksesoris</t>
        </is>
      </c>
      <c r="C47" s="19" t="n">
        <v>78</v>
      </c>
    </row>
    <row r="48">
      <c r="B48" s="19" t="inlineStr">
        <is>
          <t>Toko Servis</t>
        </is>
      </c>
      <c r="C48" s="19" t="n">
        <v>95</v>
      </c>
    </row>
    <row r="51" ht="22" customHeight="1">
      <c r="B51" s="26" t="inlineStr">
        <is>
          <t>📝 SOAL TES #5: Kasus Akademik Sekolah &amp; Layanan Publik</t>
        </is>
      </c>
    </row>
    <row r="52" ht="30" customHeight="1">
      <c r="B52" s="14" t="inlineStr">
        <is>
          <t>Nama Unit / Kategori</t>
        </is>
      </c>
      <c r="C52" s="14" t="inlineStr">
        <is>
          <t>Nilai Data</t>
        </is>
      </c>
      <c r="E52" s="27" t="inlineStr">
        <is>
          <t>Persoalan Tes #5: Hitung hasil pengolahan fungsi MEDIAN untuk keempat baris data pada rentang C53:C56!</t>
        </is>
      </c>
    </row>
    <row r="53">
      <c r="B53" s="19" t="inlineStr">
        <is>
          <t>Kelas 10 IPA</t>
        </is>
      </c>
      <c r="C53" s="19" t="n">
        <v>82</v>
      </c>
      <c r="E53" s="14" t="inlineStr">
        <is>
          <t>✏️ KETIK RUMUS JAWABAN TES DI BAWAH:</t>
        </is>
      </c>
      <c r="F53" s="14" t="inlineStr">
        <is>
          <t>📌 STATUS KOREKSI JAWABAN TES:</t>
        </is>
      </c>
      <c r="G53" s="5" t="n"/>
    </row>
    <row r="54" ht="26" customHeight="1">
      <c r="B54" s="19" t="inlineStr">
        <is>
          <t>Kelas 11 IPA</t>
        </is>
      </c>
      <c r="C54" s="19" t="n">
        <v>88</v>
      </c>
      <c r="E54" s="28" t="n"/>
      <c r="F54" s="29">
        <f>IF(ISBLANK(E54), "⏳ Belum Diisi (Ketik Rumus di Sel Kuning E54)", IF(E54='99_KUNCI_JAWABAN'!F259, "✅ BENAR! JAWABAN TES TEPAT!", "❌ Belum Tepat (Cek Sheet Akhir: 99_KUNCI_JAWABAN)"))</f>
        <v/>
      </c>
      <c r="G54" s="5" t="n"/>
    </row>
    <row r="55">
      <c r="B55" s="19" t="inlineStr">
        <is>
          <t>Kelas 12 IPA</t>
        </is>
      </c>
      <c r="C55" s="19" t="n">
        <v>91</v>
      </c>
    </row>
    <row r="56">
      <c r="B56" s="19" t="inlineStr">
        <is>
          <t>Kelas Unggulan</t>
        </is>
      </c>
      <c r="C56" s="19" t="n">
        <v>79</v>
      </c>
    </row>
  </sheetData>
  <mergeCells count="33">
    <mergeCell ref="E10:G10"/>
    <mergeCell ref="F11:G11"/>
    <mergeCell ref="E28:G28"/>
    <mergeCell ref="F29:G29"/>
    <mergeCell ref="C6:G6"/>
    <mergeCell ref="F54:G54"/>
    <mergeCell ref="B17:G17"/>
    <mergeCell ref="B1:G1"/>
    <mergeCell ref="C5:G5"/>
    <mergeCell ref="B19:G19"/>
    <mergeCell ref="F21:G21"/>
    <mergeCell ref="F12:G12"/>
    <mergeCell ref="F30:G30"/>
    <mergeCell ref="E36:G36"/>
    <mergeCell ref="B9:G9"/>
    <mergeCell ref="F45:G45"/>
    <mergeCell ref="B51:G51"/>
    <mergeCell ref="F38:G38"/>
    <mergeCell ref="B35:G35"/>
    <mergeCell ref="B4:G4"/>
    <mergeCell ref="F46:G46"/>
    <mergeCell ref="F22:G22"/>
    <mergeCell ref="B2:E2"/>
    <mergeCell ref="F13:G13"/>
    <mergeCell ref="B16:G16"/>
    <mergeCell ref="F37:G37"/>
    <mergeCell ref="C7:G7"/>
    <mergeCell ref="E52:G52"/>
    <mergeCell ref="B27:G27"/>
    <mergeCell ref="B43:G43"/>
    <mergeCell ref="E44:G44"/>
    <mergeCell ref="E20:G20"/>
    <mergeCell ref="F53:G53"/>
  </mergeCells>
  <hyperlinks>
    <hyperlink xmlns:r="http://schemas.openxmlformats.org/officeDocument/2006/relationships" ref="F2" r:id="rId1"/>
    <hyperlink xmlns:r="http://schemas.openxmlformats.org/officeDocument/2006/relationships" ref="G2" r:id="rId2"/>
  </hyperlinks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B1:G56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22" customWidth="1" min="3" max="3"/>
    <col width="4" customWidth="1" min="4" max="4"/>
    <col width="34" customWidth="1" min="5" max="5"/>
    <col width="44" customWidth="1" min="6" max="6"/>
    <col width="28" customWidth="1" min="7" max="7"/>
  </cols>
  <sheetData>
    <row r="1" ht="30" customHeight="1">
      <c r="B1" s="10" t="inlineStr">
        <is>
          <t>📊 #052 — RUMUS EXCEL: MIN   |   Kategori: 8. Statistik &amp; Analisis Data</t>
        </is>
      </c>
    </row>
    <row r="2" ht="22" customHeight="1">
      <c r="B2" s="11" t="inlineStr">
        <is>
          <t>1 Rumus = 1 Contoh Soal + Jawaban Benar &amp; 5 Soal Tes Mandiri (Kunci Jawaban Ada di Sheet Paling Terakhir)</t>
        </is>
      </c>
      <c r="F2" s="12" t="inlineStr">
        <is>
          <t>⬅️ Ke Daftar Isi (00_DAFTAR_ISI)</t>
        </is>
      </c>
      <c r="G2" s="3" t="inlineStr">
        <is>
          <t>🔑 Ke Kunci Jawaban (Sheet Akhir)</t>
        </is>
      </c>
    </row>
    <row r="4" ht="24" customHeight="1">
      <c r="B4" s="13" t="inlineStr">
        <is>
          <t>1️⃣ IDENTITAS RUMUS &amp; FUNGSINYA BUAT APA? (MIN)</t>
        </is>
      </c>
    </row>
    <row r="5" ht="21" customHeight="1">
      <c r="B5" s="14" t="inlineStr">
        <is>
          <t>Nama Rumus Excel</t>
        </is>
      </c>
      <c r="C5" s="15">
        <f>MIN(...)</f>
        <v/>
      </c>
      <c r="D5" s="5" t="n"/>
      <c r="E5" s="5" t="n"/>
      <c r="F5" s="5" t="n"/>
      <c r="G5" s="5" t="n"/>
    </row>
    <row r="6" ht="21" customHeight="1">
      <c r="B6" s="14" t="inlineStr">
        <is>
          <t>Sintaks / Pola Umum</t>
        </is>
      </c>
      <c r="C6" s="15">
        <f>MIN(range_data)</f>
        <v/>
      </c>
      <c r="D6" s="5" t="n"/>
      <c r="E6" s="5" t="n"/>
      <c r="F6" s="5" t="n"/>
      <c r="G6" s="5" t="n"/>
    </row>
    <row r="7" ht="26" customHeight="1">
      <c r="B7" s="14" t="inlineStr">
        <is>
          <t>👶 Fungsinya Buat Apa?</t>
        </is>
      </c>
      <c r="C7" s="16" t="inlineStr">
        <is>
          <t>Mencari nilai PALING RENDAH (Minimum) dari sekumpulan data.</t>
        </is>
      </c>
      <c r="D7" s="5" t="n"/>
      <c r="E7" s="5" t="n"/>
      <c r="F7" s="5" t="n"/>
      <c r="G7" s="5" t="n"/>
    </row>
    <row r="9" ht="24" customHeight="1">
      <c r="B9" s="17" t="inlineStr">
        <is>
          <t>2️⃣ 1 CONTOH SOAL &amp; CONTOH JAWABAN BENAR (PELAJARI POLA RUMUS MIN DI SINI)</t>
        </is>
      </c>
    </row>
    <row r="10">
      <c r="B10" s="18" t="inlineStr">
        <is>
          <t>Nama Unit / Kategori</t>
        </is>
      </c>
      <c r="C10" s="18" t="inlineStr">
        <is>
          <t>Nilai Data</t>
        </is>
      </c>
      <c r="E10" s="18" t="inlineStr">
        <is>
          <t>✅ 1 CONTOH SOAL BESERTA CONTOH RUMUS &amp; HASIL JAWABAN BENAR:</t>
        </is>
      </c>
      <c r="F10" s="5" t="n"/>
      <c r="G10" s="5" t="n"/>
    </row>
    <row r="11" ht="28" customHeight="1">
      <c r="B11" s="19" t="inlineStr">
        <is>
          <t>Simulasi Unit A</t>
        </is>
      </c>
      <c r="C11" s="19" t="n">
        <v>500000</v>
      </c>
      <c r="E11" s="20" t="inlineStr">
        <is>
          <t>Contoh Soal:</t>
        </is>
      </c>
      <c r="F11" s="21" t="inlineStr">
        <is>
          <t>Hitung hasil pengolahan fungsi MIN untuk keempat baris data pada rentang C11:C14!</t>
        </is>
      </c>
      <c r="G11" s="5" t="n"/>
    </row>
    <row r="12">
      <c r="B12" s="19" t="inlineStr">
        <is>
          <t>Simulasi Unit B</t>
        </is>
      </c>
      <c r="C12" s="19" t="n">
        <v>750000</v>
      </c>
      <c r="E12" s="20" t="inlineStr">
        <is>
          <t>Contoh Rumus Benar:</t>
        </is>
      </c>
      <c r="F12" s="22" t="inlineStr">
        <is>
          <t>'=MIN(C11:C14)</t>
        </is>
      </c>
      <c r="G12" s="5" t="n"/>
    </row>
    <row r="13">
      <c r="B13" s="19" t="inlineStr">
        <is>
          <t>Simulasi Unit C</t>
        </is>
      </c>
      <c r="C13" s="19" t="n">
        <v>600000</v>
      </c>
      <c r="E13" s="20" t="inlineStr">
        <is>
          <t>Contoh Hasil Benar:</t>
        </is>
      </c>
      <c r="F13" s="23">
        <f>MIN(C11:C14)</f>
        <v/>
      </c>
      <c r="G13" s="5" t="n"/>
    </row>
    <row r="14">
      <c r="B14" s="19" t="inlineStr">
        <is>
          <t>Simulasi Unit D</t>
        </is>
      </c>
      <c r="C14" s="19" t="n">
        <v>950000</v>
      </c>
    </row>
    <row r="16" ht="26" customHeight="1">
      <c r="B16" s="24" t="inlineStr">
        <is>
          <t>3️⃣ 5 SOAL TES DUNIA NYATA — KERJAKAN DI KOTAK KUNING (TANPA KUNCI RUMUS / HASIL DI SINI!)</t>
        </is>
      </c>
    </row>
    <row r="17" ht="20" customHeight="1">
      <c r="B17" s="25" t="inlineStr">
        <is>
          <t>📌 Catatan Tes: Soal Tes #1 s/d #5 di bawah ini tidak menampilkan kunci rumus maupun hasil. Kunci jawaban lengkap tersedia di sheet paling terakhir (99_KUNCI_JAWABAN).</t>
        </is>
      </c>
    </row>
    <row r="19" ht="22" customHeight="1">
      <c r="B19" s="26" t="inlineStr">
        <is>
          <t>📝 SOAL TES #1: Kasus Keuangan &amp; Akuntansi Kantor</t>
        </is>
      </c>
    </row>
    <row r="20" ht="30" customHeight="1">
      <c r="B20" s="14" t="inlineStr">
        <is>
          <t>Nama Unit / Kategori</t>
        </is>
      </c>
      <c r="C20" s="14" t="inlineStr">
        <is>
          <t>Nilai Data</t>
        </is>
      </c>
      <c r="E20" s="27" t="inlineStr">
        <is>
          <t>Persoalan Tes #1: Hitung hasil pengolahan fungsi MIN untuk keempat baris data pada rentang C21:C24!</t>
        </is>
      </c>
    </row>
    <row r="21">
      <c r="B21" s="19" t="inlineStr">
        <is>
          <t>Cabang Jakarta</t>
        </is>
      </c>
      <c r="C21" s="19" t="n">
        <v>1250000</v>
      </c>
      <c r="E21" s="14" t="inlineStr">
        <is>
          <t>✏️ KETIK RUMUS JAWABAN TES DI BAWAH:</t>
        </is>
      </c>
      <c r="F21" s="14" t="inlineStr">
        <is>
          <t>📌 STATUS KOREKSI JAWABAN TES:</t>
        </is>
      </c>
      <c r="G21" s="5" t="n"/>
    </row>
    <row r="22" ht="26" customHeight="1">
      <c r="B22" s="19" t="inlineStr">
        <is>
          <t>Cabang Bandung</t>
        </is>
      </c>
      <c r="C22" s="19" t="n">
        <v>1850000</v>
      </c>
      <c r="E22" s="28" t="n"/>
      <c r="F22" s="29">
        <f>IF(ISBLANK(E22), "⏳ Belum Diisi (Ketik Rumus di Sel Kuning E22)", IF(E22='99_KUNCI_JAWABAN'!F260, "✅ BENAR! JAWABAN TES TEPAT!", "❌ Belum Tepat (Cek Sheet Akhir: 99_KUNCI_JAWABAN)"))</f>
        <v/>
      </c>
      <c r="G22" s="5" t="n"/>
    </row>
    <row r="23">
      <c r="B23" s="19" t="inlineStr">
        <is>
          <t>Cabang Surabaya</t>
        </is>
      </c>
      <c r="C23" s="19" t="n">
        <v>2100000</v>
      </c>
    </row>
    <row r="24">
      <c r="B24" s="19" t="inlineStr">
        <is>
          <t>Cabang Medan</t>
        </is>
      </c>
      <c r="C24" s="19" t="n">
        <v>1600000</v>
      </c>
    </row>
    <row r="27" ht="22" customHeight="1">
      <c r="B27" s="26" t="inlineStr">
        <is>
          <t>📝 SOAL TES #2: Kasus HRD, Gaji &amp; Lembur Karyawan</t>
        </is>
      </c>
    </row>
    <row r="28" ht="30" customHeight="1">
      <c r="B28" s="14" t="inlineStr">
        <is>
          <t>Nama Unit / Kategori</t>
        </is>
      </c>
      <c r="C28" s="14" t="inlineStr">
        <is>
          <t>Nilai Data</t>
        </is>
      </c>
      <c r="E28" s="27" t="inlineStr">
        <is>
          <t>Persoalan Tes #2: Hitung hasil pengolahan fungsi MIN untuk keempat baris data pada rentang C29:C32!</t>
        </is>
      </c>
    </row>
    <row r="29">
      <c r="B29" s="19" t="inlineStr">
        <is>
          <t>Budi Santoso</t>
        </is>
      </c>
      <c r="C29" s="19" t="n">
        <v>4500000</v>
      </c>
      <c r="E29" s="14" t="inlineStr">
        <is>
          <t>✏️ KETIK RUMUS JAWABAN TES DI BAWAH:</t>
        </is>
      </c>
      <c r="F29" s="14" t="inlineStr">
        <is>
          <t>📌 STATUS KOREKSI JAWABAN TES:</t>
        </is>
      </c>
      <c r="G29" s="5" t="n"/>
    </row>
    <row r="30" ht="26" customHeight="1">
      <c r="B30" s="19" t="inlineStr">
        <is>
          <t>Siti Aminah</t>
        </is>
      </c>
      <c r="C30" s="19" t="n">
        <v>5200000</v>
      </c>
      <c r="E30" s="28" t="n"/>
      <c r="F30" s="29">
        <f>IF(ISBLANK(E30), "⏳ Belum Diisi (Ketik Rumus di Sel Kuning E30)", IF(E30='99_KUNCI_JAWABAN'!F261, "✅ BENAR! JAWABAN TES TEPAT!", "❌ Belum Tepat (Cek Sheet Akhir: 99_KUNCI_JAWABAN)"))</f>
        <v/>
      </c>
      <c r="G30" s="5" t="n"/>
    </row>
    <row r="31">
      <c r="B31" s="19" t="inlineStr">
        <is>
          <t>Andi Pratama</t>
        </is>
      </c>
      <c r="C31" s="19" t="n">
        <v>4800000</v>
      </c>
    </row>
    <row r="32">
      <c r="B32" s="19" t="inlineStr">
        <is>
          <t>Rina Wijaya</t>
        </is>
      </c>
      <c r="C32" s="19" t="n">
        <v>6100000</v>
      </c>
    </row>
    <row r="35" ht="22" customHeight="1">
      <c r="B35" s="26" t="inlineStr">
        <is>
          <t>📝 SOAL TES #3: Kasus Logistik &amp; Stok Gudang Utama</t>
        </is>
      </c>
    </row>
    <row r="36" ht="30" customHeight="1">
      <c r="B36" s="14" t="inlineStr">
        <is>
          <t>Nama Unit / Kategori</t>
        </is>
      </c>
      <c r="C36" s="14" t="inlineStr">
        <is>
          <t>Nilai Data</t>
        </is>
      </c>
      <c r="E36" s="27" t="inlineStr">
        <is>
          <t>Persoalan Tes #3: Hitung hasil pengolahan fungsi MIN untuk keempat baris data pada rentang C37:C40!</t>
        </is>
      </c>
    </row>
    <row r="37">
      <c r="B37" s="19" t="inlineStr">
        <is>
          <t>Gudang Blok A</t>
        </is>
      </c>
      <c r="C37" s="19" t="n">
        <v>240</v>
      </c>
      <c r="E37" s="14" t="inlineStr">
        <is>
          <t>✏️ KETIK RUMUS JAWABAN TES DI BAWAH:</t>
        </is>
      </c>
      <c r="F37" s="14" t="inlineStr">
        <is>
          <t>📌 STATUS KOREKSI JAWABAN TES:</t>
        </is>
      </c>
      <c r="G37" s="5" t="n"/>
    </row>
    <row r="38" ht="26" customHeight="1">
      <c r="B38" s="19" t="inlineStr">
        <is>
          <t>Gudang Blok B</t>
        </is>
      </c>
      <c r="C38" s="19" t="n">
        <v>380</v>
      </c>
      <c r="E38" s="28" t="n"/>
      <c r="F38" s="29">
        <f>IF(ISBLANK(E38), "⏳ Belum Diisi (Ketik Rumus di Sel Kuning E38)", IF(E38='99_KUNCI_JAWABAN'!F262, "✅ BENAR! JAWABAN TES TEPAT!", "❌ Belum Tepat (Cek Sheet Akhir: 99_KUNCI_JAWABAN)"))</f>
        <v/>
      </c>
      <c r="G38" s="5" t="n"/>
    </row>
    <row r="39">
      <c r="B39" s="19" t="inlineStr">
        <is>
          <t>Gudang Blok C</t>
        </is>
      </c>
      <c r="C39" s="19" t="n">
        <v>195</v>
      </c>
    </row>
    <row r="40">
      <c r="B40" s="19" t="inlineStr">
        <is>
          <t>Gudang Blok D</t>
        </is>
      </c>
      <c r="C40" s="19" t="n">
        <v>425</v>
      </c>
    </row>
    <row r="43" ht="22" customHeight="1">
      <c r="B43" s="26" t="inlineStr">
        <is>
          <t>📝 SOAL TES #4: Kasus Penjualan Retail &amp; Target Toko</t>
        </is>
      </c>
    </row>
    <row r="44" ht="30" customHeight="1">
      <c r="B44" s="14" t="inlineStr">
        <is>
          <t>Nama Unit / Kategori</t>
        </is>
      </c>
      <c r="C44" s="14" t="inlineStr">
        <is>
          <t>Nilai Data</t>
        </is>
      </c>
      <c r="E44" s="27" t="inlineStr">
        <is>
          <t>Persoalan Tes #4: Hitung hasil pengolahan fungsi MIN untuk keempat baris data pada rentang C45:C48!</t>
        </is>
      </c>
    </row>
    <row r="45">
      <c r="B45" s="19" t="inlineStr">
        <is>
          <t>Toko Elektronik</t>
        </is>
      </c>
      <c r="C45" s="19" t="n">
        <v>85</v>
      </c>
      <c r="E45" s="14" t="inlineStr">
        <is>
          <t>✏️ KETIK RUMUS JAWABAN TES DI BAWAH:</t>
        </is>
      </c>
      <c r="F45" s="14" t="inlineStr">
        <is>
          <t>📌 STATUS KOREKSI JAWABAN TES:</t>
        </is>
      </c>
      <c r="G45" s="5" t="n"/>
    </row>
    <row r="46" ht="26" customHeight="1">
      <c r="B46" s="19" t="inlineStr">
        <is>
          <t>Toko Komputer</t>
        </is>
      </c>
      <c r="C46" s="19" t="n">
        <v>92</v>
      </c>
      <c r="E46" s="28" t="n"/>
      <c r="F46" s="29">
        <f>IF(ISBLANK(E46), "⏳ Belum Diisi (Ketik Rumus di Sel Kuning E46)", IF(E46='99_KUNCI_JAWABAN'!F263, "✅ BENAR! JAWABAN TES TEPAT!", "❌ Belum Tepat (Cek Sheet Akhir: 99_KUNCI_JAWABAN)"))</f>
        <v/>
      </c>
      <c r="G46" s="5" t="n"/>
    </row>
    <row r="47">
      <c r="B47" s="19" t="inlineStr">
        <is>
          <t>Toko Aksesoris</t>
        </is>
      </c>
      <c r="C47" s="19" t="n">
        <v>78</v>
      </c>
    </row>
    <row r="48">
      <c r="B48" s="19" t="inlineStr">
        <is>
          <t>Toko Servis</t>
        </is>
      </c>
      <c r="C48" s="19" t="n">
        <v>95</v>
      </c>
    </row>
    <row r="51" ht="22" customHeight="1">
      <c r="B51" s="26" t="inlineStr">
        <is>
          <t>📝 SOAL TES #5: Kasus Akademik Sekolah &amp; Layanan Publik</t>
        </is>
      </c>
    </row>
    <row r="52" ht="30" customHeight="1">
      <c r="B52" s="14" t="inlineStr">
        <is>
          <t>Nama Unit / Kategori</t>
        </is>
      </c>
      <c r="C52" s="14" t="inlineStr">
        <is>
          <t>Nilai Data</t>
        </is>
      </c>
      <c r="E52" s="27" t="inlineStr">
        <is>
          <t>Persoalan Tes #5: Hitung hasil pengolahan fungsi MIN untuk keempat baris data pada rentang C53:C56!</t>
        </is>
      </c>
    </row>
    <row r="53">
      <c r="B53" s="19" t="inlineStr">
        <is>
          <t>Kelas 10 IPA</t>
        </is>
      </c>
      <c r="C53" s="19" t="n">
        <v>82</v>
      </c>
      <c r="E53" s="14" t="inlineStr">
        <is>
          <t>✏️ KETIK RUMUS JAWABAN TES DI BAWAH:</t>
        </is>
      </c>
      <c r="F53" s="14" t="inlineStr">
        <is>
          <t>📌 STATUS KOREKSI JAWABAN TES:</t>
        </is>
      </c>
      <c r="G53" s="5" t="n"/>
    </row>
    <row r="54" ht="26" customHeight="1">
      <c r="B54" s="19" t="inlineStr">
        <is>
          <t>Kelas 11 IPA</t>
        </is>
      </c>
      <c r="C54" s="19" t="n">
        <v>88</v>
      </c>
      <c r="E54" s="28" t="n"/>
      <c r="F54" s="29">
        <f>IF(ISBLANK(E54), "⏳ Belum Diisi (Ketik Rumus di Sel Kuning E54)", IF(E54='99_KUNCI_JAWABAN'!F264, "✅ BENAR! JAWABAN TES TEPAT!", "❌ Belum Tepat (Cek Sheet Akhir: 99_KUNCI_JAWABAN)"))</f>
        <v/>
      </c>
      <c r="G54" s="5" t="n"/>
    </row>
    <row r="55">
      <c r="B55" s="19" t="inlineStr">
        <is>
          <t>Kelas 12 IPA</t>
        </is>
      </c>
      <c r="C55" s="19" t="n">
        <v>91</v>
      </c>
    </row>
    <row r="56">
      <c r="B56" s="19" t="inlineStr">
        <is>
          <t>Kelas Unggulan</t>
        </is>
      </c>
      <c r="C56" s="19" t="n">
        <v>79</v>
      </c>
    </row>
  </sheetData>
  <mergeCells count="33">
    <mergeCell ref="E10:G10"/>
    <mergeCell ref="F11:G11"/>
    <mergeCell ref="E28:G28"/>
    <mergeCell ref="F29:G29"/>
    <mergeCell ref="C6:G6"/>
    <mergeCell ref="F54:G54"/>
    <mergeCell ref="B17:G17"/>
    <mergeCell ref="B1:G1"/>
    <mergeCell ref="C5:G5"/>
    <mergeCell ref="B19:G19"/>
    <mergeCell ref="F21:G21"/>
    <mergeCell ref="F12:G12"/>
    <mergeCell ref="F30:G30"/>
    <mergeCell ref="E36:G36"/>
    <mergeCell ref="B9:G9"/>
    <mergeCell ref="F45:G45"/>
    <mergeCell ref="B51:G51"/>
    <mergeCell ref="F38:G38"/>
    <mergeCell ref="B35:G35"/>
    <mergeCell ref="B4:G4"/>
    <mergeCell ref="F46:G46"/>
    <mergeCell ref="F22:G22"/>
    <mergeCell ref="B2:E2"/>
    <mergeCell ref="F13:G13"/>
    <mergeCell ref="B16:G16"/>
    <mergeCell ref="F37:G37"/>
    <mergeCell ref="C7:G7"/>
    <mergeCell ref="E52:G52"/>
    <mergeCell ref="B27:G27"/>
    <mergeCell ref="B43:G43"/>
    <mergeCell ref="E44:G44"/>
    <mergeCell ref="E20:G20"/>
    <mergeCell ref="F53:G53"/>
  </mergeCells>
  <hyperlinks>
    <hyperlink xmlns:r="http://schemas.openxmlformats.org/officeDocument/2006/relationships" ref="F2" r:id="rId1"/>
    <hyperlink xmlns:r="http://schemas.openxmlformats.org/officeDocument/2006/relationships" ref="G2" r:id="rId2"/>
  </hyperlinks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B1:G56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22" customWidth="1" min="3" max="3"/>
    <col width="4" customWidth="1" min="4" max="4"/>
    <col width="34" customWidth="1" min="5" max="5"/>
    <col width="44" customWidth="1" min="6" max="6"/>
    <col width="28" customWidth="1" min="7" max="7"/>
  </cols>
  <sheetData>
    <row r="1" ht="30" customHeight="1">
      <c r="B1" s="10" t="inlineStr">
        <is>
          <t>📊 #053 — RUMUS EXCEL: MINA   |   Kategori: 8. Statistik &amp; Analisis Data</t>
        </is>
      </c>
    </row>
    <row r="2" ht="22" customHeight="1">
      <c r="B2" s="11" t="inlineStr">
        <is>
          <t>1 Rumus = 1 Contoh Soal + Jawaban Benar &amp; 5 Soal Tes Mandiri (Kunci Jawaban Ada di Sheet Paling Terakhir)</t>
        </is>
      </c>
      <c r="F2" s="12" t="inlineStr">
        <is>
          <t>⬅️ Ke Daftar Isi (00_DAFTAR_ISI)</t>
        </is>
      </c>
      <c r="G2" s="3" t="inlineStr">
        <is>
          <t>🔑 Ke Kunci Jawaban (Sheet Akhir)</t>
        </is>
      </c>
    </row>
    <row r="4" ht="24" customHeight="1">
      <c r="B4" s="13" t="inlineStr">
        <is>
          <t>1️⃣ IDENTITAS RUMUS &amp; FUNGSINYA BUAT APA? (MINA)</t>
        </is>
      </c>
    </row>
    <row r="5" ht="21" customHeight="1">
      <c r="B5" s="14" t="inlineStr">
        <is>
          <t>Nama Rumus Excel</t>
        </is>
      </c>
      <c r="C5" s="15">
        <f>MINA(...)</f>
        <v/>
      </c>
      <c r="D5" s="5" t="n"/>
      <c r="E5" s="5" t="n"/>
      <c r="F5" s="5" t="n"/>
      <c r="G5" s="5" t="n"/>
    </row>
    <row r="6" ht="21" customHeight="1">
      <c r="B6" s="14" t="inlineStr">
        <is>
          <t>Sintaks / Pola Umum</t>
        </is>
      </c>
      <c r="C6" s="15">
        <f>MINA(range_data)</f>
        <v/>
      </c>
      <c r="D6" s="5" t="n"/>
      <c r="E6" s="5" t="n"/>
      <c r="F6" s="5" t="n"/>
      <c r="G6" s="5" t="n"/>
    </row>
    <row r="7" ht="26" customHeight="1">
      <c r="B7" s="14" t="inlineStr">
        <is>
          <t>👶 Fungsinya Buat Apa?</t>
        </is>
      </c>
      <c r="C7" s="16" t="inlineStr">
        <is>
          <t>Mencari nilai minimum dengan menyertakan nilai logika dan teks.</t>
        </is>
      </c>
      <c r="D7" s="5" t="n"/>
      <c r="E7" s="5" t="n"/>
      <c r="F7" s="5" t="n"/>
      <c r="G7" s="5" t="n"/>
    </row>
    <row r="9" ht="24" customHeight="1">
      <c r="B9" s="17" t="inlineStr">
        <is>
          <t>2️⃣ 1 CONTOH SOAL &amp; CONTOH JAWABAN BENAR (PELAJARI POLA RUMUS MINA DI SINI)</t>
        </is>
      </c>
    </row>
    <row r="10">
      <c r="B10" s="18" t="inlineStr">
        <is>
          <t>Nama Unit / Kategori</t>
        </is>
      </c>
      <c r="C10" s="18" t="inlineStr">
        <is>
          <t>Nilai Data</t>
        </is>
      </c>
      <c r="E10" s="18" t="inlineStr">
        <is>
          <t>✅ 1 CONTOH SOAL BESERTA CONTOH RUMUS &amp; HASIL JAWABAN BENAR:</t>
        </is>
      </c>
      <c r="F10" s="5" t="n"/>
      <c r="G10" s="5" t="n"/>
    </row>
    <row r="11" ht="28" customHeight="1">
      <c r="B11" s="19" t="inlineStr">
        <is>
          <t>Simulasi Unit A</t>
        </is>
      </c>
      <c r="C11" s="19" t="n">
        <v>500000</v>
      </c>
      <c r="E11" s="20" t="inlineStr">
        <is>
          <t>Contoh Soal:</t>
        </is>
      </c>
      <c r="F11" s="21" t="inlineStr">
        <is>
          <t>Hitung hasil pengolahan fungsi MINA untuk keempat baris data pada rentang C11:C14!</t>
        </is>
      </c>
      <c r="G11" s="5" t="n"/>
    </row>
    <row r="12">
      <c r="B12" s="19" t="inlineStr">
        <is>
          <t>Simulasi Unit B</t>
        </is>
      </c>
      <c r="C12" s="19" t="n">
        <v>750000</v>
      </c>
      <c r="E12" s="20" t="inlineStr">
        <is>
          <t>Contoh Rumus Benar:</t>
        </is>
      </c>
      <c r="F12" s="22" t="inlineStr">
        <is>
          <t>'=MINA(C11:C14)</t>
        </is>
      </c>
      <c r="G12" s="5" t="n"/>
    </row>
    <row r="13">
      <c r="B13" s="19" t="inlineStr">
        <is>
          <t>Simulasi Unit C</t>
        </is>
      </c>
      <c r="C13" s="19" t="n">
        <v>600000</v>
      </c>
      <c r="E13" s="20" t="inlineStr">
        <is>
          <t>Contoh Hasil Benar:</t>
        </is>
      </c>
      <c r="F13" s="23">
        <f>MINA(C11:C14)</f>
        <v/>
      </c>
      <c r="G13" s="5" t="n"/>
    </row>
    <row r="14">
      <c r="B14" s="19" t="inlineStr">
        <is>
          <t>Simulasi Unit D</t>
        </is>
      </c>
      <c r="C14" s="19" t="n">
        <v>950000</v>
      </c>
    </row>
    <row r="16" ht="26" customHeight="1">
      <c r="B16" s="24" t="inlineStr">
        <is>
          <t>3️⃣ 5 SOAL TES DUNIA NYATA — KERJAKAN DI KOTAK KUNING (TANPA KUNCI RUMUS / HASIL DI SINI!)</t>
        </is>
      </c>
    </row>
    <row r="17" ht="20" customHeight="1">
      <c r="B17" s="25" t="inlineStr">
        <is>
          <t>📌 Catatan Tes: Soal Tes #1 s/d #5 di bawah ini tidak menampilkan kunci rumus maupun hasil. Kunci jawaban lengkap tersedia di sheet paling terakhir (99_KUNCI_JAWABAN).</t>
        </is>
      </c>
    </row>
    <row r="19" ht="22" customHeight="1">
      <c r="B19" s="26" t="inlineStr">
        <is>
          <t>📝 SOAL TES #1: Kasus Keuangan &amp; Akuntansi Kantor</t>
        </is>
      </c>
    </row>
    <row r="20" ht="30" customHeight="1">
      <c r="B20" s="14" t="inlineStr">
        <is>
          <t>Nama Unit / Kategori</t>
        </is>
      </c>
      <c r="C20" s="14" t="inlineStr">
        <is>
          <t>Nilai Data</t>
        </is>
      </c>
      <c r="E20" s="27" t="inlineStr">
        <is>
          <t>Persoalan Tes #1: Hitung hasil pengolahan fungsi MINA untuk keempat baris data pada rentang C21:C24!</t>
        </is>
      </c>
    </row>
    <row r="21">
      <c r="B21" s="19" t="inlineStr">
        <is>
          <t>Cabang Jakarta</t>
        </is>
      </c>
      <c r="C21" s="19" t="n">
        <v>1250000</v>
      </c>
      <c r="E21" s="14" t="inlineStr">
        <is>
          <t>✏️ KETIK RUMUS JAWABAN TES DI BAWAH:</t>
        </is>
      </c>
      <c r="F21" s="14" t="inlineStr">
        <is>
          <t>📌 STATUS KOREKSI JAWABAN TES:</t>
        </is>
      </c>
      <c r="G21" s="5" t="n"/>
    </row>
    <row r="22" ht="26" customHeight="1">
      <c r="B22" s="19" t="inlineStr">
        <is>
          <t>Cabang Bandung</t>
        </is>
      </c>
      <c r="C22" s="19" t="n">
        <v>1850000</v>
      </c>
      <c r="E22" s="28" t="n"/>
      <c r="F22" s="29">
        <f>IF(ISBLANK(E22), "⏳ Belum Diisi (Ketik Rumus di Sel Kuning E22)", IF(E22='99_KUNCI_JAWABAN'!F265, "✅ BENAR! JAWABAN TES TEPAT!", "❌ Belum Tepat (Cek Sheet Akhir: 99_KUNCI_JAWABAN)"))</f>
        <v/>
      </c>
      <c r="G22" s="5" t="n"/>
    </row>
    <row r="23">
      <c r="B23" s="19" t="inlineStr">
        <is>
          <t>Cabang Surabaya</t>
        </is>
      </c>
      <c r="C23" s="19" t="n">
        <v>2100000</v>
      </c>
    </row>
    <row r="24">
      <c r="B24" s="19" t="inlineStr">
        <is>
          <t>Cabang Medan</t>
        </is>
      </c>
      <c r="C24" s="19" t="n">
        <v>1600000</v>
      </c>
    </row>
    <row r="27" ht="22" customHeight="1">
      <c r="B27" s="26" t="inlineStr">
        <is>
          <t>📝 SOAL TES #2: Kasus HRD, Gaji &amp; Lembur Karyawan</t>
        </is>
      </c>
    </row>
    <row r="28" ht="30" customHeight="1">
      <c r="B28" s="14" t="inlineStr">
        <is>
          <t>Nama Unit / Kategori</t>
        </is>
      </c>
      <c r="C28" s="14" t="inlineStr">
        <is>
          <t>Nilai Data</t>
        </is>
      </c>
      <c r="E28" s="27" t="inlineStr">
        <is>
          <t>Persoalan Tes #2: Hitung hasil pengolahan fungsi MINA untuk keempat baris data pada rentang C29:C32!</t>
        </is>
      </c>
    </row>
    <row r="29">
      <c r="B29" s="19" t="inlineStr">
        <is>
          <t>Budi Santoso</t>
        </is>
      </c>
      <c r="C29" s="19" t="n">
        <v>4500000</v>
      </c>
      <c r="E29" s="14" t="inlineStr">
        <is>
          <t>✏️ KETIK RUMUS JAWABAN TES DI BAWAH:</t>
        </is>
      </c>
      <c r="F29" s="14" t="inlineStr">
        <is>
          <t>📌 STATUS KOREKSI JAWABAN TES:</t>
        </is>
      </c>
      <c r="G29" s="5" t="n"/>
    </row>
    <row r="30" ht="26" customHeight="1">
      <c r="B30" s="19" t="inlineStr">
        <is>
          <t>Siti Aminah</t>
        </is>
      </c>
      <c r="C30" s="19" t="n">
        <v>5200000</v>
      </c>
      <c r="E30" s="28" t="n"/>
      <c r="F30" s="29">
        <f>IF(ISBLANK(E30), "⏳ Belum Diisi (Ketik Rumus di Sel Kuning E30)", IF(E30='99_KUNCI_JAWABAN'!F266, "✅ BENAR! JAWABAN TES TEPAT!", "❌ Belum Tepat (Cek Sheet Akhir: 99_KUNCI_JAWABAN)"))</f>
        <v/>
      </c>
      <c r="G30" s="5" t="n"/>
    </row>
    <row r="31">
      <c r="B31" s="19" t="inlineStr">
        <is>
          <t>Andi Pratama</t>
        </is>
      </c>
      <c r="C31" s="19" t="n">
        <v>4800000</v>
      </c>
    </row>
    <row r="32">
      <c r="B32" s="19" t="inlineStr">
        <is>
          <t>Rina Wijaya</t>
        </is>
      </c>
      <c r="C32" s="19" t="n">
        <v>6100000</v>
      </c>
    </row>
    <row r="35" ht="22" customHeight="1">
      <c r="B35" s="26" t="inlineStr">
        <is>
          <t>📝 SOAL TES #3: Kasus Logistik &amp; Stok Gudang Utama</t>
        </is>
      </c>
    </row>
    <row r="36" ht="30" customHeight="1">
      <c r="B36" s="14" t="inlineStr">
        <is>
          <t>Nama Unit / Kategori</t>
        </is>
      </c>
      <c r="C36" s="14" t="inlineStr">
        <is>
          <t>Nilai Data</t>
        </is>
      </c>
      <c r="E36" s="27" t="inlineStr">
        <is>
          <t>Persoalan Tes #3: Hitung hasil pengolahan fungsi MINA untuk keempat baris data pada rentang C37:C40!</t>
        </is>
      </c>
    </row>
    <row r="37">
      <c r="B37" s="19" t="inlineStr">
        <is>
          <t>Gudang Blok A</t>
        </is>
      </c>
      <c r="C37" s="19" t="n">
        <v>240</v>
      </c>
      <c r="E37" s="14" t="inlineStr">
        <is>
          <t>✏️ KETIK RUMUS JAWABAN TES DI BAWAH:</t>
        </is>
      </c>
      <c r="F37" s="14" t="inlineStr">
        <is>
          <t>📌 STATUS KOREKSI JAWABAN TES:</t>
        </is>
      </c>
      <c r="G37" s="5" t="n"/>
    </row>
    <row r="38" ht="26" customHeight="1">
      <c r="B38" s="19" t="inlineStr">
        <is>
          <t>Gudang Blok B</t>
        </is>
      </c>
      <c r="C38" s="19" t="n">
        <v>380</v>
      </c>
      <c r="E38" s="28" t="n"/>
      <c r="F38" s="29">
        <f>IF(ISBLANK(E38), "⏳ Belum Diisi (Ketik Rumus di Sel Kuning E38)", IF(E38='99_KUNCI_JAWABAN'!F267, "✅ BENAR! JAWABAN TES TEPAT!", "❌ Belum Tepat (Cek Sheet Akhir: 99_KUNCI_JAWABAN)"))</f>
        <v/>
      </c>
      <c r="G38" s="5" t="n"/>
    </row>
    <row r="39">
      <c r="B39" s="19" t="inlineStr">
        <is>
          <t>Gudang Blok C</t>
        </is>
      </c>
      <c r="C39" s="19" t="n">
        <v>195</v>
      </c>
    </row>
    <row r="40">
      <c r="B40" s="19" t="inlineStr">
        <is>
          <t>Gudang Blok D</t>
        </is>
      </c>
      <c r="C40" s="19" t="n">
        <v>425</v>
      </c>
    </row>
    <row r="43" ht="22" customHeight="1">
      <c r="B43" s="26" t="inlineStr">
        <is>
          <t>📝 SOAL TES #4: Kasus Penjualan Retail &amp; Target Toko</t>
        </is>
      </c>
    </row>
    <row r="44" ht="30" customHeight="1">
      <c r="B44" s="14" t="inlineStr">
        <is>
          <t>Nama Unit / Kategori</t>
        </is>
      </c>
      <c r="C44" s="14" t="inlineStr">
        <is>
          <t>Nilai Data</t>
        </is>
      </c>
      <c r="E44" s="27" t="inlineStr">
        <is>
          <t>Persoalan Tes #4: Hitung hasil pengolahan fungsi MINA untuk keempat baris data pada rentang C45:C48!</t>
        </is>
      </c>
    </row>
    <row r="45">
      <c r="B45" s="19" t="inlineStr">
        <is>
          <t>Toko Elektronik</t>
        </is>
      </c>
      <c r="C45" s="19" t="n">
        <v>85</v>
      </c>
      <c r="E45" s="14" t="inlineStr">
        <is>
          <t>✏️ KETIK RUMUS JAWABAN TES DI BAWAH:</t>
        </is>
      </c>
      <c r="F45" s="14" t="inlineStr">
        <is>
          <t>📌 STATUS KOREKSI JAWABAN TES:</t>
        </is>
      </c>
      <c r="G45" s="5" t="n"/>
    </row>
    <row r="46" ht="26" customHeight="1">
      <c r="B46" s="19" t="inlineStr">
        <is>
          <t>Toko Komputer</t>
        </is>
      </c>
      <c r="C46" s="19" t="n">
        <v>92</v>
      </c>
      <c r="E46" s="28" t="n"/>
      <c r="F46" s="29">
        <f>IF(ISBLANK(E46), "⏳ Belum Diisi (Ketik Rumus di Sel Kuning E46)", IF(E46='99_KUNCI_JAWABAN'!F268, "✅ BENAR! JAWABAN TES TEPAT!", "❌ Belum Tepat (Cek Sheet Akhir: 99_KUNCI_JAWABAN)"))</f>
        <v/>
      </c>
      <c r="G46" s="5" t="n"/>
    </row>
    <row r="47">
      <c r="B47" s="19" t="inlineStr">
        <is>
          <t>Toko Aksesoris</t>
        </is>
      </c>
      <c r="C47" s="19" t="n">
        <v>78</v>
      </c>
    </row>
    <row r="48">
      <c r="B48" s="19" t="inlineStr">
        <is>
          <t>Toko Servis</t>
        </is>
      </c>
      <c r="C48" s="19" t="n">
        <v>95</v>
      </c>
    </row>
    <row r="51" ht="22" customHeight="1">
      <c r="B51" s="26" t="inlineStr">
        <is>
          <t>📝 SOAL TES #5: Kasus Akademik Sekolah &amp; Layanan Publik</t>
        </is>
      </c>
    </row>
    <row r="52" ht="30" customHeight="1">
      <c r="B52" s="14" t="inlineStr">
        <is>
          <t>Nama Unit / Kategori</t>
        </is>
      </c>
      <c r="C52" s="14" t="inlineStr">
        <is>
          <t>Nilai Data</t>
        </is>
      </c>
      <c r="E52" s="27" t="inlineStr">
        <is>
          <t>Persoalan Tes #5: Hitung hasil pengolahan fungsi MINA untuk keempat baris data pada rentang C53:C56!</t>
        </is>
      </c>
    </row>
    <row r="53">
      <c r="B53" s="19" t="inlineStr">
        <is>
          <t>Kelas 10 IPA</t>
        </is>
      </c>
      <c r="C53" s="19" t="n">
        <v>82</v>
      </c>
      <c r="E53" s="14" t="inlineStr">
        <is>
          <t>✏️ KETIK RUMUS JAWABAN TES DI BAWAH:</t>
        </is>
      </c>
      <c r="F53" s="14" t="inlineStr">
        <is>
          <t>📌 STATUS KOREKSI JAWABAN TES:</t>
        </is>
      </c>
      <c r="G53" s="5" t="n"/>
    </row>
    <row r="54" ht="26" customHeight="1">
      <c r="B54" s="19" t="inlineStr">
        <is>
          <t>Kelas 11 IPA</t>
        </is>
      </c>
      <c r="C54" s="19" t="n">
        <v>88</v>
      </c>
      <c r="E54" s="28" t="n"/>
      <c r="F54" s="29">
        <f>IF(ISBLANK(E54), "⏳ Belum Diisi (Ketik Rumus di Sel Kuning E54)", IF(E54='99_KUNCI_JAWABAN'!F269, "✅ BENAR! JAWABAN TES TEPAT!", "❌ Belum Tepat (Cek Sheet Akhir: 99_KUNCI_JAWABAN)"))</f>
        <v/>
      </c>
      <c r="G54" s="5" t="n"/>
    </row>
    <row r="55">
      <c r="B55" s="19" t="inlineStr">
        <is>
          <t>Kelas 12 IPA</t>
        </is>
      </c>
      <c r="C55" s="19" t="n">
        <v>91</v>
      </c>
    </row>
    <row r="56">
      <c r="B56" s="19" t="inlineStr">
        <is>
          <t>Kelas Unggulan</t>
        </is>
      </c>
      <c r="C56" s="19" t="n">
        <v>79</v>
      </c>
    </row>
  </sheetData>
  <mergeCells count="33">
    <mergeCell ref="E10:G10"/>
    <mergeCell ref="F11:G11"/>
    <mergeCell ref="E28:G28"/>
    <mergeCell ref="F29:G29"/>
    <mergeCell ref="C6:G6"/>
    <mergeCell ref="F54:G54"/>
    <mergeCell ref="B17:G17"/>
    <mergeCell ref="B1:G1"/>
    <mergeCell ref="C5:G5"/>
    <mergeCell ref="B19:G19"/>
    <mergeCell ref="F21:G21"/>
    <mergeCell ref="F12:G12"/>
    <mergeCell ref="F30:G30"/>
    <mergeCell ref="E36:G36"/>
    <mergeCell ref="B9:G9"/>
    <mergeCell ref="F45:G45"/>
    <mergeCell ref="B51:G51"/>
    <mergeCell ref="F38:G38"/>
    <mergeCell ref="B35:G35"/>
    <mergeCell ref="B4:G4"/>
    <mergeCell ref="F46:G46"/>
    <mergeCell ref="F22:G22"/>
    <mergeCell ref="B2:E2"/>
    <mergeCell ref="F13:G13"/>
    <mergeCell ref="B16:G16"/>
    <mergeCell ref="F37:G37"/>
    <mergeCell ref="C7:G7"/>
    <mergeCell ref="E52:G52"/>
    <mergeCell ref="B27:G27"/>
    <mergeCell ref="B43:G43"/>
    <mergeCell ref="E44:G44"/>
    <mergeCell ref="E20:G20"/>
    <mergeCell ref="F53:G53"/>
  </mergeCells>
  <hyperlinks>
    <hyperlink xmlns:r="http://schemas.openxmlformats.org/officeDocument/2006/relationships" ref="F2" r:id="rId1"/>
    <hyperlink xmlns:r="http://schemas.openxmlformats.org/officeDocument/2006/relationships" ref="G2" r:id="rId2"/>
  </hyperlinks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B1:G56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22" customWidth="1" min="3" max="3"/>
    <col width="4" customWidth="1" min="4" max="4"/>
    <col width="34" customWidth="1" min="5" max="5"/>
    <col width="44" customWidth="1" min="6" max="6"/>
    <col width="28" customWidth="1" min="7" max="7"/>
  </cols>
  <sheetData>
    <row r="1" ht="30" customHeight="1">
      <c r="B1" s="10" t="inlineStr">
        <is>
          <t>📊 #054 — RUMUS EXCEL: MODE   |   Kategori: 8. Statistik &amp; Analisis Data</t>
        </is>
      </c>
    </row>
    <row r="2" ht="22" customHeight="1">
      <c r="B2" s="11" t="inlineStr">
        <is>
          <t>1 Rumus = 1 Contoh Soal + Jawaban Benar &amp; 5 Soal Tes Mandiri (Kunci Jawaban Ada di Sheet Paling Terakhir)</t>
        </is>
      </c>
      <c r="F2" s="12" t="inlineStr">
        <is>
          <t>⬅️ Ke Daftar Isi (00_DAFTAR_ISI)</t>
        </is>
      </c>
      <c r="G2" s="3" t="inlineStr">
        <is>
          <t>🔑 Ke Kunci Jawaban (Sheet Akhir)</t>
        </is>
      </c>
    </row>
    <row r="4" ht="24" customHeight="1">
      <c r="B4" s="13" t="inlineStr">
        <is>
          <t>1️⃣ IDENTITAS RUMUS &amp; FUNGSINYA BUAT APA? (MODE)</t>
        </is>
      </c>
    </row>
    <row r="5" ht="21" customHeight="1">
      <c r="B5" s="14" t="inlineStr">
        <is>
          <t>Nama Rumus Excel</t>
        </is>
      </c>
      <c r="C5" s="15">
        <f>MODE(...)</f>
        <v/>
      </c>
      <c r="D5" s="5" t="n"/>
      <c r="E5" s="5" t="n"/>
      <c r="F5" s="5" t="n"/>
      <c r="G5" s="5" t="n"/>
    </row>
    <row r="6" ht="21" customHeight="1">
      <c r="B6" s="14" t="inlineStr">
        <is>
          <t>Sintaks / Pola Umum</t>
        </is>
      </c>
      <c r="C6" s="15">
        <f>MODE(range_data)</f>
        <v/>
      </c>
      <c r="D6" s="5" t="n"/>
      <c r="E6" s="5" t="n"/>
      <c r="F6" s="5" t="n"/>
      <c r="G6" s="5" t="n"/>
    </row>
    <row r="7" ht="26" customHeight="1">
      <c r="B7" s="14" t="inlineStr">
        <is>
          <t>👶 Fungsinya Buat Apa?</t>
        </is>
      </c>
      <c r="C7" s="16" t="inlineStr">
        <is>
          <t>Mencari angka yang PALING SERING MUNCUL (Modus) di dalam daftar.</t>
        </is>
      </c>
      <c r="D7" s="5" t="n"/>
      <c r="E7" s="5" t="n"/>
      <c r="F7" s="5" t="n"/>
      <c r="G7" s="5" t="n"/>
    </row>
    <row r="9" ht="24" customHeight="1">
      <c r="B9" s="17" t="inlineStr">
        <is>
          <t>2️⃣ 1 CONTOH SOAL &amp; CONTOH JAWABAN BENAR (PELAJARI POLA RUMUS MODE DI SINI)</t>
        </is>
      </c>
    </row>
    <row r="10">
      <c r="B10" s="18" t="inlineStr">
        <is>
          <t>Sampel Observasi</t>
        </is>
      </c>
      <c r="C10" s="18" t="inlineStr">
        <is>
          <t>Nilai Frekuensi</t>
        </is>
      </c>
      <c r="E10" s="18" t="inlineStr">
        <is>
          <t>✅ 1 CONTOH SOAL BESERTA CONTOH RUMUS &amp; HASIL JAWABAN BENAR:</t>
        </is>
      </c>
      <c r="F10" s="5" t="n"/>
      <c r="G10" s="5" t="n"/>
    </row>
    <row r="11" ht="28" customHeight="1">
      <c r="B11" s="19" t="inlineStr">
        <is>
          <t>Simulasi Unit A</t>
        </is>
      </c>
      <c r="C11" s="19" t="n">
        <v>500000</v>
      </c>
      <c r="E11" s="20" t="inlineStr">
        <is>
          <t>Contoh Soal:</t>
        </is>
      </c>
      <c r="F11" s="21" t="inlineStr">
        <is>
          <t>Cari nilai yang paling sering muncul (modus) pada rentang data C11:C14 menggunakan fungsi MODE!</t>
        </is>
      </c>
      <c r="G11" s="5" t="n"/>
    </row>
    <row r="12">
      <c r="B12" s="19" t="inlineStr">
        <is>
          <t>Simulasi Unit B</t>
        </is>
      </c>
      <c r="C12" s="19" t="n">
        <v>750000</v>
      </c>
      <c r="E12" s="20" t="inlineStr">
        <is>
          <t>Contoh Rumus Benar:</t>
        </is>
      </c>
      <c r="F12" s="22" t="inlineStr">
        <is>
          <t>'=MODE(C11:C14)</t>
        </is>
      </c>
      <c r="G12" s="5" t="n"/>
    </row>
    <row r="13">
      <c r="B13" s="19" t="inlineStr">
        <is>
          <t>Simulasi Unit C</t>
        </is>
      </c>
      <c r="C13" s="19" t="n">
        <v>500000</v>
      </c>
      <c r="E13" s="20" t="inlineStr">
        <is>
          <t>Contoh Hasil Benar:</t>
        </is>
      </c>
      <c r="F13" s="23">
        <f>MODE(C11:C14)</f>
        <v/>
      </c>
      <c r="G13" s="5" t="n"/>
    </row>
    <row r="14">
      <c r="B14" s="19" t="inlineStr">
        <is>
          <t>Simulasi Unit D</t>
        </is>
      </c>
      <c r="C14" s="19" t="n">
        <v>600000</v>
      </c>
    </row>
    <row r="16" ht="26" customHeight="1">
      <c r="B16" s="24" t="inlineStr">
        <is>
          <t>3️⃣ 5 SOAL TES DUNIA NYATA — KERJAKAN DI KOTAK KUNING (TANPA KUNCI RUMUS / HASIL DI SINI!)</t>
        </is>
      </c>
    </row>
    <row r="17" ht="20" customHeight="1">
      <c r="B17" s="25" t="inlineStr">
        <is>
          <t>📌 Catatan Tes: Soal Tes #1 s/d #5 di bawah ini tidak menampilkan kunci rumus maupun hasil. Kunci jawaban lengkap tersedia di sheet paling terakhir (99_KUNCI_JAWABAN).</t>
        </is>
      </c>
    </row>
    <row r="19" ht="22" customHeight="1">
      <c r="B19" s="26" t="inlineStr">
        <is>
          <t>📝 SOAL TES #1: Kasus Keuangan &amp; Akuntansi Kantor</t>
        </is>
      </c>
    </row>
    <row r="20" ht="30" customHeight="1">
      <c r="B20" s="14" t="inlineStr">
        <is>
          <t>Sampel Observasi</t>
        </is>
      </c>
      <c r="C20" s="14" t="inlineStr">
        <is>
          <t>Nilai Frekuensi</t>
        </is>
      </c>
      <c r="E20" s="27" t="inlineStr">
        <is>
          <t>Persoalan Tes #1: Cari nilai yang paling sering muncul (modus) pada rentang data C21:C24 menggunakan fungsi MODE!</t>
        </is>
      </c>
    </row>
    <row r="21">
      <c r="B21" s="19" t="inlineStr">
        <is>
          <t>Cabang Jakarta</t>
        </is>
      </c>
      <c r="C21" s="19" t="n">
        <v>1250000</v>
      </c>
      <c r="E21" s="14" t="inlineStr">
        <is>
          <t>✏️ KETIK RUMUS JAWABAN TES DI BAWAH:</t>
        </is>
      </c>
      <c r="F21" s="14" t="inlineStr">
        <is>
          <t>📌 STATUS KOREKSI JAWABAN TES:</t>
        </is>
      </c>
      <c r="G21" s="5" t="n"/>
    </row>
    <row r="22" ht="26" customHeight="1">
      <c r="B22" s="19" t="inlineStr">
        <is>
          <t>Cabang Bandung</t>
        </is>
      </c>
      <c r="C22" s="19" t="n">
        <v>1850000</v>
      </c>
      <c r="E22" s="28" t="n"/>
      <c r="F22" s="29">
        <f>IF(ISBLANK(E22), "⏳ Belum Diisi (Ketik Rumus di Sel Kuning E22)", IF(E22='99_KUNCI_JAWABAN'!F270, "✅ BENAR! JAWABAN TES TEPAT!", "❌ Belum Tepat (Cek Sheet Akhir: 99_KUNCI_JAWABAN)"))</f>
        <v/>
      </c>
      <c r="G22" s="5" t="n"/>
    </row>
    <row r="23">
      <c r="B23" s="19" t="inlineStr">
        <is>
          <t>Cabang Surabaya</t>
        </is>
      </c>
      <c r="C23" s="19" t="n">
        <v>1250000</v>
      </c>
    </row>
    <row r="24">
      <c r="B24" s="19" t="inlineStr">
        <is>
          <t>Cabang Medan</t>
        </is>
      </c>
      <c r="C24" s="19" t="n">
        <v>2100000</v>
      </c>
    </row>
    <row r="27" ht="22" customHeight="1">
      <c r="B27" s="26" t="inlineStr">
        <is>
          <t>📝 SOAL TES #2: Kasus HRD, Gaji &amp; Lembur Karyawan</t>
        </is>
      </c>
    </row>
    <row r="28" ht="30" customHeight="1">
      <c r="B28" s="14" t="inlineStr">
        <is>
          <t>Sampel Observasi</t>
        </is>
      </c>
      <c r="C28" s="14" t="inlineStr">
        <is>
          <t>Nilai Frekuensi</t>
        </is>
      </c>
      <c r="E28" s="27" t="inlineStr">
        <is>
          <t>Persoalan Tes #2: Cari nilai yang paling sering muncul (modus) pada rentang data C29:C32 menggunakan fungsi MODE!</t>
        </is>
      </c>
    </row>
    <row r="29">
      <c r="B29" s="19" t="inlineStr">
        <is>
          <t>Budi Santoso</t>
        </is>
      </c>
      <c r="C29" s="19" t="n">
        <v>4500000</v>
      </c>
      <c r="E29" s="14" t="inlineStr">
        <is>
          <t>✏️ KETIK RUMUS JAWABAN TES DI BAWAH:</t>
        </is>
      </c>
      <c r="F29" s="14" t="inlineStr">
        <is>
          <t>📌 STATUS KOREKSI JAWABAN TES:</t>
        </is>
      </c>
      <c r="G29" s="5" t="n"/>
    </row>
    <row r="30" ht="26" customHeight="1">
      <c r="B30" s="19" t="inlineStr">
        <is>
          <t>Siti Aminah</t>
        </is>
      </c>
      <c r="C30" s="19" t="n">
        <v>5200000</v>
      </c>
      <c r="E30" s="28" t="n"/>
      <c r="F30" s="29">
        <f>IF(ISBLANK(E30), "⏳ Belum Diisi (Ketik Rumus di Sel Kuning E30)", IF(E30='99_KUNCI_JAWABAN'!F271, "✅ BENAR! JAWABAN TES TEPAT!", "❌ Belum Tepat (Cek Sheet Akhir: 99_KUNCI_JAWABAN)"))</f>
        <v/>
      </c>
      <c r="G30" s="5" t="n"/>
    </row>
    <row r="31">
      <c r="B31" s="19" t="inlineStr">
        <is>
          <t>Andi Pratama</t>
        </is>
      </c>
      <c r="C31" s="19" t="n">
        <v>4500000</v>
      </c>
    </row>
    <row r="32">
      <c r="B32" s="19" t="inlineStr">
        <is>
          <t>Rina Wijaya</t>
        </is>
      </c>
      <c r="C32" s="19" t="n">
        <v>4800000</v>
      </c>
    </row>
    <row r="35" ht="22" customHeight="1">
      <c r="B35" s="26" t="inlineStr">
        <is>
          <t>📝 SOAL TES #3: Kasus Logistik &amp; Stok Gudang Utama</t>
        </is>
      </c>
    </row>
    <row r="36" ht="30" customHeight="1">
      <c r="B36" s="14" t="inlineStr">
        <is>
          <t>Sampel Observasi</t>
        </is>
      </c>
      <c r="C36" s="14" t="inlineStr">
        <is>
          <t>Nilai Frekuensi</t>
        </is>
      </c>
      <c r="E36" s="27" t="inlineStr">
        <is>
          <t>Persoalan Tes #3: Cari nilai yang paling sering muncul (modus) pada rentang data C37:C40 menggunakan fungsi MODE!</t>
        </is>
      </c>
    </row>
    <row r="37">
      <c r="B37" s="19" t="inlineStr">
        <is>
          <t>Gudang Blok A</t>
        </is>
      </c>
      <c r="C37" s="19" t="n">
        <v>240</v>
      </c>
      <c r="E37" s="14" t="inlineStr">
        <is>
          <t>✏️ KETIK RUMUS JAWABAN TES DI BAWAH:</t>
        </is>
      </c>
      <c r="F37" s="14" t="inlineStr">
        <is>
          <t>📌 STATUS KOREKSI JAWABAN TES:</t>
        </is>
      </c>
      <c r="G37" s="5" t="n"/>
    </row>
    <row r="38" ht="26" customHeight="1">
      <c r="B38" s="19" t="inlineStr">
        <is>
          <t>Gudang Blok B</t>
        </is>
      </c>
      <c r="C38" s="19" t="n">
        <v>380</v>
      </c>
      <c r="E38" s="28" t="n"/>
      <c r="F38" s="29">
        <f>IF(ISBLANK(E38), "⏳ Belum Diisi (Ketik Rumus di Sel Kuning E38)", IF(E38='99_KUNCI_JAWABAN'!F272, "✅ BENAR! JAWABAN TES TEPAT!", "❌ Belum Tepat (Cek Sheet Akhir: 99_KUNCI_JAWABAN)"))</f>
        <v/>
      </c>
      <c r="G38" s="5" t="n"/>
    </row>
    <row r="39">
      <c r="B39" s="19" t="inlineStr">
        <is>
          <t>Gudang Blok C</t>
        </is>
      </c>
      <c r="C39" s="19" t="n">
        <v>240</v>
      </c>
    </row>
    <row r="40">
      <c r="B40" s="19" t="inlineStr">
        <is>
          <t>Gudang Blok D</t>
        </is>
      </c>
      <c r="C40" s="19" t="n">
        <v>195</v>
      </c>
    </row>
    <row r="43" ht="22" customHeight="1">
      <c r="B43" s="26" t="inlineStr">
        <is>
          <t>📝 SOAL TES #4: Kasus Penjualan Retail &amp; Target Toko</t>
        </is>
      </c>
    </row>
    <row r="44" ht="30" customHeight="1">
      <c r="B44" s="14" t="inlineStr">
        <is>
          <t>Sampel Observasi</t>
        </is>
      </c>
      <c r="C44" s="14" t="inlineStr">
        <is>
          <t>Nilai Frekuensi</t>
        </is>
      </c>
      <c r="E44" s="27" t="inlineStr">
        <is>
          <t>Persoalan Tes #4: Cari nilai yang paling sering muncul (modus) pada rentang data C45:C48 menggunakan fungsi MODE!</t>
        </is>
      </c>
    </row>
    <row r="45">
      <c r="B45" s="19" t="inlineStr">
        <is>
          <t>Toko Elektronik</t>
        </is>
      </c>
      <c r="C45" s="19" t="n">
        <v>85</v>
      </c>
      <c r="E45" s="14" t="inlineStr">
        <is>
          <t>✏️ KETIK RUMUS JAWABAN TES DI BAWAH:</t>
        </is>
      </c>
      <c r="F45" s="14" t="inlineStr">
        <is>
          <t>📌 STATUS KOREKSI JAWABAN TES:</t>
        </is>
      </c>
      <c r="G45" s="5" t="n"/>
    </row>
    <row r="46" ht="26" customHeight="1">
      <c r="B46" s="19" t="inlineStr">
        <is>
          <t>Toko Komputer</t>
        </is>
      </c>
      <c r="C46" s="19" t="n">
        <v>92</v>
      </c>
      <c r="E46" s="28" t="n"/>
      <c r="F46" s="29">
        <f>IF(ISBLANK(E46), "⏳ Belum Diisi (Ketik Rumus di Sel Kuning E46)", IF(E46='99_KUNCI_JAWABAN'!F273, "✅ BENAR! JAWABAN TES TEPAT!", "❌ Belum Tepat (Cek Sheet Akhir: 99_KUNCI_JAWABAN)"))</f>
        <v/>
      </c>
      <c r="G46" s="5" t="n"/>
    </row>
    <row r="47">
      <c r="B47" s="19" t="inlineStr">
        <is>
          <t>Toko Aksesoris</t>
        </is>
      </c>
      <c r="C47" s="19" t="n">
        <v>85</v>
      </c>
    </row>
    <row r="48">
      <c r="B48" s="19" t="inlineStr">
        <is>
          <t>Toko Servis</t>
        </is>
      </c>
      <c r="C48" s="19" t="n">
        <v>78</v>
      </c>
    </row>
    <row r="51" ht="22" customHeight="1">
      <c r="B51" s="26" t="inlineStr">
        <is>
          <t>📝 SOAL TES #5: Kasus Akademik Sekolah &amp; Layanan Publik</t>
        </is>
      </c>
    </row>
    <row r="52" ht="30" customHeight="1">
      <c r="B52" s="14" t="inlineStr">
        <is>
          <t>Sampel Observasi</t>
        </is>
      </c>
      <c r="C52" s="14" t="inlineStr">
        <is>
          <t>Nilai Frekuensi</t>
        </is>
      </c>
      <c r="E52" s="27" t="inlineStr">
        <is>
          <t>Persoalan Tes #5: Cari nilai yang paling sering muncul (modus) pada rentang data C53:C56 menggunakan fungsi MODE!</t>
        </is>
      </c>
    </row>
    <row r="53">
      <c r="B53" s="19" t="inlineStr">
        <is>
          <t>Kelas 10 IPA</t>
        </is>
      </c>
      <c r="C53" s="19" t="n">
        <v>82</v>
      </c>
      <c r="E53" s="14" t="inlineStr">
        <is>
          <t>✏️ KETIK RUMUS JAWABAN TES DI BAWAH:</t>
        </is>
      </c>
      <c r="F53" s="14" t="inlineStr">
        <is>
          <t>📌 STATUS KOREKSI JAWABAN TES:</t>
        </is>
      </c>
      <c r="G53" s="5" t="n"/>
    </row>
    <row r="54" ht="26" customHeight="1">
      <c r="B54" s="19" t="inlineStr">
        <is>
          <t>Kelas 11 IPA</t>
        </is>
      </c>
      <c r="C54" s="19" t="n">
        <v>88</v>
      </c>
      <c r="E54" s="28" t="n"/>
      <c r="F54" s="29">
        <f>IF(ISBLANK(E54), "⏳ Belum Diisi (Ketik Rumus di Sel Kuning E54)", IF(E54='99_KUNCI_JAWABAN'!F274, "✅ BENAR! JAWABAN TES TEPAT!", "❌ Belum Tepat (Cek Sheet Akhir: 99_KUNCI_JAWABAN)"))</f>
        <v/>
      </c>
      <c r="G54" s="5" t="n"/>
    </row>
    <row r="55">
      <c r="B55" s="19" t="inlineStr">
        <is>
          <t>Kelas 12 IPA</t>
        </is>
      </c>
      <c r="C55" s="19" t="n">
        <v>82</v>
      </c>
    </row>
    <row r="56">
      <c r="B56" s="19" t="inlineStr">
        <is>
          <t>Kelas Unggulan</t>
        </is>
      </c>
      <c r="C56" s="19" t="n">
        <v>91</v>
      </c>
    </row>
  </sheetData>
  <mergeCells count="33">
    <mergeCell ref="E10:G10"/>
    <mergeCell ref="F11:G11"/>
    <mergeCell ref="E28:G28"/>
    <mergeCell ref="F29:G29"/>
    <mergeCell ref="C6:G6"/>
    <mergeCell ref="F54:G54"/>
    <mergeCell ref="B17:G17"/>
    <mergeCell ref="B1:G1"/>
    <mergeCell ref="C5:G5"/>
    <mergeCell ref="B19:G19"/>
    <mergeCell ref="F21:G21"/>
    <mergeCell ref="F12:G12"/>
    <mergeCell ref="F30:G30"/>
    <mergeCell ref="E36:G36"/>
    <mergeCell ref="B9:G9"/>
    <mergeCell ref="F45:G45"/>
    <mergeCell ref="B51:G51"/>
    <mergeCell ref="F38:G38"/>
    <mergeCell ref="B35:G35"/>
    <mergeCell ref="B4:G4"/>
    <mergeCell ref="F46:G46"/>
    <mergeCell ref="F22:G22"/>
    <mergeCell ref="B2:E2"/>
    <mergeCell ref="F13:G13"/>
    <mergeCell ref="B16:G16"/>
    <mergeCell ref="F37:G37"/>
    <mergeCell ref="C7:G7"/>
    <mergeCell ref="E52:G52"/>
    <mergeCell ref="B27:G27"/>
    <mergeCell ref="B43:G43"/>
    <mergeCell ref="E44:G44"/>
    <mergeCell ref="E20:G20"/>
    <mergeCell ref="F53:G53"/>
  </mergeCells>
  <hyperlinks>
    <hyperlink xmlns:r="http://schemas.openxmlformats.org/officeDocument/2006/relationships" ref="F2" r:id="rId1"/>
    <hyperlink xmlns:r="http://schemas.openxmlformats.org/officeDocument/2006/relationships" ref="G2" r:id="rId2"/>
  </hyperlinks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B1:G56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22" customWidth="1" min="3" max="3"/>
    <col width="4" customWidth="1" min="4" max="4"/>
    <col width="34" customWidth="1" min="5" max="5"/>
    <col width="44" customWidth="1" min="6" max="6"/>
    <col width="28" customWidth="1" min="7" max="7"/>
  </cols>
  <sheetData>
    <row r="1" ht="30" customHeight="1">
      <c r="B1" s="10" t="inlineStr">
        <is>
          <t>📊 #055 — RUMUS EXCEL: NEGBINOM.DIST   |   Kategori: 8. Statistik &amp; Analisis Data</t>
        </is>
      </c>
    </row>
    <row r="2" ht="22" customHeight="1">
      <c r="B2" s="11" t="inlineStr">
        <is>
          <t>1 Rumus = 1 Contoh Soal + Jawaban Benar &amp; 5 Soal Tes Mandiri (Kunci Jawaban Ada di Sheet Paling Terakhir)</t>
        </is>
      </c>
      <c r="F2" s="12" t="inlineStr">
        <is>
          <t>⬅️ Ke Daftar Isi (00_DAFTAR_ISI)</t>
        </is>
      </c>
      <c r="G2" s="3" t="inlineStr">
        <is>
          <t>🔑 Ke Kunci Jawaban (Sheet Akhir)</t>
        </is>
      </c>
    </row>
    <row r="4" ht="24" customHeight="1">
      <c r="B4" s="13" t="inlineStr">
        <is>
          <t>1️⃣ IDENTITAS RUMUS &amp; FUNGSINYA BUAT APA? (NEGBINOM.DIST)</t>
        </is>
      </c>
    </row>
    <row r="5" ht="21" customHeight="1">
      <c r="B5" s="14" t="inlineStr">
        <is>
          <t>Nama Rumus Excel</t>
        </is>
      </c>
      <c r="C5" s="15">
        <f>NEGBINOM.DIST(...)</f>
        <v/>
      </c>
      <c r="D5" s="5" t="n"/>
      <c r="E5" s="5" t="n"/>
      <c r="F5" s="5" t="n"/>
      <c r="G5" s="5" t="n"/>
    </row>
    <row r="6" ht="21" customHeight="1">
      <c r="B6" s="14" t="inlineStr">
        <is>
          <t>Sintaks / Pola Umum</t>
        </is>
      </c>
      <c r="C6" s="15">
        <f>NEGBINOM.DIST(gagal, sukses, prob_sukses, TRUE)</f>
        <v/>
      </c>
      <c r="D6" s="5" t="n"/>
      <c r="E6" s="5" t="n"/>
      <c r="F6" s="5" t="n"/>
      <c r="G6" s="5" t="n"/>
    </row>
    <row r="7" ht="26" customHeight="1">
      <c r="B7" s="14" t="inlineStr">
        <is>
          <t>👶 Fungsinya Buat Apa?</t>
        </is>
      </c>
      <c r="C7" s="16" t="inlineStr">
        <is>
          <t>Menghitung distribusi Binomial Negatif (peluang jumlah kegagalan sebelum sukses ke-r).</t>
        </is>
      </c>
      <c r="D7" s="5" t="n"/>
      <c r="E7" s="5" t="n"/>
      <c r="F7" s="5" t="n"/>
      <c r="G7" s="5" t="n"/>
    </row>
    <row r="9" ht="24" customHeight="1">
      <c r="B9" s="17" t="inlineStr">
        <is>
          <t>2️⃣ 1 CONTOH SOAL &amp; CONTOH JAWABAN BENAR (PELAJARI POLA RUMUS NEGBINOM.DIST DI SINI)</t>
        </is>
      </c>
    </row>
    <row r="10">
      <c r="B10" s="18" t="inlineStr">
        <is>
          <t>Parameter Binomial</t>
        </is>
      </c>
      <c r="C10" s="18" t="inlineStr">
        <is>
          <t>Nilai Input</t>
        </is>
      </c>
      <c r="E10" s="18" t="inlineStr">
        <is>
          <t>✅ 1 CONTOH SOAL BESERTA CONTOH RUMUS &amp; HASIL JAWABAN BENAR:</t>
        </is>
      </c>
      <c r="F10" s="5" t="n"/>
      <c r="G10" s="5" t="n"/>
    </row>
    <row r="11" ht="28" customHeight="1">
      <c r="B11" s="19" t="inlineStr">
        <is>
          <t>Jumlah Sukses/Gagal (C11)</t>
        </is>
      </c>
      <c r="C11" s="19" t="n">
        <v>4</v>
      </c>
      <c r="E11" s="20" t="inlineStr">
        <is>
          <t>Contoh Soal:</t>
        </is>
      </c>
      <c r="F11" s="21" t="inlineStr">
        <is>
          <t>Hitung peluang distribusi kumulatif (TRUE) menggunakan fungsi NEGBINOM.DIST dengan argumen C11, C12, C13, dan TRUE!</t>
        </is>
      </c>
      <c r="G11" s="5" t="n"/>
    </row>
    <row r="12">
      <c r="B12" s="19" t="inlineStr">
        <is>
          <t>Total Percobaan (C12)</t>
        </is>
      </c>
      <c r="C12" s="19" t="n">
        <v>15</v>
      </c>
      <c r="E12" s="20" t="inlineStr">
        <is>
          <t>Contoh Rumus Benar:</t>
        </is>
      </c>
      <c r="F12" s="22" t="inlineStr">
        <is>
          <t>'=NEGBINOM.DIST(C11, C12, C13, TRUE)</t>
        </is>
      </c>
      <c r="G12" s="5" t="n"/>
    </row>
    <row r="13">
      <c r="B13" s="19" t="inlineStr">
        <is>
          <t>Peluang Sukses (C13)</t>
        </is>
      </c>
      <c r="C13" s="19" t="n">
        <v>0.5</v>
      </c>
      <c r="E13" s="20" t="inlineStr">
        <is>
          <t>Contoh Hasil Benar:</t>
        </is>
      </c>
      <c r="F13" s="23">
        <f>NEGBINOM.DIST(C11, C12, C13, TRUE)</f>
        <v/>
      </c>
      <c r="G13" s="5" t="n"/>
    </row>
    <row r="14">
      <c r="B14" s="19" t="inlineStr">
        <is>
          <t>Kumulatif</t>
        </is>
      </c>
      <c r="C14" s="19" t="n">
        <v>1</v>
      </c>
    </row>
    <row r="16" ht="26" customHeight="1">
      <c r="B16" s="24" t="inlineStr">
        <is>
          <t>3️⃣ 5 SOAL TES DUNIA NYATA — KERJAKAN DI KOTAK KUNING (TANPA KUNCI RUMUS / HASIL DI SINI!)</t>
        </is>
      </c>
    </row>
    <row r="17" ht="20" customHeight="1">
      <c r="B17" s="25" t="inlineStr">
        <is>
          <t>📌 Catatan Tes: Soal Tes #1 s/d #5 di bawah ini tidak menampilkan kunci rumus maupun hasil. Kunci jawaban lengkap tersedia di sheet paling terakhir (99_KUNCI_JAWABAN).</t>
        </is>
      </c>
    </row>
    <row r="19" ht="22" customHeight="1">
      <c r="B19" s="26" t="inlineStr">
        <is>
          <t>📝 SOAL TES #1: Kasus Keuangan &amp; Akuntansi Kantor</t>
        </is>
      </c>
    </row>
    <row r="20" ht="30" customHeight="1">
      <c r="B20" s="14" t="inlineStr">
        <is>
          <t>Parameter Binomial</t>
        </is>
      </c>
      <c r="C20" s="14" t="inlineStr">
        <is>
          <t>Nilai Input</t>
        </is>
      </c>
      <c r="E20" s="27" t="inlineStr">
        <is>
          <t>Persoalan Tes #1: Hitung peluang distribusi kumulatif (TRUE) menggunakan fungsi NEGBINOM.DIST dengan argumen C21, C22, C23, dan TRUE!</t>
        </is>
      </c>
    </row>
    <row r="21">
      <c r="B21" s="19" t="inlineStr">
        <is>
          <t>Jumlah Sukses/Gagal (C21)</t>
        </is>
      </c>
      <c r="C21" s="19" t="n">
        <v>2</v>
      </c>
      <c r="E21" s="14" t="inlineStr">
        <is>
          <t>✏️ KETIK RUMUS JAWABAN TES DI BAWAH:</t>
        </is>
      </c>
      <c r="F21" s="14" t="inlineStr">
        <is>
          <t>📌 STATUS KOREKSI JAWABAN TES:</t>
        </is>
      </c>
      <c r="G21" s="5" t="n"/>
    </row>
    <row r="22" ht="26" customHeight="1">
      <c r="B22" s="19" t="inlineStr">
        <is>
          <t>Total Percobaan (C22)</t>
        </is>
      </c>
      <c r="C22" s="19" t="n">
        <v>10</v>
      </c>
      <c r="E22" s="28" t="n"/>
      <c r="F22" s="29">
        <f>IF(ISBLANK(E22), "⏳ Belum Diisi (Ketik Rumus di Sel Kuning E22)", IF(E22='99_KUNCI_JAWABAN'!F275, "✅ BENAR! JAWABAN TES TEPAT!", "❌ Belum Tepat (Cek Sheet Akhir: 99_KUNCI_JAWABAN)"))</f>
        <v/>
      </c>
      <c r="G22" s="5" t="n"/>
    </row>
    <row r="23">
      <c r="B23" s="19" t="inlineStr">
        <is>
          <t>Peluang Sukses (C23)</t>
        </is>
      </c>
      <c r="C23" s="19" t="n">
        <v>0.5</v>
      </c>
    </row>
    <row r="24">
      <c r="B24" s="19" t="inlineStr">
        <is>
          <t>Kumulatif</t>
        </is>
      </c>
      <c r="C24" s="19" t="n">
        <v>1</v>
      </c>
    </row>
    <row r="27" ht="22" customHeight="1">
      <c r="B27" s="26" t="inlineStr">
        <is>
          <t>📝 SOAL TES #2: Kasus HRD, Gaji &amp; Lembur Karyawan</t>
        </is>
      </c>
    </row>
    <row r="28" ht="30" customHeight="1">
      <c r="B28" s="14" t="inlineStr">
        <is>
          <t>Parameter Binomial</t>
        </is>
      </c>
      <c r="C28" s="14" t="inlineStr">
        <is>
          <t>Nilai Input</t>
        </is>
      </c>
      <c r="E28" s="27" t="inlineStr">
        <is>
          <t>Persoalan Tes #2: Hitung peluang distribusi kumulatif (TRUE) menggunakan fungsi NEGBINOM.DIST dengan argumen C29, C30, C31, dan TRUE!</t>
        </is>
      </c>
    </row>
    <row r="29">
      <c r="B29" s="19" t="inlineStr">
        <is>
          <t>Jumlah Sukses/Gagal (C29)</t>
        </is>
      </c>
      <c r="C29" s="19" t="n">
        <v>3</v>
      </c>
      <c r="E29" s="14" t="inlineStr">
        <is>
          <t>✏️ KETIK RUMUS JAWABAN TES DI BAWAH:</t>
        </is>
      </c>
      <c r="F29" s="14" t="inlineStr">
        <is>
          <t>📌 STATUS KOREKSI JAWABAN TES:</t>
        </is>
      </c>
      <c r="G29" s="5" t="n"/>
    </row>
    <row r="30" ht="26" customHeight="1">
      <c r="B30" s="19" t="inlineStr">
        <is>
          <t>Total Percobaan (C30)</t>
        </is>
      </c>
      <c r="C30" s="19" t="n">
        <v>11</v>
      </c>
      <c r="E30" s="28" t="n"/>
      <c r="F30" s="29">
        <f>IF(ISBLANK(E30), "⏳ Belum Diisi (Ketik Rumus di Sel Kuning E30)", IF(E30='99_KUNCI_JAWABAN'!F276, "✅ BENAR! JAWABAN TES TEPAT!", "❌ Belum Tepat (Cek Sheet Akhir: 99_KUNCI_JAWABAN)"))</f>
        <v/>
      </c>
      <c r="G30" s="5" t="n"/>
    </row>
    <row r="31">
      <c r="B31" s="19" t="inlineStr">
        <is>
          <t>Peluang Sukses (C31)</t>
        </is>
      </c>
      <c r="C31" s="19" t="n">
        <v>0.5</v>
      </c>
    </row>
    <row r="32">
      <c r="B32" s="19" t="inlineStr">
        <is>
          <t>Kumulatif</t>
        </is>
      </c>
      <c r="C32" s="19" t="n">
        <v>1</v>
      </c>
    </row>
    <row r="35" ht="22" customHeight="1">
      <c r="B35" s="26" t="inlineStr">
        <is>
          <t>📝 SOAL TES #3: Kasus Logistik &amp; Stok Gudang Utama</t>
        </is>
      </c>
    </row>
    <row r="36" ht="30" customHeight="1">
      <c r="B36" s="14" t="inlineStr">
        <is>
          <t>Parameter Binomial</t>
        </is>
      </c>
      <c r="C36" s="14" t="inlineStr">
        <is>
          <t>Nilai Input</t>
        </is>
      </c>
      <c r="E36" s="27" t="inlineStr">
        <is>
          <t>Persoalan Tes #3: Hitung peluang distribusi kumulatif (TRUE) menggunakan fungsi NEGBINOM.DIST dengan argumen C37, C38, C39, dan TRUE!</t>
        </is>
      </c>
    </row>
    <row r="37">
      <c r="B37" s="19" t="inlineStr">
        <is>
          <t>Jumlah Sukses/Gagal (C37)</t>
        </is>
      </c>
      <c r="C37" s="19" t="n">
        <v>4</v>
      </c>
      <c r="E37" s="14" t="inlineStr">
        <is>
          <t>✏️ KETIK RUMUS JAWABAN TES DI BAWAH:</t>
        </is>
      </c>
      <c r="F37" s="14" t="inlineStr">
        <is>
          <t>📌 STATUS KOREKSI JAWABAN TES:</t>
        </is>
      </c>
      <c r="G37" s="5" t="n"/>
    </row>
    <row r="38" ht="26" customHeight="1">
      <c r="B38" s="19" t="inlineStr">
        <is>
          <t>Total Percobaan (C38)</t>
        </is>
      </c>
      <c r="C38" s="19" t="n">
        <v>12</v>
      </c>
      <c r="E38" s="28" t="n"/>
      <c r="F38" s="29">
        <f>IF(ISBLANK(E38), "⏳ Belum Diisi (Ketik Rumus di Sel Kuning E38)", IF(E38='99_KUNCI_JAWABAN'!F277, "✅ BENAR! JAWABAN TES TEPAT!", "❌ Belum Tepat (Cek Sheet Akhir: 99_KUNCI_JAWABAN)"))</f>
        <v/>
      </c>
      <c r="G38" s="5" t="n"/>
    </row>
    <row r="39">
      <c r="B39" s="19" t="inlineStr">
        <is>
          <t>Peluang Sukses (C39)</t>
        </is>
      </c>
      <c r="C39" s="19" t="n">
        <v>0.5</v>
      </c>
    </row>
    <row r="40">
      <c r="B40" s="19" t="inlineStr">
        <is>
          <t>Kumulatif</t>
        </is>
      </c>
      <c r="C40" s="19" t="n">
        <v>1</v>
      </c>
    </row>
    <row r="43" ht="22" customHeight="1">
      <c r="B43" s="26" t="inlineStr">
        <is>
          <t>📝 SOAL TES #4: Kasus Penjualan Retail &amp; Target Toko</t>
        </is>
      </c>
    </row>
    <row r="44" ht="30" customHeight="1">
      <c r="B44" s="14" t="inlineStr">
        <is>
          <t>Parameter Binomial</t>
        </is>
      </c>
      <c r="C44" s="14" t="inlineStr">
        <is>
          <t>Nilai Input</t>
        </is>
      </c>
      <c r="E44" s="27" t="inlineStr">
        <is>
          <t>Persoalan Tes #4: Hitung peluang distribusi kumulatif (TRUE) menggunakan fungsi NEGBINOM.DIST dengan argumen C45, C46, C47, dan TRUE!</t>
        </is>
      </c>
    </row>
    <row r="45">
      <c r="B45" s="19" t="inlineStr">
        <is>
          <t>Jumlah Sukses/Gagal (C45)</t>
        </is>
      </c>
      <c r="C45" s="19" t="n">
        <v>2</v>
      </c>
      <c r="E45" s="14" t="inlineStr">
        <is>
          <t>✏️ KETIK RUMUS JAWABAN TES DI BAWAH:</t>
        </is>
      </c>
      <c r="F45" s="14" t="inlineStr">
        <is>
          <t>📌 STATUS KOREKSI JAWABAN TES:</t>
        </is>
      </c>
      <c r="G45" s="5" t="n"/>
    </row>
    <row r="46" ht="26" customHeight="1">
      <c r="B46" s="19" t="inlineStr">
        <is>
          <t>Total Percobaan (C46)</t>
        </is>
      </c>
      <c r="C46" s="19" t="n">
        <v>13</v>
      </c>
      <c r="E46" s="28" t="n"/>
      <c r="F46" s="29">
        <f>IF(ISBLANK(E46), "⏳ Belum Diisi (Ketik Rumus di Sel Kuning E46)", IF(E46='99_KUNCI_JAWABAN'!F278, "✅ BENAR! JAWABAN TES TEPAT!", "❌ Belum Tepat (Cek Sheet Akhir: 99_KUNCI_JAWABAN)"))</f>
        <v/>
      </c>
      <c r="G46" s="5" t="n"/>
    </row>
    <row r="47">
      <c r="B47" s="19" t="inlineStr">
        <is>
          <t>Peluang Sukses (C47)</t>
        </is>
      </c>
      <c r="C47" s="19" t="n">
        <v>0.5</v>
      </c>
    </row>
    <row r="48">
      <c r="B48" s="19" t="inlineStr">
        <is>
          <t>Kumulatif</t>
        </is>
      </c>
      <c r="C48" s="19" t="n">
        <v>1</v>
      </c>
    </row>
    <row r="51" ht="22" customHeight="1">
      <c r="B51" s="26" t="inlineStr">
        <is>
          <t>📝 SOAL TES #5: Kasus Akademik Sekolah &amp; Layanan Publik</t>
        </is>
      </c>
    </row>
    <row r="52" ht="30" customHeight="1">
      <c r="B52" s="14" t="inlineStr">
        <is>
          <t>Parameter Binomial</t>
        </is>
      </c>
      <c r="C52" s="14" t="inlineStr">
        <is>
          <t>Nilai Input</t>
        </is>
      </c>
      <c r="E52" s="27" t="inlineStr">
        <is>
          <t>Persoalan Tes #5: Hitung peluang distribusi kumulatif (TRUE) menggunakan fungsi NEGBINOM.DIST dengan argumen C53, C54, C55, dan TRUE!</t>
        </is>
      </c>
    </row>
    <row r="53">
      <c r="B53" s="19" t="inlineStr">
        <is>
          <t>Jumlah Sukses/Gagal (C53)</t>
        </is>
      </c>
      <c r="C53" s="19" t="n">
        <v>3</v>
      </c>
      <c r="E53" s="14" t="inlineStr">
        <is>
          <t>✏️ KETIK RUMUS JAWABAN TES DI BAWAH:</t>
        </is>
      </c>
      <c r="F53" s="14" t="inlineStr">
        <is>
          <t>📌 STATUS KOREKSI JAWABAN TES:</t>
        </is>
      </c>
      <c r="G53" s="5" t="n"/>
    </row>
    <row r="54" ht="26" customHeight="1">
      <c r="B54" s="19" t="inlineStr">
        <is>
          <t>Total Percobaan (C54)</t>
        </is>
      </c>
      <c r="C54" s="19" t="n">
        <v>14</v>
      </c>
      <c r="E54" s="28" t="n"/>
      <c r="F54" s="29">
        <f>IF(ISBLANK(E54), "⏳ Belum Diisi (Ketik Rumus di Sel Kuning E54)", IF(E54='99_KUNCI_JAWABAN'!F279, "✅ BENAR! JAWABAN TES TEPAT!", "❌ Belum Tepat (Cek Sheet Akhir: 99_KUNCI_JAWABAN)"))</f>
        <v/>
      </c>
      <c r="G54" s="5" t="n"/>
    </row>
    <row r="55">
      <c r="B55" s="19" t="inlineStr">
        <is>
          <t>Peluang Sukses (C55)</t>
        </is>
      </c>
      <c r="C55" s="19" t="n">
        <v>0.5</v>
      </c>
    </row>
    <row r="56">
      <c r="B56" s="19" t="inlineStr">
        <is>
          <t>Kumulatif</t>
        </is>
      </c>
      <c r="C56" s="19" t="n">
        <v>1</v>
      </c>
    </row>
  </sheetData>
  <mergeCells count="33">
    <mergeCell ref="E10:G10"/>
    <mergeCell ref="F11:G11"/>
    <mergeCell ref="E28:G28"/>
    <mergeCell ref="F29:G29"/>
    <mergeCell ref="C6:G6"/>
    <mergeCell ref="F54:G54"/>
    <mergeCell ref="B17:G17"/>
    <mergeCell ref="B1:G1"/>
    <mergeCell ref="C5:G5"/>
    <mergeCell ref="B19:G19"/>
    <mergeCell ref="F21:G21"/>
    <mergeCell ref="F12:G12"/>
    <mergeCell ref="F30:G30"/>
    <mergeCell ref="E36:G36"/>
    <mergeCell ref="B9:G9"/>
    <mergeCell ref="F45:G45"/>
    <mergeCell ref="B51:G51"/>
    <mergeCell ref="F38:G38"/>
    <mergeCell ref="B35:G35"/>
    <mergeCell ref="B4:G4"/>
    <mergeCell ref="F46:G46"/>
    <mergeCell ref="F22:G22"/>
    <mergeCell ref="B2:E2"/>
    <mergeCell ref="F13:G13"/>
    <mergeCell ref="B16:G16"/>
    <mergeCell ref="F37:G37"/>
    <mergeCell ref="C7:G7"/>
    <mergeCell ref="E52:G52"/>
    <mergeCell ref="B27:G27"/>
    <mergeCell ref="B43:G43"/>
    <mergeCell ref="E44:G44"/>
    <mergeCell ref="E20:G20"/>
    <mergeCell ref="F53:G53"/>
  </mergeCells>
  <hyperlinks>
    <hyperlink xmlns:r="http://schemas.openxmlformats.org/officeDocument/2006/relationships" ref="F2" r:id="rId1"/>
    <hyperlink xmlns:r="http://schemas.openxmlformats.org/officeDocument/2006/relationships" ref="G2" r:id="rId2"/>
  </hyperlinks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B1:G56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22" customWidth="1" min="3" max="3"/>
    <col width="4" customWidth="1" min="4" max="4"/>
    <col width="34" customWidth="1" min="5" max="5"/>
    <col width="44" customWidth="1" min="6" max="6"/>
    <col width="28" customWidth="1" min="7" max="7"/>
  </cols>
  <sheetData>
    <row r="1" ht="30" customHeight="1">
      <c r="B1" s="10" t="inlineStr">
        <is>
          <t>📊 #056 — RUMUS EXCEL: NORM.DIST   |   Kategori: 8. Statistik &amp; Analisis Data</t>
        </is>
      </c>
    </row>
    <row r="2" ht="22" customHeight="1">
      <c r="B2" s="11" t="inlineStr">
        <is>
          <t>1 Rumus = 1 Contoh Soal + Jawaban Benar &amp; 5 Soal Tes Mandiri (Kunci Jawaban Ada di Sheet Paling Terakhir)</t>
        </is>
      </c>
      <c r="F2" s="12" t="inlineStr">
        <is>
          <t>⬅️ Ke Daftar Isi (00_DAFTAR_ISI)</t>
        </is>
      </c>
      <c r="G2" s="3" t="inlineStr">
        <is>
          <t>🔑 Ke Kunci Jawaban (Sheet Akhir)</t>
        </is>
      </c>
    </row>
    <row r="4" ht="24" customHeight="1">
      <c r="B4" s="13" t="inlineStr">
        <is>
          <t>1️⃣ IDENTITAS RUMUS &amp; FUNGSINYA BUAT APA? (NORM.DIST)</t>
        </is>
      </c>
    </row>
    <row r="5" ht="21" customHeight="1">
      <c r="B5" s="14" t="inlineStr">
        <is>
          <t>Nama Rumus Excel</t>
        </is>
      </c>
      <c r="C5" s="15">
        <f>NORM.DIST(...)</f>
        <v/>
      </c>
      <c r="D5" s="5" t="n"/>
      <c r="E5" s="5" t="n"/>
      <c r="F5" s="5" t="n"/>
      <c r="G5" s="5" t="n"/>
    </row>
    <row r="6" ht="21" customHeight="1">
      <c r="B6" s="14" t="inlineStr">
        <is>
          <t>Sintaks / Pola Umum</t>
        </is>
      </c>
      <c r="C6" s="15">
        <f>NORM.DIST(x, mean, standard_dev, TRUE)</f>
        <v/>
      </c>
      <c r="D6" s="5" t="n"/>
      <c r="E6" s="5" t="n"/>
      <c r="F6" s="5" t="n"/>
      <c r="G6" s="5" t="n"/>
    </row>
    <row r="7" ht="26" customHeight="1">
      <c r="B7" s="14" t="inlineStr">
        <is>
          <t>👶 Fungsinya Buat Apa?</t>
        </is>
      </c>
      <c r="C7" s="16" t="inlineStr">
        <is>
          <t>Menghasilkan nilai distribusi normal untuk rata-rata dan simpangan baku tertentu.</t>
        </is>
      </c>
      <c r="D7" s="5" t="n"/>
      <c r="E7" s="5" t="n"/>
      <c r="F7" s="5" t="n"/>
      <c r="G7" s="5" t="n"/>
    </row>
    <row r="9" ht="24" customHeight="1">
      <c r="B9" s="17" t="inlineStr">
        <is>
          <t>2️⃣ 1 CONTOH SOAL &amp; CONTOH JAWABAN BENAR (PELAJARI POLA RUMUS NORM.DIST DI SINI)</t>
        </is>
      </c>
    </row>
    <row r="10">
      <c r="B10" s="18" t="inlineStr">
        <is>
          <t>Nama Parameter</t>
        </is>
      </c>
      <c r="C10" s="18" t="inlineStr">
        <is>
          <t>Nilai Parameter</t>
        </is>
      </c>
      <c r="E10" s="18" t="inlineStr">
        <is>
          <t>✅ 1 CONTOH SOAL BESERTA CONTOH RUMUS &amp; HASIL JAWABAN BENAR:</t>
        </is>
      </c>
      <c r="F10" s="5" t="n"/>
      <c r="G10" s="5" t="n"/>
    </row>
    <row r="11" ht="28" customHeight="1">
      <c r="B11" s="19" t="inlineStr">
        <is>
          <t>Nilai X (C11)</t>
        </is>
      </c>
      <c r="C11" s="19" t="n">
        <v>15</v>
      </c>
      <c r="E11" s="20" t="inlineStr">
        <is>
          <t>Contoh Soal:</t>
        </is>
      </c>
      <c r="F11" s="21" t="inlineStr">
        <is>
          <t>Hitung nilai distribusi kumulatif (TRUE) menggunakan fungsi NORM.DIST dengan argumen berurutan C11, C12, C13, dan TRUE!</t>
        </is>
      </c>
      <c r="G11" s="5" t="n"/>
    </row>
    <row r="12">
      <c r="B12" s="19" t="inlineStr">
        <is>
          <t>Parameter 1 / Mean (C12)</t>
        </is>
      </c>
      <c r="C12" s="19" t="n">
        <v>8</v>
      </c>
      <c r="E12" s="20" t="inlineStr">
        <is>
          <t>Contoh Rumus Benar:</t>
        </is>
      </c>
      <c r="F12" s="22" t="inlineStr">
        <is>
          <t>'=NORM.DIST(C11, C12, C13, TRUE)</t>
        </is>
      </c>
      <c r="G12" s="5" t="n"/>
    </row>
    <row r="13">
      <c r="B13" s="19" t="inlineStr">
        <is>
          <t>Parameter 2 / SD (C13)</t>
        </is>
      </c>
      <c r="C13" s="19" t="n">
        <v>2</v>
      </c>
      <c r="E13" s="20" t="inlineStr">
        <is>
          <t>Contoh Hasil Benar:</t>
        </is>
      </c>
      <c r="F13" s="23">
        <f>NORM.DIST(C11, C12, C13, TRUE)</f>
        <v/>
      </c>
      <c r="G13" s="5" t="n"/>
    </row>
    <row r="14">
      <c r="B14" s="19" t="inlineStr">
        <is>
          <t>Kumulatif</t>
        </is>
      </c>
      <c r="C14" s="19" t="n">
        <v>1</v>
      </c>
    </row>
    <row r="16" ht="26" customHeight="1">
      <c r="B16" s="24" t="inlineStr">
        <is>
          <t>3️⃣ 5 SOAL TES DUNIA NYATA — KERJAKAN DI KOTAK KUNING (TANPA KUNCI RUMUS / HASIL DI SINI!)</t>
        </is>
      </c>
    </row>
    <row r="17" ht="20" customHeight="1">
      <c r="B17" s="25" t="inlineStr">
        <is>
          <t>📌 Catatan Tes: Soal Tes #1 s/d #5 di bawah ini tidak menampilkan kunci rumus maupun hasil. Kunci jawaban lengkap tersedia di sheet paling terakhir (99_KUNCI_JAWABAN).</t>
        </is>
      </c>
    </row>
    <row r="19" ht="22" customHeight="1">
      <c r="B19" s="26" t="inlineStr">
        <is>
          <t>📝 SOAL TES #1: Kasus Keuangan &amp; Akuntansi Kantor</t>
        </is>
      </c>
    </row>
    <row r="20" ht="30" customHeight="1">
      <c r="B20" s="14" t="inlineStr">
        <is>
          <t>Nama Parameter</t>
        </is>
      </c>
      <c r="C20" s="14" t="inlineStr">
        <is>
          <t>Nilai Parameter</t>
        </is>
      </c>
      <c r="E20" s="27" t="inlineStr">
        <is>
          <t>Persoalan Tes #1: Hitung nilai distribusi kumulatif (TRUE) menggunakan fungsi NORM.DIST dengan argumen berurutan C21, C22, C23, dan TRUE!</t>
        </is>
      </c>
    </row>
    <row r="21">
      <c r="B21" s="19" t="inlineStr">
        <is>
          <t>Nilai X (C21)</t>
        </is>
      </c>
      <c r="C21" s="19" t="n">
        <v>10</v>
      </c>
      <c r="E21" s="14" t="inlineStr">
        <is>
          <t>✏️ KETIK RUMUS JAWABAN TES DI BAWAH:</t>
        </is>
      </c>
      <c r="F21" s="14" t="inlineStr">
        <is>
          <t>📌 STATUS KOREKSI JAWABAN TES:</t>
        </is>
      </c>
      <c r="G21" s="5" t="n"/>
    </row>
    <row r="22" ht="26" customHeight="1">
      <c r="B22" s="19" t="inlineStr">
        <is>
          <t>Parameter 1 / Mean (C22)</t>
        </is>
      </c>
      <c r="C22" s="19" t="n">
        <v>8</v>
      </c>
      <c r="E22" s="28" t="n"/>
      <c r="F22" s="29">
        <f>IF(ISBLANK(E22), "⏳ Belum Diisi (Ketik Rumus di Sel Kuning E22)", IF(E22='99_KUNCI_JAWABAN'!F280, "✅ BENAR! JAWABAN TES TEPAT!", "❌ Belum Tepat (Cek Sheet Akhir: 99_KUNCI_JAWABAN)"))</f>
        <v/>
      </c>
      <c r="G22" s="5" t="n"/>
    </row>
    <row r="23">
      <c r="B23" s="19" t="inlineStr">
        <is>
          <t>Parameter 2 / SD (C23)</t>
        </is>
      </c>
      <c r="C23" s="19" t="n">
        <v>2</v>
      </c>
    </row>
    <row r="24">
      <c r="B24" s="19" t="inlineStr">
        <is>
          <t>Kumulatif</t>
        </is>
      </c>
      <c r="C24" s="19" t="n">
        <v>1</v>
      </c>
    </row>
    <row r="27" ht="22" customHeight="1">
      <c r="B27" s="26" t="inlineStr">
        <is>
          <t>📝 SOAL TES #2: Kasus HRD, Gaji &amp; Lembur Karyawan</t>
        </is>
      </c>
    </row>
    <row r="28" ht="30" customHeight="1">
      <c r="B28" s="14" t="inlineStr">
        <is>
          <t>Nama Parameter</t>
        </is>
      </c>
      <c r="C28" s="14" t="inlineStr">
        <is>
          <t>Nilai Parameter</t>
        </is>
      </c>
      <c r="E28" s="27" t="inlineStr">
        <is>
          <t>Persoalan Tes #2: Hitung nilai distribusi kumulatif (TRUE) menggunakan fungsi NORM.DIST dengan argumen berurutan C29, C30, C31, dan TRUE!</t>
        </is>
      </c>
    </row>
    <row r="29">
      <c r="B29" s="19" t="inlineStr">
        <is>
          <t>Nilai X (C29)</t>
        </is>
      </c>
      <c r="C29" s="19" t="n">
        <v>11</v>
      </c>
      <c r="E29" s="14" t="inlineStr">
        <is>
          <t>✏️ KETIK RUMUS JAWABAN TES DI BAWAH:</t>
        </is>
      </c>
      <c r="F29" s="14" t="inlineStr">
        <is>
          <t>📌 STATUS KOREKSI JAWABAN TES:</t>
        </is>
      </c>
      <c r="G29" s="5" t="n"/>
    </row>
    <row r="30" ht="26" customHeight="1">
      <c r="B30" s="19" t="inlineStr">
        <is>
          <t>Parameter 1 / Mean (C30)</t>
        </is>
      </c>
      <c r="C30" s="19" t="n">
        <v>8</v>
      </c>
      <c r="E30" s="28" t="n"/>
      <c r="F30" s="29">
        <f>IF(ISBLANK(E30), "⏳ Belum Diisi (Ketik Rumus di Sel Kuning E30)", IF(E30='99_KUNCI_JAWABAN'!F281, "✅ BENAR! JAWABAN TES TEPAT!", "❌ Belum Tepat (Cek Sheet Akhir: 99_KUNCI_JAWABAN)"))</f>
        <v/>
      </c>
      <c r="G30" s="5" t="n"/>
    </row>
    <row r="31">
      <c r="B31" s="19" t="inlineStr">
        <is>
          <t>Parameter 2 / SD (C31)</t>
        </is>
      </c>
      <c r="C31" s="19" t="n">
        <v>2</v>
      </c>
    </row>
    <row r="32">
      <c r="B32" s="19" t="inlineStr">
        <is>
          <t>Kumulatif</t>
        </is>
      </c>
      <c r="C32" s="19" t="n">
        <v>1</v>
      </c>
    </row>
    <row r="35" ht="22" customHeight="1">
      <c r="B35" s="26" t="inlineStr">
        <is>
          <t>📝 SOAL TES #3: Kasus Logistik &amp; Stok Gudang Utama</t>
        </is>
      </c>
    </row>
    <row r="36" ht="30" customHeight="1">
      <c r="B36" s="14" t="inlineStr">
        <is>
          <t>Nama Parameter</t>
        </is>
      </c>
      <c r="C36" s="14" t="inlineStr">
        <is>
          <t>Nilai Parameter</t>
        </is>
      </c>
      <c r="E36" s="27" t="inlineStr">
        <is>
          <t>Persoalan Tes #3: Hitung nilai distribusi kumulatif (TRUE) menggunakan fungsi NORM.DIST dengan argumen berurutan C37, C38, C39, dan TRUE!</t>
        </is>
      </c>
    </row>
    <row r="37">
      <c r="B37" s="19" t="inlineStr">
        <is>
          <t>Nilai X (C37)</t>
        </is>
      </c>
      <c r="C37" s="19" t="n">
        <v>12</v>
      </c>
      <c r="E37" s="14" t="inlineStr">
        <is>
          <t>✏️ KETIK RUMUS JAWABAN TES DI BAWAH:</t>
        </is>
      </c>
      <c r="F37" s="14" t="inlineStr">
        <is>
          <t>📌 STATUS KOREKSI JAWABAN TES:</t>
        </is>
      </c>
      <c r="G37" s="5" t="n"/>
    </row>
    <row r="38" ht="26" customHeight="1">
      <c r="B38" s="19" t="inlineStr">
        <is>
          <t>Parameter 1 / Mean (C38)</t>
        </is>
      </c>
      <c r="C38" s="19" t="n">
        <v>8</v>
      </c>
      <c r="E38" s="28" t="n"/>
      <c r="F38" s="29">
        <f>IF(ISBLANK(E38), "⏳ Belum Diisi (Ketik Rumus di Sel Kuning E38)", IF(E38='99_KUNCI_JAWABAN'!F282, "✅ BENAR! JAWABAN TES TEPAT!", "❌ Belum Tepat (Cek Sheet Akhir: 99_KUNCI_JAWABAN)"))</f>
        <v/>
      </c>
      <c r="G38" s="5" t="n"/>
    </row>
    <row r="39">
      <c r="B39" s="19" t="inlineStr">
        <is>
          <t>Parameter 2 / SD (C39)</t>
        </is>
      </c>
      <c r="C39" s="19" t="n">
        <v>2</v>
      </c>
    </row>
    <row r="40">
      <c r="B40" s="19" t="inlineStr">
        <is>
          <t>Kumulatif</t>
        </is>
      </c>
      <c r="C40" s="19" t="n">
        <v>1</v>
      </c>
    </row>
    <row r="43" ht="22" customHeight="1">
      <c r="B43" s="26" t="inlineStr">
        <is>
          <t>📝 SOAL TES #4: Kasus Penjualan Retail &amp; Target Toko</t>
        </is>
      </c>
    </row>
    <row r="44" ht="30" customHeight="1">
      <c r="B44" s="14" t="inlineStr">
        <is>
          <t>Nama Parameter</t>
        </is>
      </c>
      <c r="C44" s="14" t="inlineStr">
        <is>
          <t>Nilai Parameter</t>
        </is>
      </c>
      <c r="E44" s="27" t="inlineStr">
        <is>
          <t>Persoalan Tes #4: Hitung nilai distribusi kumulatif (TRUE) menggunakan fungsi NORM.DIST dengan argumen berurutan C45, C46, C47, dan TRUE!</t>
        </is>
      </c>
    </row>
    <row r="45">
      <c r="B45" s="19" t="inlineStr">
        <is>
          <t>Nilai X (C45)</t>
        </is>
      </c>
      <c r="C45" s="19" t="n">
        <v>13</v>
      </c>
      <c r="E45" s="14" t="inlineStr">
        <is>
          <t>✏️ KETIK RUMUS JAWABAN TES DI BAWAH:</t>
        </is>
      </c>
      <c r="F45" s="14" t="inlineStr">
        <is>
          <t>📌 STATUS KOREKSI JAWABAN TES:</t>
        </is>
      </c>
      <c r="G45" s="5" t="n"/>
    </row>
    <row r="46" ht="26" customHeight="1">
      <c r="B46" s="19" t="inlineStr">
        <is>
          <t>Parameter 1 / Mean (C46)</t>
        </is>
      </c>
      <c r="C46" s="19" t="n">
        <v>8</v>
      </c>
      <c r="E46" s="28" t="n"/>
      <c r="F46" s="29">
        <f>IF(ISBLANK(E46), "⏳ Belum Diisi (Ketik Rumus di Sel Kuning E46)", IF(E46='99_KUNCI_JAWABAN'!F283, "✅ BENAR! JAWABAN TES TEPAT!", "❌ Belum Tepat (Cek Sheet Akhir: 99_KUNCI_JAWABAN)"))</f>
        <v/>
      </c>
      <c r="G46" s="5" t="n"/>
    </row>
    <row r="47">
      <c r="B47" s="19" t="inlineStr">
        <is>
          <t>Parameter 2 / SD (C47)</t>
        </is>
      </c>
      <c r="C47" s="19" t="n">
        <v>2</v>
      </c>
    </row>
    <row r="48">
      <c r="B48" s="19" t="inlineStr">
        <is>
          <t>Kumulatif</t>
        </is>
      </c>
      <c r="C48" s="19" t="n">
        <v>1</v>
      </c>
    </row>
    <row r="51" ht="22" customHeight="1">
      <c r="B51" s="26" t="inlineStr">
        <is>
          <t>📝 SOAL TES #5: Kasus Akademik Sekolah &amp; Layanan Publik</t>
        </is>
      </c>
    </row>
    <row r="52" ht="30" customHeight="1">
      <c r="B52" s="14" t="inlineStr">
        <is>
          <t>Nama Parameter</t>
        </is>
      </c>
      <c r="C52" s="14" t="inlineStr">
        <is>
          <t>Nilai Parameter</t>
        </is>
      </c>
      <c r="E52" s="27" t="inlineStr">
        <is>
          <t>Persoalan Tes #5: Hitung nilai distribusi kumulatif (TRUE) menggunakan fungsi NORM.DIST dengan argumen berurutan C53, C54, C55, dan TRUE!</t>
        </is>
      </c>
    </row>
    <row r="53">
      <c r="B53" s="19" t="inlineStr">
        <is>
          <t>Nilai X (C53)</t>
        </is>
      </c>
      <c r="C53" s="19" t="n">
        <v>14</v>
      </c>
      <c r="E53" s="14" t="inlineStr">
        <is>
          <t>✏️ KETIK RUMUS JAWABAN TES DI BAWAH:</t>
        </is>
      </c>
      <c r="F53" s="14" t="inlineStr">
        <is>
          <t>📌 STATUS KOREKSI JAWABAN TES:</t>
        </is>
      </c>
      <c r="G53" s="5" t="n"/>
    </row>
    <row r="54" ht="26" customHeight="1">
      <c r="B54" s="19" t="inlineStr">
        <is>
          <t>Parameter 1 / Mean (C54)</t>
        </is>
      </c>
      <c r="C54" s="19" t="n">
        <v>8</v>
      </c>
      <c r="E54" s="28" t="n"/>
      <c r="F54" s="29">
        <f>IF(ISBLANK(E54), "⏳ Belum Diisi (Ketik Rumus di Sel Kuning E54)", IF(E54='99_KUNCI_JAWABAN'!F284, "✅ BENAR! JAWABAN TES TEPAT!", "❌ Belum Tepat (Cek Sheet Akhir: 99_KUNCI_JAWABAN)"))</f>
        <v/>
      </c>
      <c r="G54" s="5" t="n"/>
    </row>
    <row r="55">
      <c r="B55" s="19" t="inlineStr">
        <is>
          <t>Parameter 2 / SD (C55)</t>
        </is>
      </c>
      <c r="C55" s="19" t="n">
        <v>2</v>
      </c>
    </row>
    <row r="56">
      <c r="B56" s="19" t="inlineStr">
        <is>
          <t>Kumulatif</t>
        </is>
      </c>
      <c r="C56" s="19" t="n">
        <v>1</v>
      </c>
    </row>
  </sheetData>
  <mergeCells count="33">
    <mergeCell ref="E10:G10"/>
    <mergeCell ref="F11:G11"/>
    <mergeCell ref="E28:G28"/>
    <mergeCell ref="F29:G29"/>
    <mergeCell ref="C6:G6"/>
    <mergeCell ref="F54:G54"/>
    <mergeCell ref="B17:G17"/>
    <mergeCell ref="B1:G1"/>
    <mergeCell ref="C5:G5"/>
    <mergeCell ref="B19:G19"/>
    <mergeCell ref="F21:G21"/>
    <mergeCell ref="F12:G12"/>
    <mergeCell ref="F30:G30"/>
    <mergeCell ref="E36:G36"/>
    <mergeCell ref="B9:G9"/>
    <mergeCell ref="F45:G45"/>
    <mergeCell ref="B51:G51"/>
    <mergeCell ref="F38:G38"/>
    <mergeCell ref="B35:G35"/>
    <mergeCell ref="B4:G4"/>
    <mergeCell ref="F46:G46"/>
    <mergeCell ref="F22:G22"/>
    <mergeCell ref="B2:E2"/>
    <mergeCell ref="F13:G13"/>
    <mergeCell ref="B16:G16"/>
    <mergeCell ref="F37:G37"/>
    <mergeCell ref="C7:G7"/>
    <mergeCell ref="E52:G52"/>
    <mergeCell ref="B27:G27"/>
    <mergeCell ref="B43:G43"/>
    <mergeCell ref="E44:G44"/>
    <mergeCell ref="E20:G20"/>
    <mergeCell ref="F53:G53"/>
  </mergeCells>
  <hyperlinks>
    <hyperlink xmlns:r="http://schemas.openxmlformats.org/officeDocument/2006/relationships" ref="F2" r:id="rId1"/>
    <hyperlink xmlns:r="http://schemas.openxmlformats.org/officeDocument/2006/relationships" ref="G2" r:id="rId2"/>
  </hyperlinks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B1:G56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22" customWidth="1" min="3" max="3"/>
    <col width="4" customWidth="1" min="4" max="4"/>
    <col width="34" customWidth="1" min="5" max="5"/>
    <col width="44" customWidth="1" min="6" max="6"/>
    <col width="28" customWidth="1" min="7" max="7"/>
  </cols>
  <sheetData>
    <row r="1" ht="30" customHeight="1">
      <c r="B1" s="10" t="inlineStr">
        <is>
          <t>📊 #057 — RUMUS EXCEL: NORM.INV   |   Kategori: 8. Statistik &amp; Analisis Data</t>
        </is>
      </c>
    </row>
    <row r="2" ht="22" customHeight="1">
      <c r="B2" s="11" t="inlineStr">
        <is>
          <t>1 Rumus = 1 Contoh Soal + Jawaban Benar &amp; 5 Soal Tes Mandiri (Kunci Jawaban Ada di Sheet Paling Terakhir)</t>
        </is>
      </c>
      <c r="F2" s="12" t="inlineStr">
        <is>
          <t>⬅️ Ke Daftar Isi (00_DAFTAR_ISI)</t>
        </is>
      </c>
      <c r="G2" s="3" t="inlineStr">
        <is>
          <t>🔑 Ke Kunci Jawaban (Sheet Akhir)</t>
        </is>
      </c>
    </row>
    <row r="4" ht="24" customHeight="1">
      <c r="B4" s="13" t="inlineStr">
        <is>
          <t>1️⃣ IDENTITAS RUMUS &amp; FUNGSINYA BUAT APA? (NORM.INV)</t>
        </is>
      </c>
    </row>
    <row r="5" ht="21" customHeight="1">
      <c r="B5" s="14" t="inlineStr">
        <is>
          <t>Nama Rumus Excel</t>
        </is>
      </c>
      <c r="C5" s="15">
        <f>NORM.INV(...)</f>
        <v/>
      </c>
      <c r="D5" s="5" t="n"/>
      <c r="E5" s="5" t="n"/>
      <c r="F5" s="5" t="n"/>
      <c r="G5" s="5" t="n"/>
    </row>
    <row r="6" ht="21" customHeight="1">
      <c r="B6" s="14" t="inlineStr">
        <is>
          <t>Sintaks / Pola Umum</t>
        </is>
      </c>
      <c r="C6" s="15">
        <f>NORM.INV(probabilitas, mean, standard_dev)</f>
        <v/>
      </c>
      <c r="D6" s="5" t="n"/>
      <c r="E6" s="5" t="n"/>
      <c r="F6" s="5" t="n"/>
      <c r="G6" s="5" t="n"/>
    </row>
    <row r="7" ht="26" customHeight="1">
      <c r="B7" s="14" t="inlineStr">
        <is>
          <t>👶 Fungsinya Buat Apa?</t>
        </is>
      </c>
      <c r="C7" s="16" t="inlineStr">
        <is>
          <t>Menghasilkan invers dari distribusi normal kumulatif.</t>
        </is>
      </c>
      <c r="D7" s="5" t="n"/>
      <c r="E7" s="5" t="n"/>
      <c r="F7" s="5" t="n"/>
      <c r="G7" s="5" t="n"/>
    </row>
    <row r="9" ht="24" customHeight="1">
      <c r="B9" s="17" t="inlineStr">
        <is>
          <t>2️⃣ 1 CONTOH SOAL &amp; CONTOH JAWABAN BENAR (PELAJARI POLA RUMUS NORM.INV DI SINI)</t>
        </is>
      </c>
    </row>
    <row r="10">
      <c r="B10" s="18" t="inlineStr">
        <is>
          <t>Nama Parameter</t>
        </is>
      </c>
      <c r="C10" s="18" t="inlineStr">
        <is>
          <t>Nilai Parameter</t>
        </is>
      </c>
      <c r="E10" s="18" t="inlineStr">
        <is>
          <t>✅ 1 CONTOH SOAL BESERTA CONTOH RUMUS &amp; HASIL JAWABAN BENAR:</t>
        </is>
      </c>
      <c r="F10" s="5" t="n"/>
      <c r="G10" s="5" t="n"/>
    </row>
    <row r="11" ht="28" customHeight="1">
      <c r="B11" s="19" t="inlineStr">
        <is>
          <t>Probabilitas (C11)</t>
        </is>
      </c>
      <c r="C11" s="19" t="n">
        <v>0.75</v>
      </c>
      <c r="E11" s="20" t="inlineStr">
        <is>
          <t>Contoh Soal:</t>
        </is>
      </c>
      <c r="F11" s="21" t="inlineStr">
        <is>
          <t>Hitung nilai invers distribusi menggunakan fungsi NORM.INV dengan argumen berurutan C11, C12, dan C13!</t>
        </is>
      </c>
      <c r="G11" s="5" t="n"/>
    </row>
    <row r="12">
      <c r="B12" s="19" t="inlineStr">
        <is>
          <t>Parameter 1 / Mean (C12)</t>
        </is>
      </c>
      <c r="C12" s="19" t="n">
        <v>10</v>
      </c>
      <c r="E12" s="20" t="inlineStr">
        <is>
          <t>Contoh Rumus Benar:</t>
        </is>
      </c>
      <c r="F12" s="22" t="inlineStr">
        <is>
          <t>'=NORM.INV(C11, C12, C13)</t>
        </is>
      </c>
      <c r="G12" s="5" t="n"/>
    </row>
    <row r="13">
      <c r="B13" s="19" t="inlineStr">
        <is>
          <t>Parameter 2 / SD (C13)</t>
        </is>
      </c>
      <c r="C13" s="19" t="n">
        <v>2</v>
      </c>
      <c r="E13" s="20" t="inlineStr">
        <is>
          <t>Contoh Hasil Benar:</t>
        </is>
      </c>
      <c r="F13" s="23">
        <f>NORM.INV(C11, C12, C13)</f>
        <v/>
      </c>
      <c r="G13" s="5" t="n"/>
    </row>
    <row r="14">
      <c r="B14" s="19" t="inlineStr">
        <is>
          <t>Cadangan</t>
        </is>
      </c>
      <c r="C14" s="19" t="n">
        <v>1</v>
      </c>
    </row>
    <row r="16" ht="26" customHeight="1">
      <c r="B16" s="24" t="inlineStr">
        <is>
          <t>3️⃣ 5 SOAL TES DUNIA NYATA — KERJAKAN DI KOTAK KUNING (TANPA KUNCI RUMUS / HASIL DI SINI!)</t>
        </is>
      </c>
    </row>
    <row r="17" ht="20" customHeight="1">
      <c r="B17" s="25" t="inlineStr">
        <is>
          <t>📌 Catatan Tes: Soal Tes #1 s/d #5 di bawah ini tidak menampilkan kunci rumus maupun hasil. Kunci jawaban lengkap tersedia di sheet paling terakhir (99_KUNCI_JAWABAN).</t>
        </is>
      </c>
    </row>
    <row r="19" ht="22" customHeight="1">
      <c r="B19" s="26" t="inlineStr">
        <is>
          <t>📝 SOAL TES #1: Kasus Keuangan &amp; Akuntansi Kantor</t>
        </is>
      </c>
    </row>
    <row r="20" ht="30" customHeight="1">
      <c r="B20" s="14" t="inlineStr">
        <is>
          <t>Nama Parameter</t>
        </is>
      </c>
      <c r="C20" s="14" t="inlineStr">
        <is>
          <t>Nilai Parameter</t>
        </is>
      </c>
      <c r="E20" s="27" t="inlineStr">
        <is>
          <t>Persoalan Tes #1: Hitung nilai invers distribusi menggunakan fungsi NORM.INV dengan argumen berurutan C21, C22, dan C23!</t>
        </is>
      </c>
    </row>
    <row r="21">
      <c r="B21" s="19" t="inlineStr">
        <is>
          <t>Probabilitas (C21)</t>
        </is>
      </c>
      <c r="C21" s="19" t="n">
        <v>0.25</v>
      </c>
      <c r="E21" s="14" t="inlineStr">
        <is>
          <t>✏️ KETIK RUMUS JAWABAN TES DI BAWAH:</t>
        </is>
      </c>
      <c r="F21" s="14" t="inlineStr">
        <is>
          <t>📌 STATUS KOREKSI JAWABAN TES:</t>
        </is>
      </c>
      <c r="G21" s="5" t="n"/>
    </row>
    <row r="22" ht="26" customHeight="1">
      <c r="B22" s="19" t="inlineStr">
        <is>
          <t>Parameter 1 / Mean (C22)</t>
        </is>
      </c>
      <c r="C22" s="19" t="n">
        <v>10</v>
      </c>
      <c r="E22" s="28" t="n"/>
      <c r="F22" s="29">
        <f>IF(ISBLANK(E22), "⏳ Belum Diisi (Ketik Rumus di Sel Kuning E22)", IF(E22='99_KUNCI_JAWABAN'!F285, "✅ BENAR! JAWABAN TES TEPAT!", "❌ Belum Tepat (Cek Sheet Akhir: 99_KUNCI_JAWABAN)"))</f>
        <v/>
      </c>
      <c r="G22" s="5" t="n"/>
    </row>
    <row r="23">
      <c r="B23" s="19" t="inlineStr">
        <is>
          <t>Parameter 2 / SD (C23)</t>
        </is>
      </c>
      <c r="C23" s="19" t="n">
        <v>2</v>
      </c>
    </row>
    <row r="24">
      <c r="B24" s="19" t="inlineStr">
        <is>
          <t>Cadangan</t>
        </is>
      </c>
      <c r="C24" s="19" t="n">
        <v>1</v>
      </c>
    </row>
    <row r="27" ht="22" customHeight="1">
      <c r="B27" s="26" t="inlineStr">
        <is>
          <t>📝 SOAL TES #2: Kasus HRD, Gaji &amp; Lembur Karyawan</t>
        </is>
      </c>
    </row>
    <row r="28" ht="30" customHeight="1">
      <c r="B28" s="14" t="inlineStr">
        <is>
          <t>Nama Parameter</t>
        </is>
      </c>
      <c r="C28" s="14" t="inlineStr">
        <is>
          <t>Nilai Parameter</t>
        </is>
      </c>
      <c r="E28" s="27" t="inlineStr">
        <is>
          <t>Persoalan Tes #2: Hitung nilai invers distribusi menggunakan fungsi NORM.INV dengan argumen berurutan C29, C30, dan C31!</t>
        </is>
      </c>
    </row>
    <row r="29">
      <c r="B29" s="19" t="inlineStr">
        <is>
          <t>Probabilitas (C29)</t>
        </is>
      </c>
      <c r="C29" s="19" t="n">
        <v>0.35</v>
      </c>
      <c r="E29" s="14" t="inlineStr">
        <is>
          <t>✏️ KETIK RUMUS JAWABAN TES DI BAWAH:</t>
        </is>
      </c>
      <c r="F29" s="14" t="inlineStr">
        <is>
          <t>📌 STATUS KOREKSI JAWABAN TES:</t>
        </is>
      </c>
      <c r="G29" s="5" t="n"/>
    </row>
    <row r="30" ht="26" customHeight="1">
      <c r="B30" s="19" t="inlineStr">
        <is>
          <t>Parameter 1 / Mean (C30)</t>
        </is>
      </c>
      <c r="C30" s="19" t="n">
        <v>10</v>
      </c>
      <c r="E30" s="28" t="n"/>
      <c r="F30" s="29">
        <f>IF(ISBLANK(E30), "⏳ Belum Diisi (Ketik Rumus di Sel Kuning E30)", IF(E30='99_KUNCI_JAWABAN'!F286, "✅ BENAR! JAWABAN TES TEPAT!", "❌ Belum Tepat (Cek Sheet Akhir: 99_KUNCI_JAWABAN)"))</f>
        <v/>
      </c>
      <c r="G30" s="5" t="n"/>
    </row>
    <row r="31">
      <c r="B31" s="19" t="inlineStr">
        <is>
          <t>Parameter 2 / SD (C31)</t>
        </is>
      </c>
      <c r="C31" s="19" t="n">
        <v>2</v>
      </c>
    </row>
    <row r="32">
      <c r="B32" s="19" t="inlineStr">
        <is>
          <t>Cadangan</t>
        </is>
      </c>
      <c r="C32" s="19" t="n">
        <v>1</v>
      </c>
    </row>
    <row r="35" ht="22" customHeight="1">
      <c r="B35" s="26" t="inlineStr">
        <is>
          <t>📝 SOAL TES #3: Kasus Logistik &amp; Stok Gudang Utama</t>
        </is>
      </c>
    </row>
    <row r="36" ht="30" customHeight="1">
      <c r="B36" s="14" t="inlineStr">
        <is>
          <t>Nama Parameter</t>
        </is>
      </c>
      <c r="C36" s="14" t="inlineStr">
        <is>
          <t>Nilai Parameter</t>
        </is>
      </c>
      <c r="E36" s="27" t="inlineStr">
        <is>
          <t>Persoalan Tes #3: Hitung nilai invers distribusi menggunakan fungsi NORM.INV dengan argumen berurutan C37, C38, dan C39!</t>
        </is>
      </c>
    </row>
    <row r="37">
      <c r="B37" s="19" t="inlineStr">
        <is>
          <t>Probabilitas (C37)</t>
        </is>
      </c>
      <c r="C37" s="19" t="n">
        <v>0.45</v>
      </c>
      <c r="E37" s="14" t="inlineStr">
        <is>
          <t>✏️ KETIK RUMUS JAWABAN TES DI BAWAH:</t>
        </is>
      </c>
      <c r="F37" s="14" t="inlineStr">
        <is>
          <t>📌 STATUS KOREKSI JAWABAN TES:</t>
        </is>
      </c>
      <c r="G37" s="5" t="n"/>
    </row>
    <row r="38" ht="26" customHeight="1">
      <c r="B38" s="19" t="inlineStr">
        <is>
          <t>Parameter 1 / Mean (C38)</t>
        </is>
      </c>
      <c r="C38" s="19" t="n">
        <v>10</v>
      </c>
      <c r="E38" s="28" t="n"/>
      <c r="F38" s="29">
        <f>IF(ISBLANK(E38), "⏳ Belum Diisi (Ketik Rumus di Sel Kuning E38)", IF(E38='99_KUNCI_JAWABAN'!F287, "✅ BENAR! JAWABAN TES TEPAT!", "❌ Belum Tepat (Cek Sheet Akhir: 99_KUNCI_JAWABAN)"))</f>
        <v/>
      </c>
      <c r="G38" s="5" t="n"/>
    </row>
    <row r="39">
      <c r="B39" s="19" t="inlineStr">
        <is>
          <t>Parameter 2 / SD (C39)</t>
        </is>
      </c>
      <c r="C39" s="19" t="n">
        <v>2</v>
      </c>
    </row>
    <row r="40">
      <c r="B40" s="19" t="inlineStr">
        <is>
          <t>Cadangan</t>
        </is>
      </c>
      <c r="C40" s="19" t="n">
        <v>1</v>
      </c>
    </row>
    <row r="43" ht="22" customHeight="1">
      <c r="B43" s="26" t="inlineStr">
        <is>
          <t>📝 SOAL TES #4: Kasus Penjualan Retail &amp; Target Toko</t>
        </is>
      </c>
    </row>
    <row r="44" ht="30" customHeight="1">
      <c r="B44" s="14" t="inlineStr">
        <is>
          <t>Nama Parameter</t>
        </is>
      </c>
      <c r="C44" s="14" t="inlineStr">
        <is>
          <t>Nilai Parameter</t>
        </is>
      </c>
      <c r="E44" s="27" t="inlineStr">
        <is>
          <t>Persoalan Tes #4: Hitung nilai invers distribusi menggunakan fungsi NORM.INV dengan argumen berurutan C45, C46, dan C47!</t>
        </is>
      </c>
    </row>
    <row r="45">
      <c r="B45" s="19" t="inlineStr">
        <is>
          <t>Probabilitas (C45)</t>
        </is>
      </c>
      <c r="C45" s="19" t="n">
        <v>0.55</v>
      </c>
      <c r="E45" s="14" t="inlineStr">
        <is>
          <t>✏️ KETIK RUMUS JAWABAN TES DI BAWAH:</t>
        </is>
      </c>
      <c r="F45" s="14" t="inlineStr">
        <is>
          <t>📌 STATUS KOREKSI JAWABAN TES:</t>
        </is>
      </c>
      <c r="G45" s="5" t="n"/>
    </row>
    <row r="46" ht="26" customHeight="1">
      <c r="B46" s="19" t="inlineStr">
        <is>
          <t>Parameter 1 / Mean (C46)</t>
        </is>
      </c>
      <c r="C46" s="19" t="n">
        <v>10</v>
      </c>
      <c r="E46" s="28" t="n"/>
      <c r="F46" s="29">
        <f>IF(ISBLANK(E46), "⏳ Belum Diisi (Ketik Rumus di Sel Kuning E46)", IF(E46='99_KUNCI_JAWABAN'!F288, "✅ BENAR! JAWABAN TES TEPAT!", "❌ Belum Tepat (Cek Sheet Akhir: 99_KUNCI_JAWABAN)"))</f>
        <v/>
      </c>
      <c r="G46" s="5" t="n"/>
    </row>
    <row r="47">
      <c r="B47" s="19" t="inlineStr">
        <is>
          <t>Parameter 2 / SD (C47)</t>
        </is>
      </c>
      <c r="C47" s="19" t="n">
        <v>2</v>
      </c>
    </row>
    <row r="48">
      <c r="B48" s="19" t="inlineStr">
        <is>
          <t>Cadangan</t>
        </is>
      </c>
      <c r="C48" s="19" t="n">
        <v>1</v>
      </c>
    </row>
    <row r="51" ht="22" customHeight="1">
      <c r="B51" s="26" t="inlineStr">
        <is>
          <t>📝 SOAL TES #5: Kasus Akademik Sekolah &amp; Layanan Publik</t>
        </is>
      </c>
    </row>
    <row r="52" ht="30" customHeight="1">
      <c r="B52" s="14" t="inlineStr">
        <is>
          <t>Nama Parameter</t>
        </is>
      </c>
      <c r="C52" s="14" t="inlineStr">
        <is>
          <t>Nilai Parameter</t>
        </is>
      </c>
      <c r="E52" s="27" t="inlineStr">
        <is>
          <t>Persoalan Tes #5: Hitung nilai invers distribusi menggunakan fungsi NORM.INV dengan argumen berurutan C53, C54, dan C55!</t>
        </is>
      </c>
    </row>
    <row r="53">
      <c r="B53" s="19" t="inlineStr">
        <is>
          <t>Probabilitas (C53)</t>
        </is>
      </c>
      <c r="C53" s="19" t="n">
        <v>0.65</v>
      </c>
      <c r="E53" s="14" t="inlineStr">
        <is>
          <t>✏️ KETIK RUMUS JAWABAN TES DI BAWAH:</t>
        </is>
      </c>
      <c r="F53" s="14" t="inlineStr">
        <is>
          <t>📌 STATUS KOREKSI JAWABAN TES:</t>
        </is>
      </c>
      <c r="G53" s="5" t="n"/>
    </row>
    <row r="54" ht="26" customHeight="1">
      <c r="B54" s="19" t="inlineStr">
        <is>
          <t>Parameter 1 / Mean (C54)</t>
        </is>
      </c>
      <c r="C54" s="19" t="n">
        <v>10</v>
      </c>
      <c r="E54" s="28" t="n"/>
      <c r="F54" s="29">
        <f>IF(ISBLANK(E54), "⏳ Belum Diisi (Ketik Rumus di Sel Kuning E54)", IF(E54='99_KUNCI_JAWABAN'!F289, "✅ BENAR! JAWABAN TES TEPAT!", "❌ Belum Tepat (Cek Sheet Akhir: 99_KUNCI_JAWABAN)"))</f>
        <v/>
      </c>
      <c r="G54" s="5" t="n"/>
    </row>
    <row r="55">
      <c r="B55" s="19" t="inlineStr">
        <is>
          <t>Parameter 2 / SD (C55)</t>
        </is>
      </c>
      <c r="C55" s="19" t="n">
        <v>2</v>
      </c>
    </row>
    <row r="56">
      <c r="B56" s="19" t="inlineStr">
        <is>
          <t>Cadangan</t>
        </is>
      </c>
      <c r="C56" s="19" t="n">
        <v>1</v>
      </c>
    </row>
  </sheetData>
  <mergeCells count="33">
    <mergeCell ref="E10:G10"/>
    <mergeCell ref="F11:G11"/>
    <mergeCell ref="E28:G28"/>
    <mergeCell ref="F29:G29"/>
    <mergeCell ref="C6:G6"/>
    <mergeCell ref="F54:G54"/>
    <mergeCell ref="B17:G17"/>
    <mergeCell ref="B1:G1"/>
    <mergeCell ref="C5:G5"/>
    <mergeCell ref="B19:G19"/>
    <mergeCell ref="F21:G21"/>
    <mergeCell ref="F12:G12"/>
    <mergeCell ref="F30:G30"/>
    <mergeCell ref="E36:G36"/>
    <mergeCell ref="B9:G9"/>
    <mergeCell ref="F45:G45"/>
    <mergeCell ref="B51:G51"/>
    <mergeCell ref="F38:G38"/>
    <mergeCell ref="B35:G35"/>
    <mergeCell ref="B4:G4"/>
    <mergeCell ref="F46:G46"/>
    <mergeCell ref="F22:G22"/>
    <mergeCell ref="B2:E2"/>
    <mergeCell ref="F13:G13"/>
    <mergeCell ref="B16:G16"/>
    <mergeCell ref="F37:G37"/>
    <mergeCell ref="C7:G7"/>
    <mergeCell ref="E52:G52"/>
    <mergeCell ref="B27:G27"/>
    <mergeCell ref="B43:G43"/>
    <mergeCell ref="E44:G44"/>
    <mergeCell ref="E20:G20"/>
    <mergeCell ref="F53:G53"/>
  </mergeCells>
  <hyperlinks>
    <hyperlink xmlns:r="http://schemas.openxmlformats.org/officeDocument/2006/relationships" ref="F2" r:id="rId1"/>
    <hyperlink xmlns:r="http://schemas.openxmlformats.org/officeDocument/2006/relationships" ref="G2" r:id="rId2"/>
  </hyperlinks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B1:G56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22" customWidth="1" min="3" max="3"/>
    <col width="4" customWidth="1" min="4" max="4"/>
    <col width="34" customWidth="1" min="5" max="5"/>
    <col width="44" customWidth="1" min="6" max="6"/>
    <col width="28" customWidth="1" min="7" max="7"/>
  </cols>
  <sheetData>
    <row r="1" ht="30" customHeight="1">
      <c r="B1" s="10" t="inlineStr">
        <is>
          <t>📊 #058 — RUMUS EXCEL: NORM.S.DIST   |   Kategori: 8. Statistik &amp; Analisis Data</t>
        </is>
      </c>
    </row>
    <row r="2" ht="22" customHeight="1">
      <c r="B2" s="11" t="inlineStr">
        <is>
          <t>1 Rumus = 1 Contoh Soal + Jawaban Benar &amp; 5 Soal Tes Mandiri (Kunci Jawaban Ada di Sheet Paling Terakhir)</t>
        </is>
      </c>
      <c r="F2" s="12" t="inlineStr">
        <is>
          <t>⬅️ Ke Daftar Isi (00_DAFTAR_ISI)</t>
        </is>
      </c>
      <c r="G2" s="3" t="inlineStr">
        <is>
          <t>🔑 Ke Kunci Jawaban (Sheet Akhir)</t>
        </is>
      </c>
    </row>
    <row r="4" ht="24" customHeight="1">
      <c r="B4" s="13" t="inlineStr">
        <is>
          <t>1️⃣ IDENTITAS RUMUS &amp; FUNGSINYA BUAT APA? (NORM.S.DIST)</t>
        </is>
      </c>
    </row>
    <row r="5" ht="21" customHeight="1">
      <c r="B5" s="14" t="inlineStr">
        <is>
          <t>Nama Rumus Excel</t>
        </is>
      </c>
      <c r="C5" s="15">
        <f>NORM.S.DIST(...)</f>
        <v/>
      </c>
      <c r="D5" s="5" t="n"/>
      <c r="E5" s="5" t="n"/>
      <c r="F5" s="5" t="n"/>
      <c r="G5" s="5" t="n"/>
    </row>
    <row r="6" ht="21" customHeight="1">
      <c r="B6" s="14" t="inlineStr">
        <is>
          <t>Sintaks / Pola Umum</t>
        </is>
      </c>
      <c r="C6" s="15">
        <f>NORM.S.DIST(z, TRUE)</f>
        <v/>
      </c>
      <c r="D6" s="5" t="n"/>
      <c r="E6" s="5" t="n"/>
      <c r="F6" s="5" t="n"/>
      <c r="G6" s="5" t="n"/>
    </row>
    <row r="7" ht="26" customHeight="1">
      <c r="B7" s="14" t="inlineStr">
        <is>
          <t>👶 Fungsinya Buat Apa?</t>
        </is>
      </c>
      <c r="C7" s="16" t="inlineStr">
        <is>
          <t>Menghasilkan distribusi normal standar (rata-rata = 0 dan standar deviasi = 1).</t>
        </is>
      </c>
      <c r="D7" s="5" t="n"/>
      <c r="E7" s="5" t="n"/>
      <c r="F7" s="5" t="n"/>
      <c r="G7" s="5" t="n"/>
    </row>
    <row r="9" ht="24" customHeight="1">
      <c r="B9" s="17" t="inlineStr">
        <is>
          <t>2️⃣ 1 CONTOH SOAL &amp; CONTOH JAWABAN BENAR (PELAJARI POLA RUMUS NORM.S.DIST DI SINI)</t>
        </is>
      </c>
    </row>
    <row r="10">
      <c r="B10" s="18" t="inlineStr">
        <is>
          <t>Parameter Z</t>
        </is>
      </c>
      <c r="C10" s="18" t="inlineStr">
        <is>
          <t>Skor Z</t>
        </is>
      </c>
      <c r="E10" s="18" t="inlineStr">
        <is>
          <t>✅ 1 CONTOH SOAL BESERTA CONTOH RUMUS &amp; HASIL JAWABAN BENAR:</t>
        </is>
      </c>
      <c r="F10" s="5" t="n"/>
      <c r="G10" s="5" t="n"/>
    </row>
    <row r="11" ht="28" customHeight="1">
      <c r="B11" s="19" t="inlineStr">
        <is>
          <t>Simulasi Unit A</t>
        </is>
      </c>
      <c r="C11" s="19" t="n">
        <v>1.75</v>
      </c>
      <c r="E11" s="20" t="inlineStr">
        <is>
          <t>Contoh Soal:</t>
        </is>
      </c>
      <c r="F11" s="21" t="inlineStr">
        <is>
          <t>Hitung nilai distribusi normal standar kumulatif (TRUE) untuk skor-Z di sel C11 (1.75) menggunakan fungsi NORM.S.DIST!</t>
        </is>
      </c>
      <c r="G11" s="5" t="n"/>
    </row>
    <row r="12">
      <c r="B12" s="19" t="inlineStr">
        <is>
          <t>Simulasi Unit B</t>
        </is>
      </c>
      <c r="C12" s="19" t="n">
        <v>1</v>
      </c>
      <c r="E12" s="20" t="inlineStr">
        <is>
          <t>Contoh Rumus Benar:</t>
        </is>
      </c>
      <c r="F12" s="22" t="inlineStr">
        <is>
          <t>'=NORM.S.DIST(C11, TRUE)</t>
        </is>
      </c>
      <c r="G12" s="5" t="n"/>
    </row>
    <row r="13">
      <c r="B13" s="19" t="inlineStr">
        <is>
          <t>Simulasi Unit C</t>
        </is>
      </c>
      <c r="C13" s="19" t="n">
        <v>1.5</v>
      </c>
      <c r="E13" s="20" t="inlineStr">
        <is>
          <t>Contoh Hasil Benar:</t>
        </is>
      </c>
      <c r="F13" s="23">
        <f>NORM.S.DIST(C11, TRUE)</f>
        <v/>
      </c>
      <c r="G13" s="5" t="n"/>
    </row>
    <row r="14">
      <c r="B14" s="19" t="inlineStr">
        <is>
          <t>Simulasi Unit D</t>
        </is>
      </c>
      <c r="C14" s="19" t="n">
        <v>1.96</v>
      </c>
    </row>
    <row r="16" ht="26" customHeight="1">
      <c r="B16" s="24" t="inlineStr">
        <is>
          <t>3️⃣ 5 SOAL TES DUNIA NYATA — KERJAKAN DI KOTAK KUNING (TANPA KUNCI RUMUS / HASIL DI SINI!)</t>
        </is>
      </c>
    </row>
    <row r="17" ht="20" customHeight="1">
      <c r="B17" s="25" t="inlineStr">
        <is>
          <t>📌 Catatan Tes: Soal Tes #1 s/d #5 di bawah ini tidak menampilkan kunci rumus maupun hasil. Kunci jawaban lengkap tersedia di sheet paling terakhir (99_KUNCI_JAWABAN).</t>
        </is>
      </c>
    </row>
    <row r="19" ht="22" customHeight="1">
      <c r="B19" s="26" t="inlineStr">
        <is>
          <t>📝 SOAL TES #1: Kasus Keuangan &amp; Akuntansi Kantor</t>
        </is>
      </c>
    </row>
    <row r="20" ht="30" customHeight="1">
      <c r="B20" s="14" t="inlineStr">
        <is>
          <t>Parameter Z</t>
        </is>
      </c>
      <c r="C20" s="14" t="inlineStr">
        <is>
          <t>Skor Z</t>
        </is>
      </c>
      <c r="E20" s="27" t="inlineStr">
        <is>
          <t>Persoalan Tes #1: Hitung nilai distribusi normal standar kumulatif (TRUE) untuk skor-Z di sel C21 (0.5) menggunakan fungsi NORM.S.DIST!</t>
        </is>
      </c>
    </row>
    <row r="21">
      <c r="B21" s="19" t="inlineStr">
        <is>
          <t>Cabang Jakarta</t>
        </is>
      </c>
      <c r="C21" s="19" t="n">
        <v>0.5</v>
      </c>
      <c r="E21" s="14" t="inlineStr">
        <is>
          <t>✏️ KETIK RUMUS JAWABAN TES DI BAWAH:</t>
        </is>
      </c>
      <c r="F21" s="14" t="inlineStr">
        <is>
          <t>📌 STATUS KOREKSI JAWABAN TES:</t>
        </is>
      </c>
      <c r="G21" s="5" t="n"/>
    </row>
    <row r="22" ht="26" customHeight="1">
      <c r="B22" s="19" t="inlineStr">
        <is>
          <t>Cabang Bandung</t>
        </is>
      </c>
      <c r="C22" s="19" t="n">
        <v>1</v>
      </c>
      <c r="E22" s="28" t="n"/>
      <c r="F22" s="29">
        <f>IF(ISBLANK(E22), "⏳ Belum Diisi (Ketik Rumus di Sel Kuning E22)", IF(E22='99_KUNCI_JAWABAN'!F290, "✅ BENAR! JAWABAN TES TEPAT!", "❌ Belum Tepat (Cek Sheet Akhir: 99_KUNCI_JAWABAN)"))</f>
        <v/>
      </c>
      <c r="G22" s="5" t="n"/>
    </row>
    <row r="23">
      <c r="B23" s="19" t="inlineStr">
        <is>
          <t>Cabang Surabaya</t>
        </is>
      </c>
      <c r="C23" s="19" t="n">
        <v>1.5</v>
      </c>
    </row>
    <row r="24">
      <c r="B24" s="19" t="inlineStr">
        <is>
          <t>Cabang Medan</t>
        </is>
      </c>
      <c r="C24" s="19" t="n">
        <v>1.96</v>
      </c>
    </row>
    <row r="27" ht="22" customHeight="1">
      <c r="B27" s="26" t="inlineStr">
        <is>
          <t>📝 SOAL TES #2: Kasus HRD, Gaji &amp; Lembur Karyawan</t>
        </is>
      </c>
    </row>
    <row r="28" ht="30" customHeight="1">
      <c r="B28" s="14" t="inlineStr">
        <is>
          <t>Parameter Z</t>
        </is>
      </c>
      <c r="C28" s="14" t="inlineStr">
        <is>
          <t>Skor Z</t>
        </is>
      </c>
      <c r="E28" s="27" t="inlineStr">
        <is>
          <t>Persoalan Tes #2: Hitung nilai distribusi normal standar kumulatif (TRUE) untuk skor-Z di sel C29 (0.75) menggunakan fungsi NORM.S.DIST!</t>
        </is>
      </c>
    </row>
    <row r="29">
      <c r="B29" s="19" t="inlineStr">
        <is>
          <t>Budi Santoso</t>
        </is>
      </c>
      <c r="C29" s="19" t="n">
        <v>0.75</v>
      </c>
      <c r="E29" s="14" t="inlineStr">
        <is>
          <t>✏️ KETIK RUMUS JAWABAN TES DI BAWAH:</t>
        </is>
      </c>
      <c r="F29" s="14" t="inlineStr">
        <is>
          <t>📌 STATUS KOREKSI JAWABAN TES:</t>
        </is>
      </c>
      <c r="G29" s="5" t="n"/>
    </row>
    <row r="30" ht="26" customHeight="1">
      <c r="B30" s="19" t="inlineStr">
        <is>
          <t>Siti Aminah</t>
        </is>
      </c>
      <c r="C30" s="19" t="n">
        <v>1</v>
      </c>
      <c r="E30" s="28" t="n"/>
      <c r="F30" s="29">
        <f>IF(ISBLANK(E30), "⏳ Belum Diisi (Ketik Rumus di Sel Kuning E30)", IF(E30='99_KUNCI_JAWABAN'!F291, "✅ BENAR! JAWABAN TES TEPAT!", "❌ Belum Tepat (Cek Sheet Akhir: 99_KUNCI_JAWABAN)"))</f>
        <v/>
      </c>
      <c r="G30" s="5" t="n"/>
    </row>
    <row r="31">
      <c r="B31" s="19" t="inlineStr">
        <is>
          <t>Andi Pratama</t>
        </is>
      </c>
      <c r="C31" s="19" t="n">
        <v>1.5</v>
      </c>
    </row>
    <row r="32">
      <c r="B32" s="19" t="inlineStr">
        <is>
          <t>Rina Wijaya</t>
        </is>
      </c>
      <c r="C32" s="19" t="n">
        <v>1.96</v>
      </c>
    </row>
    <row r="35" ht="22" customHeight="1">
      <c r="B35" s="26" t="inlineStr">
        <is>
          <t>📝 SOAL TES #3: Kasus Logistik &amp; Stok Gudang Utama</t>
        </is>
      </c>
    </row>
    <row r="36" ht="30" customHeight="1">
      <c r="B36" s="14" t="inlineStr">
        <is>
          <t>Parameter Z</t>
        </is>
      </c>
      <c r="C36" s="14" t="inlineStr">
        <is>
          <t>Skor Z</t>
        </is>
      </c>
      <c r="E36" s="27" t="inlineStr">
        <is>
          <t>Persoalan Tes #3: Hitung nilai distribusi normal standar kumulatif (TRUE) untuk skor-Z di sel C37 (1.0) menggunakan fungsi NORM.S.DIST!</t>
        </is>
      </c>
    </row>
    <row r="37">
      <c r="B37" s="19" t="inlineStr">
        <is>
          <t>Gudang Blok A</t>
        </is>
      </c>
      <c r="C37" s="19" t="n">
        <v>1</v>
      </c>
      <c r="E37" s="14" t="inlineStr">
        <is>
          <t>✏️ KETIK RUMUS JAWABAN TES DI BAWAH:</t>
        </is>
      </c>
      <c r="F37" s="14" t="inlineStr">
        <is>
          <t>📌 STATUS KOREKSI JAWABAN TES:</t>
        </is>
      </c>
      <c r="G37" s="5" t="n"/>
    </row>
    <row r="38" ht="26" customHeight="1">
      <c r="B38" s="19" t="inlineStr">
        <is>
          <t>Gudang Blok B</t>
        </is>
      </c>
      <c r="C38" s="19" t="n">
        <v>1</v>
      </c>
      <c r="E38" s="28" t="n"/>
      <c r="F38" s="29">
        <f>IF(ISBLANK(E38), "⏳ Belum Diisi (Ketik Rumus di Sel Kuning E38)", IF(E38='99_KUNCI_JAWABAN'!F292, "✅ BENAR! JAWABAN TES TEPAT!", "❌ Belum Tepat (Cek Sheet Akhir: 99_KUNCI_JAWABAN)"))</f>
        <v/>
      </c>
      <c r="G38" s="5" t="n"/>
    </row>
    <row r="39">
      <c r="B39" s="19" t="inlineStr">
        <is>
          <t>Gudang Blok C</t>
        </is>
      </c>
      <c r="C39" s="19" t="n">
        <v>1.5</v>
      </c>
    </row>
    <row r="40">
      <c r="B40" s="19" t="inlineStr">
        <is>
          <t>Gudang Blok D</t>
        </is>
      </c>
      <c r="C40" s="19" t="n">
        <v>1.96</v>
      </c>
    </row>
    <row r="43" ht="22" customHeight="1">
      <c r="B43" s="26" t="inlineStr">
        <is>
          <t>📝 SOAL TES #4: Kasus Penjualan Retail &amp; Target Toko</t>
        </is>
      </c>
    </row>
    <row r="44" ht="30" customHeight="1">
      <c r="B44" s="14" t="inlineStr">
        <is>
          <t>Parameter Z</t>
        </is>
      </c>
      <c r="C44" s="14" t="inlineStr">
        <is>
          <t>Skor Z</t>
        </is>
      </c>
      <c r="E44" s="27" t="inlineStr">
        <is>
          <t>Persoalan Tes #4: Hitung nilai distribusi normal standar kumulatif (TRUE) untuk skor-Z di sel C45 (1.25) menggunakan fungsi NORM.S.DIST!</t>
        </is>
      </c>
    </row>
    <row r="45">
      <c r="B45" s="19" t="inlineStr">
        <is>
          <t>Toko Elektronik</t>
        </is>
      </c>
      <c r="C45" s="19" t="n">
        <v>1.25</v>
      </c>
      <c r="E45" s="14" t="inlineStr">
        <is>
          <t>✏️ KETIK RUMUS JAWABAN TES DI BAWAH:</t>
        </is>
      </c>
      <c r="F45" s="14" t="inlineStr">
        <is>
          <t>📌 STATUS KOREKSI JAWABAN TES:</t>
        </is>
      </c>
      <c r="G45" s="5" t="n"/>
    </row>
    <row r="46" ht="26" customHeight="1">
      <c r="B46" s="19" t="inlineStr">
        <is>
          <t>Toko Komputer</t>
        </is>
      </c>
      <c r="C46" s="19" t="n">
        <v>1</v>
      </c>
      <c r="E46" s="28" t="n"/>
      <c r="F46" s="29">
        <f>IF(ISBLANK(E46), "⏳ Belum Diisi (Ketik Rumus di Sel Kuning E46)", IF(E46='99_KUNCI_JAWABAN'!F293, "✅ BENAR! JAWABAN TES TEPAT!", "❌ Belum Tepat (Cek Sheet Akhir: 99_KUNCI_JAWABAN)"))</f>
        <v/>
      </c>
      <c r="G46" s="5" t="n"/>
    </row>
    <row r="47">
      <c r="B47" s="19" t="inlineStr">
        <is>
          <t>Toko Aksesoris</t>
        </is>
      </c>
      <c r="C47" s="19" t="n">
        <v>1.5</v>
      </c>
    </row>
    <row r="48">
      <c r="B48" s="19" t="inlineStr">
        <is>
          <t>Toko Servis</t>
        </is>
      </c>
      <c r="C48" s="19" t="n">
        <v>1.96</v>
      </c>
    </row>
    <row r="51" ht="22" customHeight="1">
      <c r="B51" s="26" t="inlineStr">
        <is>
          <t>📝 SOAL TES #5: Kasus Akademik Sekolah &amp; Layanan Publik</t>
        </is>
      </c>
    </row>
    <row r="52" ht="30" customHeight="1">
      <c r="B52" s="14" t="inlineStr">
        <is>
          <t>Parameter Z</t>
        </is>
      </c>
      <c r="C52" s="14" t="inlineStr">
        <is>
          <t>Skor Z</t>
        </is>
      </c>
      <c r="E52" s="27" t="inlineStr">
        <is>
          <t>Persoalan Tes #5: Hitung nilai distribusi normal standar kumulatif (TRUE) untuk skor-Z di sel C53 (1.5) menggunakan fungsi NORM.S.DIST!</t>
        </is>
      </c>
    </row>
    <row r="53">
      <c r="B53" s="19" t="inlineStr">
        <is>
          <t>Kelas 10 IPA</t>
        </is>
      </c>
      <c r="C53" s="19" t="n">
        <v>1.5</v>
      </c>
      <c r="E53" s="14" t="inlineStr">
        <is>
          <t>✏️ KETIK RUMUS JAWABAN TES DI BAWAH:</t>
        </is>
      </c>
      <c r="F53" s="14" t="inlineStr">
        <is>
          <t>📌 STATUS KOREKSI JAWABAN TES:</t>
        </is>
      </c>
      <c r="G53" s="5" t="n"/>
    </row>
    <row r="54" ht="26" customHeight="1">
      <c r="B54" s="19" t="inlineStr">
        <is>
          <t>Kelas 11 IPA</t>
        </is>
      </c>
      <c r="C54" s="19" t="n">
        <v>1</v>
      </c>
      <c r="E54" s="28" t="n"/>
      <c r="F54" s="29">
        <f>IF(ISBLANK(E54), "⏳ Belum Diisi (Ketik Rumus di Sel Kuning E54)", IF(E54='99_KUNCI_JAWABAN'!F294, "✅ BENAR! JAWABAN TES TEPAT!", "❌ Belum Tepat (Cek Sheet Akhir: 99_KUNCI_JAWABAN)"))</f>
        <v/>
      </c>
      <c r="G54" s="5" t="n"/>
    </row>
    <row r="55">
      <c r="B55" s="19" t="inlineStr">
        <is>
          <t>Kelas 12 IPA</t>
        </is>
      </c>
      <c r="C55" s="19" t="n">
        <v>1.5</v>
      </c>
    </row>
    <row r="56">
      <c r="B56" s="19" t="inlineStr">
        <is>
          <t>Kelas Unggulan</t>
        </is>
      </c>
      <c r="C56" s="19" t="n">
        <v>1.96</v>
      </c>
    </row>
  </sheetData>
  <mergeCells count="33">
    <mergeCell ref="E10:G10"/>
    <mergeCell ref="F11:G11"/>
    <mergeCell ref="E28:G28"/>
    <mergeCell ref="F29:G29"/>
    <mergeCell ref="C6:G6"/>
    <mergeCell ref="F54:G54"/>
    <mergeCell ref="B17:G17"/>
    <mergeCell ref="B1:G1"/>
    <mergeCell ref="C5:G5"/>
    <mergeCell ref="B19:G19"/>
    <mergeCell ref="F21:G21"/>
    <mergeCell ref="F12:G12"/>
    <mergeCell ref="F30:G30"/>
    <mergeCell ref="E36:G36"/>
    <mergeCell ref="B9:G9"/>
    <mergeCell ref="F45:G45"/>
    <mergeCell ref="B51:G51"/>
    <mergeCell ref="F38:G38"/>
    <mergeCell ref="B35:G35"/>
    <mergeCell ref="B4:G4"/>
    <mergeCell ref="F46:G46"/>
    <mergeCell ref="F22:G22"/>
    <mergeCell ref="B2:E2"/>
    <mergeCell ref="F13:G13"/>
    <mergeCell ref="B16:G16"/>
    <mergeCell ref="F37:G37"/>
    <mergeCell ref="C7:G7"/>
    <mergeCell ref="E52:G52"/>
    <mergeCell ref="B27:G27"/>
    <mergeCell ref="B43:G43"/>
    <mergeCell ref="E44:G44"/>
    <mergeCell ref="E20:G20"/>
    <mergeCell ref="F53:G53"/>
  </mergeCells>
  <hyperlinks>
    <hyperlink xmlns:r="http://schemas.openxmlformats.org/officeDocument/2006/relationships" ref="F2" r:id="rId1"/>
    <hyperlink xmlns:r="http://schemas.openxmlformats.org/officeDocument/2006/relationships" ref="G2" r:id="rId2"/>
  </hyperlinks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B1:G56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22" customWidth="1" min="3" max="3"/>
    <col width="4" customWidth="1" min="4" max="4"/>
    <col width="34" customWidth="1" min="5" max="5"/>
    <col width="44" customWidth="1" min="6" max="6"/>
    <col width="28" customWidth="1" min="7" max="7"/>
  </cols>
  <sheetData>
    <row r="1" ht="30" customHeight="1">
      <c r="B1" s="10" t="inlineStr">
        <is>
          <t>📊 #059 — RUMUS EXCEL: NORM.S.INV   |   Kategori: 8. Statistik &amp; Analisis Data</t>
        </is>
      </c>
    </row>
    <row r="2" ht="22" customHeight="1">
      <c r="B2" s="11" t="inlineStr">
        <is>
          <t>1 Rumus = 1 Contoh Soal + Jawaban Benar &amp; 5 Soal Tes Mandiri (Kunci Jawaban Ada di Sheet Paling Terakhir)</t>
        </is>
      </c>
      <c r="F2" s="12" t="inlineStr">
        <is>
          <t>⬅️ Ke Daftar Isi (00_DAFTAR_ISI)</t>
        </is>
      </c>
      <c r="G2" s="3" t="inlineStr">
        <is>
          <t>🔑 Ke Kunci Jawaban (Sheet Akhir)</t>
        </is>
      </c>
    </row>
    <row r="4" ht="24" customHeight="1">
      <c r="B4" s="13" t="inlineStr">
        <is>
          <t>1️⃣ IDENTITAS RUMUS &amp; FUNGSINYA BUAT APA? (NORM.S.INV)</t>
        </is>
      </c>
    </row>
    <row r="5" ht="21" customHeight="1">
      <c r="B5" s="14" t="inlineStr">
        <is>
          <t>Nama Rumus Excel</t>
        </is>
      </c>
      <c r="C5" s="15">
        <f>NORM.S.INV(...)</f>
        <v/>
      </c>
      <c r="D5" s="5" t="n"/>
      <c r="E5" s="5" t="n"/>
      <c r="F5" s="5" t="n"/>
      <c r="G5" s="5" t="n"/>
    </row>
    <row r="6" ht="21" customHeight="1">
      <c r="B6" s="14" t="inlineStr">
        <is>
          <t>Sintaks / Pola Umum</t>
        </is>
      </c>
      <c r="C6" s="15">
        <f>NORM.S.INV(probabilitas)</f>
        <v/>
      </c>
      <c r="D6" s="5" t="n"/>
      <c r="E6" s="5" t="n"/>
      <c r="F6" s="5" t="n"/>
      <c r="G6" s="5" t="n"/>
    </row>
    <row r="7" ht="26" customHeight="1">
      <c r="B7" s="14" t="inlineStr">
        <is>
          <t>👶 Fungsinya Buat Apa?</t>
        </is>
      </c>
      <c r="C7" s="16" t="inlineStr">
        <is>
          <t>Menghasilkan nilai Z dari kebalikan distribusi normal standar kumulatif.</t>
        </is>
      </c>
      <c r="D7" s="5" t="n"/>
      <c r="E7" s="5" t="n"/>
      <c r="F7" s="5" t="n"/>
      <c r="G7" s="5" t="n"/>
    </row>
    <row r="9" ht="24" customHeight="1">
      <c r="B9" s="17" t="inlineStr">
        <is>
          <t>2️⃣ 1 CONTOH SOAL &amp; CONTOH JAWABAN BENAR (PELAJARI POLA RUMUS NORM.S.INV DI SINI)</t>
        </is>
      </c>
    </row>
    <row r="10">
      <c r="B10" s="18" t="inlineStr">
        <is>
          <t>Parameter Statistik</t>
        </is>
      </c>
      <c r="C10" s="18" t="inlineStr">
        <is>
          <t>Nilai Koefisien</t>
        </is>
      </c>
      <c r="E10" s="18" t="inlineStr">
        <is>
          <t>✅ 1 CONTOH SOAL BESERTA CONTOH RUMUS &amp; HASIL JAWABAN BENAR:</t>
        </is>
      </c>
      <c r="F10" s="5" t="n"/>
      <c r="G10" s="5" t="n"/>
    </row>
    <row r="11" ht="28" customHeight="1">
      <c r="B11" s="19" t="inlineStr">
        <is>
          <t>Simulasi Unit A</t>
        </is>
      </c>
      <c r="C11" s="19" t="n">
        <v>0.75</v>
      </c>
      <c r="E11" s="20" t="inlineStr">
        <is>
          <t>Contoh Soal:</t>
        </is>
      </c>
      <c r="F11" s="21" t="inlineStr">
        <is>
          <t>Hitung hasil transformasi NORM.S.INV untuk nilai koefisien pada sel C11 (0.75)!</t>
        </is>
      </c>
      <c r="G11" s="5" t="n"/>
    </row>
    <row r="12">
      <c r="B12" s="19" t="inlineStr">
        <is>
          <t>Simulasi Unit B</t>
        </is>
      </c>
      <c r="C12" s="19" t="n">
        <v>0.4</v>
      </c>
      <c r="E12" s="20" t="inlineStr">
        <is>
          <t>Contoh Rumus Benar:</t>
        </is>
      </c>
      <c r="F12" s="22" t="inlineStr">
        <is>
          <t>'=NORM.S.INV(C11)</t>
        </is>
      </c>
      <c r="G12" s="5" t="n"/>
    </row>
    <row r="13">
      <c r="B13" s="19" t="inlineStr">
        <is>
          <t>Simulasi Unit C</t>
        </is>
      </c>
      <c r="C13" s="19" t="n">
        <v>0.5</v>
      </c>
      <c r="E13" s="20" t="inlineStr">
        <is>
          <t>Contoh Hasil Benar:</t>
        </is>
      </c>
      <c r="F13" s="23">
        <f>NORM.S.INV(C11)</f>
        <v/>
      </c>
      <c r="G13" s="5" t="n"/>
    </row>
    <row r="14">
      <c r="B14" s="19" t="inlineStr">
        <is>
          <t>Simulasi Unit D</t>
        </is>
      </c>
      <c r="C14" s="19" t="n">
        <v>0.6</v>
      </c>
    </row>
    <row r="16" ht="26" customHeight="1">
      <c r="B16" s="24" t="inlineStr">
        <is>
          <t>3️⃣ 5 SOAL TES DUNIA NYATA — KERJAKAN DI KOTAK KUNING (TANPA KUNCI RUMUS / HASIL DI SINI!)</t>
        </is>
      </c>
    </row>
    <row r="17" ht="20" customHeight="1">
      <c r="B17" s="25" t="inlineStr">
        <is>
          <t>📌 Catatan Tes: Soal Tes #1 s/d #5 di bawah ini tidak menampilkan kunci rumus maupun hasil. Kunci jawaban lengkap tersedia di sheet paling terakhir (99_KUNCI_JAWABAN).</t>
        </is>
      </c>
    </row>
    <row r="19" ht="22" customHeight="1">
      <c r="B19" s="26" t="inlineStr">
        <is>
          <t>📝 SOAL TES #1: Kasus Keuangan &amp; Akuntansi Kantor</t>
        </is>
      </c>
    </row>
    <row r="20" ht="30" customHeight="1">
      <c r="B20" s="14" t="inlineStr">
        <is>
          <t>Parameter Statistik</t>
        </is>
      </c>
      <c r="C20" s="14" t="inlineStr">
        <is>
          <t>Nilai Koefisien</t>
        </is>
      </c>
      <c r="E20" s="27" t="inlineStr">
        <is>
          <t>Persoalan Tes #1: Hitung hasil transformasi NORM.S.INV untuk nilai koefisien pada sel C21 (0.25)!</t>
        </is>
      </c>
    </row>
    <row r="21">
      <c r="B21" s="19" t="inlineStr">
        <is>
          <t>Cabang Jakarta</t>
        </is>
      </c>
      <c r="C21" s="19" t="n">
        <v>0.25</v>
      </c>
      <c r="E21" s="14" t="inlineStr">
        <is>
          <t>✏️ KETIK RUMUS JAWABAN TES DI BAWAH:</t>
        </is>
      </c>
      <c r="F21" s="14" t="inlineStr">
        <is>
          <t>📌 STATUS KOREKSI JAWABAN TES:</t>
        </is>
      </c>
      <c r="G21" s="5" t="n"/>
    </row>
    <row r="22" ht="26" customHeight="1">
      <c r="B22" s="19" t="inlineStr">
        <is>
          <t>Cabang Bandung</t>
        </is>
      </c>
      <c r="C22" s="19" t="n">
        <v>0.4</v>
      </c>
      <c r="E22" s="28" t="n"/>
      <c r="F22" s="29">
        <f>IF(ISBLANK(E22), "⏳ Belum Diisi (Ketik Rumus di Sel Kuning E22)", IF(E22='99_KUNCI_JAWABAN'!F295, "✅ BENAR! JAWABAN TES TEPAT!", "❌ Belum Tepat (Cek Sheet Akhir: 99_KUNCI_JAWABAN)"))</f>
        <v/>
      </c>
      <c r="G22" s="5" t="n"/>
    </row>
    <row r="23">
      <c r="B23" s="19" t="inlineStr">
        <is>
          <t>Cabang Surabaya</t>
        </is>
      </c>
      <c r="C23" s="19" t="n">
        <v>0.5</v>
      </c>
    </row>
    <row r="24">
      <c r="B24" s="19" t="inlineStr">
        <is>
          <t>Cabang Medan</t>
        </is>
      </c>
      <c r="C24" s="19" t="n">
        <v>0.6</v>
      </c>
    </row>
    <row r="27" ht="22" customHeight="1">
      <c r="B27" s="26" t="inlineStr">
        <is>
          <t>📝 SOAL TES #2: Kasus HRD, Gaji &amp; Lembur Karyawan</t>
        </is>
      </c>
    </row>
    <row r="28" ht="30" customHeight="1">
      <c r="B28" s="14" t="inlineStr">
        <is>
          <t>Parameter Statistik</t>
        </is>
      </c>
      <c r="C28" s="14" t="inlineStr">
        <is>
          <t>Nilai Koefisien</t>
        </is>
      </c>
      <c r="E28" s="27" t="inlineStr">
        <is>
          <t>Persoalan Tes #2: Hitung hasil transformasi NORM.S.INV untuk nilai koefisien pada sel C29 (0.35)!</t>
        </is>
      </c>
    </row>
    <row r="29">
      <c r="B29" s="19" t="inlineStr">
        <is>
          <t>Budi Santoso</t>
        </is>
      </c>
      <c r="C29" s="19" t="n">
        <v>0.35</v>
      </c>
      <c r="E29" s="14" t="inlineStr">
        <is>
          <t>✏️ KETIK RUMUS JAWABAN TES DI BAWAH:</t>
        </is>
      </c>
      <c r="F29" s="14" t="inlineStr">
        <is>
          <t>📌 STATUS KOREKSI JAWABAN TES:</t>
        </is>
      </c>
      <c r="G29" s="5" t="n"/>
    </row>
    <row r="30" ht="26" customHeight="1">
      <c r="B30" s="19" t="inlineStr">
        <is>
          <t>Siti Aminah</t>
        </is>
      </c>
      <c r="C30" s="19" t="n">
        <v>0.4</v>
      </c>
      <c r="E30" s="28" t="n"/>
      <c r="F30" s="29">
        <f>IF(ISBLANK(E30), "⏳ Belum Diisi (Ketik Rumus di Sel Kuning E30)", IF(E30='99_KUNCI_JAWABAN'!F296, "✅ BENAR! JAWABAN TES TEPAT!", "❌ Belum Tepat (Cek Sheet Akhir: 99_KUNCI_JAWABAN)"))</f>
        <v/>
      </c>
      <c r="G30" s="5" t="n"/>
    </row>
    <row r="31">
      <c r="B31" s="19" t="inlineStr">
        <is>
          <t>Andi Pratama</t>
        </is>
      </c>
      <c r="C31" s="19" t="n">
        <v>0.5</v>
      </c>
    </row>
    <row r="32">
      <c r="B32" s="19" t="inlineStr">
        <is>
          <t>Rina Wijaya</t>
        </is>
      </c>
      <c r="C32" s="19" t="n">
        <v>0.6</v>
      </c>
    </row>
    <row r="35" ht="22" customHeight="1">
      <c r="B35" s="26" t="inlineStr">
        <is>
          <t>📝 SOAL TES #3: Kasus Logistik &amp; Stok Gudang Utama</t>
        </is>
      </c>
    </row>
    <row r="36" ht="30" customHeight="1">
      <c r="B36" s="14" t="inlineStr">
        <is>
          <t>Parameter Statistik</t>
        </is>
      </c>
      <c r="C36" s="14" t="inlineStr">
        <is>
          <t>Nilai Koefisien</t>
        </is>
      </c>
      <c r="E36" s="27" t="inlineStr">
        <is>
          <t>Persoalan Tes #3: Hitung hasil transformasi NORM.S.INV untuk nilai koefisien pada sel C37 (0.45)!</t>
        </is>
      </c>
    </row>
    <row r="37">
      <c r="B37" s="19" t="inlineStr">
        <is>
          <t>Gudang Blok A</t>
        </is>
      </c>
      <c r="C37" s="19" t="n">
        <v>0.45</v>
      </c>
      <c r="E37" s="14" t="inlineStr">
        <is>
          <t>✏️ KETIK RUMUS JAWABAN TES DI BAWAH:</t>
        </is>
      </c>
      <c r="F37" s="14" t="inlineStr">
        <is>
          <t>📌 STATUS KOREKSI JAWABAN TES:</t>
        </is>
      </c>
      <c r="G37" s="5" t="n"/>
    </row>
    <row r="38" ht="26" customHeight="1">
      <c r="B38" s="19" t="inlineStr">
        <is>
          <t>Gudang Blok B</t>
        </is>
      </c>
      <c r="C38" s="19" t="n">
        <v>0.4</v>
      </c>
      <c r="E38" s="28" t="n"/>
      <c r="F38" s="29">
        <f>IF(ISBLANK(E38), "⏳ Belum Diisi (Ketik Rumus di Sel Kuning E38)", IF(E38='99_KUNCI_JAWABAN'!F297, "✅ BENAR! JAWABAN TES TEPAT!", "❌ Belum Tepat (Cek Sheet Akhir: 99_KUNCI_JAWABAN)"))</f>
        <v/>
      </c>
      <c r="G38" s="5" t="n"/>
    </row>
    <row r="39">
      <c r="B39" s="19" t="inlineStr">
        <is>
          <t>Gudang Blok C</t>
        </is>
      </c>
      <c r="C39" s="19" t="n">
        <v>0.5</v>
      </c>
    </row>
    <row r="40">
      <c r="B40" s="19" t="inlineStr">
        <is>
          <t>Gudang Blok D</t>
        </is>
      </c>
      <c r="C40" s="19" t="n">
        <v>0.6</v>
      </c>
    </row>
    <row r="43" ht="22" customHeight="1">
      <c r="B43" s="26" t="inlineStr">
        <is>
          <t>📝 SOAL TES #4: Kasus Penjualan Retail &amp; Target Toko</t>
        </is>
      </c>
    </row>
    <row r="44" ht="30" customHeight="1">
      <c r="B44" s="14" t="inlineStr">
        <is>
          <t>Parameter Statistik</t>
        </is>
      </c>
      <c r="C44" s="14" t="inlineStr">
        <is>
          <t>Nilai Koefisien</t>
        </is>
      </c>
      <c r="E44" s="27" t="inlineStr">
        <is>
          <t>Persoalan Tes #4: Hitung hasil transformasi NORM.S.INV untuk nilai koefisien pada sel C45 (0.55)!</t>
        </is>
      </c>
    </row>
    <row r="45">
      <c r="B45" s="19" t="inlineStr">
        <is>
          <t>Toko Elektronik</t>
        </is>
      </c>
      <c r="C45" s="19" t="n">
        <v>0.55</v>
      </c>
      <c r="E45" s="14" t="inlineStr">
        <is>
          <t>✏️ KETIK RUMUS JAWABAN TES DI BAWAH:</t>
        </is>
      </c>
      <c r="F45" s="14" t="inlineStr">
        <is>
          <t>📌 STATUS KOREKSI JAWABAN TES:</t>
        </is>
      </c>
      <c r="G45" s="5" t="n"/>
    </row>
    <row r="46" ht="26" customHeight="1">
      <c r="B46" s="19" t="inlineStr">
        <is>
          <t>Toko Komputer</t>
        </is>
      </c>
      <c r="C46" s="19" t="n">
        <v>0.4</v>
      </c>
      <c r="E46" s="28" t="n"/>
      <c r="F46" s="29">
        <f>IF(ISBLANK(E46), "⏳ Belum Diisi (Ketik Rumus di Sel Kuning E46)", IF(E46='99_KUNCI_JAWABAN'!F298, "✅ BENAR! JAWABAN TES TEPAT!", "❌ Belum Tepat (Cek Sheet Akhir: 99_KUNCI_JAWABAN)"))</f>
        <v/>
      </c>
      <c r="G46" s="5" t="n"/>
    </row>
    <row r="47">
      <c r="B47" s="19" t="inlineStr">
        <is>
          <t>Toko Aksesoris</t>
        </is>
      </c>
      <c r="C47" s="19" t="n">
        <v>0.5</v>
      </c>
    </row>
    <row r="48">
      <c r="B48" s="19" t="inlineStr">
        <is>
          <t>Toko Servis</t>
        </is>
      </c>
      <c r="C48" s="19" t="n">
        <v>0.6</v>
      </c>
    </row>
    <row r="51" ht="22" customHeight="1">
      <c r="B51" s="26" t="inlineStr">
        <is>
          <t>📝 SOAL TES #5: Kasus Akademik Sekolah &amp; Layanan Publik</t>
        </is>
      </c>
    </row>
    <row r="52" ht="30" customHeight="1">
      <c r="B52" s="14" t="inlineStr">
        <is>
          <t>Parameter Statistik</t>
        </is>
      </c>
      <c r="C52" s="14" t="inlineStr">
        <is>
          <t>Nilai Koefisien</t>
        </is>
      </c>
      <c r="E52" s="27" t="inlineStr">
        <is>
          <t>Persoalan Tes #5: Hitung hasil transformasi NORM.S.INV untuk nilai koefisien pada sel C53 (0.65)!</t>
        </is>
      </c>
    </row>
    <row r="53">
      <c r="B53" s="19" t="inlineStr">
        <is>
          <t>Kelas 10 IPA</t>
        </is>
      </c>
      <c r="C53" s="19" t="n">
        <v>0.65</v>
      </c>
      <c r="E53" s="14" t="inlineStr">
        <is>
          <t>✏️ KETIK RUMUS JAWABAN TES DI BAWAH:</t>
        </is>
      </c>
      <c r="F53" s="14" t="inlineStr">
        <is>
          <t>📌 STATUS KOREKSI JAWABAN TES:</t>
        </is>
      </c>
      <c r="G53" s="5" t="n"/>
    </row>
    <row r="54" ht="26" customHeight="1">
      <c r="B54" s="19" t="inlineStr">
        <is>
          <t>Kelas 11 IPA</t>
        </is>
      </c>
      <c r="C54" s="19" t="n">
        <v>0.4</v>
      </c>
      <c r="E54" s="28" t="n"/>
      <c r="F54" s="29">
        <f>IF(ISBLANK(E54), "⏳ Belum Diisi (Ketik Rumus di Sel Kuning E54)", IF(E54='99_KUNCI_JAWABAN'!F299, "✅ BENAR! JAWABAN TES TEPAT!", "❌ Belum Tepat (Cek Sheet Akhir: 99_KUNCI_JAWABAN)"))</f>
        <v/>
      </c>
      <c r="G54" s="5" t="n"/>
    </row>
    <row r="55">
      <c r="B55" s="19" t="inlineStr">
        <is>
          <t>Kelas 12 IPA</t>
        </is>
      </c>
      <c r="C55" s="19" t="n">
        <v>0.5</v>
      </c>
    </row>
    <row r="56">
      <c r="B56" s="19" t="inlineStr">
        <is>
          <t>Kelas Unggulan</t>
        </is>
      </c>
      <c r="C56" s="19" t="n">
        <v>0.6</v>
      </c>
    </row>
  </sheetData>
  <mergeCells count="33">
    <mergeCell ref="E10:G10"/>
    <mergeCell ref="F11:G11"/>
    <mergeCell ref="E28:G28"/>
    <mergeCell ref="F29:G29"/>
    <mergeCell ref="C6:G6"/>
    <mergeCell ref="F54:G54"/>
    <mergeCell ref="B17:G17"/>
    <mergeCell ref="B1:G1"/>
    <mergeCell ref="C5:G5"/>
    <mergeCell ref="B19:G19"/>
    <mergeCell ref="F21:G21"/>
    <mergeCell ref="F12:G12"/>
    <mergeCell ref="F30:G30"/>
    <mergeCell ref="E36:G36"/>
    <mergeCell ref="B9:G9"/>
    <mergeCell ref="F45:G45"/>
    <mergeCell ref="B51:G51"/>
    <mergeCell ref="F38:G38"/>
    <mergeCell ref="B35:G35"/>
    <mergeCell ref="B4:G4"/>
    <mergeCell ref="F46:G46"/>
    <mergeCell ref="F22:G22"/>
    <mergeCell ref="B2:E2"/>
    <mergeCell ref="F13:G13"/>
    <mergeCell ref="B16:G16"/>
    <mergeCell ref="F37:G37"/>
    <mergeCell ref="C7:G7"/>
    <mergeCell ref="E52:G52"/>
    <mergeCell ref="B27:G27"/>
    <mergeCell ref="B43:G43"/>
    <mergeCell ref="E44:G44"/>
    <mergeCell ref="E20:G20"/>
    <mergeCell ref="F53:G53"/>
  </mergeCells>
  <hyperlinks>
    <hyperlink xmlns:r="http://schemas.openxmlformats.org/officeDocument/2006/relationships" ref="F2" r:id="rId1"/>
    <hyperlink xmlns:r="http://schemas.openxmlformats.org/officeDocument/2006/relationships" ref="G2" r:id="rId2"/>
  </hyperlinks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B1:G56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22" customWidth="1" min="3" max="3"/>
    <col width="4" customWidth="1" min="4" max="4"/>
    <col width="34" customWidth="1" min="5" max="5"/>
    <col width="44" customWidth="1" min="6" max="6"/>
    <col width="28" customWidth="1" min="7" max="7"/>
  </cols>
  <sheetData>
    <row r="1" ht="30" customHeight="1">
      <c r="B1" s="10" t="inlineStr">
        <is>
          <t>📊 #060 — RUMUS EXCEL: PEARSON   |   Kategori: 8. Statistik &amp; Analisis Data</t>
        </is>
      </c>
    </row>
    <row r="2" ht="22" customHeight="1">
      <c r="B2" s="11" t="inlineStr">
        <is>
          <t>1 Rumus = 1 Contoh Soal + Jawaban Benar &amp; 5 Soal Tes Mandiri (Kunci Jawaban Ada di Sheet Paling Terakhir)</t>
        </is>
      </c>
      <c r="F2" s="12" t="inlineStr">
        <is>
          <t>⬅️ Ke Daftar Isi (00_DAFTAR_ISI)</t>
        </is>
      </c>
      <c r="G2" s="3" t="inlineStr">
        <is>
          <t>🔑 Ke Kunci Jawaban (Sheet Akhir)</t>
        </is>
      </c>
    </row>
    <row r="4" ht="24" customHeight="1">
      <c r="B4" s="13" t="inlineStr">
        <is>
          <t>1️⃣ IDENTITAS RUMUS &amp; FUNGSINYA BUAT APA? (PEARSON)</t>
        </is>
      </c>
    </row>
    <row r="5" ht="21" customHeight="1">
      <c r="B5" s="14" t="inlineStr">
        <is>
          <t>Nama Rumus Excel</t>
        </is>
      </c>
      <c r="C5" s="15">
        <f>PEARSON(...)</f>
        <v/>
      </c>
      <c r="D5" s="5" t="n"/>
      <c r="E5" s="5" t="n"/>
      <c r="F5" s="5" t="n"/>
      <c r="G5" s="5" t="n"/>
    </row>
    <row r="6" ht="21" customHeight="1">
      <c r="B6" s="14" t="inlineStr">
        <is>
          <t>Sintaks / Pola Umum</t>
        </is>
      </c>
      <c r="C6" s="15">
        <f>PEARSON(range_x, range_y)</f>
        <v/>
      </c>
      <c r="D6" s="5" t="n"/>
      <c r="E6" s="5" t="n"/>
      <c r="F6" s="5" t="n"/>
      <c r="G6" s="5" t="n"/>
    </row>
    <row r="7" ht="26" customHeight="1">
      <c r="B7" s="14" t="inlineStr">
        <is>
          <t>👶 Fungsinya Buat Apa?</t>
        </is>
      </c>
      <c r="C7" s="16" t="inlineStr">
        <is>
          <t>Menghitung koefisien korelasi Pearson antara dua kumpulan data.</t>
        </is>
      </c>
      <c r="D7" s="5" t="n"/>
      <c r="E7" s="5" t="n"/>
      <c r="F7" s="5" t="n"/>
      <c r="G7" s="5" t="n"/>
    </row>
    <row r="9" ht="24" customHeight="1">
      <c r="B9" s="17" t="inlineStr">
        <is>
          <t>2️⃣ 1 CONTOH SOAL &amp; CONTOH JAWABAN BENAR (PELAJARI POLA RUMUS PEARSON DI SINI)</t>
        </is>
      </c>
    </row>
    <row r="10">
      <c r="B10" s="18" t="inlineStr">
        <is>
          <t>Data Variabel 1</t>
        </is>
      </c>
      <c r="C10" s="18" t="inlineStr">
        <is>
          <t>Data Variabel 2</t>
        </is>
      </c>
      <c r="E10" s="18" t="inlineStr">
        <is>
          <t>✅ 1 CONTOH SOAL BESERTA CONTOH RUMUS &amp; HASIL JAWABAN BENAR:</t>
        </is>
      </c>
      <c r="F10" s="5" t="n"/>
      <c r="G10" s="5" t="n"/>
    </row>
    <row r="11" ht="28" customHeight="1">
      <c r="B11" s="19" t="n">
        <v>60</v>
      </c>
      <c r="C11" s="19" t="n">
        <v>90</v>
      </c>
      <c r="E11" s="20" t="inlineStr">
        <is>
          <t>Contoh Soal:</t>
        </is>
      </c>
      <c r="F11" s="21" t="inlineStr">
        <is>
          <t>Analisis hubungan antara data pertama (B11:B14) dan data kedua (C11:C14) menggunakan fungsi PEARSON!</t>
        </is>
      </c>
      <c r="G11" s="5" t="n"/>
    </row>
    <row r="12">
      <c r="B12" s="19" t="n">
        <v>120</v>
      </c>
      <c r="C12" s="19" t="n">
        <v>168</v>
      </c>
      <c r="E12" s="20" t="inlineStr">
        <is>
          <t>Contoh Rumus Benar:</t>
        </is>
      </c>
      <c r="F12" s="22" t="inlineStr">
        <is>
          <t>'=PEARSON(B11:B14, C11:C14)</t>
        </is>
      </c>
      <c r="G12" s="5" t="n"/>
    </row>
    <row r="13">
      <c r="B13" s="19" t="n">
        <v>210</v>
      </c>
      <c r="C13" s="19" t="n">
        <v>240</v>
      </c>
      <c r="E13" s="20" t="inlineStr">
        <is>
          <t>Contoh Hasil Benar:</t>
        </is>
      </c>
      <c r="F13" s="23">
        <f>PEARSON(B11:B14, C11:C14)</f>
        <v/>
      </c>
      <c r="G13" s="5" t="n"/>
    </row>
    <row r="14">
      <c r="B14" s="19" t="n">
        <v>300</v>
      </c>
      <c r="C14" s="19" t="n">
        <v>348</v>
      </c>
    </row>
    <row r="16" ht="26" customHeight="1">
      <c r="B16" s="24" t="inlineStr">
        <is>
          <t>3️⃣ 5 SOAL TES DUNIA NYATA — KERJAKAN DI KOTAK KUNING (TANPA KUNCI RUMUS / HASIL DI SINI!)</t>
        </is>
      </c>
    </row>
    <row r="17" ht="20" customHeight="1">
      <c r="B17" s="25" t="inlineStr">
        <is>
          <t>📌 Catatan Tes: Soal Tes #1 s/d #5 di bawah ini tidak menampilkan kunci rumus maupun hasil. Kunci jawaban lengkap tersedia di sheet paling terakhir (99_KUNCI_JAWABAN).</t>
        </is>
      </c>
    </row>
    <row r="19" ht="22" customHeight="1">
      <c r="B19" s="26" t="inlineStr">
        <is>
          <t>📝 SOAL TES #1: Kasus Keuangan &amp; Akuntansi Kantor</t>
        </is>
      </c>
    </row>
    <row r="20" ht="30" customHeight="1">
      <c r="B20" s="14" t="inlineStr">
        <is>
          <t>Data Variabel 1</t>
        </is>
      </c>
      <c r="C20" s="14" t="inlineStr">
        <is>
          <t>Data Variabel 2</t>
        </is>
      </c>
      <c r="E20" s="27" t="inlineStr">
        <is>
          <t>Persoalan Tes #1: Analisis hubungan antara data pertama (B21:B24) dan data kedua (C21:C24) menggunakan fungsi PEARSON!</t>
        </is>
      </c>
    </row>
    <row r="21">
      <c r="B21" s="19" t="n">
        <v>10</v>
      </c>
      <c r="C21" s="19" t="n">
        <v>15</v>
      </c>
      <c r="E21" s="14" t="inlineStr">
        <is>
          <t>✏️ KETIK RUMUS JAWABAN TES DI BAWAH:</t>
        </is>
      </c>
      <c r="F21" s="14" t="inlineStr">
        <is>
          <t>📌 STATUS KOREKSI JAWABAN TES:</t>
        </is>
      </c>
      <c r="G21" s="5" t="n"/>
    </row>
    <row r="22" ht="26" customHeight="1">
      <c r="B22" s="19" t="n">
        <v>20</v>
      </c>
      <c r="C22" s="19" t="n">
        <v>28</v>
      </c>
      <c r="E22" s="28" t="n"/>
      <c r="F22" s="29">
        <f>IF(ISBLANK(E22), "⏳ Belum Diisi (Ketik Rumus di Sel Kuning E22)", IF(E22='99_KUNCI_JAWABAN'!F300, "✅ BENAR! JAWABAN TES TEPAT!", "❌ Belum Tepat (Cek Sheet Akhir: 99_KUNCI_JAWABAN)"))</f>
        <v/>
      </c>
      <c r="G22" s="5" t="n"/>
    </row>
    <row r="23">
      <c r="B23" s="19" t="n">
        <v>35</v>
      </c>
      <c r="C23" s="19" t="n">
        <v>40</v>
      </c>
    </row>
    <row r="24">
      <c r="B24" s="19" t="n">
        <v>50</v>
      </c>
      <c r="C24" s="19" t="n">
        <v>58</v>
      </c>
    </row>
    <row r="27" ht="22" customHeight="1">
      <c r="B27" s="26" t="inlineStr">
        <is>
          <t>📝 SOAL TES #2: Kasus HRD, Gaji &amp; Lembur Karyawan</t>
        </is>
      </c>
    </row>
    <row r="28" ht="30" customHeight="1">
      <c r="B28" s="14" t="inlineStr">
        <is>
          <t>Data Variabel 1</t>
        </is>
      </c>
      <c r="C28" s="14" t="inlineStr">
        <is>
          <t>Data Variabel 2</t>
        </is>
      </c>
      <c r="E28" s="27" t="inlineStr">
        <is>
          <t>Persoalan Tes #2: Analisis hubungan antara data pertama (B29:B32) dan data kedua (C29:C32) menggunakan fungsi PEARSON!</t>
        </is>
      </c>
    </row>
    <row r="29">
      <c r="B29" s="19" t="n">
        <v>20</v>
      </c>
      <c r="C29" s="19" t="n">
        <v>30</v>
      </c>
      <c r="E29" s="14" t="inlineStr">
        <is>
          <t>✏️ KETIK RUMUS JAWABAN TES DI BAWAH:</t>
        </is>
      </c>
      <c r="F29" s="14" t="inlineStr">
        <is>
          <t>📌 STATUS KOREKSI JAWABAN TES:</t>
        </is>
      </c>
      <c r="G29" s="5" t="n"/>
    </row>
    <row r="30" ht="26" customHeight="1">
      <c r="B30" s="19" t="n">
        <v>40</v>
      </c>
      <c r="C30" s="19" t="n">
        <v>56</v>
      </c>
      <c r="E30" s="28" t="n"/>
      <c r="F30" s="29">
        <f>IF(ISBLANK(E30), "⏳ Belum Diisi (Ketik Rumus di Sel Kuning E30)", IF(E30='99_KUNCI_JAWABAN'!F301, "✅ BENAR! JAWABAN TES TEPAT!", "❌ Belum Tepat (Cek Sheet Akhir: 99_KUNCI_JAWABAN)"))</f>
        <v/>
      </c>
      <c r="G30" s="5" t="n"/>
    </row>
    <row r="31">
      <c r="B31" s="19" t="n">
        <v>70</v>
      </c>
      <c r="C31" s="19" t="n">
        <v>80</v>
      </c>
    </row>
    <row r="32">
      <c r="B32" s="19" t="n">
        <v>100</v>
      </c>
      <c r="C32" s="19" t="n">
        <v>116</v>
      </c>
    </row>
    <row r="35" ht="22" customHeight="1">
      <c r="B35" s="26" t="inlineStr">
        <is>
          <t>📝 SOAL TES #3: Kasus Logistik &amp; Stok Gudang Utama</t>
        </is>
      </c>
    </row>
    <row r="36" ht="30" customHeight="1">
      <c r="B36" s="14" t="inlineStr">
        <is>
          <t>Data Variabel 1</t>
        </is>
      </c>
      <c r="C36" s="14" t="inlineStr">
        <is>
          <t>Data Variabel 2</t>
        </is>
      </c>
      <c r="E36" s="27" t="inlineStr">
        <is>
          <t>Persoalan Tes #3: Analisis hubungan antara data pertama (B37:B40) dan data kedua (C37:C40) menggunakan fungsi PEARSON!</t>
        </is>
      </c>
    </row>
    <row r="37">
      <c r="B37" s="19" t="n">
        <v>30</v>
      </c>
      <c r="C37" s="19" t="n">
        <v>45</v>
      </c>
      <c r="E37" s="14" t="inlineStr">
        <is>
          <t>✏️ KETIK RUMUS JAWABAN TES DI BAWAH:</t>
        </is>
      </c>
      <c r="F37" s="14" t="inlineStr">
        <is>
          <t>📌 STATUS KOREKSI JAWABAN TES:</t>
        </is>
      </c>
      <c r="G37" s="5" t="n"/>
    </row>
    <row r="38" ht="26" customHeight="1">
      <c r="B38" s="19" t="n">
        <v>60</v>
      </c>
      <c r="C38" s="19" t="n">
        <v>84</v>
      </c>
      <c r="E38" s="28" t="n"/>
      <c r="F38" s="29">
        <f>IF(ISBLANK(E38), "⏳ Belum Diisi (Ketik Rumus di Sel Kuning E38)", IF(E38='99_KUNCI_JAWABAN'!F302, "✅ BENAR! JAWABAN TES TEPAT!", "❌ Belum Tepat (Cek Sheet Akhir: 99_KUNCI_JAWABAN)"))</f>
        <v/>
      </c>
      <c r="G38" s="5" t="n"/>
    </row>
    <row r="39">
      <c r="B39" s="19" t="n">
        <v>105</v>
      </c>
      <c r="C39" s="19" t="n">
        <v>120</v>
      </c>
    </row>
    <row r="40">
      <c r="B40" s="19" t="n">
        <v>150</v>
      </c>
      <c r="C40" s="19" t="n">
        <v>174</v>
      </c>
    </row>
    <row r="43" ht="22" customHeight="1">
      <c r="B43" s="26" t="inlineStr">
        <is>
          <t>📝 SOAL TES #4: Kasus Penjualan Retail &amp; Target Toko</t>
        </is>
      </c>
    </row>
    <row r="44" ht="30" customHeight="1">
      <c r="B44" s="14" t="inlineStr">
        <is>
          <t>Data Variabel 1</t>
        </is>
      </c>
      <c r="C44" s="14" t="inlineStr">
        <is>
          <t>Data Variabel 2</t>
        </is>
      </c>
      <c r="E44" s="27" t="inlineStr">
        <is>
          <t>Persoalan Tes #4: Analisis hubungan antara data pertama (B45:B48) dan data kedua (C45:C48) menggunakan fungsi PEARSON!</t>
        </is>
      </c>
    </row>
    <row r="45">
      <c r="B45" s="19" t="n">
        <v>40</v>
      </c>
      <c r="C45" s="19" t="n">
        <v>60</v>
      </c>
      <c r="E45" s="14" t="inlineStr">
        <is>
          <t>✏️ KETIK RUMUS JAWABAN TES DI BAWAH:</t>
        </is>
      </c>
      <c r="F45" s="14" t="inlineStr">
        <is>
          <t>📌 STATUS KOREKSI JAWABAN TES:</t>
        </is>
      </c>
      <c r="G45" s="5" t="n"/>
    </row>
    <row r="46" ht="26" customHeight="1">
      <c r="B46" s="19" t="n">
        <v>80</v>
      </c>
      <c r="C46" s="19" t="n">
        <v>112</v>
      </c>
      <c r="E46" s="28" t="n"/>
      <c r="F46" s="29">
        <f>IF(ISBLANK(E46), "⏳ Belum Diisi (Ketik Rumus di Sel Kuning E46)", IF(E46='99_KUNCI_JAWABAN'!F303, "✅ BENAR! JAWABAN TES TEPAT!", "❌ Belum Tepat (Cek Sheet Akhir: 99_KUNCI_JAWABAN)"))</f>
        <v/>
      </c>
      <c r="G46" s="5" t="n"/>
    </row>
    <row r="47">
      <c r="B47" s="19" t="n">
        <v>140</v>
      </c>
      <c r="C47" s="19" t="n">
        <v>160</v>
      </c>
    </row>
    <row r="48">
      <c r="B48" s="19" t="n">
        <v>200</v>
      </c>
      <c r="C48" s="19" t="n">
        <v>232</v>
      </c>
    </row>
    <row r="51" ht="22" customHeight="1">
      <c r="B51" s="26" t="inlineStr">
        <is>
          <t>📝 SOAL TES #5: Kasus Akademik Sekolah &amp; Layanan Publik</t>
        </is>
      </c>
    </row>
    <row r="52" ht="30" customHeight="1">
      <c r="B52" s="14" t="inlineStr">
        <is>
          <t>Data Variabel 1</t>
        </is>
      </c>
      <c r="C52" s="14" t="inlineStr">
        <is>
          <t>Data Variabel 2</t>
        </is>
      </c>
      <c r="E52" s="27" t="inlineStr">
        <is>
          <t>Persoalan Tes #5: Analisis hubungan antara data pertama (B53:B56) dan data kedua (C53:C56) menggunakan fungsi PEARSON!</t>
        </is>
      </c>
    </row>
    <row r="53">
      <c r="B53" s="19" t="n">
        <v>50</v>
      </c>
      <c r="C53" s="19" t="n">
        <v>75</v>
      </c>
      <c r="E53" s="14" t="inlineStr">
        <is>
          <t>✏️ KETIK RUMUS JAWABAN TES DI BAWAH:</t>
        </is>
      </c>
      <c r="F53" s="14" t="inlineStr">
        <is>
          <t>📌 STATUS KOREKSI JAWABAN TES:</t>
        </is>
      </c>
      <c r="G53" s="5" t="n"/>
    </row>
    <row r="54" ht="26" customHeight="1">
      <c r="B54" s="19" t="n">
        <v>100</v>
      </c>
      <c r="C54" s="19" t="n">
        <v>140</v>
      </c>
      <c r="E54" s="28" t="n"/>
      <c r="F54" s="29">
        <f>IF(ISBLANK(E54), "⏳ Belum Diisi (Ketik Rumus di Sel Kuning E54)", IF(E54='99_KUNCI_JAWABAN'!F304, "✅ BENAR! JAWABAN TES TEPAT!", "❌ Belum Tepat (Cek Sheet Akhir: 99_KUNCI_JAWABAN)"))</f>
        <v/>
      </c>
      <c r="G54" s="5" t="n"/>
    </row>
    <row r="55">
      <c r="B55" s="19" t="n">
        <v>175</v>
      </c>
      <c r="C55" s="19" t="n">
        <v>200</v>
      </c>
    </row>
    <row r="56">
      <c r="B56" s="19" t="n">
        <v>250</v>
      </c>
      <c r="C56" s="19" t="n">
        <v>290</v>
      </c>
    </row>
  </sheetData>
  <mergeCells count="33">
    <mergeCell ref="E10:G10"/>
    <mergeCell ref="F11:G11"/>
    <mergeCell ref="E28:G28"/>
    <mergeCell ref="F29:G29"/>
    <mergeCell ref="C6:G6"/>
    <mergeCell ref="F54:G54"/>
    <mergeCell ref="B17:G17"/>
    <mergeCell ref="B1:G1"/>
    <mergeCell ref="C5:G5"/>
    <mergeCell ref="B19:G19"/>
    <mergeCell ref="F21:G21"/>
    <mergeCell ref="F12:G12"/>
    <mergeCell ref="F30:G30"/>
    <mergeCell ref="E36:G36"/>
    <mergeCell ref="B9:G9"/>
    <mergeCell ref="F45:G45"/>
    <mergeCell ref="B51:G51"/>
    <mergeCell ref="F38:G38"/>
    <mergeCell ref="B35:G35"/>
    <mergeCell ref="B4:G4"/>
    <mergeCell ref="F46:G46"/>
    <mergeCell ref="F22:G22"/>
    <mergeCell ref="B2:E2"/>
    <mergeCell ref="F13:G13"/>
    <mergeCell ref="B16:G16"/>
    <mergeCell ref="F37:G37"/>
    <mergeCell ref="C7:G7"/>
    <mergeCell ref="E52:G52"/>
    <mergeCell ref="B27:G27"/>
    <mergeCell ref="B43:G43"/>
    <mergeCell ref="E44:G44"/>
    <mergeCell ref="E20:G20"/>
    <mergeCell ref="F53:G53"/>
  </mergeCells>
  <hyperlinks>
    <hyperlink xmlns:r="http://schemas.openxmlformats.org/officeDocument/2006/relationships" ref="F2" r:id="rId1"/>
    <hyperlink xmlns:r="http://schemas.openxmlformats.org/officeDocument/2006/relationships" ref="G2" r:id="rId2"/>
  </hyperlinks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B1:G56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22" customWidth="1" min="3" max="3"/>
    <col width="4" customWidth="1" min="4" max="4"/>
    <col width="34" customWidth="1" min="5" max="5"/>
    <col width="44" customWidth="1" min="6" max="6"/>
    <col width="28" customWidth="1" min="7" max="7"/>
  </cols>
  <sheetData>
    <row r="1" ht="30" customHeight="1">
      <c r="B1" s="10" t="inlineStr">
        <is>
          <t>📊 #061 — RUMUS EXCEL: PERCENTILE.EXC   |   Kategori: 8. Statistik &amp; Analisis Data</t>
        </is>
      </c>
    </row>
    <row r="2" ht="22" customHeight="1">
      <c r="B2" s="11" t="inlineStr">
        <is>
          <t>1 Rumus = 1 Contoh Soal + Jawaban Benar &amp; 5 Soal Tes Mandiri (Kunci Jawaban Ada di Sheet Paling Terakhir)</t>
        </is>
      </c>
      <c r="F2" s="12" t="inlineStr">
        <is>
          <t>⬅️ Ke Daftar Isi (00_DAFTAR_ISI)</t>
        </is>
      </c>
      <c r="G2" s="3" t="inlineStr">
        <is>
          <t>🔑 Ke Kunci Jawaban (Sheet Akhir)</t>
        </is>
      </c>
    </row>
    <row r="4" ht="24" customHeight="1">
      <c r="B4" s="13" t="inlineStr">
        <is>
          <t>1️⃣ IDENTITAS RUMUS &amp; FUNGSINYA BUAT APA? (PERCENTILE.EXC)</t>
        </is>
      </c>
    </row>
    <row r="5" ht="21" customHeight="1">
      <c r="B5" s="14" t="inlineStr">
        <is>
          <t>Nama Rumus Excel</t>
        </is>
      </c>
      <c r="C5" s="15">
        <f>PERCENTILE.EXC(...)</f>
        <v/>
      </c>
      <c r="D5" s="5" t="n"/>
      <c r="E5" s="5" t="n"/>
      <c r="F5" s="5" t="n"/>
      <c r="G5" s="5" t="n"/>
    </row>
    <row r="6" ht="21" customHeight="1">
      <c r="B6" s="14" t="inlineStr">
        <is>
          <t>Sintaks / Pola Umum</t>
        </is>
      </c>
      <c r="C6" s="15">
        <f>PERCENTILE.EXC(range_data, k)</f>
        <v/>
      </c>
      <c r="D6" s="5" t="n"/>
      <c r="E6" s="5" t="n"/>
      <c r="F6" s="5" t="n"/>
      <c r="G6" s="5" t="n"/>
    </row>
    <row r="7" ht="26" customHeight="1">
      <c r="B7" s="14" t="inlineStr">
        <is>
          <t>👶 Fungsinya Buat Apa?</t>
        </is>
      </c>
      <c r="C7" s="16" t="inlineStr">
        <is>
          <t>Mencari nilai persentil eksklusif dari distribusi data.</t>
        </is>
      </c>
      <c r="D7" s="5" t="n"/>
      <c r="E7" s="5" t="n"/>
      <c r="F7" s="5" t="n"/>
      <c r="G7" s="5" t="n"/>
    </row>
    <row r="9" ht="24" customHeight="1">
      <c r="B9" s="17" t="inlineStr">
        <is>
          <t>2️⃣ 1 CONTOH SOAL &amp; CONTOH JAWABAN BENAR (PELAJARI POLA RUMUS PERCENTILE.EXC DI SINI)</t>
        </is>
      </c>
    </row>
    <row r="10">
      <c r="B10" s="18" t="inlineStr">
        <is>
          <t>Sampel Data</t>
        </is>
      </c>
      <c r="C10" s="18" t="inlineStr">
        <is>
          <t>Nilai Skor</t>
        </is>
      </c>
      <c r="E10" s="18" t="inlineStr">
        <is>
          <t>✅ 1 CONTOH SOAL BESERTA CONTOH RUMUS &amp; HASIL JAWABAN BENAR:</t>
        </is>
      </c>
      <c r="F10" s="5" t="n"/>
      <c r="G10" s="5" t="n"/>
    </row>
    <row r="11" ht="28" customHeight="1">
      <c r="B11" s="19" t="inlineStr">
        <is>
          <t>Simulasi Unit A</t>
        </is>
      </c>
      <c r="C11" s="19" t="n">
        <v>500000</v>
      </c>
      <c r="E11" s="20" t="inlineStr">
        <is>
          <t>Contoh Soal:</t>
        </is>
      </c>
      <c r="F11" s="21" t="inlineStr">
        <is>
          <t>Hitung nilai persentil k = 0.5 (50%) dari rentang data C11:C14 menggunakan fungsi PERCENTILE.EXC!</t>
        </is>
      </c>
      <c r="G11" s="5" t="n"/>
    </row>
    <row r="12">
      <c r="B12" s="19" t="inlineStr">
        <is>
          <t>Simulasi Unit B</t>
        </is>
      </c>
      <c r="C12" s="19" t="n">
        <v>750000</v>
      </c>
      <c r="E12" s="20" t="inlineStr">
        <is>
          <t>Contoh Rumus Benar:</t>
        </is>
      </c>
      <c r="F12" s="22" t="inlineStr">
        <is>
          <t>'=PERCENTILE.EXC(C11:C14, 0.5)</t>
        </is>
      </c>
      <c r="G12" s="5" t="n"/>
    </row>
    <row r="13">
      <c r="B13" s="19" t="inlineStr">
        <is>
          <t>Simulasi Unit C</t>
        </is>
      </c>
      <c r="C13" s="19" t="n">
        <v>600000</v>
      </c>
      <c r="E13" s="20" t="inlineStr">
        <is>
          <t>Contoh Hasil Benar:</t>
        </is>
      </c>
      <c r="F13" s="23">
        <f>PERCENTILE.EXC(C11:C14, 0.5)</f>
        <v/>
      </c>
      <c r="G13" s="5" t="n"/>
    </row>
    <row r="14">
      <c r="B14" s="19" t="inlineStr">
        <is>
          <t>Simulasi Unit D</t>
        </is>
      </c>
      <c r="C14" s="19" t="n">
        <v>950000</v>
      </c>
    </row>
    <row r="16" ht="26" customHeight="1">
      <c r="B16" s="24" t="inlineStr">
        <is>
          <t>3️⃣ 5 SOAL TES DUNIA NYATA — KERJAKAN DI KOTAK KUNING (TANPA KUNCI RUMUS / HASIL DI SINI!)</t>
        </is>
      </c>
    </row>
    <row r="17" ht="20" customHeight="1">
      <c r="B17" s="25" t="inlineStr">
        <is>
          <t>📌 Catatan Tes: Soal Tes #1 s/d #5 di bawah ini tidak menampilkan kunci rumus maupun hasil. Kunci jawaban lengkap tersedia di sheet paling terakhir (99_KUNCI_JAWABAN).</t>
        </is>
      </c>
    </row>
    <row r="19" ht="22" customHeight="1">
      <c r="B19" s="26" t="inlineStr">
        <is>
          <t>📝 SOAL TES #1: Kasus Keuangan &amp; Akuntansi Kantor</t>
        </is>
      </c>
    </row>
    <row r="20" ht="30" customHeight="1">
      <c r="B20" s="14" t="inlineStr">
        <is>
          <t>Sampel Data</t>
        </is>
      </c>
      <c r="C20" s="14" t="inlineStr">
        <is>
          <t>Nilai Skor</t>
        </is>
      </c>
      <c r="E20" s="27" t="inlineStr">
        <is>
          <t>Persoalan Tes #1: Hitung nilai persentil k = 0.5 (50%) dari rentang data C21:C24 menggunakan fungsi PERCENTILE.EXC!</t>
        </is>
      </c>
    </row>
    <row r="21">
      <c r="B21" s="19" t="inlineStr">
        <is>
          <t>Cabang Jakarta</t>
        </is>
      </c>
      <c r="C21" s="19" t="n">
        <v>1250000</v>
      </c>
      <c r="E21" s="14" t="inlineStr">
        <is>
          <t>✏️ KETIK RUMUS JAWABAN TES DI BAWAH:</t>
        </is>
      </c>
      <c r="F21" s="14" t="inlineStr">
        <is>
          <t>📌 STATUS KOREKSI JAWABAN TES:</t>
        </is>
      </c>
      <c r="G21" s="5" t="n"/>
    </row>
    <row r="22" ht="26" customHeight="1">
      <c r="B22" s="19" t="inlineStr">
        <is>
          <t>Cabang Bandung</t>
        </is>
      </c>
      <c r="C22" s="19" t="n">
        <v>1850000</v>
      </c>
      <c r="E22" s="28" t="n"/>
      <c r="F22" s="29">
        <f>IF(ISBLANK(E22), "⏳ Belum Diisi (Ketik Rumus di Sel Kuning E22)", IF(E22='99_KUNCI_JAWABAN'!F305, "✅ BENAR! JAWABAN TES TEPAT!", "❌ Belum Tepat (Cek Sheet Akhir: 99_KUNCI_JAWABAN)"))</f>
        <v/>
      </c>
      <c r="G22" s="5" t="n"/>
    </row>
    <row r="23">
      <c r="B23" s="19" t="inlineStr">
        <is>
          <t>Cabang Surabaya</t>
        </is>
      </c>
      <c r="C23" s="19" t="n">
        <v>2100000</v>
      </c>
    </row>
    <row r="24">
      <c r="B24" s="19" t="inlineStr">
        <is>
          <t>Cabang Medan</t>
        </is>
      </c>
      <c r="C24" s="19" t="n">
        <v>1600000</v>
      </c>
    </row>
    <row r="27" ht="22" customHeight="1">
      <c r="B27" s="26" t="inlineStr">
        <is>
          <t>📝 SOAL TES #2: Kasus HRD, Gaji &amp; Lembur Karyawan</t>
        </is>
      </c>
    </row>
    <row r="28" ht="30" customHeight="1">
      <c r="B28" s="14" t="inlineStr">
        <is>
          <t>Sampel Data</t>
        </is>
      </c>
      <c r="C28" s="14" t="inlineStr">
        <is>
          <t>Nilai Skor</t>
        </is>
      </c>
      <c r="E28" s="27" t="inlineStr">
        <is>
          <t>Persoalan Tes #2: Hitung nilai persentil k = 0.5 (50%) dari rentang data C29:C32 menggunakan fungsi PERCENTILE.EXC!</t>
        </is>
      </c>
    </row>
    <row r="29">
      <c r="B29" s="19" t="inlineStr">
        <is>
          <t>Budi Santoso</t>
        </is>
      </c>
      <c r="C29" s="19" t="n">
        <v>4500000</v>
      </c>
      <c r="E29" s="14" t="inlineStr">
        <is>
          <t>✏️ KETIK RUMUS JAWABAN TES DI BAWAH:</t>
        </is>
      </c>
      <c r="F29" s="14" t="inlineStr">
        <is>
          <t>📌 STATUS KOREKSI JAWABAN TES:</t>
        </is>
      </c>
      <c r="G29" s="5" t="n"/>
    </row>
    <row r="30" ht="26" customHeight="1">
      <c r="B30" s="19" t="inlineStr">
        <is>
          <t>Siti Aminah</t>
        </is>
      </c>
      <c r="C30" s="19" t="n">
        <v>5200000</v>
      </c>
      <c r="E30" s="28" t="n"/>
      <c r="F30" s="29">
        <f>IF(ISBLANK(E30), "⏳ Belum Diisi (Ketik Rumus di Sel Kuning E30)", IF(E30='99_KUNCI_JAWABAN'!F306, "✅ BENAR! JAWABAN TES TEPAT!", "❌ Belum Tepat (Cek Sheet Akhir: 99_KUNCI_JAWABAN)"))</f>
        <v/>
      </c>
      <c r="G30" s="5" t="n"/>
    </row>
    <row r="31">
      <c r="B31" s="19" t="inlineStr">
        <is>
          <t>Andi Pratama</t>
        </is>
      </c>
      <c r="C31" s="19" t="n">
        <v>4800000</v>
      </c>
    </row>
    <row r="32">
      <c r="B32" s="19" t="inlineStr">
        <is>
          <t>Rina Wijaya</t>
        </is>
      </c>
      <c r="C32" s="19" t="n">
        <v>6100000</v>
      </c>
    </row>
    <row r="35" ht="22" customHeight="1">
      <c r="B35" s="26" t="inlineStr">
        <is>
          <t>📝 SOAL TES #3: Kasus Logistik &amp; Stok Gudang Utama</t>
        </is>
      </c>
    </row>
    <row r="36" ht="30" customHeight="1">
      <c r="B36" s="14" t="inlineStr">
        <is>
          <t>Sampel Data</t>
        </is>
      </c>
      <c r="C36" s="14" t="inlineStr">
        <is>
          <t>Nilai Skor</t>
        </is>
      </c>
      <c r="E36" s="27" t="inlineStr">
        <is>
          <t>Persoalan Tes #3: Hitung nilai persentil k = 0.5 (50%) dari rentang data C37:C40 menggunakan fungsi PERCENTILE.EXC!</t>
        </is>
      </c>
    </row>
    <row r="37">
      <c r="B37" s="19" t="inlineStr">
        <is>
          <t>Gudang Blok A</t>
        </is>
      </c>
      <c r="C37" s="19" t="n">
        <v>240</v>
      </c>
      <c r="E37" s="14" t="inlineStr">
        <is>
          <t>✏️ KETIK RUMUS JAWABAN TES DI BAWAH:</t>
        </is>
      </c>
      <c r="F37" s="14" t="inlineStr">
        <is>
          <t>📌 STATUS KOREKSI JAWABAN TES:</t>
        </is>
      </c>
      <c r="G37" s="5" t="n"/>
    </row>
    <row r="38" ht="26" customHeight="1">
      <c r="B38" s="19" t="inlineStr">
        <is>
          <t>Gudang Blok B</t>
        </is>
      </c>
      <c r="C38" s="19" t="n">
        <v>380</v>
      </c>
      <c r="E38" s="28" t="n"/>
      <c r="F38" s="29">
        <f>IF(ISBLANK(E38), "⏳ Belum Diisi (Ketik Rumus di Sel Kuning E38)", IF(E38='99_KUNCI_JAWABAN'!F307, "✅ BENAR! JAWABAN TES TEPAT!", "❌ Belum Tepat (Cek Sheet Akhir: 99_KUNCI_JAWABAN)"))</f>
        <v/>
      </c>
      <c r="G38" s="5" t="n"/>
    </row>
    <row r="39">
      <c r="B39" s="19" t="inlineStr">
        <is>
          <t>Gudang Blok C</t>
        </is>
      </c>
      <c r="C39" s="19" t="n">
        <v>195</v>
      </c>
    </row>
    <row r="40">
      <c r="B40" s="19" t="inlineStr">
        <is>
          <t>Gudang Blok D</t>
        </is>
      </c>
      <c r="C40" s="19" t="n">
        <v>425</v>
      </c>
    </row>
    <row r="43" ht="22" customHeight="1">
      <c r="B43" s="26" t="inlineStr">
        <is>
          <t>📝 SOAL TES #4: Kasus Penjualan Retail &amp; Target Toko</t>
        </is>
      </c>
    </row>
    <row r="44" ht="30" customHeight="1">
      <c r="B44" s="14" t="inlineStr">
        <is>
          <t>Sampel Data</t>
        </is>
      </c>
      <c r="C44" s="14" t="inlineStr">
        <is>
          <t>Nilai Skor</t>
        </is>
      </c>
      <c r="E44" s="27" t="inlineStr">
        <is>
          <t>Persoalan Tes #4: Hitung nilai persentil k = 0.5 (50%) dari rentang data C45:C48 menggunakan fungsi PERCENTILE.EXC!</t>
        </is>
      </c>
    </row>
    <row r="45">
      <c r="B45" s="19" t="inlineStr">
        <is>
          <t>Toko Elektronik</t>
        </is>
      </c>
      <c r="C45" s="19" t="n">
        <v>85</v>
      </c>
      <c r="E45" s="14" t="inlineStr">
        <is>
          <t>✏️ KETIK RUMUS JAWABAN TES DI BAWAH:</t>
        </is>
      </c>
      <c r="F45" s="14" t="inlineStr">
        <is>
          <t>📌 STATUS KOREKSI JAWABAN TES:</t>
        </is>
      </c>
      <c r="G45" s="5" t="n"/>
    </row>
    <row r="46" ht="26" customHeight="1">
      <c r="B46" s="19" t="inlineStr">
        <is>
          <t>Toko Komputer</t>
        </is>
      </c>
      <c r="C46" s="19" t="n">
        <v>92</v>
      </c>
      <c r="E46" s="28" t="n"/>
      <c r="F46" s="29">
        <f>IF(ISBLANK(E46), "⏳ Belum Diisi (Ketik Rumus di Sel Kuning E46)", IF(E46='99_KUNCI_JAWABAN'!F308, "✅ BENAR! JAWABAN TES TEPAT!", "❌ Belum Tepat (Cek Sheet Akhir: 99_KUNCI_JAWABAN)"))</f>
        <v/>
      </c>
      <c r="G46" s="5" t="n"/>
    </row>
    <row r="47">
      <c r="B47" s="19" t="inlineStr">
        <is>
          <t>Toko Aksesoris</t>
        </is>
      </c>
      <c r="C47" s="19" t="n">
        <v>78</v>
      </c>
    </row>
    <row r="48">
      <c r="B48" s="19" t="inlineStr">
        <is>
          <t>Toko Servis</t>
        </is>
      </c>
      <c r="C48" s="19" t="n">
        <v>95</v>
      </c>
    </row>
    <row r="51" ht="22" customHeight="1">
      <c r="B51" s="26" t="inlineStr">
        <is>
          <t>📝 SOAL TES #5: Kasus Akademik Sekolah &amp; Layanan Publik</t>
        </is>
      </c>
    </row>
    <row r="52" ht="30" customHeight="1">
      <c r="B52" s="14" t="inlineStr">
        <is>
          <t>Sampel Data</t>
        </is>
      </c>
      <c r="C52" s="14" t="inlineStr">
        <is>
          <t>Nilai Skor</t>
        </is>
      </c>
      <c r="E52" s="27" t="inlineStr">
        <is>
          <t>Persoalan Tes #5: Hitung nilai persentil k = 0.5 (50%) dari rentang data C53:C56 menggunakan fungsi PERCENTILE.EXC!</t>
        </is>
      </c>
    </row>
    <row r="53">
      <c r="B53" s="19" t="inlineStr">
        <is>
          <t>Kelas 10 IPA</t>
        </is>
      </c>
      <c r="C53" s="19" t="n">
        <v>82</v>
      </c>
      <c r="E53" s="14" t="inlineStr">
        <is>
          <t>✏️ KETIK RUMUS JAWABAN TES DI BAWAH:</t>
        </is>
      </c>
      <c r="F53" s="14" t="inlineStr">
        <is>
          <t>📌 STATUS KOREKSI JAWABAN TES:</t>
        </is>
      </c>
      <c r="G53" s="5" t="n"/>
    </row>
    <row r="54" ht="26" customHeight="1">
      <c r="B54" s="19" t="inlineStr">
        <is>
          <t>Kelas 11 IPA</t>
        </is>
      </c>
      <c r="C54" s="19" t="n">
        <v>88</v>
      </c>
      <c r="E54" s="28" t="n"/>
      <c r="F54" s="29">
        <f>IF(ISBLANK(E54), "⏳ Belum Diisi (Ketik Rumus di Sel Kuning E54)", IF(E54='99_KUNCI_JAWABAN'!F309, "✅ BENAR! JAWABAN TES TEPAT!", "❌ Belum Tepat (Cek Sheet Akhir: 99_KUNCI_JAWABAN)"))</f>
        <v/>
      </c>
      <c r="G54" s="5" t="n"/>
    </row>
    <row r="55">
      <c r="B55" s="19" t="inlineStr">
        <is>
          <t>Kelas 12 IPA</t>
        </is>
      </c>
      <c r="C55" s="19" t="n">
        <v>91</v>
      </c>
    </row>
    <row r="56">
      <c r="B56" s="19" t="inlineStr">
        <is>
          <t>Kelas Unggulan</t>
        </is>
      </c>
      <c r="C56" s="19" t="n">
        <v>79</v>
      </c>
    </row>
  </sheetData>
  <mergeCells count="33">
    <mergeCell ref="E10:G10"/>
    <mergeCell ref="F11:G11"/>
    <mergeCell ref="E28:G28"/>
    <mergeCell ref="F29:G29"/>
    <mergeCell ref="C6:G6"/>
    <mergeCell ref="F54:G54"/>
    <mergeCell ref="B17:G17"/>
    <mergeCell ref="B1:G1"/>
    <mergeCell ref="C5:G5"/>
    <mergeCell ref="B19:G19"/>
    <mergeCell ref="F21:G21"/>
    <mergeCell ref="F12:G12"/>
    <mergeCell ref="F30:G30"/>
    <mergeCell ref="E36:G36"/>
    <mergeCell ref="B9:G9"/>
    <mergeCell ref="F45:G45"/>
    <mergeCell ref="B51:G51"/>
    <mergeCell ref="F38:G38"/>
    <mergeCell ref="B35:G35"/>
    <mergeCell ref="B4:G4"/>
    <mergeCell ref="F46:G46"/>
    <mergeCell ref="F22:G22"/>
    <mergeCell ref="B2:E2"/>
    <mergeCell ref="F13:G13"/>
    <mergeCell ref="B16:G16"/>
    <mergeCell ref="F37:G37"/>
    <mergeCell ref="C7:G7"/>
    <mergeCell ref="E52:G52"/>
    <mergeCell ref="B27:G27"/>
    <mergeCell ref="B43:G43"/>
    <mergeCell ref="E44:G44"/>
    <mergeCell ref="E20:G20"/>
    <mergeCell ref="F53:G53"/>
  </mergeCells>
  <hyperlinks>
    <hyperlink xmlns:r="http://schemas.openxmlformats.org/officeDocument/2006/relationships" ref="F2" r:id="rId1"/>
    <hyperlink xmlns:r="http://schemas.openxmlformats.org/officeDocument/2006/relationships" ref="G2" r:id="rId2"/>
  </hyperlinks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B1:G56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22" customWidth="1" min="3" max="3"/>
    <col width="4" customWidth="1" min="4" max="4"/>
    <col width="34" customWidth="1" min="5" max="5"/>
    <col width="44" customWidth="1" min="6" max="6"/>
    <col width="28" customWidth="1" min="7" max="7"/>
  </cols>
  <sheetData>
    <row r="1" ht="30" customHeight="1">
      <c r="B1" s="10" t="inlineStr">
        <is>
          <t>📊 #062 — RUMUS EXCEL: PERCENTILE.INC   |   Kategori: 8. Statistik &amp; Analisis Data</t>
        </is>
      </c>
    </row>
    <row r="2" ht="22" customHeight="1">
      <c r="B2" s="11" t="inlineStr">
        <is>
          <t>1 Rumus = 1 Contoh Soal + Jawaban Benar &amp; 5 Soal Tes Mandiri (Kunci Jawaban Ada di Sheet Paling Terakhir)</t>
        </is>
      </c>
      <c r="F2" s="12" t="inlineStr">
        <is>
          <t>⬅️ Ke Daftar Isi (00_DAFTAR_ISI)</t>
        </is>
      </c>
      <c r="G2" s="3" t="inlineStr">
        <is>
          <t>🔑 Ke Kunci Jawaban (Sheet Akhir)</t>
        </is>
      </c>
    </row>
    <row r="4" ht="24" customHeight="1">
      <c r="B4" s="13" t="inlineStr">
        <is>
          <t>1️⃣ IDENTITAS RUMUS &amp; FUNGSINYA BUAT APA? (PERCENTILE.INC)</t>
        </is>
      </c>
    </row>
    <row r="5" ht="21" customHeight="1">
      <c r="B5" s="14" t="inlineStr">
        <is>
          <t>Nama Rumus Excel</t>
        </is>
      </c>
      <c r="C5" s="15">
        <f>PERCENTILE.INC(...)</f>
        <v/>
      </c>
      <c r="D5" s="5" t="n"/>
      <c r="E5" s="5" t="n"/>
      <c r="F5" s="5" t="n"/>
      <c r="G5" s="5" t="n"/>
    </row>
    <row r="6" ht="21" customHeight="1">
      <c r="B6" s="14" t="inlineStr">
        <is>
          <t>Sintaks / Pola Umum</t>
        </is>
      </c>
      <c r="C6" s="15">
        <f>PERCENTILE.INC(range_data, k)</f>
        <v/>
      </c>
      <c r="D6" s="5" t="n"/>
      <c r="E6" s="5" t="n"/>
      <c r="F6" s="5" t="n"/>
      <c r="G6" s="5" t="n"/>
    </row>
    <row r="7" ht="26" customHeight="1">
      <c r="B7" s="14" t="inlineStr">
        <is>
          <t>👶 Fungsinya Buat Apa?</t>
        </is>
      </c>
      <c r="C7" s="16" t="inlineStr">
        <is>
          <t>Mencari nilai persentil inklusif (0 s/d 1) dari distribusi data.</t>
        </is>
      </c>
      <c r="D7" s="5" t="n"/>
      <c r="E7" s="5" t="n"/>
      <c r="F7" s="5" t="n"/>
      <c r="G7" s="5" t="n"/>
    </row>
    <row r="9" ht="24" customHeight="1">
      <c r="B9" s="17" t="inlineStr">
        <is>
          <t>2️⃣ 1 CONTOH SOAL &amp; CONTOH JAWABAN BENAR (PELAJARI POLA RUMUS PERCENTILE.INC DI SINI)</t>
        </is>
      </c>
    </row>
    <row r="10">
      <c r="B10" s="18" t="inlineStr">
        <is>
          <t>Sampel Data</t>
        </is>
      </c>
      <c r="C10" s="18" t="inlineStr">
        <is>
          <t>Nilai Skor</t>
        </is>
      </c>
      <c r="E10" s="18" t="inlineStr">
        <is>
          <t>✅ 1 CONTOH SOAL BESERTA CONTOH RUMUS &amp; HASIL JAWABAN BENAR:</t>
        </is>
      </c>
      <c r="F10" s="5" t="n"/>
      <c r="G10" s="5" t="n"/>
    </row>
    <row r="11" ht="28" customHeight="1">
      <c r="B11" s="19" t="inlineStr">
        <is>
          <t>Simulasi Unit A</t>
        </is>
      </c>
      <c r="C11" s="19" t="n">
        <v>500000</v>
      </c>
      <c r="E11" s="20" t="inlineStr">
        <is>
          <t>Contoh Soal:</t>
        </is>
      </c>
      <c r="F11" s="21" t="inlineStr">
        <is>
          <t>Hitung nilai persentil k = 0.5 (50%) dari rentang data C11:C14 menggunakan fungsi PERCENTILE.INC!</t>
        </is>
      </c>
      <c r="G11" s="5" t="n"/>
    </row>
    <row r="12">
      <c r="B12" s="19" t="inlineStr">
        <is>
          <t>Simulasi Unit B</t>
        </is>
      </c>
      <c r="C12" s="19" t="n">
        <v>750000</v>
      </c>
      <c r="E12" s="20" t="inlineStr">
        <is>
          <t>Contoh Rumus Benar:</t>
        </is>
      </c>
      <c r="F12" s="22" t="inlineStr">
        <is>
          <t>'=PERCENTILE.INC(C11:C14, 0.5)</t>
        </is>
      </c>
      <c r="G12" s="5" t="n"/>
    </row>
    <row r="13">
      <c r="B13" s="19" t="inlineStr">
        <is>
          <t>Simulasi Unit C</t>
        </is>
      </c>
      <c r="C13" s="19" t="n">
        <v>600000</v>
      </c>
      <c r="E13" s="20" t="inlineStr">
        <is>
          <t>Contoh Hasil Benar:</t>
        </is>
      </c>
      <c r="F13" s="23">
        <f>PERCENTILE.INC(C11:C14, 0.5)</f>
        <v/>
      </c>
      <c r="G13" s="5" t="n"/>
    </row>
    <row r="14">
      <c r="B14" s="19" t="inlineStr">
        <is>
          <t>Simulasi Unit D</t>
        </is>
      </c>
      <c r="C14" s="19" t="n">
        <v>950000</v>
      </c>
    </row>
    <row r="16" ht="26" customHeight="1">
      <c r="B16" s="24" t="inlineStr">
        <is>
          <t>3️⃣ 5 SOAL TES DUNIA NYATA — KERJAKAN DI KOTAK KUNING (TANPA KUNCI RUMUS / HASIL DI SINI!)</t>
        </is>
      </c>
    </row>
    <row r="17" ht="20" customHeight="1">
      <c r="B17" s="25" t="inlineStr">
        <is>
          <t>📌 Catatan Tes: Soal Tes #1 s/d #5 di bawah ini tidak menampilkan kunci rumus maupun hasil. Kunci jawaban lengkap tersedia di sheet paling terakhir (99_KUNCI_JAWABAN).</t>
        </is>
      </c>
    </row>
    <row r="19" ht="22" customHeight="1">
      <c r="B19" s="26" t="inlineStr">
        <is>
          <t>📝 SOAL TES #1: Kasus Keuangan &amp; Akuntansi Kantor</t>
        </is>
      </c>
    </row>
    <row r="20" ht="30" customHeight="1">
      <c r="B20" s="14" t="inlineStr">
        <is>
          <t>Sampel Data</t>
        </is>
      </c>
      <c r="C20" s="14" t="inlineStr">
        <is>
          <t>Nilai Skor</t>
        </is>
      </c>
      <c r="E20" s="27" t="inlineStr">
        <is>
          <t>Persoalan Tes #1: Hitung nilai persentil k = 0.5 (50%) dari rentang data C21:C24 menggunakan fungsi PERCENTILE.INC!</t>
        </is>
      </c>
    </row>
    <row r="21">
      <c r="B21" s="19" t="inlineStr">
        <is>
          <t>Cabang Jakarta</t>
        </is>
      </c>
      <c r="C21" s="19" t="n">
        <v>1250000</v>
      </c>
      <c r="E21" s="14" t="inlineStr">
        <is>
          <t>✏️ KETIK RUMUS JAWABAN TES DI BAWAH:</t>
        </is>
      </c>
      <c r="F21" s="14" t="inlineStr">
        <is>
          <t>📌 STATUS KOREKSI JAWABAN TES:</t>
        </is>
      </c>
      <c r="G21" s="5" t="n"/>
    </row>
    <row r="22" ht="26" customHeight="1">
      <c r="B22" s="19" t="inlineStr">
        <is>
          <t>Cabang Bandung</t>
        </is>
      </c>
      <c r="C22" s="19" t="n">
        <v>1850000</v>
      </c>
      <c r="E22" s="28" t="n"/>
      <c r="F22" s="29">
        <f>IF(ISBLANK(E22), "⏳ Belum Diisi (Ketik Rumus di Sel Kuning E22)", IF(E22='99_KUNCI_JAWABAN'!F310, "✅ BENAR! JAWABAN TES TEPAT!", "❌ Belum Tepat (Cek Sheet Akhir: 99_KUNCI_JAWABAN)"))</f>
        <v/>
      </c>
      <c r="G22" s="5" t="n"/>
    </row>
    <row r="23">
      <c r="B23" s="19" t="inlineStr">
        <is>
          <t>Cabang Surabaya</t>
        </is>
      </c>
      <c r="C23" s="19" t="n">
        <v>2100000</v>
      </c>
    </row>
    <row r="24">
      <c r="B24" s="19" t="inlineStr">
        <is>
          <t>Cabang Medan</t>
        </is>
      </c>
      <c r="C24" s="19" t="n">
        <v>1600000</v>
      </c>
    </row>
    <row r="27" ht="22" customHeight="1">
      <c r="B27" s="26" t="inlineStr">
        <is>
          <t>📝 SOAL TES #2: Kasus HRD, Gaji &amp; Lembur Karyawan</t>
        </is>
      </c>
    </row>
    <row r="28" ht="30" customHeight="1">
      <c r="B28" s="14" t="inlineStr">
        <is>
          <t>Sampel Data</t>
        </is>
      </c>
      <c r="C28" s="14" t="inlineStr">
        <is>
          <t>Nilai Skor</t>
        </is>
      </c>
      <c r="E28" s="27" t="inlineStr">
        <is>
          <t>Persoalan Tes #2: Hitung nilai persentil k = 0.5 (50%) dari rentang data C29:C32 menggunakan fungsi PERCENTILE.INC!</t>
        </is>
      </c>
    </row>
    <row r="29">
      <c r="B29" s="19" t="inlineStr">
        <is>
          <t>Budi Santoso</t>
        </is>
      </c>
      <c r="C29" s="19" t="n">
        <v>4500000</v>
      </c>
      <c r="E29" s="14" t="inlineStr">
        <is>
          <t>✏️ KETIK RUMUS JAWABAN TES DI BAWAH:</t>
        </is>
      </c>
      <c r="F29" s="14" t="inlineStr">
        <is>
          <t>📌 STATUS KOREKSI JAWABAN TES:</t>
        </is>
      </c>
      <c r="G29" s="5" t="n"/>
    </row>
    <row r="30" ht="26" customHeight="1">
      <c r="B30" s="19" t="inlineStr">
        <is>
          <t>Siti Aminah</t>
        </is>
      </c>
      <c r="C30" s="19" t="n">
        <v>5200000</v>
      </c>
      <c r="E30" s="28" t="n"/>
      <c r="F30" s="29">
        <f>IF(ISBLANK(E30), "⏳ Belum Diisi (Ketik Rumus di Sel Kuning E30)", IF(E30='99_KUNCI_JAWABAN'!F311, "✅ BENAR! JAWABAN TES TEPAT!", "❌ Belum Tepat (Cek Sheet Akhir: 99_KUNCI_JAWABAN)"))</f>
        <v/>
      </c>
      <c r="G30" s="5" t="n"/>
    </row>
    <row r="31">
      <c r="B31" s="19" t="inlineStr">
        <is>
          <t>Andi Pratama</t>
        </is>
      </c>
      <c r="C31" s="19" t="n">
        <v>4800000</v>
      </c>
    </row>
    <row r="32">
      <c r="B32" s="19" t="inlineStr">
        <is>
          <t>Rina Wijaya</t>
        </is>
      </c>
      <c r="C32" s="19" t="n">
        <v>6100000</v>
      </c>
    </row>
    <row r="35" ht="22" customHeight="1">
      <c r="B35" s="26" t="inlineStr">
        <is>
          <t>📝 SOAL TES #3: Kasus Logistik &amp; Stok Gudang Utama</t>
        </is>
      </c>
    </row>
    <row r="36" ht="30" customHeight="1">
      <c r="B36" s="14" t="inlineStr">
        <is>
          <t>Sampel Data</t>
        </is>
      </c>
      <c r="C36" s="14" t="inlineStr">
        <is>
          <t>Nilai Skor</t>
        </is>
      </c>
      <c r="E36" s="27" t="inlineStr">
        <is>
          <t>Persoalan Tes #3: Hitung nilai persentil k = 0.5 (50%) dari rentang data C37:C40 menggunakan fungsi PERCENTILE.INC!</t>
        </is>
      </c>
    </row>
    <row r="37">
      <c r="B37" s="19" t="inlineStr">
        <is>
          <t>Gudang Blok A</t>
        </is>
      </c>
      <c r="C37" s="19" t="n">
        <v>240</v>
      </c>
      <c r="E37" s="14" t="inlineStr">
        <is>
          <t>✏️ KETIK RUMUS JAWABAN TES DI BAWAH:</t>
        </is>
      </c>
      <c r="F37" s="14" t="inlineStr">
        <is>
          <t>📌 STATUS KOREKSI JAWABAN TES:</t>
        </is>
      </c>
      <c r="G37" s="5" t="n"/>
    </row>
    <row r="38" ht="26" customHeight="1">
      <c r="B38" s="19" t="inlineStr">
        <is>
          <t>Gudang Blok B</t>
        </is>
      </c>
      <c r="C38" s="19" t="n">
        <v>380</v>
      </c>
      <c r="E38" s="28" t="n"/>
      <c r="F38" s="29">
        <f>IF(ISBLANK(E38), "⏳ Belum Diisi (Ketik Rumus di Sel Kuning E38)", IF(E38='99_KUNCI_JAWABAN'!F312, "✅ BENAR! JAWABAN TES TEPAT!", "❌ Belum Tepat (Cek Sheet Akhir: 99_KUNCI_JAWABAN)"))</f>
        <v/>
      </c>
      <c r="G38" s="5" t="n"/>
    </row>
    <row r="39">
      <c r="B39" s="19" t="inlineStr">
        <is>
          <t>Gudang Blok C</t>
        </is>
      </c>
      <c r="C39" s="19" t="n">
        <v>195</v>
      </c>
    </row>
    <row r="40">
      <c r="B40" s="19" t="inlineStr">
        <is>
          <t>Gudang Blok D</t>
        </is>
      </c>
      <c r="C40" s="19" t="n">
        <v>425</v>
      </c>
    </row>
    <row r="43" ht="22" customHeight="1">
      <c r="B43" s="26" t="inlineStr">
        <is>
          <t>📝 SOAL TES #4: Kasus Penjualan Retail &amp; Target Toko</t>
        </is>
      </c>
    </row>
    <row r="44" ht="30" customHeight="1">
      <c r="B44" s="14" t="inlineStr">
        <is>
          <t>Sampel Data</t>
        </is>
      </c>
      <c r="C44" s="14" t="inlineStr">
        <is>
          <t>Nilai Skor</t>
        </is>
      </c>
      <c r="E44" s="27" t="inlineStr">
        <is>
          <t>Persoalan Tes #4: Hitung nilai persentil k = 0.5 (50%) dari rentang data C45:C48 menggunakan fungsi PERCENTILE.INC!</t>
        </is>
      </c>
    </row>
    <row r="45">
      <c r="B45" s="19" t="inlineStr">
        <is>
          <t>Toko Elektronik</t>
        </is>
      </c>
      <c r="C45" s="19" t="n">
        <v>85</v>
      </c>
      <c r="E45" s="14" t="inlineStr">
        <is>
          <t>✏️ KETIK RUMUS JAWABAN TES DI BAWAH:</t>
        </is>
      </c>
      <c r="F45" s="14" t="inlineStr">
        <is>
          <t>📌 STATUS KOREKSI JAWABAN TES:</t>
        </is>
      </c>
      <c r="G45" s="5" t="n"/>
    </row>
    <row r="46" ht="26" customHeight="1">
      <c r="B46" s="19" t="inlineStr">
        <is>
          <t>Toko Komputer</t>
        </is>
      </c>
      <c r="C46" s="19" t="n">
        <v>92</v>
      </c>
      <c r="E46" s="28" t="n"/>
      <c r="F46" s="29">
        <f>IF(ISBLANK(E46), "⏳ Belum Diisi (Ketik Rumus di Sel Kuning E46)", IF(E46='99_KUNCI_JAWABAN'!F313, "✅ BENAR! JAWABAN TES TEPAT!", "❌ Belum Tepat (Cek Sheet Akhir: 99_KUNCI_JAWABAN)"))</f>
        <v/>
      </c>
      <c r="G46" s="5" t="n"/>
    </row>
    <row r="47">
      <c r="B47" s="19" t="inlineStr">
        <is>
          <t>Toko Aksesoris</t>
        </is>
      </c>
      <c r="C47" s="19" t="n">
        <v>78</v>
      </c>
    </row>
    <row r="48">
      <c r="B48" s="19" t="inlineStr">
        <is>
          <t>Toko Servis</t>
        </is>
      </c>
      <c r="C48" s="19" t="n">
        <v>95</v>
      </c>
    </row>
    <row r="51" ht="22" customHeight="1">
      <c r="B51" s="26" t="inlineStr">
        <is>
          <t>📝 SOAL TES #5: Kasus Akademik Sekolah &amp; Layanan Publik</t>
        </is>
      </c>
    </row>
    <row r="52" ht="30" customHeight="1">
      <c r="B52" s="14" t="inlineStr">
        <is>
          <t>Sampel Data</t>
        </is>
      </c>
      <c r="C52" s="14" t="inlineStr">
        <is>
          <t>Nilai Skor</t>
        </is>
      </c>
      <c r="E52" s="27" t="inlineStr">
        <is>
          <t>Persoalan Tes #5: Hitung nilai persentil k = 0.5 (50%) dari rentang data C53:C56 menggunakan fungsi PERCENTILE.INC!</t>
        </is>
      </c>
    </row>
    <row r="53">
      <c r="B53" s="19" t="inlineStr">
        <is>
          <t>Kelas 10 IPA</t>
        </is>
      </c>
      <c r="C53" s="19" t="n">
        <v>82</v>
      </c>
      <c r="E53" s="14" t="inlineStr">
        <is>
          <t>✏️ KETIK RUMUS JAWABAN TES DI BAWAH:</t>
        </is>
      </c>
      <c r="F53" s="14" t="inlineStr">
        <is>
          <t>📌 STATUS KOREKSI JAWABAN TES:</t>
        </is>
      </c>
      <c r="G53" s="5" t="n"/>
    </row>
    <row r="54" ht="26" customHeight="1">
      <c r="B54" s="19" t="inlineStr">
        <is>
          <t>Kelas 11 IPA</t>
        </is>
      </c>
      <c r="C54" s="19" t="n">
        <v>88</v>
      </c>
      <c r="E54" s="28" t="n"/>
      <c r="F54" s="29">
        <f>IF(ISBLANK(E54), "⏳ Belum Diisi (Ketik Rumus di Sel Kuning E54)", IF(E54='99_KUNCI_JAWABAN'!F314, "✅ BENAR! JAWABAN TES TEPAT!", "❌ Belum Tepat (Cek Sheet Akhir: 99_KUNCI_JAWABAN)"))</f>
        <v/>
      </c>
      <c r="G54" s="5" t="n"/>
    </row>
    <row r="55">
      <c r="B55" s="19" t="inlineStr">
        <is>
          <t>Kelas 12 IPA</t>
        </is>
      </c>
      <c r="C55" s="19" t="n">
        <v>91</v>
      </c>
    </row>
    <row r="56">
      <c r="B56" s="19" t="inlineStr">
        <is>
          <t>Kelas Unggulan</t>
        </is>
      </c>
      <c r="C56" s="19" t="n">
        <v>79</v>
      </c>
    </row>
  </sheetData>
  <mergeCells count="33">
    <mergeCell ref="E10:G10"/>
    <mergeCell ref="F11:G11"/>
    <mergeCell ref="E28:G28"/>
    <mergeCell ref="F29:G29"/>
    <mergeCell ref="C6:G6"/>
    <mergeCell ref="F54:G54"/>
    <mergeCell ref="B17:G17"/>
    <mergeCell ref="B1:G1"/>
    <mergeCell ref="C5:G5"/>
    <mergeCell ref="B19:G19"/>
    <mergeCell ref="F21:G21"/>
    <mergeCell ref="F12:G12"/>
    <mergeCell ref="F30:G30"/>
    <mergeCell ref="E36:G36"/>
    <mergeCell ref="B9:G9"/>
    <mergeCell ref="F45:G45"/>
    <mergeCell ref="B51:G51"/>
    <mergeCell ref="F38:G38"/>
    <mergeCell ref="B35:G35"/>
    <mergeCell ref="B4:G4"/>
    <mergeCell ref="F46:G46"/>
    <mergeCell ref="F22:G22"/>
    <mergeCell ref="B2:E2"/>
    <mergeCell ref="F13:G13"/>
    <mergeCell ref="B16:G16"/>
    <mergeCell ref="F37:G37"/>
    <mergeCell ref="C7:G7"/>
    <mergeCell ref="E52:G52"/>
    <mergeCell ref="B27:G27"/>
    <mergeCell ref="B43:G43"/>
    <mergeCell ref="E44:G44"/>
    <mergeCell ref="E20:G20"/>
    <mergeCell ref="F53:G53"/>
  </mergeCells>
  <hyperlinks>
    <hyperlink xmlns:r="http://schemas.openxmlformats.org/officeDocument/2006/relationships" ref="F2" r:id="rId1"/>
    <hyperlink xmlns:r="http://schemas.openxmlformats.org/officeDocument/2006/relationships" ref="G2" r:id="rId2"/>
  </hyperlinks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B1:G56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22" customWidth="1" min="3" max="3"/>
    <col width="4" customWidth="1" min="4" max="4"/>
    <col width="34" customWidth="1" min="5" max="5"/>
    <col width="44" customWidth="1" min="6" max="6"/>
    <col width="28" customWidth="1" min="7" max="7"/>
  </cols>
  <sheetData>
    <row r="1" ht="30" customHeight="1">
      <c r="B1" s="10" t="inlineStr">
        <is>
          <t>📊 #063 — RUMUS EXCEL: PERCENTRANK.EXC   |   Kategori: 8. Statistik &amp; Analisis Data</t>
        </is>
      </c>
    </row>
    <row r="2" ht="22" customHeight="1">
      <c r="B2" s="11" t="inlineStr">
        <is>
          <t>1 Rumus = 1 Contoh Soal + Jawaban Benar &amp; 5 Soal Tes Mandiri (Kunci Jawaban Ada di Sheet Paling Terakhir)</t>
        </is>
      </c>
      <c r="F2" s="12" t="inlineStr">
        <is>
          <t>⬅️ Ke Daftar Isi (00_DAFTAR_ISI)</t>
        </is>
      </c>
      <c r="G2" s="3" t="inlineStr">
        <is>
          <t>🔑 Ke Kunci Jawaban (Sheet Akhir)</t>
        </is>
      </c>
    </row>
    <row r="4" ht="24" customHeight="1">
      <c r="B4" s="13" t="inlineStr">
        <is>
          <t>1️⃣ IDENTITAS RUMUS &amp; FUNGSINYA BUAT APA? (PERCENTRANK.EXC)</t>
        </is>
      </c>
    </row>
    <row r="5" ht="21" customHeight="1">
      <c r="B5" s="14" t="inlineStr">
        <is>
          <t>Nama Rumus Excel</t>
        </is>
      </c>
      <c r="C5" s="15">
        <f>PERCENTRANK.EXC(...)</f>
        <v/>
      </c>
      <c r="D5" s="5" t="n"/>
      <c r="E5" s="5" t="n"/>
      <c r="F5" s="5" t="n"/>
      <c r="G5" s="5" t="n"/>
    </row>
    <row r="6" ht="21" customHeight="1">
      <c r="B6" s="14" t="inlineStr">
        <is>
          <t>Sintaks / Pola Umum</t>
        </is>
      </c>
      <c r="C6" s="15">
        <f>PERCENTRANK.EXC(range_data, x)</f>
        <v/>
      </c>
      <c r="D6" s="5" t="n"/>
      <c r="E6" s="5" t="n"/>
      <c r="F6" s="5" t="n"/>
      <c r="G6" s="5" t="n"/>
    </row>
    <row r="7" ht="26" customHeight="1">
      <c r="B7" s="14" t="inlineStr">
        <is>
          <t>👶 Fungsinya Buat Apa?</t>
        </is>
      </c>
      <c r="C7" s="16" t="inlineStr">
        <is>
          <t>Mencari peringkat persentase eksklusif suatu nilai di dalam kumpulan data.</t>
        </is>
      </c>
      <c r="D7" s="5" t="n"/>
      <c r="E7" s="5" t="n"/>
      <c r="F7" s="5" t="n"/>
      <c r="G7" s="5" t="n"/>
    </row>
    <row r="9" ht="24" customHeight="1">
      <c r="B9" s="17" t="inlineStr">
        <is>
          <t>2️⃣ 1 CONTOH SOAL &amp; CONTOH JAWABAN BENAR (PELAJARI POLA RUMUS PERCENTRANK.EXC DI SINI)</t>
        </is>
      </c>
    </row>
    <row r="10">
      <c r="B10" s="18" t="inlineStr">
        <is>
          <t>Sampel Data</t>
        </is>
      </c>
      <c r="C10" s="18" t="inlineStr">
        <is>
          <t>Nilai Skor</t>
        </is>
      </c>
      <c r="E10" s="18" t="inlineStr">
        <is>
          <t>✅ 1 CONTOH SOAL BESERTA CONTOH RUMUS &amp; HASIL JAWABAN BENAR:</t>
        </is>
      </c>
      <c r="F10" s="5" t="n"/>
      <c r="G10" s="5" t="n"/>
    </row>
    <row r="11" ht="28" customHeight="1">
      <c r="B11" s="19" t="inlineStr">
        <is>
          <t>Simulasi Unit A</t>
        </is>
      </c>
      <c r="C11" s="19" t="n">
        <v>500000</v>
      </c>
      <c r="E11" s="20" t="inlineStr">
        <is>
          <t>Contoh Soal:</t>
        </is>
      </c>
      <c r="F11" s="21" t="inlineStr">
        <is>
          <t>Hitung peringkat persentase dari nilai di sel C12 terhadap rentang C11:C14 menggunakan fungsi PERCENTRANK.EXC!</t>
        </is>
      </c>
      <c r="G11" s="5" t="n"/>
    </row>
    <row r="12">
      <c r="B12" s="19" t="inlineStr">
        <is>
          <t>Simulasi Unit B</t>
        </is>
      </c>
      <c r="C12" s="19" t="n">
        <v>750000</v>
      </c>
      <c r="E12" s="20" t="inlineStr">
        <is>
          <t>Contoh Rumus Benar:</t>
        </is>
      </c>
      <c r="F12" s="22" t="inlineStr">
        <is>
          <t>'=PERCENTRANK.EXC(C11:C14, C12)</t>
        </is>
      </c>
      <c r="G12" s="5" t="n"/>
    </row>
    <row r="13">
      <c r="B13" s="19" t="inlineStr">
        <is>
          <t>Simulasi Unit C</t>
        </is>
      </c>
      <c r="C13" s="19" t="n">
        <v>600000</v>
      </c>
      <c r="E13" s="20" t="inlineStr">
        <is>
          <t>Contoh Hasil Benar:</t>
        </is>
      </c>
      <c r="F13" s="23">
        <f>PERCENTRANK.EXC(C11:C14, C12)</f>
        <v/>
      </c>
      <c r="G13" s="5" t="n"/>
    </row>
    <row r="14">
      <c r="B14" s="19" t="inlineStr">
        <is>
          <t>Simulasi Unit D</t>
        </is>
      </c>
      <c r="C14" s="19" t="n">
        <v>950000</v>
      </c>
    </row>
    <row r="16" ht="26" customHeight="1">
      <c r="B16" s="24" t="inlineStr">
        <is>
          <t>3️⃣ 5 SOAL TES DUNIA NYATA — KERJAKAN DI KOTAK KUNING (TANPA KUNCI RUMUS / HASIL DI SINI!)</t>
        </is>
      </c>
    </row>
    <row r="17" ht="20" customHeight="1">
      <c r="B17" s="25" t="inlineStr">
        <is>
          <t>📌 Catatan Tes: Soal Tes #1 s/d #5 di bawah ini tidak menampilkan kunci rumus maupun hasil. Kunci jawaban lengkap tersedia di sheet paling terakhir (99_KUNCI_JAWABAN).</t>
        </is>
      </c>
    </row>
    <row r="19" ht="22" customHeight="1">
      <c r="B19" s="26" t="inlineStr">
        <is>
          <t>📝 SOAL TES #1: Kasus Keuangan &amp; Akuntansi Kantor</t>
        </is>
      </c>
    </row>
    <row r="20" ht="30" customHeight="1">
      <c r="B20" s="14" t="inlineStr">
        <is>
          <t>Sampel Data</t>
        </is>
      </c>
      <c r="C20" s="14" t="inlineStr">
        <is>
          <t>Nilai Skor</t>
        </is>
      </c>
      <c r="E20" s="27" t="inlineStr">
        <is>
          <t>Persoalan Tes #1: Hitung peringkat persentase dari nilai di sel C22 terhadap rentang C21:C24 menggunakan fungsi PERCENTRANK.EXC!</t>
        </is>
      </c>
    </row>
    <row r="21">
      <c r="B21" s="19" t="inlineStr">
        <is>
          <t>Cabang Jakarta</t>
        </is>
      </c>
      <c r="C21" s="19" t="n">
        <v>1250000</v>
      </c>
      <c r="E21" s="14" t="inlineStr">
        <is>
          <t>✏️ KETIK RUMUS JAWABAN TES DI BAWAH:</t>
        </is>
      </c>
      <c r="F21" s="14" t="inlineStr">
        <is>
          <t>📌 STATUS KOREKSI JAWABAN TES:</t>
        </is>
      </c>
      <c r="G21" s="5" t="n"/>
    </row>
    <row r="22" ht="26" customHeight="1">
      <c r="B22" s="19" t="inlineStr">
        <is>
          <t>Cabang Bandung</t>
        </is>
      </c>
      <c r="C22" s="19" t="n">
        <v>1850000</v>
      </c>
      <c r="E22" s="28" t="n"/>
      <c r="F22" s="29">
        <f>IF(ISBLANK(E22), "⏳ Belum Diisi (Ketik Rumus di Sel Kuning E22)", IF(E22='99_KUNCI_JAWABAN'!F315, "✅ BENAR! JAWABAN TES TEPAT!", "❌ Belum Tepat (Cek Sheet Akhir: 99_KUNCI_JAWABAN)"))</f>
        <v/>
      </c>
      <c r="G22" s="5" t="n"/>
    </row>
    <row r="23">
      <c r="B23" s="19" t="inlineStr">
        <is>
          <t>Cabang Surabaya</t>
        </is>
      </c>
      <c r="C23" s="19" t="n">
        <v>2100000</v>
      </c>
    </row>
    <row r="24">
      <c r="B24" s="19" t="inlineStr">
        <is>
          <t>Cabang Medan</t>
        </is>
      </c>
      <c r="C24" s="19" t="n">
        <v>1600000</v>
      </c>
    </row>
    <row r="27" ht="22" customHeight="1">
      <c r="B27" s="26" t="inlineStr">
        <is>
          <t>📝 SOAL TES #2: Kasus HRD, Gaji &amp; Lembur Karyawan</t>
        </is>
      </c>
    </row>
    <row r="28" ht="30" customHeight="1">
      <c r="B28" s="14" t="inlineStr">
        <is>
          <t>Sampel Data</t>
        </is>
      </c>
      <c r="C28" s="14" t="inlineStr">
        <is>
          <t>Nilai Skor</t>
        </is>
      </c>
      <c r="E28" s="27" t="inlineStr">
        <is>
          <t>Persoalan Tes #2: Hitung peringkat persentase dari nilai di sel C30 terhadap rentang C29:C32 menggunakan fungsi PERCENTRANK.EXC!</t>
        </is>
      </c>
    </row>
    <row r="29">
      <c r="B29" s="19" t="inlineStr">
        <is>
          <t>Budi Santoso</t>
        </is>
      </c>
      <c r="C29" s="19" t="n">
        <v>4500000</v>
      </c>
      <c r="E29" s="14" t="inlineStr">
        <is>
          <t>✏️ KETIK RUMUS JAWABAN TES DI BAWAH:</t>
        </is>
      </c>
      <c r="F29" s="14" t="inlineStr">
        <is>
          <t>📌 STATUS KOREKSI JAWABAN TES:</t>
        </is>
      </c>
      <c r="G29" s="5" t="n"/>
    </row>
    <row r="30" ht="26" customHeight="1">
      <c r="B30" s="19" t="inlineStr">
        <is>
          <t>Siti Aminah</t>
        </is>
      </c>
      <c r="C30" s="19" t="n">
        <v>5200000</v>
      </c>
      <c r="E30" s="28" t="n"/>
      <c r="F30" s="29">
        <f>IF(ISBLANK(E30), "⏳ Belum Diisi (Ketik Rumus di Sel Kuning E30)", IF(E30='99_KUNCI_JAWABAN'!F316, "✅ BENAR! JAWABAN TES TEPAT!", "❌ Belum Tepat (Cek Sheet Akhir: 99_KUNCI_JAWABAN)"))</f>
        <v/>
      </c>
      <c r="G30" s="5" t="n"/>
    </row>
    <row r="31">
      <c r="B31" s="19" t="inlineStr">
        <is>
          <t>Andi Pratama</t>
        </is>
      </c>
      <c r="C31" s="19" t="n">
        <v>4800000</v>
      </c>
    </row>
    <row r="32">
      <c r="B32" s="19" t="inlineStr">
        <is>
          <t>Rina Wijaya</t>
        </is>
      </c>
      <c r="C32" s="19" t="n">
        <v>6100000</v>
      </c>
    </row>
    <row r="35" ht="22" customHeight="1">
      <c r="B35" s="26" t="inlineStr">
        <is>
          <t>📝 SOAL TES #3: Kasus Logistik &amp; Stok Gudang Utama</t>
        </is>
      </c>
    </row>
    <row r="36" ht="30" customHeight="1">
      <c r="B36" s="14" t="inlineStr">
        <is>
          <t>Sampel Data</t>
        </is>
      </c>
      <c r="C36" s="14" t="inlineStr">
        <is>
          <t>Nilai Skor</t>
        </is>
      </c>
      <c r="E36" s="27" t="inlineStr">
        <is>
          <t>Persoalan Tes #3: Hitung peringkat persentase dari nilai di sel C38 terhadap rentang C37:C40 menggunakan fungsi PERCENTRANK.EXC!</t>
        </is>
      </c>
    </row>
    <row r="37">
      <c r="B37" s="19" t="inlineStr">
        <is>
          <t>Gudang Blok A</t>
        </is>
      </c>
      <c r="C37" s="19" t="n">
        <v>240</v>
      </c>
      <c r="E37" s="14" t="inlineStr">
        <is>
          <t>✏️ KETIK RUMUS JAWABAN TES DI BAWAH:</t>
        </is>
      </c>
      <c r="F37" s="14" t="inlineStr">
        <is>
          <t>📌 STATUS KOREKSI JAWABAN TES:</t>
        </is>
      </c>
      <c r="G37" s="5" t="n"/>
    </row>
    <row r="38" ht="26" customHeight="1">
      <c r="B38" s="19" t="inlineStr">
        <is>
          <t>Gudang Blok B</t>
        </is>
      </c>
      <c r="C38" s="19" t="n">
        <v>380</v>
      </c>
      <c r="E38" s="28" t="n"/>
      <c r="F38" s="29">
        <f>IF(ISBLANK(E38), "⏳ Belum Diisi (Ketik Rumus di Sel Kuning E38)", IF(E38='99_KUNCI_JAWABAN'!F317, "✅ BENAR! JAWABAN TES TEPAT!", "❌ Belum Tepat (Cek Sheet Akhir: 99_KUNCI_JAWABAN)"))</f>
        <v/>
      </c>
      <c r="G38" s="5" t="n"/>
    </row>
    <row r="39">
      <c r="B39" s="19" t="inlineStr">
        <is>
          <t>Gudang Blok C</t>
        </is>
      </c>
      <c r="C39" s="19" t="n">
        <v>195</v>
      </c>
    </row>
    <row r="40">
      <c r="B40" s="19" t="inlineStr">
        <is>
          <t>Gudang Blok D</t>
        </is>
      </c>
      <c r="C40" s="19" t="n">
        <v>425</v>
      </c>
    </row>
    <row r="43" ht="22" customHeight="1">
      <c r="B43" s="26" t="inlineStr">
        <is>
          <t>📝 SOAL TES #4: Kasus Penjualan Retail &amp; Target Toko</t>
        </is>
      </c>
    </row>
    <row r="44" ht="30" customHeight="1">
      <c r="B44" s="14" t="inlineStr">
        <is>
          <t>Sampel Data</t>
        </is>
      </c>
      <c r="C44" s="14" t="inlineStr">
        <is>
          <t>Nilai Skor</t>
        </is>
      </c>
      <c r="E44" s="27" t="inlineStr">
        <is>
          <t>Persoalan Tes #4: Hitung peringkat persentase dari nilai di sel C46 terhadap rentang C45:C48 menggunakan fungsi PERCENTRANK.EXC!</t>
        </is>
      </c>
    </row>
    <row r="45">
      <c r="B45" s="19" t="inlineStr">
        <is>
          <t>Toko Elektronik</t>
        </is>
      </c>
      <c r="C45" s="19" t="n">
        <v>85</v>
      </c>
      <c r="E45" s="14" t="inlineStr">
        <is>
          <t>✏️ KETIK RUMUS JAWABAN TES DI BAWAH:</t>
        </is>
      </c>
      <c r="F45" s="14" t="inlineStr">
        <is>
          <t>📌 STATUS KOREKSI JAWABAN TES:</t>
        </is>
      </c>
      <c r="G45" s="5" t="n"/>
    </row>
    <row r="46" ht="26" customHeight="1">
      <c r="B46" s="19" t="inlineStr">
        <is>
          <t>Toko Komputer</t>
        </is>
      </c>
      <c r="C46" s="19" t="n">
        <v>92</v>
      </c>
      <c r="E46" s="28" t="n"/>
      <c r="F46" s="29">
        <f>IF(ISBLANK(E46), "⏳ Belum Diisi (Ketik Rumus di Sel Kuning E46)", IF(E46='99_KUNCI_JAWABAN'!F318, "✅ BENAR! JAWABAN TES TEPAT!", "❌ Belum Tepat (Cek Sheet Akhir: 99_KUNCI_JAWABAN)"))</f>
        <v/>
      </c>
      <c r="G46" s="5" t="n"/>
    </row>
    <row r="47">
      <c r="B47" s="19" t="inlineStr">
        <is>
          <t>Toko Aksesoris</t>
        </is>
      </c>
      <c r="C47" s="19" t="n">
        <v>78</v>
      </c>
    </row>
    <row r="48">
      <c r="B48" s="19" t="inlineStr">
        <is>
          <t>Toko Servis</t>
        </is>
      </c>
      <c r="C48" s="19" t="n">
        <v>95</v>
      </c>
    </row>
    <row r="51" ht="22" customHeight="1">
      <c r="B51" s="26" t="inlineStr">
        <is>
          <t>📝 SOAL TES #5: Kasus Akademik Sekolah &amp; Layanan Publik</t>
        </is>
      </c>
    </row>
    <row r="52" ht="30" customHeight="1">
      <c r="B52" s="14" t="inlineStr">
        <is>
          <t>Sampel Data</t>
        </is>
      </c>
      <c r="C52" s="14" t="inlineStr">
        <is>
          <t>Nilai Skor</t>
        </is>
      </c>
      <c r="E52" s="27" t="inlineStr">
        <is>
          <t>Persoalan Tes #5: Hitung peringkat persentase dari nilai di sel C54 terhadap rentang C53:C56 menggunakan fungsi PERCENTRANK.EXC!</t>
        </is>
      </c>
    </row>
    <row r="53">
      <c r="B53" s="19" t="inlineStr">
        <is>
          <t>Kelas 10 IPA</t>
        </is>
      </c>
      <c r="C53" s="19" t="n">
        <v>82</v>
      </c>
      <c r="E53" s="14" t="inlineStr">
        <is>
          <t>✏️ KETIK RUMUS JAWABAN TES DI BAWAH:</t>
        </is>
      </c>
      <c r="F53" s="14" t="inlineStr">
        <is>
          <t>📌 STATUS KOREKSI JAWABAN TES:</t>
        </is>
      </c>
      <c r="G53" s="5" t="n"/>
    </row>
    <row r="54" ht="26" customHeight="1">
      <c r="B54" s="19" t="inlineStr">
        <is>
          <t>Kelas 11 IPA</t>
        </is>
      </c>
      <c r="C54" s="19" t="n">
        <v>88</v>
      </c>
      <c r="E54" s="28" t="n"/>
      <c r="F54" s="29">
        <f>IF(ISBLANK(E54), "⏳ Belum Diisi (Ketik Rumus di Sel Kuning E54)", IF(E54='99_KUNCI_JAWABAN'!F319, "✅ BENAR! JAWABAN TES TEPAT!", "❌ Belum Tepat (Cek Sheet Akhir: 99_KUNCI_JAWABAN)"))</f>
        <v/>
      </c>
      <c r="G54" s="5" t="n"/>
    </row>
    <row r="55">
      <c r="B55" s="19" t="inlineStr">
        <is>
          <t>Kelas 12 IPA</t>
        </is>
      </c>
      <c r="C55" s="19" t="n">
        <v>91</v>
      </c>
    </row>
    <row r="56">
      <c r="B56" s="19" t="inlineStr">
        <is>
          <t>Kelas Unggulan</t>
        </is>
      </c>
      <c r="C56" s="19" t="n">
        <v>79</v>
      </c>
    </row>
  </sheetData>
  <mergeCells count="33">
    <mergeCell ref="E10:G10"/>
    <mergeCell ref="F11:G11"/>
    <mergeCell ref="E28:G28"/>
    <mergeCell ref="F29:G29"/>
    <mergeCell ref="C6:G6"/>
    <mergeCell ref="F54:G54"/>
    <mergeCell ref="B17:G17"/>
    <mergeCell ref="B1:G1"/>
    <mergeCell ref="C5:G5"/>
    <mergeCell ref="B19:G19"/>
    <mergeCell ref="F21:G21"/>
    <mergeCell ref="F12:G12"/>
    <mergeCell ref="F30:G30"/>
    <mergeCell ref="E36:G36"/>
    <mergeCell ref="B9:G9"/>
    <mergeCell ref="F45:G45"/>
    <mergeCell ref="B51:G51"/>
    <mergeCell ref="F38:G38"/>
    <mergeCell ref="B35:G35"/>
    <mergeCell ref="B4:G4"/>
    <mergeCell ref="F46:G46"/>
    <mergeCell ref="F22:G22"/>
    <mergeCell ref="B2:E2"/>
    <mergeCell ref="F13:G13"/>
    <mergeCell ref="B16:G16"/>
    <mergeCell ref="F37:G37"/>
    <mergeCell ref="C7:G7"/>
    <mergeCell ref="E52:G52"/>
    <mergeCell ref="B27:G27"/>
    <mergeCell ref="B43:G43"/>
    <mergeCell ref="E44:G44"/>
    <mergeCell ref="E20:G20"/>
    <mergeCell ref="F53:G53"/>
  </mergeCells>
  <hyperlinks>
    <hyperlink xmlns:r="http://schemas.openxmlformats.org/officeDocument/2006/relationships" ref="F2" r:id="rId1"/>
    <hyperlink xmlns:r="http://schemas.openxmlformats.org/officeDocument/2006/relationships" ref="G2" r:id="rId2"/>
  </hyperlinks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B1:G56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22" customWidth="1" min="3" max="3"/>
    <col width="4" customWidth="1" min="4" max="4"/>
    <col width="34" customWidth="1" min="5" max="5"/>
    <col width="44" customWidth="1" min="6" max="6"/>
    <col width="28" customWidth="1" min="7" max="7"/>
  </cols>
  <sheetData>
    <row r="1" ht="30" customHeight="1">
      <c r="B1" s="10" t="inlineStr">
        <is>
          <t>📊 #064 — RUMUS EXCEL: PERCENTRANK.INC   |   Kategori: 8. Statistik &amp; Analisis Data</t>
        </is>
      </c>
    </row>
    <row r="2" ht="22" customHeight="1">
      <c r="B2" s="11" t="inlineStr">
        <is>
          <t>1 Rumus = 1 Contoh Soal + Jawaban Benar &amp; 5 Soal Tes Mandiri (Kunci Jawaban Ada di Sheet Paling Terakhir)</t>
        </is>
      </c>
      <c r="F2" s="12" t="inlineStr">
        <is>
          <t>⬅️ Ke Daftar Isi (00_DAFTAR_ISI)</t>
        </is>
      </c>
      <c r="G2" s="3" t="inlineStr">
        <is>
          <t>🔑 Ke Kunci Jawaban (Sheet Akhir)</t>
        </is>
      </c>
    </row>
    <row r="4" ht="24" customHeight="1">
      <c r="B4" s="13" t="inlineStr">
        <is>
          <t>1️⃣ IDENTITAS RUMUS &amp; FUNGSINYA BUAT APA? (PERCENTRANK.INC)</t>
        </is>
      </c>
    </row>
    <row r="5" ht="21" customHeight="1">
      <c r="B5" s="14" t="inlineStr">
        <is>
          <t>Nama Rumus Excel</t>
        </is>
      </c>
      <c r="C5" s="15">
        <f>PERCENTRANK.INC(...)</f>
        <v/>
      </c>
      <c r="D5" s="5" t="n"/>
      <c r="E5" s="5" t="n"/>
      <c r="F5" s="5" t="n"/>
      <c r="G5" s="5" t="n"/>
    </row>
    <row r="6" ht="21" customHeight="1">
      <c r="B6" s="14" t="inlineStr">
        <is>
          <t>Sintaks / Pola Umum</t>
        </is>
      </c>
      <c r="C6" s="15">
        <f>PERCENTRANK.INC(range_data, x)</f>
        <v/>
      </c>
      <c r="D6" s="5" t="n"/>
      <c r="E6" s="5" t="n"/>
      <c r="F6" s="5" t="n"/>
      <c r="G6" s="5" t="n"/>
    </row>
    <row r="7" ht="26" customHeight="1">
      <c r="B7" s="14" t="inlineStr">
        <is>
          <t>👶 Fungsinya Buat Apa?</t>
        </is>
      </c>
      <c r="C7" s="16" t="inlineStr">
        <is>
          <t>Mencari peringkat persentase inklusif suatu nilai di dalam kumpulan data.</t>
        </is>
      </c>
      <c r="D7" s="5" t="n"/>
      <c r="E7" s="5" t="n"/>
      <c r="F7" s="5" t="n"/>
      <c r="G7" s="5" t="n"/>
    </row>
    <row r="9" ht="24" customHeight="1">
      <c r="B9" s="17" t="inlineStr">
        <is>
          <t>2️⃣ 1 CONTOH SOAL &amp; CONTOH JAWABAN BENAR (PELAJARI POLA RUMUS PERCENTRANK.INC DI SINI)</t>
        </is>
      </c>
    </row>
    <row r="10">
      <c r="B10" s="18" t="inlineStr">
        <is>
          <t>Sampel Data</t>
        </is>
      </c>
      <c r="C10" s="18" t="inlineStr">
        <is>
          <t>Nilai Skor</t>
        </is>
      </c>
      <c r="E10" s="18" t="inlineStr">
        <is>
          <t>✅ 1 CONTOH SOAL BESERTA CONTOH RUMUS &amp; HASIL JAWABAN BENAR:</t>
        </is>
      </c>
      <c r="F10" s="5" t="n"/>
      <c r="G10" s="5" t="n"/>
    </row>
    <row r="11" ht="28" customHeight="1">
      <c r="B11" s="19" t="inlineStr">
        <is>
          <t>Simulasi Unit A</t>
        </is>
      </c>
      <c r="C11" s="19" t="n">
        <v>500000</v>
      </c>
      <c r="E11" s="20" t="inlineStr">
        <is>
          <t>Contoh Soal:</t>
        </is>
      </c>
      <c r="F11" s="21" t="inlineStr">
        <is>
          <t>Hitung peringkat persentase dari nilai di sel C12 terhadap rentang C11:C14 menggunakan fungsi PERCENTRANK.INC!</t>
        </is>
      </c>
      <c r="G11" s="5" t="n"/>
    </row>
    <row r="12">
      <c r="B12" s="19" t="inlineStr">
        <is>
          <t>Simulasi Unit B</t>
        </is>
      </c>
      <c r="C12" s="19" t="n">
        <v>750000</v>
      </c>
      <c r="E12" s="20" t="inlineStr">
        <is>
          <t>Contoh Rumus Benar:</t>
        </is>
      </c>
      <c r="F12" s="22" t="inlineStr">
        <is>
          <t>'=PERCENTRANK.INC(C11:C14, C12)</t>
        </is>
      </c>
      <c r="G12" s="5" t="n"/>
    </row>
    <row r="13">
      <c r="B13" s="19" t="inlineStr">
        <is>
          <t>Simulasi Unit C</t>
        </is>
      </c>
      <c r="C13" s="19" t="n">
        <v>600000</v>
      </c>
      <c r="E13" s="20" t="inlineStr">
        <is>
          <t>Contoh Hasil Benar:</t>
        </is>
      </c>
      <c r="F13" s="23">
        <f>PERCENTRANK.INC(C11:C14, C12)</f>
        <v/>
      </c>
      <c r="G13" s="5" t="n"/>
    </row>
    <row r="14">
      <c r="B14" s="19" t="inlineStr">
        <is>
          <t>Simulasi Unit D</t>
        </is>
      </c>
      <c r="C14" s="19" t="n">
        <v>950000</v>
      </c>
    </row>
    <row r="16" ht="26" customHeight="1">
      <c r="B16" s="24" t="inlineStr">
        <is>
          <t>3️⃣ 5 SOAL TES DUNIA NYATA — KERJAKAN DI KOTAK KUNING (TANPA KUNCI RUMUS / HASIL DI SINI!)</t>
        </is>
      </c>
    </row>
    <row r="17" ht="20" customHeight="1">
      <c r="B17" s="25" t="inlineStr">
        <is>
          <t>📌 Catatan Tes: Soal Tes #1 s/d #5 di bawah ini tidak menampilkan kunci rumus maupun hasil. Kunci jawaban lengkap tersedia di sheet paling terakhir (99_KUNCI_JAWABAN).</t>
        </is>
      </c>
    </row>
    <row r="19" ht="22" customHeight="1">
      <c r="B19" s="26" t="inlineStr">
        <is>
          <t>📝 SOAL TES #1: Kasus Keuangan &amp; Akuntansi Kantor</t>
        </is>
      </c>
    </row>
    <row r="20" ht="30" customHeight="1">
      <c r="B20" s="14" t="inlineStr">
        <is>
          <t>Sampel Data</t>
        </is>
      </c>
      <c r="C20" s="14" t="inlineStr">
        <is>
          <t>Nilai Skor</t>
        </is>
      </c>
      <c r="E20" s="27" t="inlineStr">
        <is>
          <t>Persoalan Tes #1: Hitung peringkat persentase dari nilai di sel C22 terhadap rentang C21:C24 menggunakan fungsi PERCENTRANK.INC!</t>
        </is>
      </c>
    </row>
    <row r="21">
      <c r="B21" s="19" t="inlineStr">
        <is>
          <t>Cabang Jakarta</t>
        </is>
      </c>
      <c r="C21" s="19" t="n">
        <v>1250000</v>
      </c>
      <c r="E21" s="14" t="inlineStr">
        <is>
          <t>✏️ KETIK RUMUS JAWABAN TES DI BAWAH:</t>
        </is>
      </c>
      <c r="F21" s="14" t="inlineStr">
        <is>
          <t>📌 STATUS KOREKSI JAWABAN TES:</t>
        </is>
      </c>
      <c r="G21" s="5" t="n"/>
    </row>
    <row r="22" ht="26" customHeight="1">
      <c r="B22" s="19" t="inlineStr">
        <is>
          <t>Cabang Bandung</t>
        </is>
      </c>
      <c r="C22" s="19" t="n">
        <v>1850000</v>
      </c>
      <c r="E22" s="28" t="n"/>
      <c r="F22" s="29">
        <f>IF(ISBLANK(E22), "⏳ Belum Diisi (Ketik Rumus di Sel Kuning E22)", IF(E22='99_KUNCI_JAWABAN'!F320, "✅ BENAR! JAWABAN TES TEPAT!", "❌ Belum Tepat (Cek Sheet Akhir: 99_KUNCI_JAWABAN)"))</f>
        <v/>
      </c>
      <c r="G22" s="5" t="n"/>
    </row>
    <row r="23">
      <c r="B23" s="19" t="inlineStr">
        <is>
          <t>Cabang Surabaya</t>
        </is>
      </c>
      <c r="C23" s="19" t="n">
        <v>2100000</v>
      </c>
    </row>
    <row r="24">
      <c r="B24" s="19" t="inlineStr">
        <is>
          <t>Cabang Medan</t>
        </is>
      </c>
      <c r="C24" s="19" t="n">
        <v>1600000</v>
      </c>
    </row>
    <row r="27" ht="22" customHeight="1">
      <c r="B27" s="26" t="inlineStr">
        <is>
          <t>📝 SOAL TES #2: Kasus HRD, Gaji &amp; Lembur Karyawan</t>
        </is>
      </c>
    </row>
    <row r="28" ht="30" customHeight="1">
      <c r="B28" s="14" t="inlineStr">
        <is>
          <t>Sampel Data</t>
        </is>
      </c>
      <c r="C28" s="14" t="inlineStr">
        <is>
          <t>Nilai Skor</t>
        </is>
      </c>
      <c r="E28" s="27" t="inlineStr">
        <is>
          <t>Persoalan Tes #2: Hitung peringkat persentase dari nilai di sel C30 terhadap rentang C29:C32 menggunakan fungsi PERCENTRANK.INC!</t>
        </is>
      </c>
    </row>
    <row r="29">
      <c r="B29" s="19" t="inlineStr">
        <is>
          <t>Budi Santoso</t>
        </is>
      </c>
      <c r="C29" s="19" t="n">
        <v>4500000</v>
      </c>
      <c r="E29" s="14" t="inlineStr">
        <is>
          <t>✏️ KETIK RUMUS JAWABAN TES DI BAWAH:</t>
        </is>
      </c>
      <c r="F29" s="14" t="inlineStr">
        <is>
          <t>📌 STATUS KOREKSI JAWABAN TES:</t>
        </is>
      </c>
      <c r="G29" s="5" t="n"/>
    </row>
    <row r="30" ht="26" customHeight="1">
      <c r="B30" s="19" t="inlineStr">
        <is>
          <t>Siti Aminah</t>
        </is>
      </c>
      <c r="C30" s="19" t="n">
        <v>5200000</v>
      </c>
      <c r="E30" s="28" t="n"/>
      <c r="F30" s="29">
        <f>IF(ISBLANK(E30), "⏳ Belum Diisi (Ketik Rumus di Sel Kuning E30)", IF(E30='99_KUNCI_JAWABAN'!F321, "✅ BENAR! JAWABAN TES TEPAT!", "❌ Belum Tepat (Cek Sheet Akhir: 99_KUNCI_JAWABAN)"))</f>
        <v/>
      </c>
      <c r="G30" s="5" t="n"/>
    </row>
    <row r="31">
      <c r="B31" s="19" t="inlineStr">
        <is>
          <t>Andi Pratama</t>
        </is>
      </c>
      <c r="C31" s="19" t="n">
        <v>4800000</v>
      </c>
    </row>
    <row r="32">
      <c r="B32" s="19" t="inlineStr">
        <is>
          <t>Rina Wijaya</t>
        </is>
      </c>
      <c r="C32" s="19" t="n">
        <v>6100000</v>
      </c>
    </row>
    <row r="35" ht="22" customHeight="1">
      <c r="B35" s="26" t="inlineStr">
        <is>
          <t>📝 SOAL TES #3: Kasus Logistik &amp; Stok Gudang Utama</t>
        </is>
      </c>
    </row>
    <row r="36" ht="30" customHeight="1">
      <c r="B36" s="14" t="inlineStr">
        <is>
          <t>Sampel Data</t>
        </is>
      </c>
      <c r="C36" s="14" t="inlineStr">
        <is>
          <t>Nilai Skor</t>
        </is>
      </c>
      <c r="E36" s="27" t="inlineStr">
        <is>
          <t>Persoalan Tes #3: Hitung peringkat persentase dari nilai di sel C38 terhadap rentang C37:C40 menggunakan fungsi PERCENTRANK.INC!</t>
        </is>
      </c>
    </row>
    <row r="37">
      <c r="B37" s="19" t="inlineStr">
        <is>
          <t>Gudang Blok A</t>
        </is>
      </c>
      <c r="C37" s="19" t="n">
        <v>240</v>
      </c>
      <c r="E37" s="14" t="inlineStr">
        <is>
          <t>✏️ KETIK RUMUS JAWABAN TES DI BAWAH:</t>
        </is>
      </c>
      <c r="F37" s="14" t="inlineStr">
        <is>
          <t>📌 STATUS KOREKSI JAWABAN TES:</t>
        </is>
      </c>
      <c r="G37" s="5" t="n"/>
    </row>
    <row r="38" ht="26" customHeight="1">
      <c r="B38" s="19" t="inlineStr">
        <is>
          <t>Gudang Blok B</t>
        </is>
      </c>
      <c r="C38" s="19" t="n">
        <v>380</v>
      </c>
      <c r="E38" s="28" t="n"/>
      <c r="F38" s="29">
        <f>IF(ISBLANK(E38), "⏳ Belum Diisi (Ketik Rumus di Sel Kuning E38)", IF(E38='99_KUNCI_JAWABAN'!F322, "✅ BENAR! JAWABAN TES TEPAT!", "❌ Belum Tepat (Cek Sheet Akhir: 99_KUNCI_JAWABAN)"))</f>
        <v/>
      </c>
      <c r="G38" s="5" t="n"/>
    </row>
    <row r="39">
      <c r="B39" s="19" t="inlineStr">
        <is>
          <t>Gudang Blok C</t>
        </is>
      </c>
      <c r="C39" s="19" t="n">
        <v>195</v>
      </c>
    </row>
    <row r="40">
      <c r="B40" s="19" t="inlineStr">
        <is>
          <t>Gudang Blok D</t>
        </is>
      </c>
      <c r="C40" s="19" t="n">
        <v>425</v>
      </c>
    </row>
    <row r="43" ht="22" customHeight="1">
      <c r="B43" s="26" t="inlineStr">
        <is>
          <t>📝 SOAL TES #4: Kasus Penjualan Retail &amp; Target Toko</t>
        </is>
      </c>
    </row>
    <row r="44" ht="30" customHeight="1">
      <c r="B44" s="14" t="inlineStr">
        <is>
          <t>Sampel Data</t>
        </is>
      </c>
      <c r="C44" s="14" t="inlineStr">
        <is>
          <t>Nilai Skor</t>
        </is>
      </c>
      <c r="E44" s="27" t="inlineStr">
        <is>
          <t>Persoalan Tes #4: Hitung peringkat persentase dari nilai di sel C46 terhadap rentang C45:C48 menggunakan fungsi PERCENTRANK.INC!</t>
        </is>
      </c>
    </row>
    <row r="45">
      <c r="B45" s="19" t="inlineStr">
        <is>
          <t>Toko Elektronik</t>
        </is>
      </c>
      <c r="C45" s="19" t="n">
        <v>85</v>
      </c>
      <c r="E45" s="14" t="inlineStr">
        <is>
          <t>✏️ KETIK RUMUS JAWABAN TES DI BAWAH:</t>
        </is>
      </c>
      <c r="F45" s="14" t="inlineStr">
        <is>
          <t>📌 STATUS KOREKSI JAWABAN TES:</t>
        </is>
      </c>
      <c r="G45" s="5" t="n"/>
    </row>
    <row r="46" ht="26" customHeight="1">
      <c r="B46" s="19" t="inlineStr">
        <is>
          <t>Toko Komputer</t>
        </is>
      </c>
      <c r="C46" s="19" t="n">
        <v>92</v>
      </c>
      <c r="E46" s="28" t="n"/>
      <c r="F46" s="29">
        <f>IF(ISBLANK(E46), "⏳ Belum Diisi (Ketik Rumus di Sel Kuning E46)", IF(E46='99_KUNCI_JAWABAN'!F323, "✅ BENAR! JAWABAN TES TEPAT!", "❌ Belum Tepat (Cek Sheet Akhir: 99_KUNCI_JAWABAN)"))</f>
        <v/>
      </c>
      <c r="G46" s="5" t="n"/>
    </row>
    <row r="47">
      <c r="B47" s="19" t="inlineStr">
        <is>
          <t>Toko Aksesoris</t>
        </is>
      </c>
      <c r="C47" s="19" t="n">
        <v>78</v>
      </c>
    </row>
    <row r="48">
      <c r="B48" s="19" t="inlineStr">
        <is>
          <t>Toko Servis</t>
        </is>
      </c>
      <c r="C48" s="19" t="n">
        <v>95</v>
      </c>
    </row>
    <row r="51" ht="22" customHeight="1">
      <c r="B51" s="26" t="inlineStr">
        <is>
          <t>📝 SOAL TES #5: Kasus Akademik Sekolah &amp; Layanan Publik</t>
        </is>
      </c>
    </row>
    <row r="52" ht="30" customHeight="1">
      <c r="B52" s="14" t="inlineStr">
        <is>
          <t>Sampel Data</t>
        </is>
      </c>
      <c r="C52" s="14" t="inlineStr">
        <is>
          <t>Nilai Skor</t>
        </is>
      </c>
      <c r="E52" s="27" t="inlineStr">
        <is>
          <t>Persoalan Tes #5: Hitung peringkat persentase dari nilai di sel C54 terhadap rentang C53:C56 menggunakan fungsi PERCENTRANK.INC!</t>
        </is>
      </c>
    </row>
    <row r="53">
      <c r="B53" s="19" t="inlineStr">
        <is>
          <t>Kelas 10 IPA</t>
        </is>
      </c>
      <c r="C53" s="19" t="n">
        <v>82</v>
      </c>
      <c r="E53" s="14" t="inlineStr">
        <is>
          <t>✏️ KETIK RUMUS JAWABAN TES DI BAWAH:</t>
        </is>
      </c>
      <c r="F53" s="14" t="inlineStr">
        <is>
          <t>📌 STATUS KOREKSI JAWABAN TES:</t>
        </is>
      </c>
      <c r="G53" s="5" t="n"/>
    </row>
    <row r="54" ht="26" customHeight="1">
      <c r="B54" s="19" t="inlineStr">
        <is>
          <t>Kelas 11 IPA</t>
        </is>
      </c>
      <c r="C54" s="19" t="n">
        <v>88</v>
      </c>
      <c r="E54" s="28" t="n"/>
      <c r="F54" s="29">
        <f>IF(ISBLANK(E54), "⏳ Belum Diisi (Ketik Rumus di Sel Kuning E54)", IF(E54='99_KUNCI_JAWABAN'!F324, "✅ BENAR! JAWABAN TES TEPAT!", "❌ Belum Tepat (Cek Sheet Akhir: 99_KUNCI_JAWABAN)"))</f>
        <v/>
      </c>
      <c r="G54" s="5" t="n"/>
    </row>
    <row r="55">
      <c r="B55" s="19" t="inlineStr">
        <is>
          <t>Kelas 12 IPA</t>
        </is>
      </c>
      <c r="C55" s="19" t="n">
        <v>91</v>
      </c>
    </row>
    <row r="56">
      <c r="B56" s="19" t="inlineStr">
        <is>
          <t>Kelas Unggulan</t>
        </is>
      </c>
      <c r="C56" s="19" t="n">
        <v>79</v>
      </c>
    </row>
  </sheetData>
  <mergeCells count="33">
    <mergeCell ref="E10:G10"/>
    <mergeCell ref="F11:G11"/>
    <mergeCell ref="E28:G28"/>
    <mergeCell ref="F29:G29"/>
    <mergeCell ref="C6:G6"/>
    <mergeCell ref="F54:G54"/>
    <mergeCell ref="B17:G17"/>
    <mergeCell ref="B1:G1"/>
    <mergeCell ref="C5:G5"/>
    <mergeCell ref="B19:G19"/>
    <mergeCell ref="F21:G21"/>
    <mergeCell ref="F12:G12"/>
    <mergeCell ref="F30:G30"/>
    <mergeCell ref="E36:G36"/>
    <mergeCell ref="B9:G9"/>
    <mergeCell ref="F45:G45"/>
    <mergeCell ref="B51:G51"/>
    <mergeCell ref="F38:G38"/>
    <mergeCell ref="B35:G35"/>
    <mergeCell ref="B4:G4"/>
    <mergeCell ref="F46:G46"/>
    <mergeCell ref="F22:G22"/>
    <mergeCell ref="B2:E2"/>
    <mergeCell ref="F13:G13"/>
    <mergeCell ref="B16:G16"/>
    <mergeCell ref="F37:G37"/>
    <mergeCell ref="C7:G7"/>
    <mergeCell ref="E52:G52"/>
    <mergeCell ref="B27:G27"/>
    <mergeCell ref="B43:G43"/>
    <mergeCell ref="E44:G44"/>
    <mergeCell ref="E20:G20"/>
    <mergeCell ref="F53:G53"/>
  </mergeCells>
  <hyperlinks>
    <hyperlink xmlns:r="http://schemas.openxmlformats.org/officeDocument/2006/relationships" ref="F2" r:id="rId1"/>
    <hyperlink xmlns:r="http://schemas.openxmlformats.org/officeDocument/2006/relationships" ref="G2" r:id="rId2"/>
  </hyperlinks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B1:G56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22" customWidth="1" min="3" max="3"/>
    <col width="4" customWidth="1" min="4" max="4"/>
    <col width="34" customWidth="1" min="5" max="5"/>
    <col width="44" customWidth="1" min="6" max="6"/>
    <col width="28" customWidth="1" min="7" max="7"/>
  </cols>
  <sheetData>
    <row r="1" ht="30" customHeight="1">
      <c r="B1" s="10" t="inlineStr">
        <is>
          <t>📊 #065 — RUMUS EXCEL: PERMUT   |   Kategori: 8. Statistik &amp; Analisis Data</t>
        </is>
      </c>
    </row>
    <row r="2" ht="22" customHeight="1">
      <c r="B2" s="11" t="inlineStr">
        <is>
          <t>1 Rumus = 1 Contoh Soal + Jawaban Benar &amp; 5 Soal Tes Mandiri (Kunci Jawaban Ada di Sheet Paling Terakhir)</t>
        </is>
      </c>
      <c r="F2" s="12" t="inlineStr">
        <is>
          <t>⬅️ Ke Daftar Isi (00_DAFTAR_ISI)</t>
        </is>
      </c>
      <c r="G2" s="3" t="inlineStr">
        <is>
          <t>🔑 Ke Kunci Jawaban (Sheet Akhir)</t>
        </is>
      </c>
    </row>
    <row r="4" ht="24" customHeight="1">
      <c r="B4" s="13" t="inlineStr">
        <is>
          <t>1️⃣ IDENTITAS RUMUS &amp; FUNGSINYA BUAT APA? (PERMUT)</t>
        </is>
      </c>
    </row>
    <row r="5" ht="21" customHeight="1">
      <c r="B5" s="14" t="inlineStr">
        <is>
          <t>Nama Rumus Excel</t>
        </is>
      </c>
      <c r="C5" s="15">
        <f>PERMUT(...)</f>
        <v/>
      </c>
      <c r="D5" s="5" t="n"/>
      <c r="E5" s="5" t="n"/>
      <c r="F5" s="5" t="n"/>
      <c r="G5" s="5" t="n"/>
    </row>
    <row r="6" ht="21" customHeight="1">
      <c r="B6" s="14" t="inlineStr">
        <is>
          <t>Sintaks / Pola Umum</t>
        </is>
      </c>
      <c r="C6" s="15">
        <f>PERMUT(jumlah_objek, jumlah_dipilih)</f>
        <v/>
      </c>
      <c r="D6" s="5" t="n"/>
      <c r="E6" s="5" t="n"/>
      <c r="F6" s="5" t="n"/>
      <c r="G6" s="5" t="n"/>
    </row>
    <row r="7" ht="26" customHeight="1">
      <c r="B7" s="14" t="inlineStr">
        <is>
          <t>👶 Fungsinya Buat Apa?</t>
        </is>
      </c>
      <c r="C7" s="16" t="inlineStr">
        <is>
          <t>Menghitung banyaknya susunan permutasi objek yang memperhatikan urutan.</t>
        </is>
      </c>
      <c r="D7" s="5" t="n"/>
      <c r="E7" s="5" t="n"/>
      <c r="F7" s="5" t="n"/>
      <c r="G7" s="5" t="n"/>
    </row>
    <row r="9" ht="24" customHeight="1">
      <c r="B9" s="17" t="inlineStr">
        <is>
          <t>2️⃣ 1 CONTOH SOAL &amp; CONTOH JAWABAN BENAR (PELAJARI POLA RUMUS PERMUT DI SINI)</t>
        </is>
      </c>
    </row>
    <row r="10">
      <c r="B10" s="18" t="inlineStr">
        <is>
          <t>Total Objek (B)</t>
        </is>
      </c>
      <c r="C10" s="18" t="inlineStr">
        <is>
          <t>Jumlah Dipilih (C)</t>
        </is>
      </c>
      <c r="E10" s="18" t="inlineStr">
        <is>
          <t>✅ 1 CONTOH SOAL BESERTA CONTOH RUMUS &amp; HASIL JAWABAN BENAR:</t>
        </is>
      </c>
      <c r="F10" s="5" t="n"/>
      <c r="G10" s="5" t="n"/>
    </row>
    <row r="11" ht="28" customHeight="1">
      <c r="B11" s="19" t="n">
        <v>13</v>
      </c>
      <c r="C11" s="19" t="n">
        <v>3</v>
      </c>
      <c r="E11" s="20" t="inlineStr">
        <is>
          <t>Contoh Soal:</t>
        </is>
      </c>
      <c r="F11" s="21" t="inlineStr">
        <is>
          <t>Hitung jumlah permutasi untuk total objek di B11 (13) yang diambil sebanyak C11 (3) menggunakan fungsi PERMUT!</t>
        </is>
      </c>
      <c r="G11" s="5" t="n"/>
    </row>
    <row r="12">
      <c r="B12" s="19" t="n">
        <v>10</v>
      </c>
      <c r="C12" s="19" t="n">
        <v>3</v>
      </c>
      <c r="E12" s="20" t="inlineStr">
        <is>
          <t>Contoh Rumus Benar:</t>
        </is>
      </c>
      <c r="F12" s="22" t="inlineStr">
        <is>
          <t>'=PERMUT(B11, C11)</t>
        </is>
      </c>
      <c r="G12" s="5" t="n"/>
    </row>
    <row r="13">
      <c r="B13" s="19" t="n">
        <v>6</v>
      </c>
      <c r="C13" s="19" t="n">
        <v>2</v>
      </c>
      <c r="E13" s="20" t="inlineStr">
        <is>
          <t>Contoh Hasil Benar:</t>
        </is>
      </c>
      <c r="F13" s="23">
        <f>PERMUT(B11, C11)</f>
        <v/>
      </c>
      <c r="G13" s="5" t="n"/>
    </row>
    <row r="14">
      <c r="B14" s="19" t="n">
        <v>12</v>
      </c>
      <c r="C14" s="19" t="n">
        <v>2</v>
      </c>
    </row>
    <row r="16" ht="26" customHeight="1">
      <c r="B16" s="24" t="inlineStr">
        <is>
          <t>3️⃣ 5 SOAL TES DUNIA NYATA — KERJAKAN DI KOTAK KUNING (TANPA KUNCI RUMUS / HASIL DI SINI!)</t>
        </is>
      </c>
    </row>
    <row r="17" ht="20" customHeight="1">
      <c r="B17" s="25" t="inlineStr">
        <is>
          <t>📌 Catatan Tes: Soal Tes #1 s/d #5 di bawah ini tidak menampilkan kunci rumus maupun hasil. Kunci jawaban lengkap tersedia di sheet paling terakhir (99_KUNCI_JAWABAN).</t>
        </is>
      </c>
    </row>
    <row r="19" ht="22" customHeight="1">
      <c r="B19" s="26" t="inlineStr">
        <is>
          <t>📝 SOAL TES #1: Kasus Keuangan &amp; Akuntansi Kantor</t>
        </is>
      </c>
    </row>
    <row r="20" ht="30" customHeight="1">
      <c r="B20" s="14" t="inlineStr">
        <is>
          <t>Total Objek (B)</t>
        </is>
      </c>
      <c r="C20" s="14" t="inlineStr">
        <is>
          <t>Jumlah Dipilih (C)</t>
        </is>
      </c>
      <c r="E20" s="27" t="inlineStr">
        <is>
          <t>Persoalan Tes #1: Hitung jumlah permutasi untuk total objek di B21 (8) yang diambil sebanyak C21 (2) menggunakan fungsi PERMUT!</t>
        </is>
      </c>
    </row>
    <row r="21">
      <c r="B21" s="19" t="n">
        <v>8</v>
      </c>
      <c r="C21" s="19" t="n">
        <v>2</v>
      </c>
      <c r="E21" s="14" t="inlineStr">
        <is>
          <t>✏️ KETIK RUMUS JAWABAN TES DI BAWAH:</t>
        </is>
      </c>
      <c r="F21" s="14" t="inlineStr">
        <is>
          <t>📌 STATUS KOREKSI JAWABAN TES:</t>
        </is>
      </c>
      <c r="G21" s="5" t="n"/>
    </row>
    <row r="22" ht="26" customHeight="1">
      <c r="B22" s="19" t="n">
        <v>10</v>
      </c>
      <c r="C22" s="19" t="n">
        <v>3</v>
      </c>
      <c r="E22" s="28" t="n"/>
      <c r="F22" s="29">
        <f>IF(ISBLANK(E22), "⏳ Belum Diisi (Ketik Rumus di Sel Kuning E22)", IF(E22='99_KUNCI_JAWABAN'!F325, "✅ BENAR! JAWABAN TES TEPAT!", "❌ Belum Tepat (Cek Sheet Akhir: 99_KUNCI_JAWABAN)"))</f>
        <v/>
      </c>
      <c r="G22" s="5" t="n"/>
    </row>
    <row r="23">
      <c r="B23" s="19" t="n">
        <v>6</v>
      </c>
      <c r="C23" s="19" t="n">
        <v>2</v>
      </c>
    </row>
    <row r="24">
      <c r="B24" s="19" t="n">
        <v>12</v>
      </c>
      <c r="C24" s="19" t="n">
        <v>2</v>
      </c>
    </row>
    <row r="27" ht="22" customHeight="1">
      <c r="B27" s="26" t="inlineStr">
        <is>
          <t>📝 SOAL TES #2: Kasus HRD, Gaji &amp; Lembur Karyawan</t>
        </is>
      </c>
    </row>
    <row r="28" ht="30" customHeight="1">
      <c r="B28" s="14" t="inlineStr">
        <is>
          <t>Total Objek (B)</t>
        </is>
      </c>
      <c r="C28" s="14" t="inlineStr">
        <is>
          <t>Jumlah Dipilih (C)</t>
        </is>
      </c>
      <c r="E28" s="27" t="inlineStr">
        <is>
          <t>Persoalan Tes #2: Hitung jumlah permutasi untuk total objek di B29 (9) yang diambil sebanyak C29 (3) menggunakan fungsi PERMUT!</t>
        </is>
      </c>
    </row>
    <row r="29">
      <c r="B29" s="19" t="n">
        <v>9</v>
      </c>
      <c r="C29" s="19" t="n">
        <v>3</v>
      </c>
      <c r="E29" s="14" t="inlineStr">
        <is>
          <t>✏️ KETIK RUMUS JAWABAN TES DI BAWAH:</t>
        </is>
      </c>
      <c r="F29" s="14" t="inlineStr">
        <is>
          <t>📌 STATUS KOREKSI JAWABAN TES:</t>
        </is>
      </c>
      <c r="G29" s="5" t="n"/>
    </row>
    <row r="30" ht="26" customHeight="1">
      <c r="B30" s="19" t="n">
        <v>10</v>
      </c>
      <c r="C30" s="19" t="n">
        <v>3</v>
      </c>
      <c r="E30" s="28" t="n"/>
      <c r="F30" s="29">
        <f>IF(ISBLANK(E30), "⏳ Belum Diisi (Ketik Rumus di Sel Kuning E30)", IF(E30='99_KUNCI_JAWABAN'!F326, "✅ BENAR! JAWABAN TES TEPAT!", "❌ Belum Tepat (Cek Sheet Akhir: 99_KUNCI_JAWABAN)"))</f>
        <v/>
      </c>
      <c r="G30" s="5" t="n"/>
    </row>
    <row r="31">
      <c r="B31" s="19" t="n">
        <v>6</v>
      </c>
      <c r="C31" s="19" t="n">
        <v>2</v>
      </c>
    </row>
    <row r="32">
      <c r="B32" s="19" t="n">
        <v>12</v>
      </c>
      <c r="C32" s="19" t="n">
        <v>2</v>
      </c>
    </row>
    <row r="35" ht="22" customHeight="1">
      <c r="B35" s="26" t="inlineStr">
        <is>
          <t>📝 SOAL TES #3: Kasus Logistik &amp; Stok Gudang Utama</t>
        </is>
      </c>
    </row>
    <row r="36" ht="30" customHeight="1">
      <c r="B36" s="14" t="inlineStr">
        <is>
          <t>Total Objek (B)</t>
        </is>
      </c>
      <c r="C36" s="14" t="inlineStr">
        <is>
          <t>Jumlah Dipilih (C)</t>
        </is>
      </c>
      <c r="E36" s="27" t="inlineStr">
        <is>
          <t>Persoalan Tes #3: Hitung jumlah permutasi untuk total objek di B37 (10) yang diambil sebanyak C37 (2) menggunakan fungsi PERMUT!</t>
        </is>
      </c>
    </row>
    <row r="37">
      <c r="B37" s="19" t="n">
        <v>10</v>
      </c>
      <c r="C37" s="19" t="n">
        <v>2</v>
      </c>
      <c r="E37" s="14" t="inlineStr">
        <is>
          <t>✏️ KETIK RUMUS JAWABAN TES DI BAWAH:</t>
        </is>
      </c>
      <c r="F37" s="14" t="inlineStr">
        <is>
          <t>📌 STATUS KOREKSI JAWABAN TES:</t>
        </is>
      </c>
      <c r="G37" s="5" t="n"/>
    </row>
    <row r="38" ht="26" customHeight="1">
      <c r="B38" s="19" t="n">
        <v>10</v>
      </c>
      <c r="C38" s="19" t="n">
        <v>3</v>
      </c>
      <c r="E38" s="28" t="n"/>
      <c r="F38" s="29">
        <f>IF(ISBLANK(E38), "⏳ Belum Diisi (Ketik Rumus di Sel Kuning E38)", IF(E38='99_KUNCI_JAWABAN'!F327, "✅ BENAR! JAWABAN TES TEPAT!", "❌ Belum Tepat (Cek Sheet Akhir: 99_KUNCI_JAWABAN)"))</f>
        <v/>
      </c>
      <c r="G38" s="5" t="n"/>
    </row>
    <row r="39">
      <c r="B39" s="19" t="n">
        <v>6</v>
      </c>
      <c r="C39" s="19" t="n">
        <v>2</v>
      </c>
    </row>
    <row r="40">
      <c r="B40" s="19" t="n">
        <v>12</v>
      </c>
      <c r="C40" s="19" t="n">
        <v>2</v>
      </c>
    </row>
    <row r="43" ht="22" customHeight="1">
      <c r="B43" s="26" t="inlineStr">
        <is>
          <t>📝 SOAL TES #4: Kasus Penjualan Retail &amp; Target Toko</t>
        </is>
      </c>
    </row>
    <row r="44" ht="30" customHeight="1">
      <c r="B44" s="14" t="inlineStr">
        <is>
          <t>Total Objek (B)</t>
        </is>
      </c>
      <c r="C44" s="14" t="inlineStr">
        <is>
          <t>Jumlah Dipilih (C)</t>
        </is>
      </c>
      <c r="E44" s="27" t="inlineStr">
        <is>
          <t>Persoalan Tes #4: Hitung jumlah permutasi untuk total objek di B45 (11) yang diambil sebanyak C45 (3) menggunakan fungsi PERMUT!</t>
        </is>
      </c>
    </row>
    <row r="45">
      <c r="B45" s="19" t="n">
        <v>11</v>
      </c>
      <c r="C45" s="19" t="n">
        <v>3</v>
      </c>
      <c r="E45" s="14" t="inlineStr">
        <is>
          <t>✏️ KETIK RUMUS JAWABAN TES DI BAWAH:</t>
        </is>
      </c>
      <c r="F45" s="14" t="inlineStr">
        <is>
          <t>📌 STATUS KOREKSI JAWABAN TES:</t>
        </is>
      </c>
      <c r="G45" s="5" t="n"/>
    </row>
    <row r="46" ht="26" customHeight="1">
      <c r="B46" s="19" t="n">
        <v>10</v>
      </c>
      <c r="C46" s="19" t="n">
        <v>3</v>
      </c>
      <c r="E46" s="28" t="n"/>
      <c r="F46" s="29">
        <f>IF(ISBLANK(E46), "⏳ Belum Diisi (Ketik Rumus di Sel Kuning E46)", IF(E46='99_KUNCI_JAWABAN'!F328, "✅ BENAR! JAWABAN TES TEPAT!", "❌ Belum Tepat (Cek Sheet Akhir: 99_KUNCI_JAWABAN)"))</f>
        <v/>
      </c>
      <c r="G46" s="5" t="n"/>
    </row>
    <row r="47">
      <c r="B47" s="19" t="n">
        <v>6</v>
      </c>
      <c r="C47" s="19" t="n">
        <v>2</v>
      </c>
    </row>
    <row r="48">
      <c r="B48" s="19" t="n">
        <v>12</v>
      </c>
      <c r="C48" s="19" t="n">
        <v>2</v>
      </c>
    </row>
    <row r="51" ht="22" customHeight="1">
      <c r="B51" s="26" t="inlineStr">
        <is>
          <t>📝 SOAL TES #5: Kasus Akademik Sekolah &amp; Layanan Publik</t>
        </is>
      </c>
    </row>
    <row r="52" ht="30" customHeight="1">
      <c r="B52" s="14" t="inlineStr">
        <is>
          <t>Total Objek (B)</t>
        </is>
      </c>
      <c r="C52" s="14" t="inlineStr">
        <is>
          <t>Jumlah Dipilih (C)</t>
        </is>
      </c>
      <c r="E52" s="27" t="inlineStr">
        <is>
          <t>Persoalan Tes #5: Hitung jumlah permutasi untuk total objek di B53 (12) yang diambil sebanyak C53 (2) menggunakan fungsi PERMUT!</t>
        </is>
      </c>
    </row>
    <row r="53">
      <c r="B53" s="19" t="n">
        <v>12</v>
      </c>
      <c r="C53" s="19" t="n">
        <v>2</v>
      </c>
      <c r="E53" s="14" t="inlineStr">
        <is>
          <t>✏️ KETIK RUMUS JAWABAN TES DI BAWAH:</t>
        </is>
      </c>
      <c r="F53" s="14" t="inlineStr">
        <is>
          <t>📌 STATUS KOREKSI JAWABAN TES:</t>
        </is>
      </c>
      <c r="G53" s="5" t="n"/>
    </row>
    <row r="54" ht="26" customHeight="1">
      <c r="B54" s="19" t="n">
        <v>10</v>
      </c>
      <c r="C54" s="19" t="n">
        <v>3</v>
      </c>
      <c r="E54" s="28" t="n"/>
      <c r="F54" s="29">
        <f>IF(ISBLANK(E54), "⏳ Belum Diisi (Ketik Rumus di Sel Kuning E54)", IF(E54='99_KUNCI_JAWABAN'!F329, "✅ BENAR! JAWABAN TES TEPAT!", "❌ Belum Tepat (Cek Sheet Akhir: 99_KUNCI_JAWABAN)"))</f>
        <v/>
      </c>
      <c r="G54" s="5" t="n"/>
    </row>
    <row r="55">
      <c r="B55" s="19" t="n">
        <v>6</v>
      </c>
      <c r="C55" s="19" t="n">
        <v>2</v>
      </c>
    </row>
    <row r="56">
      <c r="B56" s="19" t="n">
        <v>12</v>
      </c>
      <c r="C56" s="19" t="n">
        <v>2</v>
      </c>
    </row>
  </sheetData>
  <mergeCells count="33">
    <mergeCell ref="E10:G10"/>
    <mergeCell ref="F11:G11"/>
    <mergeCell ref="E28:G28"/>
    <mergeCell ref="F29:G29"/>
    <mergeCell ref="C6:G6"/>
    <mergeCell ref="F54:G54"/>
    <mergeCell ref="B17:G17"/>
    <mergeCell ref="B1:G1"/>
    <mergeCell ref="C5:G5"/>
    <mergeCell ref="B19:G19"/>
    <mergeCell ref="F21:G21"/>
    <mergeCell ref="F12:G12"/>
    <mergeCell ref="F30:G30"/>
    <mergeCell ref="E36:G36"/>
    <mergeCell ref="B9:G9"/>
    <mergeCell ref="F45:G45"/>
    <mergeCell ref="B51:G51"/>
    <mergeCell ref="F38:G38"/>
    <mergeCell ref="B35:G35"/>
    <mergeCell ref="B4:G4"/>
    <mergeCell ref="F46:G46"/>
    <mergeCell ref="F22:G22"/>
    <mergeCell ref="B2:E2"/>
    <mergeCell ref="F13:G13"/>
    <mergeCell ref="B16:G16"/>
    <mergeCell ref="F37:G37"/>
    <mergeCell ref="C7:G7"/>
    <mergeCell ref="E52:G52"/>
    <mergeCell ref="B27:G27"/>
    <mergeCell ref="B43:G43"/>
    <mergeCell ref="E44:G44"/>
    <mergeCell ref="E20:G20"/>
    <mergeCell ref="F53:G53"/>
  </mergeCells>
  <hyperlinks>
    <hyperlink xmlns:r="http://schemas.openxmlformats.org/officeDocument/2006/relationships" ref="F2" r:id="rId1"/>
    <hyperlink xmlns:r="http://schemas.openxmlformats.org/officeDocument/2006/relationships" ref="G2" r:id="rId2"/>
  </hyperlinks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B1:G56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22" customWidth="1" min="3" max="3"/>
    <col width="4" customWidth="1" min="4" max="4"/>
    <col width="34" customWidth="1" min="5" max="5"/>
    <col width="44" customWidth="1" min="6" max="6"/>
    <col width="28" customWidth="1" min="7" max="7"/>
  </cols>
  <sheetData>
    <row r="1" ht="30" customHeight="1">
      <c r="B1" s="10" t="inlineStr">
        <is>
          <t>📊 #066 — RUMUS EXCEL: POISSON   |   Kategori: 8. Statistik &amp; Analisis Data</t>
        </is>
      </c>
    </row>
    <row r="2" ht="22" customHeight="1">
      <c r="B2" s="11" t="inlineStr">
        <is>
          <t>1 Rumus = 1 Contoh Soal + Jawaban Benar &amp; 5 Soal Tes Mandiri (Kunci Jawaban Ada di Sheet Paling Terakhir)</t>
        </is>
      </c>
      <c r="F2" s="12" t="inlineStr">
        <is>
          <t>⬅️ Ke Daftar Isi (00_DAFTAR_ISI)</t>
        </is>
      </c>
      <c r="G2" s="3" t="inlineStr">
        <is>
          <t>🔑 Ke Kunci Jawaban (Sheet Akhir)</t>
        </is>
      </c>
    </row>
    <row r="4" ht="24" customHeight="1">
      <c r="B4" s="13" t="inlineStr">
        <is>
          <t>1️⃣ IDENTITAS RUMUS &amp; FUNGSINYA BUAT APA? (POISSON)</t>
        </is>
      </c>
    </row>
    <row r="5" ht="21" customHeight="1">
      <c r="B5" s="14" t="inlineStr">
        <is>
          <t>Nama Rumus Excel</t>
        </is>
      </c>
      <c r="C5" s="15">
        <f>POISSON(...)</f>
        <v/>
      </c>
      <c r="D5" s="5" t="n"/>
      <c r="E5" s="5" t="n"/>
      <c r="F5" s="5" t="n"/>
      <c r="G5" s="5" t="n"/>
    </row>
    <row r="6" ht="21" customHeight="1">
      <c r="B6" s="14" t="inlineStr">
        <is>
          <t>Sintaks / Pola Umum</t>
        </is>
      </c>
      <c r="C6" s="15">
        <f>POISSON(x, mean, TRUE)</f>
        <v/>
      </c>
      <c r="D6" s="5" t="n"/>
      <c r="E6" s="5" t="n"/>
      <c r="F6" s="5" t="n"/>
      <c r="G6" s="5" t="n"/>
    </row>
    <row r="7" ht="26" customHeight="1">
      <c r="B7" s="14" t="inlineStr">
        <is>
          <t>👶 Fungsinya Buat Apa?</t>
        </is>
      </c>
      <c r="C7" s="16" t="inlineStr">
        <is>
          <t>Menghitung distribusi peluang Poisson (jumlah kejadian dalam selang waktu tertentu).</t>
        </is>
      </c>
      <c r="D7" s="5" t="n"/>
      <c r="E7" s="5" t="n"/>
      <c r="F7" s="5" t="n"/>
      <c r="G7" s="5" t="n"/>
    </row>
    <row r="9" ht="24" customHeight="1">
      <c r="B9" s="17" t="inlineStr">
        <is>
          <t>2️⃣ 1 CONTOH SOAL &amp; CONTOH JAWABAN BENAR (PELAJARI POLA RUMUS POISSON DI SINI)</t>
        </is>
      </c>
    </row>
    <row r="10">
      <c r="B10" s="18" t="inlineStr">
        <is>
          <t>Nama Parameter</t>
        </is>
      </c>
      <c r="C10" s="18" t="inlineStr">
        <is>
          <t>Nilai Parameter</t>
        </is>
      </c>
      <c r="E10" s="18" t="inlineStr">
        <is>
          <t>✅ 1 CONTOH SOAL BESERTA CONTOH RUMUS &amp; HASIL JAWABAN BENAR:</t>
        </is>
      </c>
      <c r="F10" s="5" t="n"/>
      <c r="G10" s="5" t="n"/>
    </row>
    <row r="11" ht="28" customHeight="1">
      <c r="B11" s="19" t="inlineStr">
        <is>
          <t>Nilai X (C11)</t>
        </is>
      </c>
      <c r="C11" s="19" t="n">
        <v>7</v>
      </c>
      <c r="E11" s="20" t="inlineStr">
        <is>
          <t>Contoh Soal:</t>
        </is>
      </c>
      <c r="F11" s="21" t="inlineStr">
        <is>
          <t>Hitung nilai distribusi kumulatif (TRUE) menggunakan fungsi POISSON dengan argumen C11, C12, dan TRUE!</t>
        </is>
      </c>
      <c r="G11" s="5" t="n"/>
    </row>
    <row r="12">
      <c r="B12" s="19" t="inlineStr">
        <is>
          <t>Derajat / Mean (C12)</t>
        </is>
      </c>
      <c r="C12" s="19" t="n">
        <v>10</v>
      </c>
      <c r="E12" s="20" t="inlineStr">
        <is>
          <t>Contoh Rumus Benar:</t>
        </is>
      </c>
      <c r="F12" s="22" t="inlineStr">
        <is>
          <t>'=POISSON(C11, C12, TRUE)</t>
        </is>
      </c>
      <c r="G12" s="5" t="n"/>
    </row>
    <row r="13">
      <c r="B13" s="19" t="inlineStr">
        <is>
          <t>Cadangan 1</t>
        </is>
      </c>
      <c r="C13" s="19" t="n">
        <v>1</v>
      </c>
      <c r="E13" s="20" t="inlineStr">
        <is>
          <t>Contoh Hasil Benar:</t>
        </is>
      </c>
      <c r="F13" s="23">
        <f>POISSON(C11, C12, TRUE)</f>
        <v/>
      </c>
      <c r="G13" s="5" t="n"/>
    </row>
    <row r="14">
      <c r="B14" s="19" t="inlineStr">
        <is>
          <t>Cadangan 2</t>
        </is>
      </c>
      <c r="C14" s="19" t="n">
        <v>1</v>
      </c>
    </row>
    <row r="16" ht="26" customHeight="1">
      <c r="B16" s="24" t="inlineStr">
        <is>
          <t>3️⃣ 5 SOAL TES DUNIA NYATA — KERJAKAN DI KOTAK KUNING (TANPA KUNCI RUMUS / HASIL DI SINI!)</t>
        </is>
      </c>
    </row>
    <row r="17" ht="20" customHeight="1">
      <c r="B17" s="25" t="inlineStr">
        <is>
          <t>📌 Catatan Tes: Soal Tes #1 s/d #5 di bawah ini tidak menampilkan kunci rumus maupun hasil. Kunci jawaban lengkap tersedia di sheet paling terakhir (99_KUNCI_JAWABAN).</t>
        </is>
      </c>
    </row>
    <row r="19" ht="22" customHeight="1">
      <c r="B19" s="26" t="inlineStr">
        <is>
          <t>📝 SOAL TES #1: Kasus Keuangan &amp; Akuntansi Kantor</t>
        </is>
      </c>
    </row>
    <row r="20" ht="30" customHeight="1">
      <c r="B20" s="14" t="inlineStr">
        <is>
          <t>Nama Parameter</t>
        </is>
      </c>
      <c r="C20" s="14" t="inlineStr">
        <is>
          <t>Nilai Parameter</t>
        </is>
      </c>
      <c r="E20" s="27" t="inlineStr">
        <is>
          <t>Persoalan Tes #1: Hitung nilai distribusi kumulatif (TRUE) menggunakan fungsi POISSON dengan argumen C21, C22, dan TRUE!</t>
        </is>
      </c>
    </row>
    <row r="21">
      <c r="B21" s="19" t="inlineStr">
        <is>
          <t>Nilai X (C21)</t>
        </is>
      </c>
      <c r="C21" s="19" t="n">
        <v>2</v>
      </c>
      <c r="E21" s="14" t="inlineStr">
        <is>
          <t>✏️ KETIK RUMUS JAWABAN TES DI BAWAH:</t>
        </is>
      </c>
      <c r="F21" s="14" t="inlineStr">
        <is>
          <t>📌 STATUS KOREKSI JAWABAN TES:</t>
        </is>
      </c>
      <c r="G21" s="5" t="n"/>
    </row>
    <row r="22" ht="26" customHeight="1">
      <c r="B22" s="19" t="inlineStr">
        <is>
          <t>Derajat / Mean (C22)</t>
        </is>
      </c>
      <c r="C22" s="19" t="n">
        <v>5</v>
      </c>
      <c r="E22" s="28" t="n"/>
      <c r="F22" s="29">
        <f>IF(ISBLANK(E22), "⏳ Belum Diisi (Ketik Rumus di Sel Kuning E22)", IF(E22='99_KUNCI_JAWABAN'!F330, "✅ BENAR! JAWABAN TES TEPAT!", "❌ Belum Tepat (Cek Sheet Akhir: 99_KUNCI_JAWABAN)"))</f>
        <v/>
      </c>
      <c r="G22" s="5" t="n"/>
    </row>
    <row r="23">
      <c r="B23" s="19" t="inlineStr">
        <is>
          <t>Cadangan 1</t>
        </is>
      </c>
      <c r="C23" s="19" t="n">
        <v>1</v>
      </c>
    </row>
    <row r="24">
      <c r="B24" s="19" t="inlineStr">
        <is>
          <t>Cadangan 2</t>
        </is>
      </c>
      <c r="C24" s="19" t="n">
        <v>1</v>
      </c>
    </row>
    <row r="27" ht="22" customHeight="1">
      <c r="B27" s="26" t="inlineStr">
        <is>
          <t>📝 SOAL TES #2: Kasus HRD, Gaji &amp; Lembur Karyawan</t>
        </is>
      </c>
    </row>
    <row r="28" ht="30" customHeight="1">
      <c r="B28" s="14" t="inlineStr">
        <is>
          <t>Nama Parameter</t>
        </is>
      </c>
      <c r="C28" s="14" t="inlineStr">
        <is>
          <t>Nilai Parameter</t>
        </is>
      </c>
      <c r="E28" s="27" t="inlineStr">
        <is>
          <t>Persoalan Tes #2: Hitung nilai distribusi kumulatif (TRUE) menggunakan fungsi POISSON dengan argumen C29, C30, dan TRUE!</t>
        </is>
      </c>
    </row>
    <row r="29">
      <c r="B29" s="19" t="inlineStr">
        <is>
          <t>Nilai X (C29)</t>
        </is>
      </c>
      <c r="C29" s="19" t="n">
        <v>3</v>
      </c>
      <c r="E29" s="14" t="inlineStr">
        <is>
          <t>✏️ KETIK RUMUS JAWABAN TES DI BAWAH:</t>
        </is>
      </c>
      <c r="F29" s="14" t="inlineStr">
        <is>
          <t>📌 STATUS KOREKSI JAWABAN TES:</t>
        </is>
      </c>
      <c r="G29" s="5" t="n"/>
    </row>
    <row r="30" ht="26" customHeight="1">
      <c r="B30" s="19" t="inlineStr">
        <is>
          <t>Derajat / Mean (C30)</t>
        </is>
      </c>
      <c r="C30" s="19" t="n">
        <v>6</v>
      </c>
      <c r="E30" s="28" t="n"/>
      <c r="F30" s="29">
        <f>IF(ISBLANK(E30), "⏳ Belum Diisi (Ketik Rumus di Sel Kuning E30)", IF(E30='99_KUNCI_JAWABAN'!F331, "✅ BENAR! JAWABAN TES TEPAT!", "❌ Belum Tepat (Cek Sheet Akhir: 99_KUNCI_JAWABAN)"))</f>
        <v/>
      </c>
      <c r="G30" s="5" t="n"/>
    </row>
    <row r="31">
      <c r="B31" s="19" t="inlineStr">
        <is>
          <t>Cadangan 1</t>
        </is>
      </c>
      <c r="C31" s="19" t="n">
        <v>1</v>
      </c>
    </row>
    <row r="32">
      <c r="B32" s="19" t="inlineStr">
        <is>
          <t>Cadangan 2</t>
        </is>
      </c>
      <c r="C32" s="19" t="n">
        <v>1</v>
      </c>
    </row>
    <row r="35" ht="22" customHeight="1">
      <c r="B35" s="26" t="inlineStr">
        <is>
          <t>📝 SOAL TES #3: Kasus Logistik &amp; Stok Gudang Utama</t>
        </is>
      </c>
    </row>
    <row r="36" ht="30" customHeight="1">
      <c r="B36" s="14" t="inlineStr">
        <is>
          <t>Nama Parameter</t>
        </is>
      </c>
      <c r="C36" s="14" t="inlineStr">
        <is>
          <t>Nilai Parameter</t>
        </is>
      </c>
      <c r="E36" s="27" t="inlineStr">
        <is>
          <t>Persoalan Tes #3: Hitung nilai distribusi kumulatif (TRUE) menggunakan fungsi POISSON dengan argumen C37, C38, dan TRUE!</t>
        </is>
      </c>
    </row>
    <row r="37">
      <c r="B37" s="19" t="inlineStr">
        <is>
          <t>Nilai X (C37)</t>
        </is>
      </c>
      <c r="C37" s="19" t="n">
        <v>4</v>
      </c>
      <c r="E37" s="14" t="inlineStr">
        <is>
          <t>✏️ KETIK RUMUS JAWABAN TES DI BAWAH:</t>
        </is>
      </c>
      <c r="F37" s="14" t="inlineStr">
        <is>
          <t>📌 STATUS KOREKSI JAWABAN TES:</t>
        </is>
      </c>
      <c r="G37" s="5" t="n"/>
    </row>
    <row r="38" ht="26" customHeight="1">
      <c r="B38" s="19" t="inlineStr">
        <is>
          <t>Derajat / Mean (C38)</t>
        </is>
      </c>
      <c r="C38" s="19" t="n">
        <v>7</v>
      </c>
      <c r="E38" s="28" t="n"/>
      <c r="F38" s="29">
        <f>IF(ISBLANK(E38), "⏳ Belum Diisi (Ketik Rumus di Sel Kuning E38)", IF(E38='99_KUNCI_JAWABAN'!F332, "✅ BENAR! JAWABAN TES TEPAT!", "❌ Belum Tepat (Cek Sheet Akhir: 99_KUNCI_JAWABAN)"))</f>
        <v/>
      </c>
      <c r="G38" s="5" t="n"/>
    </row>
    <row r="39">
      <c r="B39" s="19" t="inlineStr">
        <is>
          <t>Cadangan 1</t>
        </is>
      </c>
      <c r="C39" s="19" t="n">
        <v>1</v>
      </c>
    </row>
    <row r="40">
      <c r="B40" s="19" t="inlineStr">
        <is>
          <t>Cadangan 2</t>
        </is>
      </c>
      <c r="C40" s="19" t="n">
        <v>1</v>
      </c>
    </row>
    <row r="43" ht="22" customHeight="1">
      <c r="B43" s="26" t="inlineStr">
        <is>
          <t>📝 SOAL TES #4: Kasus Penjualan Retail &amp; Target Toko</t>
        </is>
      </c>
    </row>
    <row r="44" ht="30" customHeight="1">
      <c r="B44" s="14" t="inlineStr">
        <is>
          <t>Nama Parameter</t>
        </is>
      </c>
      <c r="C44" s="14" t="inlineStr">
        <is>
          <t>Nilai Parameter</t>
        </is>
      </c>
      <c r="E44" s="27" t="inlineStr">
        <is>
          <t>Persoalan Tes #4: Hitung nilai distribusi kumulatif (TRUE) menggunakan fungsi POISSON dengan argumen C45, C46, dan TRUE!</t>
        </is>
      </c>
    </row>
    <row r="45">
      <c r="B45" s="19" t="inlineStr">
        <is>
          <t>Nilai X (C45)</t>
        </is>
      </c>
      <c r="C45" s="19" t="n">
        <v>5</v>
      </c>
      <c r="E45" s="14" t="inlineStr">
        <is>
          <t>✏️ KETIK RUMUS JAWABAN TES DI BAWAH:</t>
        </is>
      </c>
      <c r="F45" s="14" t="inlineStr">
        <is>
          <t>📌 STATUS KOREKSI JAWABAN TES:</t>
        </is>
      </c>
      <c r="G45" s="5" t="n"/>
    </row>
    <row r="46" ht="26" customHeight="1">
      <c r="B46" s="19" t="inlineStr">
        <is>
          <t>Derajat / Mean (C46)</t>
        </is>
      </c>
      <c r="C46" s="19" t="n">
        <v>8</v>
      </c>
      <c r="E46" s="28" t="n"/>
      <c r="F46" s="29">
        <f>IF(ISBLANK(E46), "⏳ Belum Diisi (Ketik Rumus di Sel Kuning E46)", IF(E46='99_KUNCI_JAWABAN'!F333, "✅ BENAR! JAWABAN TES TEPAT!", "❌ Belum Tepat (Cek Sheet Akhir: 99_KUNCI_JAWABAN)"))</f>
        <v/>
      </c>
      <c r="G46" s="5" t="n"/>
    </row>
    <row r="47">
      <c r="B47" s="19" t="inlineStr">
        <is>
          <t>Cadangan 1</t>
        </is>
      </c>
      <c r="C47" s="19" t="n">
        <v>1</v>
      </c>
    </row>
    <row r="48">
      <c r="B48" s="19" t="inlineStr">
        <is>
          <t>Cadangan 2</t>
        </is>
      </c>
      <c r="C48" s="19" t="n">
        <v>1</v>
      </c>
    </row>
    <row r="51" ht="22" customHeight="1">
      <c r="B51" s="26" t="inlineStr">
        <is>
          <t>📝 SOAL TES #5: Kasus Akademik Sekolah &amp; Layanan Publik</t>
        </is>
      </c>
    </row>
    <row r="52" ht="30" customHeight="1">
      <c r="B52" s="14" t="inlineStr">
        <is>
          <t>Nama Parameter</t>
        </is>
      </c>
      <c r="C52" s="14" t="inlineStr">
        <is>
          <t>Nilai Parameter</t>
        </is>
      </c>
      <c r="E52" s="27" t="inlineStr">
        <is>
          <t>Persoalan Tes #5: Hitung nilai distribusi kumulatif (TRUE) menggunakan fungsi POISSON dengan argumen C53, C54, dan TRUE!</t>
        </is>
      </c>
    </row>
    <row r="53">
      <c r="B53" s="19" t="inlineStr">
        <is>
          <t>Nilai X (C53)</t>
        </is>
      </c>
      <c r="C53" s="19" t="n">
        <v>6</v>
      </c>
      <c r="E53" s="14" t="inlineStr">
        <is>
          <t>✏️ KETIK RUMUS JAWABAN TES DI BAWAH:</t>
        </is>
      </c>
      <c r="F53" s="14" t="inlineStr">
        <is>
          <t>📌 STATUS KOREKSI JAWABAN TES:</t>
        </is>
      </c>
      <c r="G53" s="5" t="n"/>
    </row>
    <row r="54" ht="26" customHeight="1">
      <c r="B54" s="19" t="inlineStr">
        <is>
          <t>Derajat / Mean (C54)</t>
        </is>
      </c>
      <c r="C54" s="19" t="n">
        <v>9</v>
      </c>
      <c r="E54" s="28" t="n"/>
      <c r="F54" s="29">
        <f>IF(ISBLANK(E54), "⏳ Belum Diisi (Ketik Rumus di Sel Kuning E54)", IF(E54='99_KUNCI_JAWABAN'!F334, "✅ BENAR! JAWABAN TES TEPAT!", "❌ Belum Tepat (Cek Sheet Akhir: 99_KUNCI_JAWABAN)"))</f>
        <v/>
      </c>
      <c r="G54" s="5" t="n"/>
    </row>
    <row r="55">
      <c r="B55" s="19" t="inlineStr">
        <is>
          <t>Cadangan 1</t>
        </is>
      </c>
      <c r="C55" s="19" t="n">
        <v>1</v>
      </c>
    </row>
    <row r="56">
      <c r="B56" s="19" t="inlineStr">
        <is>
          <t>Cadangan 2</t>
        </is>
      </c>
      <c r="C56" s="19" t="n">
        <v>1</v>
      </c>
    </row>
  </sheetData>
  <mergeCells count="33">
    <mergeCell ref="E10:G10"/>
    <mergeCell ref="F11:G11"/>
    <mergeCell ref="E28:G28"/>
    <mergeCell ref="F29:G29"/>
    <mergeCell ref="C6:G6"/>
    <mergeCell ref="F54:G54"/>
    <mergeCell ref="B17:G17"/>
    <mergeCell ref="B1:G1"/>
    <mergeCell ref="C5:G5"/>
    <mergeCell ref="B19:G19"/>
    <mergeCell ref="F21:G21"/>
    <mergeCell ref="F12:G12"/>
    <mergeCell ref="F30:G30"/>
    <mergeCell ref="E36:G36"/>
    <mergeCell ref="B9:G9"/>
    <mergeCell ref="F45:G45"/>
    <mergeCell ref="B51:G51"/>
    <mergeCell ref="F38:G38"/>
    <mergeCell ref="B35:G35"/>
    <mergeCell ref="B4:G4"/>
    <mergeCell ref="F46:G46"/>
    <mergeCell ref="F22:G22"/>
    <mergeCell ref="B2:E2"/>
    <mergeCell ref="F13:G13"/>
    <mergeCell ref="B16:G16"/>
    <mergeCell ref="F37:G37"/>
    <mergeCell ref="C7:G7"/>
    <mergeCell ref="E52:G52"/>
    <mergeCell ref="B27:G27"/>
    <mergeCell ref="B43:G43"/>
    <mergeCell ref="E44:G44"/>
    <mergeCell ref="E20:G20"/>
    <mergeCell ref="F53:G53"/>
  </mergeCells>
  <hyperlinks>
    <hyperlink xmlns:r="http://schemas.openxmlformats.org/officeDocument/2006/relationships" ref="F2" r:id="rId1"/>
    <hyperlink xmlns:r="http://schemas.openxmlformats.org/officeDocument/2006/relationships" ref="G2" r:id="rId2"/>
  </hyperlinks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B1:G56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22" customWidth="1" min="3" max="3"/>
    <col width="4" customWidth="1" min="4" max="4"/>
    <col width="34" customWidth="1" min="5" max="5"/>
    <col width="44" customWidth="1" min="6" max="6"/>
    <col width="28" customWidth="1" min="7" max="7"/>
  </cols>
  <sheetData>
    <row r="1" ht="30" customHeight="1">
      <c r="B1" s="10" t="inlineStr">
        <is>
          <t>📊 #067 — RUMUS EXCEL: PROB   |   Kategori: 8. Statistik &amp; Analisis Data</t>
        </is>
      </c>
    </row>
    <row r="2" ht="22" customHeight="1">
      <c r="B2" s="11" t="inlineStr">
        <is>
          <t>1 Rumus = 1 Contoh Soal + Jawaban Benar &amp; 5 Soal Tes Mandiri (Kunci Jawaban Ada di Sheet Paling Terakhir)</t>
        </is>
      </c>
      <c r="F2" s="12" t="inlineStr">
        <is>
          <t>⬅️ Ke Daftar Isi (00_DAFTAR_ISI)</t>
        </is>
      </c>
      <c r="G2" s="3" t="inlineStr">
        <is>
          <t>🔑 Ke Kunci Jawaban (Sheet Akhir)</t>
        </is>
      </c>
    </row>
    <row r="4" ht="24" customHeight="1">
      <c r="B4" s="13" t="inlineStr">
        <is>
          <t>1️⃣ IDENTITAS RUMUS &amp; FUNGSINYA BUAT APA? (PROB)</t>
        </is>
      </c>
    </row>
    <row r="5" ht="21" customHeight="1">
      <c r="B5" s="14" t="inlineStr">
        <is>
          <t>Nama Rumus Excel</t>
        </is>
      </c>
      <c r="C5" s="15">
        <f>PROB(...)</f>
        <v/>
      </c>
      <c r="D5" s="5" t="n"/>
      <c r="E5" s="5" t="n"/>
      <c r="F5" s="5" t="n"/>
      <c r="G5" s="5" t="n"/>
    </row>
    <row r="6" ht="21" customHeight="1">
      <c r="B6" s="14" t="inlineStr">
        <is>
          <t>Sintaks / Pola Umum</t>
        </is>
      </c>
      <c r="C6" s="15">
        <f>PROB(range_x, range_prob, batas_bawah)</f>
        <v/>
      </c>
      <c r="D6" s="5" t="n"/>
      <c r="E6" s="5" t="n"/>
      <c r="F6" s="5" t="n"/>
      <c r="G6" s="5" t="n"/>
    </row>
    <row r="7" ht="26" customHeight="1">
      <c r="B7" s="14" t="inlineStr">
        <is>
          <t>👶 Fungsinya Buat Apa?</t>
        </is>
      </c>
      <c r="C7" s="16" t="inlineStr">
        <is>
          <t>Menghitung peluang bahwa nilai berada pada titik atau rentang tertentu.</t>
        </is>
      </c>
      <c r="D7" s="5" t="n"/>
      <c r="E7" s="5" t="n"/>
      <c r="F7" s="5" t="n"/>
      <c r="G7" s="5" t="n"/>
    </row>
    <row r="9" ht="24" customHeight="1">
      <c r="B9" s="17" t="inlineStr">
        <is>
          <t>2️⃣ 1 CONTOH SOAL &amp; CONTOH JAWABAN BENAR (PELAJARI POLA RUMUS PROB DI SINI)</t>
        </is>
      </c>
    </row>
    <row r="10">
      <c r="B10" s="18" t="inlineStr">
        <is>
          <t>Nilai Kejadian X</t>
        </is>
      </c>
      <c r="C10" s="18" t="inlineStr">
        <is>
          <t>Peluang P(X)</t>
        </is>
      </c>
      <c r="E10" s="18" t="inlineStr">
        <is>
          <t>✅ 1 CONTOH SOAL BESERTA CONTOH RUMUS &amp; HASIL JAWABAN BENAR:</t>
        </is>
      </c>
      <c r="F10" s="5" t="n"/>
      <c r="G10" s="5" t="n"/>
    </row>
    <row r="11" ht="28" customHeight="1">
      <c r="B11" s="19" t="n">
        <v>1</v>
      </c>
      <c r="C11" s="19" t="n">
        <v>0.15</v>
      </c>
      <c r="E11" s="20" t="inlineStr">
        <is>
          <t>Contoh Soal:</t>
        </is>
      </c>
      <c r="F11" s="21" t="inlineStr">
        <is>
          <t>Hitung peluang terjadinya nilai 2 berdasarkan daftar kejadian di B11:B14 dan daftar peluang di C11:C14 menggunakan fungsi PROB!</t>
        </is>
      </c>
      <c r="G11" s="5" t="n"/>
    </row>
    <row r="12">
      <c r="B12" s="19" t="n">
        <v>2</v>
      </c>
      <c r="C12" s="19" t="n">
        <v>0.35</v>
      </c>
      <c r="E12" s="20" t="inlineStr">
        <is>
          <t>Contoh Rumus Benar:</t>
        </is>
      </c>
      <c r="F12" s="22" t="inlineStr">
        <is>
          <t>'=PROB(B11:B14, C11:C14, 2)</t>
        </is>
      </c>
      <c r="G12" s="5" t="n"/>
    </row>
    <row r="13">
      <c r="B13" s="19" t="n">
        <v>3</v>
      </c>
      <c r="C13" s="19" t="n">
        <v>0.3</v>
      </c>
      <c r="E13" s="20" t="inlineStr">
        <is>
          <t>Contoh Hasil Benar:</t>
        </is>
      </c>
      <c r="F13" s="23">
        <f>PROB(B11:B14, C11:C14, 2)</f>
        <v/>
      </c>
      <c r="G13" s="5" t="n"/>
    </row>
    <row r="14">
      <c r="B14" s="19" t="n">
        <v>4</v>
      </c>
      <c r="C14" s="19" t="n">
        <v>0.2</v>
      </c>
    </row>
    <row r="16" ht="26" customHeight="1">
      <c r="B16" s="24" t="inlineStr">
        <is>
          <t>3️⃣ 5 SOAL TES DUNIA NYATA — KERJAKAN DI KOTAK KUNING (TANPA KUNCI RUMUS / HASIL DI SINI!)</t>
        </is>
      </c>
    </row>
    <row r="17" ht="20" customHeight="1">
      <c r="B17" s="25" t="inlineStr">
        <is>
          <t>📌 Catatan Tes: Soal Tes #1 s/d #5 di bawah ini tidak menampilkan kunci rumus maupun hasil. Kunci jawaban lengkap tersedia di sheet paling terakhir (99_KUNCI_JAWABAN).</t>
        </is>
      </c>
    </row>
    <row r="19" ht="22" customHeight="1">
      <c r="B19" s="26" t="inlineStr">
        <is>
          <t>📝 SOAL TES #1: Kasus Keuangan &amp; Akuntansi Kantor</t>
        </is>
      </c>
    </row>
    <row r="20" ht="30" customHeight="1">
      <c r="B20" s="14" t="inlineStr">
        <is>
          <t>Nilai Kejadian X</t>
        </is>
      </c>
      <c r="C20" s="14" t="inlineStr">
        <is>
          <t>Peluang P(X)</t>
        </is>
      </c>
      <c r="E20" s="27" t="inlineStr">
        <is>
          <t>Persoalan Tes #1: Hitung peluang terjadinya nilai 2 berdasarkan daftar kejadian di B21:B24 dan daftar peluang di C21:C24 menggunakan fungsi PROB!</t>
        </is>
      </c>
    </row>
    <row r="21">
      <c r="B21" s="19" t="n">
        <v>1</v>
      </c>
      <c r="C21" s="19" t="n">
        <v>0.15</v>
      </c>
      <c r="E21" s="14" t="inlineStr">
        <is>
          <t>✏️ KETIK RUMUS JAWABAN TES DI BAWAH:</t>
        </is>
      </c>
      <c r="F21" s="14" t="inlineStr">
        <is>
          <t>📌 STATUS KOREKSI JAWABAN TES:</t>
        </is>
      </c>
      <c r="G21" s="5" t="n"/>
    </row>
    <row r="22" ht="26" customHeight="1">
      <c r="B22" s="19" t="n">
        <v>2</v>
      </c>
      <c r="C22" s="19" t="n">
        <v>0.35</v>
      </c>
      <c r="E22" s="28" t="n"/>
      <c r="F22" s="29">
        <f>IF(ISBLANK(E22), "⏳ Belum Diisi (Ketik Rumus di Sel Kuning E22)", IF(E22='99_KUNCI_JAWABAN'!F335, "✅ BENAR! JAWABAN TES TEPAT!", "❌ Belum Tepat (Cek Sheet Akhir: 99_KUNCI_JAWABAN)"))</f>
        <v/>
      </c>
      <c r="G22" s="5" t="n"/>
    </row>
    <row r="23">
      <c r="B23" s="19" t="n">
        <v>3</v>
      </c>
      <c r="C23" s="19" t="n">
        <v>0.3</v>
      </c>
    </row>
    <row r="24">
      <c r="B24" s="19" t="n">
        <v>4</v>
      </c>
      <c r="C24" s="19" t="n">
        <v>0.2</v>
      </c>
    </row>
    <row r="27" ht="22" customHeight="1">
      <c r="B27" s="26" t="inlineStr">
        <is>
          <t>📝 SOAL TES #2: Kasus HRD, Gaji &amp; Lembur Karyawan</t>
        </is>
      </c>
    </row>
    <row r="28" ht="30" customHeight="1">
      <c r="B28" s="14" t="inlineStr">
        <is>
          <t>Nilai Kejadian X</t>
        </is>
      </c>
      <c r="C28" s="14" t="inlineStr">
        <is>
          <t>Peluang P(X)</t>
        </is>
      </c>
      <c r="E28" s="27" t="inlineStr">
        <is>
          <t>Persoalan Tes #2: Hitung peluang terjadinya nilai 2 berdasarkan daftar kejadian di B29:B32 dan daftar peluang di C29:C32 menggunakan fungsi PROB!</t>
        </is>
      </c>
    </row>
    <row r="29">
      <c r="B29" s="19" t="n">
        <v>1</v>
      </c>
      <c r="C29" s="19" t="n">
        <v>0.15</v>
      </c>
      <c r="E29" s="14" t="inlineStr">
        <is>
          <t>✏️ KETIK RUMUS JAWABAN TES DI BAWAH:</t>
        </is>
      </c>
      <c r="F29" s="14" t="inlineStr">
        <is>
          <t>📌 STATUS KOREKSI JAWABAN TES:</t>
        </is>
      </c>
      <c r="G29" s="5" t="n"/>
    </row>
    <row r="30" ht="26" customHeight="1">
      <c r="B30" s="19" t="n">
        <v>2</v>
      </c>
      <c r="C30" s="19" t="n">
        <v>0.35</v>
      </c>
      <c r="E30" s="28" t="n"/>
      <c r="F30" s="29">
        <f>IF(ISBLANK(E30), "⏳ Belum Diisi (Ketik Rumus di Sel Kuning E30)", IF(E30='99_KUNCI_JAWABAN'!F336, "✅ BENAR! JAWABAN TES TEPAT!", "❌ Belum Tepat (Cek Sheet Akhir: 99_KUNCI_JAWABAN)"))</f>
        <v/>
      </c>
      <c r="G30" s="5" t="n"/>
    </row>
    <row r="31">
      <c r="B31" s="19" t="n">
        <v>3</v>
      </c>
      <c r="C31" s="19" t="n">
        <v>0.3</v>
      </c>
    </row>
    <row r="32">
      <c r="B32" s="19" t="n">
        <v>4</v>
      </c>
      <c r="C32" s="19" t="n">
        <v>0.2</v>
      </c>
    </row>
    <row r="35" ht="22" customHeight="1">
      <c r="B35" s="26" t="inlineStr">
        <is>
          <t>📝 SOAL TES #3: Kasus Logistik &amp; Stok Gudang Utama</t>
        </is>
      </c>
    </row>
    <row r="36" ht="30" customHeight="1">
      <c r="B36" s="14" t="inlineStr">
        <is>
          <t>Nilai Kejadian X</t>
        </is>
      </c>
      <c r="C36" s="14" t="inlineStr">
        <is>
          <t>Peluang P(X)</t>
        </is>
      </c>
      <c r="E36" s="27" t="inlineStr">
        <is>
          <t>Persoalan Tes #3: Hitung peluang terjadinya nilai 2 berdasarkan daftar kejadian di B37:B40 dan daftar peluang di C37:C40 menggunakan fungsi PROB!</t>
        </is>
      </c>
    </row>
    <row r="37">
      <c r="B37" s="19" t="n">
        <v>1</v>
      </c>
      <c r="C37" s="19" t="n">
        <v>0.15</v>
      </c>
      <c r="E37" s="14" t="inlineStr">
        <is>
          <t>✏️ KETIK RUMUS JAWABAN TES DI BAWAH:</t>
        </is>
      </c>
      <c r="F37" s="14" t="inlineStr">
        <is>
          <t>📌 STATUS KOREKSI JAWABAN TES:</t>
        </is>
      </c>
      <c r="G37" s="5" t="n"/>
    </row>
    <row r="38" ht="26" customHeight="1">
      <c r="B38" s="19" t="n">
        <v>2</v>
      </c>
      <c r="C38" s="19" t="n">
        <v>0.35</v>
      </c>
      <c r="E38" s="28" t="n"/>
      <c r="F38" s="29">
        <f>IF(ISBLANK(E38), "⏳ Belum Diisi (Ketik Rumus di Sel Kuning E38)", IF(E38='99_KUNCI_JAWABAN'!F337, "✅ BENAR! JAWABAN TES TEPAT!", "❌ Belum Tepat (Cek Sheet Akhir: 99_KUNCI_JAWABAN)"))</f>
        <v/>
      </c>
      <c r="G38" s="5" t="n"/>
    </row>
    <row r="39">
      <c r="B39" s="19" t="n">
        <v>3</v>
      </c>
      <c r="C39" s="19" t="n">
        <v>0.3</v>
      </c>
    </row>
    <row r="40">
      <c r="B40" s="19" t="n">
        <v>4</v>
      </c>
      <c r="C40" s="19" t="n">
        <v>0.2</v>
      </c>
    </row>
    <row r="43" ht="22" customHeight="1">
      <c r="B43" s="26" t="inlineStr">
        <is>
          <t>📝 SOAL TES #4: Kasus Penjualan Retail &amp; Target Toko</t>
        </is>
      </c>
    </row>
    <row r="44" ht="30" customHeight="1">
      <c r="B44" s="14" t="inlineStr">
        <is>
          <t>Nilai Kejadian X</t>
        </is>
      </c>
      <c r="C44" s="14" t="inlineStr">
        <is>
          <t>Peluang P(X)</t>
        </is>
      </c>
      <c r="E44" s="27" t="inlineStr">
        <is>
          <t>Persoalan Tes #4: Hitung peluang terjadinya nilai 2 berdasarkan daftar kejadian di B45:B48 dan daftar peluang di C45:C48 menggunakan fungsi PROB!</t>
        </is>
      </c>
    </row>
    <row r="45">
      <c r="B45" s="19" t="n">
        <v>1</v>
      </c>
      <c r="C45" s="19" t="n">
        <v>0.15</v>
      </c>
      <c r="E45" s="14" t="inlineStr">
        <is>
          <t>✏️ KETIK RUMUS JAWABAN TES DI BAWAH:</t>
        </is>
      </c>
      <c r="F45" s="14" t="inlineStr">
        <is>
          <t>📌 STATUS KOREKSI JAWABAN TES:</t>
        </is>
      </c>
      <c r="G45" s="5" t="n"/>
    </row>
    <row r="46" ht="26" customHeight="1">
      <c r="B46" s="19" t="n">
        <v>2</v>
      </c>
      <c r="C46" s="19" t="n">
        <v>0.35</v>
      </c>
      <c r="E46" s="28" t="n"/>
      <c r="F46" s="29">
        <f>IF(ISBLANK(E46), "⏳ Belum Diisi (Ketik Rumus di Sel Kuning E46)", IF(E46='99_KUNCI_JAWABAN'!F338, "✅ BENAR! JAWABAN TES TEPAT!", "❌ Belum Tepat (Cek Sheet Akhir: 99_KUNCI_JAWABAN)"))</f>
        <v/>
      </c>
      <c r="G46" s="5" t="n"/>
    </row>
    <row r="47">
      <c r="B47" s="19" t="n">
        <v>3</v>
      </c>
      <c r="C47" s="19" t="n">
        <v>0.3</v>
      </c>
    </row>
    <row r="48">
      <c r="B48" s="19" t="n">
        <v>4</v>
      </c>
      <c r="C48" s="19" t="n">
        <v>0.2</v>
      </c>
    </row>
    <row r="51" ht="22" customHeight="1">
      <c r="B51" s="26" t="inlineStr">
        <is>
          <t>📝 SOAL TES #5: Kasus Akademik Sekolah &amp; Layanan Publik</t>
        </is>
      </c>
    </row>
    <row r="52" ht="30" customHeight="1">
      <c r="B52" s="14" t="inlineStr">
        <is>
          <t>Nilai Kejadian X</t>
        </is>
      </c>
      <c r="C52" s="14" t="inlineStr">
        <is>
          <t>Peluang P(X)</t>
        </is>
      </c>
      <c r="E52" s="27" t="inlineStr">
        <is>
          <t>Persoalan Tes #5: Hitung peluang terjadinya nilai 2 berdasarkan daftar kejadian di B53:B56 dan daftar peluang di C53:C56 menggunakan fungsi PROB!</t>
        </is>
      </c>
    </row>
    <row r="53">
      <c r="B53" s="19" t="n">
        <v>1</v>
      </c>
      <c r="C53" s="19" t="n">
        <v>0.15</v>
      </c>
      <c r="E53" s="14" t="inlineStr">
        <is>
          <t>✏️ KETIK RUMUS JAWABAN TES DI BAWAH:</t>
        </is>
      </c>
      <c r="F53" s="14" t="inlineStr">
        <is>
          <t>📌 STATUS KOREKSI JAWABAN TES:</t>
        </is>
      </c>
      <c r="G53" s="5" t="n"/>
    </row>
    <row r="54" ht="26" customHeight="1">
      <c r="B54" s="19" t="n">
        <v>2</v>
      </c>
      <c r="C54" s="19" t="n">
        <v>0.35</v>
      </c>
      <c r="E54" s="28" t="n"/>
      <c r="F54" s="29">
        <f>IF(ISBLANK(E54), "⏳ Belum Diisi (Ketik Rumus di Sel Kuning E54)", IF(E54='99_KUNCI_JAWABAN'!F339, "✅ BENAR! JAWABAN TES TEPAT!", "❌ Belum Tepat (Cek Sheet Akhir: 99_KUNCI_JAWABAN)"))</f>
        <v/>
      </c>
      <c r="G54" s="5" t="n"/>
    </row>
    <row r="55">
      <c r="B55" s="19" t="n">
        <v>3</v>
      </c>
      <c r="C55" s="19" t="n">
        <v>0.3</v>
      </c>
    </row>
    <row r="56">
      <c r="B56" s="19" t="n">
        <v>4</v>
      </c>
      <c r="C56" s="19" t="n">
        <v>0.2</v>
      </c>
    </row>
  </sheetData>
  <mergeCells count="33">
    <mergeCell ref="E10:G10"/>
    <mergeCell ref="F11:G11"/>
    <mergeCell ref="E28:G28"/>
    <mergeCell ref="F29:G29"/>
    <mergeCell ref="C6:G6"/>
    <mergeCell ref="F54:G54"/>
    <mergeCell ref="B17:G17"/>
    <mergeCell ref="B1:G1"/>
    <mergeCell ref="C5:G5"/>
    <mergeCell ref="B19:G19"/>
    <mergeCell ref="F21:G21"/>
    <mergeCell ref="F12:G12"/>
    <mergeCell ref="F30:G30"/>
    <mergeCell ref="E36:G36"/>
    <mergeCell ref="B9:G9"/>
    <mergeCell ref="F45:G45"/>
    <mergeCell ref="B51:G51"/>
    <mergeCell ref="F38:G38"/>
    <mergeCell ref="B35:G35"/>
    <mergeCell ref="B4:G4"/>
    <mergeCell ref="F46:G46"/>
    <mergeCell ref="F22:G22"/>
    <mergeCell ref="B2:E2"/>
    <mergeCell ref="F13:G13"/>
    <mergeCell ref="B16:G16"/>
    <mergeCell ref="F37:G37"/>
    <mergeCell ref="C7:G7"/>
    <mergeCell ref="E52:G52"/>
    <mergeCell ref="B27:G27"/>
    <mergeCell ref="B43:G43"/>
    <mergeCell ref="E44:G44"/>
    <mergeCell ref="E20:G20"/>
    <mergeCell ref="F53:G53"/>
  </mergeCells>
  <hyperlinks>
    <hyperlink xmlns:r="http://schemas.openxmlformats.org/officeDocument/2006/relationships" ref="F2" r:id="rId1"/>
    <hyperlink xmlns:r="http://schemas.openxmlformats.org/officeDocument/2006/relationships" ref="G2" r:id="rId2"/>
  </hyperlinks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B1:G56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22" customWidth="1" min="3" max="3"/>
    <col width="4" customWidth="1" min="4" max="4"/>
    <col width="34" customWidth="1" min="5" max="5"/>
    <col width="44" customWidth="1" min="6" max="6"/>
    <col width="28" customWidth="1" min="7" max="7"/>
  </cols>
  <sheetData>
    <row r="1" ht="30" customHeight="1">
      <c r="B1" s="10" t="inlineStr">
        <is>
          <t>📊 #068 — RUMUS EXCEL: QUARTILE.EXC   |   Kategori: 8. Statistik &amp; Analisis Data</t>
        </is>
      </c>
    </row>
    <row r="2" ht="22" customHeight="1">
      <c r="B2" s="11" t="inlineStr">
        <is>
          <t>1 Rumus = 1 Contoh Soal + Jawaban Benar &amp; 5 Soal Tes Mandiri (Kunci Jawaban Ada di Sheet Paling Terakhir)</t>
        </is>
      </c>
      <c r="F2" s="12" t="inlineStr">
        <is>
          <t>⬅️ Ke Daftar Isi (00_DAFTAR_ISI)</t>
        </is>
      </c>
      <c r="G2" s="3" t="inlineStr">
        <is>
          <t>🔑 Ke Kunci Jawaban (Sheet Akhir)</t>
        </is>
      </c>
    </row>
    <row r="4" ht="24" customHeight="1">
      <c r="B4" s="13" t="inlineStr">
        <is>
          <t>1️⃣ IDENTITAS RUMUS &amp; FUNGSINYA BUAT APA? (QUARTILE.EXC)</t>
        </is>
      </c>
    </row>
    <row r="5" ht="21" customHeight="1">
      <c r="B5" s="14" t="inlineStr">
        <is>
          <t>Nama Rumus Excel</t>
        </is>
      </c>
      <c r="C5" s="15">
        <f>QUARTILE.EXC(...)</f>
        <v/>
      </c>
      <c r="D5" s="5" t="n"/>
      <c r="E5" s="5" t="n"/>
      <c r="F5" s="5" t="n"/>
      <c r="G5" s="5" t="n"/>
    </row>
    <row r="6" ht="21" customHeight="1">
      <c r="B6" s="14" t="inlineStr">
        <is>
          <t>Sintaks / Pola Umum</t>
        </is>
      </c>
      <c r="C6" s="15">
        <f>QUARTILE.EXC(range_data, kuartil)</f>
        <v/>
      </c>
      <c r="D6" s="5" t="n"/>
      <c r="E6" s="5" t="n"/>
      <c r="F6" s="5" t="n"/>
      <c r="G6" s="5" t="n"/>
    </row>
    <row r="7" ht="26" customHeight="1">
      <c r="B7" s="14" t="inlineStr">
        <is>
          <t>👶 Fungsinya Buat Apa?</t>
        </is>
      </c>
      <c r="C7" s="16" t="inlineStr">
        <is>
          <t>Mencari nilai Kuartil eksklusif (1, 2, atau 3) dari rentang data.</t>
        </is>
      </c>
      <c r="D7" s="5" t="n"/>
      <c r="E7" s="5" t="n"/>
      <c r="F7" s="5" t="n"/>
      <c r="G7" s="5" t="n"/>
    </row>
    <row r="9" ht="24" customHeight="1">
      <c r="B9" s="17" t="inlineStr">
        <is>
          <t>2️⃣ 1 CONTOH SOAL &amp; CONTOH JAWABAN BENAR (PELAJARI POLA RUMUS QUARTILE.EXC DI SINI)</t>
        </is>
      </c>
    </row>
    <row r="10">
      <c r="B10" s="18" t="inlineStr">
        <is>
          <t>Sampel Data</t>
        </is>
      </c>
      <c r="C10" s="18" t="inlineStr">
        <is>
          <t>Nilai Skor</t>
        </is>
      </c>
      <c r="E10" s="18" t="inlineStr">
        <is>
          <t>✅ 1 CONTOH SOAL BESERTA CONTOH RUMUS &amp; HASIL JAWABAN BENAR:</t>
        </is>
      </c>
      <c r="F10" s="5" t="n"/>
      <c r="G10" s="5" t="n"/>
    </row>
    <row r="11" ht="28" customHeight="1">
      <c r="B11" s="19" t="inlineStr">
        <is>
          <t>Simulasi Unit A</t>
        </is>
      </c>
      <c r="C11" s="19" t="n">
        <v>500000</v>
      </c>
      <c r="E11" s="20" t="inlineStr">
        <is>
          <t>Contoh Soal:</t>
        </is>
      </c>
      <c r="F11" s="21" t="inlineStr">
        <is>
          <t>Hitung nilai Kuartil ke-1 dari rentang data C11:C14 menggunakan fungsi QUARTILE.EXC!</t>
        </is>
      </c>
      <c r="G11" s="5" t="n"/>
    </row>
    <row r="12">
      <c r="B12" s="19" t="inlineStr">
        <is>
          <t>Simulasi Unit B</t>
        </is>
      </c>
      <c r="C12" s="19" t="n">
        <v>750000</v>
      </c>
      <c r="E12" s="20" t="inlineStr">
        <is>
          <t>Contoh Rumus Benar:</t>
        </is>
      </c>
      <c r="F12" s="22" t="inlineStr">
        <is>
          <t>'=QUARTILE.EXC(C11:C14, 1)</t>
        </is>
      </c>
      <c r="G12" s="5" t="n"/>
    </row>
    <row r="13">
      <c r="B13" s="19" t="inlineStr">
        <is>
          <t>Simulasi Unit C</t>
        </is>
      </c>
      <c r="C13" s="19" t="n">
        <v>600000</v>
      </c>
      <c r="E13" s="20" t="inlineStr">
        <is>
          <t>Contoh Hasil Benar:</t>
        </is>
      </c>
      <c r="F13" s="23">
        <f>QUARTILE.EXC(C11:C14, 1)</f>
        <v/>
      </c>
      <c r="G13" s="5" t="n"/>
    </row>
    <row r="14">
      <c r="B14" s="19" t="inlineStr">
        <is>
          <t>Simulasi Unit D</t>
        </is>
      </c>
      <c r="C14" s="19" t="n">
        <v>950000</v>
      </c>
    </row>
    <row r="16" ht="26" customHeight="1">
      <c r="B16" s="24" t="inlineStr">
        <is>
          <t>3️⃣ 5 SOAL TES DUNIA NYATA — KERJAKAN DI KOTAK KUNING (TANPA KUNCI RUMUS / HASIL DI SINI!)</t>
        </is>
      </c>
    </row>
    <row r="17" ht="20" customHeight="1">
      <c r="B17" s="25" t="inlineStr">
        <is>
          <t>📌 Catatan Tes: Soal Tes #1 s/d #5 di bawah ini tidak menampilkan kunci rumus maupun hasil. Kunci jawaban lengkap tersedia di sheet paling terakhir (99_KUNCI_JAWABAN).</t>
        </is>
      </c>
    </row>
    <row r="19" ht="22" customHeight="1">
      <c r="B19" s="26" t="inlineStr">
        <is>
          <t>📝 SOAL TES #1: Kasus Keuangan &amp; Akuntansi Kantor</t>
        </is>
      </c>
    </row>
    <row r="20" ht="30" customHeight="1">
      <c r="B20" s="14" t="inlineStr">
        <is>
          <t>Sampel Data</t>
        </is>
      </c>
      <c r="C20" s="14" t="inlineStr">
        <is>
          <t>Nilai Skor</t>
        </is>
      </c>
      <c r="E20" s="27" t="inlineStr">
        <is>
          <t>Persoalan Tes #1: Hitung nilai Kuartil ke-1 dari rentang data C21:C24 menggunakan fungsi QUARTILE.EXC!</t>
        </is>
      </c>
    </row>
    <row r="21">
      <c r="B21" s="19" t="inlineStr">
        <is>
          <t>Cabang Jakarta</t>
        </is>
      </c>
      <c r="C21" s="19" t="n">
        <v>1250000</v>
      </c>
      <c r="E21" s="14" t="inlineStr">
        <is>
          <t>✏️ KETIK RUMUS JAWABAN TES DI BAWAH:</t>
        </is>
      </c>
      <c r="F21" s="14" t="inlineStr">
        <is>
          <t>📌 STATUS KOREKSI JAWABAN TES:</t>
        </is>
      </c>
      <c r="G21" s="5" t="n"/>
    </row>
    <row r="22" ht="26" customHeight="1">
      <c r="B22" s="19" t="inlineStr">
        <is>
          <t>Cabang Bandung</t>
        </is>
      </c>
      <c r="C22" s="19" t="n">
        <v>1850000</v>
      </c>
      <c r="E22" s="28" t="n"/>
      <c r="F22" s="29">
        <f>IF(ISBLANK(E22), "⏳ Belum Diisi (Ketik Rumus di Sel Kuning E22)", IF(E22='99_KUNCI_JAWABAN'!F340, "✅ BENAR! JAWABAN TES TEPAT!", "❌ Belum Tepat (Cek Sheet Akhir: 99_KUNCI_JAWABAN)"))</f>
        <v/>
      </c>
      <c r="G22" s="5" t="n"/>
    </row>
    <row r="23">
      <c r="B23" s="19" t="inlineStr">
        <is>
          <t>Cabang Surabaya</t>
        </is>
      </c>
      <c r="C23" s="19" t="n">
        <v>2100000</v>
      </c>
    </row>
    <row r="24">
      <c r="B24" s="19" t="inlineStr">
        <is>
          <t>Cabang Medan</t>
        </is>
      </c>
      <c r="C24" s="19" t="n">
        <v>1600000</v>
      </c>
    </row>
    <row r="27" ht="22" customHeight="1">
      <c r="B27" s="26" t="inlineStr">
        <is>
          <t>📝 SOAL TES #2: Kasus HRD, Gaji &amp; Lembur Karyawan</t>
        </is>
      </c>
    </row>
    <row r="28" ht="30" customHeight="1">
      <c r="B28" s="14" t="inlineStr">
        <is>
          <t>Sampel Data</t>
        </is>
      </c>
      <c r="C28" s="14" t="inlineStr">
        <is>
          <t>Nilai Skor</t>
        </is>
      </c>
      <c r="E28" s="27" t="inlineStr">
        <is>
          <t>Persoalan Tes #2: Hitung nilai Kuartil ke-1 dari rentang data C29:C32 menggunakan fungsi QUARTILE.EXC!</t>
        </is>
      </c>
    </row>
    <row r="29">
      <c r="B29" s="19" t="inlineStr">
        <is>
          <t>Budi Santoso</t>
        </is>
      </c>
      <c r="C29" s="19" t="n">
        <v>4500000</v>
      </c>
      <c r="E29" s="14" t="inlineStr">
        <is>
          <t>✏️ KETIK RUMUS JAWABAN TES DI BAWAH:</t>
        </is>
      </c>
      <c r="F29" s="14" t="inlineStr">
        <is>
          <t>📌 STATUS KOREKSI JAWABAN TES:</t>
        </is>
      </c>
      <c r="G29" s="5" t="n"/>
    </row>
    <row r="30" ht="26" customHeight="1">
      <c r="B30" s="19" t="inlineStr">
        <is>
          <t>Siti Aminah</t>
        </is>
      </c>
      <c r="C30" s="19" t="n">
        <v>5200000</v>
      </c>
      <c r="E30" s="28" t="n"/>
      <c r="F30" s="29">
        <f>IF(ISBLANK(E30), "⏳ Belum Diisi (Ketik Rumus di Sel Kuning E30)", IF(E30='99_KUNCI_JAWABAN'!F341, "✅ BENAR! JAWABAN TES TEPAT!", "❌ Belum Tepat (Cek Sheet Akhir: 99_KUNCI_JAWABAN)"))</f>
        <v/>
      </c>
      <c r="G30" s="5" t="n"/>
    </row>
    <row r="31">
      <c r="B31" s="19" t="inlineStr">
        <is>
          <t>Andi Pratama</t>
        </is>
      </c>
      <c r="C31" s="19" t="n">
        <v>4800000</v>
      </c>
    </row>
    <row r="32">
      <c r="B32" s="19" t="inlineStr">
        <is>
          <t>Rina Wijaya</t>
        </is>
      </c>
      <c r="C32" s="19" t="n">
        <v>6100000</v>
      </c>
    </row>
    <row r="35" ht="22" customHeight="1">
      <c r="B35" s="26" t="inlineStr">
        <is>
          <t>📝 SOAL TES #3: Kasus Logistik &amp; Stok Gudang Utama</t>
        </is>
      </c>
    </row>
    <row r="36" ht="30" customHeight="1">
      <c r="B36" s="14" t="inlineStr">
        <is>
          <t>Sampel Data</t>
        </is>
      </c>
      <c r="C36" s="14" t="inlineStr">
        <is>
          <t>Nilai Skor</t>
        </is>
      </c>
      <c r="E36" s="27" t="inlineStr">
        <is>
          <t>Persoalan Tes #3: Hitung nilai Kuartil ke-1 dari rentang data C37:C40 menggunakan fungsi QUARTILE.EXC!</t>
        </is>
      </c>
    </row>
    <row r="37">
      <c r="B37" s="19" t="inlineStr">
        <is>
          <t>Gudang Blok A</t>
        </is>
      </c>
      <c r="C37" s="19" t="n">
        <v>240</v>
      </c>
      <c r="E37" s="14" t="inlineStr">
        <is>
          <t>✏️ KETIK RUMUS JAWABAN TES DI BAWAH:</t>
        </is>
      </c>
      <c r="F37" s="14" t="inlineStr">
        <is>
          <t>📌 STATUS KOREKSI JAWABAN TES:</t>
        </is>
      </c>
      <c r="G37" s="5" t="n"/>
    </row>
    <row r="38" ht="26" customHeight="1">
      <c r="B38" s="19" t="inlineStr">
        <is>
          <t>Gudang Blok B</t>
        </is>
      </c>
      <c r="C38" s="19" t="n">
        <v>380</v>
      </c>
      <c r="E38" s="28" t="n"/>
      <c r="F38" s="29">
        <f>IF(ISBLANK(E38), "⏳ Belum Diisi (Ketik Rumus di Sel Kuning E38)", IF(E38='99_KUNCI_JAWABAN'!F342, "✅ BENAR! JAWABAN TES TEPAT!", "❌ Belum Tepat (Cek Sheet Akhir: 99_KUNCI_JAWABAN)"))</f>
        <v/>
      </c>
      <c r="G38" s="5" t="n"/>
    </row>
    <row r="39">
      <c r="B39" s="19" t="inlineStr">
        <is>
          <t>Gudang Blok C</t>
        </is>
      </c>
      <c r="C39" s="19" t="n">
        <v>195</v>
      </c>
    </row>
    <row r="40">
      <c r="B40" s="19" t="inlineStr">
        <is>
          <t>Gudang Blok D</t>
        </is>
      </c>
      <c r="C40" s="19" t="n">
        <v>425</v>
      </c>
    </row>
    <row r="43" ht="22" customHeight="1">
      <c r="B43" s="26" t="inlineStr">
        <is>
          <t>📝 SOAL TES #4: Kasus Penjualan Retail &amp; Target Toko</t>
        </is>
      </c>
    </row>
    <row r="44" ht="30" customHeight="1">
      <c r="B44" s="14" t="inlineStr">
        <is>
          <t>Sampel Data</t>
        </is>
      </c>
      <c r="C44" s="14" t="inlineStr">
        <is>
          <t>Nilai Skor</t>
        </is>
      </c>
      <c r="E44" s="27" t="inlineStr">
        <is>
          <t>Persoalan Tes #4: Hitung nilai Kuartil ke-1 dari rentang data C45:C48 menggunakan fungsi QUARTILE.EXC!</t>
        </is>
      </c>
    </row>
    <row r="45">
      <c r="B45" s="19" t="inlineStr">
        <is>
          <t>Toko Elektronik</t>
        </is>
      </c>
      <c r="C45" s="19" t="n">
        <v>85</v>
      </c>
      <c r="E45" s="14" t="inlineStr">
        <is>
          <t>✏️ KETIK RUMUS JAWABAN TES DI BAWAH:</t>
        </is>
      </c>
      <c r="F45" s="14" t="inlineStr">
        <is>
          <t>📌 STATUS KOREKSI JAWABAN TES:</t>
        </is>
      </c>
      <c r="G45" s="5" t="n"/>
    </row>
    <row r="46" ht="26" customHeight="1">
      <c r="B46" s="19" t="inlineStr">
        <is>
          <t>Toko Komputer</t>
        </is>
      </c>
      <c r="C46" s="19" t="n">
        <v>92</v>
      </c>
      <c r="E46" s="28" t="n"/>
      <c r="F46" s="29">
        <f>IF(ISBLANK(E46), "⏳ Belum Diisi (Ketik Rumus di Sel Kuning E46)", IF(E46='99_KUNCI_JAWABAN'!F343, "✅ BENAR! JAWABAN TES TEPAT!", "❌ Belum Tepat (Cek Sheet Akhir: 99_KUNCI_JAWABAN)"))</f>
        <v/>
      </c>
      <c r="G46" s="5" t="n"/>
    </row>
    <row r="47">
      <c r="B47" s="19" t="inlineStr">
        <is>
          <t>Toko Aksesoris</t>
        </is>
      </c>
      <c r="C47" s="19" t="n">
        <v>78</v>
      </c>
    </row>
    <row r="48">
      <c r="B48" s="19" t="inlineStr">
        <is>
          <t>Toko Servis</t>
        </is>
      </c>
      <c r="C48" s="19" t="n">
        <v>95</v>
      </c>
    </row>
    <row r="51" ht="22" customHeight="1">
      <c r="B51" s="26" t="inlineStr">
        <is>
          <t>📝 SOAL TES #5: Kasus Akademik Sekolah &amp; Layanan Publik</t>
        </is>
      </c>
    </row>
    <row r="52" ht="30" customHeight="1">
      <c r="B52" s="14" t="inlineStr">
        <is>
          <t>Sampel Data</t>
        </is>
      </c>
      <c r="C52" s="14" t="inlineStr">
        <is>
          <t>Nilai Skor</t>
        </is>
      </c>
      <c r="E52" s="27" t="inlineStr">
        <is>
          <t>Persoalan Tes #5: Hitung nilai Kuartil ke-1 dari rentang data C53:C56 menggunakan fungsi QUARTILE.EXC!</t>
        </is>
      </c>
    </row>
    <row r="53">
      <c r="B53" s="19" t="inlineStr">
        <is>
          <t>Kelas 10 IPA</t>
        </is>
      </c>
      <c r="C53" s="19" t="n">
        <v>82</v>
      </c>
      <c r="E53" s="14" t="inlineStr">
        <is>
          <t>✏️ KETIK RUMUS JAWABAN TES DI BAWAH:</t>
        </is>
      </c>
      <c r="F53" s="14" t="inlineStr">
        <is>
          <t>📌 STATUS KOREKSI JAWABAN TES:</t>
        </is>
      </c>
      <c r="G53" s="5" t="n"/>
    </row>
    <row r="54" ht="26" customHeight="1">
      <c r="B54" s="19" t="inlineStr">
        <is>
          <t>Kelas 11 IPA</t>
        </is>
      </c>
      <c r="C54" s="19" t="n">
        <v>88</v>
      </c>
      <c r="E54" s="28" t="n"/>
      <c r="F54" s="29">
        <f>IF(ISBLANK(E54), "⏳ Belum Diisi (Ketik Rumus di Sel Kuning E54)", IF(E54='99_KUNCI_JAWABAN'!F344, "✅ BENAR! JAWABAN TES TEPAT!", "❌ Belum Tepat (Cek Sheet Akhir: 99_KUNCI_JAWABAN)"))</f>
        <v/>
      </c>
      <c r="G54" s="5" t="n"/>
    </row>
    <row r="55">
      <c r="B55" s="19" t="inlineStr">
        <is>
          <t>Kelas 12 IPA</t>
        </is>
      </c>
      <c r="C55" s="19" t="n">
        <v>91</v>
      </c>
    </row>
    <row r="56">
      <c r="B56" s="19" t="inlineStr">
        <is>
          <t>Kelas Unggulan</t>
        </is>
      </c>
      <c r="C56" s="19" t="n">
        <v>79</v>
      </c>
    </row>
  </sheetData>
  <mergeCells count="33">
    <mergeCell ref="E10:G10"/>
    <mergeCell ref="F11:G11"/>
    <mergeCell ref="E28:G28"/>
    <mergeCell ref="F29:G29"/>
    <mergeCell ref="C6:G6"/>
    <mergeCell ref="F54:G54"/>
    <mergeCell ref="B17:G17"/>
    <mergeCell ref="B1:G1"/>
    <mergeCell ref="C5:G5"/>
    <mergeCell ref="B19:G19"/>
    <mergeCell ref="F21:G21"/>
    <mergeCell ref="F12:G12"/>
    <mergeCell ref="F30:G30"/>
    <mergeCell ref="E36:G36"/>
    <mergeCell ref="B9:G9"/>
    <mergeCell ref="F45:G45"/>
    <mergeCell ref="B51:G51"/>
    <mergeCell ref="F38:G38"/>
    <mergeCell ref="B35:G35"/>
    <mergeCell ref="B4:G4"/>
    <mergeCell ref="F46:G46"/>
    <mergeCell ref="F22:G22"/>
    <mergeCell ref="B2:E2"/>
    <mergeCell ref="F13:G13"/>
    <mergeCell ref="B16:G16"/>
    <mergeCell ref="F37:G37"/>
    <mergeCell ref="C7:G7"/>
    <mergeCell ref="E52:G52"/>
    <mergeCell ref="B27:G27"/>
    <mergeCell ref="B43:G43"/>
    <mergeCell ref="E44:G44"/>
    <mergeCell ref="E20:G20"/>
    <mergeCell ref="F53:G53"/>
  </mergeCells>
  <hyperlinks>
    <hyperlink xmlns:r="http://schemas.openxmlformats.org/officeDocument/2006/relationships" ref="F2" r:id="rId1"/>
    <hyperlink xmlns:r="http://schemas.openxmlformats.org/officeDocument/2006/relationships" ref="G2" r:id="rId2"/>
  </hyperlinks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B1:G56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22" customWidth="1" min="3" max="3"/>
    <col width="4" customWidth="1" min="4" max="4"/>
    <col width="34" customWidth="1" min="5" max="5"/>
    <col width="44" customWidth="1" min="6" max="6"/>
    <col width="28" customWidth="1" min="7" max="7"/>
  </cols>
  <sheetData>
    <row r="1" ht="30" customHeight="1">
      <c r="B1" s="10" t="inlineStr">
        <is>
          <t>📊 #069 — RUMUS EXCEL: QUARTILE.INC   |   Kategori: 8. Statistik &amp; Analisis Data</t>
        </is>
      </c>
    </row>
    <row r="2" ht="22" customHeight="1">
      <c r="B2" s="11" t="inlineStr">
        <is>
          <t>1 Rumus = 1 Contoh Soal + Jawaban Benar &amp; 5 Soal Tes Mandiri (Kunci Jawaban Ada di Sheet Paling Terakhir)</t>
        </is>
      </c>
      <c r="F2" s="12" t="inlineStr">
        <is>
          <t>⬅️ Ke Daftar Isi (00_DAFTAR_ISI)</t>
        </is>
      </c>
      <c r="G2" s="3" t="inlineStr">
        <is>
          <t>🔑 Ke Kunci Jawaban (Sheet Akhir)</t>
        </is>
      </c>
    </row>
    <row r="4" ht="24" customHeight="1">
      <c r="B4" s="13" t="inlineStr">
        <is>
          <t>1️⃣ IDENTITAS RUMUS &amp; FUNGSINYA BUAT APA? (QUARTILE.INC)</t>
        </is>
      </c>
    </row>
    <row r="5" ht="21" customHeight="1">
      <c r="B5" s="14" t="inlineStr">
        <is>
          <t>Nama Rumus Excel</t>
        </is>
      </c>
      <c r="C5" s="15">
        <f>QUARTILE.INC(...)</f>
        <v/>
      </c>
      <c r="D5" s="5" t="n"/>
      <c r="E5" s="5" t="n"/>
      <c r="F5" s="5" t="n"/>
      <c r="G5" s="5" t="n"/>
    </row>
    <row r="6" ht="21" customHeight="1">
      <c r="B6" s="14" t="inlineStr">
        <is>
          <t>Sintaks / Pola Umum</t>
        </is>
      </c>
      <c r="C6" s="15">
        <f>QUARTILE.INC(range_data, kuartil)</f>
        <v/>
      </c>
      <c r="D6" s="5" t="n"/>
      <c r="E6" s="5" t="n"/>
      <c r="F6" s="5" t="n"/>
      <c r="G6" s="5" t="n"/>
    </row>
    <row r="7" ht="26" customHeight="1">
      <c r="B7" s="14" t="inlineStr">
        <is>
          <t>👶 Fungsinya Buat Apa?</t>
        </is>
      </c>
      <c r="C7" s="16" t="inlineStr">
        <is>
          <t>Mencari nilai Kuartil inklusif (1=Kuartil Bawah, 2=Median, 3=Kuartil Atas).</t>
        </is>
      </c>
      <c r="D7" s="5" t="n"/>
      <c r="E7" s="5" t="n"/>
      <c r="F7" s="5" t="n"/>
      <c r="G7" s="5" t="n"/>
    </row>
    <row r="9" ht="24" customHeight="1">
      <c r="B9" s="17" t="inlineStr">
        <is>
          <t>2️⃣ 1 CONTOH SOAL &amp; CONTOH JAWABAN BENAR (PELAJARI POLA RUMUS QUARTILE.INC DI SINI)</t>
        </is>
      </c>
    </row>
    <row r="10">
      <c r="B10" s="18" t="inlineStr">
        <is>
          <t>Sampel Data</t>
        </is>
      </c>
      <c r="C10" s="18" t="inlineStr">
        <is>
          <t>Nilai Skor</t>
        </is>
      </c>
      <c r="E10" s="18" t="inlineStr">
        <is>
          <t>✅ 1 CONTOH SOAL BESERTA CONTOH RUMUS &amp; HASIL JAWABAN BENAR:</t>
        </is>
      </c>
      <c r="F10" s="5" t="n"/>
      <c r="G10" s="5" t="n"/>
    </row>
    <row r="11" ht="28" customHeight="1">
      <c r="B11" s="19" t="inlineStr">
        <is>
          <t>Simulasi Unit A</t>
        </is>
      </c>
      <c r="C11" s="19" t="n">
        <v>500000</v>
      </c>
      <c r="E11" s="20" t="inlineStr">
        <is>
          <t>Contoh Soal:</t>
        </is>
      </c>
      <c r="F11" s="21" t="inlineStr">
        <is>
          <t>Hitung nilai Kuartil ke-1 dari rentang data C11:C14 menggunakan fungsi QUARTILE.INC!</t>
        </is>
      </c>
      <c r="G11" s="5" t="n"/>
    </row>
    <row r="12">
      <c r="B12" s="19" t="inlineStr">
        <is>
          <t>Simulasi Unit B</t>
        </is>
      </c>
      <c r="C12" s="19" t="n">
        <v>750000</v>
      </c>
      <c r="E12" s="20" t="inlineStr">
        <is>
          <t>Contoh Rumus Benar:</t>
        </is>
      </c>
      <c r="F12" s="22" t="inlineStr">
        <is>
          <t>'=QUARTILE.INC(C11:C14, 1)</t>
        </is>
      </c>
      <c r="G12" s="5" t="n"/>
    </row>
    <row r="13">
      <c r="B13" s="19" t="inlineStr">
        <is>
          <t>Simulasi Unit C</t>
        </is>
      </c>
      <c r="C13" s="19" t="n">
        <v>600000</v>
      </c>
      <c r="E13" s="20" t="inlineStr">
        <is>
          <t>Contoh Hasil Benar:</t>
        </is>
      </c>
      <c r="F13" s="23">
        <f>QUARTILE.INC(C11:C14, 1)</f>
        <v/>
      </c>
      <c r="G13" s="5" t="n"/>
    </row>
    <row r="14">
      <c r="B14" s="19" t="inlineStr">
        <is>
          <t>Simulasi Unit D</t>
        </is>
      </c>
      <c r="C14" s="19" t="n">
        <v>950000</v>
      </c>
    </row>
    <row r="16" ht="26" customHeight="1">
      <c r="B16" s="24" t="inlineStr">
        <is>
          <t>3️⃣ 5 SOAL TES DUNIA NYATA — KERJAKAN DI KOTAK KUNING (TANPA KUNCI RUMUS / HASIL DI SINI!)</t>
        </is>
      </c>
    </row>
    <row r="17" ht="20" customHeight="1">
      <c r="B17" s="25" t="inlineStr">
        <is>
          <t>📌 Catatan Tes: Soal Tes #1 s/d #5 di bawah ini tidak menampilkan kunci rumus maupun hasil. Kunci jawaban lengkap tersedia di sheet paling terakhir (99_KUNCI_JAWABAN).</t>
        </is>
      </c>
    </row>
    <row r="19" ht="22" customHeight="1">
      <c r="B19" s="26" t="inlineStr">
        <is>
          <t>📝 SOAL TES #1: Kasus Keuangan &amp; Akuntansi Kantor</t>
        </is>
      </c>
    </row>
    <row r="20" ht="30" customHeight="1">
      <c r="B20" s="14" t="inlineStr">
        <is>
          <t>Sampel Data</t>
        </is>
      </c>
      <c r="C20" s="14" t="inlineStr">
        <is>
          <t>Nilai Skor</t>
        </is>
      </c>
      <c r="E20" s="27" t="inlineStr">
        <is>
          <t>Persoalan Tes #1: Hitung nilai Kuartil ke-1 dari rentang data C21:C24 menggunakan fungsi QUARTILE.INC!</t>
        </is>
      </c>
    </row>
    <row r="21">
      <c r="B21" s="19" t="inlineStr">
        <is>
          <t>Cabang Jakarta</t>
        </is>
      </c>
      <c r="C21" s="19" t="n">
        <v>1250000</v>
      </c>
      <c r="E21" s="14" t="inlineStr">
        <is>
          <t>✏️ KETIK RUMUS JAWABAN TES DI BAWAH:</t>
        </is>
      </c>
      <c r="F21" s="14" t="inlineStr">
        <is>
          <t>📌 STATUS KOREKSI JAWABAN TES:</t>
        </is>
      </c>
      <c r="G21" s="5" t="n"/>
    </row>
    <row r="22" ht="26" customHeight="1">
      <c r="B22" s="19" t="inlineStr">
        <is>
          <t>Cabang Bandung</t>
        </is>
      </c>
      <c r="C22" s="19" t="n">
        <v>1850000</v>
      </c>
      <c r="E22" s="28" t="n"/>
      <c r="F22" s="29">
        <f>IF(ISBLANK(E22), "⏳ Belum Diisi (Ketik Rumus di Sel Kuning E22)", IF(E22='99_KUNCI_JAWABAN'!F345, "✅ BENAR! JAWABAN TES TEPAT!", "❌ Belum Tepat (Cek Sheet Akhir: 99_KUNCI_JAWABAN)"))</f>
        <v/>
      </c>
      <c r="G22" s="5" t="n"/>
    </row>
    <row r="23">
      <c r="B23" s="19" t="inlineStr">
        <is>
          <t>Cabang Surabaya</t>
        </is>
      </c>
      <c r="C23" s="19" t="n">
        <v>2100000</v>
      </c>
    </row>
    <row r="24">
      <c r="B24" s="19" t="inlineStr">
        <is>
          <t>Cabang Medan</t>
        </is>
      </c>
      <c r="C24" s="19" t="n">
        <v>1600000</v>
      </c>
    </row>
    <row r="27" ht="22" customHeight="1">
      <c r="B27" s="26" t="inlineStr">
        <is>
          <t>📝 SOAL TES #2: Kasus HRD, Gaji &amp; Lembur Karyawan</t>
        </is>
      </c>
    </row>
    <row r="28" ht="30" customHeight="1">
      <c r="B28" s="14" t="inlineStr">
        <is>
          <t>Sampel Data</t>
        </is>
      </c>
      <c r="C28" s="14" t="inlineStr">
        <is>
          <t>Nilai Skor</t>
        </is>
      </c>
      <c r="E28" s="27" t="inlineStr">
        <is>
          <t>Persoalan Tes #2: Hitung nilai Kuartil ke-1 dari rentang data C29:C32 menggunakan fungsi QUARTILE.INC!</t>
        </is>
      </c>
    </row>
    <row r="29">
      <c r="B29" s="19" t="inlineStr">
        <is>
          <t>Budi Santoso</t>
        </is>
      </c>
      <c r="C29" s="19" t="n">
        <v>4500000</v>
      </c>
      <c r="E29" s="14" t="inlineStr">
        <is>
          <t>✏️ KETIK RUMUS JAWABAN TES DI BAWAH:</t>
        </is>
      </c>
      <c r="F29" s="14" t="inlineStr">
        <is>
          <t>📌 STATUS KOREKSI JAWABAN TES:</t>
        </is>
      </c>
      <c r="G29" s="5" t="n"/>
    </row>
    <row r="30" ht="26" customHeight="1">
      <c r="B30" s="19" t="inlineStr">
        <is>
          <t>Siti Aminah</t>
        </is>
      </c>
      <c r="C30" s="19" t="n">
        <v>5200000</v>
      </c>
      <c r="E30" s="28" t="n"/>
      <c r="F30" s="29">
        <f>IF(ISBLANK(E30), "⏳ Belum Diisi (Ketik Rumus di Sel Kuning E30)", IF(E30='99_KUNCI_JAWABAN'!F346, "✅ BENAR! JAWABAN TES TEPAT!", "❌ Belum Tepat (Cek Sheet Akhir: 99_KUNCI_JAWABAN)"))</f>
        <v/>
      </c>
      <c r="G30" s="5" t="n"/>
    </row>
    <row r="31">
      <c r="B31" s="19" t="inlineStr">
        <is>
          <t>Andi Pratama</t>
        </is>
      </c>
      <c r="C31" s="19" t="n">
        <v>4800000</v>
      </c>
    </row>
    <row r="32">
      <c r="B32" s="19" t="inlineStr">
        <is>
          <t>Rina Wijaya</t>
        </is>
      </c>
      <c r="C32" s="19" t="n">
        <v>6100000</v>
      </c>
    </row>
    <row r="35" ht="22" customHeight="1">
      <c r="B35" s="26" t="inlineStr">
        <is>
          <t>📝 SOAL TES #3: Kasus Logistik &amp; Stok Gudang Utama</t>
        </is>
      </c>
    </row>
    <row r="36" ht="30" customHeight="1">
      <c r="B36" s="14" t="inlineStr">
        <is>
          <t>Sampel Data</t>
        </is>
      </c>
      <c r="C36" s="14" t="inlineStr">
        <is>
          <t>Nilai Skor</t>
        </is>
      </c>
      <c r="E36" s="27" t="inlineStr">
        <is>
          <t>Persoalan Tes #3: Hitung nilai Kuartil ke-1 dari rentang data C37:C40 menggunakan fungsi QUARTILE.INC!</t>
        </is>
      </c>
    </row>
    <row r="37">
      <c r="B37" s="19" t="inlineStr">
        <is>
          <t>Gudang Blok A</t>
        </is>
      </c>
      <c r="C37" s="19" t="n">
        <v>240</v>
      </c>
      <c r="E37" s="14" t="inlineStr">
        <is>
          <t>✏️ KETIK RUMUS JAWABAN TES DI BAWAH:</t>
        </is>
      </c>
      <c r="F37" s="14" t="inlineStr">
        <is>
          <t>📌 STATUS KOREKSI JAWABAN TES:</t>
        </is>
      </c>
      <c r="G37" s="5" t="n"/>
    </row>
    <row r="38" ht="26" customHeight="1">
      <c r="B38" s="19" t="inlineStr">
        <is>
          <t>Gudang Blok B</t>
        </is>
      </c>
      <c r="C38" s="19" t="n">
        <v>380</v>
      </c>
      <c r="E38" s="28" t="n"/>
      <c r="F38" s="29">
        <f>IF(ISBLANK(E38), "⏳ Belum Diisi (Ketik Rumus di Sel Kuning E38)", IF(E38='99_KUNCI_JAWABAN'!F347, "✅ BENAR! JAWABAN TES TEPAT!", "❌ Belum Tepat (Cek Sheet Akhir: 99_KUNCI_JAWABAN)"))</f>
        <v/>
      </c>
      <c r="G38" s="5" t="n"/>
    </row>
    <row r="39">
      <c r="B39" s="19" t="inlineStr">
        <is>
          <t>Gudang Blok C</t>
        </is>
      </c>
      <c r="C39" s="19" t="n">
        <v>195</v>
      </c>
    </row>
    <row r="40">
      <c r="B40" s="19" t="inlineStr">
        <is>
          <t>Gudang Blok D</t>
        </is>
      </c>
      <c r="C40" s="19" t="n">
        <v>425</v>
      </c>
    </row>
    <row r="43" ht="22" customHeight="1">
      <c r="B43" s="26" t="inlineStr">
        <is>
          <t>📝 SOAL TES #4: Kasus Penjualan Retail &amp; Target Toko</t>
        </is>
      </c>
    </row>
    <row r="44" ht="30" customHeight="1">
      <c r="B44" s="14" t="inlineStr">
        <is>
          <t>Sampel Data</t>
        </is>
      </c>
      <c r="C44" s="14" t="inlineStr">
        <is>
          <t>Nilai Skor</t>
        </is>
      </c>
      <c r="E44" s="27" t="inlineStr">
        <is>
          <t>Persoalan Tes #4: Hitung nilai Kuartil ke-1 dari rentang data C45:C48 menggunakan fungsi QUARTILE.INC!</t>
        </is>
      </c>
    </row>
    <row r="45">
      <c r="B45" s="19" t="inlineStr">
        <is>
          <t>Toko Elektronik</t>
        </is>
      </c>
      <c r="C45" s="19" t="n">
        <v>85</v>
      </c>
      <c r="E45" s="14" t="inlineStr">
        <is>
          <t>✏️ KETIK RUMUS JAWABAN TES DI BAWAH:</t>
        </is>
      </c>
      <c r="F45" s="14" t="inlineStr">
        <is>
          <t>📌 STATUS KOREKSI JAWABAN TES:</t>
        </is>
      </c>
      <c r="G45" s="5" t="n"/>
    </row>
    <row r="46" ht="26" customHeight="1">
      <c r="B46" s="19" t="inlineStr">
        <is>
          <t>Toko Komputer</t>
        </is>
      </c>
      <c r="C46" s="19" t="n">
        <v>92</v>
      </c>
      <c r="E46" s="28" t="n"/>
      <c r="F46" s="29">
        <f>IF(ISBLANK(E46), "⏳ Belum Diisi (Ketik Rumus di Sel Kuning E46)", IF(E46='99_KUNCI_JAWABAN'!F348, "✅ BENAR! JAWABAN TES TEPAT!", "❌ Belum Tepat (Cek Sheet Akhir: 99_KUNCI_JAWABAN)"))</f>
        <v/>
      </c>
      <c r="G46" s="5" t="n"/>
    </row>
    <row r="47">
      <c r="B47" s="19" t="inlineStr">
        <is>
          <t>Toko Aksesoris</t>
        </is>
      </c>
      <c r="C47" s="19" t="n">
        <v>78</v>
      </c>
    </row>
    <row r="48">
      <c r="B48" s="19" t="inlineStr">
        <is>
          <t>Toko Servis</t>
        </is>
      </c>
      <c r="C48" s="19" t="n">
        <v>95</v>
      </c>
    </row>
    <row r="51" ht="22" customHeight="1">
      <c r="B51" s="26" t="inlineStr">
        <is>
          <t>📝 SOAL TES #5: Kasus Akademik Sekolah &amp; Layanan Publik</t>
        </is>
      </c>
    </row>
    <row r="52" ht="30" customHeight="1">
      <c r="B52" s="14" t="inlineStr">
        <is>
          <t>Sampel Data</t>
        </is>
      </c>
      <c r="C52" s="14" t="inlineStr">
        <is>
          <t>Nilai Skor</t>
        </is>
      </c>
      <c r="E52" s="27" t="inlineStr">
        <is>
          <t>Persoalan Tes #5: Hitung nilai Kuartil ke-1 dari rentang data C53:C56 menggunakan fungsi QUARTILE.INC!</t>
        </is>
      </c>
    </row>
    <row r="53">
      <c r="B53" s="19" t="inlineStr">
        <is>
          <t>Kelas 10 IPA</t>
        </is>
      </c>
      <c r="C53" s="19" t="n">
        <v>82</v>
      </c>
      <c r="E53" s="14" t="inlineStr">
        <is>
          <t>✏️ KETIK RUMUS JAWABAN TES DI BAWAH:</t>
        </is>
      </c>
      <c r="F53" s="14" t="inlineStr">
        <is>
          <t>📌 STATUS KOREKSI JAWABAN TES:</t>
        </is>
      </c>
      <c r="G53" s="5" t="n"/>
    </row>
    <row r="54" ht="26" customHeight="1">
      <c r="B54" s="19" t="inlineStr">
        <is>
          <t>Kelas 11 IPA</t>
        </is>
      </c>
      <c r="C54" s="19" t="n">
        <v>88</v>
      </c>
      <c r="E54" s="28" t="n"/>
      <c r="F54" s="29">
        <f>IF(ISBLANK(E54), "⏳ Belum Diisi (Ketik Rumus di Sel Kuning E54)", IF(E54='99_KUNCI_JAWABAN'!F349, "✅ BENAR! JAWABAN TES TEPAT!", "❌ Belum Tepat (Cek Sheet Akhir: 99_KUNCI_JAWABAN)"))</f>
        <v/>
      </c>
      <c r="G54" s="5" t="n"/>
    </row>
    <row r="55">
      <c r="B55" s="19" t="inlineStr">
        <is>
          <t>Kelas 12 IPA</t>
        </is>
      </c>
      <c r="C55" s="19" t="n">
        <v>91</v>
      </c>
    </row>
    <row r="56">
      <c r="B56" s="19" t="inlineStr">
        <is>
          <t>Kelas Unggulan</t>
        </is>
      </c>
      <c r="C56" s="19" t="n">
        <v>79</v>
      </c>
    </row>
  </sheetData>
  <mergeCells count="33">
    <mergeCell ref="E10:G10"/>
    <mergeCell ref="F11:G11"/>
    <mergeCell ref="E28:G28"/>
    <mergeCell ref="F29:G29"/>
    <mergeCell ref="C6:G6"/>
    <mergeCell ref="F54:G54"/>
    <mergeCell ref="B17:G17"/>
    <mergeCell ref="B1:G1"/>
    <mergeCell ref="C5:G5"/>
    <mergeCell ref="B19:G19"/>
    <mergeCell ref="F21:G21"/>
    <mergeCell ref="F12:G12"/>
    <mergeCell ref="F30:G30"/>
    <mergeCell ref="E36:G36"/>
    <mergeCell ref="B9:G9"/>
    <mergeCell ref="F45:G45"/>
    <mergeCell ref="B51:G51"/>
    <mergeCell ref="F38:G38"/>
    <mergeCell ref="B35:G35"/>
    <mergeCell ref="B4:G4"/>
    <mergeCell ref="F46:G46"/>
    <mergeCell ref="F22:G22"/>
    <mergeCell ref="B2:E2"/>
    <mergeCell ref="F13:G13"/>
    <mergeCell ref="B16:G16"/>
    <mergeCell ref="F37:G37"/>
    <mergeCell ref="C7:G7"/>
    <mergeCell ref="E52:G52"/>
    <mergeCell ref="B27:G27"/>
    <mergeCell ref="B43:G43"/>
    <mergeCell ref="E44:G44"/>
    <mergeCell ref="E20:G20"/>
    <mergeCell ref="F53:G53"/>
  </mergeCells>
  <hyperlinks>
    <hyperlink xmlns:r="http://schemas.openxmlformats.org/officeDocument/2006/relationships" ref="F2" r:id="rId1"/>
    <hyperlink xmlns:r="http://schemas.openxmlformats.org/officeDocument/2006/relationships" ref="G2" r:id="rId2"/>
  </hyperlinks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B1:G56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22" customWidth="1" min="3" max="3"/>
    <col width="4" customWidth="1" min="4" max="4"/>
    <col width="34" customWidth="1" min="5" max="5"/>
    <col width="44" customWidth="1" min="6" max="6"/>
    <col width="28" customWidth="1" min="7" max="7"/>
  </cols>
  <sheetData>
    <row r="1" ht="30" customHeight="1">
      <c r="B1" s="10" t="inlineStr">
        <is>
          <t>📊 #070 — RUMUS EXCEL: RANK   |   Kategori: 8. Statistik &amp; Analisis Data</t>
        </is>
      </c>
    </row>
    <row r="2" ht="22" customHeight="1">
      <c r="B2" s="11" t="inlineStr">
        <is>
          <t>1 Rumus = 1 Contoh Soal + Jawaban Benar &amp; 5 Soal Tes Mandiri (Kunci Jawaban Ada di Sheet Paling Terakhir)</t>
        </is>
      </c>
      <c r="F2" s="12" t="inlineStr">
        <is>
          <t>⬅️ Ke Daftar Isi (00_DAFTAR_ISI)</t>
        </is>
      </c>
      <c r="G2" s="3" t="inlineStr">
        <is>
          <t>🔑 Ke Kunci Jawaban (Sheet Akhir)</t>
        </is>
      </c>
    </row>
    <row r="4" ht="24" customHeight="1">
      <c r="B4" s="13" t="inlineStr">
        <is>
          <t>1️⃣ IDENTITAS RUMUS &amp; FUNGSINYA BUAT APA? (RANK)</t>
        </is>
      </c>
    </row>
    <row r="5" ht="21" customHeight="1">
      <c r="B5" s="14" t="inlineStr">
        <is>
          <t>Nama Rumus Excel</t>
        </is>
      </c>
      <c r="C5" s="15">
        <f>RANK(...)</f>
        <v/>
      </c>
      <c r="D5" s="5" t="n"/>
      <c r="E5" s="5" t="n"/>
      <c r="F5" s="5" t="n"/>
      <c r="G5" s="5" t="n"/>
    </row>
    <row r="6" ht="21" customHeight="1">
      <c r="B6" s="14" t="inlineStr">
        <is>
          <t>Sintaks / Pola Umum</t>
        </is>
      </c>
      <c r="C6" s="15">
        <f>RANK(angka, range_referensi)</f>
        <v/>
      </c>
      <c r="D6" s="5" t="n"/>
      <c r="E6" s="5" t="n"/>
      <c r="F6" s="5" t="n"/>
      <c r="G6" s="5" t="n"/>
    </row>
    <row r="7" ht="26" customHeight="1">
      <c r="B7" s="14" t="inlineStr">
        <is>
          <t>👶 Fungsinya Buat Apa?</t>
        </is>
      </c>
      <c r="C7" s="16" t="inlineStr">
        <is>
          <t>Menentukan peringkat juara ke-berapa suatu angka dibandingkan seluruh daftar.</t>
        </is>
      </c>
      <c r="D7" s="5" t="n"/>
      <c r="E7" s="5" t="n"/>
      <c r="F7" s="5" t="n"/>
      <c r="G7" s="5" t="n"/>
    </row>
    <row r="9" ht="24" customHeight="1">
      <c r="B9" s="17" t="inlineStr">
        <is>
          <t>2️⃣ 1 CONTOH SOAL &amp; CONTOH JAWABAN BENAR (PELAJARI POLA RUMUS RANK DI SINI)</t>
        </is>
      </c>
    </row>
    <row r="10">
      <c r="B10" s="18" t="inlineStr">
        <is>
          <t>Nama Cabang</t>
        </is>
      </c>
      <c r="C10" s="18" t="inlineStr">
        <is>
          <t>Omzet Cabang</t>
        </is>
      </c>
      <c r="E10" s="18" t="inlineStr">
        <is>
          <t>✅ 1 CONTOH SOAL BESERTA CONTOH RUMUS &amp; HASIL JAWABAN BENAR:</t>
        </is>
      </c>
      <c r="F10" s="5" t="n"/>
      <c r="G10" s="5" t="n"/>
    </row>
    <row r="11" ht="28" customHeight="1">
      <c r="B11" s="19" t="inlineStr">
        <is>
          <t>Simulasi Unit A</t>
        </is>
      </c>
      <c r="C11" s="19" t="n">
        <v>500000</v>
      </c>
      <c r="E11" s="20" t="inlineStr">
        <is>
          <t>Contoh Soal:</t>
        </is>
      </c>
      <c r="F11" s="21" t="inlineStr">
        <is>
          <t>Tentukan peringkat nilai sel C11 di dalam daftar referensi C11:C14 menggunakan fungsi RANK!</t>
        </is>
      </c>
      <c r="G11" s="5" t="n"/>
    </row>
    <row r="12">
      <c r="B12" s="19" t="inlineStr">
        <is>
          <t>Simulasi Unit B</t>
        </is>
      </c>
      <c r="C12" s="19" t="n">
        <v>750000</v>
      </c>
      <c r="E12" s="20" t="inlineStr">
        <is>
          <t>Contoh Rumus Benar:</t>
        </is>
      </c>
      <c r="F12" s="22" t="inlineStr">
        <is>
          <t>'=RANK(C11, C11:C14)</t>
        </is>
      </c>
      <c r="G12" s="5" t="n"/>
    </row>
    <row r="13">
      <c r="B13" s="19" t="inlineStr">
        <is>
          <t>Simulasi Unit C</t>
        </is>
      </c>
      <c r="C13" s="19" t="n">
        <v>600000</v>
      </c>
      <c r="E13" s="20" t="inlineStr">
        <is>
          <t>Contoh Hasil Benar:</t>
        </is>
      </c>
      <c r="F13" s="23">
        <f>RANK(C11, C11:C14)</f>
        <v/>
      </c>
      <c r="G13" s="5" t="n"/>
    </row>
    <row r="14">
      <c r="B14" s="19" t="inlineStr">
        <is>
          <t>Simulasi Unit D</t>
        </is>
      </c>
      <c r="C14" s="19" t="n">
        <v>950000</v>
      </c>
    </row>
    <row r="16" ht="26" customHeight="1">
      <c r="B16" s="24" t="inlineStr">
        <is>
          <t>3️⃣ 5 SOAL TES DUNIA NYATA — KERJAKAN DI KOTAK KUNING (TANPA KUNCI RUMUS / HASIL DI SINI!)</t>
        </is>
      </c>
    </row>
    <row r="17" ht="20" customHeight="1">
      <c r="B17" s="25" t="inlineStr">
        <is>
          <t>📌 Catatan Tes: Soal Tes #1 s/d #5 di bawah ini tidak menampilkan kunci rumus maupun hasil. Kunci jawaban lengkap tersedia di sheet paling terakhir (99_KUNCI_JAWABAN).</t>
        </is>
      </c>
    </row>
    <row r="19" ht="22" customHeight="1">
      <c r="B19" s="26" t="inlineStr">
        <is>
          <t>📝 SOAL TES #1: Kasus Keuangan &amp; Akuntansi Kantor</t>
        </is>
      </c>
    </row>
    <row r="20" ht="30" customHeight="1">
      <c r="B20" s="14" t="inlineStr">
        <is>
          <t>Nama Cabang</t>
        </is>
      </c>
      <c r="C20" s="14" t="inlineStr">
        <is>
          <t>Omzet Cabang</t>
        </is>
      </c>
      <c r="E20" s="27" t="inlineStr">
        <is>
          <t>Persoalan Tes #1: Tentukan peringkat nilai sel C21 di dalam daftar referensi C21:C24 menggunakan fungsi RANK!</t>
        </is>
      </c>
    </row>
    <row r="21">
      <c r="B21" s="19" t="inlineStr">
        <is>
          <t>Cabang Jakarta</t>
        </is>
      </c>
      <c r="C21" s="19" t="n">
        <v>1250000</v>
      </c>
      <c r="E21" s="14" t="inlineStr">
        <is>
          <t>✏️ KETIK RUMUS JAWABAN TES DI BAWAH:</t>
        </is>
      </c>
      <c r="F21" s="14" t="inlineStr">
        <is>
          <t>📌 STATUS KOREKSI JAWABAN TES:</t>
        </is>
      </c>
      <c r="G21" s="5" t="n"/>
    </row>
    <row r="22" ht="26" customHeight="1">
      <c r="B22" s="19" t="inlineStr">
        <is>
          <t>Cabang Bandung</t>
        </is>
      </c>
      <c r="C22" s="19" t="n">
        <v>1850000</v>
      </c>
      <c r="E22" s="28" t="n"/>
      <c r="F22" s="29">
        <f>IF(ISBLANK(E22), "⏳ Belum Diisi (Ketik Rumus di Sel Kuning E22)", IF(E22='99_KUNCI_JAWABAN'!F350, "✅ BENAR! JAWABAN TES TEPAT!", "❌ Belum Tepat (Cek Sheet Akhir: 99_KUNCI_JAWABAN)"))</f>
        <v/>
      </c>
      <c r="G22" s="5" t="n"/>
    </row>
    <row r="23">
      <c r="B23" s="19" t="inlineStr">
        <is>
          <t>Cabang Surabaya</t>
        </is>
      </c>
      <c r="C23" s="19" t="n">
        <v>2100000</v>
      </c>
    </row>
    <row r="24">
      <c r="B24" s="19" t="inlineStr">
        <is>
          <t>Cabang Medan</t>
        </is>
      </c>
      <c r="C24" s="19" t="n">
        <v>1600000</v>
      </c>
    </row>
    <row r="27" ht="22" customHeight="1">
      <c r="B27" s="26" t="inlineStr">
        <is>
          <t>📝 SOAL TES #2: Kasus HRD, Gaji &amp; Lembur Karyawan</t>
        </is>
      </c>
    </row>
    <row r="28" ht="30" customHeight="1">
      <c r="B28" s="14" t="inlineStr">
        <is>
          <t>Nama Cabang</t>
        </is>
      </c>
      <c r="C28" s="14" t="inlineStr">
        <is>
          <t>Omzet Cabang</t>
        </is>
      </c>
      <c r="E28" s="27" t="inlineStr">
        <is>
          <t>Persoalan Tes #2: Tentukan peringkat nilai sel C29 di dalam daftar referensi C29:C32 menggunakan fungsi RANK!</t>
        </is>
      </c>
    </row>
    <row r="29">
      <c r="B29" s="19" t="inlineStr">
        <is>
          <t>Budi Santoso</t>
        </is>
      </c>
      <c r="C29" s="19" t="n">
        <v>4500000</v>
      </c>
      <c r="E29" s="14" t="inlineStr">
        <is>
          <t>✏️ KETIK RUMUS JAWABAN TES DI BAWAH:</t>
        </is>
      </c>
      <c r="F29" s="14" t="inlineStr">
        <is>
          <t>📌 STATUS KOREKSI JAWABAN TES:</t>
        </is>
      </c>
      <c r="G29" s="5" t="n"/>
    </row>
    <row r="30" ht="26" customHeight="1">
      <c r="B30" s="19" t="inlineStr">
        <is>
          <t>Siti Aminah</t>
        </is>
      </c>
      <c r="C30" s="19" t="n">
        <v>5200000</v>
      </c>
      <c r="E30" s="28" t="n"/>
      <c r="F30" s="29">
        <f>IF(ISBLANK(E30), "⏳ Belum Diisi (Ketik Rumus di Sel Kuning E30)", IF(E30='99_KUNCI_JAWABAN'!F351, "✅ BENAR! JAWABAN TES TEPAT!", "❌ Belum Tepat (Cek Sheet Akhir: 99_KUNCI_JAWABAN)"))</f>
        <v/>
      </c>
      <c r="G30" s="5" t="n"/>
    </row>
    <row r="31">
      <c r="B31" s="19" t="inlineStr">
        <is>
          <t>Andi Pratama</t>
        </is>
      </c>
      <c r="C31" s="19" t="n">
        <v>4800000</v>
      </c>
    </row>
    <row r="32">
      <c r="B32" s="19" t="inlineStr">
        <is>
          <t>Rina Wijaya</t>
        </is>
      </c>
      <c r="C32" s="19" t="n">
        <v>6100000</v>
      </c>
    </row>
    <row r="35" ht="22" customHeight="1">
      <c r="B35" s="26" t="inlineStr">
        <is>
          <t>📝 SOAL TES #3: Kasus Logistik &amp; Stok Gudang Utama</t>
        </is>
      </c>
    </row>
    <row r="36" ht="30" customHeight="1">
      <c r="B36" s="14" t="inlineStr">
        <is>
          <t>Nama Cabang</t>
        </is>
      </c>
      <c r="C36" s="14" t="inlineStr">
        <is>
          <t>Omzet Cabang</t>
        </is>
      </c>
      <c r="E36" s="27" t="inlineStr">
        <is>
          <t>Persoalan Tes #3: Tentukan peringkat nilai sel C37 di dalam daftar referensi C37:C40 menggunakan fungsi RANK!</t>
        </is>
      </c>
    </row>
    <row r="37">
      <c r="B37" s="19" t="inlineStr">
        <is>
          <t>Gudang Blok A</t>
        </is>
      </c>
      <c r="C37" s="19" t="n">
        <v>240</v>
      </c>
      <c r="E37" s="14" t="inlineStr">
        <is>
          <t>✏️ KETIK RUMUS JAWABAN TES DI BAWAH:</t>
        </is>
      </c>
      <c r="F37" s="14" t="inlineStr">
        <is>
          <t>📌 STATUS KOREKSI JAWABAN TES:</t>
        </is>
      </c>
      <c r="G37" s="5" t="n"/>
    </row>
    <row r="38" ht="26" customHeight="1">
      <c r="B38" s="19" t="inlineStr">
        <is>
          <t>Gudang Blok B</t>
        </is>
      </c>
      <c r="C38" s="19" t="n">
        <v>380</v>
      </c>
      <c r="E38" s="28" t="n"/>
      <c r="F38" s="29">
        <f>IF(ISBLANK(E38), "⏳ Belum Diisi (Ketik Rumus di Sel Kuning E38)", IF(E38='99_KUNCI_JAWABAN'!F352, "✅ BENAR! JAWABAN TES TEPAT!", "❌ Belum Tepat (Cek Sheet Akhir: 99_KUNCI_JAWABAN)"))</f>
        <v/>
      </c>
      <c r="G38" s="5" t="n"/>
    </row>
    <row r="39">
      <c r="B39" s="19" t="inlineStr">
        <is>
          <t>Gudang Blok C</t>
        </is>
      </c>
      <c r="C39" s="19" t="n">
        <v>195</v>
      </c>
    </row>
    <row r="40">
      <c r="B40" s="19" t="inlineStr">
        <is>
          <t>Gudang Blok D</t>
        </is>
      </c>
      <c r="C40" s="19" t="n">
        <v>425</v>
      </c>
    </row>
    <row r="43" ht="22" customHeight="1">
      <c r="B43" s="26" t="inlineStr">
        <is>
          <t>📝 SOAL TES #4: Kasus Penjualan Retail &amp; Target Toko</t>
        </is>
      </c>
    </row>
    <row r="44" ht="30" customHeight="1">
      <c r="B44" s="14" t="inlineStr">
        <is>
          <t>Nama Cabang</t>
        </is>
      </c>
      <c r="C44" s="14" t="inlineStr">
        <is>
          <t>Omzet Cabang</t>
        </is>
      </c>
      <c r="E44" s="27" t="inlineStr">
        <is>
          <t>Persoalan Tes #4: Tentukan peringkat nilai sel C45 di dalam daftar referensi C45:C48 menggunakan fungsi RANK!</t>
        </is>
      </c>
    </row>
    <row r="45">
      <c r="B45" s="19" t="inlineStr">
        <is>
          <t>Toko Elektronik</t>
        </is>
      </c>
      <c r="C45" s="19" t="n">
        <v>85</v>
      </c>
      <c r="E45" s="14" t="inlineStr">
        <is>
          <t>✏️ KETIK RUMUS JAWABAN TES DI BAWAH:</t>
        </is>
      </c>
      <c r="F45" s="14" t="inlineStr">
        <is>
          <t>📌 STATUS KOREKSI JAWABAN TES:</t>
        </is>
      </c>
      <c r="G45" s="5" t="n"/>
    </row>
    <row r="46" ht="26" customHeight="1">
      <c r="B46" s="19" t="inlineStr">
        <is>
          <t>Toko Komputer</t>
        </is>
      </c>
      <c r="C46" s="19" t="n">
        <v>92</v>
      </c>
      <c r="E46" s="28" t="n"/>
      <c r="F46" s="29">
        <f>IF(ISBLANK(E46), "⏳ Belum Diisi (Ketik Rumus di Sel Kuning E46)", IF(E46='99_KUNCI_JAWABAN'!F353, "✅ BENAR! JAWABAN TES TEPAT!", "❌ Belum Tepat (Cek Sheet Akhir: 99_KUNCI_JAWABAN)"))</f>
        <v/>
      </c>
      <c r="G46" s="5" t="n"/>
    </row>
    <row r="47">
      <c r="B47" s="19" t="inlineStr">
        <is>
          <t>Toko Aksesoris</t>
        </is>
      </c>
      <c r="C47" s="19" t="n">
        <v>78</v>
      </c>
    </row>
    <row r="48">
      <c r="B48" s="19" t="inlineStr">
        <is>
          <t>Toko Servis</t>
        </is>
      </c>
      <c r="C48" s="19" t="n">
        <v>95</v>
      </c>
    </row>
    <row r="51" ht="22" customHeight="1">
      <c r="B51" s="26" t="inlineStr">
        <is>
          <t>📝 SOAL TES #5: Kasus Akademik Sekolah &amp; Layanan Publik</t>
        </is>
      </c>
    </row>
    <row r="52" ht="30" customHeight="1">
      <c r="B52" s="14" t="inlineStr">
        <is>
          <t>Nama Cabang</t>
        </is>
      </c>
      <c r="C52" s="14" t="inlineStr">
        <is>
          <t>Omzet Cabang</t>
        </is>
      </c>
      <c r="E52" s="27" t="inlineStr">
        <is>
          <t>Persoalan Tes #5: Tentukan peringkat nilai sel C53 di dalam daftar referensi C53:C56 menggunakan fungsi RANK!</t>
        </is>
      </c>
    </row>
    <row r="53">
      <c r="B53" s="19" t="inlineStr">
        <is>
          <t>Kelas 10 IPA</t>
        </is>
      </c>
      <c r="C53" s="19" t="n">
        <v>82</v>
      </c>
      <c r="E53" s="14" t="inlineStr">
        <is>
          <t>✏️ KETIK RUMUS JAWABAN TES DI BAWAH:</t>
        </is>
      </c>
      <c r="F53" s="14" t="inlineStr">
        <is>
          <t>📌 STATUS KOREKSI JAWABAN TES:</t>
        </is>
      </c>
      <c r="G53" s="5" t="n"/>
    </row>
    <row r="54" ht="26" customHeight="1">
      <c r="B54" s="19" t="inlineStr">
        <is>
          <t>Kelas 11 IPA</t>
        </is>
      </c>
      <c r="C54" s="19" t="n">
        <v>88</v>
      </c>
      <c r="E54" s="28" t="n"/>
      <c r="F54" s="29">
        <f>IF(ISBLANK(E54), "⏳ Belum Diisi (Ketik Rumus di Sel Kuning E54)", IF(E54='99_KUNCI_JAWABAN'!F354, "✅ BENAR! JAWABAN TES TEPAT!", "❌ Belum Tepat (Cek Sheet Akhir: 99_KUNCI_JAWABAN)"))</f>
        <v/>
      </c>
      <c r="G54" s="5" t="n"/>
    </row>
    <row r="55">
      <c r="B55" s="19" t="inlineStr">
        <is>
          <t>Kelas 12 IPA</t>
        </is>
      </c>
      <c r="C55" s="19" t="n">
        <v>91</v>
      </c>
    </row>
    <row r="56">
      <c r="B56" s="19" t="inlineStr">
        <is>
          <t>Kelas Unggulan</t>
        </is>
      </c>
      <c r="C56" s="19" t="n">
        <v>79</v>
      </c>
    </row>
  </sheetData>
  <mergeCells count="33">
    <mergeCell ref="E10:G10"/>
    <mergeCell ref="F11:G11"/>
    <mergeCell ref="E28:G28"/>
    <mergeCell ref="F29:G29"/>
    <mergeCell ref="C6:G6"/>
    <mergeCell ref="F54:G54"/>
    <mergeCell ref="B17:G17"/>
    <mergeCell ref="B1:G1"/>
    <mergeCell ref="C5:G5"/>
    <mergeCell ref="B19:G19"/>
    <mergeCell ref="F21:G21"/>
    <mergeCell ref="F12:G12"/>
    <mergeCell ref="F30:G30"/>
    <mergeCell ref="E36:G36"/>
    <mergeCell ref="B9:G9"/>
    <mergeCell ref="F45:G45"/>
    <mergeCell ref="B51:G51"/>
    <mergeCell ref="F38:G38"/>
    <mergeCell ref="B35:G35"/>
    <mergeCell ref="B4:G4"/>
    <mergeCell ref="F46:G46"/>
    <mergeCell ref="F22:G22"/>
    <mergeCell ref="B2:E2"/>
    <mergeCell ref="F13:G13"/>
    <mergeCell ref="B16:G16"/>
    <mergeCell ref="F37:G37"/>
    <mergeCell ref="C7:G7"/>
    <mergeCell ref="E52:G52"/>
    <mergeCell ref="B27:G27"/>
    <mergeCell ref="B43:G43"/>
    <mergeCell ref="E44:G44"/>
    <mergeCell ref="E20:G20"/>
    <mergeCell ref="F53:G53"/>
  </mergeCells>
  <hyperlinks>
    <hyperlink xmlns:r="http://schemas.openxmlformats.org/officeDocument/2006/relationships" ref="F2" r:id="rId1"/>
    <hyperlink xmlns:r="http://schemas.openxmlformats.org/officeDocument/2006/relationships" ref="G2" r:id="rId2"/>
  </hyperlinks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B1:G56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22" customWidth="1" min="3" max="3"/>
    <col width="4" customWidth="1" min="4" max="4"/>
    <col width="34" customWidth="1" min="5" max="5"/>
    <col width="44" customWidth="1" min="6" max="6"/>
    <col width="28" customWidth="1" min="7" max="7"/>
  </cols>
  <sheetData>
    <row r="1" ht="30" customHeight="1">
      <c r="B1" s="10" t="inlineStr">
        <is>
          <t>📊 #071 — RUMUS EXCEL: RSQ   |   Kategori: 8. Statistik &amp; Analisis Data</t>
        </is>
      </c>
    </row>
    <row r="2" ht="22" customHeight="1">
      <c r="B2" s="11" t="inlineStr">
        <is>
          <t>1 Rumus = 1 Contoh Soal + Jawaban Benar &amp; 5 Soal Tes Mandiri (Kunci Jawaban Ada di Sheet Paling Terakhir)</t>
        </is>
      </c>
      <c r="F2" s="12" t="inlineStr">
        <is>
          <t>⬅️ Ke Daftar Isi (00_DAFTAR_ISI)</t>
        </is>
      </c>
      <c r="G2" s="3" t="inlineStr">
        <is>
          <t>🔑 Ke Kunci Jawaban (Sheet Akhir)</t>
        </is>
      </c>
    </row>
    <row r="4" ht="24" customHeight="1">
      <c r="B4" s="13" t="inlineStr">
        <is>
          <t>1️⃣ IDENTITAS RUMUS &amp; FUNGSINYA BUAT APA? (RSQ)</t>
        </is>
      </c>
    </row>
    <row r="5" ht="21" customHeight="1">
      <c r="B5" s="14" t="inlineStr">
        <is>
          <t>Nama Rumus Excel</t>
        </is>
      </c>
      <c r="C5" s="15">
        <f>RSQ(...)</f>
        <v/>
      </c>
      <c r="D5" s="5" t="n"/>
      <c r="E5" s="5" t="n"/>
      <c r="F5" s="5" t="n"/>
      <c r="G5" s="5" t="n"/>
    </row>
    <row r="6" ht="21" customHeight="1">
      <c r="B6" s="14" t="inlineStr">
        <is>
          <t>Sintaks / Pola Umum</t>
        </is>
      </c>
      <c r="C6" s="15">
        <f>RSQ(range_y, range_x)</f>
        <v/>
      </c>
      <c r="D6" s="5" t="n"/>
      <c r="E6" s="5" t="n"/>
      <c r="F6" s="5" t="n"/>
      <c r="G6" s="5" t="n"/>
    </row>
    <row r="7" ht="26" customHeight="1">
      <c r="B7" s="14" t="inlineStr">
        <is>
          <t>👶 Fungsinya Buat Apa?</t>
        </is>
      </c>
      <c r="C7" s="16" t="inlineStr">
        <is>
          <t>Menghitung nilai R-Squared (Koefisien Determinasi) regresi linear.</t>
        </is>
      </c>
      <c r="D7" s="5" t="n"/>
      <c r="E7" s="5" t="n"/>
      <c r="F7" s="5" t="n"/>
      <c r="G7" s="5" t="n"/>
    </row>
    <row r="9" ht="24" customHeight="1">
      <c r="B9" s="17" t="inlineStr">
        <is>
          <t>2️⃣ 1 CONTOH SOAL &amp; CONTOH JAWABAN BENAR (PELAJARI POLA RUMUS RSQ DI SINI)</t>
        </is>
      </c>
    </row>
    <row r="10">
      <c r="B10" s="18" t="inlineStr">
        <is>
          <t>Variabel X (Biaya)</t>
        </is>
      </c>
      <c r="C10" s="18" t="inlineStr">
        <is>
          <t>Variabel Y (Hasil)</t>
        </is>
      </c>
      <c r="E10" s="18" t="inlineStr">
        <is>
          <t>✅ 1 CONTOH SOAL BESERTA CONTOH RUMUS &amp; HASIL JAWABAN BENAR:</t>
        </is>
      </c>
      <c r="F10" s="5" t="n"/>
      <c r="G10" s="5" t="n"/>
    </row>
    <row r="11" ht="28" customHeight="1">
      <c r="B11" s="19" t="n">
        <v>60</v>
      </c>
      <c r="C11" s="19" t="n">
        <v>90</v>
      </c>
      <c r="E11" s="20" t="inlineStr">
        <is>
          <t>Contoh Soal:</t>
        </is>
      </c>
      <c r="F11" s="21" t="inlineStr">
        <is>
          <t>Analisis regresi linear dengan menempatkan rentang hasil Y (C11:C14) dan rentang variabel X (B11:B14) menggunakan fungsi RSQ!</t>
        </is>
      </c>
      <c r="G11" s="5" t="n"/>
    </row>
    <row r="12">
      <c r="B12" s="19" t="n">
        <v>120</v>
      </c>
      <c r="C12" s="19" t="n">
        <v>168</v>
      </c>
      <c r="E12" s="20" t="inlineStr">
        <is>
          <t>Contoh Rumus Benar:</t>
        </is>
      </c>
      <c r="F12" s="22" t="inlineStr">
        <is>
          <t>'=RSQ(C11:C14, B11:B14)</t>
        </is>
      </c>
      <c r="G12" s="5" t="n"/>
    </row>
    <row r="13">
      <c r="B13" s="19" t="n">
        <v>210</v>
      </c>
      <c r="C13" s="19" t="n">
        <v>240</v>
      </c>
      <c r="E13" s="20" t="inlineStr">
        <is>
          <t>Contoh Hasil Benar:</t>
        </is>
      </c>
      <c r="F13" s="23">
        <f>RSQ(C11:C14, B11:B14)</f>
        <v/>
      </c>
      <c r="G13" s="5" t="n"/>
    </row>
    <row r="14">
      <c r="B14" s="19" t="n">
        <v>300</v>
      </c>
      <c r="C14" s="19" t="n">
        <v>348</v>
      </c>
    </row>
    <row r="16" ht="26" customHeight="1">
      <c r="B16" s="24" t="inlineStr">
        <is>
          <t>3️⃣ 5 SOAL TES DUNIA NYATA — KERJAKAN DI KOTAK KUNING (TANPA KUNCI RUMUS / HASIL DI SINI!)</t>
        </is>
      </c>
    </row>
    <row r="17" ht="20" customHeight="1">
      <c r="B17" s="25" t="inlineStr">
        <is>
          <t>📌 Catatan Tes: Soal Tes #1 s/d #5 di bawah ini tidak menampilkan kunci rumus maupun hasil. Kunci jawaban lengkap tersedia di sheet paling terakhir (99_KUNCI_JAWABAN).</t>
        </is>
      </c>
    </row>
    <row r="19" ht="22" customHeight="1">
      <c r="B19" s="26" t="inlineStr">
        <is>
          <t>📝 SOAL TES #1: Kasus Keuangan &amp; Akuntansi Kantor</t>
        </is>
      </c>
    </row>
    <row r="20" ht="30" customHeight="1">
      <c r="B20" s="14" t="inlineStr">
        <is>
          <t>Variabel X (Biaya)</t>
        </is>
      </c>
      <c r="C20" s="14" t="inlineStr">
        <is>
          <t>Variabel Y (Hasil)</t>
        </is>
      </c>
      <c r="E20" s="27" t="inlineStr">
        <is>
          <t>Persoalan Tes #1: Analisis regresi linear dengan menempatkan rentang hasil Y (C21:C24) dan rentang variabel X (B21:B24) menggunakan fungsi RSQ!</t>
        </is>
      </c>
    </row>
    <row r="21">
      <c r="B21" s="19" t="n">
        <v>10</v>
      </c>
      <c r="C21" s="19" t="n">
        <v>15</v>
      </c>
      <c r="E21" s="14" t="inlineStr">
        <is>
          <t>✏️ KETIK RUMUS JAWABAN TES DI BAWAH:</t>
        </is>
      </c>
      <c r="F21" s="14" t="inlineStr">
        <is>
          <t>📌 STATUS KOREKSI JAWABAN TES:</t>
        </is>
      </c>
      <c r="G21" s="5" t="n"/>
    </row>
    <row r="22" ht="26" customHeight="1">
      <c r="B22" s="19" t="n">
        <v>20</v>
      </c>
      <c r="C22" s="19" t="n">
        <v>28</v>
      </c>
      <c r="E22" s="28" t="n"/>
      <c r="F22" s="29">
        <f>IF(ISBLANK(E22), "⏳ Belum Diisi (Ketik Rumus di Sel Kuning E22)", IF(E22='99_KUNCI_JAWABAN'!F355, "✅ BENAR! JAWABAN TES TEPAT!", "❌ Belum Tepat (Cek Sheet Akhir: 99_KUNCI_JAWABAN)"))</f>
        <v/>
      </c>
      <c r="G22" s="5" t="n"/>
    </row>
    <row r="23">
      <c r="B23" s="19" t="n">
        <v>35</v>
      </c>
      <c r="C23" s="19" t="n">
        <v>40</v>
      </c>
    </row>
    <row r="24">
      <c r="B24" s="19" t="n">
        <v>50</v>
      </c>
      <c r="C24" s="19" t="n">
        <v>58</v>
      </c>
    </row>
    <row r="27" ht="22" customHeight="1">
      <c r="B27" s="26" t="inlineStr">
        <is>
          <t>📝 SOAL TES #2: Kasus HRD, Gaji &amp; Lembur Karyawan</t>
        </is>
      </c>
    </row>
    <row r="28" ht="30" customHeight="1">
      <c r="B28" s="14" t="inlineStr">
        <is>
          <t>Variabel X (Biaya)</t>
        </is>
      </c>
      <c r="C28" s="14" t="inlineStr">
        <is>
          <t>Variabel Y (Hasil)</t>
        </is>
      </c>
      <c r="E28" s="27" t="inlineStr">
        <is>
          <t>Persoalan Tes #2: Analisis regresi linear dengan menempatkan rentang hasil Y (C29:C32) dan rentang variabel X (B29:B32) menggunakan fungsi RSQ!</t>
        </is>
      </c>
    </row>
    <row r="29">
      <c r="B29" s="19" t="n">
        <v>20</v>
      </c>
      <c r="C29" s="19" t="n">
        <v>30</v>
      </c>
      <c r="E29" s="14" t="inlineStr">
        <is>
          <t>✏️ KETIK RUMUS JAWABAN TES DI BAWAH:</t>
        </is>
      </c>
      <c r="F29" s="14" t="inlineStr">
        <is>
          <t>📌 STATUS KOREKSI JAWABAN TES:</t>
        </is>
      </c>
      <c r="G29" s="5" t="n"/>
    </row>
    <row r="30" ht="26" customHeight="1">
      <c r="B30" s="19" t="n">
        <v>40</v>
      </c>
      <c r="C30" s="19" t="n">
        <v>56</v>
      </c>
      <c r="E30" s="28" t="n"/>
      <c r="F30" s="29">
        <f>IF(ISBLANK(E30), "⏳ Belum Diisi (Ketik Rumus di Sel Kuning E30)", IF(E30='99_KUNCI_JAWABAN'!F356, "✅ BENAR! JAWABAN TES TEPAT!", "❌ Belum Tepat (Cek Sheet Akhir: 99_KUNCI_JAWABAN)"))</f>
        <v/>
      </c>
      <c r="G30" s="5" t="n"/>
    </row>
    <row r="31">
      <c r="B31" s="19" t="n">
        <v>70</v>
      </c>
      <c r="C31" s="19" t="n">
        <v>80</v>
      </c>
    </row>
    <row r="32">
      <c r="B32" s="19" t="n">
        <v>100</v>
      </c>
      <c r="C32" s="19" t="n">
        <v>116</v>
      </c>
    </row>
    <row r="35" ht="22" customHeight="1">
      <c r="B35" s="26" t="inlineStr">
        <is>
          <t>📝 SOAL TES #3: Kasus Logistik &amp; Stok Gudang Utama</t>
        </is>
      </c>
    </row>
    <row r="36" ht="30" customHeight="1">
      <c r="B36" s="14" t="inlineStr">
        <is>
          <t>Variabel X (Biaya)</t>
        </is>
      </c>
      <c r="C36" s="14" t="inlineStr">
        <is>
          <t>Variabel Y (Hasil)</t>
        </is>
      </c>
      <c r="E36" s="27" t="inlineStr">
        <is>
          <t>Persoalan Tes #3: Analisis regresi linear dengan menempatkan rentang hasil Y (C37:C40) dan rentang variabel X (B37:B40) menggunakan fungsi RSQ!</t>
        </is>
      </c>
    </row>
    <row r="37">
      <c r="B37" s="19" t="n">
        <v>30</v>
      </c>
      <c r="C37" s="19" t="n">
        <v>45</v>
      </c>
      <c r="E37" s="14" t="inlineStr">
        <is>
          <t>✏️ KETIK RUMUS JAWABAN TES DI BAWAH:</t>
        </is>
      </c>
      <c r="F37" s="14" t="inlineStr">
        <is>
          <t>📌 STATUS KOREKSI JAWABAN TES:</t>
        </is>
      </c>
      <c r="G37" s="5" t="n"/>
    </row>
    <row r="38" ht="26" customHeight="1">
      <c r="B38" s="19" t="n">
        <v>60</v>
      </c>
      <c r="C38" s="19" t="n">
        <v>84</v>
      </c>
      <c r="E38" s="28" t="n"/>
      <c r="F38" s="29">
        <f>IF(ISBLANK(E38), "⏳ Belum Diisi (Ketik Rumus di Sel Kuning E38)", IF(E38='99_KUNCI_JAWABAN'!F357, "✅ BENAR! JAWABAN TES TEPAT!", "❌ Belum Tepat (Cek Sheet Akhir: 99_KUNCI_JAWABAN)"))</f>
        <v/>
      </c>
      <c r="G38" s="5" t="n"/>
    </row>
    <row r="39">
      <c r="B39" s="19" t="n">
        <v>105</v>
      </c>
      <c r="C39" s="19" t="n">
        <v>120</v>
      </c>
    </row>
    <row r="40">
      <c r="B40" s="19" t="n">
        <v>150</v>
      </c>
      <c r="C40" s="19" t="n">
        <v>174</v>
      </c>
    </row>
    <row r="43" ht="22" customHeight="1">
      <c r="B43" s="26" t="inlineStr">
        <is>
          <t>📝 SOAL TES #4: Kasus Penjualan Retail &amp; Target Toko</t>
        </is>
      </c>
    </row>
    <row r="44" ht="30" customHeight="1">
      <c r="B44" s="14" t="inlineStr">
        <is>
          <t>Variabel X (Biaya)</t>
        </is>
      </c>
      <c r="C44" s="14" t="inlineStr">
        <is>
          <t>Variabel Y (Hasil)</t>
        </is>
      </c>
      <c r="E44" s="27" t="inlineStr">
        <is>
          <t>Persoalan Tes #4: Analisis regresi linear dengan menempatkan rentang hasil Y (C45:C48) dan rentang variabel X (B45:B48) menggunakan fungsi RSQ!</t>
        </is>
      </c>
    </row>
    <row r="45">
      <c r="B45" s="19" t="n">
        <v>40</v>
      </c>
      <c r="C45" s="19" t="n">
        <v>60</v>
      </c>
      <c r="E45" s="14" t="inlineStr">
        <is>
          <t>✏️ KETIK RUMUS JAWABAN TES DI BAWAH:</t>
        </is>
      </c>
      <c r="F45" s="14" t="inlineStr">
        <is>
          <t>📌 STATUS KOREKSI JAWABAN TES:</t>
        </is>
      </c>
      <c r="G45" s="5" t="n"/>
    </row>
    <row r="46" ht="26" customHeight="1">
      <c r="B46" s="19" t="n">
        <v>80</v>
      </c>
      <c r="C46" s="19" t="n">
        <v>112</v>
      </c>
      <c r="E46" s="28" t="n"/>
      <c r="F46" s="29">
        <f>IF(ISBLANK(E46), "⏳ Belum Diisi (Ketik Rumus di Sel Kuning E46)", IF(E46='99_KUNCI_JAWABAN'!F358, "✅ BENAR! JAWABAN TES TEPAT!", "❌ Belum Tepat (Cek Sheet Akhir: 99_KUNCI_JAWABAN)"))</f>
        <v/>
      </c>
      <c r="G46" s="5" t="n"/>
    </row>
    <row r="47">
      <c r="B47" s="19" t="n">
        <v>140</v>
      </c>
      <c r="C47" s="19" t="n">
        <v>160</v>
      </c>
    </row>
    <row r="48">
      <c r="B48" s="19" t="n">
        <v>200</v>
      </c>
      <c r="C48" s="19" t="n">
        <v>232</v>
      </c>
    </row>
    <row r="51" ht="22" customHeight="1">
      <c r="B51" s="26" t="inlineStr">
        <is>
          <t>📝 SOAL TES #5: Kasus Akademik Sekolah &amp; Layanan Publik</t>
        </is>
      </c>
    </row>
    <row r="52" ht="30" customHeight="1">
      <c r="B52" s="14" t="inlineStr">
        <is>
          <t>Variabel X (Biaya)</t>
        </is>
      </c>
      <c r="C52" s="14" t="inlineStr">
        <is>
          <t>Variabel Y (Hasil)</t>
        </is>
      </c>
      <c r="E52" s="27" t="inlineStr">
        <is>
          <t>Persoalan Tes #5: Analisis regresi linear dengan menempatkan rentang hasil Y (C53:C56) dan rentang variabel X (B53:B56) menggunakan fungsi RSQ!</t>
        </is>
      </c>
    </row>
    <row r="53">
      <c r="B53" s="19" t="n">
        <v>50</v>
      </c>
      <c r="C53" s="19" t="n">
        <v>75</v>
      </c>
      <c r="E53" s="14" t="inlineStr">
        <is>
          <t>✏️ KETIK RUMUS JAWABAN TES DI BAWAH:</t>
        </is>
      </c>
      <c r="F53" s="14" t="inlineStr">
        <is>
          <t>📌 STATUS KOREKSI JAWABAN TES:</t>
        </is>
      </c>
      <c r="G53" s="5" t="n"/>
    </row>
    <row r="54" ht="26" customHeight="1">
      <c r="B54" s="19" t="n">
        <v>100</v>
      </c>
      <c r="C54" s="19" t="n">
        <v>140</v>
      </c>
      <c r="E54" s="28" t="n"/>
      <c r="F54" s="29">
        <f>IF(ISBLANK(E54), "⏳ Belum Diisi (Ketik Rumus di Sel Kuning E54)", IF(E54='99_KUNCI_JAWABAN'!F359, "✅ BENAR! JAWABAN TES TEPAT!", "❌ Belum Tepat (Cek Sheet Akhir: 99_KUNCI_JAWABAN)"))</f>
        <v/>
      </c>
      <c r="G54" s="5" t="n"/>
    </row>
    <row r="55">
      <c r="B55" s="19" t="n">
        <v>175</v>
      </c>
      <c r="C55" s="19" t="n">
        <v>200</v>
      </c>
    </row>
    <row r="56">
      <c r="B56" s="19" t="n">
        <v>250</v>
      </c>
      <c r="C56" s="19" t="n">
        <v>290</v>
      </c>
    </row>
  </sheetData>
  <mergeCells count="33">
    <mergeCell ref="E10:G10"/>
    <mergeCell ref="F11:G11"/>
    <mergeCell ref="E28:G28"/>
    <mergeCell ref="F29:G29"/>
    <mergeCell ref="C6:G6"/>
    <mergeCell ref="F54:G54"/>
    <mergeCell ref="B17:G17"/>
    <mergeCell ref="B1:G1"/>
    <mergeCell ref="C5:G5"/>
    <mergeCell ref="B19:G19"/>
    <mergeCell ref="F21:G21"/>
    <mergeCell ref="F12:G12"/>
    <mergeCell ref="F30:G30"/>
    <mergeCell ref="E36:G36"/>
    <mergeCell ref="B9:G9"/>
    <mergeCell ref="F45:G45"/>
    <mergeCell ref="B51:G51"/>
    <mergeCell ref="F38:G38"/>
    <mergeCell ref="B35:G35"/>
    <mergeCell ref="B4:G4"/>
    <mergeCell ref="F46:G46"/>
    <mergeCell ref="F22:G22"/>
    <mergeCell ref="B2:E2"/>
    <mergeCell ref="F13:G13"/>
    <mergeCell ref="B16:G16"/>
    <mergeCell ref="F37:G37"/>
    <mergeCell ref="C7:G7"/>
    <mergeCell ref="E52:G52"/>
    <mergeCell ref="B27:G27"/>
    <mergeCell ref="B43:G43"/>
    <mergeCell ref="E44:G44"/>
    <mergeCell ref="E20:G20"/>
    <mergeCell ref="F53:G53"/>
  </mergeCells>
  <hyperlinks>
    <hyperlink xmlns:r="http://schemas.openxmlformats.org/officeDocument/2006/relationships" ref="F2" r:id="rId1"/>
    <hyperlink xmlns:r="http://schemas.openxmlformats.org/officeDocument/2006/relationships" ref="G2" r:id="rId2"/>
  </hyperlinks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B1:G56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22" customWidth="1" min="3" max="3"/>
    <col width="4" customWidth="1" min="4" max="4"/>
    <col width="34" customWidth="1" min="5" max="5"/>
    <col width="44" customWidth="1" min="6" max="6"/>
    <col width="28" customWidth="1" min="7" max="7"/>
  </cols>
  <sheetData>
    <row r="1" ht="30" customHeight="1">
      <c r="B1" s="10" t="inlineStr">
        <is>
          <t>📊 #072 — RUMUS EXCEL: SKEW   |   Kategori: 8. Statistik &amp; Analisis Data</t>
        </is>
      </c>
    </row>
    <row r="2" ht="22" customHeight="1">
      <c r="B2" s="11" t="inlineStr">
        <is>
          <t>1 Rumus = 1 Contoh Soal + Jawaban Benar &amp; 5 Soal Tes Mandiri (Kunci Jawaban Ada di Sheet Paling Terakhir)</t>
        </is>
      </c>
      <c r="F2" s="12" t="inlineStr">
        <is>
          <t>⬅️ Ke Daftar Isi (00_DAFTAR_ISI)</t>
        </is>
      </c>
      <c r="G2" s="3" t="inlineStr">
        <is>
          <t>🔑 Ke Kunci Jawaban (Sheet Akhir)</t>
        </is>
      </c>
    </row>
    <row r="4" ht="24" customHeight="1">
      <c r="B4" s="13" t="inlineStr">
        <is>
          <t>1️⃣ IDENTITAS RUMUS &amp; FUNGSINYA BUAT APA? (SKEW)</t>
        </is>
      </c>
    </row>
    <row r="5" ht="21" customHeight="1">
      <c r="B5" s="14" t="inlineStr">
        <is>
          <t>Nama Rumus Excel</t>
        </is>
      </c>
      <c r="C5" s="15">
        <f>SKEW(...)</f>
        <v/>
      </c>
      <c r="D5" s="5" t="n"/>
      <c r="E5" s="5" t="n"/>
      <c r="F5" s="5" t="n"/>
      <c r="G5" s="5" t="n"/>
    </row>
    <row r="6" ht="21" customHeight="1">
      <c r="B6" s="14" t="inlineStr">
        <is>
          <t>Sintaks / Pola Umum</t>
        </is>
      </c>
      <c r="C6" s="15">
        <f>SKEW(range_data)</f>
        <v/>
      </c>
      <c r="D6" s="5" t="n"/>
      <c r="E6" s="5" t="n"/>
      <c r="F6" s="5" t="n"/>
      <c r="G6" s="5" t="n"/>
    </row>
    <row r="7" ht="26" customHeight="1">
      <c r="B7" s="14" t="inlineStr">
        <is>
          <t>👶 Fungsinya Buat Apa?</t>
        </is>
      </c>
      <c r="C7" s="16" t="inlineStr">
        <is>
          <t>Mengukur kemencengan (Skewness) distribusi data.</t>
        </is>
      </c>
      <c r="D7" s="5" t="n"/>
      <c r="E7" s="5" t="n"/>
      <c r="F7" s="5" t="n"/>
      <c r="G7" s="5" t="n"/>
    </row>
    <row r="9" ht="24" customHeight="1">
      <c r="B9" s="17" t="inlineStr">
        <is>
          <t>2️⃣ 1 CONTOH SOAL &amp; CONTOH JAWABAN BENAR (PELAJARI POLA RUMUS SKEW DI SINI)</t>
        </is>
      </c>
    </row>
    <row r="10">
      <c r="B10" s="18" t="inlineStr">
        <is>
          <t>Nama Unit / Kategori</t>
        </is>
      </c>
      <c r="C10" s="18" t="inlineStr">
        <is>
          <t>Nilai Data</t>
        </is>
      </c>
      <c r="E10" s="18" t="inlineStr">
        <is>
          <t>✅ 1 CONTOH SOAL BESERTA CONTOH RUMUS &amp; HASIL JAWABAN BENAR:</t>
        </is>
      </c>
      <c r="F10" s="5" t="n"/>
      <c r="G10" s="5" t="n"/>
    </row>
    <row r="11" ht="28" customHeight="1">
      <c r="B11" s="19" t="inlineStr">
        <is>
          <t>Simulasi Unit A</t>
        </is>
      </c>
      <c r="C11" s="19" t="n">
        <v>500000</v>
      </c>
      <c r="E11" s="20" t="inlineStr">
        <is>
          <t>Contoh Soal:</t>
        </is>
      </c>
      <c r="F11" s="21" t="inlineStr">
        <is>
          <t>Hitung hasil pengolahan fungsi SKEW untuk keempat baris data pada rentang C11:C14!</t>
        </is>
      </c>
      <c r="G11" s="5" t="n"/>
    </row>
    <row r="12">
      <c r="B12" s="19" t="inlineStr">
        <is>
          <t>Simulasi Unit B</t>
        </is>
      </c>
      <c r="C12" s="19" t="n">
        <v>750000</v>
      </c>
      <c r="E12" s="20" t="inlineStr">
        <is>
          <t>Contoh Rumus Benar:</t>
        </is>
      </c>
      <c r="F12" s="22" t="inlineStr">
        <is>
          <t>'=SKEW(C11:C14)</t>
        </is>
      </c>
      <c r="G12" s="5" t="n"/>
    </row>
    <row r="13">
      <c r="B13" s="19" t="inlineStr">
        <is>
          <t>Simulasi Unit C</t>
        </is>
      </c>
      <c r="C13" s="19" t="n">
        <v>600000</v>
      </c>
      <c r="E13" s="20" t="inlineStr">
        <is>
          <t>Contoh Hasil Benar:</t>
        </is>
      </c>
      <c r="F13" s="23">
        <f>SKEW(C11:C14)</f>
        <v/>
      </c>
      <c r="G13" s="5" t="n"/>
    </row>
    <row r="14">
      <c r="B14" s="19" t="inlineStr">
        <is>
          <t>Simulasi Unit D</t>
        </is>
      </c>
      <c r="C14" s="19" t="n">
        <v>950000</v>
      </c>
    </row>
    <row r="16" ht="26" customHeight="1">
      <c r="B16" s="24" t="inlineStr">
        <is>
          <t>3️⃣ 5 SOAL TES DUNIA NYATA — KERJAKAN DI KOTAK KUNING (TANPA KUNCI RUMUS / HASIL DI SINI!)</t>
        </is>
      </c>
    </row>
    <row r="17" ht="20" customHeight="1">
      <c r="B17" s="25" t="inlineStr">
        <is>
          <t>📌 Catatan Tes: Soal Tes #1 s/d #5 di bawah ini tidak menampilkan kunci rumus maupun hasil. Kunci jawaban lengkap tersedia di sheet paling terakhir (99_KUNCI_JAWABAN).</t>
        </is>
      </c>
    </row>
    <row r="19" ht="22" customHeight="1">
      <c r="B19" s="26" t="inlineStr">
        <is>
          <t>📝 SOAL TES #1: Kasus Keuangan &amp; Akuntansi Kantor</t>
        </is>
      </c>
    </row>
    <row r="20" ht="30" customHeight="1">
      <c r="B20" s="14" t="inlineStr">
        <is>
          <t>Nama Unit / Kategori</t>
        </is>
      </c>
      <c r="C20" s="14" t="inlineStr">
        <is>
          <t>Nilai Data</t>
        </is>
      </c>
      <c r="E20" s="27" t="inlineStr">
        <is>
          <t>Persoalan Tes #1: Hitung hasil pengolahan fungsi SKEW untuk keempat baris data pada rentang C21:C24!</t>
        </is>
      </c>
    </row>
    <row r="21">
      <c r="B21" s="19" t="inlineStr">
        <is>
          <t>Cabang Jakarta</t>
        </is>
      </c>
      <c r="C21" s="19" t="n">
        <v>1250000</v>
      </c>
      <c r="E21" s="14" t="inlineStr">
        <is>
          <t>✏️ KETIK RUMUS JAWABAN TES DI BAWAH:</t>
        </is>
      </c>
      <c r="F21" s="14" t="inlineStr">
        <is>
          <t>📌 STATUS KOREKSI JAWABAN TES:</t>
        </is>
      </c>
      <c r="G21" s="5" t="n"/>
    </row>
    <row r="22" ht="26" customHeight="1">
      <c r="B22" s="19" t="inlineStr">
        <is>
          <t>Cabang Bandung</t>
        </is>
      </c>
      <c r="C22" s="19" t="n">
        <v>1850000</v>
      </c>
      <c r="E22" s="28" t="n"/>
      <c r="F22" s="29">
        <f>IF(ISBLANK(E22), "⏳ Belum Diisi (Ketik Rumus di Sel Kuning E22)", IF(E22='99_KUNCI_JAWABAN'!F360, "✅ BENAR! JAWABAN TES TEPAT!", "❌ Belum Tepat (Cek Sheet Akhir: 99_KUNCI_JAWABAN)"))</f>
        <v/>
      </c>
      <c r="G22" s="5" t="n"/>
    </row>
    <row r="23">
      <c r="B23" s="19" t="inlineStr">
        <is>
          <t>Cabang Surabaya</t>
        </is>
      </c>
      <c r="C23" s="19" t="n">
        <v>2100000</v>
      </c>
    </row>
    <row r="24">
      <c r="B24" s="19" t="inlineStr">
        <is>
          <t>Cabang Medan</t>
        </is>
      </c>
      <c r="C24" s="19" t="n">
        <v>1600000</v>
      </c>
    </row>
    <row r="27" ht="22" customHeight="1">
      <c r="B27" s="26" t="inlineStr">
        <is>
          <t>📝 SOAL TES #2: Kasus HRD, Gaji &amp; Lembur Karyawan</t>
        </is>
      </c>
    </row>
    <row r="28" ht="30" customHeight="1">
      <c r="B28" s="14" t="inlineStr">
        <is>
          <t>Nama Unit / Kategori</t>
        </is>
      </c>
      <c r="C28" s="14" t="inlineStr">
        <is>
          <t>Nilai Data</t>
        </is>
      </c>
      <c r="E28" s="27" t="inlineStr">
        <is>
          <t>Persoalan Tes #2: Hitung hasil pengolahan fungsi SKEW untuk keempat baris data pada rentang C29:C32!</t>
        </is>
      </c>
    </row>
    <row r="29">
      <c r="B29" s="19" t="inlineStr">
        <is>
          <t>Budi Santoso</t>
        </is>
      </c>
      <c r="C29" s="19" t="n">
        <v>4500000</v>
      </c>
      <c r="E29" s="14" t="inlineStr">
        <is>
          <t>✏️ KETIK RUMUS JAWABAN TES DI BAWAH:</t>
        </is>
      </c>
      <c r="F29" s="14" t="inlineStr">
        <is>
          <t>📌 STATUS KOREKSI JAWABAN TES:</t>
        </is>
      </c>
      <c r="G29" s="5" t="n"/>
    </row>
    <row r="30" ht="26" customHeight="1">
      <c r="B30" s="19" t="inlineStr">
        <is>
          <t>Siti Aminah</t>
        </is>
      </c>
      <c r="C30" s="19" t="n">
        <v>5200000</v>
      </c>
      <c r="E30" s="28" t="n"/>
      <c r="F30" s="29">
        <f>IF(ISBLANK(E30), "⏳ Belum Diisi (Ketik Rumus di Sel Kuning E30)", IF(E30='99_KUNCI_JAWABAN'!F361, "✅ BENAR! JAWABAN TES TEPAT!", "❌ Belum Tepat (Cek Sheet Akhir: 99_KUNCI_JAWABAN)"))</f>
        <v/>
      </c>
      <c r="G30" s="5" t="n"/>
    </row>
    <row r="31">
      <c r="B31" s="19" t="inlineStr">
        <is>
          <t>Andi Pratama</t>
        </is>
      </c>
      <c r="C31" s="19" t="n">
        <v>4800000</v>
      </c>
    </row>
    <row r="32">
      <c r="B32" s="19" t="inlineStr">
        <is>
          <t>Rina Wijaya</t>
        </is>
      </c>
      <c r="C32" s="19" t="n">
        <v>6100000</v>
      </c>
    </row>
    <row r="35" ht="22" customHeight="1">
      <c r="B35" s="26" t="inlineStr">
        <is>
          <t>📝 SOAL TES #3: Kasus Logistik &amp; Stok Gudang Utama</t>
        </is>
      </c>
    </row>
    <row r="36" ht="30" customHeight="1">
      <c r="B36" s="14" t="inlineStr">
        <is>
          <t>Nama Unit / Kategori</t>
        </is>
      </c>
      <c r="C36" s="14" t="inlineStr">
        <is>
          <t>Nilai Data</t>
        </is>
      </c>
      <c r="E36" s="27" t="inlineStr">
        <is>
          <t>Persoalan Tes #3: Hitung hasil pengolahan fungsi SKEW untuk keempat baris data pada rentang C37:C40!</t>
        </is>
      </c>
    </row>
    <row r="37">
      <c r="B37" s="19" t="inlineStr">
        <is>
          <t>Gudang Blok A</t>
        </is>
      </c>
      <c r="C37" s="19" t="n">
        <v>240</v>
      </c>
      <c r="E37" s="14" t="inlineStr">
        <is>
          <t>✏️ KETIK RUMUS JAWABAN TES DI BAWAH:</t>
        </is>
      </c>
      <c r="F37" s="14" t="inlineStr">
        <is>
          <t>📌 STATUS KOREKSI JAWABAN TES:</t>
        </is>
      </c>
      <c r="G37" s="5" t="n"/>
    </row>
    <row r="38" ht="26" customHeight="1">
      <c r="B38" s="19" t="inlineStr">
        <is>
          <t>Gudang Blok B</t>
        </is>
      </c>
      <c r="C38" s="19" t="n">
        <v>380</v>
      </c>
      <c r="E38" s="28" t="n"/>
      <c r="F38" s="29">
        <f>IF(ISBLANK(E38), "⏳ Belum Diisi (Ketik Rumus di Sel Kuning E38)", IF(E38='99_KUNCI_JAWABAN'!F362, "✅ BENAR! JAWABAN TES TEPAT!", "❌ Belum Tepat (Cek Sheet Akhir: 99_KUNCI_JAWABAN)"))</f>
        <v/>
      </c>
      <c r="G38" s="5" t="n"/>
    </row>
    <row r="39">
      <c r="B39" s="19" t="inlineStr">
        <is>
          <t>Gudang Blok C</t>
        </is>
      </c>
      <c r="C39" s="19" t="n">
        <v>195</v>
      </c>
    </row>
    <row r="40">
      <c r="B40" s="19" t="inlineStr">
        <is>
          <t>Gudang Blok D</t>
        </is>
      </c>
      <c r="C40" s="19" t="n">
        <v>425</v>
      </c>
    </row>
    <row r="43" ht="22" customHeight="1">
      <c r="B43" s="26" t="inlineStr">
        <is>
          <t>📝 SOAL TES #4: Kasus Penjualan Retail &amp; Target Toko</t>
        </is>
      </c>
    </row>
    <row r="44" ht="30" customHeight="1">
      <c r="B44" s="14" t="inlineStr">
        <is>
          <t>Nama Unit / Kategori</t>
        </is>
      </c>
      <c r="C44" s="14" t="inlineStr">
        <is>
          <t>Nilai Data</t>
        </is>
      </c>
      <c r="E44" s="27" t="inlineStr">
        <is>
          <t>Persoalan Tes #4: Hitung hasil pengolahan fungsi SKEW untuk keempat baris data pada rentang C45:C48!</t>
        </is>
      </c>
    </row>
    <row r="45">
      <c r="B45" s="19" t="inlineStr">
        <is>
          <t>Toko Elektronik</t>
        </is>
      </c>
      <c r="C45" s="19" t="n">
        <v>85</v>
      </c>
      <c r="E45" s="14" t="inlineStr">
        <is>
          <t>✏️ KETIK RUMUS JAWABAN TES DI BAWAH:</t>
        </is>
      </c>
      <c r="F45" s="14" t="inlineStr">
        <is>
          <t>📌 STATUS KOREKSI JAWABAN TES:</t>
        </is>
      </c>
      <c r="G45" s="5" t="n"/>
    </row>
    <row r="46" ht="26" customHeight="1">
      <c r="B46" s="19" t="inlineStr">
        <is>
          <t>Toko Komputer</t>
        </is>
      </c>
      <c r="C46" s="19" t="n">
        <v>92</v>
      </c>
      <c r="E46" s="28" t="n"/>
      <c r="F46" s="29">
        <f>IF(ISBLANK(E46), "⏳ Belum Diisi (Ketik Rumus di Sel Kuning E46)", IF(E46='99_KUNCI_JAWABAN'!F363, "✅ BENAR! JAWABAN TES TEPAT!", "❌ Belum Tepat (Cek Sheet Akhir: 99_KUNCI_JAWABAN)"))</f>
        <v/>
      </c>
      <c r="G46" s="5" t="n"/>
    </row>
    <row r="47">
      <c r="B47" s="19" t="inlineStr">
        <is>
          <t>Toko Aksesoris</t>
        </is>
      </c>
      <c r="C47" s="19" t="n">
        <v>78</v>
      </c>
    </row>
    <row r="48">
      <c r="B48" s="19" t="inlineStr">
        <is>
          <t>Toko Servis</t>
        </is>
      </c>
      <c r="C48" s="19" t="n">
        <v>95</v>
      </c>
    </row>
    <row r="51" ht="22" customHeight="1">
      <c r="B51" s="26" t="inlineStr">
        <is>
          <t>📝 SOAL TES #5: Kasus Akademik Sekolah &amp; Layanan Publik</t>
        </is>
      </c>
    </row>
    <row r="52" ht="30" customHeight="1">
      <c r="B52" s="14" t="inlineStr">
        <is>
          <t>Nama Unit / Kategori</t>
        </is>
      </c>
      <c r="C52" s="14" t="inlineStr">
        <is>
          <t>Nilai Data</t>
        </is>
      </c>
      <c r="E52" s="27" t="inlineStr">
        <is>
          <t>Persoalan Tes #5: Hitung hasil pengolahan fungsi SKEW untuk keempat baris data pada rentang C53:C56!</t>
        </is>
      </c>
    </row>
    <row r="53">
      <c r="B53" s="19" t="inlineStr">
        <is>
          <t>Kelas 10 IPA</t>
        </is>
      </c>
      <c r="C53" s="19" t="n">
        <v>82</v>
      </c>
      <c r="E53" s="14" t="inlineStr">
        <is>
          <t>✏️ KETIK RUMUS JAWABAN TES DI BAWAH:</t>
        </is>
      </c>
      <c r="F53" s="14" t="inlineStr">
        <is>
          <t>📌 STATUS KOREKSI JAWABAN TES:</t>
        </is>
      </c>
      <c r="G53" s="5" t="n"/>
    </row>
    <row r="54" ht="26" customHeight="1">
      <c r="B54" s="19" t="inlineStr">
        <is>
          <t>Kelas 11 IPA</t>
        </is>
      </c>
      <c r="C54" s="19" t="n">
        <v>88</v>
      </c>
      <c r="E54" s="28" t="n"/>
      <c r="F54" s="29">
        <f>IF(ISBLANK(E54), "⏳ Belum Diisi (Ketik Rumus di Sel Kuning E54)", IF(E54='99_KUNCI_JAWABAN'!F364, "✅ BENAR! JAWABAN TES TEPAT!", "❌ Belum Tepat (Cek Sheet Akhir: 99_KUNCI_JAWABAN)"))</f>
        <v/>
      </c>
      <c r="G54" s="5" t="n"/>
    </row>
    <row r="55">
      <c r="B55" s="19" t="inlineStr">
        <is>
          <t>Kelas 12 IPA</t>
        </is>
      </c>
      <c r="C55" s="19" t="n">
        <v>91</v>
      </c>
    </row>
    <row r="56">
      <c r="B56" s="19" t="inlineStr">
        <is>
          <t>Kelas Unggulan</t>
        </is>
      </c>
      <c r="C56" s="19" t="n">
        <v>79</v>
      </c>
    </row>
  </sheetData>
  <mergeCells count="33">
    <mergeCell ref="E10:G10"/>
    <mergeCell ref="F11:G11"/>
    <mergeCell ref="E28:G28"/>
    <mergeCell ref="F29:G29"/>
    <mergeCell ref="C6:G6"/>
    <mergeCell ref="F54:G54"/>
    <mergeCell ref="B17:G17"/>
    <mergeCell ref="B1:G1"/>
    <mergeCell ref="C5:G5"/>
    <mergeCell ref="B19:G19"/>
    <mergeCell ref="F21:G21"/>
    <mergeCell ref="F12:G12"/>
    <mergeCell ref="F30:G30"/>
    <mergeCell ref="E36:G36"/>
    <mergeCell ref="B9:G9"/>
    <mergeCell ref="F45:G45"/>
    <mergeCell ref="B51:G51"/>
    <mergeCell ref="F38:G38"/>
    <mergeCell ref="B35:G35"/>
    <mergeCell ref="B4:G4"/>
    <mergeCell ref="F46:G46"/>
    <mergeCell ref="F22:G22"/>
    <mergeCell ref="B2:E2"/>
    <mergeCell ref="F13:G13"/>
    <mergeCell ref="B16:G16"/>
    <mergeCell ref="F37:G37"/>
    <mergeCell ref="C7:G7"/>
    <mergeCell ref="E52:G52"/>
    <mergeCell ref="B27:G27"/>
    <mergeCell ref="B43:G43"/>
    <mergeCell ref="E44:G44"/>
    <mergeCell ref="E20:G20"/>
    <mergeCell ref="F53:G53"/>
  </mergeCells>
  <hyperlinks>
    <hyperlink xmlns:r="http://schemas.openxmlformats.org/officeDocument/2006/relationships" ref="F2" r:id="rId1"/>
    <hyperlink xmlns:r="http://schemas.openxmlformats.org/officeDocument/2006/relationships" ref="G2" r:id="rId2"/>
  </hyperlinks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B1:G56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22" customWidth="1" min="3" max="3"/>
    <col width="4" customWidth="1" min="4" max="4"/>
    <col width="34" customWidth="1" min="5" max="5"/>
    <col width="44" customWidth="1" min="6" max="6"/>
    <col width="28" customWidth="1" min="7" max="7"/>
  </cols>
  <sheetData>
    <row r="1" ht="30" customHeight="1">
      <c r="B1" s="10" t="inlineStr">
        <is>
          <t>📊 #073 — RUMUS EXCEL: SLOPE   |   Kategori: 8. Statistik &amp; Analisis Data</t>
        </is>
      </c>
    </row>
    <row r="2" ht="22" customHeight="1">
      <c r="B2" s="11" t="inlineStr">
        <is>
          <t>1 Rumus = 1 Contoh Soal + Jawaban Benar &amp; 5 Soal Tes Mandiri (Kunci Jawaban Ada di Sheet Paling Terakhir)</t>
        </is>
      </c>
      <c r="F2" s="12" t="inlineStr">
        <is>
          <t>⬅️ Ke Daftar Isi (00_DAFTAR_ISI)</t>
        </is>
      </c>
      <c r="G2" s="3" t="inlineStr">
        <is>
          <t>🔑 Ke Kunci Jawaban (Sheet Akhir)</t>
        </is>
      </c>
    </row>
    <row r="4" ht="24" customHeight="1">
      <c r="B4" s="13" t="inlineStr">
        <is>
          <t>1️⃣ IDENTITAS RUMUS &amp; FUNGSINYA BUAT APA? (SLOPE)</t>
        </is>
      </c>
    </row>
    <row r="5" ht="21" customHeight="1">
      <c r="B5" s="14" t="inlineStr">
        <is>
          <t>Nama Rumus Excel</t>
        </is>
      </c>
      <c r="C5" s="15">
        <f>SLOPE(...)</f>
        <v/>
      </c>
      <c r="D5" s="5" t="n"/>
      <c r="E5" s="5" t="n"/>
      <c r="F5" s="5" t="n"/>
      <c r="G5" s="5" t="n"/>
    </row>
    <row r="6" ht="21" customHeight="1">
      <c r="B6" s="14" t="inlineStr">
        <is>
          <t>Sintaks / Pola Umum</t>
        </is>
      </c>
      <c r="C6" s="15">
        <f>SLOPE(range_y, range_x)</f>
        <v/>
      </c>
      <c r="D6" s="5" t="n"/>
      <c r="E6" s="5" t="n"/>
      <c r="F6" s="5" t="n"/>
      <c r="G6" s="5" t="n"/>
    </row>
    <row r="7" ht="26" customHeight="1">
      <c r="B7" s="14" t="inlineStr">
        <is>
          <t>👶 Fungsinya Buat Apa?</t>
        </is>
      </c>
      <c r="C7" s="16" t="inlineStr">
        <is>
          <t>Menghitung kemiringan garis tren regresi linear.</t>
        </is>
      </c>
      <c r="D7" s="5" t="n"/>
      <c r="E7" s="5" t="n"/>
      <c r="F7" s="5" t="n"/>
      <c r="G7" s="5" t="n"/>
    </row>
    <row r="9" ht="24" customHeight="1">
      <c r="B9" s="17" t="inlineStr">
        <is>
          <t>2️⃣ 1 CONTOH SOAL &amp; CONTOH JAWABAN BENAR (PELAJARI POLA RUMUS SLOPE DI SINI)</t>
        </is>
      </c>
    </row>
    <row r="10">
      <c r="B10" s="18" t="inlineStr">
        <is>
          <t>Variabel X (Biaya)</t>
        </is>
      </c>
      <c r="C10" s="18" t="inlineStr">
        <is>
          <t>Variabel Y (Hasil)</t>
        </is>
      </c>
      <c r="E10" s="18" t="inlineStr">
        <is>
          <t>✅ 1 CONTOH SOAL BESERTA CONTOH RUMUS &amp; HASIL JAWABAN BENAR:</t>
        </is>
      </c>
      <c r="F10" s="5" t="n"/>
      <c r="G10" s="5" t="n"/>
    </row>
    <row r="11" ht="28" customHeight="1">
      <c r="B11" s="19" t="n">
        <v>60</v>
      </c>
      <c r="C11" s="19" t="n">
        <v>90</v>
      </c>
      <c r="E11" s="20" t="inlineStr">
        <is>
          <t>Contoh Soal:</t>
        </is>
      </c>
      <c r="F11" s="21" t="inlineStr">
        <is>
          <t>Analisis regresi linear dengan menempatkan rentang hasil Y (C11:C14) dan rentang variabel X (B11:B14) menggunakan fungsi SLOPE!</t>
        </is>
      </c>
      <c r="G11" s="5" t="n"/>
    </row>
    <row r="12">
      <c r="B12" s="19" t="n">
        <v>120</v>
      </c>
      <c r="C12" s="19" t="n">
        <v>168</v>
      </c>
      <c r="E12" s="20" t="inlineStr">
        <is>
          <t>Contoh Rumus Benar:</t>
        </is>
      </c>
      <c r="F12" s="22" t="inlineStr">
        <is>
          <t>'=SLOPE(C11:C14, B11:B14)</t>
        </is>
      </c>
      <c r="G12" s="5" t="n"/>
    </row>
    <row r="13">
      <c r="B13" s="19" t="n">
        <v>210</v>
      </c>
      <c r="C13" s="19" t="n">
        <v>240</v>
      </c>
      <c r="E13" s="20" t="inlineStr">
        <is>
          <t>Contoh Hasil Benar:</t>
        </is>
      </c>
      <c r="F13" s="23">
        <f>SLOPE(C11:C14, B11:B14)</f>
        <v/>
      </c>
      <c r="G13" s="5" t="n"/>
    </row>
    <row r="14">
      <c r="B14" s="19" t="n">
        <v>300</v>
      </c>
      <c r="C14" s="19" t="n">
        <v>348</v>
      </c>
    </row>
    <row r="16" ht="26" customHeight="1">
      <c r="B16" s="24" t="inlineStr">
        <is>
          <t>3️⃣ 5 SOAL TES DUNIA NYATA — KERJAKAN DI KOTAK KUNING (TANPA KUNCI RUMUS / HASIL DI SINI!)</t>
        </is>
      </c>
    </row>
    <row r="17" ht="20" customHeight="1">
      <c r="B17" s="25" t="inlineStr">
        <is>
          <t>📌 Catatan Tes: Soal Tes #1 s/d #5 di bawah ini tidak menampilkan kunci rumus maupun hasil. Kunci jawaban lengkap tersedia di sheet paling terakhir (99_KUNCI_JAWABAN).</t>
        </is>
      </c>
    </row>
    <row r="19" ht="22" customHeight="1">
      <c r="B19" s="26" t="inlineStr">
        <is>
          <t>📝 SOAL TES #1: Kasus Keuangan &amp; Akuntansi Kantor</t>
        </is>
      </c>
    </row>
    <row r="20" ht="30" customHeight="1">
      <c r="B20" s="14" t="inlineStr">
        <is>
          <t>Variabel X (Biaya)</t>
        </is>
      </c>
      <c r="C20" s="14" t="inlineStr">
        <is>
          <t>Variabel Y (Hasil)</t>
        </is>
      </c>
      <c r="E20" s="27" t="inlineStr">
        <is>
          <t>Persoalan Tes #1: Analisis regresi linear dengan menempatkan rentang hasil Y (C21:C24) dan rentang variabel X (B21:B24) menggunakan fungsi SLOPE!</t>
        </is>
      </c>
    </row>
    <row r="21">
      <c r="B21" s="19" t="n">
        <v>10</v>
      </c>
      <c r="C21" s="19" t="n">
        <v>15</v>
      </c>
      <c r="E21" s="14" t="inlineStr">
        <is>
          <t>✏️ KETIK RUMUS JAWABAN TES DI BAWAH:</t>
        </is>
      </c>
      <c r="F21" s="14" t="inlineStr">
        <is>
          <t>📌 STATUS KOREKSI JAWABAN TES:</t>
        </is>
      </c>
      <c r="G21" s="5" t="n"/>
    </row>
    <row r="22" ht="26" customHeight="1">
      <c r="B22" s="19" t="n">
        <v>20</v>
      </c>
      <c r="C22" s="19" t="n">
        <v>28</v>
      </c>
      <c r="E22" s="28" t="n"/>
      <c r="F22" s="29">
        <f>IF(ISBLANK(E22), "⏳ Belum Diisi (Ketik Rumus di Sel Kuning E22)", IF(E22='99_KUNCI_JAWABAN'!F365, "✅ BENAR! JAWABAN TES TEPAT!", "❌ Belum Tepat (Cek Sheet Akhir: 99_KUNCI_JAWABAN)"))</f>
        <v/>
      </c>
      <c r="G22" s="5" t="n"/>
    </row>
    <row r="23">
      <c r="B23" s="19" t="n">
        <v>35</v>
      </c>
      <c r="C23" s="19" t="n">
        <v>40</v>
      </c>
    </row>
    <row r="24">
      <c r="B24" s="19" t="n">
        <v>50</v>
      </c>
      <c r="C24" s="19" t="n">
        <v>58</v>
      </c>
    </row>
    <row r="27" ht="22" customHeight="1">
      <c r="B27" s="26" t="inlineStr">
        <is>
          <t>📝 SOAL TES #2: Kasus HRD, Gaji &amp; Lembur Karyawan</t>
        </is>
      </c>
    </row>
    <row r="28" ht="30" customHeight="1">
      <c r="B28" s="14" t="inlineStr">
        <is>
          <t>Variabel X (Biaya)</t>
        </is>
      </c>
      <c r="C28" s="14" t="inlineStr">
        <is>
          <t>Variabel Y (Hasil)</t>
        </is>
      </c>
      <c r="E28" s="27" t="inlineStr">
        <is>
          <t>Persoalan Tes #2: Analisis regresi linear dengan menempatkan rentang hasil Y (C29:C32) dan rentang variabel X (B29:B32) menggunakan fungsi SLOPE!</t>
        </is>
      </c>
    </row>
    <row r="29">
      <c r="B29" s="19" t="n">
        <v>20</v>
      </c>
      <c r="C29" s="19" t="n">
        <v>30</v>
      </c>
      <c r="E29" s="14" t="inlineStr">
        <is>
          <t>✏️ KETIK RUMUS JAWABAN TES DI BAWAH:</t>
        </is>
      </c>
      <c r="F29" s="14" t="inlineStr">
        <is>
          <t>📌 STATUS KOREKSI JAWABAN TES:</t>
        </is>
      </c>
      <c r="G29" s="5" t="n"/>
    </row>
    <row r="30" ht="26" customHeight="1">
      <c r="B30" s="19" t="n">
        <v>40</v>
      </c>
      <c r="C30" s="19" t="n">
        <v>56</v>
      </c>
      <c r="E30" s="28" t="n"/>
      <c r="F30" s="29">
        <f>IF(ISBLANK(E30), "⏳ Belum Diisi (Ketik Rumus di Sel Kuning E30)", IF(E30='99_KUNCI_JAWABAN'!F366, "✅ BENAR! JAWABAN TES TEPAT!", "❌ Belum Tepat (Cek Sheet Akhir: 99_KUNCI_JAWABAN)"))</f>
        <v/>
      </c>
      <c r="G30" s="5" t="n"/>
    </row>
    <row r="31">
      <c r="B31" s="19" t="n">
        <v>70</v>
      </c>
      <c r="C31" s="19" t="n">
        <v>80</v>
      </c>
    </row>
    <row r="32">
      <c r="B32" s="19" t="n">
        <v>100</v>
      </c>
      <c r="C32" s="19" t="n">
        <v>116</v>
      </c>
    </row>
    <row r="35" ht="22" customHeight="1">
      <c r="B35" s="26" t="inlineStr">
        <is>
          <t>📝 SOAL TES #3: Kasus Logistik &amp; Stok Gudang Utama</t>
        </is>
      </c>
    </row>
    <row r="36" ht="30" customHeight="1">
      <c r="B36" s="14" t="inlineStr">
        <is>
          <t>Variabel X (Biaya)</t>
        </is>
      </c>
      <c r="C36" s="14" t="inlineStr">
        <is>
          <t>Variabel Y (Hasil)</t>
        </is>
      </c>
      <c r="E36" s="27" t="inlineStr">
        <is>
          <t>Persoalan Tes #3: Analisis regresi linear dengan menempatkan rentang hasil Y (C37:C40) dan rentang variabel X (B37:B40) menggunakan fungsi SLOPE!</t>
        </is>
      </c>
    </row>
    <row r="37">
      <c r="B37" s="19" t="n">
        <v>30</v>
      </c>
      <c r="C37" s="19" t="n">
        <v>45</v>
      </c>
      <c r="E37" s="14" t="inlineStr">
        <is>
          <t>✏️ KETIK RUMUS JAWABAN TES DI BAWAH:</t>
        </is>
      </c>
      <c r="F37" s="14" t="inlineStr">
        <is>
          <t>📌 STATUS KOREKSI JAWABAN TES:</t>
        </is>
      </c>
      <c r="G37" s="5" t="n"/>
    </row>
    <row r="38" ht="26" customHeight="1">
      <c r="B38" s="19" t="n">
        <v>60</v>
      </c>
      <c r="C38" s="19" t="n">
        <v>84</v>
      </c>
      <c r="E38" s="28" t="n"/>
      <c r="F38" s="29">
        <f>IF(ISBLANK(E38), "⏳ Belum Diisi (Ketik Rumus di Sel Kuning E38)", IF(E38='99_KUNCI_JAWABAN'!F367, "✅ BENAR! JAWABAN TES TEPAT!", "❌ Belum Tepat (Cek Sheet Akhir: 99_KUNCI_JAWABAN)"))</f>
        <v/>
      </c>
      <c r="G38" s="5" t="n"/>
    </row>
    <row r="39">
      <c r="B39" s="19" t="n">
        <v>105</v>
      </c>
      <c r="C39" s="19" t="n">
        <v>120</v>
      </c>
    </row>
    <row r="40">
      <c r="B40" s="19" t="n">
        <v>150</v>
      </c>
      <c r="C40" s="19" t="n">
        <v>174</v>
      </c>
    </row>
    <row r="43" ht="22" customHeight="1">
      <c r="B43" s="26" t="inlineStr">
        <is>
          <t>📝 SOAL TES #4: Kasus Penjualan Retail &amp; Target Toko</t>
        </is>
      </c>
    </row>
    <row r="44" ht="30" customHeight="1">
      <c r="B44" s="14" t="inlineStr">
        <is>
          <t>Variabel X (Biaya)</t>
        </is>
      </c>
      <c r="C44" s="14" t="inlineStr">
        <is>
          <t>Variabel Y (Hasil)</t>
        </is>
      </c>
      <c r="E44" s="27" t="inlineStr">
        <is>
          <t>Persoalan Tes #4: Analisis regresi linear dengan menempatkan rentang hasil Y (C45:C48) dan rentang variabel X (B45:B48) menggunakan fungsi SLOPE!</t>
        </is>
      </c>
    </row>
    <row r="45">
      <c r="B45" s="19" t="n">
        <v>40</v>
      </c>
      <c r="C45" s="19" t="n">
        <v>60</v>
      </c>
      <c r="E45" s="14" t="inlineStr">
        <is>
          <t>✏️ KETIK RUMUS JAWABAN TES DI BAWAH:</t>
        </is>
      </c>
      <c r="F45" s="14" t="inlineStr">
        <is>
          <t>📌 STATUS KOREKSI JAWABAN TES:</t>
        </is>
      </c>
      <c r="G45" s="5" t="n"/>
    </row>
    <row r="46" ht="26" customHeight="1">
      <c r="B46" s="19" t="n">
        <v>80</v>
      </c>
      <c r="C46" s="19" t="n">
        <v>112</v>
      </c>
      <c r="E46" s="28" t="n"/>
      <c r="F46" s="29">
        <f>IF(ISBLANK(E46), "⏳ Belum Diisi (Ketik Rumus di Sel Kuning E46)", IF(E46='99_KUNCI_JAWABAN'!F368, "✅ BENAR! JAWABAN TES TEPAT!", "❌ Belum Tepat (Cek Sheet Akhir: 99_KUNCI_JAWABAN)"))</f>
        <v/>
      </c>
      <c r="G46" s="5" t="n"/>
    </row>
    <row r="47">
      <c r="B47" s="19" t="n">
        <v>140</v>
      </c>
      <c r="C47" s="19" t="n">
        <v>160</v>
      </c>
    </row>
    <row r="48">
      <c r="B48" s="19" t="n">
        <v>200</v>
      </c>
      <c r="C48" s="19" t="n">
        <v>232</v>
      </c>
    </row>
    <row r="51" ht="22" customHeight="1">
      <c r="B51" s="26" t="inlineStr">
        <is>
          <t>📝 SOAL TES #5: Kasus Akademik Sekolah &amp; Layanan Publik</t>
        </is>
      </c>
    </row>
    <row r="52" ht="30" customHeight="1">
      <c r="B52" s="14" t="inlineStr">
        <is>
          <t>Variabel X (Biaya)</t>
        </is>
      </c>
      <c r="C52" s="14" t="inlineStr">
        <is>
          <t>Variabel Y (Hasil)</t>
        </is>
      </c>
      <c r="E52" s="27" t="inlineStr">
        <is>
          <t>Persoalan Tes #5: Analisis regresi linear dengan menempatkan rentang hasil Y (C53:C56) dan rentang variabel X (B53:B56) menggunakan fungsi SLOPE!</t>
        </is>
      </c>
    </row>
    <row r="53">
      <c r="B53" s="19" t="n">
        <v>50</v>
      </c>
      <c r="C53" s="19" t="n">
        <v>75</v>
      </c>
      <c r="E53" s="14" t="inlineStr">
        <is>
          <t>✏️ KETIK RUMUS JAWABAN TES DI BAWAH:</t>
        </is>
      </c>
      <c r="F53" s="14" t="inlineStr">
        <is>
          <t>📌 STATUS KOREKSI JAWABAN TES:</t>
        </is>
      </c>
      <c r="G53" s="5" t="n"/>
    </row>
    <row r="54" ht="26" customHeight="1">
      <c r="B54" s="19" t="n">
        <v>100</v>
      </c>
      <c r="C54" s="19" t="n">
        <v>140</v>
      </c>
      <c r="E54" s="28" t="n"/>
      <c r="F54" s="29">
        <f>IF(ISBLANK(E54), "⏳ Belum Diisi (Ketik Rumus di Sel Kuning E54)", IF(E54='99_KUNCI_JAWABAN'!F369, "✅ BENAR! JAWABAN TES TEPAT!", "❌ Belum Tepat (Cek Sheet Akhir: 99_KUNCI_JAWABAN)"))</f>
        <v/>
      </c>
      <c r="G54" s="5" t="n"/>
    </row>
    <row r="55">
      <c r="B55" s="19" t="n">
        <v>175</v>
      </c>
      <c r="C55" s="19" t="n">
        <v>200</v>
      </c>
    </row>
    <row r="56">
      <c r="B56" s="19" t="n">
        <v>250</v>
      </c>
      <c r="C56" s="19" t="n">
        <v>290</v>
      </c>
    </row>
  </sheetData>
  <mergeCells count="33">
    <mergeCell ref="E10:G10"/>
    <mergeCell ref="F11:G11"/>
    <mergeCell ref="E28:G28"/>
    <mergeCell ref="F29:G29"/>
    <mergeCell ref="C6:G6"/>
    <mergeCell ref="F54:G54"/>
    <mergeCell ref="B17:G17"/>
    <mergeCell ref="B1:G1"/>
    <mergeCell ref="C5:G5"/>
    <mergeCell ref="B19:G19"/>
    <mergeCell ref="F21:G21"/>
    <mergeCell ref="F12:G12"/>
    <mergeCell ref="F30:G30"/>
    <mergeCell ref="E36:G36"/>
    <mergeCell ref="B9:G9"/>
    <mergeCell ref="F45:G45"/>
    <mergeCell ref="B51:G51"/>
    <mergeCell ref="F38:G38"/>
    <mergeCell ref="B35:G35"/>
    <mergeCell ref="B4:G4"/>
    <mergeCell ref="F46:G46"/>
    <mergeCell ref="F22:G22"/>
    <mergeCell ref="B2:E2"/>
    <mergeCell ref="F13:G13"/>
    <mergeCell ref="B16:G16"/>
    <mergeCell ref="F37:G37"/>
    <mergeCell ref="C7:G7"/>
    <mergeCell ref="E52:G52"/>
    <mergeCell ref="B27:G27"/>
    <mergeCell ref="B43:G43"/>
    <mergeCell ref="E44:G44"/>
    <mergeCell ref="E20:G20"/>
    <mergeCell ref="F53:G53"/>
  </mergeCells>
  <hyperlinks>
    <hyperlink xmlns:r="http://schemas.openxmlformats.org/officeDocument/2006/relationships" ref="F2" r:id="rId1"/>
    <hyperlink xmlns:r="http://schemas.openxmlformats.org/officeDocument/2006/relationships" ref="G2" r:id="rId2"/>
  </hyperlinks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B1:G56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22" customWidth="1" min="3" max="3"/>
    <col width="4" customWidth="1" min="4" max="4"/>
    <col width="34" customWidth="1" min="5" max="5"/>
    <col width="44" customWidth="1" min="6" max="6"/>
    <col width="28" customWidth="1" min="7" max="7"/>
  </cols>
  <sheetData>
    <row r="1" ht="30" customHeight="1">
      <c r="B1" s="10" t="inlineStr">
        <is>
          <t>📊 #074 — RUMUS EXCEL: SMALL   |   Kategori: 8. Statistik &amp; Analisis Data</t>
        </is>
      </c>
    </row>
    <row r="2" ht="22" customHeight="1">
      <c r="B2" s="11" t="inlineStr">
        <is>
          <t>1 Rumus = 1 Contoh Soal + Jawaban Benar &amp; 5 Soal Tes Mandiri (Kunci Jawaban Ada di Sheet Paling Terakhir)</t>
        </is>
      </c>
      <c r="F2" s="12" t="inlineStr">
        <is>
          <t>⬅️ Ke Daftar Isi (00_DAFTAR_ISI)</t>
        </is>
      </c>
      <c r="G2" s="3" t="inlineStr">
        <is>
          <t>🔑 Ke Kunci Jawaban (Sheet Akhir)</t>
        </is>
      </c>
    </row>
    <row r="4" ht="24" customHeight="1">
      <c r="B4" s="13" t="inlineStr">
        <is>
          <t>1️⃣ IDENTITAS RUMUS &amp; FUNGSINYA BUAT APA? (SMALL)</t>
        </is>
      </c>
    </row>
    <row r="5" ht="21" customHeight="1">
      <c r="B5" s="14" t="inlineStr">
        <is>
          <t>Nama Rumus Excel</t>
        </is>
      </c>
      <c r="C5" s="15">
        <f>SMALL(...)</f>
        <v/>
      </c>
      <c r="D5" s="5" t="n"/>
      <c r="E5" s="5" t="n"/>
      <c r="F5" s="5" t="n"/>
      <c r="G5" s="5" t="n"/>
    </row>
    <row r="6" ht="21" customHeight="1">
      <c r="B6" s="14" t="inlineStr">
        <is>
          <t>Sintaks / Pola Umum</t>
        </is>
      </c>
      <c r="C6" s="15">
        <f>SMALL(range_data, k)</f>
        <v/>
      </c>
      <c r="D6" s="5" t="n"/>
      <c r="E6" s="5" t="n"/>
      <c r="F6" s="5" t="n"/>
      <c r="G6" s="5" t="n"/>
    </row>
    <row r="7" ht="26" customHeight="1">
      <c r="B7" s="14" t="inlineStr">
        <is>
          <t>👶 Fungsinya Buat Apa?</t>
        </is>
      </c>
      <c r="C7" s="16" t="inlineStr">
        <is>
          <t>Mencari nilai terkecil ke-k (urutan paling bawah ke-1, ke-2, ke-3).</t>
        </is>
      </c>
      <c r="D7" s="5" t="n"/>
      <c r="E7" s="5" t="n"/>
      <c r="F7" s="5" t="n"/>
      <c r="G7" s="5" t="n"/>
    </row>
    <row r="9" ht="24" customHeight="1">
      <c r="B9" s="17" t="inlineStr">
        <is>
          <t>2️⃣ 1 CONTOH SOAL &amp; CONTOH JAWABAN BENAR (PELAJARI POLA RUMUS SMALL DI SINI)</t>
        </is>
      </c>
    </row>
    <row r="10">
      <c r="B10" s="18" t="inlineStr">
        <is>
          <t>Peserta / Cabang</t>
        </is>
      </c>
      <c r="C10" s="18" t="inlineStr">
        <is>
          <t>Skor Capaian</t>
        </is>
      </c>
      <c r="E10" s="18" t="inlineStr">
        <is>
          <t>✅ 1 CONTOH SOAL BESERTA CONTOH RUMUS &amp; HASIL JAWABAN BENAR:</t>
        </is>
      </c>
      <c r="F10" s="5" t="n"/>
      <c r="G10" s="5" t="n"/>
    </row>
    <row r="11" ht="28" customHeight="1">
      <c r="B11" s="19" t="inlineStr">
        <is>
          <t>Simulasi Unit A</t>
        </is>
      </c>
      <c r="C11" s="19" t="n">
        <v>500000</v>
      </c>
      <c r="E11" s="20" t="inlineStr">
        <is>
          <t>Contoh Soal:</t>
        </is>
      </c>
      <c r="F11" s="21" t="inlineStr">
        <is>
          <t>Temukan nilai pada urutan ke-3 dari rentang data C11:C14 menggunakan fungsi SMALL!</t>
        </is>
      </c>
      <c r="G11" s="5" t="n"/>
    </row>
    <row r="12">
      <c r="B12" s="19" t="inlineStr">
        <is>
          <t>Simulasi Unit B</t>
        </is>
      </c>
      <c r="C12" s="19" t="n">
        <v>750000</v>
      </c>
      <c r="E12" s="20" t="inlineStr">
        <is>
          <t>Contoh Rumus Benar:</t>
        </is>
      </c>
      <c r="F12" s="22" t="inlineStr">
        <is>
          <t>'=SMALL(C11:C14, 3)</t>
        </is>
      </c>
      <c r="G12" s="5" t="n"/>
    </row>
    <row r="13">
      <c r="B13" s="19" t="inlineStr">
        <is>
          <t>Simulasi Unit C</t>
        </is>
      </c>
      <c r="C13" s="19" t="n">
        <v>600000</v>
      </c>
      <c r="E13" s="20" t="inlineStr">
        <is>
          <t>Contoh Hasil Benar:</t>
        </is>
      </c>
      <c r="F13" s="23">
        <f>SMALL(C11:C14, 3)</f>
        <v/>
      </c>
      <c r="G13" s="5" t="n"/>
    </row>
    <row r="14">
      <c r="B14" s="19" t="inlineStr">
        <is>
          <t>Simulasi Unit D</t>
        </is>
      </c>
      <c r="C14" s="19" t="n">
        <v>950000</v>
      </c>
    </row>
    <row r="16" ht="26" customHeight="1">
      <c r="B16" s="24" t="inlineStr">
        <is>
          <t>3️⃣ 5 SOAL TES DUNIA NYATA — KERJAKAN DI KOTAK KUNING (TANPA KUNCI RUMUS / HASIL DI SINI!)</t>
        </is>
      </c>
    </row>
    <row r="17" ht="20" customHeight="1">
      <c r="B17" s="25" t="inlineStr">
        <is>
          <t>📌 Catatan Tes: Soal Tes #1 s/d #5 di bawah ini tidak menampilkan kunci rumus maupun hasil. Kunci jawaban lengkap tersedia di sheet paling terakhir (99_KUNCI_JAWABAN).</t>
        </is>
      </c>
    </row>
    <row r="19" ht="22" customHeight="1">
      <c r="B19" s="26" t="inlineStr">
        <is>
          <t>📝 SOAL TES #1: Kasus Keuangan &amp; Akuntansi Kantor</t>
        </is>
      </c>
    </row>
    <row r="20" ht="30" customHeight="1">
      <c r="B20" s="14" t="inlineStr">
        <is>
          <t>Peserta / Cabang</t>
        </is>
      </c>
      <c r="C20" s="14" t="inlineStr">
        <is>
          <t>Skor Capaian</t>
        </is>
      </c>
      <c r="E20" s="27" t="inlineStr">
        <is>
          <t>Persoalan Tes #1: Temukan nilai pada urutan ke-1 dari rentang data C21:C24 menggunakan fungsi SMALL!</t>
        </is>
      </c>
    </row>
    <row r="21">
      <c r="B21" s="19" t="inlineStr">
        <is>
          <t>Cabang Jakarta</t>
        </is>
      </c>
      <c r="C21" s="19" t="n">
        <v>1250000</v>
      </c>
      <c r="E21" s="14" t="inlineStr">
        <is>
          <t>✏️ KETIK RUMUS JAWABAN TES DI BAWAH:</t>
        </is>
      </c>
      <c r="F21" s="14" t="inlineStr">
        <is>
          <t>📌 STATUS KOREKSI JAWABAN TES:</t>
        </is>
      </c>
      <c r="G21" s="5" t="n"/>
    </row>
    <row r="22" ht="26" customHeight="1">
      <c r="B22" s="19" t="inlineStr">
        <is>
          <t>Cabang Bandung</t>
        </is>
      </c>
      <c r="C22" s="19" t="n">
        <v>1850000</v>
      </c>
      <c r="E22" s="28" t="n"/>
      <c r="F22" s="29">
        <f>IF(ISBLANK(E22), "⏳ Belum Diisi (Ketik Rumus di Sel Kuning E22)", IF(E22='99_KUNCI_JAWABAN'!F370, "✅ BENAR! JAWABAN TES TEPAT!", "❌ Belum Tepat (Cek Sheet Akhir: 99_KUNCI_JAWABAN)"))</f>
        <v/>
      </c>
      <c r="G22" s="5" t="n"/>
    </row>
    <row r="23">
      <c r="B23" s="19" t="inlineStr">
        <is>
          <t>Cabang Surabaya</t>
        </is>
      </c>
      <c r="C23" s="19" t="n">
        <v>2100000</v>
      </c>
    </row>
    <row r="24">
      <c r="B24" s="19" t="inlineStr">
        <is>
          <t>Cabang Medan</t>
        </is>
      </c>
      <c r="C24" s="19" t="n">
        <v>1600000</v>
      </c>
    </row>
    <row r="27" ht="22" customHeight="1">
      <c r="B27" s="26" t="inlineStr">
        <is>
          <t>📝 SOAL TES #2: Kasus HRD, Gaji &amp; Lembur Karyawan</t>
        </is>
      </c>
    </row>
    <row r="28" ht="30" customHeight="1">
      <c r="B28" s="14" t="inlineStr">
        <is>
          <t>Peserta / Cabang</t>
        </is>
      </c>
      <c r="C28" s="14" t="inlineStr">
        <is>
          <t>Skor Capaian</t>
        </is>
      </c>
      <c r="E28" s="27" t="inlineStr">
        <is>
          <t>Persoalan Tes #2: Temukan nilai pada urutan ke-2 dari rentang data C29:C32 menggunakan fungsi SMALL!</t>
        </is>
      </c>
    </row>
    <row r="29">
      <c r="B29" s="19" t="inlineStr">
        <is>
          <t>Budi Santoso</t>
        </is>
      </c>
      <c r="C29" s="19" t="n">
        <v>4500000</v>
      </c>
      <c r="E29" s="14" t="inlineStr">
        <is>
          <t>✏️ KETIK RUMUS JAWABAN TES DI BAWAH:</t>
        </is>
      </c>
      <c r="F29" s="14" t="inlineStr">
        <is>
          <t>📌 STATUS KOREKSI JAWABAN TES:</t>
        </is>
      </c>
      <c r="G29" s="5" t="n"/>
    </row>
    <row r="30" ht="26" customHeight="1">
      <c r="B30" s="19" t="inlineStr">
        <is>
          <t>Siti Aminah</t>
        </is>
      </c>
      <c r="C30" s="19" t="n">
        <v>5200000</v>
      </c>
      <c r="E30" s="28" t="n"/>
      <c r="F30" s="29">
        <f>IF(ISBLANK(E30), "⏳ Belum Diisi (Ketik Rumus di Sel Kuning E30)", IF(E30='99_KUNCI_JAWABAN'!F371, "✅ BENAR! JAWABAN TES TEPAT!", "❌ Belum Tepat (Cek Sheet Akhir: 99_KUNCI_JAWABAN)"))</f>
        <v/>
      </c>
      <c r="G30" s="5" t="n"/>
    </row>
    <row r="31">
      <c r="B31" s="19" t="inlineStr">
        <is>
          <t>Andi Pratama</t>
        </is>
      </c>
      <c r="C31" s="19" t="n">
        <v>4800000</v>
      </c>
    </row>
    <row r="32">
      <c r="B32" s="19" t="inlineStr">
        <is>
          <t>Rina Wijaya</t>
        </is>
      </c>
      <c r="C32" s="19" t="n">
        <v>6100000</v>
      </c>
    </row>
    <row r="35" ht="22" customHeight="1">
      <c r="B35" s="26" t="inlineStr">
        <is>
          <t>📝 SOAL TES #3: Kasus Logistik &amp; Stok Gudang Utama</t>
        </is>
      </c>
    </row>
    <row r="36" ht="30" customHeight="1">
      <c r="B36" s="14" t="inlineStr">
        <is>
          <t>Peserta / Cabang</t>
        </is>
      </c>
      <c r="C36" s="14" t="inlineStr">
        <is>
          <t>Skor Capaian</t>
        </is>
      </c>
      <c r="E36" s="27" t="inlineStr">
        <is>
          <t>Persoalan Tes #3: Temukan nilai pada urutan ke-3 dari rentang data C37:C40 menggunakan fungsi SMALL!</t>
        </is>
      </c>
    </row>
    <row r="37">
      <c r="B37" s="19" t="inlineStr">
        <is>
          <t>Gudang Blok A</t>
        </is>
      </c>
      <c r="C37" s="19" t="n">
        <v>240</v>
      </c>
      <c r="E37" s="14" t="inlineStr">
        <is>
          <t>✏️ KETIK RUMUS JAWABAN TES DI BAWAH:</t>
        </is>
      </c>
      <c r="F37" s="14" t="inlineStr">
        <is>
          <t>📌 STATUS KOREKSI JAWABAN TES:</t>
        </is>
      </c>
      <c r="G37" s="5" t="n"/>
    </row>
    <row r="38" ht="26" customHeight="1">
      <c r="B38" s="19" t="inlineStr">
        <is>
          <t>Gudang Blok B</t>
        </is>
      </c>
      <c r="C38" s="19" t="n">
        <v>380</v>
      </c>
      <c r="E38" s="28" t="n"/>
      <c r="F38" s="29">
        <f>IF(ISBLANK(E38), "⏳ Belum Diisi (Ketik Rumus di Sel Kuning E38)", IF(E38='99_KUNCI_JAWABAN'!F372, "✅ BENAR! JAWABAN TES TEPAT!", "❌ Belum Tepat (Cek Sheet Akhir: 99_KUNCI_JAWABAN)"))</f>
        <v/>
      </c>
      <c r="G38" s="5" t="n"/>
    </row>
    <row r="39">
      <c r="B39" s="19" t="inlineStr">
        <is>
          <t>Gudang Blok C</t>
        </is>
      </c>
      <c r="C39" s="19" t="n">
        <v>195</v>
      </c>
    </row>
    <row r="40">
      <c r="B40" s="19" t="inlineStr">
        <is>
          <t>Gudang Blok D</t>
        </is>
      </c>
      <c r="C40" s="19" t="n">
        <v>425</v>
      </c>
    </row>
    <row r="43" ht="22" customHeight="1">
      <c r="B43" s="26" t="inlineStr">
        <is>
          <t>📝 SOAL TES #4: Kasus Penjualan Retail &amp; Target Toko</t>
        </is>
      </c>
    </row>
    <row r="44" ht="30" customHeight="1">
      <c r="B44" s="14" t="inlineStr">
        <is>
          <t>Peserta / Cabang</t>
        </is>
      </c>
      <c r="C44" s="14" t="inlineStr">
        <is>
          <t>Skor Capaian</t>
        </is>
      </c>
      <c r="E44" s="27" t="inlineStr">
        <is>
          <t>Persoalan Tes #4: Temukan nilai pada urutan ke-1 dari rentang data C45:C48 menggunakan fungsi SMALL!</t>
        </is>
      </c>
    </row>
    <row r="45">
      <c r="B45" s="19" t="inlineStr">
        <is>
          <t>Toko Elektronik</t>
        </is>
      </c>
      <c r="C45" s="19" t="n">
        <v>85</v>
      </c>
      <c r="E45" s="14" t="inlineStr">
        <is>
          <t>✏️ KETIK RUMUS JAWABAN TES DI BAWAH:</t>
        </is>
      </c>
      <c r="F45" s="14" t="inlineStr">
        <is>
          <t>📌 STATUS KOREKSI JAWABAN TES:</t>
        </is>
      </c>
      <c r="G45" s="5" t="n"/>
    </row>
    <row r="46" ht="26" customHeight="1">
      <c r="B46" s="19" t="inlineStr">
        <is>
          <t>Toko Komputer</t>
        </is>
      </c>
      <c r="C46" s="19" t="n">
        <v>92</v>
      </c>
      <c r="E46" s="28" t="n"/>
      <c r="F46" s="29">
        <f>IF(ISBLANK(E46), "⏳ Belum Diisi (Ketik Rumus di Sel Kuning E46)", IF(E46='99_KUNCI_JAWABAN'!F373, "✅ BENAR! JAWABAN TES TEPAT!", "❌ Belum Tepat (Cek Sheet Akhir: 99_KUNCI_JAWABAN)"))</f>
        <v/>
      </c>
      <c r="G46" s="5" t="n"/>
    </row>
    <row r="47">
      <c r="B47" s="19" t="inlineStr">
        <is>
          <t>Toko Aksesoris</t>
        </is>
      </c>
      <c r="C47" s="19" t="n">
        <v>78</v>
      </c>
    </row>
    <row r="48">
      <c r="B48" s="19" t="inlineStr">
        <is>
          <t>Toko Servis</t>
        </is>
      </c>
      <c r="C48" s="19" t="n">
        <v>95</v>
      </c>
    </row>
    <row r="51" ht="22" customHeight="1">
      <c r="B51" s="26" t="inlineStr">
        <is>
          <t>📝 SOAL TES #5: Kasus Akademik Sekolah &amp; Layanan Publik</t>
        </is>
      </c>
    </row>
    <row r="52" ht="30" customHeight="1">
      <c r="B52" s="14" t="inlineStr">
        <is>
          <t>Peserta / Cabang</t>
        </is>
      </c>
      <c r="C52" s="14" t="inlineStr">
        <is>
          <t>Skor Capaian</t>
        </is>
      </c>
      <c r="E52" s="27" t="inlineStr">
        <is>
          <t>Persoalan Tes #5: Temukan nilai pada urutan ke-2 dari rentang data C53:C56 menggunakan fungsi SMALL!</t>
        </is>
      </c>
    </row>
    <row r="53">
      <c r="B53" s="19" t="inlineStr">
        <is>
          <t>Kelas 10 IPA</t>
        </is>
      </c>
      <c r="C53" s="19" t="n">
        <v>82</v>
      </c>
      <c r="E53" s="14" t="inlineStr">
        <is>
          <t>✏️ KETIK RUMUS JAWABAN TES DI BAWAH:</t>
        </is>
      </c>
      <c r="F53" s="14" t="inlineStr">
        <is>
          <t>📌 STATUS KOREKSI JAWABAN TES:</t>
        </is>
      </c>
      <c r="G53" s="5" t="n"/>
    </row>
    <row r="54" ht="26" customHeight="1">
      <c r="B54" s="19" t="inlineStr">
        <is>
          <t>Kelas 11 IPA</t>
        </is>
      </c>
      <c r="C54" s="19" t="n">
        <v>88</v>
      </c>
      <c r="E54" s="28" t="n"/>
      <c r="F54" s="29">
        <f>IF(ISBLANK(E54), "⏳ Belum Diisi (Ketik Rumus di Sel Kuning E54)", IF(E54='99_KUNCI_JAWABAN'!F374, "✅ BENAR! JAWABAN TES TEPAT!", "❌ Belum Tepat (Cek Sheet Akhir: 99_KUNCI_JAWABAN)"))</f>
        <v/>
      </c>
      <c r="G54" s="5" t="n"/>
    </row>
    <row r="55">
      <c r="B55" s="19" t="inlineStr">
        <is>
          <t>Kelas 12 IPA</t>
        </is>
      </c>
      <c r="C55" s="19" t="n">
        <v>91</v>
      </c>
    </row>
    <row r="56">
      <c r="B56" s="19" t="inlineStr">
        <is>
          <t>Kelas Unggulan</t>
        </is>
      </c>
      <c r="C56" s="19" t="n">
        <v>79</v>
      </c>
    </row>
  </sheetData>
  <mergeCells count="33">
    <mergeCell ref="E10:G10"/>
    <mergeCell ref="F11:G11"/>
    <mergeCell ref="E28:G28"/>
    <mergeCell ref="F29:G29"/>
    <mergeCell ref="C6:G6"/>
    <mergeCell ref="F54:G54"/>
    <mergeCell ref="B17:G17"/>
    <mergeCell ref="B1:G1"/>
    <mergeCell ref="C5:G5"/>
    <mergeCell ref="B19:G19"/>
    <mergeCell ref="F21:G21"/>
    <mergeCell ref="F12:G12"/>
    <mergeCell ref="F30:G30"/>
    <mergeCell ref="E36:G36"/>
    <mergeCell ref="B9:G9"/>
    <mergeCell ref="F45:G45"/>
    <mergeCell ref="B51:G51"/>
    <mergeCell ref="F38:G38"/>
    <mergeCell ref="B35:G35"/>
    <mergeCell ref="B4:G4"/>
    <mergeCell ref="F46:G46"/>
    <mergeCell ref="F22:G22"/>
    <mergeCell ref="B2:E2"/>
    <mergeCell ref="F13:G13"/>
    <mergeCell ref="B16:G16"/>
    <mergeCell ref="F37:G37"/>
    <mergeCell ref="C7:G7"/>
    <mergeCell ref="E52:G52"/>
    <mergeCell ref="B27:G27"/>
    <mergeCell ref="B43:G43"/>
    <mergeCell ref="E44:G44"/>
    <mergeCell ref="E20:G20"/>
    <mergeCell ref="F53:G53"/>
  </mergeCells>
  <hyperlinks>
    <hyperlink xmlns:r="http://schemas.openxmlformats.org/officeDocument/2006/relationships" ref="F2" r:id="rId1"/>
    <hyperlink xmlns:r="http://schemas.openxmlformats.org/officeDocument/2006/relationships" ref="G2" r:id="rId2"/>
  </hyperlinks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B1:G56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22" customWidth="1" min="3" max="3"/>
    <col width="4" customWidth="1" min="4" max="4"/>
    <col width="34" customWidth="1" min="5" max="5"/>
    <col width="44" customWidth="1" min="6" max="6"/>
    <col width="28" customWidth="1" min="7" max="7"/>
  </cols>
  <sheetData>
    <row r="1" ht="30" customHeight="1">
      <c r="B1" s="10" t="inlineStr">
        <is>
          <t>📊 #075 — RUMUS EXCEL: STANDARDIZE   |   Kategori: 8. Statistik &amp; Analisis Data</t>
        </is>
      </c>
    </row>
    <row r="2" ht="22" customHeight="1">
      <c r="B2" s="11" t="inlineStr">
        <is>
          <t>1 Rumus = 1 Contoh Soal + Jawaban Benar &amp; 5 Soal Tes Mandiri (Kunci Jawaban Ada di Sheet Paling Terakhir)</t>
        </is>
      </c>
      <c r="F2" s="12" t="inlineStr">
        <is>
          <t>⬅️ Ke Daftar Isi (00_DAFTAR_ISI)</t>
        </is>
      </c>
      <c r="G2" s="3" t="inlineStr">
        <is>
          <t>🔑 Ke Kunci Jawaban (Sheet Akhir)</t>
        </is>
      </c>
    </row>
    <row r="4" ht="24" customHeight="1">
      <c r="B4" s="13" t="inlineStr">
        <is>
          <t>1️⃣ IDENTITAS RUMUS &amp; FUNGSINYA BUAT APA? (STANDARDIZE)</t>
        </is>
      </c>
    </row>
    <row r="5" ht="21" customHeight="1">
      <c r="B5" s="14" t="inlineStr">
        <is>
          <t>Nama Rumus Excel</t>
        </is>
      </c>
      <c r="C5" s="15">
        <f>STANDARDIZE(...)</f>
        <v/>
      </c>
      <c r="D5" s="5" t="n"/>
      <c r="E5" s="5" t="n"/>
      <c r="F5" s="5" t="n"/>
      <c r="G5" s="5" t="n"/>
    </row>
    <row r="6" ht="21" customHeight="1">
      <c r="B6" s="14" t="inlineStr">
        <is>
          <t>Sintaks / Pola Umum</t>
        </is>
      </c>
      <c r="C6" s="15">
        <f>STANDARDIZE(x, mean, standard_dev)</f>
        <v/>
      </c>
      <c r="D6" s="5" t="n"/>
      <c r="E6" s="5" t="n"/>
      <c r="F6" s="5" t="n"/>
      <c r="G6" s="5" t="n"/>
    </row>
    <row r="7" ht="26" customHeight="1">
      <c r="B7" s="14" t="inlineStr">
        <is>
          <t>👶 Fungsinya Buat Apa?</t>
        </is>
      </c>
      <c r="C7" s="16" t="inlineStr">
        <is>
          <t>Menghitung nilai baku (Z-score) dari distribusi yang memiliki rata-rata dan simpangan baku.</t>
        </is>
      </c>
      <c r="D7" s="5" t="n"/>
      <c r="E7" s="5" t="n"/>
      <c r="F7" s="5" t="n"/>
      <c r="G7" s="5" t="n"/>
    </row>
    <row r="9" ht="24" customHeight="1">
      <c r="B9" s="17" t="inlineStr">
        <is>
          <t>2️⃣ 1 CONTOH SOAL &amp; CONTOH JAWABAN BENAR (PELAJARI POLA RUMUS STANDARDIZE DI SINI)</t>
        </is>
      </c>
    </row>
    <row r="10">
      <c r="B10" s="18" t="inlineStr">
        <is>
          <t>Parameter Input</t>
        </is>
      </c>
      <c r="C10" s="18" t="inlineStr">
        <is>
          <t>Nilai Parameter</t>
        </is>
      </c>
      <c r="E10" s="18" t="inlineStr">
        <is>
          <t>✅ 1 CONTOH SOAL BESERTA CONTOH RUMUS &amp; HASIL JAWABAN BENAR:</t>
        </is>
      </c>
      <c r="F10" s="5" t="n"/>
      <c r="G10" s="5" t="n"/>
    </row>
    <row r="11" ht="28" customHeight="1">
      <c r="B11" s="19" t="inlineStr">
        <is>
          <t>Nilai X (C11)</t>
        </is>
      </c>
      <c r="C11" s="19" t="n">
        <v>92</v>
      </c>
      <c r="E11" s="20" t="inlineStr">
        <is>
          <t>Contoh Soal:</t>
        </is>
      </c>
      <c r="F11" s="21" t="inlineStr">
        <is>
          <t>Hitung nilai baku Z-score menggunakan fungsi STANDARDIZE dengan parameter X di C11, Mean di C12, dan Standar Deviasi di C13!</t>
        </is>
      </c>
      <c r="G11" s="5" t="n"/>
    </row>
    <row r="12">
      <c r="B12" s="19" t="inlineStr">
        <is>
          <t>Rata-rata Mean (C12)</t>
        </is>
      </c>
      <c r="C12" s="19" t="n">
        <v>75</v>
      </c>
      <c r="E12" s="20" t="inlineStr">
        <is>
          <t>Contoh Rumus Benar:</t>
        </is>
      </c>
      <c r="F12" s="22" t="inlineStr">
        <is>
          <t>'=STANDARDIZE(C11, C12, C13)</t>
        </is>
      </c>
      <c r="G12" s="5" t="n"/>
    </row>
    <row r="13">
      <c r="B13" s="19" t="inlineStr">
        <is>
          <t>Simpangan Baku SD (C13)</t>
        </is>
      </c>
      <c r="C13" s="19" t="n">
        <v>10</v>
      </c>
      <c r="E13" s="20" t="inlineStr">
        <is>
          <t>Contoh Hasil Benar:</t>
        </is>
      </c>
      <c r="F13" s="23">
        <f>STANDARDIZE(C11, C12, C13)</f>
        <v/>
      </c>
      <c r="G13" s="5" t="n"/>
    </row>
    <row r="14">
      <c r="B14" s="19" t="inlineStr">
        <is>
          <t>Cadangan</t>
        </is>
      </c>
      <c r="C14" s="19" t="n">
        <v>1</v>
      </c>
    </row>
    <row r="16" ht="26" customHeight="1">
      <c r="B16" s="24" t="inlineStr">
        <is>
          <t>3️⃣ 5 SOAL TES DUNIA NYATA — KERJAKAN DI KOTAK KUNING (TANPA KUNCI RUMUS / HASIL DI SINI!)</t>
        </is>
      </c>
    </row>
    <row r="17" ht="20" customHeight="1">
      <c r="B17" s="25" t="inlineStr">
        <is>
          <t>📌 Catatan Tes: Soal Tes #1 s/d #5 di bawah ini tidak menampilkan kunci rumus maupun hasil. Kunci jawaban lengkap tersedia di sheet paling terakhir (99_KUNCI_JAWABAN).</t>
        </is>
      </c>
    </row>
    <row r="19" ht="22" customHeight="1">
      <c r="B19" s="26" t="inlineStr">
        <is>
          <t>📝 SOAL TES #1: Kasus Keuangan &amp; Akuntansi Kantor</t>
        </is>
      </c>
    </row>
    <row r="20" ht="30" customHeight="1">
      <c r="B20" s="14" t="inlineStr">
        <is>
          <t>Parameter Input</t>
        </is>
      </c>
      <c r="C20" s="14" t="inlineStr">
        <is>
          <t>Nilai Parameter</t>
        </is>
      </c>
      <c r="E20" s="27" t="inlineStr">
        <is>
          <t>Persoalan Tes #1: Hitung nilai baku Z-score menggunakan fungsi STANDARDIZE dengan parameter X di C21, Mean di C22, dan Standar Deviasi di C23!</t>
        </is>
      </c>
    </row>
    <row r="21">
      <c r="B21" s="19" t="inlineStr">
        <is>
          <t>Nilai X (C21)</t>
        </is>
      </c>
      <c r="C21" s="19" t="n">
        <v>82</v>
      </c>
      <c r="E21" s="14" t="inlineStr">
        <is>
          <t>✏️ KETIK RUMUS JAWABAN TES DI BAWAH:</t>
        </is>
      </c>
      <c r="F21" s="14" t="inlineStr">
        <is>
          <t>📌 STATUS KOREKSI JAWABAN TES:</t>
        </is>
      </c>
      <c r="G21" s="5" t="n"/>
    </row>
    <row r="22" ht="26" customHeight="1">
      <c r="B22" s="19" t="inlineStr">
        <is>
          <t>Rata-rata Mean (C22)</t>
        </is>
      </c>
      <c r="C22" s="19" t="n">
        <v>75</v>
      </c>
      <c r="E22" s="28" t="n"/>
      <c r="F22" s="29">
        <f>IF(ISBLANK(E22), "⏳ Belum Diisi (Ketik Rumus di Sel Kuning E22)", IF(E22='99_KUNCI_JAWABAN'!F375, "✅ BENAR! JAWABAN TES TEPAT!", "❌ Belum Tepat (Cek Sheet Akhir: 99_KUNCI_JAWABAN)"))</f>
        <v/>
      </c>
      <c r="G22" s="5" t="n"/>
    </row>
    <row r="23">
      <c r="B23" s="19" t="inlineStr">
        <is>
          <t>Simpangan Baku SD (C23)</t>
        </is>
      </c>
      <c r="C23" s="19" t="n">
        <v>10</v>
      </c>
    </row>
    <row r="24">
      <c r="B24" s="19" t="inlineStr">
        <is>
          <t>Cadangan</t>
        </is>
      </c>
      <c r="C24" s="19" t="n">
        <v>1</v>
      </c>
    </row>
    <row r="27" ht="22" customHeight="1">
      <c r="B27" s="26" t="inlineStr">
        <is>
          <t>📝 SOAL TES #2: Kasus HRD, Gaji &amp; Lembur Karyawan</t>
        </is>
      </c>
    </row>
    <row r="28" ht="30" customHeight="1">
      <c r="B28" s="14" t="inlineStr">
        <is>
          <t>Parameter Input</t>
        </is>
      </c>
      <c r="C28" s="14" t="inlineStr">
        <is>
          <t>Nilai Parameter</t>
        </is>
      </c>
      <c r="E28" s="27" t="inlineStr">
        <is>
          <t>Persoalan Tes #2: Hitung nilai baku Z-score menggunakan fungsi STANDARDIZE dengan parameter X di C29, Mean di C30, dan Standar Deviasi di C31!</t>
        </is>
      </c>
    </row>
    <row r="29">
      <c r="B29" s="19" t="inlineStr">
        <is>
          <t>Nilai X (C29)</t>
        </is>
      </c>
      <c r="C29" s="19" t="n">
        <v>84</v>
      </c>
      <c r="E29" s="14" t="inlineStr">
        <is>
          <t>✏️ KETIK RUMUS JAWABAN TES DI BAWAH:</t>
        </is>
      </c>
      <c r="F29" s="14" t="inlineStr">
        <is>
          <t>📌 STATUS KOREKSI JAWABAN TES:</t>
        </is>
      </c>
      <c r="G29" s="5" t="n"/>
    </row>
    <row r="30" ht="26" customHeight="1">
      <c r="B30" s="19" t="inlineStr">
        <is>
          <t>Rata-rata Mean (C30)</t>
        </is>
      </c>
      <c r="C30" s="19" t="n">
        <v>75</v>
      </c>
      <c r="E30" s="28" t="n"/>
      <c r="F30" s="29">
        <f>IF(ISBLANK(E30), "⏳ Belum Diisi (Ketik Rumus di Sel Kuning E30)", IF(E30='99_KUNCI_JAWABAN'!F376, "✅ BENAR! JAWABAN TES TEPAT!", "❌ Belum Tepat (Cek Sheet Akhir: 99_KUNCI_JAWABAN)"))</f>
        <v/>
      </c>
      <c r="G30" s="5" t="n"/>
    </row>
    <row r="31">
      <c r="B31" s="19" t="inlineStr">
        <is>
          <t>Simpangan Baku SD (C31)</t>
        </is>
      </c>
      <c r="C31" s="19" t="n">
        <v>10</v>
      </c>
    </row>
    <row r="32">
      <c r="B32" s="19" t="inlineStr">
        <is>
          <t>Cadangan</t>
        </is>
      </c>
      <c r="C32" s="19" t="n">
        <v>1</v>
      </c>
    </row>
    <row r="35" ht="22" customHeight="1">
      <c r="B35" s="26" t="inlineStr">
        <is>
          <t>📝 SOAL TES #3: Kasus Logistik &amp; Stok Gudang Utama</t>
        </is>
      </c>
    </row>
    <row r="36" ht="30" customHeight="1">
      <c r="B36" s="14" t="inlineStr">
        <is>
          <t>Parameter Input</t>
        </is>
      </c>
      <c r="C36" s="14" t="inlineStr">
        <is>
          <t>Nilai Parameter</t>
        </is>
      </c>
      <c r="E36" s="27" t="inlineStr">
        <is>
          <t>Persoalan Tes #3: Hitung nilai baku Z-score menggunakan fungsi STANDARDIZE dengan parameter X di C37, Mean di C38, dan Standar Deviasi di C39!</t>
        </is>
      </c>
    </row>
    <row r="37">
      <c r="B37" s="19" t="inlineStr">
        <is>
          <t>Nilai X (C37)</t>
        </is>
      </c>
      <c r="C37" s="19" t="n">
        <v>86</v>
      </c>
      <c r="E37" s="14" t="inlineStr">
        <is>
          <t>✏️ KETIK RUMUS JAWABAN TES DI BAWAH:</t>
        </is>
      </c>
      <c r="F37" s="14" t="inlineStr">
        <is>
          <t>📌 STATUS KOREKSI JAWABAN TES:</t>
        </is>
      </c>
      <c r="G37" s="5" t="n"/>
    </row>
    <row r="38" ht="26" customHeight="1">
      <c r="B38" s="19" t="inlineStr">
        <is>
          <t>Rata-rata Mean (C38)</t>
        </is>
      </c>
      <c r="C38" s="19" t="n">
        <v>75</v>
      </c>
      <c r="E38" s="28" t="n"/>
      <c r="F38" s="29">
        <f>IF(ISBLANK(E38), "⏳ Belum Diisi (Ketik Rumus di Sel Kuning E38)", IF(E38='99_KUNCI_JAWABAN'!F377, "✅ BENAR! JAWABAN TES TEPAT!", "❌ Belum Tepat (Cek Sheet Akhir: 99_KUNCI_JAWABAN)"))</f>
        <v/>
      </c>
      <c r="G38" s="5" t="n"/>
    </row>
    <row r="39">
      <c r="B39" s="19" t="inlineStr">
        <is>
          <t>Simpangan Baku SD (C39)</t>
        </is>
      </c>
      <c r="C39" s="19" t="n">
        <v>10</v>
      </c>
    </row>
    <row r="40">
      <c r="B40" s="19" t="inlineStr">
        <is>
          <t>Cadangan</t>
        </is>
      </c>
      <c r="C40" s="19" t="n">
        <v>1</v>
      </c>
    </row>
    <row r="43" ht="22" customHeight="1">
      <c r="B43" s="26" t="inlineStr">
        <is>
          <t>📝 SOAL TES #4: Kasus Penjualan Retail &amp; Target Toko</t>
        </is>
      </c>
    </row>
    <row r="44" ht="30" customHeight="1">
      <c r="B44" s="14" t="inlineStr">
        <is>
          <t>Parameter Input</t>
        </is>
      </c>
      <c r="C44" s="14" t="inlineStr">
        <is>
          <t>Nilai Parameter</t>
        </is>
      </c>
      <c r="E44" s="27" t="inlineStr">
        <is>
          <t>Persoalan Tes #4: Hitung nilai baku Z-score menggunakan fungsi STANDARDIZE dengan parameter X di C45, Mean di C46, dan Standar Deviasi di C47!</t>
        </is>
      </c>
    </row>
    <row r="45">
      <c r="B45" s="19" t="inlineStr">
        <is>
          <t>Nilai X (C45)</t>
        </is>
      </c>
      <c r="C45" s="19" t="n">
        <v>88</v>
      </c>
      <c r="E45" s="14" t="inlineStr">
        <is>
          <t>✏️ KETIK RUMUS JAWABAN TES DI BAWAH:</t>
        </is>
      </c>
      <c r="F45" s="14" t="inlineStr">
        <is>
          <t>📌 STATUS KOREKSI JAWABAN TES:</t>
        </is>
      </c>
      <c r="G45" s="5" t="n"/>
    </row>
    <row r="46" ht="26" customHeight="1">
      <c r="B46" s="19" t="inlineStr">
        <is>
          <t>Rata-rata Mean (C46)</t>
        </is>
      </c>
      <c r="C46" s="19" t="n">
        <v>75</v>
      </c>
      <c r="E46" s="28" t="n"/>
      <c r="F46" s="29">
        <f>IF(ISBLANK(E46), "⏳ Belum Diisi (Ketik Rumus di Sel Kuning E46)", IF(E46='99_KUNCI_JAWABAN'!F378, "✅ BENAR! JAWABAN TES TEPAT!", "❌ Belum Tepat (Cek Sheet Akhir: 99_KUNCI_JAWABAN)"))</f>
        <v/>
      </c>
      <c r="G46" s="5" t="n"/>
    </row>
    <row r="47">
      <c r="B47" s="19" t="inlineStr">
        <is>
          <t>Simpangan Baku SD (C47)</t>
        </is>
      </c>
      <c r="C47" s="19" t="n">
        <v>10</v>
      </c>
    </row>
    <row r="48">
      <c r="B48" s="19" t="inlineStr">
        <is>
          <t>Cadangan</t>
        </is>
      </c>
      <c r="C48" s="19" t="n">
        <v>1</v>
      </c>
    </row>
    <row r="51" ht="22" customHeight="1">
      <c r="B51" s="26" t="inlineStr">
        <is>
          <t>📝 SOAL TES #5: Kasus Akademik Sekolah &amp; Layanan Publik</t>
        </is>
      </c>
    </row>
    <row r="52" ht="30" customHeight="1">
      <c r="B52" s="14" t="inlineStr">
        <is>
          <t>Parameter Input</t>
        </is>
      </c>
      <c r="C52" s="14" t="inlineStr">
        <is>
          <t>Nilai Parameter</t>
        </is>
      </c>
      <c r="E52" s="27" t="inlineStr">
        <is>
          <t>Persoalan Tes #5: Hitung nilai baku Z-score menggunakan fungsi STANDARDIZE dengan parameter X di C53, Mean di C54, dan Standar Deviasi di C55!</t>
        </is>
      </c>
    </row>
    <row r="53">
      <c r="B53" s="19" t="inlineStr">
        <is>
          <t>Nilai X (C53)</t>
        </is>
      </c>
      <c r="C53" s="19" t="n">
        <v>90</v>
      </c>
      <c r="E53" s="14" t="inlineStr">
        <is>
          <t>✏️ KETIK RUMUS JAWABAN TES DI BAWAH:</t>
        </is>
      </c>
      <c r="F53" s="14" t="inlineStr">
        <is>
          <t>📌 STATUS KOREKSI JAWABAN TES:</t>
        </is>
      </c>
      <c r="G53" s="5" t="n"/>
    </row>
    <row r="54" ht="26" customHeight="1">
      <c r="B54" s="19" t="inlineStr">
        <is>
          <t>Rata-rata Mean (C54)</t>
        </is>
      </c>
      <c r="C54" s="19" t="n">
        <v>75</v>
      </c>
      <c r="E54" s="28" t="n"/>
      <c r="F54" s="29">
        <f>IF(ISBLANK(E54), "⏳ Belum Diisi (Ketik Rumus di Sel Kuning E54)", IF(E54='99_KUNCI_JAWABAN'!F379, "✅ BENAR! JAWABAN TES TEPAT!", "❌ Belum Tepat (Cek Sheet Akhir: 99_KUNCI_JAWABAN)"))</f>
        <v/>
      </c>
      <c r="G54" s="5" t="n"/>
    </row>
    <row r="55">
      <c r="B55" s="19" t="inlineStr">
        <is>
          <t>Simpangan Baku SD (C55)</t>
        </is>
      </c>
      <c r="C55" s="19" t="n">
        <v>10</v>
      </c>
    </row>
    <row r="56">
      <c r="B56" s="19" t="inlineStr">
        <is>
          <t>Cadangan</t>
        </is>
      </c>
      <c r="C56" s="19" t="n">
        <v>1</v>
      </c>
    </row>
  </sheetData>
  <mergeCells count="33">
    <mergeCell ref="E10:G10"/>
    <mergeCell ref="F11:G11"/>
    <mergeCell ref="E28:G28"/>
    <mergeCell ref="F29:G29"/>
    <mergeCell ref="C6:G6"/>
    <mergeCell ref="F54:G54"/>
    <mergeCell ref="B17:G17"/>
    <mergeCell ref="B1:G1"/>
    <mergeCell ref="C5:G5"/>
    <mergeCell ref="B19:G19"/>
    <mergeCell ref="F21:G21"/>
    <mergeCell ref="F12:G12"/>
    <mergeCell ref="F30:G30"/>
    <mergeCell ref="E36:G36"/>
    <mergeCell ref="B9:G9"/>
    <mergeCell ref="F45:G45"/>
    <mergeCell ref="B51:G51"/>
    <mergeCell ref="F38:G38"/>
    <mergeCell ref="B35:G35"/>
    <mergeCell ref="B4:G4"/>
    <mergeCell ref="F46:G46"/>
    <mergeCell ref="F22:G22"/>
    <mergeCell ref="B2:E2"/>
    <mergeCell ref="F13:G13"/>
    <mergeCell ref="B16:G16"/>
    <mergeCell ref="F37:G37"/>
    <mergeCell ref="C7:G7"/>
    <mergeCell ref="E52:G52"/>
    <mergeCell ref="B27:G27"/>
    <mergeCell ref="B43:G43"/>
    <mergeCell ref="E44:G44"/>
    <mergeCell ref="E20:G20"/>
    <mergeCell ref="F53:G53"/>
  </mergeCells>
  <hyperlinks>
    <hyperlink xmlns:r="http://schemas.openxmlformats.org/officeDocument/2006/relationships" ref="F2" r:id="rId1"/>
    <hyperlink xmlns:r="http://schemas.openxmlformats.org/officeDocument/2006/relationships" ref="G2" r:id="rId2"/>
  </hyperlinks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B1:G56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22" customWidth="1" min="3" max="3"/>
    <col width="4" customWidth="1" min="4" max="4"/>
    <col width="34" customWidth="1" min="5" max="5"/>
    <col width="44" customWidth="1" min="6" max="6"/>
    <col width="28" customWidth="1" min="7" max="7"/>
  </cols>
  <sheetData>
    <row r="1" ht="30" customHeight="1">
      <c r="B1" s="10" t="inlineStr">
        <is>
          <t>📊 #076 — RUMUS EXCEL: STDEV.P   |   Kategori: 8. Statistik &amp; Analisis Data</t>
        </is>
      </c>
    </row>
    <row r="2" ht="22" customHeight="1">
      <c r="B2" s="11" t="inlineStr">
        <is>
          <t>1 Rumus = 1 Contoh Soal + Jawaban Benar &amp; 5 Soal Tes Mandiri (Kunci Jawaban Ada di Sheet Paling Terakhir)</t>
        </is>
      </c>
      <c r="F2" s="12" t="inlineStr">
        <is>
          <t>⬅️ Ke Daftar Isi (00_DAFTAR_ISI)</t>
        </is>
      </c>
      <c r="G2" s="3" t="inlineStr">
        <is>
          <t>🔑 Ke Kunci Jawaban (Sheet Akhir)</t>
        </is>
      </c>
    </row>
    <row r="4" ht="24" customHeight="1">
      <c r="B4" s="13" t="inlineStr">
        <is>
          <t>1️⃣ IDENTITAS RUMUS &amp; FUNGSINYA BUAT APA? (STDEV.P)</t>
        </is>
      </c>
    </row>
    <row r="5" ht="21" customHeight="1">
      <c r="B5" s="14" t="inlineStr">
        <is>
          <t>Nama Rumus Excel</t>
        </is>
      </c>
      <c r="C5" s="15">
        <f>STDEV.P(...)</f>
        <v/>
      </c>
      <c r="D5" s="5" t="n"/>
      <c r="E5" s="5" t="n"/>
      <c r="F5" s="5" t="n"/>
      <c r="G5" s="5" t="n"/>
    </row>
    <row r="6" ht="21" customHeight="1">
      <c r="B6" s="14" t="inlineStr">
        <is>
          <t>Sintaks / Pola Umum</t>
        </is>
      </c>
      <c r="C6" s="15">
        <f>STDEV.P(range_populasi)</f>
        <v/>
      </c>
      <c r="D6" s="5" t="n"/>
      <c r="E6" s="5" t="n"/>
      <c r="F6" s="5" t="n"/>
      <c r="G6" s="5" t="n"/>
    </row>
    <row r="7" ht="26" customHeight="1">
      <c r="B7" s="14" t="inlineStr">
        <is>
          <t>👶 Fungsinya Buat Apa?</t>
        </is>
      </c>
      <c r="C7" s="16" t="inlineStr">
        <is>
          <t>Menghitung Standar Deviasi untuk seluruh populasi penuh.</t>
        </is>
      </c>
      <c r="D7" s="5" t="n"/>
      <c r="E7" s="5" t="n"/>
      <c r="F7" s="5" t="n"/>
      <c r="G7" s="5" t="n"/>
    </row>
    <row r="9" ht="24" customHeight="1">
      <c r="B9" s="17" t="inlineStr">
        <is>
          <t>2️⃣ 1 CONTOH SOAL &amp; CONTOH JAWABAN BENAR (PELAJARI POLA RUMUS STDEV.P DI SINI)</t>
        </is>
      </c>
    </row>
    <row r="10">
      <c r="B10" s="18" t="inlineStr">
        <is>
          <t>Nama Unit / Kategori</t>
        </is>
      </c>
      <c r="C10" s="18" t="inlineStr">
        <is>
          <t>Nilai Data</t>
        </is>
      </c>
      <c r="E10" s="18" t="inlineStr">
        <is>
          <t>✅ 1 CONTOH SOAL BESERTA CONTOH RUMUS &amp; HASIL JAWABAN BENAR:</t>
        </is>
      </c>
      <c r="F10" s="5" t="n"/>
      <c r="G10" s="5" t="n"/>
    </row>
    <row r="11" ht="28" customHeight="1">
      <c r="B11" s="19" t="inlineStr">
        <is>
          <t>Simulasi Unit A</t>
        </is>
      </c>
      <c r="C11" s="19" t="n">
        <v>500000</v>
      </c>
      <c r="E11" s="20" t="inlineStr">
        <is>
          <t>Contoh Soal:</t>
        </is>
      </c>
      <c r="F11" s="21" t="inlineStr">
        <is>
          <t>Hitung hasil pengolahan fungsi STDEV.P untuk keempat baris data pada rentang C11:C14!</t>
        </is>
      </c>
      <c r="G11" s="5" t="n"/>
    </row>
    <row r="12">
      <c r="B12" s="19" t="inlineStr">
        <is>
          <t>Simulasi Unit B</t>
        </is>
      </c>
      <c r="C12" s="19" t="n">
        <v>750000</v>
      </c>
      <c r="E12" s="20" t="inlineStr">
        <is>
          <t>Contoh Rumus Benar:</t>
        </is>
      </c>
      <c r="F12" s="22" t="inlineStr">
        <is>
          <t>'=STDEV.P(C11:C14)</t>
        </is>
      </c>
      <c r="G12" s="5" t="n"/>
    </row>
    <row r="13">
      <c r="B13" s="19" t="inlineStr">
        <is>
          <t>Simulasi Unit C</t>
        </is>
      </c>
      <c r="C13" s="19" t="n">
        <v>600000</v>
      </c>
      <c r="E13" s="20" t="inlineStr">
        <is>
          <t>Contoh Hasil Benar:</t>
        </is>
      </c>
      <c r="F13" s="23">
        <f>STDEV.P(C11:C14)</f>
        <v/>
      </c>
      <c r="G13" s="5" t="n"/>
    </row>
    <row r="14">
      <c r="B14" s="19" t="inlineStr">
        <is>
          <t>Simulasi Unit D</t>
        </is>
      </c>
      <c r="C14" s="19" t="n">
        <v>950000</v>
      </c>
    </row>
    <row r="16" ht="26" customHeight="1">
      <c r="B16" s="24" t="inlineStr">
        <is>
          <t>3️⃣ 5 SOAL TES DUNIA NYATA — KERJAKAN DI KOTAK KUNING (TANPA KUNCI RUMUS / HASIL DI SINI!)</t>
        </is>
      </c>
    </row>
    <row r="17" ht="20" customHeight="1">
      <c r="B17" s="25" t="inlineStr">
        <is>
          <t>📌 Catatan Tes: Soal Tes #1 s/d #5 di bawah ini tidak menampilkan kunci rumus maupun hasil. Kunci jawaban lengkap tersedia di sheet paling terakhir (99_KUNCI_JAWABAN).</t>
        </is>
      </c>
    </row>
    <row r="19" ht="22" customHeight="1">
      <c r="B19" s="26" t="inlineStr">
        <is>
          <t>📝 SOAL TES #1: Kasus Keuangan &amp; Akuntansi Kantor</t>
        </is>
      </c>
    </row>
    <row r="20" ht="30" customHeight="1">
      <c r="B20" s="14" t="inlineStr">
        <is>
          <t>Nama Unit / Kategori</t>
        </is>
      </c>
      <c r="C20" s="14" t="inlineStr">
        <is>
          <t>Nilai Data</t>
        </is>
      </c>
      <c r="E20" s="27" t="inlineStr">
        <is>
          <t>Persoalan Tes #1: Hitung hasil pengolahan fungsi STDEV.P untuk keempat baris data pada rentang C21:C24!</t>
        </is>
      </c>
    </row>
    <row r="21">
      <c r="B21" s="19" t="inlineStr">
        <is>
          <t>Cabang Jakarta</t>
        </is>
      </c>
      <c r="C21" s="19" t="n">
        <v>1250000</v>
      </c>
      <c r="E21" s="14" t="inlineStr">
        <is>
          <t>✏️ KETIK RUMUS JAWABAN TES DI BAWAH:</t>
        </is>
      </c>
      <c r="F21" s="14" t="inlineStr">
        <is>
          <t>📌 STATUS KOREKSI JAWABAN TES:</t>
        </is>
      </c>
      <c r="G21" s="5" t="n"/>
    </row>
    <row r="22" ht="26" customHeight="1">
      <c r="B22" s="19" t="inlineStr">
        <is>
          <t>Cabang Bandung</t>
        </is>
      </c>
      <c r="C22" s="19" t="n">
        <v>1850000</v>
      </c>
      <c r="E22" s="28" t="n"/>
      <c r="F22" s="29">
        <f>IF(ISBLANK(E22), "⏳ Belum Diisi (Ketik Rumus di Sel Kuning E22)", IF(E22='99_KUNCI_JAWABAN'!F380, "✅ BENAR! JAWABAN TES TEPAT!", "❌ Belum Tepat (Cek Sheet Akhir: 99_KUNCI_JAWABAN)"))</f>
        <v/>
      </c>
      <c r="G22" s="5" t="n"/>
    </row>
    <row r="23">
      <c r="B23" s="19" t="inlineStr">
        <is>
          <t>Cabang Surabaya</t>
        </is>
      </c>
      <c r="C23" s="19" t="n">
        <v>2100000</v>
      </c>
    </row>
    <row r="24">
      <c r="B24" s="19" t="inlineStr">
        <is>
          <t>Cabang Medan</t>
        </is>
      </c>
      <c r="C24" s="19" t="n">
        <v>1600000</v>
      </c>
    </row>
    <row r="27" ht="22" customHeight="1">
      <c r="B27" s="26" t="inlineStr">
        <is>
          <t>📝 SOAL TES #2: Kasus HRD, Gaji &amp; Lembur Karyawan</t>
        </is>
      </c>
    </row>
    <row r="28" ht="30" customHeight="1">
      <c r="B28" s="14" t="inlineStr">
        <is>
          <t>Nama Unit / Kategori</t>
        </is>
      </c>
      <c r="C28" s="14" t="inlineStr">
        <is>
          <t>Nilai Data</t>
        </is>
      </c>
      <c r="E28" s="27" t="inlineStr">
        <is>
          <t>Persoalan Tes #2: Hitung hasil pengolahan fungsi STDEV.P untuk keempat baris data pada rentang C29:C32!</t>
        </is>
      </c>
    </row>
    <row r="29">
      <c r="B29" s="19" t="inlineStr">
        <is>
          <t>Budi Santoso</t>
        </is>
      </c>
      <c r="C29" s="19" t="n">
        <v>4500000</v>
      </c>
      <c r="E29" s="14" t="inlineStr">
        <is>
          <t>✏️ KETIK RUMUS JAWABAN TES DI BAWAH:</t>
        </is>
      </c>
      <c r="F29" s="14" t="inlineStr">
        <is>
          <t>📌 STATUS KOREKSI JAWABAN TES:</t>
        </is>
      </c>
      <c r="G29" s="5" t="n"/>
    </row>
    <row r="30" ht="26" customHeight="1">
      <c r="B30" s="19" t="inlineStr">
        <is>
          <t>Siti Aminah</t>
        </is>
      </c>
      <c r="C30" s="19" t="n">
        <v>5200000</v>
      </c>
      <c r="E30" s="28" t="n"/>
      <c r="F30" s="29">
        <f>IF(ISBLANK(E30), "⏳ Belum Diisi (Ketik Rumus di Sel Kuning E30)", IF(E30='99_KUNCI_JAWABAN'!F381, "✅ BENAR! JAWABAN TES TEPAT!", "❌ Belum Tepat (Cek Sheet Akhir: 99_KUNCI_JAWABAN)"))</f>
        <v/>
      </c>
      <c r="G30" s="5" t="n"/>
    </row>
    <row r="31">
      <c r="B31" s="19" t="inlineStr">
        <is>
          <t>Andi Pratama</t>
        </is>
      </c>
      <c r="C31" s="19" t="n">
        <v>4800000</v>
      </c>
    </row>
    <row r="32">
      <c r="B32" s="19" t="inlineStr">
        <is>
          <t>Rina Wijaya</t>
        </is>
      </c>
      <c r="C32" s="19" t="n">
        <v>6100000</v>
      </c>
    </row>
    <row r="35" ht="22" customHeight="1">
      <c r="B35" s="26" t="inlineStr">
        <is>
          <t>📝 SOAL TES #3: Kasus Logistik &amp; Stok Gudang Utama</t>
        </is>
      </c>
    </row>
    <row r="36" ht="30" customHeight="1">
      <c r="B36" s="14" t="inlineStr">
        <is>
          <t>Nama Unit / Kategori</t>
        </is>
      </c>
      <c r="C36" s="14" t="inlineStr">
        <is>
          <t>Nilai Data</t>
        </is>
      </c>
      <c r="E36" s="27" t="inlineStr">
        <is>
          <t>Persoalan Tes #3: Hitung hasil pengolahan fungsi STDEV.P untuk keempat baris data pada rentang C37:C40!</t>
        </is>
      </c>
    </row>
    <row r="37">
      <c r="B37" s="19" t="inlineStr">
        <is>
          <t>Gudang Blok A</t>
        </is>
      </c>
      <c r="C37" s="19" t="n">
        <v>240</v>
      </c>
      <c r="E37" s="14" t="inlineStr">
        <is>
          <t>✏️ KETIK RUMUS JAWABAN TES DI BAWAH:</t>
        </is>
      </c>
      <c r="F37" s="14" t="inlineStr">
        <is>
          <t>📌 STATUS KOREKSI JAWABAN TES:</t>
        </is>
      </c>
      <c r="G37" s="5" t="n"/>
    </row>
    <row r="38" ht="26" customHeight="1">
      <c r="B38" s="19" t="inlineStr">
        <is>
          <t>Gudang Blok B</t>
        </is>
      </c>
      <c r="C38" s="19" t="n">
        <v>380</v>
      </c>
      <c r="E38" s="28" t="n"/>
      <c r="F38" s="29">
        <f>IF(ISBLANK(E38), "⏳ Belum Diisi (Ketik Rumus di Sel Kuning E38)", IF(E38='99_KUNCI_JAWABAN'!F382, "✅ BENAR! JAWABAN TES TEPAT!", "❌ Belum Tepat (Cek Sheet Akhir: 99_KUNCI_JAWABAN)"))</f>
        <v/>
      </c>
      <c r="G38" s="5" t="n"/>
    </row>
    <row r="39">
      <c r="B39" s="19" t="inlineStr">
        <is>
          <t>Gudang Blok C</t>
        </is>
      </c>
      <c r="C39" s="19" t="n">
        <v>195</v>
      </c>
    </row>
    <row r="40">
      <c r="B40" s="19" t="inlineStr">
        <is>
          <t>Gudang Blok D</t>
        </is>
      </c>
      <c r="C40" s="19" t="n">
        <v>425</v>
      </c>
    </row>
    <row r="43" ht="22" customHeight="1">
      <c r="B43" s="26" t="inlineStr">
        <is>
          <t>📝 SOAL TES #4: Kasus Penjualan Retail &amp; Target Toko</t>
        </is>
      </c>
    </row>
    <row r="44" ht="30" customHeight="1">
      <c r="B44" s="14" t="inlineStr">
        <is>
          <t>Nama Unit / Kategori</t>
        </is>
      </c>
      <c r="C44" s="14" t="inlineStr">
        <is>
          <t>Nilai Data</t>
        </is>
      </c>
      <c r="E44" s="27" t="inlineStr">
        <is>
          <t>Persoalan Tes #4: Hitung hasil pengolahan fungsi STDEV.P untuk keempat baris data pada rentang C45:C48!</t>
        </is>
      </c>
    </row>
    <row r="45">
      <c r="B45" s="19" t="inlineStr">
        <is>
          <t>Toko Elektronik</t>
        </is>
      </c>
      <c r="C45" s="19" t="n">
        <v>85</v>
      </c>
      <c r="E45" s="14" t="inlineStr">
        <is>
          <t>✏️ KETIK RUMUS JAWABAN TES DI BAWAH:</t>
        </is>
      </c>
      <c r="F45" s="14" t="inlineStr">
        <is>
          <t>📌 STATUS KOREKSI JAWABAN TES:</t>
        </is>
      </c>
      <c r="G45" s="5" t="n"/>
    </row>
    <row r="46" ht="26" customHeight="1">
      <c r="B46" s="19" t="inlineStr">
        <is>
          <t>Toko Komputer</t>
        </is>
      </c>
      <c r="C46" s="19" t="n">
        <v>92</v>
      </c>
      <c r="E46" s="28" t="n"/>
      <c r="F46" s="29">
        <f>IF(ISBLANK(E46), "⏳ Belum Diisi (Ketik Rumus di Sel Kuning E46)", IF(E46='99_KUNCI_JAWABAN'!F383, "✅ BENAR! JAWABAN TES TEPAT!", "❌ Belum Tepat (Cek Sheet Akhir: 99_KUNCI_JAWABAN)"))</f>
        <v/>
      </c>
      <c r="G46" s="5" t="n"/>
    </row>
    <row r="47">
      <c r="B47" s="19" t="inlineStr">
        <is>
          <t>Toko Aksesoris</t>
        </is>
      </c>
      <c r="C47" s="19" t="n">
        <v>78</v>
      </c>
    </row>
    <row r="48">
      <c r="B48" s="19" t="inlineStr">
        <is>
          <t>Toko Servis</t>
        </is>
      </c>
      <c r="C48" s="19" t="n">
        <v>95</v>
      </c>
    </row>
    <row r="51" ht="22" customHeight="1">
      <c r="B51" s="26" t="inlineStr">
        <is>
          <t>📝 SOAL TES #5: Kasus Akademik Sekolah &amp; Layanan Publik</t>
        </is>
      </c>
    </row>
    <row r="52" ht="30" customHeight="1">
      <c r="B52" s="14" t="inlineStr">
        <is>
          <t>Nama Unit / Kategori</t>
        </is>
      </c>
      <c r="C52" s="14" t="inlineStr">
        <is>
          <t>Nilai Data</t>
        </is>
      </c>
      <c r="E52" s="27" t="inlineStr">
        <is>
          <t>Persoalan Tes #5: Hitung hasil pengolahan fungsi STDEV.P untuk keempat baris data pada rentang C53:C56!</t>
        </is>
      </c>
    </row>
    <row r="53">
      <c r="B53" s="19" t="inlineStr">
        <is>
          <t>Kelas 10 IPA</t>
        </is>
      </c>
      <c r="C53" s="19" t="n">
        <v>82</v>
      </c>
      <c r="E53" s="14" t="inlineStr">
        <is>
          <t>✏️ KETIK RUMUS JAWABAN TES DI BAWAH:</t>
        </is>
      </c>
      <c r="F53" s="14" t="inlineStr">
        <is>
          <t>📌 STATUS KOREKSI JAWABAN TES:</t>
        </is>
      </c>
      <c r="G53" s="5" t="n"/>
    </row>
    <row r="54" ht="26" customHeight="1">
      <c r="B54" s="19" t="inlineStr">
        <is>
          <t>Kelas 11 IPA</t>
        </is>
      </c>
      <c r="C54" s="19" t="n">
        <v>88</v>
      </c>
      <c r="E54" s="28" t="n"/>
      <c r="F54" s="29">
        <f>IF(ISBLANK(E54), "⏳ Belum Diisi (Ketik Rumus di Sel Kuning E54)", IF(E54='99_KUNCI_JAWABAN'!F384, "✅ BENAR! JAWABAN TES TEPAT!", "❌ Belum Tepat (Cek Sheet Akhir: 99_KUNCI_JAWABAN)"))</f>
        <v/>
      </c>
      <c r="G54" s="5" t="n"/>
    </row>
    <row r="55">
      <c r="B55" s="19" t="inlineStr">
        <is>
          <t>Kelas 12 IPA</t>
        </is>
      </c>
      <c r="C55" s="19" t="n">
        <v>91</v>
      </c>
    </row>
    <row r="56">
      <c r="B56" s="19" t="inlineStr">
        <is>
          <t>Kelas Unggulan</t>
        </is>
      </c>
      <c r="C56" s="19" t="n">
        <v>79</v>
      </c>
    </row>
  </sheetData>
  <mergeCells count="33">
    <mergeCell ref="E10:G10"/>
    <mergeCell ref="F11:G11"/>
    <mergeCell ref="E28:G28"/>
    <mergeCell ref="F29:G29"/>
    <mergeCell ref="C6:G6"/>
    <mergeCell ref="F54:G54"/>
    <mergeCell ref="B17:G17"/>
    <mergeCell ref="B1:G1"/>
    <mergeCell ref="C5:G5"/>
    <mergeCell ref="B19:G19"/>
    <mergeCell ref="F21:G21"/>
    <mergeCell ref="F12:G12"/>
    <mergeCell ref="F30:G30"/>
    <mergeCell ref="E36:G36"/>
    <mergeCell ref="B9:G9"/>
    <mergeCell ref="F45:G45"/>
    <mergeCell ref="B51:G51"/>
    <mergeCell ref="F38:G38"/>
    <mergeCell ref="B35:G35"/>
    <mergeCell ref="B4:G4"/>
    <mergeCell ref="F46:G46"/>
    <mergeCell ref="F22:G22"/>
    <mergeCell ref="B2:E2"/>
    <mergeCell ref="F13:G13"/>
    <mergeCell ref="B16:G16"/>
    <mergeCell ref="F37:G37"/>
    <mergeCell ref="C7:G7"/>
    <mergeCell ref="E52:G52"/>
    <mergeCell ref="B27:G27"/>
    <mergeCell ref="B43:G43"/>
    <mergeCell ref="E44:G44"/>
    <mergeCell ref="E20:G20"/>
    <mergeCell ref="F53:G53"/>
  </mergeCells>
  <hyperlinks>
    <hyperlink xmlns:r="http://schemas.openxmlformats.org/officeDocument/2006/relationships" ref="F2" r:id="rId1"/>
    <hyperlink xmlns:r="http://schemas.openxmlformats.org/officeDocument/2006/relationships" ref="G2" r:id="rId2"/>
  </hyperlinks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B1:G56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22" customWidth="1" min="3" max="3"/>
    <col width="4" customWidth="1" min="4" max="4"/>
    <col width="34" customWidth="1" min="5" max="5"/>
    <col width="44" customWidth="1" min="6" max="6"/>
    <col width="28" customWidth="1" min="7" max="7"/>
  </cols>
  <sheetData>
    <row r="1" ht="30" customHeight="1">
      <c r="B1" s="10" t="inlineStr">
        <is>
          <t>📊 #077 — RUMUS EXCEL: STDEV.S   |   Kategori: 8. Statistik &amp; Analisis Data</t>
        </is>
      </c>
    </row>
    <row r="2" ht="22" customHeight="1">
      <c r="B2" s="11" t="inlineStr">
        <is>
          <t>1 Rumus = 1 Contoh Soal + Jawaban Benar &amp; 5 Soal Tes Mandiri (Kunci Jawaban Ada di Sheet Paling Terakhir)</t>
        </is>
      </c>
      <c r="F2" s="12" t="inlineStr">
        <is>
          <t>⬅️ Ke Daftar Isi (00_DAFTAR_ISI)</t>
        </is>
      </c>
      <c r="G2" s="3" t="inlineStr">
        <is>
          <t>🔑 Ke Kunci Jawaban (Sheet Akhir)</t>
        </is>
      </c>
    </row>
    <row r="4" ht="24" customHeight="1">
      <c r="B4" s="13" t="inlineStr">
        <is>
          <t>1️⃣ IDENTITAS RUMUS &amp; FUNGSINYA BUAT APA? (STDEV.S)</t>
        </is>
      </c>
    </row>
    <row r="5" ht="21" customHeight="1">
      <c r="B5" s="14" t="inlineStr">
        <is>
          <t>Nama Rumus Excel</t>
        </is>
      </c>
      <c r="C5" s="15">
        <f>STDEV.S(...)</f>
        <v/>
      </c>
      <c r="D5" s="5" t="n"/>
      <c r="E5" s="5" t="n"/>
      <c r="F5" s="5" t="n"/>
      <c r="G5" s="5" t="n"/>
    </row>
    <row r="6" ht="21" customHeight="1">
      <c r="B6" s="14" t="inlineStr">
        <is>
          <t>Sintaks / Pola Umum</t>
        </is>
      </c>
      <c r="C6" s="15">
        <f>STDEV.S(range_sampel)</f>
        <v/>
      </c>
      <c r="D6" s="5" t="n"/>
      <c r="E6" s="5" t="n"/>
      <c r="F6" s="5" t="n"/>
      <c r="G6" s="5" t="n"/>
    </row>
    <row r="7" ht="26" customHeight="1">
      <c r="B7" s="14" t="inlineStr">
        <is>
          <t>👶 Fungsinya Buat Apa?</t>
        </is>
      </c>
      <c r="C7" s="16" t="inlineStr">
        <is>
          <t>Menghitung Standar Deviasi (simpangan baku) dari sampel data.</t>
        </is>
      </c>
      <c r="D7" s="5" t="n"/>
      <c r="E7" s="5" t="n"/>
      <c r="F7" s="5" t="n"/>
      <c r="G7" s="5" t="n"/>
    </row>
    <row r="9" ht="24" customHeight="1">
      <c r="B9" s="17" t="inlineStr">
        <is>
          <t>2️⃣ 1 CONTOH SOAL &amp; CONTOH JAWABAN BENAR (PELAJARI POLA RUMUS STDEV.S DI SINI)</t>
        </is>
      </c>
    </row>
    <row r="10">
      <c r="B10" s="18" t="inlineStr">
        <is>
          <t>Nama Unit / Kategori</t>
        </is>
      </c>
      <c r="C10" s="18" t="inlineStr">
        <is>
          <t>Nilai Data</t>
        </is>
      </c>
      <c r="E10" s="18" t="inlineStr">
        <is>
          <t>✅ 1 CONTOH SOAL BESERTA CONTOH RUMUS &amp; HASIL JAWABAN BENAR:</t>
        </is>
      </c>
      <c r="F10" s="5" t="n"/>
      <c r="G10" s="5" t="n"/>
    </row>
    <row r="11" ht="28" customHeight="1">
      <c r="B11" s="19" t="inlineStr">
        <is>
          <t>Simulasi Unit A</t>
        </is>
      </c>
      <c r="C11" s="19" t="n">
        <v>500000</v>
      </c>
      <c r="E11" s="20" t="inlineStr">
        <is>
          <t>Contoh Soal:</t>
        </is>
      </c>
      <c r="F11" s="21" t="inlineStr">
        <is>
          <t>Hitung hasil pengolahan fungsi STDEV.S untuk keempat baris data pada rentang C11:C14!</t>
        </is>
      </c>
      <c r="G11" s="5" t="n"/>
    </row>
    <row r="12">
      <c r="B12" s="19" t="inlineStr">
        <is>
          <t>Simulasi Unit B</t>
        </is>
      </c>
      <c r="C12" s="19" t="n">
        <v>750000</v>
      </c>
      <c r="E12" s="20" t="inlineStr">
        <is>
          <t>Contoh Rumus Benar:</t>
        </is>
      </c>
      <c r="F12" s="22" t="inlineStr">
        <is>
          <t>'=STDEV.S(C11:C14)</t>
        </is>
      </c>
      <c r="G12" s="5" t="n"/>
    </row>
    <row r="13">
      <c r="B13" s="19" t="inlineStr">
        <is>
          <t>Simulasi Unit C</t>
        </is>
      </c>
      <c r="C13" s="19" t="n">
        <v>600000</v>
      </c>
      <c r="E13" s="20" t="inlineStr">
        <is>
          <t>Contoh Hasil Benar:</t>
        </is>
      </c>
      <c r="F13" s="23">
        <f>STDEV.S(C11:C14)</f>
        <v/>
      </c>
      <c r="G13" s="5" t="n"/>
    </row>
    <row r="14">
      <c r="B14" s="19" t="inlineStr">
        <is>
          <t>Simulasi Unit D</t>
        </is>
      </c>
      <c r="C14" s="19" t="n">
        <v>950000</v>
      </c>
    </row>
    <row r="16" ht="26" customHeight="1">
      <c r="B16" s="24" t="inlineStr">
        <is>
          <t>3️⃣ 5 SOAL TES DUNIA NYATA — KERJAKAN DI KOTAK KUNING (TANPA KUNCI RUMUS / HASIL DI SINI!)</t>
        </is>
      </c>
    </row>
    <row r="17" ht="20" customHeight="1">
      <c r="B17" s="25" t="inlineStr">
        <is>
          <t>📌 Catatan Tes: Soal Tes #1 s/d #5 di bawah ini tidak menampilkan kunci rumus maupun hasil. Kunci jawaban lengkap tersedia di sheet paling terakhir (99_KUNCI_JAWABAN).</t>
        </is>
      </c>
    </row>
    <row r="19" ht="22" customHeight="1">
      <c r="B19" s="26" t="inlineStr">
        <is>
          <t>📝 SOAL TES #1: Kasus Keuangan &amp; Akuntansi Kantor</t>
        </is>
      </c>
    </row>
    <row r="20" ht="30" customHeight="1">
      <c r="B20" s="14" t="inlineStr">
        <is>
          <t>Nama Unit / Kategori</t>
        </is>
      </c>
      <c r="C20" s="14" t="inlineStr">
        <is>
          <t>Nilai Data</t>
        </is>
      </c>
      <c r="E20" s="27" t="inlineStr">
        <is>
          <t>Persoalan Tes #1: Hitung hasil pengolahan fungsi STDEV.S untuk keempat baris data pada rentang C21:C24!</t>
        </is>
      </c>
    </row>
    <row r="21">
      <c r="B21" s="19" t="inlineStr">
        <is>
          <t>Cabang Jakarta</t>
        </is>
      </c>
      <c r="C21" s="19" t="n">
        <v>1250000</v>
      </c>
      <c r="E21" s="14" t="inlineStr">
        <is>
          <t>✏️ KETIK RUMUS JAWABAN TES DI BAWAH:</t>
        </is>
      </c>
      <c r="F21" s="14" t="inlineStr">
        <is>
          <t>📌 STATUS KOREKSI JAWABAN TES:</t>
        </is>
      </c>
      <c r="G21" s="5" t="n"/>
    </row>
    <row r="22" ht="26" customHeight="1">
      <c r="B22" s="19" t="inlineStr">
        <is>
          <t>Cabang Bandung</t>
        </is>
      </c>
      <c r="C22" s="19" t="n">
        <v>1850000</v>
      </c>
      <c r="E22" s="28" t="n"/>
      <c r="F22" s="29">
        <f>IF(ISBLANK(E22), "⏳ Belum Diisi (Ketik Rumus di Sel Kuning E22)", IF(E22='99_KUNCI_JAWABAN'!F385, "✅ BENAR! JAWABAN TES TEPAT!", "❌ Belum Tepat (Cek Sheet Akhir: 99_KUNCI_JAWABAN)"))</f>
        <v/>
      </c>
      <c r="G22" s="5" t="n"/>
    </row>
    <row r="23">
      <c r="B23" s="19" t="inlineStr">
        <is>
          <t>Cabang Surabaya</t>
        </is>
      </c>
      <c r="C23" s="19" t="n">
        <v>2100000</v>
      </c>
    </row>
    <row r="24">
      <c r="B24" s="19" t="inlineStr">
        <is>
          <t>Cabang Medan</t>
        </is>
      </c>
      <c r="C24" s="19" t="n">
        <v>1600000</v>
      </c>
    </row>
    <row r="27" ht="22" customHeight="1">
      <c r="B27" s="26" t="inlineStr">
        <is>
          <t>📝 SOAL TES #2: Kasus HRD, Gaji &amp; Lembur Karyawan</t>
        </is>
      </c>
    </row>
    <row r="28" ht="30" customHeight="1">
      <c r="B28" s="14" t="inlineStr">
        <is>
          <t>Nama Unit / Kategori</t>
        </is>
      </c>
      <c r="C28" s="14" t="inlineStr">
        <is>
          <t>Nilai Data</t>
        </is>
      </c>
      <c r="E28" s="27" t="inlineStr">
        <is>
          <t>Persoalan Tes #2: Hitung hasil pengolahan fungsi STDEV.S untuk keempat baris data pada rentang C29:C32!</t>
        </is>
      </c>
    </row>
    <row r="29">
      <c r="B29" s="19" t="inlineStr">
        <is>
          <t>Budi Santoso</t>
        </is>
      </c>
      <c r="C29" s="19" t="n">
        <v>4500000</v>
      </c>
      <c r="E29" s="14" t="inlineStr">
        <is>
          <t>✏️ KETIK RUMUS JAWABAN TES DI BAWAH:</t>
        </is>
      </c>
      <c r="F29" s="14" t="inlineStr">
        <is>
          <t>📌 STATUS KOREKSI JAWABAN TES:</t>
        </is>
      </c>
      <c r="G29" s="5" t="n"/>
    </row>
    <row r="30" ht="26" customHeight="1">
      <c r="B30" s="19" t="inlineStr">
        <is>
          <t>Siti Aminah</t>
        </is>
      </c>
      <c r="C30" s="19" t="n">
        <v>5200000</v>
      </c>
      <c r="E30" s="28" t="n"/>
      <c r="F30" s="29">
        <f>IF(ISBLANK(E30), "⏳ Belum Diisi (Ketik Rumus di Sel Kuning E30)", IF(E30='99_KUNCI_JAWABAN'!F386, "✅ BENAR! JAWABAN TES TEPAT!", "❌ Belum Tepat (Cek Sheet Akhir: 99_KUNCI_JAWABAN)"))</f>
        <v/>
      </c>
      <c r="G30" s="5" t="n"/>
    </row>
    <row r="31">
      <c r="B31" s="19" t="inlineStr">
        <is>
          <t>Andi Pratama</t>
        </is>
      </c>
      <c r="C31" s="19" t="n">
        <v>4800000</v>
      </c>
    </row>
    <row r="32">
      <c r="B32" s="19" t="inlineStr">
        <is>
          <t>Rina Wijaya</t>
        </is>
      </c>
      <c r="C32" s="19" t="n">
        <v>6100000</v>
      </c>
    </row>
    <row r="35" ht="22" customHeight="1">
      <c r="B35" s="26" t="inlineStr">
        <is>
          <t>📝 SOAL TES #3: Kasus Logistik &amp; Stok Gudang Utama</t>
        </is>
      </c>
    </row>
    <row r="36" ht="30" customHeight="1">
      <c r="B36" s="14" t="inlineStr">
        <is>
          <t>Nama Unit / Kategori</t>
        </is>
      </c>
      <c r="C36" s="14" t="inlineStr">
        <is>
          <t>Nilai Data</t>
        </is>
      </c>
      <c r="E36" s="27" t="inlineStr">
        <is>
          <t>Persoalan Tes #3: Hitung hasil pengolahan fungsi STDEV.S untuk keempat baris data pada rentang C37:C40!</t>
        </is>
      </c>
    </row>
    <row r="37">
      <c r="B37" s="19" t="inlineStr">
        <is>
          <t>Gudang Blok A</t>
        </is>
      </c>
      <c r="C37" s="19" t="n">
        <v>240</v>
      </c>
      <c r="E37" s="14" t="inlineStr">
        <is>
          <t>✏️ KETIK RUMUS JAWABAN TES DI BAWAH:</t>
        </is>
      </c>
      <c r="F37" s="14" t="inlineStr">
        <is>
          <t>📌 STATUS KOREKSI JAWABAN TES:</t>
        </is>
      </c>
      <c r="G37" s="5" t="n"/>
    </row>
    <row r="38" ht="26" customHeight="1">
      <c r="B38" s="19" t="inlineStr">
        <is>
          <t>Gudang Blok B</t>
        </is>
      </c>
      <c r="C38" s="19" t="n">
        <v>380</v>
      </c>
      <c r="E38" s="28" t="n"/>
      <c r="F38" s="29">
        <f>IF(ISBLANK(E38), "⏳ Belum Diisi (Ketik Rumus di Sel Kuning E38)", IF(E38='99_KUNCI_JAWABAN'!F387, "✅ BENAR! JAWABAN TES TEPAT!", "❌ Belum Tepat (Cek Sheet Akhir: 99_KUNCI_JAWABAN)"))</f>
        <v/>
      </c>
      <c r="G38" s="5" t="n"/>
    </row>
    <row r="39">
      <c r="B39" s="19" t="inlineStr">
        <is>
          <t>Gudang Blok C</t>
        </is>
      </c>
      <c r="C39" s="19" t="n">
        <v>195</v>
      </c>
    </row>
    <row r="40">
      <c r="B40" s="19" t="inlineStr">
        <is>
          <t>Gudang Blok D</t>
        </is>
      </c>
      <c r="C40" s="19" t="n">
        <v>425</v>
      </c>
    </row>
    <row r="43" ht="22" customHeight="1">
      <c r="B43" s="26" t="inlineStr">
        <is>
          <t>📝 SOAL TES #4: Kasus Penjualan Retail &amp; Target Toko</t>
        </is>
      </c>
    </row>
    <row r="44" ht="30" customHeight="1">
      <c r="B44" s="14" t="inlineStr">
        <is>
          <t>Nama Unit / Kategori</t>
        </is>
      </c>
      <c r="C44" s="14" t="inlineStr">
        <is>
          <t>Nilai Data</t>
        </is>
      </c>
      <c r="E44" s="27" t="inlineStr">
        <is>
          <t>Persoalan Tes #4: Hitung hasil pengolahan fungsi STDEV.S untuk keempat baris data pada rentang C45:C48!</t>
        </is>
      </c>
    </row>
    <row r="45">
      <c r="B45" s="19" t="inlineStr">
        <is>
          <t>Toko Elektronik</t>
        </is>
      </c>
      <c r="C45" s="19" t="n">
        <v>85</v>
      </c>
      <c r="E45" s="14" t="inlineStr">
        <is>
          <t>✏️ KETIK RUMUS JAWABAN TES DI BAWAH:</t>
        </is>
      </c>
      <c r="F45" s="14" t="inlineStr">
        <is>
          <t>📌 STATUS KOREKSI JAWABAN TES:</t>
        </is>
      </c>
      <c r="G45" s="5" t="n"/>
    </row>
    <row r="46" ht="26" customHeight="1">
      <c r="B46" s="19" t="inlineStr">
        <is>
          <t>Toko Komputer</t>
        </is>
      </c>
      <c r="C46" s="19" t="n">
        <v>92</v>
      </c>
      <c r="E46" s="28" t="n"/>
      <c r="F46" s="29">
        <f>IF(ISBLANK(E46), "⏳ Belum Diisi (Ketik Rumus di Sel Kuning E46)", IF(E46='99_KUNCI_JAWABAN'!F388, "✅ BENAR! JAWABAN TES TEPAT!", "❌ Belum Tepat (Cek Sheet Akhir: 99_KUNCI_JAWABAN)"))</f>
        <v/>
      </c>
      <c r="G46" s="5" t="n"/>
    </row>
    <row r="47">
      <c r="B47" s="19" t="inlineStr">
        <is>
          <t>Toko Aksesoris</t>
        </is>
      </c>
      <c r="C47" s="19" t="n">
        <v>78</v>
      </c>
    </row>
    <row r="48">
      <c r="B48" s="19" t="inlineStr">
        <is>
          <t>Toko Servis</t>
        </is>
      </c>
      <c r="C48" s="19" t="n">
        <v>95</v>
      </c>
    </row>
    <row r="51" ht="22" customHeight="1">
      <c r="B51" s="26" t="inlineStr">
        <is>
          <t>📝 SOAL TES #5: Kasus Akademik Sekolah &amp; Layanan Publik</t>
        </is>
      </c>
    </row>
    <row r="52" ht="30" customHeight="1">
      <c r="B52" s="14" t="inlineStr">
        <is>
          <t>Nama Unit / Kategori</t>
        </is>
      </c>
      <c r="C52" s="14" t="inlineStr">
        <is>
          <t>Nilai Data</t>
        </is>
      </c>
      <c r="E52" s="27" t="inlineStr">
        <is>
          <t>Persoalan Tes #5: Hitung hasil pengolahan fungsi STDEV.S untuk keempat baris data pada rentang C53:C56!</t>
        </is>
      </c>
    </row>
    <row r="53">
      <c r="B53" s="19" t="inlineStr">
        <is>
          <t>Kelas 10 IPA</t>
        </is>
      </c>
      <c r="C53" s="19" t="n">
        <v>82</v>
      </c>
      <c r="E53" s="14" t="inlineStr">
        <is>
          <t>✏️ KETIK RUMUS JAWABAN TES DI BAWAH:</t>
        </is>
      </c>
      <c r="F53" s="14" t="inlineStr">
        <is>
          <t>📌 STATUS KOREKSI JAWABAN TES:</t>
        </is>
      </c>
      <c r="G53" s="5" t="n"/>
    </row>
    <row r="54" ht="26" customHeight="1">
      <c r="B54" s="19" t="inlineStr">
        <is>
          <t>Kelas 11 IPA</t>
        </is>
      </c>
      <c r="C54" s="19" t="n">
        <v>88</v>
      </c>
      <c r="E54" s="28" t="n"/>
      <c r="F54" s="29">
        <f>IF(ISBLANK(E54), "⏳ Belum Diisi (Ketik Rumus di Sel Kuning E54)", IF(E54='99_KUNCI_JAWABAN'!F389, "✅ BENAR! JAWABAN TES TEPAT!", "❌ Belum Tepat (Cek Sheet Akhir: 99_KUNCI_JAWABAN)"))</f>
        <v/>
      </c>
      <c r="G54" s="5" t="n"/>
    </row>
    <row r="55">
      <c r="B55" s="19" t="inlineStr">
        <is>
          <t>Kelas 12 IPA</t>
        </is>
      </c>
      <c r="C55" s="19" t="n">
        <v>91</v>
      </c>
    </row>
    <row r="56">
      <c r="B56" s="19" t="inlineStr">
        <is>
          <t>Kelas Unggulan</t>
        </is>
      </c>
      <c r="C56" s="19" t="n">
        <v>79</v>
      </c>
    </row>
  </sheetData>
  <mergeCells count="33">
    <mergeCell ref="E10:G10"/>
    <mergeCell ref="F11:G11"/>
    <mergeCell ref="E28:G28"/>
    <mergeCell ref="F29:G29"/>
    <mergeCell ref="C6:G6"/>
    <mergeCell ref="F54:G54"/>
    <mergeCell ref="B17:G17"/>
    <mergeCell ref="B1:G1"/>
    <mergeCell ref="C5:G5"/>
    <mergeCell ref="B19:G19"/>
    <mergeCell ref="F21:G21"/>
    <mergeCell ref="F12:G12"/>
    <mergeCell ref="F30:G30"/>
    <mergeCell ref="E36:G36"/>
    <mergeCell ref="B9:G9"/>
    <mergeCell ref="F45:G45"/>
    <mergeCell ref="B51:G51"/>
    <mergeCell ref="F38:G38"/>
    <mergeCell ref="B35:G35"/>
    <mergeCell ref="B4:G4"/>
    <mergeCell ref="F46:G46"/>
    <mergeCell ref="F22:G22"/>
    <mergeCell ref="B2:E2"/>
    <mergeCell ref="F13:G13"/>
    <mergeCell ref="B16:G16"/>
    <mergeCell ref="F37:G37"/>
    <mergeCell ref="C7:G7"/>
    <mergeCell ref="E52:G52"/>
    <mergeCell ref="B27:G27"/>
    <mergeCell ref="B43:G43"/>
    <mergeCell ref="E44:G44"/>
    <mergeCell ref="E20:G20"/>
    <mergeCell ref="F53:G53"/>
  </mergeCells>
  <hyperlinks>
    <hyperlink xmlns:r="http://schemas.openxmlformats.org/officeDocument/2006/relationships" ref="F2" r:id="rId1"/>
    <hyperlink xmlns:r="http://schemas.openxmlformats.org/officeDocument/2006/relationships" ref="G2" r:id="rId2"/>
  </hyperlinks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B1:G56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22" customWidth="1" min="3" max="3"/>
    <col width="4" customWidth="1" min="4" max="4"/>
    <col width="34" customWidth="1" min="5" max="5"/>
    <col width="44" customWidth="1" min="6" max="6"/>
    <col width="28" customWidth="1" min="7" max="7"/>
  </cols>
  <sheetData>
    <row r="1" ht="30" customHeight="1">
      <c r="B1" s="10" t="inlineStr">
        <is>
          <t>📊 #078 — RUMUS EXCEL: STDEVA   |   Kategori: 8. Statistik &amp; Analisis Data</t>
        </is>
      </c>
    </row>
    <row r="2" ht="22" customHeight="1">
      <c r="B2" s="11" t="inlineStr">
        <is>
          <t>1 Rumus = 1 Contoh Soal + Jawaban Benar &amp; 5 Soal Tes Mandiri (Kunci Jawaban Ada di Sheet Paling Terakhir)</t>
        </is>
      </c>
      <c r="F2" s="12" t="inlineStr">
        <is>
          <t>⬅️ Ke Daftar Isi (00_DAFTAR_ISI)</t>
        </is>
      </c>
      <c r="G2" s="3" t="inlineStr">
        <is>
          <t>🔑 Ke Kunci Jawaban (Sheet Akhir)</t>
        </is>
      </c>
    </row>
    <row r="4" ht="24" customHeight="1">
      <c r="B4" s="13" t="inlineStr">
        <is>
          <t>1️⃣ IDENTITAS RUMUS &amp; FUNGSINYA BUAT APA? (STDEVA)</t>
        </is>
      </c>
    </row>
    <row r="5" ht="21" customHeight="1">
      <c r="B5" s="14" t="inlineStr">
        <is>
          <t>Nama Rumus Excel</t>
        </is>
      </c>
      <c r="C5" s="15">
        <f>STDEVA(...)</f>
        <v/>
      </c>
      <c r="D5" s="5" t="n"/>
      <c r="E5" s="5" t="n"/>
      <c r="F5" s="5" t="n"/>
      <c r="G5" s="5" t="n"/>
    </row>
    <row r="6" ht="21" customHeight="1">
      <c r="B6" s="14" t="inlineStr">
        <is>
          <t>Sintaks / Pola Umum</t>
        </is>
      </c>
      <c r="C6" s="15">
        <f>STDEVA(range_sampel)</f>
        <v/>
      </c>
      <c r="D6" s="5" t="n"/>
      <c r="E6" s="5" t="n"/>
      <c r="F6" s="5" t="n"/>
      <c r="G6" s="5" t="n"/>
    </row>
    <row r="7" ht="26" customHeight="1">
      <c r="B7" s="14" t="inlineStr">
        <is>
          <t>👶 Fungsinya Buat Apa?</t>
        </is>
      </c>
      <c r="C7" s="16" t="inlineStr">
        <is>
          <t>Menghitung standar deviasi sampel termasuk nilai logika dan teks.</t>
        </is>
      </c>
      <c r="D7" s="5" t="n"/>
      <c r="E7" s="5" t="n"/>
      <c r="F7" s="5" t="n"/>
      <c r="G7" s="5" t="n"/>
    </row>
    <row r="9" ht="24" customHeight="1">
      <c r="B9" s="17" t="inlineStr">
        <is>
          <t>2️⃣ 1 CONTOH SOAL &amp; CONTOH JAWABAN BENAR (PELAJARI POLA RUMUS STDEVA DI SINI)</t>
        </is>
      </c>
    </row>
    <row r="10">
      <c r="B10" s="18" t="inlineStr">
        <is>
          <t>Nama Unit / Kategori</t>
        </is>
      </c>
      <c r="C10" s="18" t="inlineStr">
        <is>
          <t>Nilai Data</t>
        </is>
      </c>
      <c r="E10" s="18" t="inlineStr">
        <is>
          <t>✅ 1 CONTOH SOAL BESERTA CONTOH RUMUS &amp; HASIL JAWABAN BENAR:</t>
        </is>
      </c>
      <c r="F10" s="5" t="n"/>
      <c r="G10" s="5" t="n"/>
    </row>
    <row r="11" ht="28" customHeight="1">
      <c r="B11" s="19" t="inlineStr">
        <is>
          <t>Simulasi Unit A</t>
        </is>
      </c>
      <c r="C11" s="19" t="n">
        <v>500000</v>
      </c>
      <c r="E11" s="20" t="inlineStr">
        <is>
          <t>Contoh Soal:</t>
        </is>
      </c>
      <c r="F11" s="21" t="inlineStr">
        <is>
          <t>Hitung hasil pengolahan fungsi STDEVA untuk keempat baris data pada rentang C11:C14!</t>
        </is>
      </c>
      <c r="G11" s="5" t="n"/>
    </row>
    <row r="12">
      <c r="B12" s="19" t="inlineStr">
        <is>
          <t>Simulasi Unit B</t>
        </is>
      </c>
      <c r="C12" s="19" t="n">
        <v>750000</v>
      </c>
      <c r="E12" s="20" t="inlineStr">
        <is>
          <t>Contoh Rumus Benar:</t>
        </is>
      </c>
      <c r="F12" s="22" t="inlineStr">
        <is>
          <t>'=STDEVA(C11:C14)</t>
        </is>
      </c>
      <c r="G12" s="5" t="n"/>
    </row>
    <row r="13">
      <c r="B13" s="19" t="inlineStr">
        <is>
          <t>Simulasi Unit C</t>
        </is>
      </c>
      <c r="C13" s="19" t="n">
        <v>600000</v>
      </c>
      <c r="E13" s="20" t="inlineStr">
        <is>
          <t>Contoh Hasil Benar:</t>
        </is>
      </c>
      <c r="F13" s="23">
        <f>STDEVA(C11:C14)</f>
        <v/>
      </c>
      <c r="G13" s="5" t="n"/>
    </row>
    <row r="14">
      <c r="B14" s="19" t="inlineStr">
        <is>
          <t>Simulasi Unit D</t>
        </is>
      </c>
      <c r="C14" s="19" t="n">
        <v>950000</v>
      </c>
    </row>
    <row r="16" ht="26" customHeight="1">
      <c r="B16" s="24" t="inlineStr">
        <is>
          <t>3️⃣ 5 SOAL TES DUNIA NYATA — KERJAKAN DI KOTAK KUNING (TANPA KUNCI RUMUS / HASIL DI SINI!)</t>
        </is>
      </c>
    </row>
    <row r="17" ht="20" customHeight="1">
      <c r="B17" s="25" t="inlineStr">
        <is>
          <t>📌 Catatan Tes: Soal Tes #1 s/d #5 di bawah ini tidak menampilkan kunci rumus maupun hasil. Kunci jawaban lengkap tersedia di sheet paling terakhir (99_KUNCI_JAWABAN).</t>
        </is>
      </c>
    </row>
    <row r="19" ht="22" customHeight="1">
      <c r="B19" s="26" t="inlineStr">
        <is>
          <t>📝 SOAL TES #1: Kasus Keuangan &amp; Akuntansi Kantor</t>
        </is>
      </c>
    </row>
    <row r="20" ht="30" customHeight="1">
      <c r="B20" s="14" t="inlineStr">
        <is>
          <t>Nama Unit / Kategori</t>
        </is>
      </c>
      <c r="C20" s="14" t="inlineStr">
        <is>
          <t>Nilai Data</t>
        </is>
      </c>
      <c r="E20" s="27" t="inlineStr">
        <is>
          <t>Persoalan Tes #1: Hitung hasil pengolahan fungsi STDEVA untuk keempat baris data pada rentang C21:C24!</t>
        </is>
      </c>
    </row>
    <row r="21">
      <c r="B21" s="19" t="inlineStr">
        <is>
          <t>Cabang Jakarta</t>
        </is>
      </c>
      <c r="C21" s="19" t="n">
        <v>1250000</v>
      </c>
      <c r="E21" s="14" t="inlineStr">
        <is>
          <t>✏️ KETIK RUMUS JAWABAN TES DI BAWAH:</t>
        </is>
      </c>
      <c r="F21" s="14" t="inlineStr">
        <is>
          <t>📌 STATUS KOREKSI JAWABAN TES:</t>
        </is>
      </c>
      <c r="G21" s="5" t="n"/>
    </row>
    <row r="22" ht="26" customHeight="1">
      <c r="B22" s="19" t="inlineStr">
        <is>
          <t>Cabang Bandung</t>
        </is>
      </c>
      <c r="C22" s="19" t="n">
        <v>1850000</v>
      </c>
      <c r="E22" s="28" t="n"/>
      <c r="F22" s="29">
        <f>IF(ISBLANK(E22), "⏳ Belum Diisi (Ketik Rumus di Sel Kuning E22)", IF(E22='99_KUNCI_JAWABAN'!F390, "✅ BENAR! JAWABAN TES TEPAT!", "❌ Belum Tepat (Cek Sheet Akhir: 99_KUNCI_JAWABAN)"))</f>
        <v/>
      </c>
      <c r="G22" s="5" t="n"/>
    </row>
    <row r="23">
      <c r="B23" s="19" t="inlineStr">
        <is>
          <t>Cabang Surabaya</t>
        </is>
      </c>
      <c r="C23" s="19" t="n">
        <v>2100000</v>
      </c>
    </row>
    <row r="24">
      <c r="B24" s="19" t="inlineStr">
        <is>
          <t>Cabang Medan</t>
        </is>
      </c>
      <c r="C24" s="19" t="n">
        <v>1600000</v>
      </c>
    </row>
    <row r="27" ht="22" customHeight="1">
      <c r="B27" s="26" t="inlineStr">
        <is>
          <t>📝 SOAL TES #2: Kasus HRD, Gaji &amp; Lembur Karyawan</t>
        </is>
      </c>
    </row>
    <row r="28" ht="30" customHeight="1">
      <c r="B28" s="14" t="inlineStr">
        <is>
          <t>Nama Unit / Kategori</t>
        </is>
      </c>
      <c r="C28" s="14" t="inlineStr">
        <is>
          <t>Nilai Data</t>
        </is>
      </c>
      <c r="E28" s="27" t="inlineStr">
        <is>
          <t>Persoalan Tes #2: Hitung hasil pengolahan fungsi STDEVA untuk keempat baris data pada rentang C29:C32!</t>
        </is>
      </c>
    </row>
    <row r="29">
      <c r="B29" s="19" t="inlineStr">
        <is>
          <t>Budi Santoso</t>
        </is>
      </c>
      <c r="C29" s="19" t="n">
        <v>4500000</v>
      </c>
      <c r="E29" s="14" t="inlineStr">
        <is>
          <t>✏️ KETIK RUMUS JAWABAN TES DI BAWAH:</t>
        </is>
      </c>
      <c r="F29" s="14" t="inlineStr">
        <is>
          <t>📌 STATUS KOREKSI JAWABAN TES:</t>
        </is>
      </c>
      <c r="G29" s="5" t="n"/>
    </row>
    <row r="30" ht="26" customHeight="1">
      <c r="B30" s="19" t="inlineStr">
        <is>
          <t>Siti Aminah</t>
        </is>
      </c>
      <c r="C30" s="19" t="n">
        <v>5200000</v>
      </c>
      <c r="E30" s="28" t="n"/>
      <c r="F30" s="29">
        <f>IF(ISBLANK(E30), "⏳ Belum Diisi (Ketik Rumus di Sel Kuning E30)", IF(E30='99_KUNCI_JAWABAN'!F391, "✅ BENAR! JAWABAN TES TEPAT!", "❌ Belum Tepat (Cek Sheet Akhir: 99_KUNCI_JAWABAN)"))</f>
        <v/>
      </c>
      <c r="G30" s="5" t="n"/>
    </row>
    <row r="31">
      <c r="B31" s="19" t="inlineStr">
        <is>
          <t>Andi Pratama</t>
        </is>
      </c>
      <c r="C31" s="19" t="n">
        <v>4800000</v>
      </c>
    </row>
    <row r="32">
      <c r="B32" s="19" t="inlineStr">
        <is>
          <t>Rina Wijaya</t>
        </is>
      </c>
      <c r="C32" s="19" t="n">
        <v>6100000</v>
      </c>
    </row>
    <row r="35" ht="22" customHeight="1">
      <c r="B35" s="26" t="inlineStr">
        <is>
          <t>📝 SOAL TES #3: Kasus Logistik &amp; Stok Gudang Utama</t>
        </is>
      </c>
    </row>
    <row r="36" ht="30" customHeight="1">
      <c r="B36" s="14" t="inlineStr">
        <is>
          <t>Nama Unit / Kategori</t>
        </is>
      </c>
      <c r="C36" s="14" t="inlineStr">
        <is>
          <t>Nilai Data</t>
        </is>
      </c>
      <c r="E36" s="27" t="inlineStr">
        <is>
          <t>Persoalan Tes #3: Hitung hasil pengolahan fungsi STDEVA untuk keempat baris data pada rentang C37:C40!</t>
        </is>
      </c>
    </row>
    <row r="37">
      <c r="B37" s="19" t="inlineStr">
        <is>
          <t>Gudang Blok A</t>
        </is>
      </c>
      <c r="C37" s="19" t="n">
        <v>240</v>
      </c>
      <c r="E37" s="14" t="inlineStr">
        <is>
          <t>✏️ KETIK RUMUS JAWABAN TES DI BAWAH:</t>
        </is>
      </c>
      <c r="F37" s="14" t="inlineStr">
        <is>
          <t>📌 STATUS KOREKSI JAWABAN TES:</t>
        </is>
      </c>
      <c r="G37" s="5" t="n"/>
    </row>
    <row r="38" ht="26" customHeight="1">
      <c r="B38" s="19" t="inlineStr">
        <is>
          <t>Gudang Blok B</t>
        </is>
      </c>
      <c r="C38" s="19" t="n">
        <v>380</v>
      </c>
      <c r="E38" s="28" t="n"/>
      <c r="F38" s="29">
        <f>IF(ISBLANK(E38), "⏳ Belum Diisi (Ketik Rumus di Sel Kuning E38)", IF(E38='99_KUNCI_JAWABAN'!F392, "✅ BENAR! JAWABAN TES TEPAT!", "❌ Belum Tepat (Cek Sheet Akhir: 99_KUNCI_JAWABAN)"))</f>
        <v/>
      </c>
      <c r="G38" s="5" t="n"/>
    </row>
    <row r="39">
      <c r="B39" s="19" t="inlineStr">
        <is>
          <t>Gudang Blok C</t>
        </is>
      </c>
      <c r="C39" s="19" t="n">
        <v>195</v>
      </c>
    </row>
    <row r="40">
      <c r="B40" s="19" t="inlineStr">
        <is>
          <t>Gudang Blok D</t>
        </is>
      </c>
      <c r="C40" s="19" t="n">
        <v>425</v>
      </c>
    </row>
    <row r="43" ht="22" customHeight="1">
      <c r="B43" s="26" t="inlineStr">
        <is>
          <t>📝 SOAL TES #4: Kasus Penjualan Retail &amp; Target Toko</t>
        </is>
      </c>
    </row>
    <row r="44" ht="30" customHeight="1">
      <c r="B44" s="14" t="inlineStr">
        <is>
          <t>Nama Unit / Kategori</t>
        </is>
      </c>
      <c r="C44" s="14" t="inlineStr">
        <is>
          <t>Nilai Data</t>
        </is>
      </c>
      <c r="E44" s="27" t="inlineStr">
        <is>
          <t>Persoalan Tes #4: Hitung hasil pengolahan fungsi STDEVA untuk keempat baris data pada rentang C45:C48!</t>
        </is>
      </c>
    </row>
    <row r="45">
      <c r="B45" s="19" t="inlineStr">
        <is>
          <t>Toko Elektronik</t>
        </is>
      </c>
      <c r="C45" s="19" t="n">
        <v>85</v>
      </c>
      <c r="E45" s="14" t="inlineStr">
        <is>
          <t>✏️ KETIK RUMUS JAWABAN TES DI BAWAH:</t>
        </is>
      </c>
      <c r="F45" s="14" t="inlineStr">
        <is>
          <t>📌 STATUS KOREKSI JAWABAN TES:</t>
        </is>
      </c>
      <c r="G45" s="5" t="n"/>
    </row>
    <row r="46" ht="26" customHeight="1">
      <c r="B46" s="19" t="inlineStr">
        <is>
          <t>Toko Komputer</t>
        </is>
      </c>
      <c r="C46" s="19" t="n">
        <v>92</v>
      </c>
      <c r="E46" s="28" t="n"/>
      <c r="F46" s="29">
        <f>IF(ISBLANK(E46), "⏳ Belum Diisi (Ketik Rumus di Sel Kuning E46)", IF(E46='99_KUNCI_JAWABAN'!F393, "✅ BENAR! JAWABAN TES TEPAT!", "❌ Belum Tepat (Cek Sheet Akhir: 99_KUNCI_JAWABAN)"))</f>
        <v/>
      </c>
      <c r="G46" s="5" t="n"/>
    </row>
    <row r="47">
      <c r="B47" s="19" t="inlineStr">
        <is>
          <t>Toko Aksesoris</t>
        </is>
      </c>
      <c r="C47" s="19" t="n">
        <v>78</v>
      </c>
    </row>
    <row r="48">
      <c r="B48" s="19" t="inlineStr">
        <is>
          <t>Toko Servis</t>
        </is>
      </c>
      <c r="C48" s="19" t="n">
        <v>95</v>
      </c>
    </row>
    <row r="51" ht="22" customHeight="1">
      <c r="B51" s="26" t="inlineStr">
        <is>
          <t>📝 SOAL TES #5: Kasus Akademik Sekolah &amp; Layanan Publik</t>
        </is>
      </c>
    </row>
    <row r="52" ht="30" customHeight="1">
      <c r="B52" s="14" t="inlineStr">
        <is>
          <t>Nama Unit / Kategori</t>
        </is>
      </c>
      <c r="C52" s="14" t="inlineStr">
        <is>
          <t>Nilai Data</t>
        </is>
      </c>
      <c r="E52" s="27" t="inlineStr">
        <is>
          <t>Persoalan Tes #5: Hitung hasil pengolahan fungsi STDEVA untuk keempat baris data pada rentang C53:C56!</t>
        </is>
      </c>
    </row>
    <row r="53">
      <c r="B53" s="19" t="inlineStr">
        <is>
          <t>Kelas 10 IPA</t>
        </is>
      </c>
      <c r="C53" s="19" t="n">
        <v>82</v>
      </c>
      <c r="E53" s="14" t="inlineStr">
        <is>
          <t>✏️ KETIK RUMUS JAWABAN TES DI BAWAH:</t>
        </is>
      </c>
      <c r="F53" s="14" t="inlineStr">
        <is>
          <t>📌 STATUS KOREKSI JAWABAN TES:</t>
        </is>
      </c>
      <c r="G53" s="5" t="n"/>
    </row>
    <row r="54" ht="26" customHeight="1">
      <c r="B54" s="19" t="inlineStr">
        <is>
          <t>Kelas 11 IPA</t>
        </is>
      </c>
      <c r="C54" s="19" t="n">
        <v>88</v>
      </c>
      <c r="E54" s="28" t="n"/>
      <c r="F54" s="29">
        <f>IF(ISBLANK(E54), "⏳ Belum Diisi (Ketik Rumus di Sel Kuning E54)", IF(E54='99_KUNCI_JAWABAN'!F394, "✅ BENAR! JAWABAN TES TEPAT!", "❌ Belum Tepat (Cek Sheet Akhir: 99_KUNCI_JAWABAN)"))</f>
        <v/>
      </c>
      <c r="G54" s="5" t="n"/>
    </row>
    <row r="55">
      <c r="B55" s="19" t="inlineStr">
        <is>
          <t>Kelas 12 IPA</t>
        </is>
      </c>
      <c r="C55" s="19" t="n">
        <v>91</v>
      </c>
    </row>
    <row r="56">
      <c r="B56" s="19" t="inlineStr">
        <is>
          <t>Kelas Unggulan</t>
        </is>
      </c>
      <c r="C56" s="19" t="n">
        <v>79</v>
      </c>
    </row>
  </sheetData>
  <mergeCells count="33">
    <mergeCell ref="E10:G10"/>
    <mergeCell ref="F11:G11"/>
    <mergeCell ref="E28:G28"/>
    <mergeCell ref="F29:G29"/>
    <mergeCell ref="C6:G6"/>
    <mergeCell ref="F54:G54"/>
    <mergeCell ref="B17:G17"/>
    <mergeCell ref="B1:G1"/>
    <mergeCell ref="C5:G5"/>
    <mergeCell ref="B19:G19"/>
    <mergeCell ref="F21:G21"/>
    <mergeCell ref="F12:G12"/>
    <mergeCell ref="F30:G30"/>
    <mergeCell ref="E36:G36"/>
    <mergeCell ref="B9:G9"/>
    <mergeCell ref="F45:G45"/>
    <mergeCell ref="B51:G51"/>
    <mergeCell ref="F38:G38"/>
    <mergeCell ref="B35:G35"/>
    <mergeCell ref="B4:G4"/>
    <mergeCell ref="F46:G46"/>
    <mergeCell ref="F22:G22"/>
    <mergeCell ref="B2:E2"/>
    <mergeCell ref="F13:G13"/>
    <mergeCell ref="B16:G16"/>
    <mergeCell ref="F37:G37"/>
    <mergeCell ref="C7:G7"/>
    <mergeCell ref="E52:G52"/>
    <mergeCell ref="B27:G27"/>
    <mergeCell ref="B43:G43"/>
    <mergeCell ref="E44:G44"/>
    <mergeCell ref="E20:G20"/>
    <mergeCell ref="F53:G53"/>
  </mergeCells>
  <hyperlinks>
    <hyperlink xmlns:r="http://schemas.openxmlformats.org/officeDocument/2006/relationships" ref="F2" r:id="rId1"/>
    <hyperlink xmlns:r="http://schemas.openxmlformats.org/officeDocument/2006/relationships" ref="G2" r:id="rId2"/>
  </hyperlinks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B1:G56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22" customWidth="1" min="3" max="3"/>
    <col width="4" customWidth="1" min="4" max="4"/>
    <col width="34" customWidth="1" min="5" max="5"/>
    <col width="44" customWidth="1" min="6" max="6"/>
    <col width="28" customWidth="1" min="7" max="7"/>
  </cols>
  <sheetData>
    <row r="1" ht="30" customHeight="1">
      <c r="B1" s="10" t="inlineStr">
        <is>
          <t>📊 #079 — RUMUS EXCEL: STDEVP   |   Kategori: 8. Statistik &amp; Analisis Data</t>
        </is>
      </c>
    </row>
    <row r="2" ht="22" customHeight="1">
      <c r="B2" s="11" t="inlineStr">
        <is>
          <t>1 Rumus = 1 Contoh Soal + Jawaban Benar &amp; 5 Soal Tes Mandiri (Kunci Jawaban Ada di Sheet Paling Terakhir)</t>
        </is>
      </c>
      <c r="F2" s="12" t="inlineStr">
        <is>
          <t>⬅️ Ke Daftar Isi (00_DAFTAR_ISI)</t>
        </is>
      </c>
      <c r="G2" s="3" t="inlineStr">
        <is>
          <t>🔑 Ke Kunci Jawaban (Sheet Akhir)</t>
        </is>
      </c>
    </row>
    <row r="4" ht="24" customHeight="1">
      <c r="B4" s="13" t="inlineStr">
        <is>
          <t>1️⃣ IDENTITAS RUMUS &amp; FUNGSINYA BUAT APA? (STDEVP)</t>
        </is>
      </c>
    </row>
    <row r="5" ht="21" customHeight="1">
      <c r="B5" s="14" t="inlineStr">
        <is>
          <t>Nama Rumus Excel</t>
        </is>
      </c>
      <c r="C5" s="15">
        <f>STDEVP(...)</f>
        <v/>
      </c>
      <c r="D5" s="5" t="n"/>
      <c r="E5" s="5" t="n"/>
      <c r="F5" s="5" t="n"/>
      <c r="G5" s="5" t="n"/>
    </row>
    <row r="6" ht="21" customHeight="1">
      <c r="B6" s="14" t="inlineStr">
        <is>
          <t>Sintaks / Pola Umum</t>
        </is>
      </c>
      <c r="C6" s="15">
        <f>STDEVP(range_populasi)</f>
        <v/>
      </c>
      <c r="D6" s="5" t="n"/>
      <c r="E6" s="5" t="n"/>
      <c r="F6" s="5" t="n"/>
      <c r="G6" s="5" t="n"/>
    </row>
    <row r="7" ht="26" customHeight="1">
      <c r="B7" s="14" t="inlineStr">
        <is>
          <t>👶 Fungsinya Buat Apa?</t>
        </is>
      </c>
      <c r="C7" s="16" t="inlineStr">
        <is>
          <t>Menghitung standar deviasi populasi penuh (fungsi kompatibilitas).</t>
        </is>
      </c>
      <c r="D7" s="5" t="n"/>
      <c r="E7" s="5" t="n"/>
      <c r="F7" s="5" t="n"/>
      <c r="G7" s="5" t="n"/>
    </row>
    <row r="9" ht="24" customHeight="1">
      <c r="B9" s="17" t="inlineStr">
        <is>
          <t>2️⃣ 1 CONTOH SOAL &amp; CONTOH JAWABAN BENAR (PELAJARI POLA RUMUS STDEVP DI SINI)</t>
        </is>
      </c>
    </row>
    <row r="10">
      <c r="B10" s="18" t="inlineStr">
        <is>
          <t>Nama Unit / Kategori</t>
        </is>
      </c>
      <c r="C10" s="18" t="inlineStr">
        <is>
          <t>Nilai Data</t>
        </is>
      </c>
      <c r="E10" s="18" t="inlineStr">
        <is>
          <t>✅ 1 CONTOH SOAL BESERTA CONTOH RUMUS &amp; HASIL JAWABAN BENAR:</t>
        </is>
      </c>
      <c r="F10" s="5" t="n"/>
      <c r="G10" s="5" t="n"/>
    </row>
    <row r="11" ht="28" customHeight="1">
      <c r="B11" s="19" t="inlineStr">
        <is>
          <t>Simulasi Unit A</t>
        </is>
      </c>
      <c r="C11" s="19" t="n">
        <v>500000</v>
      </c>
      <c r="E11" s="20" t="inlineStr">
        <is>
          <t>Contoh Soal:</t>
        </is>
      </c>
      <c r="F11" s="21" t="inlineStr">
        <is>
          <t>Hitung hasil pengolahan fungsi STDEVP untuk keempat baris data pada rentang C11:C14!</t>
        </is>
      </c>
      <c r="G11" s="5" t="n"/>
    </row>
    <row r="12">
      <c r="B12" s="19" t="inlineStr">
        <is>
          <t>Simulasi Unit B</t>
        </is>
      </c>
      <c r="C12" s="19" t="n">
        <v>750000</v>
      </c>
      <c r="E12" s="20" t="inlineStr">
        <is>
          <t>Contoh Rumus Benar:</t>
        </is>
      </c>
      <c r="F12" s="22" t="inlineStr">
        <is>
          <t>'=STDEVP(C11:C14)</t>
        </is>
      </c>
      <c r="G12" s="5" t="n"/>
    </row>
    <row r="13">
      <c r="B13" s="19" t="inlineStr">
        <is>
          <t>Simulasi Unit C</t>
        </is>
      </c>
      <c r="C13" s="19" t="n">
        <v>600000</v>
      </c>
      <c r="E13" s="20" t="inlineStr">
        <is>
          <t>Contoh Hasil Benar:</t>
        </is>
      </c>
      <c r="F13" s="23">
        <f>STDEVP(C11:C14)</f>
        <v/>
      </c>
      <c r="G13" s="5" t="n"/>
    </row>
    <row r="14">
      <c r="B14" s="19" t="inlineStr">
        <is>
          <t>Simulasi Unit D</t>
        </is>
      </c>
      <c r="C14" s="19" t="n">
        <v>950000</v>
      </c>
    </row>
    <row r="16" ht="26" customHeight="1">
      <c r="B16" s="24" t="inlineStr">
        <is>
          <t>3️⃣ 5 SOAL TES DUNIA NYATA — KERJAKAN DI KOTAK KUNING (TANPA KUNCI RUMUS / HASIL DI SINI!)</t>
        </is>
      </c>
    </row>
    <row r="17" ht="20" customHeight="1">
      <c r="B17" s="25" t="inlineStr">
        <is>
          <t>📌 Catatan Tes: Soal Tes #1 s/d #5 di bawah ini tidak menampilkan kunci rumus maupun hasil. Kunci jawaban lengkap tersedia di sheet paling terakhir (99_KUNCI_JAWABAN).</t>
        </is>
      </c>
    </row>
    <row r="19" ht="22" customHeight="1">
      <c r="B19" s="26" t="inlineStr">
        <is>
          <t>📝 SOAL TES #1: Kasus Keuangan &amp; Akuntansi Kantor</t>
        </is>
      </c>
    </row>
    <row r="20" ht="30" customHeight="1">
      <c r="B20" s="14" t="inlineStr">
        <is>
          <t>Nama Unit / Kategori</t>
        </is>
      </c>
      <c r="C20" s="14" t="inlineStr">
        <is>
          <t>Nilai Data</t>
        </is>
      </c>
      <c r="E20" s="27" t="inlineStr">
        <is>
          <t>Persoalan Tes #1: Hitung hasil pengolahan fungsi STDEVP untuk keempat baris data pada rentang C21:C24!</t>
        </is>
      </c>
    </row>
    <row r="21">
      <c r="B21" s="19" t="inlineStr">
        <is>
          <t>Cabang Jakarta</t>
        </is>
      </c>
      <c r="C21" s="19" t="n">
        <v>1250000</v>
      </c>
      <c r="E21" s="14" t="inlineStr">
        <is>
          <t>✏️ KETIK RUMUS JAWABAN TES DI BAWAH:</t>
        </is>
      </c>
      <c r="F21" s="14" t="inlineStr">
        <is>
          <t>📌 STATUS KOREKSI JAWABAN TES:</t>
        </is>
      </c>
      <c r="G21" s="5" t="n"/>
    </row>
    <row r="22" ht="26" customHeight="1">
      <c r="B22" s="19" t="inlineStr">
        <is>
          <t>Cabang Bandung</t>
        </is>
      </c>
      <c r="C22" s="19" t="n">
        <v>1850000</v>
      </c>
      <c r="E22" s="28" t="n"/>
      <c r="F22" s="29">
        <f>IF(ISBLANK(E22), "⏳ Belum Diisi (Ketik Rumus di Sel Kuning E22)", IF(E22='99_KUNCI_JAWABAN'!F395, "✅ BENAR! JAWABAN TES TEPAT!", "❌ Belum Tepat (Cek Sheet Akhir: 99_KUNCI_JAWABAN)"))</f>
        <v/>
      </c>
      <c r="G22" s="5" t="n"/>
    </row>
    <row r="23">
      <c r="B23" s="19" t="inlineStr">
        <is>
          <t>Cabang Surabaya</t>
        </is>
      </c>
      <c r="C23" s="19" t="n">
        <v>2100000</v>
      </c>
    </row>
    <row r="24">
      <c r="B24" s="19" t="inlineStr">
        <is>
          <t>Cabang Medan</t>
        </is>
      </c>
      <c r="C24" s="19" t="n">
        <v>1600000</v>
      </c>
    </row>
    <row r="27" ht="22" customHeight="1">
      <c r="B27" s="26" t="inlineStr">
        <is>
          <t>📝 SOAL TES #2: Kasus HRD, Gaji &amp; Lembur Karyawan</t>
        </is>
      </c>
    </row>
    <row r="28" ht="30" customHeight="1">
      <c r="B28" s="14" t="inlineStr">
        <is>
          <t>Nama Unit / Kategori</t>
        </is>
      </c>
      <c r="C28" s="14" t="inlineStr">
        <is>
          <t>Nilai Data</t>
        </is>
      </c>
      <c r="E28" s="27" t="inlineStr">
        <is>
          <t>Persoalan Tes #2: Hitung hasil pengolahan fungsi STDEVP untuk keempat baris data pada rentang C29:C32!</t>
        </is>
      </c>
    </row>
    <row r="29">
      <c r="B29" s="19" t="inlineStr">
        <is>
          <t>Budi Santoso</t>
        </is>
      </c>
      <c r="C29" s="19" t="n">
        <v>4500000</v>
      </c>
      <c r="E29" s="14" t="inlineStr">
        <is>
          <t>✏️ KETIK RUMUS JAWABAN TES DI BAWAH:</t>
        </is>
      </c>
      <c r="F29" s="14" t="inlineStr">
        <is>
          <t>📌 STATUS KOREKSI JAWABAN TES:</t>
        </is>
      </c>
      <c r="G29" s="5" t="n"/>
    </row>
    <row r="30" ht="26" customHeight="1">
      <c r="B30" s="19" t="inlineStr">
        <is>
          <t>Siti Aminah</t>
        </is>
      </c>
      <c r="C30" s="19" t="n">
        <v>5200000</v>
      </c>
      <c r="E30" s="28" t="n"/>
      <c r="F30" s="29">
        <f>IF(ISBLANK(E30), "⏳ Belum Diisi (Ketik Rumus di Sel Kuning E30)", IF(E30='99_KUNCI_JAWABAN'!F396, "✅ BENAR! JAWABAN TES TEPAT!", "❌ Belum Tepat (Cek Sheet Akhir: 99_KUNCI_JAWABAN)"))</f>
        <v/>
      </c>
      <c r="G30" s="5" t="n"/>
    </row>
    <row r="31">
      <c r="B31" s="19" t="inlineStr">
        <is>
          <t>Andi Pratama</t>
        </is>
      </c>
      <c r="C31" s="19" t="n">
        <v>4800000</v>
      </c>
    </row>
    <row r="32">
      <c r="B32" s="19" t="inlineStr">
        <is>
          <t>Rina Wijaya</t>
        </is>
      </c>
      <c r="C32" s="19" t="n">
        <v>6100000</v>
      </c>
    </row>
    <row r="35" ht="22" customHeight="1">
      <c r="B35" s="26" t="inlineStr">
        <is>
          <t>📝 SOAL TES #3: Kasus Logistik &amp; Stok Gudang Utama</t>
        </is>
      </c>
    </row>
    <row r="36" ht="30" customHeight="1">
      <c r="B36" s="14" t="inlineStr">
        <is>
          <t>Nama Unit / Kategori</t>
        </is>
      </c>
      <c r="C36" s="14" t="inlineStr">
        <is>
          <t>Nilai Data</t>
        </is>
      </c>
      <c r="E36" s="27" t="inlineStr">
        <is>
          <t>Persoalan Tes #3: Hitung hasil pengolahan fungsi STDEVP untuk keempat baris data pada rentang C37:C40!</t>
        </is>
      </c>
    </row>
    <row r="37">
      <c r="B37" s="19" t="inlineStr">
        <is>
          <t>Gudang Blok A</t>
        </is>
      </c>
      <c r="C37" s="19" t="n">
        <v>240</v>
      </c>
      <c r="E37" s="14" t="inlineStr">
        <is>
          <t>✏️ KETIK RUMUS JAWABAN TES DI BAWAH:</t>
        </is>
      </c>
      <c r="F37" s="14" t="inlineStr">
        <is>
          <t>📌 STATUS KOREKSI JAWABAN TES:</t>
        </is>
      </c>
      <c r="G37" s="5" t="n"/>
    </row>
    <row r="38" ht="26" customHeight="1">
      <c r="B38" s="19" t="inlineStr">
        <is>
          <t>Gudang Blok B</t>
        </is>
      </c>
      <c r="C38" s="19" t="n">
        <v>380</v>
      </c>
      <c r="E38" s="28" t="n"/>
      <c r="F38" s="29">
        <f>IF(ISBLANK(E38), "⏳ Belum Diisi (Ketik Rumus di Sel Kuning E38)", IF(E38='99_KUNCI_JAWABAN'!F397, "✅ BENAR! JAWABAN TES TEPAT!", "❌ Belum Tepat (Cek Sheet Akhir: 99_KUNCI_JAWABAN)"))</f>
        <v/>
      </c>
      <c r="G38" s="5" t="n"/>
    </row>
    <row r="39">
      <c r="B39" s="19" t="inlineStr">
        <is>
          <t>Gudang Blok C</t>
        </is>
      </c>
      <c r="C39" s="19" t="n">
        <v>195</v>
      </c>
    </row>
    <row r="40">
      <c r="B40" s="19" t="inlineStr">
        <is>
          <t>Gudang Blok D</t>
        </is>
      </c>
      <c r="C40" s="19" t="n">
        <v>425</v>
      </c>
    </row>
    <row r="43" ht="22" customHeight="1">
      <c r="B43" s="26" t="inlineStr">
        <is>
          <t>📝 SOAL TES #4: Kasus Penjualan Retail &amp; Target Toko</t>
        </is>
      </c>
    </row>
    <row r="44" ht="30" customHeight="1">
      <c r="B44" s="14" t="inlineStr">
        <is>
          <t>Nama Unit / Kategori</t>
        </is>
      </c>
      <c r="C44" s="14" t="inlineStr">
        <is>
          <t>Nilai Data</t>
        </is>
      </c>
      <c r="E44" s="27" t="inlineStr">
        <is>
          <t>Persoalan Tes #4: Hitung hasil pengolahan fungsi STDEVP untuk keempat baris data pada rentang C45:C48!</t>
        </is>
      </c>
    </row>
    <row r="45">
      <c r="B45" s="19" t="inlineStr">
        <is>
          <t>Toko Elektronik</t>
        </is>
      </c>
      <c r="C45" s="19" t="n">
        <v>85</v>
      </c>
      <c r="E45" s="14" t="inlineStr">
        <is>
          <t>✏️ KETIK RUMUS JAWABAN TES DI BAWAH:</t>
        </is>
      </c>
      <c r="F45" s="14" t="inlineStr">
        <is>
          <t>📌 STATUS KOREKSI JAWABAN TES:</t>
        </is>
      </c>
      <c r="G45" s="5" t="n"/>
    </row>
    <row r="46" ht="26" customHeight="1">
      <c r="B46" s="19" t="inlineStr">
        <is>
          <t>Toko Komputer</t>
        </is>
      </c>
      <c r="C46" s="19" t="n">
        <v>92</v>
      </c>
      <c r="E46" s="28" t="n"/>
      <c r="F46" s="29">
        <f>IF(ISBLANK(E46), "⏳ Belum Diisi (Ketik Rumus di Sel Kuning E46)", IF(E46='99_KUNCI_JAWABAN'!F398, "✅ BENAR! JAWABAN TES TEPAT!", "❌ Belum Tepat (Cek Sheet Akhir: 99_KUNCI_JAWABAN)"))</f>
        <v/>
      </c>
      <c r="G46" s="5" t="n"/>
    </row>
    <row r="47">
      <c r="B47" s="19" t="inlineStr">
        <is>
          <t>Toko Aksesoris</t>
        </is>
      </c>
      <c r="C47" s="19" t="n">
        <v>78</v>
      </c>
    </row>
    <row r="48">
      <c r="B48" s="19" t="inlineStr">
        <is>
          <t>Toko Servis</t>
        </is>
      </c>
      <c r="C48" s="19" t="n">
        <v>95</v>
      </c>
    </row>
    <row r="51" ht="22" customHeight="1">
      <c r="B51" s="26" t="inlineStr">
        <is>
          <t>📝 SOAL TES #5: Kasus Akademik Sekolah &amp; Layanan Publik</t>
        </is>
      </c>
    </row>
    <row r="52" ht="30" customHeight="1">
      <c r="B52" s="14" t="inlineStr">
        <is>
          <t>Nama Unit / Kategori</t>
        </is>
      </c>
      <c r="C52" s="14" t="inlineStr">
        <is>
          <t>Nilai Data</t>
        </is>
      </c>
      <c r="E52" s="27" t="inlineStr">
        <is>
          <t>Persoalan Tes #5: Hitung hasil pengolahan fungsi STDEVP untuk keempat baris data pada rentang C53:C56!</t>
        </is>
      </c>
    </row>
    <row r="53">
      <c r="B53" s="19" t="inlineStr">
        <is>
          <t>Kelas 10 IPA</t>
        </is>
      </c>
      <c r="C53" s="19" t="n">
        <v>82</v>
      </c>
      <c r="E53" s="14" t="inlineStr">
        <is>
          <t>✏️ KETIK RUMUS JAWABAN TES DI BAWAH:</t>
        </is>
      </c>
      <c r="F53" s="14" t="inlineStr">
        <is>
          <t>📌 STATUS KOREKSI JAWABAN TES:</t>
        </is>
      </c>
      <c r="G53" s="5" t="n"/>
    </row>
    <row r="54" ht="26" customHeight="1">
      <c r="B54" s="19" t="inlineStr">
        <is>
          <t>Kelas 11 IPA</t>
        </is>
      </c>
      <c r="C54" s="19" t="n">
        <v>88</v>
      </c>
      <c r="E54" s="28" t="n"/>
      <c r="F54" s="29">
        <f>IF(ISBLANK(E54), "⏳ Belum Diisi (Ketik Rumus di Sel Kuning E54)", IF(E54='99_KUNCI_JAWABAN'!F399, "✅ BENAR! JAWABAN TES TEPAT!", "❌ Belum Tepat (Cek Sheet Akhir: 99_KUNCI_JAWABAN)"))</f>
        <v/>
      </c>
      <c r="G54" s="5" t="n"/>
    </row>
    <row r="55">
      <c r="B55" s="19" t="inlineStr">
        <is>
          <t>Kelas 12 IPA</t>
        </is>
      </c>
      <c r="C55" s="19" t="n">
        <v>91</v>
      </c>
    </row>
    <row r="56">
      <c r="B56" s="19" t="inlineStr">
        <is>
          <t>Kelas Unggulan</t>
        </is>
      </c>
      <c r="C56" s="19" t="n">
        <v>79</v>
      </c>
    </row>
  </sheetData>
  <mergeCells count="33">
    <mergeCell ref="E10:G10"/>
    <mergeCell ref="F11:G11"/>
    <mergeCell ref="E28:G28"/>
    <mergeCell ref="F29:G29"/>
    <mergeCell ref="C6:G6"/>
    <mergeCell ref="F54:G54"/>
    <mergeCell ref="B17:G17"/>
    <mergeCell ref="B1:G1"/>
    <mergeCell ref="C5:G5"/>
    <mergeCell ref="B19:G19"/>
    <mergeCell ref="F21:G21"/>
    <mergeCell ref="F12:G12"/>
    <mergeCell ref="F30:G30"/>
    <mergeCell ref="E36:G36"/>
    <mergeCell ref="B9:G9"/>
    <mergeCell ref="F45:G45"/>
    <mergeCell ref="B51:G51"/>
    <mergeCell ref="F38:G38"/>
    <mergeCell ref="B35:G35"/>
    <mergeCell ref="B4:G4"/>
    <mergeCell ref="F46:G46"/>
    <mergeCell ref="F22:G22"/>
    <mergeCell ref="B2:E2"/>
    <mergeCell ref="F13:G13"/>
    <mergeCell ref="B16:G16"/>
    <mergeCell ref="F37:G37"/>
    <mergeCell ref="C7:G7"/>
    <mergeCell ref="E52:G52"/>
    <mergeCell ref="B27:G27"/>
    <mergeCell ref="B43:G43"/>
    <mergeCell ref="E44:G44"/>
    <mergeCell ref="E20:G20"/>
    <mergeCell ref="F53:G53"/>
  </mergeCells>
  <hyperlinks>
    <hyperlink xmlns:r="http://schemas.openxmlformats.org/officeDocument/2006/relationships" ref="F2" r:id="rId1"/>
    <hyperlink xmlns:r="http://schemas.openxmlformats.org/officeDocument/2006/relationships" ref="G2" r:id="rId2"/>
  </hyperlinks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B1:G56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22" customWidth="1" min="3" max="3"/>
    <col width="4" customWidth="1" min="4" max="4"/>
    <col width="34" customWidth="1" min="5" max="5"/>
    <col width="44" customWidth="1" min="6" max="6"/>
    <col width="28" customWidth="1" min="7" max="7"/>
  </cols>
  <sheetData>
    <row r="1" ht="30" customHeight="1">
      <c r="B1" s="10" t="inlineStr">
        <is>
          <t>📊 #080 — RUMUS EXCEL: STDEVPA   |   Kategori: 8. Statistik &amp; Analisis Data</t>
        </is>
      </c>
    </row>
    <row r="2" ht="22" customHeight="1">
      <c r="B2" s="11" t="inlineStr">
        <is>
          <t>1 Rumus = 1 Contoh Soal + Jawaban Benar &amp; 5 Soal Tes Mandiri (Kunci Jawaban Ada di Sheet Paling Terakhir)</t>
        </is>
      </c>
      <c r="F2" s="12" t="inlineStr">
        <is>
          <t>⬅️ Ke Daftar Isi (00_DAFTAR_ISI)</t>
        </is>
      </c>
      <c r="G2" s="3" t="inlineStr">
        <is>
          <t>🔑 Ke Kunci Jawaban (Sheet Akhir)</t>
        </is>
      </c>
    </row>
    <row r="4" ht="24" customHeight="1">
      <c r="B4" s="13" t="inlineStr">
        <is>
          <t>1️⃣ IDENTITAS RUMUS &amp; FUNGSINYA BUAT APA? (STDEVPA)</t>
        </is>
      </c>
    </row>
    <row r="5" ht="21" customHeight="1">
      <c r="B5" s="14" t="inlineStr">
        <is>
          <t>Nama Rumus Excel</t>
        </is>
      </c>
      <c r="C5" s="15">
        <f>STDEVPA(...)</f>
        <v/>
      </c>
      <c r="D5" s="5" t="n"/>
      <c r="E5" s="5" t="n"/>
      <c r="F5" s="5" t="n"/>
      <c r="G5" s="5" t="n"/>
    </row>
    <row r="6" ht="21" customHeight="1">
      <c r="B6" s="14" t="inlineStr">
        <is>
          <t>Sintaks / Pola Umum</t>
        </is>
      </c>
      <c r="C6" s="15">
        <f>STDEVPA(range_populasi)</f>
        <v/>
      </c>
      <c r="D6" s="5" t="n"/>
      <c r="E6" s="5" t="n"/>
      <c r="F6" s="5" t="n"/>
      <c r="G6" s="5" t="n"/>
    </row>
    <row r="7" ht="26" customHeight="1">
      <c r="B7" s="14" t="inlineStr">
        <is>
          <t>👶 Fungsinya Buat Apa?</t>
        </is>
      </c>
      <c r="C7" s="16" t="inlineStr">
        <is>
          <t>Menghitung standar deviasi populasi termasuk nilai logika dan teks.</t>
        </is>
      </c>
      <c r="D7" s="5" t="n"/>
      <c r="E7" s="5" t="n"/>
      <c r="F7" s="5" t="n"/>
      <c r="G7" s="5" t="n"/>
    </row>
    <row r="9" ht="24" customHeight="1">
      <c r="B9" s="17" t="inlineStr">
        <is>
          <t>2️⃣ 1 CONTOH SOAL &amp; CONTOH JAWABAN BENAR (PELAJARI POLA RUMUS STDEVPA DI SINI)</t>
        </is>
      </c>
    </row>
    <row r="10">
      <c r="B10" s="18" t="inlineStr">
        <is>
          <t>Nama Unit / Kategori</t>
        </is>
      </c>
      <c r="C10" s="18" t="inlineStr">
        <is>
          <t>Nilai Data</t>
        </is>
      </c>
      <c r="E10" s="18" t="inlineStr">
        <is>
          <t>✅ 1 CONTOH SOAL BESERTA CONTOH RUMUS &amp; HASIL JAWABAN BENAR:</t>
        </is>
      </c>
      <c r="F10" s="5" t="n"/>
      <c r="G10" s="5" t="n"/>
    </row>
    <row r="11" ht="28" customHeight="1">
      <c r="B11" s="19" t="inlineStr">
        <is>
          <t>Simulasi Unit A</t>
        </is>
      </c>
      <c r="C11" s="19" t="n">
        <v>500000</v>
      </c>
      <c r="E11" s="20" t="inlineStr">
        <is>
          <t>Contoh Soal:</t>
        </is>
      </c>
      <c r="F11" s="21" t="inlineStr">
        <is>
          <t>Hitung hasil pengolahan fungsi STDEVPA untuk keempat baris data pada rentang C11:C14!</t>
        </is>
      </c>
      <c r="G11" s="5" t="n"/>
    </row>
    <row r="12">
      <c r="B12" s="19" t="inlineStr">
        <is>
          <t>Simulasi Unit B</t>
        </is>
      </c>
      <c r="C12" s="19" t="n">
        <v>750000</v>
      </c>
      <c r="E12" s="20" t="inlineStr">
        <is>
          <t>Contoh Rumus Benar:</t>
        </is>
      </c>
      <c r="F12" s="22" t="inlineStr">
        <is>
          <t>'=STDEVPA(C11:C14)</t>
        </is>
      </c>
      <c r="G12" s="5" t="n"/>
    </row>
    <row r="13">
      <c r="B13" s="19" t="inlineStr">
        <is>
          <t>Simulasi Unit C</t>
        </is>
      </c>
      <c r="C13" s="19" t="n">
        <v>600000</v>
      </c>
      <c r="E13" s="20" t="inlineStr">
        <is>
          <t>Contoh Hasil Benar:</t>
        </is>
      </c>
      <c r="F13" s="23">
        <f>STDEVPA(C11:C14)</f>
        <v/>
      </c>
      <c r="G13" s="5" t="n"/>
    </row>
    <row r="14">
      <c r="B14" s="19" t="inlineStr">
        <is>
          <t>Simulasi Unit D</t>
        </is>
      </c>
      <c r="C14" s="19" t="n">
        <v>950000</v>
      </c>
    </row>
    <row r="16" ht="26" customHeight="1">
      <c r="B16" s="24" t="inlineStr">
        <is>
          <t>3️⃣ 5 SOAL TES DUNIA NYATA — KERJAKAN DI KOTAK KUNING (TANPA KUNCI RUMUS / HASIL DI SINI!)</t>
        </is>
      </c>
    </row>
    <row r="17" ht="20" customHeight="1">
      <c r="B17" s="25" t="inlineStr">
        <is>
          <t>📌 Catatan Tes: Soal Tes #1 s/d #5 di bawah ini tidak menampilkan kunci rumus maupun hasil. Kunci jawaban lengkap tersedia di sheet paling terakhir (99_KUNCI_JAWABAN).</t>
        </is>
      </c>
    </row>
    <row r="19" ht="22" customHeight="1">
      <c r="B19" s="26" t="inlineStr">
        <is>
          <t>📝 SOAL TES #1: Kasus Keuangan &amp; Akuntansi Kantor</t>
        </is>
      </c>
    </row>
    <row r="20" ht="30" customHeight="1">
      <c r="B20" s="14" t="inlineStr">
        <is>
          <t>Nama Unit / Kategori</t>
        </is>
      </c>
      <c r="C20" s="14" t="inlineStr">
        <is>
          <t>Nilai Data</t>
        </is>
      </c>
      <c r="E20" s="27" t="inlineStr">
        <is>
          <t>Persoalan Tes #1: Hitung hasil pengolahan fungsi STDEVPA untuk keempat baris data pada rentang C21:C24!</t>
        </is>
      </c>
    </row>
    <row r="21">
      <c r="B21" s="19" t="inlineStr">
        <is>
          <t>Cabang Jakarta</t>
        </is>
      </c>
      <c r="C21" s="19" t="n">
        <v>1250000</v>
      </c>
      <c r="E21" s="14" t="inlineStr">
        <is>
          <t>✏️ KETIK RUMUS JAWABAN TES DI BAWAH:</t>
        </is>
      </c>
      <c r="F21" s="14" t="inlineStr">
        <is>
          <t>📌 STATUS KOREKSI JAWABAN TES:</t>
        </is>
      </c>
      <c r="G21" s="5" t="n"/>
    </row>
    <row r="22" ht="26" customHeight="1">
      <c r="B22" s="19" t="inlineStr">
        <is>
          <t>Cabang Bandung</t>
        </is>
      </c>
      <c r="C22" s="19" t="n">
        <v>1850000</v>
      </c>
      <c r="E22" s="28" t="n"/>
      <c r="F22" s="29">
        <f>IF(ISBLANK(E22), "⏳ Belum Diisi (Ketik Rumus di Sel Kuning E22)", IF(E22='99_KUNCI_JAWABAN'!F400, "✅ BENAR! JAWABAN TES TEPAT!", "❌ Belum Tepat (Cek Sheet Akhir: 99_KUNCI_JAWABAN)"))</f>
        <v/>
      </c>
      <c r="G22" s="5" t="n"/>
    </row>
    <row r="23">
      <c r="B23" s="19" t="inlineStr">
        <is>
          <t>Cabang Surabaya</t>
        </is>
      </c>
      <c r="C23" s="19" t="n">
        <v>2100000</v>
      </c>
    </row>
    <row r="24">
      <c r="B24" s="19" t="inlineStr">
        <is>
          <t>Cabang Medan</t>
        </is>
      </c>
      <c r="C24" s="19" t="n">
        <v>1600000</v>
      </c>
    </row>
    <row r="27" ht="22" customHeight="1">
      <c r="B27" s="26" t="inlineStr">
        <is>
          <t>📝 SOAL TES #2: Kasus HRD, Gaji &amp; Lembur Karyawan</t>
        </is>
      </c>
    </row>
    <row r="28" ht="30" customHeight="1">
      <c r="B28" s="14" t="inlineStr">
        <is>
          <t>Nama Unit / Kategori</t>
        </is>
      </c>
      <c r="C28" s="14" t="inlineStr">
        <is>
          <t>Nilai Data</t>
        </is>
      </c>
      <c r="E28" s="27" t="inlineStr">
        <is>
          <t>Persoalan Tes #2: Hitung hasil pengolahan fungsi STDEVPA untuk keempat baris data pada rentang C29:C32!</t>
        </is>
      </c>
    </row>
    <row r="29">
      <c r="B29" s="19" t="inlineStr">
        <is>
          <t>Budi Santoso</t>
        </is>
      </c>
      <c r="C29" s="19" t="n">
        <v>4500000</v>
      </c>
      <c r="E29" s="14" t="inlineStr">
        <is>
          <t>✏️ KETIK RUMUS JAWABAN TES DI BAWAH:</t>
        </is>
      </c>
      <c r="F29" s="14" t="inlineStr">
        <is>
          <t>📌 STATUS KOREKSI JAWABAN TES:</t>
        </is>
      </c>
      <c r="G29" s="5" t="n"/>
    </row>
    <row r="30" ht="26" customHeight="1">
      <c r="B30" s="19" t="inlineStr">
        <is>
          <t>Siti Aminah</t>
        </is>
      </c>
      <c r="C30" s="19" t="n">
        <v>5200000</v>
      </c>
      <c r="E30" s="28" t="n"/>
      <c r="F30" s="29">
        <f>IF(ISBLANK(E30), "⏳ Belum Diisi (Ketik Rumus di Sel Kuning E30)", IF(E30='99_KUNCI_JAWABAN'!F401, "✅ BENAR! JAWABAN TES TEPAT!", "❌ Belum Tepat (Cek Sheet Akhir: 99_KUNCI_JAWABAN)"))</f>
        <v/>
      </c>
      <c r="G30" s="5" t="n"/>
    </row>
    <row r="31">
      <c r="B31" s="19" t="inlineStr">
        <is>
          <t>Andi Pratama</t>
        </is>
      </c>
      <c r="C31" s="19" t="n">
        <v>4800000</v>
      </c>
    </row>
    <row r="32">
      <c r="B32" s="19" t="inlineStr">
        <is>
          <t>Rina Wijaya</t>
        </is>
      </c>
      <c r="C32" s="19" t="n">
        <v>6100000</v>
      </c>
    </row>
    <row r="35" ht="22" customHeight="1">
      <c r="B35" s="26" t="inlineStr">
        <is>
          <t>📝 SOAL TES #3: Kasus Logistik &amp; Stok Gudang Utama</t>
        </is>
      </c>
    </row>
    <row r="36" ht="30" customHeight="1">
      <c r="B36" s="14" t="inlineStr">
        <is>
          <t>Nama Unit / Kategori</t>
        </is>
      </c>
      <c r="C36" s="14" t="inlineStr">
        <is>
          <t>Nilai Data</t>
        </is>
      </c>
      <c r="E36" s="27" t="inlineStr">
        <is>
          <t>Persoalan Tes #3: Hitung hasil pengolahan fungsi STDEVPA untuk keempat baris data pada rentang C37:C40!</t>
        </is>
      </c>
    </row>
    <row r="37">
      <c r="B37" s="19" t="inlineStr">
        <is>
          <t>Gudang Blok A</t>
        </is>
      </c>
      <c r="C37" s="19" t="n">
        <v>240</v>
      </c>
      <c r="E37" s="14" t="inlineStr">
        <is>
          <t>✏️ KETIK RUMUS JAWABAN TES DI BAWAH:</t>
        </is>
      </c>
      <c r="F37" s="14" t="inlineStr">
        <is>
          <t>📌 STATUS KOREKSI JAWABAN TES:</t>
        </is>
      </c>
      <c r="G37" s="5" t="n"/>
    </row>
    <row r="38" ht="26" customHeight="1">
      <c r="B38" s="19" t="inlineStr">
        <is>
          <t>Gudang Blok B</t>
        </is>
      </c>
      <c r="C38" s="19" t="n">
        <v>380</v>
      </c>
      <c r="E38" s="28" t="n"/>
      <c r="F38" s="29">
        <f>IF(ISBLANK(E38), "⏳ Belum Diisi (Ketik Rumus di Sel Kuning E38)", IF(E38='99_KUNCI_JAWABAN'!F402, "✅ BENAR! JAWABAN TES TEPAT!", "❌ Belum Tepat (Cek Sheet Akhir: 99_KUNCI_JAWABAN)"))</f>
        <v/>
      </c>
      <c r="G38" s="5" t="n"/>
    </row>
    <row r="39">
      <c r="B39" s="19" t="inlineStr">
        <is>
          <t>Gudang Blok C</t>
        </is>
      </c>
      <c r="C39" s="19" t="n">
        <v>195</v>
      </c>
    </row>
    <row r="40">
      <c r="B40" s="19" t="inlineStr">
        <is>
          <t>Gudang Blok D</t>
        </is>
      </c>
      <c r="C40" s="19" t="n">
        <v>425</v>
      </c>
    </row>
    <row r="43" ht="22" customHeight="1">
      <c r="B43" s="26" t="inlineStr">
        <is>
          <t>📝 SOAL TES #4: Kasus Penjualan Retail &amp; Target Toko</t>
        </is>
      </c>
    </row>
    <row r="44" ht="30" customHeight="1">
      <c r="B44" s="14" t="inlineStr">
        <is>
          <t>Nama Unit / Kategori</t>
        </is>
      </c>
      <c r="C44" s="14" t="inlineStr">
        <is>
          <t>Nilai Data</t>
        </is>
      </c>
      <c r="E44" s="27" t="inlineStr">
        <is>
          <t>Persoalan Tes #4: Hitung hasil pengolahan fungsi STDEVPA untuk keempat baris data pada rentang C45:C48!</t>
        </is>
      </c>
    </row>
    <row r="45">
      <c r="B45" s="19" t="inlineStr">
        <is>
          <t>Toko Elektronik</t>
        </is>
      </c>
      <c r="C45" s="19" t="n">
        <v>85</v>
      </c>
      <c r="E45" s="14" t="inlineStr">
        <is>
          <t>✏️ KETIK RUMUS JAWABAN TES DI BAWAH:</t>
        </is>
      </c>
      <c r="F45" s="14" t="inlineStr">
        <is>
          <t>📌 STATUS KOREKSI JAWABAN TES:</t>
        </is>
      </c>
      <c r="G45" s="5" t="n"/>
    </row>
    <row r="46" ht="26" customHeight="1">
      <c r="B46" s="19" t="inlineStr">
        <is>
          <t>Toko Komputer</t>
        </is>
      </c>
      <c r="C46" s="19" t="n">
        <v>92</v>
      </c>
      <c r="E46" s="28" t="n"/>
      <c r="F46" s="29">
        <f>IF(ISBLANK(E46), "⏳ Belum Diisi (Ketik Rumus di Sel Kuning E46)", IF(E46='99_KUNCI_JAWABAN'!F403, "✅ BENAR! JAWABAN TES TEPAT!", "❌ Belum Tepat (Cek Sheet Akhir: 99_KUNCI_JAWABAN)"))</f>
        <v/>
      </c>
      <c r="G46" s="5" t="n"/>
    </row>
    <row r="47">
      <c r="B47" s="19" t="inlineStr">
        <is>
          <t>Toko Aksesoris</t>
        </is>
      </c>
      <c r="C47" s="19" t="n">
        <v>78</v>
      </c>
    </row>
    <row r="48">
      <c r="B48" s="19" t="inlineStr">
        <is>
          <t>Toko Servis</t>
        </is>
      </c>
      <c r="C48" s="19" t="n">
        <v>95</v>
      </c>
    </row>
    <row r="51" ht="22" customHeight="1">
      <c r="B51" s="26" t="inlineStr">
        <is>
          <t>📝 SOAL TES #5: Kasus Akademik Sekolah &amp; Layanan Publik</t>
        </is>
      </c>
    </row>
    <row r="52" ht="30" customHeight="1">
      <c r="B52" s="14" t="inlineStr">
        <is>
          <t>Nama Unit / Kategori</t>
        </is>
      </c>
      <c r="C52" s="14" t="inlineStr">
        <is>
          <t>Nilai Data</t>
        </is>
      </c>
      <c r="E52" s="27" t="inlineStr">
        <is>
          <t>Persoalan Tes #5: Hitung hasil pengolahan fungsi STDEVPA untuk keempat baris data pada rentang C53:C56!</t>
        </is>
      </c>
    </row>
    <row r="53">
      <c r="B53" s="19" t="inlineStr">
        <is>
          <t>Kelas 10 IPA</t>
        </is>
      </c>
      <c r="C53" s="19" t="n">
        <v>82</v>
      </c>
      <c r="E53" s="14" t="inlineStr">
        <is>
          <t>✏️ KETIK RUMUS JAWABAN TES DI BAWAH:</t>
        </is>
      </c>
      <c r="F53" s="14" t="inlineStr">
        <is>
          <t>📌 STATUS KOREKSI JAWABAN TES:</t>
        </is>
      </c>
      <c r="G53" s="5" t="n"/>
    </row>
    <row r="54" ht="26" customHeight="1">
      <c r="B54" s="19" t="inlineStr">
        <is>
          <t>Kelas 11 IPA</t>
        </is>
      </c>
      <c r="C54" s="19" t="n">
        <v>88</v>
      </c>
      <c r="E54" s="28" t="n"/>
      <c r="F54" s="29">
        <f>IF(ISBLANK(E54), "⏳ Belum Diisi (Ketik Rumus di Sel Kuning E54)", IF(E54='99_KUNCI_JAWABAN'!F404, "✅ BENAR! JAWABAN TES TEPAT!", "❌ Belum Tepat (Cek Sheet Akhir: 99_KUNCI_JAWABAN)"))</f>
        <v/>
      </c>
      <c r="G54" s="5" t="n"/>
    </row>
    <row r="55">
      <c r="B55" s="19" t="inlineStr">
        <is>
          <t>Kelas 12 IPA</t>
        </is>
      </c>
      <c r="C55" s="19" t="n">
        <v>91</v>
      </c>
    </row>
    <row r="56">
      <c r="B56" s="19" t="inlineStr">
        <is>
          <t>Kelas Unggulan</t>
        </is>
      </c>
      <c r="C56" s="19" t="n">
        <v>79</v>
      </c>
    </row>
  </sheetData>
  <mergeCells count="33">
    <mergeCell ref="E10:G10"/>
    <mergeCell ref="F11:G11"/>
    <mergeCell ref="E28:G28"/>
    <mergeCell ref="F29:G29"/>
    <mergeCell ref="C6:G6"/>
    <mergeCell ref="F54:G54"/>
    <mergeCell ref="B17:G17"/>
    <mergeCell ref="B1:G1"/>
    <mergeCell ref="C5:G5"/>
    <mergeCell ref="B19:G19"/>
    <mergeCell ref="F21:G21"/>
    <mergeCell ref="F12:G12"/>
    <mergeCell ref="F30:G30"/>
    <mergeCell ref="E36:G36"/>
    <mergeCell ref="B9:G9"/>
    <mergeCell ref="F45:G45"/>
    <mergeCell ref="B51:G51"/>
    <mergeCell ref="F38:G38"/>
    <mergeCell ref="B35:G35"/>
    <mergeCell ref="B4:G4"/>
    <mergeCell ref="F46:G46"/>
    <mergeCell ref="F22:G22"/>
    <mergeCell ref="B2:E2"/>
    <mergeCell ref="F13:G13"/>
    <mergeCell ref="B16:G16"/>
    <mergeCell ref="F37:G37"/>
    <mergeCell ref="C7:G7"/>
    <mergeCell ref="E52:G52"/>
    <mergeCell ref="B27:G27"/>
    <mergeCell ref="B43:G43"/>
    <mergeCell ref="E44:G44"/>
    <mergeCell ref="E20:G20"/>
    <mergeCell ref="F53:G53"/>
  </mergeCells>
  <hyperlinks>
    <hyperlink xmlns:r="http://schemas.openxmlformats.org/officeDocument/2006/relationships" ref="F2" r:id="rId1"/>
    <hyperlink xmlns:r="http://schemas.openxmlformats.org/officeDocument/2006/relationships" ref="G2" r:id="rId2"/>
  </hyperlinks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B1:G56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22" customWidth="1" min="3" max="3"/>
    <col width="4" customWidth="1" min="4" max="4"/>
    <col width="34" customWidth="1" min="5" max="5"/>
    <col width="44" customWidth="1" min="6" max="6"/>
    <col width="28" customWidth="1" min="7" max="7"/>
  </cols>
  <sheetData>
    <row r="1" ht="30" customHeight="1">
      <c r="B1" s="10" t="inlineStr">
        <is>
          <t>📊 #081 — RUMUS EXCEL: STEYX   |   Kategori: 8. Statistik &amp; Analisis Data</t>
        </is>
      </c>
    </row>
    <row r="2" ht="22" customHeight="1">
      <c r="B2" s="11" t="inlineStr">
        <is>
          <t>1 Rumus = 1 Contoh Soal + Jawaban Benar &amp; 5 Soal Tes Mandiri (Kunci Jawaban Ada di Sheet Paling Terakhir)</t>
        </is>
      </c>
      <c r="F2" s="12" t="inlineStr">
        <is>
          <t>⬅️ Ke Daftar Isi (00_DAFTAR_ISI)</t>
        </is>
      </c>
      <c r="G2" s="3" t="inlineStr">
        <is>
          <t>🔑 Ke Kunci Jawaban (Sheet Akhir)</t>
        </is>
      </c>
    </row>
    <row r="4" ht="24" customHeight="1">
      <c r="B4" s="13" t="inlineStr">
        <is>
          <t>1️⃣ IDENTITAS RUMUS &amp; FUNGSINYA BUAT APA? (STEYX)</t>
        </is>
      </c>
    </row>
    <row r="5" ht="21" customHeight="1">
      <c r="B5" s="14" t="inlineStr">
        <is>
          <t>Nama Rumus Excel</t>
        </is>
      </c>
      <c r="C5" s="15">
        <f>STEYX(...)</f>
        <v/>
      </c>
      <c r="D5" s="5" t="n"/>
      <c r="E5" s="5" t="n"/>
      <c r="F5" s="5" t="n"/>
      <c r="G5" s="5" t="n"/>
    </row>
    <row r="6" ht="21" customHeight="1">
      <c r="B6" s="14" t="inlineStr">
        <is>
          <t>Sintaks / Pola Umum</t>
        </is>
      </c>
      <c r="C6" s="15">
        <f>STEYX(range_y, range_x)</f>
        <v/>
      </c>
      <c r="D6" s="5" t="n"/>
      <c r="E6" s="5" t="n"/>
      <c r="F6" s="5" t="n"/>
      <c r="G6" s="5" t="n"/>
    </row>
    <row r="7" ht="26" customHeight="1">
      <c r="B7" s="14" t="inlineStr">
        <is>
          <t>👶 Fungsinya Buat Apa?</t>
        </is>
      </c>
      <c r="C7" s="16" t="inlineStr">
        <is>
          <t>Menghitung standar error dari prediksi regresi Y terhadap X.</t>
        </is>
      </c>
      <c r="D7" s="5" t="n"/>
      <c r="E7" s="5" t="n"/>
      <c r="F7" s="5" t="n"/>
      <c r="G7" s="5" t="n"/>
    </row>
    <row r="9" ht="24" customHeight="1">
      <c r="B9" s="17" t="inlineStr">
        <is>
          <t>2️⃣ 1 CONTOH SOAL &amp; CONTOH JAWABAN BENAR (PELAJARI POLA RUMUS STEYX DI SINI)</t>
        </is>
      </c>
    </row>
    <row r="10">
      <c r="B10" s="18" t="inlineStr">
        <is>
          <t>Variabel X (Biaya)</t>
        </is>
      </c>
      <c r="C10" s="18" t="inlineStr">
        <is>
          <t>Variabel Y (Hasil)</t>
        </is>
      </c>
      <c r="E10" s="18" t="inlineStr">
        <is>
          <t>✅ 1 CONTOH SOAL BESERTA CONTOH RUMUS &amp; HASIL JAWABAN BENAR:</t>
        </is>
      </c>
      <c r="F10" s="5" t="n"/>
      <c r="G10" s="5" t="n"/>
    </row>
    <row r="11" ht="28" customHeight="1">
      <c r="B11" s="19" t="n">
        <v>60</v>
      </c>
      <c r="C11" s="19" t="n">
        <v>90</v>
      </c>
      <c r="E11" s="20" t="inlineStr">
        <is>
          <t>Contoh Soal:</t>
        </is>
      </c>
      <c r="F11" s="21" t="inlineStr">
        <is>
          <t>Analisis regresi linear dengan menempatkan rentang hasil Y (C11:C14) dan rentang variabel X (B11:B14) menggunakan fungsi STEYX!</t>
        </is>
      </c>
      <c r="G11" s="5" t="n"/>
    </row>
    <row r="12">
      <c r="B12" s="19" t="n">
        <v>120</v>
      </c>
      <c r="C12" s="19" t="n">
        <v>168</v>
      </c>
      <c r="E12" s="20" t="inlineStr">
        <is>
          <t>Contoh Rumus Benar:</t>
        </is>
      </c>
      <c r="F12" s="22" t="inlineStr">
        <is>
          <t>'=STEYX(C11:C14, B11:B14)</t>
        </is>
      </c>
      <c r="G12" s="5" t="n"/>
    </row>
    <row r="13">
      <c r="B13" s="19" t="n">
        <v>210</v>
      </c>
      <c r="C13" s="19" t="n">
        <v>240</v>
      </c>
      <c r="E13" s="20" t="inlineStr">
        <is>
          <t>Contoh Hasil Benar:</t>
        </is>
      </c>
      <c r="F13" s="23">
        <f>STEYX(C11:C14, B11:B14)</f>
        <v/>
      </c>
      <c r="G13" s="5" t="n"/>
    </row>
    <row r="14">
      <c r="B14" s="19" t="n">
        <v>300</v>
      </c>
      <c r="C14" s="19" t="n">
        <v>348</v>
      </c>
    </row>
    <row r="16" ht="26" customHeight="1">
      <c r="B16" s="24" t="inlineStr">
        <is>
          <t>3️⃣ 5 SOAL TES DUNIA NYATA — KERJAKAN DI KOTAK KUNING (TANPA KUNCI RUMUS / HASIL DI SINI!)</t>
        </is>
      </c>
    </row>
    <row r="17" ht="20" customHeight="1">
      <c r="B17" s="25" t="inlineStr">
        <is>
          <t>📌 Catatan Tes: Soal Tes #1 s/d #5 di bawah ini tidak menampilkan kunci rumus maupun hasil. Kunci jawaban lengkap tersedia di sheet paling terakhir (99_KUNCI_JAWABAN).</t>
        </is>
      </c>
    </row>
    <row r="19" ht="22" customHeight="1">
      <c r="B19" s="26" t="inlineStr">
        <is>
          <t>📝 SOAL TES #1: Kasus Keuangan &amp; Akuntansi Kantor</t>
        </is>
      </c>
    </row>
    <row r="20" ht="30" customHeight="1">
      <c r="B20" s="14" t="inlineStr">
        <is>
          <t>Variabel X (Biaya)</t>
        </is>
      </c>
      <c r="C20" s="14" t="inlineStr">
        <is>
          <t>Variabel Y (Hasil)</t>
        </is>
      </c>
      <c r="E20" s="27" t="inlineStr">
        <is>
          <t>Persoalan Tes #1: Analisis regresi linear dengan menempatkan rentang hasil Y (C21:C24) dan rentang variabel X (B21:B24) menggunakan fungsi STEYX!</t>
        </is>
      </c>
    </row>
    <row r="21">
      <c r="B21" s="19" t="n">
        <v>10</v>
      </c>
      <c r="C21" s="19" t="n">
        <v>15</v>
      </c>
      <c r="E21" s="14" t="inlineStr">
        <is>
          <t>✏️ KETIK RUMUS JAWABAN TES DI BAWAH:</t>
        </is>
      </c>
      <c r="F21" s="14" t="inlineStr">
        <is>
          <t>📌 STATUS KOREKSI JAWABAN TES:</t>
        </is>
      </c>
      <c r="G21" s="5" t="n"/>
    </row>
    <row r="22" ht="26" customHeight="1">
      <c r="B22" s="19" t="n">
        <v>20</v>
      </c>
      <c r="C22" s="19" t="n">
        <v>28</v>
      </c>
      <c r="E22" s="28" t="n"/>
      <c r="F22" s="29">
        <f>IF(ISBLANK(E22), "⏳ Belum Diisi (Ketik Rumus di Sel Kuning E22)", IF(E22='99_KUNCI_JAWABAN'!F405, "✅ BENAR! JAWABAN TES TEPAT!", "❌ Belum Tepat (Cek Sheet Akhir: 99_KUNCI_JAWABAN)"))</f>
        <v/>
      </c>
      <c r="G22" s="5" t="n"/>
    </row>
    <row r="23">
      <c r="B23" s="19" t="n">
        <v>35</v>
      </c>
      <c r="C23" s="19" t="n">
        <v>40</v>
      </c>
    </row>
    <row r="24">
      <c r="B24" s="19" t="n">
        <v>50</v>
      </c>
      <c r="C24" s="19" t="n">
        <v>58</v>
      </c>
    </row>
    <row r="27" ht="22" customHeight="1">
      <c r="B27" s="26" t="inlineStr">
        <is>
          <t>📝 SOAL TES #2: Kasus HRD, Gaji &amp; Lembur Karyawan</t>
        </is>
      </c>
    </row>
    <row r="28" ht="30" customHeight="1">
      <c r="B28" s="14" t="inlineStr">
        <is>
          <t>Variabel X (Biaya)</t>
        </is>
      </c>
      <c r="C28" s="14" t="inlineStr">
        <is>
          <t>Variabel Y (Hasil)</t>
        </is>
      </c>
      <c r="E28" s="27" t="inlineStr">
        <is>
          <t>Persoalan Tes #2: Analisis regresi linear dengan menempatkan rentang hasil Y (C29:C32) dan rentang variabel X (B29:B32) menggunakan fungsi STEYX!</t>
        </is>
      </c>
    </row>
    <row r="29">
      <c r="B29" s="19" t="n">
        <v>20</v>
      </c>
      <c r="C29" s="19" t="n">
        <v>30</v>
      </c>
      <c r="E29" s="14" t="inlineStr">
        <is>
          <t>✏️ KETIK RUMUS JAWABAN TES DI BAWAH:</t>
        </is>
      </c>
      <c r="F29" s="14" t="inlineStr">
        <is>
          <t>📌 STATUS KOREKSI JAWABAN TES:</t>
        </is>
      </c>
      <c r="G29" s="5" t="n"/>
    </row>
    <row r="30" ht="26" customHeight="1">
      <c r="B30" s="19" t="n">
        <v>40</v>
      </c>
      <c r="C30" s="19" t="n">
        <v>56</v>
      </c>
      <c r="E30" s="28" t="n"/>
      <c r="F30" s="29">
        <f>IF(ISBLANK(E30), "⏳ Belum Diisi (Ketik Rumus di Sel Kuning E30)", IF(E30='99_KUNCI_JAWABAN'!F406, "✅ BENAR! JAWABAN TES TEPAT!", "❌ Belum Tepat (Cek Sheet Akhir: 99_KUNCI_JAWABAN)"))</f>
        <v/>
      </c>
      <c r="G30" s="5" t="n"/>
    </row>
    <row r="31">
      <c r="B31" s="19" t="n">
        <v>70</v>
      </c>
      <c r="C31" s="19" t="n">
        <v>80</v>
      </c>
    </row>
    <row r="32">
      <c r="B32" s="19" t="n">
        <v>100</v>
      </c>
      <c r="C32" s="19" t="n">
        <v>116</v>
      </c>
    </row>
    <row r="35" ht="22" customHeight="1">
      <c r="B35" s="26" t="inlineStr">
        <is>
          <t>📝 SOAL TES #3: Kasus Logistik &amp; Stok Gudang Utama</t>
        </is>
      </c>
    </row>
    <row r="36" ht="30" customHeight="1">
      <c r="B36" s="14" t="inlineStr">
        <is>
          <t>Variabel X (Biaya)</t>
        </is>
      </c>
      <c r="C36" s="14" t="inlineStr">
        <is>
          <t>Variabel Y (Hasil)</t>
        </is>
      </c>
      <c r="E36" s="27" t="inlineStr">
        <is>
          <t>Persoalan Tes #3: Analisis regresi linear dengan menempatkan rentang hasil Y (C37:C40) dan rentang variabel X (B37:B40) menggunakan fungsi STEYX!</t>
        </is>
      </c>
    </row>
    <row r="37">
      <c r="B37" s="19" t="n">
        <v>30</v>
      </c>
      <c r="C37" s="19" t="n">
        <v>45</v>
      </c>
      <c r="E37" s="14" t="inlineStr">
        <is>
          <t>✏️ KETIK RUMUS JAWABAN TES DI BAWAH:</t>
        </is>
      </c>
      <c r="F37" s="14" t="inlineStr">
        <is>
          <t>📌 STATUS KOREKSI JAWABAN TES:</t>
        </is>
      </c>
      <c r="G37" s="5" t="n"/>
    </row>
    <row r="38" ht="26" customHeight="1">
      <c r="B38" s="19" t="n">
        <v>60</v>
      </c>
      <c r="C38" s="19" t="n">
        <v>84</v>
      </c>
      <c r="E38" s="28" t="n"/>
      <c r="F38" s="29">
        <f>IF(ISBLANK(E38), "⏳ Belum Diisi (Ketik Rumus di Sel Kuning E38)", IF(E38='99_KUNCI_JAWABAN'!F407, "✅ BENAR! JAWABAN TES TEPAT!", "❌ Belum Tepat (Cek Sheet Akhir: 99_KUNCI_JAWABAN)"))</f>
        <v/>
      </c>
      <c r="G38" s="5" t="n"/>
    </row>
    <row r="39">
      <c r="B39" s="19" t="n">
        <v>105</v>
      </c>
      <c r="C39" s="19" t="n">
        <v>120</v>
      </c>
    </row>
    <row r="40">
      <c r="B40" s="19" t="n">
        <v>150</v>
      </c>
      <c r="C40" s="19" t="n">
        <v>174</v>
      </c>
    </row>
    <row r="43" ht="22" customHeight="1">
      <c r="B43" s="26" t="inlineStr">
        <is>
          <t>📝 SOAL TES #4: Kasus Penjualan Retail &amp; Target Toko</t>
        </is>
      </c>
    </row>
    <row r="44" ht="30" customHeight="1">
      <c r="B44" s="14" t="inlineStr">
        <is>
          <t>Variabel X (Biaya)</t>
        </is>
      </c>
      <c r="C44" s="14" t="inlineStr">
        <is>
          <t>Variabel Y (Hasil)</t>
        </is>
      </c>
      <c r="E44" s="27" t="inlineStr">
        <is>
          <t>Persoalan Tes #4: Analisis regresi linear dengan menempatkan rentang hasil Y (C45:C48) dan rentang variabel X (B45:B48) menggunakan fungsi STEYX!</t>
        </is>
      </c>
    </row>
    <row r="45">
      <c r="B45" s="19" t="n">
        <v>40</v>
      </c>
      <c r="C45" s="19" t="n">
        <v>60</v>
      </c>
      <c r="E45" s="14" t="inlineStr">
        <is>
          <t>✏️ KETIK RUMUS JAWABAN TES DI BAWAH:</t>
        </is>
      </c>
      <c r="F45" s="14" t="inlineStr">
        <is>
          <t>📌 STATUS KOREKSI JAWABAN TES:</t>
        </is>
      </c>
      <c r="G45" s="5" t="n"/>
    </row>
    <row r="46" ht="26" customHeight="1">
      <c r="B46" s="19" t="n">
        <v>80</v>
      </c>
      <c r="C46" s="19" t="n">
        <v>112</v>
      </c>
      <c r="E46" s="28" t="n"/>
      <c r="F46" s="29">
        <f>IF(ISBLANK(E46), "⏳ Belum Diisi (Ketik Rumus di Sel Kuning E46)", IF(E46='99_KUNCI_JAWABAN'!F408, "✅ BENAR! JAWABAN TES TEPAT!", "❌ Belum Tepat (Cek Sheet Akhir: 99_KUNCI_JAWABAN)"))</f>
        <v/>
      </c>
      <c r="G46" s="5" t="n"/>
    </row>
    <row r="47">
      <c r="B47" s="19" t="n">
        <v>140</v>
      </c>
      <c r="C47" s="19" t="n">
        <v>160</v>
      </c>
    </row>
    <row r="48">
      <c r="B48" s="19" t="n">
        <v>200</v>
      </c>
      <c r="C48" s="19" t="n">
        <v>232</v>
      </c>
    </row>
    <row r="51" ht="22" customHeight="1">
      <c r="B51" s="26" t="inlineStr">
        <is>
          <t>📝 SOAL TES #5: Kasus Akademik Sekolah &amp; Layanan Publik</t>
        </is>
      </c>
    </row>
    <row r="52" ht="30" customHeight="1">
      <c r="B52" s="14" t="inlineStr">
        <is>
          <t>Variabel X (Biaya)</t>
        </is>
      </c>
      <c r="C52" s="14" t="inlineStr">
        <is>
          <t>Variabel Y (Hasil)</t>
        </is>
      </c>
      <c r="E52" s="27" t="inlineStr">
        <is>
          <t>Persoalan Tes #5: Analisis regresi linear dengan menempatkan rentang hasil Y (C53:C56) dan rentang variabel X (B53:B56) menggunakan fungsi STEYX!</t>
        </is>
      </c>
    </row>
    <row r="53">
      <c r="B53" s="19" t="n">
        <v>50</v>
      </c>
      <c r="C53" s="19" t="n">
        <v>75</v>
      </c>
      <c r="E53" s="14" t="inlineStr">
        <is>
          <t>✏️ KETIK RUMUS JAWABAN TES DI BAWAH:</t>
        </is>
      </c>
      <c r="F53" s="14" t="inlineStr">
        <is>
          <t>📌 STATUS KOREKSI JAWABAN TES:</t>
        </is>
      </c>
      <c r="G53" s="5" t="n"/>
    </row>
    <row r="54" ht="26" customHeight="1">
      <c r="B54" s="19" t="n">
        <v>100</v>
      </c>
      <c r="C54" s="19" t="n">
        <v>140</v>
      </c>
      <c r="E54" s="28" t="n"/>
      <c r="F54" s="29">
        <f>IF(ISBLANK(E54), "⏳ Belum Diisi (Ketik Rumus di Sel Kuning E54)", IF(E54='99_KUNCI_JAWABAN'!F409, "✅ BENAR! JAWABAN TES TEPAT!", "❌ Belum Tepat (Cek Sheet Akhir: 99_KUNCI_JAWABAN)"))</f>
        <v/>
      </c>
      <c r="G54" s="5" t="n"/>
    </row>
    <row r="55">
      <c r="B55" s="19" t="n">
        <v>175</v>
      </c>
      <c r="C55" s="19" t="n">
        <v>200</v>
      </c>
    </row>
    <row r="56">
      <c r="B56" s="19" t="n">
        <v>250</v>
      </c>
      <c r="C56" s="19" t="n">
        <v>290</v>
      </c>
    </row>
  </sheetData>
  <mergeCells count="33">
    <mergeCell ref="E10:G10"/>
    <mergeCell ref="F11:G11"/>
    <mergeCell ref="E28:G28"/>
    <mergeCell ref="F29:G29"/>
    <mergeCell ref="C6:G6"/>
    <mergeCell ref="F54:G54"/>
    <mergeCell ref="B17:G17"/>
    <mergeCell ref="B1:G1"/>
    <mergeCell ref="C5:G5"/>
    <mergeCell ref="B19:G19"/>
    <mergeCell ref="F21:G21"/>
    <mergeCell ref="F12:G12"/>
    <mergeCell ref="F30:G30"/>
    <mergeCell ref="E36:G36"/>
    <mergeCell ref="B9:G9"/>
    <mergeCell ref="F45:G45"/>
    <mergeCell ref="B51:G51"/>
    <mergeCell ref="F38:G38"/>
    <mergeCell ref="B35:G35"/>
    <mergeCell ref="B4:G4"/>
    <mergeCell ref="F46:G46"/>
    <mergeCell ref="F22:G22"/>
    <mergeCell ref="B2:E2"/>
    <mergeCell ref="F13:G13"/>
    <mergeCell ref="B16:G16"/>
    <mergeCell ref="F37:G37"/>
    <mergeCell ref="C7:G7"/>
    <mergeCell ref="E52:G52"/>
    <mergeCell ref="B27:G27"/>
    <mergeCell ref="B43:G43"/>
    <mergeCell ref="E44:G44"/>
    <mergeCell ref="E20:G20"/>
    <mergeCell ref="F53:G53"/>
  </mergeCells>
  <hyperlinks>
    <hyperlink xmlns:r="http://schemas.openxmlformats.org/officeDocument/2006/relationships" ref="F2" r:id="rId1"/>
    <hyperlink xmlns:r="http://schemas.openxmlformats.org/officeDocument/2006/relationships" ref="G2" r:id="rId2"/>
  </hyperlinks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B1:G56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22" customWidth="1" min="3" max="3"/>
    <col width="4" customWidth="1" min="4" max="4"/>
    <col width="34" customWidth="1" min="5" max="5"/>
    <col width="44" customWidth="1" min="6" max="6"/>
    <col width="28" customWidth="1" min="7" max="7"/>
  </cols>
  <sheetData>
    <row r="1" ht="30" customHeight="1">
      <c r="B1" s="10" t="inlineStr">
        <is>
          <t>📊 #082 — RUMUS EXCEL: T.DIST   |   Kategori: 8. Statistik &amp; Analisis Data</t>
        </is>
      </c>
    </row>
    <row r="2" ht="22" customHeight="1">
      <c r="B2" s="11" t="inlineStr">
        <is>
          <t>1 Rumus = 1 Contoh Soal + Jawaban Benar &amp; 5 Soal Tes Mandiri (Kunci Jawaban Ada di Sheet Paling Terakhir)</t>
        </is>
      </c>
      <c r="F2" s="12" t="inlineStr">
        <is>
          <t>⬅️ Ke Daftar Isi (00_DAFTAR_ISI)</t>
        </is>
      </c>
      <c r="G2" s="3" t="inlineStr">
        <is>
          <t>🔑 Ke Kunci Jawaban (Sheet Akhir)</t>
        </is>
      </c>
    </row>
    <row r="4" ht="24" customHeight="1">
      <c r="B4" s="13" t="inlineStr">
        <is>
          <t>1️⃣ IDENTITAS RUMUS &amp; FUNGSINYA BUAT APA? (T.DIST)</t>
        </is>
      </c>
    </row>
    <row r="5" ht="21" customHeight="1">
      <c r="B5" s="14" t="inlineStr">
        <is>
          <t>Nama Rumus Excel</t>
        </is>
      </c>
      <c r="C5" s="15">
        <f>T.DIST(...)</f>
        <v/>
      </c>
      <c r="D5" s="5" t="n"/>
      <c r="E5" s="5" t="n"/>
      <c r="F5" s="5" t="n"/>
      <c r="G5" s="5" t="n"/>
    </row>
    <row r="6" ht="21" customHeight="1">
      <c r="B6" s="14" t="inlineStr">
        <is>
          <t>Sintaks / Pola Umum</t>
        </is>
      </c>
      <c r="C6" s="15">
        <f>T.DIST(x, deg_freedom, TRUE)</f>
        <v/>
      </c>
      <c r="D6" s="5" t="n"/>
      <c r="E6" s="5" t="n"/>
      <c r="F6" s="5" t="n"/>
      <c r="G6" s="5" t="n"/>
    </row>
    <row r="7" ht="26" customHeight="1">
      <c r="B7" s="14" t="inlineStr">
        <is>
          <t>👶 Fungsinya Buat Apa?</t>
        </is>
      </c>
      <c r="C7" s="16" t="inlineStr">
        <is>
          <t>Menghasilkan distribusi Student's t sisi kiri.</t>
        </is>
      </c>
      <c r="D7" s="5" t="n"/>
      <c r="E7" s="5" t="n"/>
      <c r="F7" s="5" t="n"/>
      <c r="G7" s="5" t="n"/>
    </row>
    <row r="9" ht="24" customHeight="1">
      <c r="B9" s="17" t="inlineStr">
        <is>
          <t>2️⃣ 1 CONTOH SOAL &amp; CONTOH JAWABAN BENAR (PELAJARI POLA RUMUS T.DIST DI SINI)</t>
        </is>
      </c>
    </row>
    <row r="10">
      <c r="B10" s="18" t="inlineStr">
        <is>
          <t>Nama Parameter</t>
        </is>
      </c>
      <c r="C10" s="18" t="inlineStr">
        <is>
          <t>Nilai Parameter</t>
        </is>
      </c>
      <c r="E10" s="18" t="inlineStr">
        <is>
          <t>✅ 1 CONTOH SOAL BESERTA CONTOH RUMUS &amp; HASIL JAWABAN BENAR:</t>
        </is>
      </c>
      <c r="F10" s="5" t="n"/>
      <c r="G10" s="5" t="n"/>
    </row>
    <row r="11" ht="28" customHeight="1">
      <c r="B11" s="19" t="inlineStr">
        <is>
          <t>Nilai X (C11)</t>
        </is>
      </c>
      <c r="C11" s="19" t="n">
        <v>7</v>
      </c>
      <c r="E11" s="20" t="inlineStr">
        <is>
          <t>Contoh Soal:</t>
        </is>
      </c>
      <c r="F11" s="21" t="inlineStr">
        <is>
          <t>Hitung nilai distribusi kumulatif (TRUE) menggunakan fungsi T.DIST dengan argumen C11, C12, dan TRUE!</t>
        </is>
      </c>
      <c r="G11" s="5" t="n"/>
    </row>
    <row r="12">
      <c r="B12" s="19" t="inlineStr">
        <is>
          <t>Derajat / Mean (C12)</t>
        </is>
      </c>
      <c r="C12" s="19" t="n">
        <v>10</v>
      </c>
      <c r="E12" s="20" t="inlineStr">
        <is>
          <t>Contoh Rumus Benar:</t>
        </is>
      </c>
      <c r="F12" s="22" t="inlineStr">
        <is>
          <t>'=T.DIST(C11, C12, TRUE)</t>
        </is>
      </c>
      <c r="G12" s="5" t="n"/>
    </row>
    <row r="13">
      <c r="B13" s="19" t="inlineStr">
        <is>
          <t>Cadangan 1</t>
        </is>
      </c>
      <c r="C13" s="19" t="n">
        <v>1</v>
      </c>
      <c r="E13" s="20" t="inlineStr">
        <is>
          <t>Contoh Hasil Benar:</t>
        </is>
      </c>
      <c r="F13" s="23">
        <f>T.DIST(C11, C12, TRUE)</f>
        <v/>
      </c>
      <c r="G13" s="5" t="n"/>
    </row>
    <row r="14">
      <c r="B14" s="19" t="inlineStr">
        <is>
          <t>Cadangan 2</t>
        </is>
      </c>
      <c r="C14" s="19" t="n">
        <v>1</v>
      </c>
    </row>
    <row r="16" ht="26" customHeight="1">
      <c r="B16" s="24" t="inlineStr">
        <is>
          <t>3️⃣ 5 SOAL TES DUNIA NYATA — KERJAKAN DI KOTAK KUNING (TANPA KUNCI RUMUS / HASIL DI SINI!)</t>
        </is>
      </c>
    </row>
    <row r="17" ht="20" customHeight="1">
      <c r="B17" s="25" t="inlineStr">
        <is>
          <t>📌 Catatan Tes: Soal Tes #1 s/d #5 di bawah ini tidak menampilkan kunci rumus maupun hasil. Kunci jawaban lengkap tersedia di sheet paling terakhir (99_KUNCI_JAWABAN).</t>
        </is>
      </c>
    </row>
    <row r="19" ht="22" customHeight="1">
      <c r="B19" s="26" t="inlineStr">
        <is>
          <t>📝 SOAL TES #1: Kasus Keuangan &amp; Akuntansi Kantor</t>
        </is>
      </c>
    </row>
    <row r="20" ht="30" customHeight="1">
      <c r="B20" s="14" t="inlineStr">
        <is>
          <t>Nama Parameter</t>
        </is>
      </c>
      <c r="C20" s="14" t="inlineStr">
        <is>
          <t>Nilai Parameter</t>
        </is>
      </c>
      <c r="E20" s="27" t="inlineStr">
        <is>
          <t>Persoalan Tes #1: Hitung nilai distribusi kumulatif (TRUE) menggunakan fungsi T.DIST dengan argumen C21, C22, dan TRUE!</t>
        </is>
      </c>
    </row>
    <row r="21">
      <c r="B21" s="19" t="inlineStr">
        <is>
          <t>Nilai X (C21)</t>
        </is>
      </c>
      <c r="C21" s="19" t="n">
        <v>2</v>
      </c>
      <c r="E21" s="14" t="inlineStr">
        <is>
          <t>✏️ KETIK RUMUS JAWABAN TES DI BAWAH:</t>
        </is>
      </c>
      <c r="F21" s="14" t="inlineStr">
        <is>
          <t>📌 STATUS KOREKSI JAWABAN TES:</t>
        </is>
      </c>
      <c r="G21" s="5" t="n"/>
    </row>
    <row r="22" ht="26" customHeight="1">
      <c r="B22" s="19" t="inlineStr">
        <is>
          <t>Derajat / Mean (C22)</t>
        </is>
      </c>
      <c r="C22" s="19" t="n">
        <v>5</v>
      </c>
      <c r="E22" s="28" t="n"/>
      <c r="F22" s="29">
        <f>IF(ISBLANK(E22), "⏳ Belum Diisi (Ketik Rumus di Sel Kuning E22)", IF(E22='99_KUNCI_JAWABAN'!F410, "✅ BENAR! JAWABAN TES TEPAT!", "❌ Belum Tepat (Cek Sheet Akhir: 99_KUNCI_JAWABAN)"))</f>
        <v/>
      </c>
      <c r="G22" s="5" t="n"/>
    </row>
    <row r="23">
      <c r="B23" s="19" t="inlineStr">
        <is>
          <t>Cadangan 1</t>
        </is>
      </c>
      <c r="C23" s="19" t="n">
        <v>1</v>
      </c>
    </row>
    <row r="24">
      <c r="B24" s="19" t="inlineStr">
        <is>
          <t>Cadangan 2</t>
        </is>
      </c>
      <c r="C24" s="19" t="n">
        <v>1</v>
      </c>
    </row>
    <row r="27" ht="22" customHeight="1">
      <c r="B27" s="26" t="inlineStr">
        <is>
          <t>📝 SOAL TES #2: Kasus HRD, Gaji &amp; Lembur Karyawan</t>
        </is>
      </c>
    </row>
    <row r="28" ht="30" customHeight="1">
      <c r="B28" s="14" t="inlineStr">
        <is>
          <t>Nama Parameter</t>
        </is>
      </c>
      <c r="C28" s="14" t="inlineStr">
        <is>
          <t>Nilai Parameter</t>
        </is>
      </c>
      <c r="E28" s="27" t="inlineStr">
        <is>
          <t>Persoalan Tes #2: Hitung nilai distribusi kumulatif (TRUE) menggunakan fungsi T.DIST dengan argumen C29, C30, dan TRUE!</t>
        </is>
      </c>
    </row>
    <row r="29">
      <c r="B29" s="19" t="inlineStr">
        <is>
          <t>Nilai X (C29)</t>
        </is>
      </c>
      <c r="C29" s="19" t="n">
        <v>3</v>
      </c>
      <c r="E29" s="14" t="inlineStr">
        <is>
          <t>✏️ KETIK RUMUS JAWABAN TES DI BAWAH:</t>
        </is>
      </c>
      <c r="F29" s="14" t="inlineStr">
        <is>
          <t>📌 STATUS KOREKSI JAWABAN TES:</t>
        </is>
      </c>
      <c r="G29" s="5" t="n"/>
    </row>
    <row r="30" ht="26" customHeight="1">
      <c r="B30" s="19" t="inlineStr">
        <is>
          <t>Derajat / Mean (C30)</t>
        </is>
      </c>
      <c r="C30" s="19" t="n">
        <v>6</v>
      </c>
      <c r="E30" s="28" t="n"/>
      <c r="F30" s="29">
        <f>IF(ISBLANK(E30), "⏳ Belum Diisi (Ketik Rumus di Sel Kuning E30)", IF(E30='99_KUNCI_JAWABAN'!F411, "✅ BENAR! JAWABAN TES TEPAT!", "❌ Belum Tepat (Cek Sheet Akhir: 99_KUNCI_JAWABAN)"))</f>
        <v/>
      </c>
      <c r="G30" s="5" t="n"/>
    </row>
    <row r="31">
      <c r="B31" s="19" t="inlineStr">
        <is>
          <t>Cadangan 1</t>
        </is>
      </c>
      <c r="C31" s="19" t="n">
        <v>1</v>
      </c>
    </row>
    <row r="32">
      <c r="B32" s="19" t="inlineStr">
        <is>
          <t>Cadangan 2</t>
        </is>
      </c>
      <c r="C32" s="19" t="n">
        <v>1</v>
      </c>
    </row>
    <row r="35" ht="22" customHeight="1">
      <c r="B35" s="26" t="inlineStr">
        <is>
          <t>📝 SOAL TES #3: Kasus Logistik &amp; Stok Gudang Utama</t>
        </is>
      </c>
    </row>
    <row r="36" ht="30" customHeight="1">
      <c r="B36" s="14" t="inlineStr">
        <is>
          <t>Nama Parameter</t>
        </is>
      </c>
      <c r="C36" s="14" t="inlineStr">
        <is>
          <t>Nilai Parameter</t>
        </is>
      </c>
      <c r="E36" s="27" t="inlineStr">
        <is>
          <t>Persoalan Tes #3: Hitung nilai distribusi kumulatif (TRUE) menggunakan fungsi T.DIST dengan argumen C37, C38, dan TRUE!</t>
        </is>
      </c>
    </row>
    <row r="37">
      <c r="B37" s="19" t="inlineStr">
        <is>
          <t>Nilai X (C37)</t>
        </is>
      </c>
      <c r="C37" s="19" t="n">
        <v>4</v>
      </c>
      <c r="E37" s="14" t="inlineStr">
        <is>
          <t>✏️ KETIK RUMUS JAWABAN TES DI BAWAH:</t>
        </is>
      </c>
      <c r="F37" s="14" t="inlineStr">
        <is>
          <t>📌 STATUS KOREKSI JAWABAN TES:</t>
        </is>
      </c>
      <c r="G37" s="5" t="n"/>
    </row>
    <row r="38" ht="26" customHeight="1">
      <c r="B38" s="19" t="inlineStr">
        <is>
          <t>Derajat / Mean (C38)</t>
        </is>
      </c>
      <c r="C38" s="19" t="n">
        <v>7</v>
      </c>
      <c r="E38" s="28" t="n"/>
      <c r="F38" s="29">
        <f>IF(ISBLANK(E38), "⏳ Belum Diisi (Ketik Rumus di Sel Kuning E38)", IF(E38='99_KUNCI_JAWABAN'!F412, "✅ BENAR! JAWABAN TES TEPAT!", "❌ Belum Tepat (Cek Sheet Akhir: 99_KUNCI_JAWABAN)"))</f>
        <v/>
      </c>
      <c r="G38" s="5" t="n"/>
    </row>
    <row r="39">
      <c r="B39" s="19" t="inlineStr">
        <is>
          <t>Cadangan 1</t>
        </is>
      </c>
      <c r="C39" s="19" t="n">
        <v>1</v>
      </c>
    </row>
    <row r="40">
      <c r="B40" s="19" t="inlineStr">
        <is>
          <t>Cadangan 2</t>
        </is>
      </c>
      <c r="C40" s="19" t="n">
        <v>1</v>
      </c>
    </row>
    <row r="43" ht="22" customHeight="1">
      <c r="B43" s="26" t="inlineStr">
        <is>
          <t>📝 SOAL TES #4: Kasus Penjualan Retail &amp; Target Toko</t>
        </is>
      </c>
    </row>
    <row r="44" ht="30" customHeight="1">
      <c r="B44" s="14" t="inlineStr">
        <is>
          <t>Nama Parameter</t>
        </is>
      </c>
      <c r="C44" s="14" t="inlineStr">
        <is>
          <t>Nilai Parameter</t>
        </is>
      </c>
      <c r="E44" s="27" t="inlineStr">
        <is>
          <t>Persoalan Tes #4: Hitung nilai distribusi kumulatif (TRUE) menggunakan fungsi T.DIST dengan argumen C45, C46, dan TRUE!</t>
        </is>
      </c>
    </row>
    <row r="45">
      <c r="B45" s="19" t="inlineStr">
        <is>
          <t>Nilai X (C45)</t>
        </is>
      </c>
      <c r="C45" s="19" t="n">
        <v>5</v>
      </c>
      <c r="E45" s="14" t="inlineStr">
        <is>
          <t>✏️ KETIK RUMUS JAWABAN TES DI BAWAH:</t>
        </is>
      </c>
      <c r="F45" s="14" t="inlineStr">
        <is>
          <t>📌 STATUS KOREKSI JAWABAN TES:</t>
        </is>
      </c>
      <c r="G45" s="5" t="n"/>
    </row>
    <row r="46" ht="26" customHeight="1">
      <c r="B46" s="19" t="inlineStr">
        <is>
          <t>Derajat / Mean (C46)</t>
        </is>
      </c>
      <c r="C46" s="19" t="n">
        <v>8</v>
      </c>
      <c r="E46" s="28" t="n"/>
      <c r="F46" s="29">
        <f>IF(ISBLANK(E46), "⏳ Belum Diisi (Ketik Rumus di Sel Kuning E46)", IF(E46='99_KUNCI_JAWABAN'!F413, "✅ BENAR! JAWABAN TES TEPAT!", "❌ Belum Tepat (Cek Sheet Akhir: 99_KUNCI_JAWABAN)"))</f>
        <v/>
      </c>
      <c r="G46" s="5" t="n"/>
    </row>
    <row r="47">
      <c r="B47" s="19" t="inlineStr">
        <is>
          <t>Cadangan 1</t>
        </is>
      </c>
      <c r="C47" s="19" t="n">
        <v>1</v>
      </c>
    </row>
    <row r="48">
      <c r="B48" s="19" t="inlineStr">
        <is>
          <t>Cadangan 2</t>
        </is>
      </c>
      <c r="C48" s="19" t="n">
        <v>1</v>
      </c>
    </row>
    <row r="51" ht="22" customHeight="1">
      <c r="B51" s="26" t="inlineStr">
        <is>
          <t>📝 SOAL TES #5: Kasus Akademik Sekolah &amp; Layanan Publik</t>
        </is>
      </c>
    </row>
    <row r="52" ht="30" customHeight="1">
      <c r="B52" s="14" t="inlineStr">
        <is>
          <t>Nama Parameter</t>
        </is>
      </c>
      <c r="C52" s="14" t="inlineStr">
        <is>
          <t>Nilai Parameter</t>
        </is>
      </c>
      <c r="E52" s="27" t="inlineStr">
        <is>
          <t>Persoalan Tes #5: Hitung nilai distribusi kumulatif (TRUE) menggunakan fungsi T.DIST dengan argumen C53, C54, dan TRUE!</t>
        </is>
      </c>
    </row>
    <row r="53">
      <c r="B53" s="19" t="inlineStr">
        <is>
          <t>Nilai X (C53)</t>
        </is>
      </c>
      <c r="C53" s="19" t="n">
        <v>6</v>
      </c>
      <c r="E53" s="14" t="inlineStr">
        <is>
          <t>✏️ KETIK RUMUS JAWABAN TES DI BAWAH:</t>
        </is>
      </c>
      <c r="F53" s="14" t="inlineStr">
        <is>
          <t>📌 STATUS KOREKSI JAWABAN TES:</t>
        </is>
      </c>
      <c r="G53" s="5" t="n"/>
    </row>
    <row r="54" ht="26" customHeight="1">
      <c r="B54" s="19" t="inlineStr">
        <is>
          <t>Derajat / Mean (C54)</t>
        </is>
      </c>
      <c r="C54" s="19" t="n">
        <v>9</v>
      </c>
      <c r="E54" s="28" t="n"/>
      <c r="F54" s="29">
        <f>IF(ISBLANK(E54), "⏳ Belum Diisi (Ketik Rumus di Sel Kuning E54)", IF(E54='99_KUNCI_JAWABAN'!F414, "✅ BENAR! JAWABAN TES TEPAT!", "❌ Belum Tepat (Cek Sheet Akhir: 99_KUNCI_JAWABAN)"))</f>
        <v/>
      </c>
      <c r="G54" s="5" t="n"/>
    </row>
    <row r="55">
      <c r="B55" s="19" t="inlineStr">
        <is>
          <t>Cadangan 1</t>
        </is>
      </c>
      <c r="C55" s="19" t="n">
        <v>1</v>
      </c>
    </row>
    <row r="56">
      <c r="B56" s="19" t="inlineStr">
        <is>
          <t>Cadangan 2</t>
        </is>
      </c>
      <c r="C56" s="19" t="n">
        <v>1</v>
      </c>
    </row>
  </sheetData>
  <mergeCells count="33">
    <mergeCell ref="E10:G10"/>
    <mergeCell ref="F11:G11"/>
    <mergeCell ref="E28:G28"/>
    <mergeCell ref="F29:G29"/>
    <mergeCell ref="C6:G6"/>
    <mergeCell ref="F54:G54"/>
    <mergeCell ref="B17:G17"/>
    <mergeCell ref="B1:G1"/>
    <mergeCell ref="C5:G5"/>
    <mergeCell ref="B19:G19"/>
    <mergeCell ref="F21:G21"/>
    <mergeCell ref="F12:G12"/>
    <mergeCell ref="F30:G30"/>
    <mergeCell ref="E36:G36"/>
    <mergeCell ref="B9:G9"/>
    <mergeCell ref="F45:G45"/>
    <mergeCell ref="B51:G51"/>
    <mergeCell ref="F38:G38"/>
    <mergeCell ref="B35:G35"/>
    <mergeCell ref="B4:G4"/>
    <mergeCell ref="F46:G46"/>
    <mergeCell ref="F22:G22"/>
    <mergeCell ref="B2:E2"/>
    <mergeCell ref="F13:G13"/>
    <mergeCell ref="B16:G16"/>
    <mergeCell ref="F37:G37"/>
    <mergeCell ref="C7:G7"/>
    <mergeCell ref="E52:G52"/>
    <mergeCell ref="B27:G27"/>
    <mergeCell ref="B43:G43"/>
    <mergeCell ref="E44:G44"/>
    <mergeCell ref="E20:G20"/>
    <mergeCell ref="F53:G53"/>
  </mergeCells>
  <hyperlinks>
    <hyperlink xmlns:r="http://schemas.openxmlformats.org/officeDocument/2006/relationships" ref="F2" r:id="rId1"/>
    <hyperlink xmlns:r="http://schemas.openxmlformats.org/officeDocument/2006/relationships" ref="G2" r:id="rId2"/>
  </hyperlinks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B1:G56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22" customWidth="1" min="3" max="3"/>
    <col width="4" customWidth="1" min="4" max="4"/>
    <col width="34" customWidth="1" min="5" max="5"/>
    <col width="44" customWidth="1" min="6" max="6"/>
    <col width="28" customWidth="1" min="7" max="7"/>
  </cols>
  <sheetData>
    <row r="1" ht="30" customHeight="1">
      <c r="B1" s="10" t="inlineStr">
        <is>
          <t>📊 #083 — RUMUS EXCEL: T.DIST.2T   |   Kategori: 8. Statistik &amp; Analisis Data</t>
        </is>
      </c>
    </row>
    <row r="2" ht="22" customHeight="1">
      <c r="B2" s="11" t="inlineStr">
        <is>
          <t>1 Rumus = 1 Contoh Soal + Jawaban Benar &amp; 5 Soal Tes Mandiri (Kunci Jawaban Ada di Sheet Paling Terakhir)</t>
        </is>
      </c>
      <c r="F2" s="12" t="inlineStr">
        <is>
          <t>⬅️ Ke Daftar Isi (00_DAFTAR_ISI)</t>
        </is>
      </c>
      <c r="G2" s="3" t="inlineStr">
        <is>
          <t>🔑 Ke Kunci Jawaban (Sheet Akhir)</t>
        </is>
      </c>
    </row>
    <row r="4" ht="24" customHeight="1">
      <c r="B4" s="13" t="inlineStr">
        <is>
          <t>1️⃣ IDENTITAS RUMUS &amp; FUNGSINYA BUAT APA? (T.DIST.2T)</t>
        </is>
      </c>
    </row>
    <row r="5" ht="21" customHeight="1">
      <c r="B5" s="14" t="inlineStr">
        <is>
          <t>Nama Rumus Excel</t>
        </is>
      </c>
      <c r="C5" s="15">
        <f>T.DIST.2T(...)</f>
        <v/>
      </c>
      <c r="D5" s="5" t="n"/>
      <c r="E5" s="5" t="n"/>
      <c r="F5" s="5" t="n"/>
      <c r="G5" s="5" t="n"/>
    </row>
    <row r="6" ht="21" customHeight="1">
      <c r="B6" s="14" t="inlineStr">
        <is>
          <t>Sintaks / Pola Umum</t>
        </is>
      </c>
      <c r="C6" s="15">
        <f>T.DIST.2T(x, deg_freedom)</f>
        <v/>
      </c>
      <c r="D6" s="5" t="n"/>
      <c r="E6" s="5" t="n"/>
      <c r="F6" s="5" t="n"/>
      <c r="G6" s="5" t="n"/>
    </row>
    <row r="7" ht="26" customHeight="1">
      <c r="B7" s="14" t="inlineStr">
        <is>
          <t>👶 Fungsinya Buat Apa?</t>
        </is>
      </c>
      <c r="C7" s="16" t="inlineStr">
        <is>
          <t>Menghasilkan probabilitas dua sisi (Two-Tailed) dari distribusi Student's t.</t>
        </is>
      </c>
      <c r="D7" s="5" t="n"/>
      <c r="E7" s="5" t="n"/>
      <c r="F7" s="5" t="n"/>
      <c r="G7" s="5" t="n"/>
    </row>
    <row r="9" ht="24" customHeight="1">
      <c r="B9" s="17" t="inlineStr">
        <is>
          <t>2️⃣ 1 CONTOH SOAL &amp; CONTOH JAWABAN BENAR (PELAJARI POLA RUMUS T.DIST.2T DI SINI)</t>
        </is>
      </c>
    </row>
    <row r="10">
      <c r="B10" s="18" t="inlineStr">
        <is>
          <t>Nama Parameter</t>
        </is>
      </c>
      <c r="C10" s="18" t="inlineStr">
        <is>
          <t>Nilai Parameter</t>
        </is>
      </c>
      <c r="E10" s="18" t="inlineStr">
        <is>
          <t>✅ 1 CONTOH SOAL BESERTA CONTOH RUMUS &amp; HASIL JAWABAN BENAR:</t>
        </is>
      </c>
      <c r="F10" s="5" t="n"/>
      <c r="G10" s="5" t="n"/>
    </row>
    <row r="11" ht="28" customHeight="1">
      <c r="B11" s="19" t="inlineStr">
        <is>
          <t>Nilai Uji X (C11)</t>
        </is>
      </c>
      <c r="C11" s="19" t="n">
        <v>3</v>
      </c>
      <c r="E11" s="20" t="inlineStr">
        <is>
          <t>Contoh Soal:</t>
        </is>
      </c>
      <c r="F11" s="21" t="inlineStr">
        <is>
          <t>Hitung nilai probabilitas distribusi menggunakan fungsi T.DIST.2T dengan argumen nilai X di C11 dan derajat kebebasan di C12!</t>
        </is>
      </c>
      <c r="G11" s="5" t="n"/>
    </row>
    <row r="12">
      <c r="B12" s="19" t="inlineStr">
        <is>
          <t>Derajat Kebebasan (C12)</t>
        </is>
      </c>
      <c r="C12" s="19" t="n">
        <v>13</v>
      </c>
      <c r="E12" s="20" t="inlineStr">
        <is>
          <t>Contoh Rumus Benar:</t>
        </is>
      </c>
      <c r="F12" s="22" t="inlineStr">
        <is>
          <t>'=T.DIST.2T(C11, C12)</t>
        </is>
      </c>
      <c r="G12" s="5" t="n"/>
    </row>
    <row r="13">
      <c r="B13" s="19" t="inlineStr">
        <is>
          <t>Cadangan 1</t>
        </is>
      </c>
      <c r="C13" s="19" t="n">
        <v>1</v>
      </c>
      <c r="E13" s="20" t="inlineStr">
        <is>
          <t>Contoh Hasil Benar:</t>
        </is>
      </c>
      <c r="F13" s="23">
        <f>T.DIST.2T(C11, C12)</f>
        <v/>
      </c>
      <c r="G13" s="5" t="n"/>
    </row>
    <row r="14">
      <c r="B14" s="19" t="inlineStr">
        <is>
          <t>Cadangan 2</t>
        </is>
      </c>
      <c r="C14" s="19" t="n">
        <v>1</v>
      </c>
    </row>
    <row r="16" ht="26" customHeight="1">
      <c r="B16" s="24" t="inlineStr">
        <is>
          <t>3️⃣ 5 SOAL TES DUNIA NYATA — KERJAKAN DI KOTAK KUNING (TANPA KUNCI RUMUS / HASIL DI SINI!)</t>
        </is>
      </c>
    </row>
    <row r="17" ht="20" customHeight="1">
      <c r="B17" s="25" t="inlineStr">
        <is>
          <t>📌 Catatan Tes: Soal Tes #1 s/d #5 di bawah ini tidak menampilkan kunci rumus maupun hasil. Kunci jawaban lengkap tersedia di sheet paling terakhir (99_KUNCI_JAWABAN).</t>
        </is>
      </c>
    </row>
    <row r="19" ht="22" customHeight="1">
      <c r="B19" s="26" t="inlineStr">
        <is>
          <t>📝 SOAL TES #1: Kasus Keuangan &amp; Akuntansi Kantor</t>
        </is>
      </c>
    </row>
    <row r="20" ht="30" customHeight="1">
      <c r="B20" s="14" t="inlineStr">
        <is>
          <t>Nama Parameter</t>
        </is>
      </c>
      <c r="C20" s="14" t="inlineStr">
        <is>
          <t>Nilai Parameter</t>
        </is>
      </c>
      <c r="E20" s="27" t="inlineStr">
        <is>
          <t>Persoalan Tes #1: Hitung nilai probabilitas distribusi menggunakan fungsi T.DIST.2T dengan argumen nilai X di C21 dan derajat kebebasan di C22!</t>
        </is>
      </c>
    </row>
    <row r="21">
      <c r="B21" s="19" t="inlineStr">
        <is>
          <t>Nilai Uji X (C21)</t>
        </is>
      </c>
      <c r="C21" s="19" t="n">
        <v>1.5</v>
      </c>
      <c r="E21" s="14" t="inlineStr">
        <is>
          <t>✏️ KETIK RUMUS JAWABAN TES DI BAWAH:</t>
        </is>
      </c>
      <c r="F21" s="14" t="inlineStr">
        <is>
          <t>📌 STATUS KOREKSI JAWABAN TES:</t>
        </is>
      </c>
      <c r="G21" s="5" t="n"/>
    </row>
    <row r="22" ht="26" customHeight="1">
      <c r="B22" s="19" t="inlineStr">
        <is>
          <t>Derajat Kebebasan (C22)</t>
        </is>
      </c>
      <c r="C22" s="19" t="n">
        <v>8</v>
      </c>
      <c r="E22" s="28" t="n"/>
      <c r="F22" s="29">
        <f>IF(ISBLANK(E22), "⏳ Belum Diisi (Ketik Rumus di Sel Kuning E22)", IF(E22='99_KUNCI_JAWABAN'!F415, "✅ BENAR! JAWABAN TES TEPAT!", "❌ Belum Tepat (Cek Sheet Akhir: 99_KUNCI_JAWABAN)"))</f>
        <v/>
      </c>
      <c r="G22" s="5" t="n"/>
    </row>
    <row r="23">
      <c r="B23" s="19" t="inlineStr">
        <is>
          <t>Cadangan 1</t>
        </is>
      </c>
      <c r="C23" s="19" t="n">
        <v>1</v>
      </c>
    </row>
    <row r="24">
      <c r="B24" s="19" t="inlineStr">
        <is>
          <t>Cadangan 2</t>
        </is>
      </c>
      <c r="C24" s="19" t="n">
        <v>1</v>
      </c>
    </row>
    <row r="27" ht="22" customHeight="1">
      <c r="B27" s="26" t="inlineStr">
        <is>
          <t>📝 SOAL TES #2: Kasus HRD, Gaji &amp; Lembur Karyawan</t>
        </is>
      </c>
    </row>
    <row r="28" ht="30" customHeight="1">
      <c r="B28" s="14" t="inlineStr">
        <is>
          <t>Nama Parameter</t>
        </is>
      </c>
      <c r="C28" s="14" t="inlineStr">
        <is>
          <t>Nilai Parameter</t>
        </is>
      </c>
      <c r="E28" s="27" t="inlineStr">
        <is>
          <t>Persoalan Tes #2: Hitung nilai probabilitas distribusi menggunakan fungsi T.DIST.2T dengan argumen nilai X di C29 dan derajat kebebasan di C30!</t>
        </is>
      </c>
    </row>
    <row r="29">
      <c r="B29" s="19" t="inlineStr">
        <is>
          <t>Nilai Uji X (C29)</t>
        </is>
      </c>
      <c r="C29" s="19" t="n">
        <v>1.8</v>
      </c>
      <c r="E29" s="14" t="inlineStr">
        <is>
          <t>✏️ KETIK RUMUS JAWABAN TES DI BAWAH:</t>
        </is>
      </c>
      <c r="F29" s="14" t="inlineStr">
        <is>
          <t>📌 STATUS KOREKSI JAWABAN TES:</t>
        </is>
      </c>
      <c r="G29" s="5" t="n"/>
    </row>
    <row r="30" ht="26" customHeight="1">
      <c r="B30" s="19" t="inlineStr">
        <is>
          <t>Derajat Kebebasan (C30)</t>
        </is>
      </c>
      <c r="C30" s="19" t="n">
        <v>9</v>
      </c>
      <c r="E30" s="28" t="n"/>
      <c r="F30" s="29">
        <f>IF(ISBLANK(E30), "⏳ Belum Diisi (Ketik Rumus di Sel Kuning E30)", IF(E30='99_KUNCI_JAWABAN'!F416, "✅ BENAR! JAWABAN TES TEPAT!", "❌ Belum Tepat (Cek Sheet Akhir: 99_KUNCI_JAWABAN)"))</f>
        <v/>
      </c>
      <c r="G30" s="5" t="n"/>
    </row>
    <row r="31">
      <c r="B31" s="19" t="inlineStr">
        <is>
          <t>Cadangan 1</t>
        </is>
      </c>
      <c r="C31" s="19" t="n">
        <v>1</v>
      </c>
    </row>
    <row r="32">
      <c r="B32" s="19" t="inlineStr">
        <is>
          <t>Cadangan 2</t>
        </is>
      </c>
      <c r="C32" s="19" t="n">
        <v>1</v>
      </c>
    </row>
    <row r="35" ht="22" customHeight="1">
      <c r="B35" s="26" t="inlineStr">
        <is>
          <t>📝 SOAL TES #3: Kasus Logistik &amp; Stok Gudang Utama</t>
        </is>
      </c>
    </row>
    <row r="36" ht="30" customHeight="1">
      <c r="B36" s="14" t="inlineStr">
        <is>
          <t>Nama Parameter</t>
        </is>
      </c>
      <c r="C36" s="14" t="inlineStr">
        <is>
          <t>Nilai Parameter</t>
        </is>
      </c>
      <c r="E36" s="27" t="inlineStr">
        <is>
          <t>Persoalan Tes #3: Hitung nilai probabilitas distribusi menggunakan fungsi T.DIST.2T dengan argumen nilai X di C37 dan derajat kebebasan di C38!</t>
        </is>
      </c>
    </row>
    <row r="37">
      <c r="B37" s="19" t="inlineStr">
        <is>
          <t>Nilai Uji X (C37)</t>
        </is>
      </c>
      <c r="C37" s="19" t="n">
        <v>2.1</v>
      </c>
      <c r="E37" s="14" t="inlineStr">
        <is>
          <t>✏️ KETIK RUMUS JAWABAN TES DI BAWAH:</t>
        </is>
      </c>
      <c r="F37" s="14" t="inlineStr">
        <is>
          <t>📌 STATUS KOREKSI JAWABAN TES:</t>
        </is>
      </c>
      <c r="G37" s="5" t="n"/>
    </row>
    <row r="38" ht="26" customHeight="1">
      <c r="B38" s="19" t="inlineStr">
        <is>
          <t>Derajat Kebebasan (C38)</t>
        </is>
      </c>
      <c r="C38" s="19" t="n">
        <v>10</v>
      </c>
      <c r="E38" s="28" t="n"/>
      <c r="F38" s="29">
        <f>IF(ISBLANK(E38), "⏳ Belum Diisi (Ketik Rumus di Sel Kuning E38)", IF(E38='99_KUNCI_JAWABAN'!F417, "✅ BENAR! JAWABAN TES TEPAT!", "❌ Belum Tepat (Cek Sheet Akhir: 99_KUNCI_JAWABAN)"))</f>
        <v/>
      </c>
      <c r="G38" s="5" t="n"/>
    </row>
    <row r="39">
      <c r="B39" s="19" t="inlineStr">
        <is>
          <t>Cadangan 1</t>
        </is>
      </c>
      <c r="C39" s="19" t="n">
        <v>1</v>
      </c>
    </row>
    <row r="40">
      <c r="B40" s="19" t="inlineStr">
        <is>
          <t>Cadangan 2</t>
        </is>
      </c>
      <c r="C40" s="19" t="n">
        <v>1</v>
      </c>
    </row>
    <row r="43" ht="22" customHeight="1">
      <c r="B43" s="26" t="inlineStr">
        <is>
          <t>📝 SOAL TES #4: Kasus Penjualan Retail &amp; Target Toko</t>
        </is>
      </c>
    </row>
    <row r="44" ht="30" customHeight="1">
      <c r="B44" s="14" t="inlineStr">
        <is>
          <t>Nama Parameter</t>
        </is>
      </c>
      <c r="C44" s="14" t="inlineStr">
        <is>
          <t>Nilai Parameter</t>
        </is>
      </c>
      <c r="E44" s="27" t="inlineStr">
        <is>
          <t>Persoalan Tes #4: Hitung nilai probabilitas distribusi menggunakan fungsi T.DIST.2T dengan argumen nilai X di C45 dan derajat kebebasan di C46!</t>
        </is>
      </c>
    </row>
    <row r="45">
      <c r="B45" s="19" t="inlineStr">
        <is>
          <t>Nilai Uji X (C45)</t>
        </is>
      </c>
      <c r="C45" s="19" t="n">
        <v>2.4</v>
      </c>
      <c r="E45" s="14" t="inlineStr">
        <is>
          <t>✏️ KETIK RUMUS JAWABAN TES DI BAWAH:</t>
        </is>
      </c>
      <c r="F45" s="14" t="inlineStr">
        <is>
          <t>📌 STATUS KOREKSI JAWABAN TES:</t>
        </is>
      </c>
      <c r="G45" s="5" t="n"/>
    </row>
    <row r="46" ht="26" customHeight="1">
      <c r="B46" s="19" t="inlineStr">
        <is>
          <t>Derajat Kebebasan (C46)</t>
        </is>
      </c>
      <c r="C46" s="19" t="n">
        <v>11</v>
      </c>
      <c r="E46" s="28" t="n"/>
      <c r="F46" s="29">
        <f>IF(ISBLANK(E46), "⏳ Belum Diisi (Ketik Rumus di Sel Kuning E46)", IF(E46='99_KUNCI_JAWABAN'!F418, "✅ BENAR! JAWABAN TES TEPAT!", "❌ Belum Tepat (Cek Sheet Akhir: 99_KUNCI_JAWABAN)"))</f>
        <v/>
      </c>
      <c r="G46" s="5" t="n"/>
    </row>
    <row r="47">
      <c r="B47" s="19" t="inlineStr">
        <is>
          <t>Cadangan 1</t>
        </is>
      </c>
      <c r="C47" s="19" t="n">
        <v>1</v>
      </c>
    </row>
    <row r="48">
      <c r="B48" s="19" t="inlineStr">
        <is>
          <t>Cadangan 2</t>
        </is>
      </c>
      <c r="C48" s="19" t="n">
        <v>1</v>
      </c>
    </row>
    <row r="51" ht="22" customHeight="1">
      <c r="B51" s="26" t="inlineStr">
        <is>
          <t>📝 SOAL TES #5: Kasus Akademik Sekolah &amp; Layanan Publik</t>
        </is>
      </c>
    </row>
    <row r="52" ht="30" customHeight="1">
      <c r="B52" s="14" t="inlineStr">
        <is>
          <t>Nama Parameter</t>
        </is>
      </c>
      <c r="C52" s="14" t="inlineStr">
        <is>
          <t>Nilai Parameter</t>
        </is>
      </c>
      <c r="E52" s="27" t="inlineStr">
        <is>
          <t>Persoalan Tes #5: Hitung nilai probabilitas distribusi menggunakan fungsi T.DIST.2T dengan argumen nilai X di C53 dan derajat kebebasan di C54!</t>
        </is>
      </c>
    </row>
    <row r="53">
      <c r="B53" s="19" t="inlineStr">
        <is>
          <t>Nilai Uji X (C53)</t>
        </is>
      </c>
      <c r="C53" s="19" t="n">
        <v>2.7</v>
      </c>
      <c r="E53" s="14" t="inlineStr">
        <is>
          <t>✏️ KETIK RUMUS JAWABAN TES DI BAWAH:</t>
        </is>
      </c>
      <c r="F53" s="14" t="inlineStr">
        <is>
          <t>📌 STATUS KOREKSI JAWABAN TES:</t>
        </is>
      </c>
      <c r="G53" s="5" t="n"/>
    </row>
    <row r="54" ht="26" customHeight="1">
      <c r="B54" s="19" t="inlineStr">
        <is>
          <t>Derajat Kebebasan (C54)</t>
        </is>
      </c>
      <c r="C54" s="19" t="n">
        <v>12</v>
      </c>
      <c r="E54" s="28" t="n"/>
      <c r="F54" s="29">
        <f>IF(ISBLANK(E54), "⏳ Belum Diisi (Ketik Rumus di Sel Kuning E54)", IF(E54='99_KUNCI_JAWABAN'!F419, "✅ BENAR! JAWABAN TES TEPAT!", "❌ Belum Tepat (Cek Sheet Akhir: 99_KUNCI_JAWABAN)"))</f>
        <v/>
      </c>
      <c r="G54" s="5" t="n"/>
    </row>
    <row r="55">
      <c r="B55" s="19" t="inlineStr">
        <is>
          <t>Cadangan 1</t>
        </is>
      </c>
      <c r="C55" s="19" t="n">
        <v>1</v>
      </c>
    </row>
    <row r="56">
      <c r="B56" s="19" t="inlineStr">
        <is>
          <t>Cadangan 2</t>
        </is>
      </c>
      <c r="C56" s="19" t="n">
        <v>1</v>
      </c>
    </row>
  </sheetData>
  <mergeCells count="33">
    <mergeCell ref="E10:G10"/>
    <mergeCell ref="F11:G11"/>
    <mergeCell ref="E28:G28"/>
    <mergeCell ref="F29:G29"/>
    <mergeCell ref="C6:G6"/>
    <mergeCell ref="F54:G54"/>
    <mergeCell ref="B17:G17"/>
    <mergeCell ref="B1:G1"/>
    <mergeCell ref="C5:G5"/>
    <mergeCell ref="B19:G19"/>
    <mergeCell ref="F21:G21"/>
    <mergeCell ref="F12:G12"/>
    <mergeCell ref="F30:G30"/>
    <mergeCell ref="E36:G36"/>
    <mergeCell ref="B9:G9"/>
    <mergeCell ref="F45:G45"/>
    <mergeCell ref="B51:G51"/>
    <mergeCell ref="F38:G38"/>
    <mergeCell ref="B35:G35"/>
    <mergeCell ref="B4:G4"/>
    <mergeCell ref="F46:G46"/>
    <mergeCell ref="F22:G22"/>
    <mergeCell ref="B2:E2"/>
    <mergeCell ref="F13:G13"/>
    <mergeCell ref="B16:G16"/>
    <mergeCell ref="F37:G37"/>
    <mergeCell ref="C7:G7"/>
    <mergeCell ref="E52:G52"/>
    <mergeCell ref="B27:G27"/>
    <mergeCell ref="B43:G43"/>
    <mergeCell ref="E44:G44"/>
    <mergeCell ref="E20:G20"/>
    <mergeCell ref="F53:G53"/>
  </mergeCells>
  <hyperlinks>
    <hyperlink xmlns:r="http://schemas.openxmlformats.org/officeDocument/2006/relationships" ref="F2" r:id="rId1"/>
    <hyperlink xmlns:r="http://schemas.openxmlformats.org/officeDocument/2006/relationships" ref="G2" r:id="rId2"/>
  </hyperlinks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B1:G56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22" customWidth="1" min="3" max="3"/>
    <col width="4" customWidth="1" min="4" max="4"/>
    <col width="34" customWidth="1" min="5" max="5"/>
    <col width="44" customWidth="1" min="6" max="6"/>
    <col width="28" customWidth="1" min="7" max="7"/>
  </cols>
  <sheetData>
    <row r="1" ht="30" customHeight="1">
      <c r="B1" s="10" t="inlineStr">
        <is>
          <t>📊 #084 — RUMUS EXCEL: T.DIST.RT   |   Kategori: 8. Statistik &amp; Analisis Data</t>
        </is>
      </c>
    </row>
    <row r="2" ht="22" customHeight="1">
      <c r="B2" s="11" t="inlineStr">
        <is>
          <t>1 Rumus = 1 Contoh Soal + Jawaban Benar &amp; 5 Soal Tes Mandiri (Kunci Jawaban Ada di Sheet Paling Terakhir)</t>
        </is>
      </c>
      <c r="F2" s="12" t="inlineStr">
        <is>
          <t>⬅️ Ke Daftar Isi (00_DAFTAR_ISI)</t>
        </is>
      </c>
      <c r="G2" s="3" t="inlineStr">
        <is>
          <t>🔑 Ke Kunci Jawaban (Sheet Akhir)</t>
        </is>
      </c>
    </row>
    <row r="4" ht="24" customHeight="1">
      <c r="B4" s="13" t="inlineStr">
        <is>
          <t>1️⃣ IDENTITAS RUMUS &amp; FUNGSINYA BUAT APA? (T.DIST.RT)</t>
        </is>
      </c>
    </row>
    <row r="5" ht="21" customHeight="1">
      <c r="B5" s="14" t="inlineStr">
        <is>
          <t>Nama Rumus Excel</t>
        </is>
      </c>
      <c r="C5" s="15">
        <f>T.DIST.RT(...)</f>
        <v/>
      </c>
      <c r="D5" s="5" t="n"/>
      <c r="E5" s="5" t="n"/>
      <c r="F5" s="5" t="n"/>
      <c r="G5" s="5" t="n"/>
    </row>
    <row r="6" ht="21" customHeight="1">
      <c r="B6" s="14" t="inlineStr">
        <is>
          <t>Sintaks / Pola Umum</t>
        </is>
      </c>
      <c r="C6" s="15">
        <f>T.DIST.RT(x, deg_freedom)</f>
        <v/>
      </c>
      <c r="D6" s="5" t="n"/>
      <c r="E6" s="5" t="n"/>
      <c r="F6" s="5" t="n"/>
      <c r="G6" s="5" t="n"/>
    </row>
    <row r="7" ht="26" customHeight="1">
      <c r="B7" s="14" t="inlineStr">
        <is>
          <t>👶 Fungsinya Buat Apa?</t>
        </is>
      </c>
      <c r="C7" s="16" t="inlineStr">
        <is>
          <t>Menghasilkan probabilitas ekor kanan (Right-Tailed) dari distribusi Student's t.</t>
        </is>
      </c>
      <c r="D7" s="5" t="n"/>
      <c r="E7" s="5" t="n"/>
      <c r="F7" s="5" t="n"/>
      <c r="G7" s="5" t="n"/>
    </row>
    <row r="9" ht="24" customHeight="1">
      <c r="B9" s="17" t="inlineStr">
        <is>
          <t>2️⃣ 1 CONTOH SOAL &amp; CONTOH JAWABAN BENAR (PELAJARI POLA RUMUS T.DIST.RT DI SINI)</t>
        </is>
      </c>
    </row>
    <row r="10">
      <c r="B10" s="18" t="inlineStr">
        <is>
          <t>Nama Parameter</t>
        </is>
      </c>
      <c r="C10" s="18" t="inlineStr">
        <is>
          <t>Nilai Parameter</t>
        </is>
      </c>
      <c r="E10" s="18" t="inlineStr">
        <is>
          <t>✅ 1 CONTOH SOAL BESERTA CONTOH RUMUS &amp; HASIL JAWABAN BENAR:</t>
        </is>
      </c>
      <c r="F10" s="5" t="n"/>
      <c r="G10" s="5" t="n"/>
    </row>
    <row r="11" ht="28" customHeight="1">
      <c r="B11" s="19" t="inlineStr">
        <is>
          <t>Nilai Uji X (C11)</t>
        </is>
      </c>
      <c r="C11" s="19" t="n">
        <v>3</v>
      </c>
      <c r="E11" s="20" t="inlineStr">
        <is>
          <t>Contoh Soal:</t>
        </is>
      </c>
      <c r="F11" s="21" t="inlineStr">
        <is>
          <t>Hitung nilai probabilitas distribusi menggunakan fungsi T.DIST.RT dengan argumen nilai X di C11 dan derajat kebebasan di C12!</t>
        </is>
      </c>
      <c r="G11" s="5" t="n"/>
    </row>
    <row r="12">
      <c r="B12" s="19" t="inlineStr">
        <is>
          <t>Derajat Kebebasan (C12)</t>
        </is>
      </c>
      <c r="C12" s="19" t="n">
        <v>13</v>
      </c>
      <c r="E12" s="20" t="inlineStr">
        <is>
          <t>Contoh Rumus Benar:</t>
        </is>
      </c>
      <c r="F12" s="22" t="inlineStr">
        <is>
          <t>'=T.DIST.RT(C11, C12)</t>
        </is>
      </c>
      <c r="G12" s="5" t="n"/>
    </row>
    <row r="13">
      <c r="B13" s="19" t="inlineStr">
        <is>
          <t>Cadangan 1</t>
        </is>
      </c>
      <c r="C13" s="19" t="n">
        <v>1</v>
      </c>
      <c r="E13" s="20" t="inlineStr">
        <is>
          <t>Contoh Hasil Benar:</t>
        </is>
      </c>
      <c r="F13" s="23">
        <f>T.DIST.RT(C11, C12)</f>
        <v/>
      </c>
      <c r="G13" s="5" t="n"/>
    </row>
    <row r="14">
      <c r="B14" s="19" t="inlineStr">
        <is>
          <t>Cadangan 2</t>
        </is>
      </c>
      <c r="C14" s="19" t="n">
        <v>1</v>
      </c>
    </row>
    <row r="16" ht="26" customHeight="1">
      <c r="B16" s="24" t="inlineStr">
        <is>
          <t>3️⃣ 5 SOAL TES DUNIA NYATA — KERJAKAN DI KOTAK KUNING (TANPA KUNCI RUMUS / HASIL DI SINI!)</t>
        </is>
      </c>
    </row>
    <row r="17" ht="20" customHeight="1">
      <c r="B17" s="25" t="inlineStr">
        <is>
          <t>📌 Catatan Tes: Soal Tes #1 s/d #5 di bawah ini tidak menampilkan kunci rumus maupun hasil. Kunci jawaban lengkap tersedia di sheet paling terakhir (99_KUNCI_JAWABAN).</t>
        </is>
      </c>
    </row>
    <row r="19" ht="22" customHeight="1">
      <c r="B19" s="26" t="inlineStr">
        <is>
          <t>📝 SOAL TES #1: Kasus Keuangan &amp; Akuntansi Kantor</t>
        </is>
      </c>
    </row>
    <row r="20" ht="30" customHeight="1">
      <c r="B20" s="14" t="inlineStr">
        <is>
          <t>Nama Parameter</t>
        </is>
      </c>
      <c r="C20" s="14" t="inlineStr">
        <is>
          <t>Nilai Parameter</t>
        </is>
      </c>
      <c r="E20" s="27" t="inlineStr">
        <is>
          <t>Persoalan Tes #1: Hitung nilai probabilitas distribusi menggunakan fungsi T.DIST.RT dengan argumen nilai X di C21 dan derajat kebebasan di C22!</t>
        </is>
      </c>
    </row>
    <row r="21">
      <c r="B21" s="19" t="inlineStr">
        <is>
          <t>Nilai Uji X (C21)</t>
        </is>
      </c>
      <c r="C21" s="19" t="n">
        <v>1.5</v>
      </c>
      <c r="E21" s="14" t="inlineStr">
        <is>
          <t>✏️ KETIK RUMUS JAWABAN TES DI BAWAH:</t>
        </is>
      </c>
      <c r="F21" s="14" t="inlineStr">
        <is>
          <t>📌 STATUS KOREKSI JAWABAN TES:</t>
        </is>
      </c>
      <c r="G21" s="5" t="n"/>
    </row>
    <row r="22" ht="26" customHeight="1">
      <c r="B22" s="19" t="inlineStr">
        <is>
          <t>Derajat Kebebasan (C22)</t>
        </is>
      </c>
      <c r="C22" s="19" t="n">
        <v>8</v>
      </c>
      <c r="E22" s="28" t="n"/>
      <c r="F22" s="29">
        <f>IF(ISBLANK(E22), "⏳ Belum Diisi (Ketik Rumus di Sel Kuning E22)", IF(E22='99_KUNCI_JAWABAN'!F420, "✅ BENAR! JAWABAN TES TEPAT!", "❌ Belum Tepat (Cek Sheet Akhir: 99_KUNCI_JAWABAN)"))</f>
        <v/>
      </c>
      <c r="G22" s="5" t="n"/>
    </row>
    <row r="23">
      <c r="B23" s="19" t="inlineStr">
        <is>
          <t>Cadangan 1</t>
        </is>
      </c>
      <c r="C23" s="19" t="n">
        <v>1</v>
      </c>
    </row>
    <row r="24">
      <c r="B24" s="19" t="inlineStr">
        <is>
          <t>Cadangan 2</t>
        </is>
      </c>
      <c r="C24" s="19" t="n">
        <v>1</v>
      </c>
    </row>
    <row r="27" ht="22" customHeight="1">
      <c r="B27" s="26" t="inlineStr">
        <is>
          <t>📝 SOAL TES #2: Kasus HRD, Gaji &amp; Lembur Karyawan</t>
        </is>
      </c>
    </row>
    <row r="28" ht="30" customHeight="1">
      <c r="B28" s="14" t="inlineStr">
        <is>
          <t>Nama Parameter</t>
        </is>
      </c>
      <c r="C28" s="14" t="inlineStr">
        <is>
          <t>Nilai Parameter</t>
        </is>
      </c>
      <c r="E28" s="27" t="inlineStr">
        <is>
          <t>Persoalan Tes #2: Hitung nilai probabilitas distribusi menggunakan fungsi T.DIST.RT dengan argumen nilai X di C29 dan derajat kebebasan di C30!</t>
        </is>
      </c>
    </row>
    <row r="29">
      <c r="B29" s="19" t="inlineStr">
        <is>
          <t>Nilai Uji X (C29)</t>
        </is>
      </c>
      <c r="C29" s="19" t="n">
        <v>1.8</v>
      </c>
      <c r="E29" s="14" t="inlineStr">
        <is>
          <t>✏️ KETIK RUMUS JAWABAN TES DI BAWAH:</t>
        </is>
      </c>
      <c r="F29" s="14" t="inlineStr">
        <is>
          <t>📌 STATUS KOREKSI JAWABAN TES:</t>
        </is>
      </c>
      <c r="G29" s="5" t="n"/>
    </row>
    <row r="30" ht="26" customHeight="1">
      <c r="B30" s="19" t="inlineStr">
        <is>
          <t>Derajat Kebebasan (C30)</t>
        </is>
      </c>
      <c r="C30" s="19" t="n">
        <v>9</v>
      </c>
      <c r="E30" s="28" t="n"/>
      <c r="F30" s="29">
        <f>IF(ISBLANK(E30), "⏳ Belum Diisi (Ketik Rumus di Sel Kuning E30)", IF(E30='99_KUNCI_JAWABAN'!F421, "✅ BENAR! JAWABAN TES TEPAT!", "❌ Belum Tepat (Cek Sheet Akhir: 99_KUNCI_JAWABAN)"))</f>
        <v/>
      </c>
      <c r="G30" s="5" t="n"/>
    </row>
    <row r="31">
      <c r="B31" s="19" t="inlineStr">
        <is>
          <t>Cadangan 1</t>
        </is>
      </c>
      <c r="C31" s="19" t="n">
        <v>1</v>
      </c>
    </row>
    <row r="32">
      <c r="B32" s="19" t="inlineStr">
        <is>
          <t>Cadangan 2</t>
        </is>
      </c>
      <c r="C32" s="19" t="n">
        <v>1</v>
      </c>
    </row>
    <row r="35" ht="22" customHeight="1">
      <c r="B35" s="26" t="inlineStr">
        <is>
          <t>📝 SOAL TES #3: Kasus Logistik &amp; Stok Gudang Utama</t>
        </is>
      </c>
    </row>
    <row r="36" ht="30" customHeight="1">
      <c r="B36" s="14" t="inlineStr">
        <is>
          <t>Nama Parameter</t>
        </is>
      </c>
      <c r="C36" s="14" t="inlineStr">
        <is>
          <t>Nilai Parameter</t>
        </is>
      </c>
      <c r="E36" s="27" t="inlineStr">
        <is>
          <t>Persoalan Tes #3: Hitung nilai probabilitas distribusi menggunakan fungsi T.DIST.RT dengan argumen nilai X di C37 dan derajat kebebasan di C38!</t>
        </is>
      </c>
    </row>
    <row r="37">
      <c r="B37" s="19" t="inlineStr">
        <is>
          <t>Nilai Uji X (C37)</t>
        </is>
      </c>
      <c r="C37" s="19" t="n">
        <v>2.1</v>
      </c>
      <c r="E37" s="14" t="inlineStr">
        <is>
          <t>✏️ KETIK RUMUS JAWABAN TES DI BAWAH:</t>
        </is>
      </c>
      <c r="F37" s="14" t="inlineStr">
        <is>
          <t>📌 STATUS KOREKSI JAWABAN TES:</t>
        </is>
      </c>
      <c r="G37" s="5" t="n"/>
    </row>
    <row r="38" ht="26" customHeight="1">
      <c r="B38" s="19" t="inlineStr">
        <is>
          <t>Derajat Kebebasan (C38)</t>
        </is>
      </c>
      <c r="C38" s="19" t="n">
        <v>10</v>
      </c>
      <c r="E38" s="28" t="n"/>
      <c r="F38" s="29">
        <f>IF(ISBLANK(E38), "⏳ Belum Diisi (Ketik Rumus di Sel Kuning E38)", IF(E38='99_KUNCI_JAWABAN'!F422, "✅ BENAR! JAWABAN TES TEPAT!", "❌ Belum Tepat (Cek Sheet Akhir: 99_KUNCI_JAWABAN)"))</f>
        <v/>
      </c>
      <c r="G38" s="5" t="n"/>
    </row>
    <row r="39">
      <c r="B39" s="19" t="inlineStr">
        <is>
          <t>Cadangan 1</t>
        </is>
      </c>
      <c r="C39" s="19" t="n">
        <v>1</v>
      </c>
    </row>
    <row r="40">
      <c r="B40" s="19" t="inlineStr">
        <is>
          <t>Cadangan 2</t>
        </is>
      </c>
      <c r="C40" s="19" t="n">
        <v>1</v>
      </c>
    </row>
    <row r="43" ht="22" customHeight="1">
      <c r="B43" s="26" t="inlineStr">
        <is>
          <t>📝 SOAL TES #4: Kasus Penjualan Retail &amp; Target Toko</t>
        </is>
      </c>
    </row>
    <row r="44" ht="30" customHeight="1">
      <c r="B44" s="14" t="inlineStr">
        <is>
          <t>Nama Parameter</t>
        </is>
      </c>
      <c r="C44" s="14" t="inlineStr">
        <is>
          <t>Nilai Parameter</t>
        </is>
      </c>
      <c r="E44" s="27" t="inlineStr">
        <is>
          <t>Persoalan Tes #4: Hitung nilai probabilitas distribusi menggunakan fungsi T.DIST.RT dengan argumen nilai X di C45 dan derajat kebebasan di C46!</t>
        </is>
      </c>
    </row>
    <row r="45">
      <c r="B45" s="19" t="inlineStr">
        <is>
          <t>Nilai Uji X (C45)</t>
        </is>
      </c>
      <c r="C45" s="19" t="n">
        <v>2.4</v>
      </c>
      <c r="E45" s="14" t="inlineStr">
        <is>
          <t>✏️ KETIK RUMUS JAWABAN TES DI BAWAH:</t>
        </is>
      </c>
      <c r="F45" s="14" t="inlineStr">
        <is>
          <t>📌 STATUS KOREKSI JAWABAN TES:</t>
        </is>
      </c>
      <c r="G45" s="5" t="n"/>
    </row>
    <row r="46" ht="26" customHeight="1">
      <c r="B46" s="19" t="inlineStr">
        <is>
          <t>Derajat Kebebasan (C46)</t>
        </is>
      </c>
      <c r="C46" s="19" t="n">
        <v>11</v>
      </c>
      <c r="E46" s="28" t="n"/>
      <c r="F46" s="29">
        <f>IF(ISBLANK(E46), "⏳ Belum Diisi (Ketik Rumus di Sel Kuning E46)", IF(E46='99_KUNCI_JAWABAN'!F423, "✅ BENAR! JAWABAN TES TEPAT!", "❌ Belum Tepat (Cek Sheet Akhir: 99_KUNCI_JAWABAN)"))</f>
        <v/>
      </c>
      <c r="G46" s="5" t="n"/>
    </row>
    <row r="47">
      <c r="B47" s="19" t="inlineStr">
        <is>
          <t>Cadangan 1</t>
        </is>
      </c>
      <c r="C47" s="19" t="n">
        <v>1</v>
      </c>
    </row>
    <row r="48">
      <c r="B48" s="19" t="inlineStr">
        <is>
          <t>Cadangan 2</t>
        </is>
      </c>
      <c r="C48" s="19" t="n">
        <v>1</v>
      </c>
    </row>
    <row r="51" ht="22" customHeight="1">
      <c r="B51" s="26" t="inlineStr">
        <is>
          <t>📝 SOAL TES #5: Kasus Akademik Sekolah &amp; Layanan Publik</t>
        </is>
      </c>
    </row>
    <row r="52" ht="30" customHeight="1">
      <c r="B52" s="14" t="inlineStr">
        <is>
          <t>Nama Parameter</t>
        </is>
      </c>
      <c r="C52" s="14" t="inlineStr">
        <is>
          <t>Nilai Parameter</t>
        </is>
      </c>
      <c r="E52" s="27" t="inlineStr">
        <is>
          <t>Persoalan Tes #5: Hitung nilai probabilitas distribusi menggunakan fungsi T.DIST.RT dengan argumen nilai X di C53 dan derajat kebebasan di C54!</t>
        </is>
      </c>
    </row>
    <row r="53">
      <c r="B53" s="19" t="inlineStr">
        <is>
          <t>Nilai Uji X (C53)</t>
        </is>
      </c>
      <c r="C53" s="19" t="n">
        <v>2.7</v>
      </c>
      <c r="E53" s="14" t="inlineStr">
        <is>
          <t>✏️ KETIK RUMUS JAWABAN TES DI BAWAH:</t>
        </is>
      </c>
      <c r="F53" s="14" t="inlineStr">
        <is>
          <t>📌 STATUS KOREKSI JAWABAN TES:</t>
        </is>
      </c>
      <c r="G53" s="5" t="n"/>
    </row>
    <row r="54" ht="26" customHeight="1">
      <c r="B54" s="19" t="inlineStr">
        <is>
          <t>Derajat Kebebasan (C54)</t>
        </is>
      </c>
      <c r="C54" s="19" t="n">
        <v>12</v>
      </c>
      <c r="E54" s="28" t="n"/>
      <c r="F54" s="29">
        <f>IF(ISBLANK(E54), "⏳ Belum Diisi (Ketik Rumus di Sel Kuning E54)", IF(E54='99_KUNCI_JAWABAN'!F424, "✅ BENAR! JAWABAN TES TEPAT!", "❌ Belum Tepat (Cek Sheet Akhir: 99_KUNCI_JAWABAN)"))</f>
        <v/>
      </c>
      <c r="G54" s="5" t="n"/>
    </row>
    <row r="55">
      <c r="B55" s="19" t="inlineStr">
        <is>
          <t>Cadangan 1</t>
        </is>
      </c>
      <c r="C55" s="19" t="n">
        <v>1</v>
      </c>
    </row>
    <row r="56">
      <c r="B56" s="19" t="inlineStr">
        <is>
          <t>Cadangan 2</t>
        </is>
      </c>
      <c r="C56" s="19" t="n">
        <v>1</v>
      </c>
    </row>
  </sheetData>
  <mergeCells count="33">
    <mergeCell ref="E10:G10"/>
    <mergeCell ref="F11:G11"/>
    <mergeCell ref="E28:G28"/>
    <mergeCell ref="F29:G29"/>
    <mergeCell ref="C6:G6"/>
    <mergeCell ref="F54:G54"/>
    <mergeCell ref="B17:G17"/>
    <mergeCell ref="B1:G1"/>
    <mergeCell ref="C5:G5"/>
    <mergeCell ref="B19:G19"/>
    <mergeCell ref="F21:G21"/>
    <mergeCell ref="F12:G12"/>
    <mergeCell ref="F30:G30"/>
    <mergeCell ref="E36:G36"/>
    <mergeCell ref="B9:G9"/>
    <mergeCell ref="F45:G45"/>
    <mergeCell ref="B51:G51"/>
    <mergeCell ref="F38:G38"/>
    <mergeCell ref="B35:G35"/>
    <mergeCell ref="B4:G4"/>
    <mergeCell ref="F46:G46"/>
    <mergeCell ref="F22:G22"/>
    <mergeCell ref="B2:E2"/>
    <mergeCell ref="F13:G13"/>
    <mergeCell ref="B16:G16"/>
    <mergeCell ref="F37:G37"/>
    <mergeCell ref="C7:G7"/>
    <mergeCell ref="E52:G52"/>
    <mergeCell ref="B27:G27"/>
    <mergeCell ref="B43:G43"/>
    <mergeCell ref="E44:G44"/>
    <mergeCell ref="E20:G20"/>
    <mergeCell ref="F53:G53"/>
  </mergeCells>
  <hyperlinks>
    <hyperlink xmlns:r="http://schemas.openxmlformats.org/officeDocument/2006/relationships" ref="F2" r:id="rId1"/>
    <hyperlink xmlns:r="http://schemas.openxmlformats.org/officeDocument/2006/relationships" ref="G2" r:id="rId2"/>
  </hyperlinks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B1:G56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22" customWidth="1" min="3" max="3"/>
    <col width="4" customWidth="1" min="4" max="4"/>
    <col width="34" customWidth="1" min="5" max="5"/>
    <col width="44" customWidth="1" min="6" max="6"/>
    <col width="28" customWidth="1" min="7" max="7"/>
  </cols>
  <sheetData>
    <row r="1" ht="30" customHeight="1">
      <c r="B1" s="10" t="inlineStr">
        <is>
          <t>📊 #085 — RUMUS EXCEL: T.INV   |   Kategori: 8. Statistik &amp; Analisis Data</t>
        </is>
      </c>
    </row>
    <row r="2" ht="22" customHeight="1">
      <c r="B2" s="11" t="inlineStr">
        <is>
          <t>1 Rumus = 1 Contoh Soal + Jawaban Benar &amp; 5 Soal Tes Mandiri (Kunci Jawaban Ada di Sheet Paling Terakhir)</t>
        </is>
      </c>
      <c r="F2" s="12" t="inlineStr">
        <is>
          <t>⬅️ Ke Daftar Isi (00_DAFTAR_ISI)</t>
        </is>
      </c>
      <c r="G2" s="3" t="inlineStr">
        <is>
          <t>🔑 Ke Kunci Jawaban (Sheet Akhir)</t>
        </is>
      </c>
    </row>
    <row r="4" ht="24" customHeight="1">
      <c r="B4" s="13" t="inlineStr">
        <is>
          <t>1️⃣ IDENTITAS RUMUS &amp; FUNGSINYA BUAT APA? (T.INV)</t>
        </is>
      </c>
    </row>
    <row r="5" ht="21" customHeight="1">
      <c r="B5" s="14" t="inlineStr">
        <is>
          <t>Nama Rumus Excel</t>
        </is>
      </c>
      <c r="C5" s="15">
        <f>T.INV(...)</f>
        <v/>
      </c>
      <c r="D5" s="5" t="n"/>
      <c r="E5" s="5" t="n"/>
      <c r="F5" s="5" t="n"/>
      <c r="G5" s="5" t="n"/>
    </row>
    <row r="6" ht="21" customHeight="1">
      <c r="B6" s="14" t="inlineStr">
        <is>
          <t>Sintaks / Pola Umum</t>
        </is>
      </c>
      <c r="C6" s="15">
        <f>T.INV(probabilitas, deg_freedom)</f>
        <v/>
      </c>
      <c r="D6" s="5" t="n"/>
      <c r="E6" s="5" t="n"/>
      <c r="F6" s="5" t="n"/>
      <c r="G6" s="5" t="n"/>
    </row>
    <row r="7" ht="26" customHeight="1">
      <c r="B7" s="14" t="inlineStr">
        <is>
          <t>👶 Fungsinya Buat Apa?</t>
        </is>
      </c>
      <c r="C7" s="16" t="inlineStr">
        <is>
          <t>Menghasilkan nilai t (invers ekor kiri) dari distribusi Student's t.</t>
        </is>
      </c>
      <c r="D7" s="5" t="n"/>
      <c r="E7" s="5" t="n"/>
      <c r="F7" s="5" t="n"/>
      <c r="G7" s="5" t="n"/>
    </row>
    <row r="9" ht="24" customHeight="1">
      <c r="B9" s="17" t="inlineStr">
        <is>
          <t>2️⃣ 1 CONTOH SOAL &amp; CONTOH JAWABAN BENAR (PELAJARI POLA RUMUS T.INV DI SINI)</t>
        </is>
      </c>
    </row>
    <row r="10">
      <c r="B10" s="18" t="inlineStr">
        <is>
          <t>Nama Parameter</t>
        </is>
      </c>
      <c r="C10" s="18" t="inlineStr">
        <is>
          <t>Nilai Parameter</t>
        </is>
      </c>
      <c r="E10" s="18" t="inlineStr">
        <is>
          <t>✅ 1 CONTOH SOAL BESERTA CONTOH RUMUS &amp; HASIL JAWABAN BENAR:</t>
        </is>
      </c>
      <c r="F10" s="5" t="n"/>
      <c r="G10" s="5" t="n"/>
    </row>
    <row r="11" ht="28" customHeight="1">
      <c r="B11" s="19" t="inlineStr">
        <is>
          <t>Probabilitas (C11)</t>
        </is>
      </c>
      <c r="C11" s="19" t="n">
        <v>0.15</v>
      </c>
      <c r="E11" s="20" t="inlineStr">
        <is>
          <t>Contoh Soal:</t>
        </is>
      </c>
      <c r="F11" s="21" t="inlineStr">
        <is>
          <t>Hitung nilai invers distribusi menggunakan fungsi T.INV dengan probabilitas di C11 dan derajat kebebasan di C12!</t>
        </is>
      </c>
      <c r="G11" s="5" t="n"/>
    </row>
    <row r="12">
      <c r="B12" s="19" t="inlineStr">
        <is>
          <t>Derajat Kebebasan (C12)</t>
        </is>
      </c>
      <c r="C12" s="19" t="n">
        <v>13</v>
      </c>
      <c r="E12" s="20" t="inlineStr">
        <is>
          <t>Contoh Rumus Benar:</t>
        </is>
      </c>
      <c r="F12" s="22" t="inlineStr">
        <is>
          <t>'=T.INV(C11, C12)</t>
        </is>
      </c>
      <c r="G12" s="5" t="n"/>
    </row>
    <row r="13">
      <c r="B13" s="19" t="inlineStr">
        <is>
          <t>Cadangan 1</t>
        </is>
      </c>
      <c r="C13" s="19" t="n">
        <v>1</v>
      </c>
      <c r="E13" s="20" t="inlineStr">
        <is>
          <t>Contoh Hasil Benar:</t>
        </is>
      </c>
      <c r="F13" s="23">
        <f>T.INV(C11, C12)</f>
        <v/>
      </c>
      <c r="G13" s="5" t="n"/>
    </row>
    <row r="14">
      <c r="B14" s="19" t="inlineStr">
        <is>
          <t>Cadangan 2</t>
        </is>
      </c>
      <c r="C14" s="19" t="n">
        <v>1</v>
      </c>
    </row>
    <row r="16" ht="26" customHeight="1">
      <c r="B16" s="24" t="inlineStr">
        <is>
          <t>3️⃣ 5 SOAL TES DUNIA NYATA — KERJAKAN DI KOTAK KUNING (TANPA KUNCI RUMUS / HASIL DI SINI!)</t>
        </is>
      </c>
    </row>
    <row r="17" ht="20" customHeight="1">
      <c r="B17" s="25" t="inlineStr">
        <is>
          <t>📌 Catatan Tes: Soal Tes #1 s/d #5 di bawah ini tidak menampilkan kunci rumus maupun hasil. Kunci jawaban lengkap tersedia di sheet paling terakhir (99_KUNCI_JAWABAN).</t>
        </is>
      </c>
    </row>
    <row r="19" ht="22" customHeight="1">
      <c r="B19" s="26" t="inlineStr">
        <is>
          <t>📝 SOAL TES #1: Kasus Keuangan &amp; Akuntansi Kantor</t>
        </is>
      </c>
    </row>
    <row r="20" ht="30" customHeight="1">
      <c r="B20" s="14" t="inlineStr">
        <is>
          <t>Nama Parameter</t>
        </is>
      </c>
      <c r="C20" s="14" t="inlineStr">
        <is>
          <t>Nilai Parameter</t>
        </is>
      </c>
      <c r="E20" s="27" t="inlineStr">
        <is>
          <t>Persoalan Tes #1: Hitung nilai invers distribusi menggunakan fungsi T.INV dengan probabilitas di C21 dan derajat kebebasan di C22!</t>
        </is>
      </c>
    </row>
    <row r="21">
      <c r="B21" s="19" t="inlineStr">
        <is>
          <t>Probabilitas (C21)</t>
        </is>
      </c>
      <c r="C21" s="19" t="n">
        <v>0.05</v>
      </c>
      <c r="E21" s="14" t="inlineStr">
        <is>
          <t>✏️ KETIK RUMUS JAWABAN TES DI BAWAH:</t>
        </is>
      </c>
      <c r="F21" s="14" t="inlineStr">
        <is>
          <t>📌 STATUS KOREKSI JAWABAN TES:</t>
        </is>
      </c>
      <c r="G21" s="5" t="n"/>
    </row>
    <row r="22" ht="26" customHeight="1">
      <c r="B22" s="19" t="inlineStr">
        <is>
          <t>Derajat Kebebasan (C22)</t>
        </is>
      </c>
      <c r="C22" s="19" t="n">
        <v>8</v>
      </c>
      <c r="E22" s="28" t="n"/>
      <c r="F22" s="29">
        <f>IF(ISBLANK(E22), "⏳ Belum Diisi (Ketik Rumus di Sel Kuning E22)", IF(E22='99_KUNCI_JAWABAN'!F425, "✅ BENAR! JAWABAN TES TEPAT!", "❌ Belum Tepat (Cek Sheet Akhir: 99_KUNCI_JAWABAN)"))</f>
        <v/>
      </c>
      <c r="G22" s="5" t="n"/>
    </row>
    <row r="23">
      <c r="B23" s="19" t="inlineStr">
        <is>
          <t>Cadangan 1</t>
        </is>
      </c>
      <c r="C23" s="19" t="n">
        <v>1</v>
      </c>
    </row>
    <row r="24">
      <c r="B24" s="19" t="inlineStr">
        <is>
          <t>Cadangan 2</t>
        </is>
      </c>
      <c r="C24" s="19" t="n">
        <v>1</v>
      </c>
    </row>
    <row r="27" ht="22" customHeight="1">
      <c r="B27" s="26" t="inlineStr">
        <is>
          <t>📝 SOAL TES #2: Kasus HRD, Gaji &amp; Lembur Karyawan</t>
        </is>
      </c>
    </row>
    <row r="28" ht="30" customHeight="1">
      <c r="B28" s="14" t="inlineStr">
        <is>
          <t>Nama Parameter</t>
        </is>
      </c>
      <c r="C28" s="14" t="inlineStr">
        <is>
          <t>Nilai Parameter</t>
        </is>
      </c>
      <c r="E28" s="27" t="inlineStr">
        <is>
          <t>Persoalan Tes #2: Hitung nilai invers distribusi menggunakan fungsi T.INV dengan probabilitas di C29 dan derajat kebebasan di C30!</t>
        </is>
      </c>
    </row>
    <row r="29">
      <c r="B29" s="19" t="inlineStr">
        <is>
          <t>Probabilitas (C29)</t>
        </is>
      </c>
      <c r="C29" s="19" t="n">
        <v>0.07000000000000001</v>
      </c>
      <c r="E29" s="14" t="inlineStr">
        <is>
          <t>✏️ KETIK RUMUS JAWABAN TES DI BAWAH:</t>
        </is>
      </c>
      <c r="F29" s="14" t="inlineStr">
        <is>
          <t>📌 STATUS KOREKSI JAWABAN TES:</t>
        </is>
      </c>
      <c r="G29" s="5" t="n"/>
    </row>
    <row r="30" ht="26" customHeight="1">
      <c r="B30" s="19" t="inlineStr">
        <is>
          <t>Derajat Kebebasan (C30)</t>
        </is>
      </c>
      <c r="C30" s="19" t="n">
        <v>9</v>
      </c>
      <c r="E30" s="28" t="n"/>
      <c r="F30" s="29">
        <f>IF(ISBLANK(E30), "⏳ Belum Diisi (Ketik Rumus di Sel Kuning E30)", IF(E30='99_KUNCI_JAWABAN'!F426, "✅ BENAR! JAWABAN TES TEPAT!", "❌ Belum Tepat (Cek Sheet Akhir: 99_KUNCI_JAWABAN)"))</f>
        <v/>
      </c>
      <c r="G30" s="5" t="n"/>
    </row>
    <row r="31">
      <c r="B31" s="19" t="inlineStr">
        <is>
          <t>Cadangan 1</t>
        </is>
      </c>
      <c r="C31" s="19" t="n">
        <v>1</v>
      </c>
    </row>
    <row r="32">
      <c r="B32" s="19" t="inlineStr">
        <is>
          <t>Cadangan 2</t>
        </is>
      </c>
      <c r="C32" s="19" t="n">
        <v>1</v>
      </c>
    </row>
    <row r="35" ht="22" customHeight="1">
      <c r="B35" s="26" t="inlineStr">
        <is>
          <t>📝 SOAL TES #3: Kasus Logistik &amp; Stok Gudang Utama</t>
        </is>
      </c>
    </row>
    <row r="36" ht="30" customHeight="1">
      <c r="B36" s="14" t="inlineStr">
        <is>
          <t>Nama Parameter</t>
        </is>
      </c>
      <c r="C36" s="14" t="inlineStr">
        <is>
          <t>Nilai Parameter</t>
        </is>
      </c>
      <c r="E36" s="27" t="inlineStr">
        <is>
          <t>Persoalan Tes #3: Hitung nilai invers distribusi menggunakan fungsi T.INV dengan probabilitas di C37 dan derajat kebebasan di C38!</t>
        </is>
      </c>
    </row>
    <row r="37">
      <c r="B37" s="19" t="inlineStr">
        <is>
          <t>Probabilitas (C37)</t>
        </is>
      </c>
      <c r="C37" s="19" t="n">
        <v>0.09</v>
      </c>
      <c r="E37" s="14" t="inlineStr">
        <is>
          <t>✏️ KETIK RUMUS JAWABAN TES DI BAWAH:</t>
        </is>
      </c>
      <c r="F37" s="14" t="inlineStr">
        <is>
          <t>📌 STATUS KOREKSI JAWABAN TES:</t>
        </is>
      </c>
      <c r="G37" s="5" t="n"/>
    </row>
    <row r="38" ht="26" customHeight="1">
      <c r="B38" s="19" t="inlineStr">
        <is>
          <t>Derajat Kebebasan (C38)</t>
        </is>
      </c>
      <c r="C38" s="19" t="n">
        <v>10</v>
      </c>
      <c r="E38" s="28" t="n"/>
      <c r="F38" s="29">
        <f>IF(ISBLANK(E38), "⏳ Belum Diisi (Ketik Rumus di Sel Kuning E38)", IF(E38='99_KUNCI_JAWABAN'!F427, "✅ BENAR! JAWABAN TES TEPAT!", "❌ Belum Tepat (Cek Sheet Akhir: 99_KUNCI_JAWABAN)"))</f>
        <v/>
      </c>
      <c r="G38" s="5" t="n"/>
    </row>
    <row r="39">
      <c r="B39" s="19" t="inlineStr">
        <is>
          <t>Cadangan 1</t>
        </is>
      </c>
      <c r="C39" s="19" t="n">
        <v>1</v>
      </c>
    </row>
    <row r="40">
      <c r="B40" s="19" t="inlineStr">
        <is>
          <t>Cadangan 2</t>
        </is>
      </c>
      <c r="C40" s="19" t="n">
        <v>1</v>
      </c>
    </row>
    <row r="43" ht="22" customHeight="1">
      <c r="B43" s="26" t="inlineStr">
        <is>
          <t>📝 SOAL TES #4: Kasus Penjualan Retail &amp; Target Toko</t>
        </is>
      </c>
    </row>
    <row r="44" ht="30" customHeight="1">
      <c r="B44" s="14" t="inlineStr">
        <is>
          <t>Nama Parameter</t>
        </is>
      </c>
      <c r="C44" s="14" t="inlineStr">
        <is>
          <t>Nilai Parameter</t>
        </is>
      </c>
      <c r="E44" s="27" t="inlineStr">
        <is>
          <t>Persoalan Tes #4: Hitung nilai invers distribusi menggunakan fungsi T.INV dengan probabilitas di C45 dan derajat kebebasan di C46!</t>
        </is>
      </c>
    </row>
    <row r="45">
      <c r="B45" s="19" t="inlineStr">
        <is>
          <t>Probabilitas (C45)</t>
        </is>
      </c>
      <c r="C45" s="19" t="n">
        <v>0.11</v>
      </c>
      <c r="E45" s="14" t="inlineStr">
        <is>
          <t>✏️ KETIK RUMUS JAWABAN TES DI BAWAH:</t>
        </is>
      </c>
      <c r="F45" s="14" t="inlineStr">
        <is>
          <t>📌 STATUS KOREKSI JAWABAN TES:</t>
        </is>
      </c>
      <c r="G45" s="5" t="n"/>
    </row>
    <row r="46" ht="26" customHeight="1">
      <c r="B46" s="19" t="inlineStr">
        <is>
          <t>Derajat Kebebasan (C46)</t>
        </is>
      </c>
      <c r="C46" s="19" t="n">
        <v>11</v>
      </c>
      <c r="E46" s="28" t="n"/>
      <c r="F46" s="29">
        <f>IF(ISBLANK(E46), "⏳ Belum Diisi (Ketik Rumus di Sel Kuning E46)", IF(E46='99_KUNCI_JAWABAN'!F428, "✅ BENAR! JAWABAN TES TEPAT!", "❌ Belum Tepat (Cek Sheet Akhir: 99_KUNCI_JAWABAN)"))</f>
        <v/>
      </c>
      <c r="G46" s="5" t="n"/>
    </row>
    <row r="47">
      <c r="B47" s="19" t="inlineStr">
        <is>
          <t>Cadangan 1</t>
        </is>
      </c>
      <c r="C47" s="19" t="n">
        <v>1</v>
      </c>
    </row>
    <row r="48">
      <c r="B48" s="19" t="inlineStr">
        <is>
          <t>Cadangan 2</t>
        </is>
      </c>
      <c r="C48" s="19" t="n">
        <v>1</v>
      </c>
    </row>
    <row r="51" ht="22" customHeight="1">
      <c r="B51" s="26" t="inlineStr">
        <is>
          <t>📝 SOAL TES #5: Kasus Akademik Sekolah &amp; Layanan Publik</t>
        </is>
      </c>
    </row>
    <row r="52" ht="30" customHeight="1">
      <c r="B52" s="14" t="inlineStr">
        <is>
          <t>Nama Parameter</t>
        </is>
      </c>
      <c r="C52" s="14" t="inlineStr">
        <is>
          <t>Nilai Parameter</t>
        </is>
      </c>
      <c r="E52" s="27" t="inlineStr">
        <is>
          <t>Persoalan Tes #5: Hitung nilai invers distribusi menggunakan fungsi T.INV dengan probabilitas di C53 dan derajat kebebasan di C54!</t>
        </is>
      </c>
    </row>
    <row r="53">
      <c r="B53" s="19" t="inlineStr">
        <is>
          <t>Probabilitas (C53)</t>
        </is>
      </c>
      <c r="C53" s="19" t="n">
        <v>0.13</v>
      </c>
      <c r="E53" s="14" t="inlineStr">
        <is>
          <t>✏️ KETIK RUMUS JAWABAN TES DI BAWAH:</t>
        </is>
      </c>
      <c r="F53" s="14" t="inlineStr">
        <is>
          <t>📌 STATUS KOREKSI JAWABAN TES:</t>
        </is>
      </c>
      <c r="G53" s="5" t="n"/>
    </row>
    <row r="54" ht="26" customHeight="1">
      <c r="B54" s="19" t="inlineStr">
        <is>
          <t>Derajat Kebebasan (C54)</t>
        </is>
      </c>
      <c r="C54" s="19" t="n">
        <v>12</v>
      </c>
      <c r="E54" s="28" t="n"/>
      <c r="F54" s="29">
        <f>IF(ISBLANK(E54), "⏳ Belum Diisi (Ketik Rumus di Sel Kuning E54)", IF(E54='99_KUNCI_JAWABAN'!F429, "✅ BENAR! JAWABAN TES TEPAT!", "❌ Belum Tepat (Cek Sheet Akhir: 99_KUNCI_JAWABAN)"))</f>
        <v/>
      </c>
      <c r="G54" s="5" t="n"/>
    </row>
    <row r="55">
      <c r="B55" s="19" t="inlineStr">
        <is>
          <t>Cadangan 1</t>
        </is>
      </c>
      <c r="C55" s="19" t="n">
        <v>1</v>
      </c>
    </row>
    <row r="56">
      <c r="B56" s="19" t="inlineStr">
        <is>
          <t>Cadangan 2</t>
        </is>
      </c>
      <c r="C56" s="19" t="n">
        <v>1</v>
      </c>
    </row>
  </sheetData>
  <mergeCells count="33">
    <mergeCell ref="E10:G10"/>
    <mergeCell ref="F11:G11"/>
    <mergeCell ref="E28:G28"/>
    <mergeCell ref="F29:G29"/>
    <mergeCell ref="C6:G6"/>
    <mergeCell ref="F54:G54"/>
    <mergeCell ref="B17:G17"/>
    <mergeCell ref="B1:G1"/>
    <mergeCell ref="C5:G5"/>
    <mergeCell ref="B19:G19"/>
    <mergeCell ref="F21:G21"/>
    <mergeCell ref="F12:G12"/>
    <mergeCell ref="F30:G30"/>
    <mergeCell ref="E36:G36"/>
    <mergeCell ref="B9:G9"/>
    <mergeCell ref="F45:G45"/>
    <mergeCell ref="B51:G51"/>
    <mergeCell ref="F38:G38"/>
    <mergeCell ref="B35:G35"/>
    <mergeCell ref="B4:G4"/>
    <mergeCell ref="F46:G46"/>
    <mergeCell ref="F22:G22"/>
    <mergeCell ref="B2:E2"/>
    <mergeCell ref="F13:G13"/>
    <mergeCell ref="B16:G16"/>
    <mergeCell ref="F37:G37"/>
    <mergeCell ref="C7:G7"/>
    <mergeCell ref="E52:G52"/>
    <mergeCell ref="B27:G27"/>
    <mergeCell ref="B43:G43"/>
    <mergeCell ref="E44:G44"/>
    <mergeCell ref="E20:G20"/>
    <mergeCell ref="F53:G53"/>
  </mergeCells>
  <hyperlinks>
    <hyperlink xmlns:r="http://schemas.openxmlformats.org/officeDocument/2006/relationships" ref="F2" r:id="rId1"/>
    <hyperlink xmlns:r="http://schemas.openxmlformats.org/officeDocument/2006/relationships" ref="G2" r:id="rId2"/>
  </hyperlinks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B1:G56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22" customWidth="1" min="3" max="3"/>
    <col width="4" customWidth="1" min="4" max="4"/>
    <col width="34" customWidth="1" min="5" max="5"/>
    <col width="44" customWidth="1" min="6" max="6"/>
    <col width="28" customWidth="1" min="7" max="7"/>
  </cols>
  <sheetData>
    <row r="1" ht="30" customHeight="1">
      <c r="B1" s="10" t="inlineStr">
        <is>
          <t>📊 #086 — RUMUS EXCEL: T.INV.2T   |   Kategori: 8. Statistik &amp; Analisis Data</t>
        </is>
      </c>
    </row>
    <row r="2" ht="22" customHeight="1">
      <c r="B2" s="11" t="inlineStr">
        <is>
          <t>1 Rumus = 1 Contoh Soal + Jawaban Benar &amp; 5 Soal Tes Mandiri (Kunci Jawaban Ada di Sheet Paling Terakhir)</t>
        </is>
      </c>
      <c r="F2" s="12" t="inlineStr">
        <is>
          <t>⬅️ Ke Daftar Isi (00_DAFTAR_ISI)</t>
        </is>
      </c>
      <c r="G2" s="3" t="inlineStr">
        <is>
          <t>🔑 Ke Kunci Jawaban (Sheet Akhir)</t>
        </is>
      </c>
    </row>
    <row r="4" ht="24" customHeight="1">
      <c r="B4" s="13" t="inlineStr">
        <is>
          <t>1️⃣ IDENTITAS RUMUS &amp; FUNGSINYA BUAT APA? (T.INV.2T)</t>
        </is>
      </c>
    </row>
    <row r="5" ht="21" customHeight="1">
      <c r="B5" s="14" t="inlineStr">
        <is>
          <t>Nama Rumus Excel</t>
        </is>
      </c>
      <c r="C5" s="15">
        <f>T.INV.2T(...)</f>
        <v/>
      </c>
      <c r="D5" s="5" t="n"/>
      <c r="E5" s="5" t="n"/>
      <c r="F5" s="5" t="n"/>
      <c r="G5" s="5" t="n"/>
    </row>
    <row r="6" ht="21" customHeight="1">
      <c r="B6" s="14" t="inlineStr">
        <is>
          <t>Sintaks / Pola Umum</t>
        </is>
      </c>
      <c r="C6" s="15">
        <f>T.INV.2T(probabilitas, deg_freedom)</f>
        <v/>
      </c>
      <c r="D6" s="5" t="n"/>
      <c r="E6" s="5" t="n"/>
      <c r="F6" s="5" t="n"/>
      <c r="G6" s="5" t="n"/>
    </row>
    <row r="7" ht="26" customHeight="1">
      <c r="B7" s="14" t="inlineStr">
        <is>
          <t>👶 Fungsinya Buat Apa?</t>
        </is>
      </c>
      <c r="C7" s="16" t="inlineStr">
        <is>
          <t>Menghasilkan nilai t (invers dua sisi) dari distribusi Student's t.</t>
        </is>
      </c>
      <c r="D7" s="5" t="n"/>
      <c r="E7" s="5" t="n"/>
      <c r="F7" s="5" t="n"/>
      <c r="G7" s="5" t="n"/>
    </row>
    <row r="9" ht="24" customHeight="1">
      <c r="B9" s="17" t="inlineStr">
        <is>
          <t>2️⃣ 1 CONTOH SOAL &amp; CONTOH JAWABAN BENAR (PELAJARI POLA RUMUS T.INV.2T DI SINI)</t>
        </is>
      </c>
    </row>
    <row r="10">
      <c r="B10" s="18" t="inlineStr">
        <is>
          <t>Nama Parameter</t>
        </is>
      </c>
      <c r="C10" s="18" t="inlineStr">
        <is>
          <t>Nilai Parameter</t>
        </is>
      </c>
      <c r="E10" s="18" t="inlineStr">
        <is>
          <t>✅ 1 CONTOH SOAL BESERTA CONTOH RUMUS &amp; HASIL JAWABAN BENAR:</t>
        </is>
      </c>
      <c r="F10" s="5" t="n"/>
      <c r="G10" s="5" t="n"/>
    </row>
    <row r="11" ht="28" customHeight="1">
      <c r="B11" s="19" t="inlineStr">
        <is>
          <t>Probabilitas (C11)</t>
        </is>
      </c>
      <c r="C11" s="19" t="n">
        <v>0.15</v>
      </c>
      <c r="E11" s="20" t="inlineStr">
        <is>
          <t>Contoh Soal:</t>
        </is>
      </c>
      <c r="F11" s="21" t="inlineStr">
        <is>
          <t>Hitung nilai invers distribusi menggunakan fungsi T.INV.2T dengan probabilitas di C11 dan derajat kebebasan di C12!</t>
        </is>
      </c>
      <c r="G11" s="5" t="n"/>
    </row>
    <row r="12">
      <c r="B12" s="19" t="inlineStr">
        <is>
          <t>Derajat Kebebasan (C12)</t>
        </is>
      </c>
      <c r="C12" s="19" t="n">
        <v>13</v>
      </c>
      <c r="E12" s="20" t="inlineStr">
        <is>
          <t>Contoh Rumus Benar:</t>
        </is>
      </c>
      <c r="F12" s="22" t="inlineStr">
        <is>
          <t>'=T.INV.2T(C11, C12)</t>
        </is>
      </c>
      <c r="G12" s="5" t="n"/>
    </row>
    <row r="13">
      <c r="B13" s="19" t="inlineStr">
        <is>
          <t>Cadangan 1</t>
        </is>
      </c>
      <c r="C13" s="19" t="n">
        <v>1</v>
      </c>
      <c r="E13" s="20" t="inlineStr">
        <is>
          <t>Contoh Hasil Benar:</t>
        </is>
      </c>
      <c r="F13" s="23">
        <f>T.INV.2T(C11, C12)</f>
        <v/>
      </c>
      <c r="G13" s="5" t="n"/>
    </row>
    <row r="14">
      <c r="B14" s="19" t="inlineStr">
        <is>
          <t>Cadangan 2</t>
        </is>
      </c>
      <c r="C14" s="19" t="n">
        <v>1</v>
      </c>
    </row>
    <row r="16" ht="26" customHeight="1">
      <c r="B16" s="24" t="inlineStr">
        <is>
          <t>3️⃣ 5 SOAL TES DUNIA NYATA — KERJAKAN DI KOTAK KUNING (TANPA KUNCI RUMUS / HASIL DI SINI!)</t>
        </is>
      </c>
    </row>
    <row r="17" ht="20" customHeight="1">
      <c r="B17" s="25" t="inlineStr">
        <is>
          <t>📌 Catatan Tes: Soal Tes #1 s/d #5 di bawah ini tidak menampilkan kunci rumus maupun hasil. Kunci jawaban lengkap tersedia di sheet paling terakhir (99_KUNCI_JAWABAN).</t>
        </is>
      </c>
    </row>
    <row r="19" ht="22" customHeight="1">
      <c r="B19" s="26" t="inlineStr">
        <is>
          <t>📝 SOAL TES #1: Kasus Keuangan &amp; Akuntansi Kantor</t>
        </is>
      </c>
    </row>
    <row r="20" ht="30" customHeight="1">
      <c r="B20" s="14" t="inlineStr">
        <is>
          <t>Nama Parameter</t>
        </is>
      </c>
      <c r="C20" s="14" t="inlineStr">
        <is>
          <t>Nilai Parameter</t>
        </is>
      </c>
      <c r="E20" s="27" t="inlineStr">
        <is>
          <t>Persoalan Tes #1: Hitung nilai invers distribusi menggunakan fungsi T.INV.2T dengan probabilitas di C21 dan derajat kebebasan di C22!</t>
        </is>
      </c>
    </row>
    <row r="21">
      <c r="B21" s="19" t="inlineStr">
        <is>
          <t>Probabilitas (C21)</t>
        </is>
      </c>
      <c r="C21" s="19" t="n">
        <v>0.05</v>
      </c>
      <c r="E21" s="14" t="inlineStr">
        <is>
          <t>✏️ KETIK RUMUS JAWABAN TES DI BAWAH:</t>
        </is>
      </c>
      <c r="F21" s="14" t="inlineStr">
        <is>
          <t>📌 STATUS KOREKSI JAWABAN TES:</t>
        </is>
      </c>
      <c r="G21" s="5" t="n"/>
    </row>
    <row r="22" ht="26" customHeight="1">
      <c r="B22" s="19" t="inlineStr">
        <is>
          <t>Derajat Kebebasan (C22)</t>
        </is>
      </c>
      <c r="C22" s="19" t="n">
        <v>8</v>
      </c>
      <c r="E22" s="28" t="n"/>
      <c r="F22" s="29">
        <f>IF(ISBLANK(E22), "⏳ Belum Diisi (Ketik Rumus di Sel Kuning E22)", IF(E22='99_KUNCI_JAWABAN'!F430, "✅ BENAR! JAWABAN TES TEPAT!", "❌ Belum Tepat (Cek Sheet Akhir: 99_KUNCI_JAWABAN)"))</f>
        <v/>
      </c>
      <c r="G22" s="5" t="n"/>
    </row>
    <row r="23">
      <c r="B23" s="19" t="inlineStr">
        <is>
          <t>Cadangan 1</t>
        </is>
      </c>
      <c r="C23" s="19" t="n">
        <v>1</v>
      </c>
    </row>
    <row r="24">
      <c r="B24" s="19" t="inlineStr">
        <is>
          <t>Cadangan 2</t>
        </is>
      </c>
      <c r="C24" s="19" t="n">
        <v>1</v>
      </c>
    </row>
    <row r="27" ht="22" customHeight="1">
      <c r="B27" s="26" t="inlineStr">
        <is>
          <t>📝 SOAL TES #2: Kasus HRD, Gaji &amp; Lembur Karyawan</t>
        </is>
      </c>
    </row>
    <row r="28" ht="30" customHeight="1">
      <c r="B28" s="14" t="inlineStr">
        <is>
          <t>Nama Parameter</t>
        </is>
      </c>
      <c r="C28" s="14" t="inlineStr">
        <is>
          <t>Nilai Parameter</t>
        </is>
      </c>
      <c r="E28" s="27" t="inlineStr">
        <is>
          <t>Persoalan Tes #2: Hitung nilai invers distribusi menggunakan fungsi T.INV.2T dengan probabilitas di C29 dan derajat kebebasan di C30!</t>
        </is>
      </c>
    </row>
    <row r="29">
      <c r="B29" s="19" t="inlineStr">
        <is>
          <t>Probabilitas (C29)</t>
        </is>
      </c>
      <c r="C29" s="19" t="n">
        <v>0.07000000000000001</v>
      </c>
      <c r="E29" s="14" t="inlineStr">
        <is>
          <t>✏️ KETIK RUMUS JAWABAN TES DI BAWAH:</t>
        </is>
      </c>
      <c r="F29" s="14" t="inlineStr">
        <is>
          <t>📌 STATUS KOREKSI JAWABAN TES:</t>
        </is>
      </c>
      <c r="G29" s="5" t="n"/>
    </row>
    <row r="30" ht="26" customHeight="1">
      <c r="B30" s="19" t="inlineStr">
        <is>
          <t>Derajat Kebebasan (C30)</t>
        </is>
      </c>
      <c r="C30" s="19" t="n">
        <v>9</v>
      </c>
      <c r="E30" s="28" t="n"/>
      <c r="F30" s="29">
        <f>IF(ISBLANK(E30), "⏳ Belum Diisi (Ketik Rumus di Sel Kuning E30)", IF(E30='99_KUNCI_JAWABAN'!F431, "✅ BENAR! JAWABAN TES TEPAT!", "❌ Belum Tepat (Cek Sheet Akhir: 99_KUNCI_JAWABAN)"))</f>
        <v/>
      </c>
      <c r="G30" s="5" t="n"/>
    </row>
    <row r="31">
      <c r="B31" s="19" t="inlineStr">
        <is>
          <t>Cadangan 1</t>
        </is>
      </c>
      <c r="C31" s="19" t="n">
        <v>1</v>
      </c>
    </row>
    <row r="32">
      <c r="B32" s="19" t="inlineStr">
        <is>
          <t>Cadangan 2</t>
        </is>
      </c>
      <c r="C32" s="19" t="n">
        <v>1</v>
      </c>
    </row>
    <row r="35" ht="22" customHeight="1">
      <c r="B35" s="26" t="inlineStr">
        <is>
          <t>📝 SOAL TES #3: Kasus Logistik &amp; Stok Gudang Utama</t>
        </is>
      </c>
    </row>
    <row r="36" ht="30" customHeight="1">
      <c r="B36" s="14" t="inlineStr">
        <is>
          <t>Nama Parameter</t>
        </is>
      </c>
      <c r="C36" s="14" t="inlineStr">
        <is>
          <t>Nilai Parameter</t>
        </is>
      </c>
      <c r="E36" s="27" t="inlineStr">
        <is>
          <t>Persoalan Tes #3: Hitung nilai invers distribusi menggunakan fungsi T.INV.2T dengan probabilitas di C37 dan derajat kebebasan di C38!</t>
        </is>
      </c>
    </row>
    <row r="37">
      <c r="B37" s="19" t="inlineStr">
        <is>
          <t>Probabilitas (C37)</t>
        </is>
      </c>
      <c r="C37" s="19" t="n">
        <v>0.09</v>
      </c>
      <c r="E37" s="14" t="inlineStr">
        <is>
          <t>✏️ KETIK RUMUS JAWABAN TES DI BAWAH:</t>
        </is>
      </c>
      <c r="F37" s="14" t="inlineStr">
        <is>
          <t>📌 STATUS KOREKSI JAWABAN TES:</t>
        </is>
      </c>
      <c r="G37" s="5" t="n"/>
    </row>
    <row r="38" ht="26" customHeight="1">
      <c r="B38" s="19" t="inlineStr">
        <is>
          <t>Derajat Kebebasan (C38)</t>
        </is>
      </c>
      <c r="C38" s="19" t="n">
        <v>10</v>
      </c>
      <c r="E38" s="28" t="n"/>
      <c r="F38" s="29">
        <f>IF(ISBLANK(E38), "⏳ Belum Diisi (Ketik Rumus di Sel Kuning E38)", IF(E38='99_KUNCI_JAWABAN'!F432, "✅ BENAR! JAWABAN TES TEPAT!", "❌ Belum Tepat (Cek Sheet Akhir: 99_KUNCI_JAWABAN)"))</f>
        <v/>
      </c>
      <c r="G38" s="5" t="n"/>
    </row>
    <row r="39">
      <c r="B39" s="19" t="inlineStr">
        <is>
          <t>Cadangan 1</t>
        </is>
      </c>
      <c r="C39" s="19" t="n">
        <v>1</v>
      </c>
    </row>
    <row r="40">
      <c r="B40" s="19" t="inlineStr">
        <is>
          <t>Cadangan 2</t>
        </is>
      </c>
      <c r="C40" s="19" t="n">
        <v>1</v>
      </c>
    </row>
    <row r="43" ht="22" customHeight="1">
      <c r="B43" s="26" t="inlineStr">
        <is>
          <t>📝 SOAL TES #4: Kasus Penjualan Retail &amp; Target Toko</t>
        </is>
      </c>
    </row>
    <row r="44" ht="30" customHeight="1">
      <c r="B44" s="14" t="inlineStr">
        <is>
          <t>Nama Parameter</t>
        </is>
      </c>
      <c r="C44" s="14" t="inlineStr">
        <is>
          <t>Nilai Parameter</t>
        </is>
      </c>
      <c r="E44" s="27" t="inlineStr">
        <is>
          <t>Persoalan Tes #4: Hitung nilai invers distribusi menggunakan fungsi T.INV.2T dengan probabilitas di C45 dan derajat kebebasan di C46!</t>
        </is>
      </c>
    </row>
    <row r="45">
      <c r="B45" s="19" t="inlineStr">
        <is>
          <t>Probabilitas (C45)</t>
        </is>
      </c>
      <c r="C45" s="19" t="n">
        <v>0.11</v>
      </c>
      <c r="E45" s="14" t="inlineStr">
        <is>
          <t>✏️ KETIK RUMUS JAWABAN TES DI BAWAH:</t>
        </is>
      </c>
      <c r="F45" s="14" t="inlineStr">
        <is>
          <t>📌 STATUS KOREKSI JAWABAN TES:</t>
        </is>
      </c>
      <c r="G45" s="5" t="n"/>
    </row>
    <row r="46" ht="26" customHeight="1">
      <c r="B46" s="19" t="inlineStr">
        <is>
          <t>Derajat Kebebasan (C46)</t>
        </is>
      </c>
      <c r="C46" s="19" t="n">
        <v>11</v>
      </c>
      <c r="E46" s="28" t="n"/>
      <c r="F46" s="29">
        <f>IF(ISBLANK(E46), "⏳ Belum Diisi (Ketik Rumus di Sel Kuning E46)", IF(E46='99_KUNCI_JAWABAN'!F433, "✅ BENAR! JAWABAN TES TEPAT!", "❌ Belum Tepat (Cek Sheet Akhir: 99_KUNCI_JAWABAN)"))</f>
        <v/>
      </c>
      <c r="G46" s="5" t="n"/>
    </row>
    <row r="47">
      <c r="B47" s="19" t="inlineStr">
        <is>
          <t>Cadangan 1</t>
        </is>
      </c>
      <c r="C47" s="19" t="n">
        <v>1</v>
      </c>
    </row>
    <row r="48">
      <c r="B48" s="19" t="inlineStr">
        <is>
          <t>Cadangan 2</t>
        </is>
      </c>
      <c r="C48" s="19" t="n">
        <v>1</v>
      </c>
    </row>
    <row r="51" ht="22" customHeight="1">
      <c r="B51" s="26" t="inlineStr">
        <is>
          <t>📝 SOAL TES #5: Kasus Akademik Sekolah &amp; Layanan Publik</t>
        </is>
      </c>
    </row>
    <row r="52" ht="30" customHeight="1">
      <c r="B52" s="14" t="inlineStr">
        <is>
          <t>Nama Parameter</t>
        </is>
      </c>
      <c r="C52" s="14" t="inlineStr">
        <is>
          <t>Nilai Parameter</t>
        </is>
      </c>
      <c r="E52" s="27" t="inlineStr">
        <is>
          <t>Persoalan Tes #5: Hitung nilai invers distribusi menggunakan fungsi T.INV.2T dengan probabilitas di C53 dan derajat kebebasan di C54!</t>
        </is>
      </c>
    </row>
    <row r="53">
      <c r="B53" s="19" t="inlineStr">
        <is>
          <t>Probabilitas (C53)</t>
        </is>
      </c>
      <c r="C53" s="19" t="n">
        <v>0.13</v>
      </c>
      <c r="E53" s="14" t="inlineStr">
        <is>
          <t>✏️ KETIK RUMUS JAWABAN TES DI BAWAH:</t>
        </is>
      </c>
      <c r="F53" s="14" t="inlineStr">
        <is>
          <t>📌 STATUS KOREKSI JAWABAN TES:</t>
        </is>
      </c>
      <c r="G53" s="5" t="n"/>
    </row>
    <row r="54" ht="26" customHeight="1">
      <c r="B54" s="19" t="inlineStr">
        <is>
          <t>Derajat Kebebasan (C54)</t>
        </is>
      </c>
      <c r="C54" s="19" t="n">
        <v>12</v>
      </c>
      <c r="E54" s="28" t="n"/>
      <c r="F54" s="29">
        <f>IF(ISBLANK(E54), "⏳ Belum Diisi (Ketik Rumus di Sel Kuning E54)", IF(E54='99_KUNCI_JAWABAN'!F434, "✅ BENAR! JAWABAN TES TEPAT!", "❌ Belum Tepat (Cek Sheet Akhir: 99_KUNCI_JAWABAN)"))</f>
        <v/>
      </c>
      <c r="G54" s="5" t="n"/>
    </row>
    <row r="55">
      <c r="B55" s="19" t="inlineStr">
        <is>
          <t>Cadangan 1</t>
        </is>
      </c>
      <c r="C55" s="19" t="n">
        <v>1</v>
      </c>
    </row>
    <row r="56">
      <c r="B56" s="19" t="inlineStr">
        <is>
          <t>Cadangan 2</t>
        </is>
      </c>
      <c r="C56" s="19" t="n">
        <v>1</v>
      </c>
    </row>
  </sheetData>
  <mergeCells count="33">
    <mergeCell ref="E10:G10"/>
    <mergeCell ref="F11:G11"/>
    <mergeCell ref="E28:G28"/>
    <mergeCell ref="F29:G29"/>
    <mergeCell ref="C6:G6"/>
    <mergeCell ref="F54:G54"/>
    <mergeCell ref="B17:G17"/>
    <mergeCell ref="B1:G1"/>
    <mergeCell ref="C5:G5"/>
    <mergeCell ref="B19:G19"/>
    <mergeCell ref="F21:G21"/>
    <mergeCell ref="F12:G12"/>
    <mergeCell ref="F30:G30"/>
    <mergeCell ref="E36:G36"/>
    <mergeCell ref="B9:G9"/>
    <mergeCell ref="F45:G45"/>
    <mergeCell ref="B51:G51"/>
    <mergeCell ref="F38:G38"/>
    <mergeCell ref="B35:G35"/>
    <mergeCell ref="B4:G4"/>
    <mergeCell ref="F46:G46"/>
    <mergeCell ref="F22:G22"/>
    <mergeCell ref="B2:E2"/>
    <mergeCell ref="F13:G13"/>
    <mergeCell ref="B16:G16"/>
    <mergeCell ref="F37:G37"/>
    <mergeCell ref="C7:G7"/>
    <mergeCell ref="E52:G52"/>
    <mergeCell ref="B27:G27"/>
    <mergeCell ref="B43:G43"/>
    <mergeCell ref="E44:G44"/>
    <mergeCell ref="E20:G20"/>
    <mergeCell ref="F53:G53"/>
  </mergeCells>
  <hyperlinks>
    <hyperlink xmlns:r="http://schemas.openxmlformats.org/officeDocument/2006/relationships" ref="F2" r:id="rId1"/>
    <hyperlink xmlns:r="http://schemas.openxmlformats.org/officeDocument/2006/relationships" ref="G2" r:id="rId2"/>
  </hyperlinks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B1:G56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22" customWidth="1" min="3" max="3"/>
    <col width="4" customWidth="1" min="4" max="4"/>
    <col width="34" customWidth="1" min="5" max="5"/>
    <col width="44" customWidth="1" min="6" max="6"/>
    <col width="28" customWidth="1" min="7" max="7"/>
  </cols>
  <sheetData>
    <row r="1" ht="30" customHeight="1">
      <c r="B1" s="10" t="inlineStr">
        <is>
          <t>📊 #087 — RUMUS EXCEL: TREND   |   Kategori: 8. Statistik &amp; Analisis Data</t>
        </is>
      </c>
    </row>
    <row r="2" ht="22" customHeight="1">
      <c r="B2" s="11" t="inlineStr">
        <is>
          <t>1 Rumus = 1 Contoh Soal + Jawaban Benar &amp; 5 Soal Tes Mandiri (Kunci Jawaban Ada di Sheet Paling Terakhir)</t>
        </is>
      </c>
      <c r="F2" s="12" t="inlineStr">
        <is>
          <t>⬅️ Ke Daftar Isi (00_DAFTAR_ISI)</t>
        </is>
      </c>
      <c r="G2" s="3" t="inlineStr">
        <is>
          <t>🔑 Ke Kunci Jawaban (Sheet Akhir)</t>
        </is>
      </c>
    </row>
    <row r="4" ht="24" customHeight="1">
      <c r="B4" s="13" t="inlineStr">
        <is>
          <t>1️⃣ IDENTITAS RUMUS &amp; FUNGSINYA BUAT APA? (TREND)</t>
        </is>
      </c>
    </row>
    <row r="5" ht="21" customHeight="1">
      <c r="B5" s="14" t="inlineStr">
        <is>
          <t>Nama Rumus Excel</t>
        </is>
      </c>
      <c r="C5" s="15">
        <f>TREND(...)</f>
        <v/>
      </c>
      <c r="D5" s="5" t="n"/>
      <c r="E5" s="5" t="n"/>
      <c r="F5" s="5" t="n"/>
      <c r="G5" s="5" t="n"/>
    </row>
    <row r="6" ht="21" customHeight="1">
      <c r="B6" s="14" t="inlineStr">
        <is>
          <t>Sintaks / Pola Umum</t>
        </is>
      </c>
      <c r="C6" s="15">
        <f>TREND(range_y, range_x, target_x)</f>
        <v/>
      </c>
      <c r="D6" s="5" t="n"/>
      <c r="E6" s="5" t="n"/>
      <c r="F6" s="5" t="n"/>
      <c r="G6" s="5" t="n"/>
    </row>
    <row r="7" ht="26" customHeight="1">
      <c r="B7" s="14" t="inlineStr">
        <is>
          <t>👶 Fungsinya Buat Apa?</t>
        </is>
      </c>
      <c r="C7" s="16" t="inlineStr">
        <is>
          <t>Menghitung nilai tren linear berdasarkan metode kuadrat terkecil.</t>
        </is>
      </c>
      <c r="D7" s="5" t="n"/>
      <c r="E7" s="5" t="n"/>
      <c r="F7" s="5" t="n"/>
      <c r="G7" s="5" t="n"/>
    </row>
    <row r="9" ht="24" customHeight="1">
      <c r="B9" s="17" t="inlineStr">
        <is>
          <t>2️⃣ 1 CONTOH SOAL &amp; CONTOH JAWABAN BENAR (PELAJARI POLA RUMUS TREND DI SINI)</t>
        </is>
      </c>
    </row>
    <row r="10">
      <c r="B10" s="18" t="inlineStr">
        <is>
          <t>Periode (X)</t>
        </is>
      </c>
      <c r="C10" s="18" t="inlineStr">
        <is>
          <t>Realisasi (Y)</t>
        </is>
      </c>
      <c r="E10" s="18" t="inlineStr">
        <is>
          <t>✅ 1 CONTOH SOAL BESERTA CONTOH RUMUS &amp; HASIL JAWABAN BENAR:</t>
        </is>
      </c>
      <c r="F10" s="5" t="n"/>
      <c r="G10" s="5" t="n"/>
    </row>
    <row r="11" ht="28" customHeight="1">
      <c r="B11" s="19" t="n">
        <v>1</v>
      </c>
      <c r="C11" s="19" t="n">
        <v>600</v>
      </c>
      <c r="E11" s="20" t="inlineStr">
        <is>
          <t>Contoh Soal:</t>
        </is>
      </c>
      <c r="F11" s="21" t="inlineStr">
        <is>
          <t>Prediksi nilai periode ke-5 berdasarkan deret hasil Y (C11:C14) dan periode X (B11:B14) menggunakan fungsi TREND!</t>
        </is>
      </c>
      <c r="G11" s="5" t="n"/>
    </row>
    <row r="12">
      <c r="B12" s="19" t="n">
        <v>2</v>
      </c>
      <c r="C12" s="19" t="n">
        <v>720</v>
      </c>
      <c r="E12" s="20" t="inlineStr">
        <is>
          <t>Contoh Rumus Benar:</t>
        </is>
      </c>
      <c r="F12" s="22" t="inlineStr">
        <is>
          <t>'=TREND(C11:C14, B11:B14, 5)</t>
        </is>
      </c>
      <c r="G12" s="5" t="n"/>
    </row>
    <row r="13">
      <c r="B13" s="19" t="n">
        <v>3</v>
      </c>
      <c r="C13" s="19" t="n">
        <v>870</v>
      </c>
      <c r="E13" s="20" t="inlineStr">
        <is>
          <t>Contoh Hasil Benar:</t>
        </is>
      </c>
      <c r="F13" s="23">
        <f>TREND(C11:C14, B11:B14, 5)</f>
        <v/>
      </c>
      <c r="G13" s="5" t="n"/>
    </row>
    <row r="14">
      <c r="B14" s="19" t="n">
        <v>4</v>
      </c>
      <c r="C14" s="19" t="n">
        <v>1050</v>
      </c>
    </row>
    <row r="16" ht="26" customHeight="1">
      <c r="B16" s="24" t="inlineStr">
        <is>
          <t>3️⃣ 5 SOAL TES DUNIA NYATA — KERJAKAN DI KOTAK KUNING (TANPA KUNCI RUMUS / HASIL DI SINI!)</t>
        </is>
      </c>
    </row>
    <row r="17" ht="20" customHeight="1">
      <c r="B17" s="25" t="inlineStr">
        <is>
          <t>📌 Catatan Tes: Soal Tes #1 s/d #5 di bawah ini tidak menampilkan kunci rumus maupun hasil. Kunci jawaban lengkap tersedia di sheet paling terakhir (99_KUNCI_JAWABAN).</t>
        </is>
      </c>
    </row>
    <row r="19" ht="22" customHeight="1">
      <c r="B19" s="26" t="inlineStr">
        <is>
          <t>📝 SOAL TES #1: Kasus Keuangan &amp; Akuntansi Kantor</t>
        </is>
      </c>
    </row>
    <row r="20" ht="30" customHeight="1">
      <c r="B20" s="14" t="inlineStr">
        <is>
          <t>Periode (X)</t>
        </is>
      </c>
      <c r="C20" s="14" t="inlineStr">
        <is>
          <t>Realisasi (Y)</t>
        </is>
      </c>
      <c r="E20" s="27" t="inlineStr">
        <is>
          <t>Persoalan Tes #1: Prediksi nilai periode ke-5 berdasarkan deret hasil Y (C21:C24) dan periode X (B21:B24) menggunakan fungsi TREND!</t>
        </is>
      </c>
    </row>
    <row r="21">
      <c r="B21" s="19" t="n">
        <v>1</v>
      </c>
      <c r="C21" s="19" t="n">
        <v>100</v>
      </c>
      <c r="E21" s="14" t="inlineStr">
        <is>
          <t>✏️ KETIK RUMUS JAWABAN TES DI BAWAH:</t>
        </is>
      </c>
      <c r="F21" s="14" t="inlineStr">
        <is>
          <t>📌 STATUS KOREKSI JAWABAN TES:</t>
        </is>
      </c>
      <c r="G21" s="5" t="n"/>
    </row>
    <row r="22" ht="26" customHeight="1">
      <c r="B22" s="19" t="n">
        <v>2</v>
      </c>
      <c r="C22" s="19" t="n">
        <v>120</v>
      </c>
      <c r="E22" s="28" t="n"/>
      <c r="F22" s="29">
        <f>IF(ISBLANK(E22), "⏳ Belum Diisi (Ketik Rumus di Sel Kuning E22)", IF(E22='99_KUNCI_JAWABAN'!F435, "✅ BENAR! JAWABAN TES TEPAT!", "❌ Belum Tepat (Cek Sheet Akhir: 99_KUNCI_JAWABAN)"))</f>
        <v/>
      </c>
      <c r="G22" s="5" t="n"/>
    </row>
    <row r="23">
      <c r="B23" s="19" t="n">
        <v>3</v>
      </c>
      <c r="C23" s="19" t="n">
        <v>145</v>
      </c>
    </row>
    <row r="24">
      <c r="B24" s="19" t="n">
        <v>4</v>
      </c>
      <c r="C24" s="19" t="n">
        <v>175</v>
      </c>
    </row>
    <row r="27" ht="22" customHeight="1">
      <c r="B27" s="26" t="inlineStr">
        <is>
          <t>📝 SOAL TES #2: Kasus HRD, Gaji &amp; Lembur Karyawan</t>
        </is>
      </c>
    </row>
    <row r="28" ht="30" customHeight="1">
      <c r="B28" s="14" t="inlineStr">
        <is>
          <t>Periode (X)</t>
        </is>
      </c>
      <c r="C28" s="14" t="inlineStr">
        <is>
          <t>Realisasi (Y)</t>
        </is>
      </c>
      <c r="E28" s="27" t="inlineStr">
        <is>
          <t>Persoalan Tes #2: Prediksi nilai periode ke-5 berdasarkan deret hasil Y (C29:C32) dan periode X (B29:B32) menggunakan fungsi TREND!</t>
        </is>
      </c>
    </row>
    <row r="29">
      <c r="B29" s="19" t="n">
        <v>1</v>
      </c>
      <c r="C29" s="19" t="n">
        <v>200</v>
      </c>
      <c r="E29" s="14" t="inlineStr">
        <is>
          <t>✏️ KETIK RUMUS JAWABAN TES DI BAWAH:</t>
        </is>
      </c>
      <c r="F29" s="14" t="inlineStr">
        <is>
          <t>📌 STATUS KOREKSI JAWABAN TES:</t>
        </is>
      </c>
      <c r="G29" s="5" t="n"/>
    </row>
    <row r="30" ht="26" customHeight="1">
      <c r="B30" s="19" t="n">
        <v>2</v>
      </c>
      <c r="C30" s="19" t="n">
        <v>240</v>
      </c>
      <c r="E30" s="28" t="n"/>
      <c r="F30" s="29">
        <f>IF(ISBLANK(E30), "⏳ Belum Diisi (Ketik Rumus di Sel Kuning E30)", IF(E30='99_KUNCI_JAWABAN'!F436, "✅ BENAR! JAWABAN TES TEPAT!", "❌ Belum Tepat (Cek Sheet Akhir: 99_KUNCI_JAWABAN)"))</f>
        <v/>
      </c>
      <c r="G30" s="5" t="n"/>
    </row>
    <row r="31">
      <c r="B31" s="19" t="n">
        <v>3</v>
      </c>
      <c r="C31" s="19" t="n">
        <v>290</v>
      </c>
    </row>
    <row r="32">
      <c r="B32" s="19" t="n">
        <v>4</v>
      </c>
      <c r="C32" s="19" t="n">
        <v>350</v>
      </c>
    </row>
    <row r="35" ht="22" customHeight="1">
      <c r="B35" s="26" t="inlineStr">
        <is>
          <t>📝 SOAL TES #3: Kasus Logistik &amp; Stok Gudang Utama</t>
        </is>
      </c>
    </row>
    <row r="36" ht="30" customHeight="1">
      <c r="B36" s="14" t="inlineStr">
        <is>
          <t>Periode (X)</t>
        </is>
      </c>
      <c r="C36" s="14" t="inlineStr">
        <is>
          <t>Realisasi (Y)</t>
        </is>
      </c>
      <c r="E36" s="27" t="inlineStr">
        <is>
          <t>Persoalan Tes #3: Prediksi nilai periode ke-5 berdasarkan deret hasil Y (C37:C40) dan periode X (B37:B40) menggunakan fungsi TREND!</t>
        </is>
      </c>
    </row>
    <row r="37">
      <c r="B37" s="19" t="n">
        <v>1</v>
      </c>
      <c r="C37" s="19" t="n">
        <v>300</v>
      </c>
      <c r="E37" s="14" t="inlineStr">
        <is>
          <t>✏️ KETIK RUMUS JAWABAN TES DI BAWAH:</t>
        </is>
      </c>
      <c r="F37" s="14" t="inlineStr">
        <is>
          <t>📌 STATUS KOREKSI JAWABAN TES:</t>
        </is>
      </c>
      <c r="G37" s="5" t="n"/>
    </row>
    <row r="38" ht="26" customHeight="1">
      <c r="B38" s="19" t="n">
        <v>2</v>
      </c>
      <c r="C38" s="19" t="n">
        <v>360</v>
      </c>
      <c r="E38" s="28" t="n"/>
      <c r="F38" s="29">
        <f>IF(ISBLANK(E38), "⏳ Belum Diisi (Ketik Rumus di Sel Kuning E38)", IF(E38='99_KUNCI_JAWABAN'!F437, "✅ BENAR! JAWABAN TES TEPAT!", "❌ Belum Tepat (Cek Sheet Akhir: 99_KUNCI_JAWABAN)"))</f>
        <v/>
      </c>
      <c r="G38" s="5" t="n"/>
    </row>
    <row r="39">
      <c r="B39" s="19" t="n">
        <v>3</v>
      </c>
      <c r="C39" s="19" t="n">
        <v>435</v>
      </c>
    </row>
    <row r="40">
      <c r="B40" s="19" t="n">
        <v>4</v>
      </c>
      <c r="C40" s="19" t="n">
        <v>525</v>
      </c>
    </row>
    <row r="43" ht="22" customHeight="1">
      <c r="B43" s="26" t="inlineStr">
        <is>
          <t>📝 SOAL TES #4: Kasus Penjualan Retail &amp; Target Toko</t>
        </is>
      </c>
    </row>
    <row r="44" ht="30" customHeight="1">
      <c r="B44" s="14" t="inlineStr">
        <is>
          <t>Periode (X)</t>
        </is>
      </c>
      <c r="C44" s="14" t="inlineStr">
        <is>
          <t>Realisasi (Y)</t>
        </is>
      </c>
      <c r="E44" s="27" t="inlineStr">
        <is>
          <t>Persoalan Tes #4: Prediksi nilai periode ke-5 berdasarkan deret hasil Y (C45:C48) dan periode X (B45:B48) menggunakan fungsi TREND!</t>
        </is>
      </c>
    </row>
    <row r="45">
      <c r="B45" s="19" t="n">
        <v>1</v>
      </c>
      <c r="C45" s="19" t="n">
        <v>400</v>
      </c>
      <c r="E45" s="14" t="inlineStr">
        <is>
          <t>✏️ KETIK RUMUS JAWABAN TES DI BAWAH:</t>
        </is>
      </c>
      <c r="F45" s="14" t="inlineStr">
        <is>
          <t>📌 STATUS KOREKSI JAWABAN TES:</t>
        </is>
      </c>
      <c r="G45" s="5" t="n"/>
    </row>
    <row r="46" ht="26" customHeight="1">
      <c r="B46" s="19" t="n">
        <v>2</v>
      </c>
      <c r="C46" s="19" t="n">
        <v>480</v>
      </c>
      <c r="E46" s="28" t="n"/>
      <c r="F46" s="29">
        <f>IF(ISBLANK(E46), "⏳ Belum Diisi (Ketik Rumus di Sel Kuning E46)", IF(E46='99_KUNCI_JAWABAN'!F438, "✅ BENAR! JAWABAN TES TEPAT!", "❌ Belum Tepat (Cek Sheet Akhir: 99_KUNCI_JAWABAN)"))</f>
        <v/>
      </c>
      <c r="G46" s="5" t="n"/>
    </row>
    <row r="47">
      <c r="B47" s="19" t="n">
        <v>3</v>
      </c>
      <c r="C47" s="19" t="n">
        <v>580</v>
      </c>
    </row>
    <row r="48">
      <c r="B48" s="19" t="n">
        <v>4</v>
      </c>
      <c r="C48" s="19" t="n">
        <v>700</v>
      </c>
    </row>
    <row r="51" ht="22" customHeight="1">
      <c r="B51" s="26" t="inlineStr">
        <is>
          <t>📝 SOAL TES #5: Kasus Akademik Sekolah &amp; Layanan Publik</t>
        </is>
      </c>
    </row>
    <row r="52" ht="30" customHeight="1">
      <c r="B52" s="14" t="inlineStr">
        <is>
          <t>Periode (X)</t>
        </is>
      </c>
      <c r="C52" s="14" t="inlineStr">
        <is>
          <t>Realisasi (Y)</t>
        </is>
      </c>
      <c r="E52" s="27" t="inlineStr">
        <is>
          <t>Persoalan Tes #5: Prediksi nilai periode ke-5 berdasarkan deret hasil Y (C53:C56) dan periode X (B53:B56) menggunakan fungsi TREND!</t>
        </is>
      </c>
    </row>
    <row r="53">
      <c r="B53" s="19" t="n">
        <v>1</v>
      </c>
      <c r="C53" s="19" t="n">
        <v>500</v>
      </c>
      <c r="E53" s="14" t="inlineStr">
        <is>
          <t>✏️ KETIK RUMUS JAWABAN TES DI BAWAH:</t>
        </is>
      </c>
      <c r="F53" s="14" t="inlineStr">
        <is>
          <t>📌 STATUS KOREKSI JAWABAN TES:</t>
        </is>
      </c>
      <c r="G53" s="5" t="n"/>
    </row>
    <row r="54" ht="26" customHeight="1">
      <c r="B54" s="19" t="n">
        <v>2</v>
      </c>
      <c r="C54" s="19" t="n">
        <v>600</v>
      </c>
      <c r="E54" s="28" t="n"/>
      <c r="F54" s="29">
        <f>IF(ISBLANK(E54), "⏳ Belum Diisi (Ketik Rumus di Sel Kuning E54)", IF(E54='99_KUNCI_JAWABAN'!F439, "✅ BENAR! JAWABAN TES TEPAT!", "❌ Belum Tepat (Cek Sheet Akhir: 99_KUNCI_JAWABAN)"))</f>
        <v/>
      </c>
      <c r="G54" s="5" t="n"/>
    </row>
    <row r="55">
      <c r="B55" s="19" t="n">
        <v>3</v>
      </c>
      <c r="C55" s="19" t="n">
        <v>725</v>
      </c>
    </row>
    <row r="56">
      <c r="B56" s="19" t="n">
        <v>4</v>
      </c>
      <c r="C56" s="19" t="n">
        <v>875</v>
      </c>
    </row>
  </sheetData>
  <mergeCells count="33">
    <mergeCell ref="E10:G10"/>
    <mergeCell ref="F11:G11"/>
    <mergeCell ref="E28:G28"/>
    <mergeCell ref="F29:G29"/>
    <mergeCell ref="C6:G6"/>
    <mergeCell ref="F54:G54"/>
    <mergeCell ref="B17:G17"/>
    <mergeCell ref="B1:G1"/>
    <mergeCell ref="C5:G5"/>
    <mergeCell ref="B19:G19"/>
    <mergeCell ref="F21:G21"/>
    <mergeCell ref="F12:G12"/>
    <mergeCell ref="F30:G30"/>
    <mergeCell ref="E36:G36"/>
    <mergeCell ref="B9:G9"/>
    <mergeCell ref="F45:G45"/>
    <mergeCell ref="B51:G51"/>
    <mergeCell ref="F38:G38"/>
    <mergeCell ref="B35:G35"/>
    <mergeCell ref="B4:G4"/>
    <mergeCell ref="F46:G46"/>
    <mergeCell ref="F22:G22"/>
    <mergeCell ref="B2:E2"/>
    <mergeCell ref="F13:G13"/>
    <mergeCell ref="B16:G16"/>
    <mergeCell ref="F37:G37"/>
    <mergeCell ref="C7:G7"/>
    <mergeCell ref="E52:G52"/>
    <mergeCell ref="B27:G27"/>
    <mergeCell ref="B43:G43"/>
    <mergeCell ref="E44:G44"/>
    <mergeCell ref="E20:G20"/>
    <mergeCell ref="F53:G53"/>
  </mergeCells>
  <hyperlinks>
    <hyperlink xmlns:r="http://schemas.openxmlformats.org/officeDocument/2006/relationships" ref="F2" r:id="rId1"/>
    <hyperlink xmlns:r="http://schemas.openxmlformats.org/officeDocument/2006/relationships" ref="G2" r:id="rId2"/>
  </hyperlinks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B1:G56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22" customWidth="1" min="3" max="3"/>
    <col width="4" customWidth="1" min="4" max="4"/>
    <col width="34" customWidth="1" min="5" max="5"/>
    <col width="44" customWidth="1" min="6" max="6"/>
    <col width="28" customWidth="1" min="7" max="7"/>
  </cols>
  <sheetData>
    <row r="1" ht="30" customHeight="1">
      <c r="B1" s="10" t="inlineStr">
        <is>
          <t>📊 #088 — RUMUS EXCEL: T.TEST   |   Kategori: 8. Statistik &amp; Analisis Data</t>
        </is>
      </c>
    </row>
    <row r="2" ht="22" customHeight="1">
      <c r="B2" s="11" t="inlineStr">
        <is>
          <t>1 Rumus = 1 Contoh Soal + Jawaban Benar &amp; 5 Soal Tes Mandiri (Kunci Jawaban Ada di Sheet Paling Terakhir)</t>
        </is>
      </c>
      <c r="F2" s="12" t="inlineStr">
        <is>
          <t>⬅️ Ke Daftar Isi (00_DAFTAR_ISI)</t>
        </is>
      </c>
      <c r="G2" s="3" t="inlineStr">
        <is>
          <t>🔑 Ke Kunci Jawaban (Sheet Akhir)</t>
        </is>
      </c>
    </row>
    <row r="4" ht="24" customHeight="1">
      <c r="B4" s="13" t="inlineStr">
        <is>
          <t>1️⃣ IDENTITAS RUMUS &amp; FUNGSINYA BUAT APA? (T.TEST)</t>
        </is>
      </c>
    </row>
    <row r="5" ht="21" customHeight="1">
      <c r="B5" s="14" t="inlineStr">
        <is>
          <t>Nama Rumus Excel</t>
        </is>
      </c>
      <c r="C5" s="15">
        <f>T.TEST(...)</f>
        <v/>
      </c>
      <c r="D5" s="5" t="n"/>
      <c r="E5" s="5" t="n"/>
      <c r="F5" s="5" t="n"/>
      <c r="G5" s="5" t="n"/>
    </row>
    <row r="6" ht="21" customHeight="1">
      <c r="B6" s="14" t="inlineStr">
        <is>
          <t>Sintaks / Pola Umum</t>
        </is>
      </c>
      <c r="C6" s="15">
        <f>T.TEST(array1, array2, tails, type)</f>
        <v/>
      </c>
      <c r="D6" s="5" t="n"/>
      <c r="E6" s="5" t="n"/>
      <c r="F6" s="5" t="n"/>
      <c r="G6" s="5" t="n"/>
    </row>
    <row r="7" ht="26" customHeight="1">
      <c r="B7" s="14" t="inlineStr">
        <is>
          <t>👶 Fungsinya Buat Apa?</t>
        </is>
      </c>
      <c r="C7" s="16" t="inlineStr">
        <is>
          <t>Menghitung peluang yang terkait dengan uji-t Student (Student's t-Test).</t>
        </is>
      </c>
      <c r="D7" s="5" t="n"/>
      <c r="E7" s="5" t="n"/>
      <c r="F7" s="5" t="n"/>
      <c r="G7" s="5" t="n"/>
    </row>
    <row r="9" ht="24" customHeight="1">
      <c r="B9" s="17" t="inlineStr">
        <is>
          <t>2️⃣ 1 CONTOH SOAL &amp; CONTOH JAWABAN BENAR (PELAJARI POLA RUMUS T.TEST DI SINI)</t>
        </is>
      </c>
    </row>
    <row r="10">
      <c r="B10" s="18" t="inlineStr">
        <is>
          <t>Kelompok Sebelum (B)</t>
        </is>
      </c>
      <c r="C10" s="18" t="inlineStr">
        <is>
          <t>Kelompok Sesudah (C)</t>
        </is>
      </c>
      <c r="E10" s="18" t="inlineStr">
        <is>
          <t>✅ 1 CONTOH SOAL BESERTA CONTOH RUMUS &amp; HASIL JAWABAN BENAR:</t>
        </is>
      </c>
      <c r="F10" s="5" t="n"/>
      <c r="G10" s="5" t="n"/>
    </row>
    <row r="11" ht="28" customHeight="1">
      <c r="B11" s="19" t="n">
        <v>80</v>
      </c>
      <c r="C11" s="19" t="n">
        <v>75</v>
      </c>
      <c r="E11" s="20" t="inlineStr">
        <is>
          <t>Contoh Soal:</t>
        </is>
      </c>
      <c r="F11" s="21" t="inlineStr">
        <is>
          <t>Hitung uji-t berpasangan (tails = 2, type = 1) antara Kelompok 1 (B11:B14) dan Kelompok 2 (C11:C14) menggunakan fungsi T.TEST!</t>
        </is>
      </c>
      <c r="G11" s="5" t="n"/>
    </row>
    <row r="12">
      <c r="B12" s="19" t="n">
        <v>82</v>
      </c>
      <c r="C12" s="19" t="n">
        <v>78</v>
      </c>
      <c r="E12" s="20" t="inlineStr">
        <is>
          <t>Contoh Rumus Benar:</t>
        </is>
      </c>
      <c r="F12" s="22" t="inlineStr">
        <is>
          <t>'=T.TEST(B11:B14, C11:C14, 2, 1)</t>
        </is>
      </c>
      <c r="G12" s="5" t="n"/>
    </row>
    <row r="13">
      <c r="B13" s="19" t="n">
        <v>88</v>
      </c>
      <c r="C13" s="19" t="n">
        <v>84</v>
      </c>
      <c r="E13" s="20" t="inlineStr">
        <is>
          <t>Contoh Hasil Benar:</t>
        </is>
      </c>
      <c r="F13" s="23">
        <f>T.TEST(B11:B14, C11:C14, 2, 1)</f>
        <v/>
      </c>
      <c r="G13" s="5" t="n"/>
    </row>
    <row r="14">
      <c r="B14" s="19" t="n">
        <v>79</v>
      </c>
      <c r="C14" s="19" t="n">
        <v>74</v>
      </c>
    </row>
    <row r="16" ht="26" customHeight="1">
      <c r="B16" s="24" t="inlineStr">
        <is>
          <t>3️⃣ 5 SOAL TES DUNIA NYATA — KERJAKAN DI KOTAK KUNING (TANPA KUNCI RUMUS / HASIL DI SINI!)</t>
        </is>
      </c>
    </row>
    <row r="17" ht="20" customHeight="1">
      <c r="B17" s="25" t="inlineStr">
        <is>
          <t>📌 Catatan Tes: Soal Tes #1 s/d #5 di bawah ini tidak menampilkan kunci rumus maupun hasil. Kunci jawaban lengkap tersedia di sheet paling terakhir (99_KUNCI_JAWABAN).</t>
        </is>
      </c>
    </row>
    <row r="19" ht="22" customHeight="1">
      <c r="B19" s="26" t="inlineStr">
        <is>
          <t>📝 SOAL TES #1: Kasus Keuangan &amp; Akuntansi Kantor</t>
        </is>
      </c>
    </row>
    <row r="20" ht="30" customHeight="1">
      <c r="B20" s="14" t="inlineStr">
        <is>
          <t>Kelompok Sebelum (B)</t>
        </is>
      </c>
      <c r="C20" s="14" t="inlineStr">
        <is>
          <t>Kelompok Sesudah (C)</t>
        </is>
      </c>
      <c r="E20" s="27" t="inlineStr">
        <is>
          <t>Persoalan Tes #1: Hitung uji-t berpasangan (tails = 2, type = 1) antara Kelompok 1 (B21:B24) dan Kelompok 2 (C21:C24) menggunakan fungsi T.TEST!</t>
        </is>
      </c>
    </row>
    <row r="21">
      <c r="B21" s="19" t="n">
        <v>75</v>
      </c>
      <c r="C21" s="19" t="n">
        <v>70</v>
      </c>
      <c r="E21" s="14" t="inlineStr">
        <is>
          <t>✏️ KETIK RUMUS JAWABAN TES DI BAWAH:</t>
        </is>
      </c>
      <c r="F21" s="14" t="inlineStr">
        <is>
          <t>📌 STATUS KOREKSI JAWABAN TES:</t>
        </is>
      </c>
      <c r="G21" s="5" t="n"/>
    </row>
    <row r="22" ht="26" customHeight="1">
      <c r="B22" s="19" t="n">
        <v>82</v>
      </c>
      <c r="C22" s="19" t="n">
        <v>78</v>
      </c>
      <c r="E22" s="28" t="n"/>
      <c r="F22" s="29">
        <f>IF(ISBLANK(E22), "⏳ Belum Diisi (Ketik Rumus di Sel Kuning E22)", IF(E22='99_KUNCI_JAWABAN'!F440, "✅ BENAR! JAWABAN TES TEPAT!", "❌ Belum Tepat (Cek Sheet Akhir: 99_KUNCI_JAWABAN)"))</f>
        <v/>
      </c>
      <c r="G22" s="5" t="n"/>
    </row>
    <row r="23">
      <c r="B23" s="19" t="n">
        <v>88</v>
      </c>
      <c r="C23" s="19" t="n">
        <v>84</v>
      </c>
    </row>
    <row r="24">
      <c r="B24" s="19" t="n">
        <v>79</v>
      </c>
      <c r="C24" s="19" t="n">
        <v>74</v>
      </c>
    </row>
    <row r="27" ht="22" customHeight="1">
      <c r="B27" s="26" t="inlineStr">
        <is>
          <t>📝 SOAL TES #2: Kasus HRD, Gaji &amp; Lembur Karyawan</t>
        </is>
      </c>
    </row>
    <row r="28" ht="30" customHeight="1">
      <c r="B28" s="14" t="inlineStr">
        <is>
          <t>Kelompok Sebelum (B)</t>
        </is>
      </c>
      <c r="C28" s="14" t="inlineStr">
        <is>
          <t>Kelompok Sesudah (C)</t>
        </is>
      </c>
      <c r="E28" s="27" t="inlineStr">
        <is>
          <t>Persoalan Tes #2: Hitung uji-t berpasangan (tails = 2, type = 1) antara Kelompok 1 (B29:B32) dan Kelompok 2 (C29:C32) menggunakan fungsi T.TEST!</t>
        </is>
      </c>
    </row>
    <row r="29">
      <c r="B29" s="19" t="n">
        <v>76</v>
      </c>
      <c r="C29" s="19" t="n">
        <v>71</v>
      </c>
      <c r="E29" s="14" t="inlineStr">
        <is>
          <t>✏️ KETIK RUMUS JAWABAN TES DI BAWAH:</t>
        </is>
      </c>
      <c r="F29" s="14" t="inlineStr">
        <is>
          <t>📌 STATUS KOREKSI JAWABAN TES:</t>
        </is>
      </c>
      <c r="G29" s="5" t="n"/>
    </row>
    <row r="30" ht="26" customHeight="1">
      <c r="B30" s="19" t="n">
        <v>82</v>
      </c>
      <c r="C30" s="19" t="n">
        <v>78</v>
      </c>
      <c r="E30" s="28" t="n"/>
      <c r="F30" s="29">
        <f>IF(ISBLANK(E30), "⏳ Belum Diisi (Ketik Rumus di Sel Kuning E30)", IF(E30='99_KUNCI_JAWABAN'!F441, "✅ BENAR! JAWABAN TES TEPAT!", "❌ Belum Tepat (Cek Sheet Akhir: 99_KUNCI_JAWABAN)"))</f>
        <v/>
      </c>
      <c r="G30" s="5" t="n"/>
    </row>
    <row r="31">
      <c r="B31" s="19" t="n">
        <v>88</v>
      </c>
      <c r="C31" s="19" t="n">
        <v>84</v>
      </c>
    </row>
    <row r="32">
      <c r="B32" s="19" t="n">
        <v>79</v>
      </c>
      <c r="C32" s="19" t="n">
        <v>74</v>
      </c>
    </row>
    <row r="35" ht="22" customHeight="1">
      <c r="B35" s="26" t="inlineStr">
        <is>
          <t>📝 SOAL TES #3: Kasus Logistik &amp; Stok Gudang Utama</t>
        </is>
      </c>
    </row>
    <row r="36" ht="30" customHeight="1">
      <c r="B36" s="14" t="inlineStr">
        <is>
          <t>Kelompok Sebelum (B)</t>
        </is>
      </c>
      <c r="C36" s="14" t="inlineStr">
        <is>
          <t>Kelompok Sesudah (C)</t>
        </is>
      </c>
      <c r="E36" s="27" t="inlineStr">
        <is>
          <t>Persoalan Tes #3: Hitung uji-t berpasangan (tails = 2, type = 1) antara Kelompok 1 (B37:B40) dan Kelompok 2 (C37:C40) menggunakan fungsi T.TEST!</t>
        </is>
      </c>
    </row>
    <row r="37">
      <c r="B37" s="19" t="n">
        <v>77</v>
      </c>
      <c r="C37" s="19" t="n">
        <v>72</v>
      </c>
      <c r="E37" s="14" t="inlineStr">
        <is>
          <t>✏️ KETIK RUMUS JAWABAN TES DI BAWAH:</t>
        </is>
      </c>
      <c r="F37" s="14" t="inlineStr">
        <is>
          <t>📌 STATUS KOREKSI JAWABAN TES:</t>
        </is>
      </c>
      <c r="G37" s="5" t="n"/>
    </row>
    <row r="38" ht="26" customHeight="1">
      <c r="B38" s="19" t="n">
        <v>82</v>
      </c>
      <c r="C38" s="19" t="n">
        <v>78</v>
      </c>
      <c r="E38" s="28" t="n"/>
      <c r="F38" s="29">
        <f>IF(ISBLANK(E38), "⏳ Belum Diisi (Ketik Rumus di Sel Kuning E38)", IF(E38='99_KUNCI_JAWABAN'!F442, "✅ BENAR! JAWABAN TES TEPAT!", "❌ Belum Tepat (Cek Sheet Akhir: 99_KUNCI_JAWABAN)"))</f>
        <v/>
      </c>
      <c r="G38" s="5" t="n"/>
    </row>
    <row r="39">
      <c r="B39" s="19" t="n">
        <v>88</v>
      </c>
      <c r="C39" s="19" t="n">
        <v>84</v>
      </c>
    </row>
    <row r="40">
      <c r="B40" s="19" t="n">
        <v>79</v>
      </c>
      <c r="C40" s="19" t="n">
        <v>74</v>
      </c>
    </row>
    <row r="43" ht="22" customHeight="1">
      <c r="B43" s="26" t="inlineStr">
        <is>
          <t>📝 SOAL TES #4: Kasus Penjualan Retail &amp; Target Toko</t>
        </is>
      </c>
    </row>
    <row r="44" ht="30" customHeight="1">
      <c r="B44" s="14" t="inlineStr">
        <is>
          <t>Kelompok Sebelum (B)</t>
        </is>
      </c>
      <c r="C44" s="14" t="inlineStr">
        <is>
          <t>Kelompok Sesudah (C)</t>
        </is>
      </c>
      <c r="E44" s="27" t="inlineStr">
        <is>
          <t>Persoalan Tes #4: Hitung uji-t berpasangan (tails = 2, type = 1) antara Kelompok 1 (B45:B48) dan Kelompok 2 (C45:C48) menggunakan fungsi T.TEST!</t>
        </is>
      </c>
    </row>
    <row r="45">
      <c r="B45" s="19" t="n">
        <v>78</v>
      </c>
      <c r="C45" s="19" t="n">
        <v>73</v>
      </c>
      <c r="E45" s="14" t="inlineStr">
        <is>
          <t>✏️ KETIK RUMUS JAWABAN TES DI BAWAH:</t>
        </is>
      </c>
      <c r="F45" s="14" t="inlineStr">
        <is>
          <t>📌 STATUS KOREKSI JAWABAN TES:</t>
        </is>
      </c>
      <c r="G45" s="5" t="n"/>
    </row>
    <row r="46" ht="26" customHeight="1">
      <c r="B46" s="19" t="n">
        <v>82</v>
      </c>
      <c r="C46" s="19" t="n">
        <v>78</v>
      </c>
      <c r="E46" s="28" t="n"/>
      <c r="F46" s="29">
        <f>IF(ISBLANK(E46), "⏳ Belum Diisi (Ketik Rumus di Sel Kuning E46)", IF(E46='99_KUNCI_JAWABAN'!F443, "✅ BENAR! JAWABAN TES TEPAT!", "❌ Belum Tepat (Cek Sheet Akhir: 99_KUNCI_JAWABAN)"))</f>
        <v/>
      </c>
      <c r="G46" s="5" t="n"/>
    </row>
    <row r="47">
      <c r="B47" s="19" t="n">
        <v>88</v>
      </c>
      <c r="C47" s="19" t="n">
        <v>84</v>
      </c>
    </row>
    <row r="48">
      <c r="B48" s="19" t="n">
        <v>79</v>
      </c>
      <c r="C48" s="19" t="n">
        <v>74</v>
      </c>
    </row>
    <row r="51" ht="22" customHeight="1">
      <c r="B51" s="26" t="inlineStr">
        <is>
          <t>📝 SOAL TES #5: Kasus Akademik Sekolah &amp; Layanan Publik</t>
        </is>
      </c>
    </row>
    <row r="52" ht="30" customHeight="1">
      <c r="B52" s="14" t="inlineStr">
        <is>
          <t>Kelompok Sebelum (B)</t>
        </is>
      </c>
      <c r="C52" s="14" t="inlineStr">
        <is>
          <t>Kelompok Sesudah (C)</t>
        </is>
      </c>
      <c r="E52" s="27" t="inlineStr">
        <is>
          <t>Persoalan Tes #5: Hitung uji-t berpasangan (tails = 2, type = 1) antara Kelompok 1 (B53:B56) dan Kelompok 2 (C53:C56) menggunakan fungsi T.TEST!</t>
        </is>
      </c>
    </row>
    <row r="53">
      <c r="B53" s="19" t="n">
        <v>79</v>
      </c>
      <c r="C53" s="19" t="n">
        <v>74</v>
      </c>
      <c r="E53" s="14" t="inlineStr">
        <is>
          <t>✏️ KETIK RUMUS JAWABAN TES DI BAWAH:</t>
        </is>
      </c>
      <c r="F53" s="14" t="inlineStr">
        <is>
          <t>📌 STATUS KOREKSI JAWABAN TES:</t>
        </is>
      </c>
      <c r="G53" s="5" t="n"/>
    </row>
    <row r="54" ht="26" customHeight="1">
      <c r="B54" s="19" t="n">
        <v>82</v>
      </c>
      <c r="C54" s="19" t="n">
        <v>78</v>
      </c>
      <c r="E54" s="28" t="n"/>
      <c r="F54" s="29">
        <f>IF(ISBLANK(E54), "⏳ Belum Diisi (Ketik Rumus di Sel Kuning E54)", IF(E54='99_KUNCI_JAWABAN'!F444, "✅ BENAR! JAWABAN TES TEPAT!", "❌ Belum Tepat (Cek Sheet Akhir: 99_KUNCI_JAWABAN)"))</f>
        <v/>
      </c>
      <c r="G54" s="5" t="n"/>
    </row>
    <row r="55">
      <c r="B55" s="19" t="n">
        <v>88</v>
      </c>
      <c r="C55" s="19" t="n">
        <v>84</v>
      </c>
    </row>
    <row r="56">
      <c r="B56" s="19" t="n">
        <v>79</v>
      </c>
      <c r="C56" s="19" t="n">
        <v>74</v>
      </c>
    </row>
  </sheetData>
  <mergeCells count="33">
    <mergeCell ref="E10:G10"/>
    <mergeCell ref="F11:G11"/>
    <mergeCell ref="E28:G28"/>
    <mergeCell ref="F29:G29"/>
    <mergeCell ref="C6:G6"/>
    <mergeCell ref="F54:G54"/>
    <mergeCell ref="B17:G17"/>
    <mergeCell ref="B1:G1"/>
    <mergeCell ref="C5:G5"/>
    <mergeCell ref="B19:G19"/>
    <mergeCell ref="F21:G21"/>
    <mergeCell ref="F12:G12"/>
    <mergeCell ref="F30:G30"/>
    <mergeCell ref="E36:G36"/>
    <mergeCell ref="B9:G9"/>
    <mergeCell ref="F45:G45"/>
    <mergeCell ref="B51:G51"/>
    <mergeCell ref="F38:G38"/>
    <mergeCell ref="B35:G35"/>
    <mergeCell ref="B4:G4"/>
    <mergeCell ref="F46:G46"/>
    <mergeCell ref="F22:G22"/>
    <mergeCell ref="B2:E2"/>
    <mergeCell ref="F13:G13"/>
    <mergeCell ref="B16:G16"/>
    <mergeCell ref="F37:G37"/>
    <mergeCell ref="C7:G7"/>
    <mergeCell ref="E52:G52"/>
    <mergeCell ref="B27:G27"/>
    <mergeCell ref="B43:G43"/>
    <mergeCell ref="E44:G44"/>
    <mergeCell ref="E20:G20"/>
    <mergeCell ref="F53:G53"/>
  </mergeCells>
  <hyperlinks>
    <hyperlink xmlns:r="http://schemas.openxmlformats.org/officeDocument/2006/relationships" ref="F2" r:id="rId1"/>
    <hyperlink xmlns:r="http://schemas.openxmlformats.org/officeDocument/2006/relationships" ref="G2" r:id="rId2"/>
  </hyperlinks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B1:G56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22" customWidth="1" min="3" max="3"/>
    <col width="4" customWidth="1" min="4" max="4"/>
    <col width="34" customWidth="1" min="5" max="5"/>
    <col width="44" customWidth="1" min="6" max="6"/>
    <col width="28" customWidth="1" min="7" max="7"/>
  </cols>
  <sheetData>
    <row r="1" ht="30" customHeight="1">
      <c r="B1" s="10" t="inlineStr">
        <is>
          <t>📊 #089 — RUMUS EXCEL: TRIMMEAN   |   Kategori: 8. Statistik &amp; Analisis Data</t>
        </is>
      </c>
    </row>
    <row r="2" ht="22" customHeight="1">
      <c r="B2" s="11" t="inlineStr">
        <is>
          <t>1 Rumus = 1 Contoh Soal + Jawaban Benar &amp; 5 Soal Tes Mandiri (Kunci Jawaban Ada di Sheet Paling Terakhir)</t>
        </is>
      </c>
      <c r="F2" s="12" t="inlineStr">
        <is>
          <t>⬅️ Ke Daftar Isi (00_DAFTAR_ISI)</t>
        </is>
      </c>
      <c r="G2" s="3" t="inlineStr">
        <is>
          <t>🔑 Ke Kunci Jawaban (Sheet Akhir)</t>
        </is>
      </c>
    </row>
    <row r="4" ht="24" customHeight="1">
      <c r="B4" s="13" t="inlineStr">
        <is>
          <t>1️⃣ IDENTITAS RUMUS &amp; FUNGSINYA BUAT APA? (TRIMMEAN)</t>
        </is>
      </c>
    </row>
    <row r="5" ht="21" customHeight="1">
      <c r="B5" s="14" t="inlineStr">
        <is>
          <t>Nama Rumus Excel</t>
        </is>
      </c>
      <c r="C5" s="15">
        <f>TRIMMEAN(...)</f>
        <v/>
      </c>
      <c r="D5" s="5" t="n"/>
      <c r="E5" s="5" t="n"/>
      <c r="F5" s="5" t="n"/>
      <c r="G5" s="5" t="n"/>
    </row>
    <row r="6" ht="21" customHeight="1">
      <c r="B6" s="14" t="inlineStr">
        <is>
          <t>Sintaks / Pola Umum</t>
        </is>
      </c>
      <c r="C6" s="15">
        <f>TRIMMEAN(range_data, persen_pangkas)</f>
        <v/>
      </c>
      <c r="D6" s="5" t="n"/>
      <c r="E6" s="5" t="n"/>
      <c r="F6" s="5" t="n"/>
      <c r="G6" s="5" t="n"/>
    </row>
    <row r="7" ht="26" customHeight="1">
      <c r="B7" s="14" t="inlineStr">
        <is>
          <t>👶 Fungsinya Buat Apa?</t>
        </is>
      </c>
      <c r="C7" s="16" t="inlineStr">
        <is>
          <t>Menghitung rata-rata adil dengan membuang persentase nilai ekstrem.</t>
        </is>
      </c>
      <c r="D7" s="5" t="n"/>
      <c r="E7" s="5" t="n"/>
      <c r="F7" s="5" t="n"/>
      <c r="G7" s="5" t="n"/>
    </row>
    <row r="9" ht="24" customHeight="1">
      <c r="B9" s="17" t="inlineStr">
        <is>
          <t>2️⃣ 1 CONTOH SOAL &amp; CONTOH JAWABAN BENAR (PELAJARI POLA RUMUS TRIMMEAN DI SINI)</t>
        </is>
      </c>
    </row>
    <row r="10">
      <c r="B10" s="18" t="inlineStr">
        <is>
          <t>Juri Penilai</t>
        </is>
      </c>
      <c r="C10" s="18" t="inlineStr">
        <is>
          <t>Skor Penilaian</t>
        </is>
      </c>
      <c r="E10" s="18" t="inlineStr">
        <is>
          <t>✅ 1 CONTOH SOAL BESERTA CONTOH RUMUS &amp; HASIL JAWABAN BENAR:</t>
        </is>
      </c>
      <c r="F10" s="5" t="n"/>
      <c r="G10" s="5" t="n"/>
    </row>
    <row r="11" ht="28" customHeight="1">
      <c r="B11" s="19" t="inlineStr">
        <is>
          <t>Simulasi Unit A</t>
        </is>
      </c>
      <c r="C11" s="19" t="n">
        <v>500000</v>
      </c>
      <c r="E11" s="20" t="inlineStr">
        <is>
          <t>Contoh Soal:</t>
        </is>
      </c>
      <c r="F11" s="21" t="inlineStr">
        <is>
          <t>Hitung rata-rata terpangkas dengan proporsi pemangkasan 0.2 (20%) pada rentang C11:C14 menggunakan fungsi TRIMMEAN!</t>
        </is>
      </c>
      <c r="G11" s="5" t="n"/>
    </row>
    <row r="12">
      <c r="B12" s="19" t="inlineStr">
        <is>
          <t>Simulasi Unit B</t>
        </is>
      </c>
      <c r="C12" s="19" t="n">
        <v>750000</v>
      </c>
      <c r="E12" s="20" t="inlineStr">
        <is>
          <t>Contoh Rumus Benar:</t>
        </is>
      </c>
      <c r="F12" s="22" t="inlineStr">
        <is>
          <t>'=TRIMMEAN(C11:C14, 0.2)</t>
        </is>
      </c>
      <c r="G12" s="5" t="n"/>
    </row>
    <row r="13">
      <c r="B13" s="19" t="inlineStr">
        <is>
          <t>Simulasi Unit C</t>
        </is>
      </c>
      <c r="C13" s="19" t="n">
        <v>600000</v>
      </c>
      <c r="E13" s="20" t="inlineStr">
        <is>
          <t>Contoh Hasil Benar:</t>
        </is>
      </c>
      <c r="F13" s="23">
        <f>TRIMMEAN(C11:C14, 0.2)</f>
        <v/>
      </c>
      <c r="G13" s="5" t="n"/>
    </row>
    <row r="14">
      <c r="B14" s="19" t="inlineStr">
        <is>
          <t>Simulasi Unit D</t>
        </is>
      </c>
      <c r="C14" s="19" t="n">
        <v>950000</v>
      </c>
    </row>
    <row r="16" ht="26" customHeight="1">
      <c r="B16" s="24" t="inlineStr">
        <is>
          <t>3️⃣ 5 SOAL TES DUNIA NYATA — KERJAKAN DI KOTAK KUNING (TANPA KUNCI RUMUS / HASIL DI SINI!)</t>
        </is>
      </c>
    </row>
    <row r="17" ht="20" customHeight="1">
      <c r="B17" s="25" t="inlineStr">
        <is>
          <t>📌 Catatan Tes: Soal Tes #1 s/d #5 di bawah ini tidak menampilkan kunci rumus maupun hasil. Kunci jawaban lengkap tersedia di sheet paling terakhir (99_KUNCI_JAWABAN).</t>
        </is>
      </c>
    </row>
    <row r="19" ht="22" customHeight="1">
      <c r="B19" s="26" t="inlineStr">
        <is>
          <t>📝 SOAL TES #1: Kasus Keuangan &amp; Akuntansi Kantor</t>
        </is>
      </c>
    </row>
    <row r="20" ht="30" customHeight="1">
      <c r="B20" s="14" t="inlineStr">
        <is>
          <t>Juri Penilai</t>
        </is>
      </c>
      <c r="C20" s="14" t="inlineStr">
        <is>
          <t>Skor Penilaian</t>
        </is>
      </c>
      <c r="E20" s="27" t="inlineStr">
        <is>
          <t>Persoalan Tes #1: Hitung rata-rata terpangkas dengan proporsi pemangkasan 0.2 (20%) pada rentang C21:C24 menggunakan fungsi TRIMMEAN!</t>
        </is>
      </c>
    </row>
    <row r="21">
      <c r="B21" s="19" t="inlineStr">
        <is>
          <t>Cabang Jakarta</t>
        </is>
      </c>
      <c r="C21" s="19" t="n">
        <v>1250000</v>
      </c>
      <c r="E21" s="14" t="inlineStr">
        <is>
          <t>✏️ KETIK RUMUS JAWABAN TES DI BAWAH:</t>
        </is>
      </c>
      <c r="F21" s="14" t="inlineStr">
        <is>
          <t>📌 STATUS KOREKSI JAWABAN TES:</t>
        </is>
      </c>
      <c r="G21" s="5" t="n"/>
    </row>
    <row r="22" ht="26" customHeight="1">
      <c r="B22" s="19" t="inlineStr">
        <is>
          <t>Cabang Bandung</t>
        </is>
      </c>
      <c r="C22" s="19" t="n">
        <v>1850000</v>
      </c>
      <c r="E22" s="28" t="n"/>
      <c r="F22" s="29">
        <f>IF(ISBLANK(E22), "⏳ Belum Diisi (Ketik Rumus di Sel Kuning E22)", IF(E22='99_KUNCI_JAWABAN'!F445, "✅ BENAR! JAWABAN TES TEPAT!", "❌ Belum Tepat (Cek Sheet Akhir: 99_KUNCI_JAWABAN)"))</f>
        <v/>
      </c>
      <c r="G22" s="5" t="n"/>
    </row>
    <row r="23">
      <c r="B23" s="19" t="inlineStr">
        <is>
          <t>Cabang Surabaya</t>
        </is>
      </c>
      <c r="C23" s="19" t="n">
        <v>2100000</v>
      </c>
    </row>
    <row r="24">
      <c r="B24" s="19" t="inlineStr">
        <is>
          <t>Cabang Medan</t>
        </is>
      </c>
      <c r="C24" s="19" t="n">
        <v>1600000</v>
      </c>
    </row>
    <row r="27" ht="22" customHeight="1">
      <c r="B27" s="26" t="inlineStr">
        <is>
          <t>📝 SOAL TES #2: Kasus HRD, Gaji &amp; Lembur Karyawan</t>
        </is>
      </c>
    </row>
    <row r="28" ht="30" customHeight="1">
      <c r="B28" s="14" t="inlineStr">
        <is>
          <t>Juri Penilai</t>
        </is>
      </c>
      <c r="C28" s="14" t="inlineStr">
        <is>
          <t>Skor Penilaian</t>
        </is>
      </c>
      <c r="E28" s="27" t="inlineStr">
        <is>
          <t>Persoalan Tes #2: Hitung rata-rata terpangkas dengan proporsi pemangkasan 0.2 (20%) pada rentang C29:C32 menggunakan fungsi TRIMMEAN!</t>
        </is>
      </c>
    </row>
    <row r="29">
      <c r="B29" s="19" t="inlineStr">
        <is>
          <t>Budi Santoso</t>
        </is>
      </c>
      <c r="C29" s="19" t="n">
        <v>4500000</v>
      </c>
      <c r="E29" s="14" t="inlineStr">
        <is>
          <t>✏️ KETIK RUMUS JAWABAN TES DI BAWAH:</t>
        </is>
      </c>
      <c r="F29" s="14" t="inlineStr">
        <is>
          <t>📌 STATUS KOREKSI JAWABAN TES:</t>
        </is>
      </c>
      <c r="G29" s="5" t="n"/>
    </row>
    <row r="30" ht="26" customHeight="1">
      <c r="B30" s="19" t="inlineStr">
        <is>
          <t>Siti Aminah</t>
        </is>
      </c>
      <c r="C30" s="19" t="n">
        <v>5200000</v>
      </c>
      <c r="E30" s="28" t="n"/>
      <c r="F30" s="29">
        <f>IF(ISBLANK(E30), "⏳ Belum Diisi (Ketik Rumus di Sel Kuning E30)", IF(E30='99_KUNCI_JAWABAN'!F446, "✅ BENAR! JAWABAN TES TEPAT!", "❌ Belum Tepat (Cek Sheet Akhir: 99_KUNCI_JAWABAN)"))</f>
        <v/>
      </c>
      <c r="G30" s="5" t="n"/>
    </row>
    <row r="31">
      <c r="B31" s="19" t="inlineStr">
        <is>
          <t>Andi Pratama</t>
        </is>
      </c>
      <c r="C31" s="19" t="n">
        <v>4800000</v>
      </c>
    </row>
    <row r="32">
      <c r="B32" s="19" t="inlineStr">
        <is>
          <t>Rina Wijaya</t>
        </is>
      </c>
      <c r="C32" s="19" t="n">
        <v>6100000</v>
      </c>
    </row>
    <row r="35" ht="22" customHeight="1">
      <c r="B35" s="26" t="inlineStr">
        <is>
          <t>📝 SOAL TES #3: Kasus Logistik &amp; Stok Gudang Utama</t>
        </is>
      </c>
    </row>
    <row r="36" ht="30" customHeight="1">
      <c r="B36" s="14" t="inlineStr">
        <is>
          <t>Juri Penilai</t>
        </is>
      </c>
      <c r="C36" s="14" t="inlineStr">
        <is>
          <t>Skor Penilaian</t>
        </is>
      </c>
      <c r="E36" s="27" t="inlineStr">
        <is>
          <t>Persoalan Tes #3: Hitung rata-rata terpangkas dengan proporsi pemangkasan 0.2 (20%) pada rentang C37:C40 menggunakan fungsi TRIMMEAN!</t>
        </is>
      </c>
    </row>
    <row r="37">
      <c r="B37" s="19" t="inlineStr">
        <is>
          <t>Gudang Blok A</t>
        </is>
      </c>
      <c r="C37" s="19" t="n">
        <v>240</v>
      </c>
      <c r="E37" s="14" t="inlineStr">
        <is>
          <t>✏️ KETIK RUMUS JAWABAN TES DI BAWAH:</t>
        </is>
      </c>
      <c r="F37" s="14" t="inlineStr">
        <is>
          <t>📌 STATUS KOREKSI JAWABAN TES:</t>
        </is>
      </c>
      <c r="G37" s="5" t="n"/>
    </row>
    <row r="38" ht="26" customHeight="1">
      <c r="B38" s="19" t="inlineStr">
        <is>
          <t>Gudang Blok B</t>
        </is>
      </c>
      <c r="C38" s="19" t="n">
        <v>380</v>
      </c>
      <c r="E38" s="28" t="n"/>
      <c r="F38" s="29">
        <f>IF(ISBLANK(E38), "⏳ Belum Diisi (Ketik Rumus di Sel Kuning E38)", IF(E38='99_KUNCI_JAWABAN'!F447, "✅ BENAR! JAWABAN TES TEPAT!", "❌ Belum Tepat (Cek Sheet Akhir: 99_KUNCI_JAWABAN)"))</f>
        <v/>
      </c>
      <c r="G38" s="5" t="n"/>
    </row>
    <row r="39">
      <c r="B39" s="19" t="inlineStr">
        <is>
          <t>Gudang Blok C</t>
        </is>
      </c>
      <c r="C39" s="19" t="n">
        <v>195</v>
      </c>
    </row>
    <row r="40">
      <c r="B40" s="19" t="inlineStr">
        <is>
          <t>Gudang Blok D</t>
        </is>
      </c>
      <c r="C40" s="19" t="n">
        <v>425</v>
      </c>
    </row>
    <row r="43" ht="22" customHeight="1">
      <c r="B43" s="26" t="inlineStr">
        <is>
          <t>📝 SOAL TES #4: Kasus Penjualan Retail &amp; Target Toko</t>
        </is>
      </c>
    </row>
    <row r="44" ht="30" customHeight="1">
      <c r="B44" s="14" t="inlineStr">
        <is>
          <t>Juri Penilai</t>
        </is>
      </c>
      <c r="C44" s="14" t="inlineStr">
        <is>
          <t>Skor Penilaian</t>
        </is>
      </c>
      <c r="E44" s="27" t="inlineStr">
        <is>
          <t>Persoalan Tes #4: Hitung rata-rata terpangkas dengan proporsi pemangkasan 0.2 (20%) pada rentang C45:C48 menggunakan fungsi TRIMMEAN!</t>
        </is>
      </c>
    </row>
    <row r="45">
      <c r="B45" s="19" t="inlineStr">
        <is>
          <t>Toko Elektronik</t>
        </is>
      </c>
      <c r="C45" s="19" t="n">
        <v>85</v>
      </c>
      <c r="E45" s="14" t="inlineStr">
        <is>
          <t>✏️ KETIK RUMUS JAWABAN TES DI BAWAH:</t>
        </is>
      </c>
      <c r="F45" s="14" t="inlineStr">
        <is>
          <t>📌 STATUS KOREKSI JAWABAN TES:</t>
        </is>
      </c>
      <c r="G45" s="5" t="n"/>
    </row>
    <row r="46" ht="26" customHeight="1">
      <c r="B46" s="19" t="inlineStr">
        <is>
          <t>Toko Komputer</t>
        </is>
      </c>
      <c r="C46" s="19" t="n">
        <v>92</v>
      </c>
      <c r="E46" s="28" t="n"/>
      <c r="F46" s="29">
        <f>IF(ISBLANK(E46), "⏳ Belum Diisi (Ketik Rumus di Sel Kuning E46)", IF(E46='99_KUNCI_JAWABAN'!F448, "✅ BENAR! JAWABAN TES TEPAT!", "❌ Belum Tepat (Cek Sheet Akhir: 99_KUNCI_JAWABAN)"))</f>
        <v/>
      </c>
      <c r="G46" s="5" t="n"/>
    </row>
    <row r="47">
      <c r="B47" s="19" t="inlineStr">
        <is>
          <t>Toko Aksesoris</t>
        </is>
      </c>
      <c r="C47" s="19" t="n">
        <v>78</v>
      </c>
    </row>
    <row r="48">
      <c r="B48" s="19" t="inlineStr">
        <is>
          <t>Toko Servis</t>
        </is>
      </c>
      <c r="C48" s="19" t="n">
        <v>95</v>
      </c>
    </row>
    <row r="51" ht="22" customHeight="1">
      <c r="B51" s="26" t="inlineStr">
        <is>
          <t>📝 SOAL TES #5: Kasus Akademik Sekolah &amp; Layanan Publik</t>
        </is>
      </c>
    </row>
    <row r="52" ht="30" customHeight="1">
      <c r="B52" s="14" t="inlineStr">
        <is>
          <t>Juri Penilai</t>
        </is>
      </c>
      <c r="C52" s="14" t="inlineStr">
        <is>
          <t>Skor Penilaian</t>
        </is>
      </c>
      <c r="E52" s="27" t="inlineStr">
        <is>
          <t>Persoalan Tes #5: Hitung rata-rata terpangkas dengan proporsi pemangkasan 0.2 (20%) pada rentang C53:C56 menggunakan fungsi TRIMMEAN!</t>
        </is>
      </c>
    </row>
    <row r="53">
      <c r="B53" s="19" t="inlineStr">
        <is>
          <t>Kelas 10 IPA</t>
        </is>
      </c>
      <c r="C53" s="19" t="n">
        <v>82</v>
      </c>
      <c r="E53" s="14" t="inlineStr">
        <is>
          <t>✏️ KETIK RUMUS JAWABAN TES DI BAWAH:</t>
        </is>
      </c>
      <c r="F53" s="14" t="inlineStr">
        <is>
          <t>📌 STATUS KOREKSI JAWABAN TES:</t>
        </is>
      </c>
      <c r="G53" s="5" t="n"/>
    </row>
    <row r="54" ht="26" customHeight="1">
      <c r="B54" s="19" t="inlineStr">
        <is>
          <t>Kelas 11 IPA</t>
        </is>
      </c>
      <c r="C54" s="19" t="n">
        <v>88</v>
      </c>
      <c r="E54" s="28" t="n"/>
      <c r="F54" s="29">
        <f>IF(ISBLANK(E54), "⏳ Belum Diisi (Ketik Rumus di Sel Kuning E54)", IF(E54='99_KUNCI_JAWABAN'!F449, "✅ BENAR! JAWABAN TES TEPAT!", "❌ Belum Tepat (Cek Sheet Akhir: 99_KUNCI_JAWABAN)"))</f>
        <v/>
      </c>
      <c r="G54" s="5" t="n"/>
    </row>
    <row r="55">
      <c r="B55" s="19" t="inlineStr">
        <is>
          <t>Kelas 12 IPA</t>
        </is>
      </c>
      <c r="C55" s="19" t="n">
        <v>91</v>
      </c>
    </row>
    <row r="56">
      <c r="B56" s="19" t="inlineStr">
        <is>
          <t>Kelas Unggulan</t>
        </is>
      </c>
      <c r="C56" s="19" t="n">
        <v>79</v>
      </c>
    </row>
  </sheetData>
  <mergeCells count="33">
    <mergeCell ref="E10:G10"/>
    <mergeCell ref="F11:G11"/>
    <mergeCell ref="E28:G28"/>
    <mergeCell ref="F29:G29"/>
    <mergeCell ref="C6:G6"/>
    <mergeCell ref="F54:G54"/>
    <mergeCell ref="B17:G17"/>
    <mergeCell ref="B1:G1"/>
    <mergeCell ref="C5:G5"/>
    <mergeCell ref="B19:G19"/>
    <mergeCell ref="F21:G21"/>
    <mergeCell ref="F12:G12"/>
    <mergeCell ref="F30:G30"/>
    <mergeCell ref="E36:G36"/>
    <mergeCell ref="B9:G9"/>
    <mergeCell ref="F45:G45"/>
    <mergeCell ref="B51:G51"/>
    <mergeCell ref="F38:G38"/>
    <mergeCell ref="B35:G35"/>
    <mergeCell ref="B4:G4"/>
    <mergeCell ref="F46:G46"/>
    <mergeCell ref="F22:G22"/>
    <mergeCell ref="B2:E2"/>
    <mergeCell ref="F13:G13"/>
    <mergeCell ref="B16:G16"/>
    <mergeCell ref="F37:G37"/>
    <mergeCell ref="C7:G7"/>
    <mergeCell ref="E52:G52"/>
    <mergeCell ref="B27:G27"/>
    <mergeCell ref="B43:G43"/>
    <mergeCell ref="E44:G44"/>
    <mergeCell ref="E20:G20"/>
    <mergeCell ref="F53:G53"/>
  </mergeCells>
  <hyperlinks>
    <hyperlink xmlns:r="http://schemas.openxmlformats.org/officeDocument/2006/relationships" ref="F2" r:id="rId1"/>
    <hyperlink xmlns:r="http://schemas.openxmlformats.org/officeDocument/2006/relationships" ref="G2" r:id="rId2"/>
  </hyperlinks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B1:G56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22" customWidth="1" min="3" max="3"/>
    <col width="4" customWidth="1" min="4" max="4"/>
    <col width="34" customWidth="1" min="5" max="5"/>
    <col width="44" customWidth="1" min="6" max="6"/>
    <col width="28" customWidth="1" min="7" max="7"/>
  </cols>
  <sheetData>
    <row r="1" ht="30" customHeight="1">
      <c r="B1" s="10" t="inlineStr">
        <is>
          <t>📊 #090 — RUMUS EXCEL: VAR.P   |   Kategori: 8. Statistik &amp; Analisis Data</t>
        </is>
      </c>
    </row>
    <row r="2" ht="22" customHeight="1">
      <c r="B2" s="11" t="inlineStr">
        <is>
          <t>1 Rumus = 1 Contoh Soal + Jawaban Benar &amp; 5 Soal Tes Mandiri (Kunci Jawaban Ada di Sheet Paling Terakhir)</t>
        </is>
      </c>
      <c r="F2" s="12" t="inlineStr">
        <is>
          <t>⬅️ Ke Daftar Isi (00_DAFTAR_ISI)</t>
        </is>
      </c>
      <c r="G2" s="3" t="inlineStr">
        <is>
          <t>🔑 Ke Kunci Jawaban (Sheet Akhir)</t>
        </is>
      </c>
    </row>
    <row r="4" ht="24" customHeight="1">
      <c r="B4" s="13" t="inlineStr">
        <is>
          <t>1️⃣ IDENTITAS RUMUS &amp; FUNGSINYA BUAT APA? (VAR.P)</t>
        </is>
      </c>
    </row>
    <row r="5" ht="21" customHeight="1">
      <c r="B5" s="14" t="inlineStr">
        <is>
          <t>Nama Rumus Excel</t>
        </is>
      </c>
      <c r="C5" s="15">
        <f>VAR.P(...)</f>
        <v/>
      </c>
      <c r="D5" s="5" t="n"/>
      <c r="E5" s="5" t="n"/>
      <c r="F5" s="5" t="n"/>
      <c r="G5" s="5" t="n"/>
    </row>
    <row r="6" ht="21" customHeight="1">
      <c r="B6" s="14" t="inlineStr">
        <is>
          <t>Sintaks / Pola Umum</t>
        </is>
      </c>
      <c r="C6" s="15">
        <f>VAR.P(range_populasi)</f>
        <v/>
      </c>
      <c r="D6" s="5" t="n"/>
      <c r="E6" s="5" t="n"/>
      <c r="F6" s="5" t="n"/>
      <c r="G6" s="5" t="n"/>
    </row>
    <row r="7" ht="26" customHeight="1">
      <c r="B7" s="14" t="inlineStr">
        <is>
          <t>👶 Fungsinya Buat Apa?</t>
        </is>
      </c>
      <c r="C7" s="16" t="inlineStr">
        <is>
          <t>Menghitung nilai Varians dari keseluruhan populasi.</t>
        </is>
      </c>
      <c r="D7" s="5" t="n"/>
      <c r="E7" s="5" t="n"/>
      <c r="F7" s="5" t="n"/>
      <c r="G7" s="5" t="n"/>
    </row>
    <row r="9" ht="24" customHeight="1">
      <c r="B9" s="17" t="inlineStr">
        <is>
          <t>2️⃣ 1 CONTOH SOAL &amp; CONTOH JAWABAN BENAR (PELAJARI POLA RUMUS VAR.P DI SINI)</t>
        </is>
      </c>
    </row>
    <row r="10">
      <c r="B10" s="18" t="inlineStr">
        <is>
          <t>Nama Unit / Kategori</t>
        </is>
      </c>
      <c r="C10" s="18" t="inlineStr">
        <is>
          <t>Nilai Data</t>
        </is>
      </c>
      <c r="E10" s="18" t="inlineStr">
        <is>
          <t>✅ 1 CONTOH SOAL BESERTA CONTOH RUMUS &amp; HASIL JAWABAN BENAR:</t>
        </is>
      </c>
      <c r="F10" s="5" t="n"/>
      <c r="G10" s="5" t="n"/>
    </row>
    <row r="11" ht="28" customHeight="1">
      <c r="B11" s="19" t="inlineStr">
        <is>
          <t>Simulasi Unit A</t>
        </is>
      </c>
      <c r="C11" s="19" t="n">
        <v>500000</v>
      </c>
      <c r="E11" s="20" t="inlineStr">
        <is>
          <t>Contoh Soal:</t>
        </is>
      </c>
      <c r="F11" s="21" t="inlineStr">
        <is>
          <t>Hitung hasil pengolahan fungsi VAR.P untuk keempat baris data pada rentang C11:C14!</t>
        </is>
      </c>
      <c r="G11" s="5" t="n"/>
    </row>
    <row r="12">
      <c r="B12" s="19" t="inlineStr">
        <is>
          <t>Simulasi Unit B</t>
        </is>
      </c>
      <c r="C12" s="19" t="n">
        <v>750000</v>
      </c>
      <c r="E12" s="20" t="inlineStr">
        <is>
          <t>Contoh Rumus Benar:</t>
        </is>
      </c>
      <c r="F12" s="22" t="inlineStr">
        <is>
          <t>'=VAR.P(C11:C14)</t>
        </is>
      </c>
      <c r="G12" s="5" t="n"/>
    </row>
    <row r="13">
      <c r="B13" s="19" t="inlineStr">
        <is>
          <t>Simulasi Unit C</t>
        </is>
      </c>
      <c r="C13" s="19" t="n">
        <v>600000</v>
      </c>
      <c r="E13" s="20" t="inlineStr">
        <is>
          <t>Contoh Hasil Benar:</t>
        </is>
      </c>
      <c r="F13" s="23">
        <f>VAR.P(C11:C14)</f>
        <v/>
      </c>
      <c r="G13" s="5" t="n"/>
    </row>
    <row r="14">
      <c r="B14" s="19" t="inlineStr">
        <is>
          <t>Simulasi Unit D</t>
        </is>
      </c>
      <c r="C14" s="19" t="n">
        <v>950000</v>
      </c>
    </row>
    <row r="16" ht="26" customHeight="1">
      <c r="B16" s="24" t="inlineStr">
        <is>
          <t>3️⃣ 5 SOAL TES DUNIA NYATA — KERJAKAN DI KOTAK KUNING (TANPA KUNCI RUMUS / HASIL DI SINI!)</t>
        </is>
      </c>
    </row>
    <row r="17" ht="20" customHeight="1">
      <c r="B17" s="25" t="inlineStr">
        <is>
          <t>📌 Catatan Tes: Soal Tes #1 s/d #5 di bawah ini tidak menampilkan kunci rumus maupun hasil. Kunci jawaban lengkap tersedia di sheet paling terakhir (99_KUNCI_JAWABAN).</t>
        </is>
      </c>
    </row>
    <row r="19" ht="22" customHeight="1">
      <c r="B19" s="26" t="inlineStr">
        <is>
          <t>📝 SOAL TES #1: Kasus Keuangan &amp; Akuntansi Kantor</t>
        </is>
      </c>
    </row>
    <row r="20" ht="30" customHeight="1">
      <c r="B20" s="14" t="inlineStr">
        <is>
          <t>Nama Unit / Kategori</t>
        </is>
      </c>
      <c r="C20" s="14" t="inlineStr">
        <is>
          <t>Nilai Data</t>
        </is>
      </c>
      <c r="E20" s="27" t="inlineStr">
        <is>
          <t>Persoalan Tes #1: Hitung hasil pengolahan fungsi VAR.P untuk keempat baris data pada rentang C21:C24!</t>
        </is>
      </c>
    </row>
    <row r="21">
      <c r="B21" s="19" t="inlineStr">
        <is>
          <t>Cabang Jakarta</t>
        </is>
      </c>
      <c r="C21" s="19" t="n">
        <v>1250000</v>
      </c>
      <c r="E21" s="14" t="inlineStr">
        <is>
          <t>✏️ KETIK RUMUS JAWABAN TES DI BAWAH:</t>
        </is>
      </c>
      <c r="F21" s="14" t="inlineStr">
        <is>
          <t>📌 STATUS KOREKSI JAWABAN TES:</t>
        </is>
      </c>
      <c r="G21" s="5" t="n"/>
    </row>
    <row r="22" ht="26" customHeight="1">
      <c r="B22" s="19" t="inlineStr">
        <is>
          <t>Cabang Bandung</t>
        </is>
      </c>
      <c r="C22" s="19" t="n">
        <v>1850000</v>
      </c>
      <c r="E22" s="28" t="n"/>
      <c r="F22" s="29">
        <f>IF(ISBLANK(E22), "⏳ Belum Diisi (Ketik Rumus di Sel Kuning E22)", IF(E22='99_KUNCI_JAWABAN'!F450, "✅ BENAR! JAWABAN TES TEPAT!", "❌ Belum Tepat (Cek Sheet Akhir: 99_KUNCI_JAWABAN)"))</f>
        <v/>
      </c>
      <c r="G22" s="5" t="n"/>
    </row>
    <row r="23">
      <c r="B23" s="19" t="inlineStr">
        <is>
          <t>Cabang Surabaya</t>
        </is>
      </c>
      <c r="C23" s="19" t="n">
        <v>2100000</v>
      </c>
    </row>
    <row r="24">
      <c r="B24" s="19" t="inlineStr">
        <is>
          <t>Cabang Medan</t>
        </is>
      </c>
      <c r="C24" s="19" t="n">
        <v>1600000</v>
      </c>
    </row>
    <row r="27" ht="22" customHeight="1">
      <c r="B27" s="26" t="inlineStr">
        <is>
          <t>📝 SOAL TES #2: Kasus HRD, Gaji &amp; Lembur Karyawan</t>
        </is>
      </c>
    </row>
    <row r="28" ht="30" customHeight="1">
      <c r="B28" s="14" t="inlineStr">
        <is>
          <t>Nama Unit / Kategori</t>
        </is>
      </c>
      <c r="C28" s="14" t="inlineStr">
        <is>
          <t>Nilai Data</t>
        </is>
      </c>
      <c r="E28" s="27" t="inlineStr">
        <is>
          <t>Persoalan Tes #2: Hitung hasil pengolahan fungsi VAR.P untuk keempat baris data pada rentang C29:C32!</t>
        </is>
      </c>
    </row>
    <row r="29">
      <c r="B29" s="19" t="inlineStr">
        <is>
          <t>Budi Santoso</t>
        </is>
      </c>
      <c r="C29" s="19" t="n">
        <v>4500000</v>
      </c>
      <c r="E29" s="14" t="inlineStr">
        <is>
          <t>✏️ KETIK RUMUS JAWABAN TES DI BAWAH:</t>
        </is>
      </c>
      <c r="F29" s="14" t="inlineStr">
        <is>
          <t>📌 STATUS KOREKSI JAWABAN TES:</t>
        </is>
      </c>
      <c r="G29" s="5" t="n"/>
    </row>
    <row r="30" ht="26" customHeight="1">
      <c r="B30" s="19" t="inlineStr">
        <is>
          <t>Siti Aminah</t>
        </is>
      </c>
      <c r="C30" s="19" t="n">
        <v>5200000</v>
      </c>
      <c r="E30" s="28" t="n"/>
      <c r="F30" s="29">
        <f>IF(ISBLANK(E30), "⏳ Belum Diisi (Ketik Rumus di Sel Kuning E30)", IF(E30='99_KUNCI_JAWABAN'!F451, "✅ BENAR! JAWABAN TES TEPAT!", "❌ Belum Tepat (Cek Sheet Akhir: 99_KUNCI_JAWABAN)"))</f>
        <v/>
      </c>
      <c r="G30" s="5" t="n"/>
    </row>
    <row r="31">
      <c r="B31" s="19" t="inlineStr">
        <is>
          <t>Andi Pratama</t>
        </is>
      </c>
      <c r="C31" s="19" t="n">
        <v>4800000</v>
      </c>
    </row>
    <row r="32">
      <c r="B32" s="19" t="inlineStr">
        <is>
          <t>Rina Wijaya</t>
        </is>
      </c>
      <c r="C32" s="19" t="n">
        <v>6100000</v>
      </c>
    </row>
    <row r="35" ht="22" customHeight="1">
      <c r="B35" s="26" t="inlineStr">
        <is>
          <t>📝 SOAL TES #3: Kasus Logistik &amp; Stok Gudang Utama</t>
        </is>
      </c>
    </row>
    <row r="36" ht="30" customHeight="1">
      <c r="B36" s="14" t="inlineStr">
        <is>
          <t>Nama Unit / Kategori</t>
        </is>
      </c>
      <c r="C36" s="14" t="inlineStr">
        <is>
          <t>Nilai Data</t>
        </is>
      </c>
      <c r="E36" s="27" t="inlineStr">
        <is>
          <t>Persoalan Tes #3: Hitung hasil pengolahan fungsi VAR.P untuk keempat baris data pada rentang C37:C40!</t>
        </is>
      </c>
    </row>
    <row r="37">
      <c r="B37" s="19" t="inlineStr">
        <is>
          <t>Gudang Blok A</t>
        </is>
      </c>
      <c r="C37" s="19" t="n">
        <v>240</v>
      </c>
      <c r="E37" s="14" t="inlineStr">
        <is>
          <t>✏️ KETIK RUMUS JAWABAN TES DI BAWAH:</t>
        </is>
      </c>
      <c r="F37" s="14" t="inlineStr">
        <is>
          <t>📌 STATUS KOREKSI JAWABAN TES:</t>
        </is>
      </c>
      <c r="G37" s="5" t="n"/>
    </row>
    <row r="38" ht="26" customHeight="1">
      <c r="B38" s="19" t="inlineStr">
        <is>
          <t>Gudang Blok B</t>
        </is>
      </c>
      <c r="C38" s="19" t="n">
        <v>380</v>
      </c>
      <c r="E38" s="28" t="n"/>
      <c r="F38" s="29">
        <f>IF(ISBLANK(E38), "⏳ Belum Diisi (Ketik Rumus di Sel Kuning E38)", IF(E38='99_KUNCI_JAWABAN'!F452, "✅ BENAR! JAWABAN TES TEPAT!", "❌ Belum Tepat (Cek Sheet Akhir: 99_KUNCI_JAWABAN)"))</f>
        <v/>
      </c>
      <c r="G38" s="5" t="n"/>
    </row>
    <row r="39">
      <c r="B39" s="19" t="inlineStr">
        <is>
          <t>Gudang Blok C</t>
        </is>
      </c>
      <c r="C39" s="19" t="n">
        <v>195</v>
      </c>
    </row>
    <row r="40">
      <c r="B40" s="19" t="inlineStr">
        <is>
          <t>Gudang Blok D</t>
        </is>
      </c>
      <c r="C40" s="19" t="n">
        <v>425</v>
      </c>
    </row>
    <row r="43" ht="22" customHeight="1">
      <c r="B43" s="26" t="inlineStr">
        <is>
          <t>📝 SOAL TES #4: Kasus Penjualan Retail &amp; Target Toko</t>
        </is>
      </c>
    </row>
    <row r="44" ht="30" customHeight="1">
      <c r="B44" s="14" t="inlineStr">
        <is>
          <t>Nama Unit / Kategori</t>
        </is>
      </c>
      <c r="C44" s="14" t="inlineStr">
        <is>
          <t>Nilai Data</t>
        </is>
      </c>
      <c r="E44" s="27" t="inlineStr">
        <is>
          <t>Persoalan Tes #4: Hitung hasil pengolahan fungsi VAR.P untuk keempat baris data pada rentang C45:C48!</t>
        </is>
      </c>
    </row>
    <row r="45">
      <c r="B45" s="19" t="inlineStr">
        <is>
          <t>Toko Elektronik</t>
        </is>
      </c>
      <c r="C45" s="19" t="n">
        <v>85</v>
      </c>
      <c r="E45" s="14" t="inlineStr">
        <is>
          <t>✏️ KETIK RUMUS JAWABAN TES DI BAWAH:</t>
        </is>
      </c>
      <c r="F45" s="14" t="inlineStr">
        <is>
          <t>📌 STATUS KOREKSI JAWABAN TES:</t>
        </is>
      </c>
      <c r="G45" s="5" t="n"/>
    </row>
    <row r="46" ht="26" customHeight="1">
      <c r="B46" s="19" t="inlineStr">
        <is>
          <t>Toko Komputer</t>
        </is>
      </c>
      <c r="C46" s="19" t="n">
        <v>92</v>
      </c>
      <c r="E46" s="28" t="n"/>
      <c r="F46" s="29">
        <f>IF(ISBLANK(E46), "⏳ Belum Diisi (Ketik Rumus di Sel Kuning E46)", IF(E46='99_KUNCI_JAWABAN'!F453, "✅ BENAR! JAWABAN TES TEPAT!", "❌ Belum Tepat (Cek Sheet Akhir: 99_KUNCI_JAWABAN)"))</f>
        <v/>
      </c>
      <c r="G46" s="5" t="n"/>
    </row>
    <row r="47">
      <c r="B47" s="19" t="inlineStr">
        <is>
          <t>Toko Aksesoris</t>
        </is>
      </c>
      <c r="C47" s="19" t="n">
        <v>78</v>
      </c>
    </row>
    <row r="48">
      <c r="B48" s="19" t="inlineStr">
        <is>
          <t>Toko Servis</t>
        </is>
      </c>
      <c r="C48" s="19" t="n">
        <v>95</v>
      </c>
    </row>
    <row r="51" ht="22" customHeight="1">
      <c r="B51" s="26" t="inlineStr">
        <is>
          <t>📝 SOAL TES #5: Kasus Akademik Sekolah &amp; Layanan Publik</t>
        </is>
      </c>
    </row>
    <row r="52" ht="30" customHeight="1">
      <c r="B52" s="14" t="inlineStr">
        <is>
          <t>Nama Unit / Kategori</t>
        </is>
      </c>
      <c r="C52" s="14" t="inlineStr">
        <is>
          <t>Nilai Data</t>
        </is>
      </c>
      <c r="E52" s="27" t="inlineStr">
        <is>
          <t>Persoalan Tes #5: Hitung hasil pengolahan fungsi VAR.P untuk keempat baris data pada rentang C53:C56!</t>
        </is>
      </c>
    </row>
    <row r="53">
      <c r="B53" s="19" t="inlineStr">
        <is>
          <t>Kelas 10 IPA</t>
        </is>
      </c>
      <c r="C53" s="19" t="n">
        <v>82</v>
      </c>
      <c r="E53" s="14" t="inlineStr">
        <is>
          <t>✏️ KETIK RUMUS JAWABAN TES DI BAWAH:</t>
        </is>
      </c>
      <c r="F53" s="14" t="inlineStr">
        <is>
          <t>📌 STATUS KOREKSI JAWABAN TES:</t>
        </is>
      </c>
      <c r="G53" s="5" t="n"/>
    </row>
    <row r="54" ht="26" customHeight="1">
      <c r="B54" s="19" t="inlineStr">
        <is>
          <t>Kelas 11 IPA</t>
        </is>
      </c>
      <c r="C54" s="19" t="n">
        <v>88</v>
      </c>
      <c r="E54" s="28" t="n"/>
      <c r="F54" s="29">
        <f>IF(ISBLANK(E54), "⏳ Belum Diisi (Ketik Rumus di Sel Kuning E54)", IF(E54='99_KUNCI_JAWABAN'!F454, "✅ BENAR! JAWABAN TES TEPAT!", "❌ Belum Tepat (Cek Sheet Akhir: 99_KUNCI_JAWABAN)"))</f>
        <v/>
      </c>
      <c r="G54" s="5" t="n"/>
    </row>
    <row r="55">
      <c r="B55" s="19" t="inlineStr">
        <is>
          <t>Kelas 12 IPA</t>
        </is>
      </c>
      <c r="C55" s="19" t="n">
        <v>91</v>
      </c>
    </row>
    <row r="56">
      <c r="B56" s="19" t="inlineStr">
        <is>
          <t>Kelas Unggulan</t>
        </is>
      </c>
      <c r="C56" s="19" t="n">
        <v>79</v>
      </c>
    </row>
  </sheetData>
  <mergeCells count="33">
    <mergeCell ref="E10:G10"/>
    <mergeCell ref="F11:G11"/>
    <mergeCell ref="E28:G28"/>
    <mergeCell ref="F29:G29"/>
    <mergeCell ref="C6:G6"/>
    <mergeCell ref="F54:G54"/>
    <mergeCell ref="B17:G17"/>
    <mergeCell ref="B1:G1"/>
    <mergeCell ref="C5:G5"/>
    <mergeCell ref="B19:G19"/>
    <mergeCell ref="F21:G21"/>
    <mergeCell ref="F12:G12"/>
    <mergeCell ref="F30:G30"/>
    <mergeCell ref="E36:G36"/>
    <mergeCell ref="B9:G9"/>
    <mergeCell ref="F45:G45"/>
    <mergeCell ref="B51:G51"/>
    <mergeCell ref="F38:G38"/>
    <mergeCell ref="B35:G35"/>
    <mergeCell ref="B4:G4"/>
    <mergeCell ref="F46:G46"/>
    <mergeCell ref="F22:G22"/>
    <mergeCell ref="B2:E2"/>
    <mergeCell ref="F13:G13"/>
    <mergeCell ref="B16:G16"/>
    <mergeCell ref="F37:G37"/>
    <mergeCell ref="C7:G7"/>
    <mergeCell ref="E52:G52"/>
    <mergeCell ref="B27:G27"/>
    <mergeCell ref="B43:G43"/>
    <mergeCell ref="E44:G44"/>
    <mergeCell ref="E20:G20"/>
    <mergeCell ref="F53:G53"/>
  </mergeCells>
  <hyperlinks>
    <hyperlink xmlns:r="http://schemas.openxmlformats.org/officeDocument/2006/relationships" ref="F2" r:id="rId1"/>
    <hyperlink xmlns:r="http://schemas.openxmlformats.org/officeDocument/2006/relationships" ref="G2" r:id="rId2"/>
  </hyperlinks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B1:G56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22" customWidth="1" min="3" max="3"/>
    <col width="4" customWidth="1" min="4" max="4"/>
    <col width="34" customWidth="1" min="5" max="5"/>
    <col width="44" customWidth="1" min="6" max="6"/>
    <col width="28" customWidth="1" min="7" max="7"/>
  </cols>
  <sheetData>
    <row r="1" ht="30" customHeight="1">
      <c r="B1" s="10" t="inlineStr">
        <is>
          <t>📊 #091 — RUMUS EXCEL: VAR.S   |   Kategori: 8. Statistik &amp; Analisis Data</t>
        </is>
      </c>
    </row>
    <row r="2" ht="22" customHeight="1">
      <c r="B2" s="11" t="inlineStr">
        <is>
          <t>1 Rumus = 1 Contoh Soal + Jawaban Benar &amp; 5 Soal Tes Mandiri (Kunci Jawaban Ada di Sheet Paling Terakhir)</t>
        </is>
      </c>
      <c r="F2" s="12" t="inlineStr">
        <is>
          <t>⬅️ Ke Daftar Isi (00_DAFTAR_ISI)</t>
        </is>
      </c>
      <c r="G2" s="3" t="inlineStr">
        <is>
          <t>🔑 Ke Kunci Jawaban (Sheet Akhir)</t>
        </is>
      </c>
    </row>
    <row r="4" ht="24" customHeight="1">
      <c r="B4" s="13" t="inlineStr">
        <is>
          <t>1️⃣ IDENTITAS RUMUS &amp; FUNGSINYA BUAT APA? (VAR.S)</t>
        </is>
      </c>
    </row>
    <row r="5" ht="21" customHeight="1">
      <c r="B5" s="14" t="inlineStr">
        <is>
          <t>Nama Rumus Excel</t>
        </is>
      </c>
      <c r="C5" s="15">
        <f>VAR.S(...)</f>
        <v/>
      </c>
      <c r="D5" s="5" t="n"/>
      <c r="E5" s="5" t="n"/>
      <c r="F5" s="5" t="n"/>
      <c r="G5" s="5" t="n"/>
    </row>
    <row r="6" ht="21" customHeight="1">
      <c r="B6" s="14" t="inlineStr">
        <is>
          <t>Sintaks / Pola Umum</t>
        </is>
      </c>
      <c r="C6" s="15">
        <f>VAR.S(range_sampel)</f>
        <v/>
      </c>
      <c r="D6" s="5" t="n"/>
      <c r="E6" s="5" t="n"/>
      <c r="F6" s="5" t="n"/>
      <c r="G6" s="5" t="n"/>
    </row>
    <row r="7" ht="26" customHeight="1">
      <c r="B7" s="14" t="inlineStr">
        <is>
          <t>👶 Fungsinya Buat Apa?</t>
        </is>
      </c>
      <c r="C7" s="16" t="inlineStr">
        <is>
          <t>Menghitung nilai Varians (keragaman kuadrat) dari data sampel.</t>
        </is>
      </c>
      <c r="D7" s="5" t="n"/>
      <c r="E7" s="5" t="n"/>
      <c r="F7" s="5" t="n"/>
      <c r="G7" s="5" t="n"/>
    </row>
    <row r="9" ht="24" customHeight="1">
      <c r="B9" s="17" t="inlineStr">
        <is>
          <t>2️⃣ 1 CONTOH SOAL &amp; CONTOH JAWABAN BENAR (PELAJARI POLA RUMUS VAR.S DI SINI)</t>
        </is>
      </c>
    </row>
    <row r="10">
      <c r="B10" s="18" t="inlineStr">
        <is>
          <t>Nama Unit / Kategori</t>
        </is>
      </c>
      <c r="C10" s="18" t="inlineStr">
        <is>
          <t>Nilai Data</t>
        </is>
      </c>
      <c r="E10" s="18" t="inlineStr">
        <is>
          <t>✅ 1 CONTOH SOAL BESERTA CONTOH RUMUS &amp; HASIL JAWABAN BENAR:</t>
        </is>
      </c>
      <c r="F10" s="5" t="n"/>
      <c r="G10" s="5" t="n"/>
    </row>
    <row r="11" ht="28" customHeight="1">
      <c r="B11" s="19" t="inlineStr">
        <is>
          <t>Simulasi Unit A</t>
        </is>
      </c>
      <c r="C11" s="19" t="n">
        <v>500000</v>
      </c>
      <c r="E11" s="20" t="inlineStr">
        <is>
          <t>Contoh Soal:</t>
        </is>
      </c>
      <c r="F11" s="21" t="inlineStr">
        <is>
          <t>Hitung hasil pengolahan fungsi VAR.S untuk keempat baris data pada rentang C11:C14!</t>
        </is>
      </c>
      <c r="G11" s="5" t="n"/>
    </row>
    <row r="12">
      <c r="B12" s="19" t="inlineStr">
        <is>
          <t>Simulasi Unit B</t>
        </is>
      </c>
      <c r="C12" s="19" t="n">
        <v>750000</v>
      </c>
      <c r="E12" s="20" t="inlineStr">
        <is>
          <t>Contoh Rumus Benar:</t>
        </is>
      </c>
      <c r="F12" s="22" t="inlineStr">
        <is>
          <t>'=VAR.S(C11:C14)</t>
        </is>
      </c>
      <c r="G12" s="5" t="n"/>
    </row>
    <row r="13">
      <c r="B13" s="19" t="inlineStr">
        <is>
          <t>Simulasi Unit C</t>
        </is>
      </c>
      <c r="C13" s="19" t="n">
        <v>600000</v>
      </c>
      <c r="E13" s="20" t="inlineStr">
        <is>
          <t>Contoh Hasil Benar:</t>
        </is>
      </c>
      <c r="F13" s="23">
        <f>VAR.S(C11:C14)</f>
        <v/>
      </c>
      <c r="G13" s="5" t="n"/>
    </row>
    <row r="14">
      <c r="B14" s="19" t="inlineStr">
        <is>
          <t>Simulasi Unit D</t>
        </is>
      </c>
      <c r="C14" s="19" t="n">
        <v>950000</v>
      </c>
    </row>
    <row r="16" ht="26" customHeight="1">
      <c r="B16" s="24" t="inlineStr">
        <is>
          <t>3️⃣ 5 SOAL TES DUNIA NYATA — KERJAKAN DI KOTAK KUNING (TANPA KUNCI RUMUS / HASIL DI SINI!)</t>
        </is>
      </c>
    </row>
    <row r="17" ht="20" customHeight="1">
      <c r="B17" s="25" t="inlineStr">
        <is>
          <t>📌 Catatan Tes: Soal Tes #1 s/d #5 di bawah ini tidak menampilkan kunci rumus maupun hasil. Kunci jawaban lengkap tersedia di sheet paling terakhir (99_KUNCI_JAWABAN).</t>
        </is>
      </c>
    </row>
    <row r="19" ht="22" customHeight="1">
      <c r="B19" s="26" t="inlineStr">
        <is>
          <t>📝 SOAL TES #1: Kasus Keuangan &amp; Akuntansi Kantor</t>
        </is>
      </c>
    </row>
    <row r="20" ht="30" customHeight="1">
      <c r="B20" s="14" t="inlineStr">
        <is>
          <t>Nama Unit / Kategori</t>
        </is>
      </c>
      <c r="C20" s="14" t="inlineStr">
        <is>
          <t>Nilai Data</t>
        </is>
      </c>
      <c r="E20" s="27" t="inlineStr">
        <is>
          <t>Persoalan Tes #1: Hitung hasil pengolahan fungsi VAR.S untuk keempat baris data pada rentang C21:C24!</t>
        </is>
      </c>
    </row>
    <row r="21">
      <c r="B21" s="19" t="inlineStr">
        <is>
          <t>Cabang Jakarta</t>
        </is>
      </c>
      <c r="C21" s="19" t="n">
        <v>1250000</v>
      </c>
      <c r="E21" s="14" t="inlineStr">
        <is>
          <t>✏️ KETIK RUMUS JAWABAN TES DI BAWAH:</t>
        </is>
      </c>
      <c r="F21" s="14" t="inlineStr">
        <is>
          <t>📌 STATUS KOREKSI JAWABAN TES:</t>
        </is>
      </c>
      <c r="G21" s="5" t="n"/>
    </row>
    <row r="22" ht="26" customHeight="1">
      <c r="B22" s="19" t="inlineStr">
        <is>
          <t>Cabang Bandung</t>
        </is>
      </c>
      <c r="C22" s="19" t="n">
        <v>1850000</v>
      </c>
      <c r="E22" s="28" t="n"/>
      <c r="F22" s="29">
        <f>IF(ISBLANK(E22), "⏳ Belum Diisi (Ketik Rumus di Sel Kuning E22)", IF(E22='99_KUNCI_JAWABAN'!F455, "✅ BENAR! JAWABAN TES TEPAT!", "❌ Belum Tepat (Cek Sheet Akhir: 99_KUNCI_JAWABAN)"))</f>
        <v/>
      </c>
      <c r="G22" s="5" t="n"/>
    </row>
    <row r="23">
      <c r="B23" s="19" t="inlineStr">
        <is>
          <t>Cabang Surabaya</t>
        </is>
      </c>
      <c r="C23" s="19" t="n">
        <v>2100000</v>
      </c>
    </row>
    <row r="24">
      <c r="B24" s="19" t="inlineStr">
        <is>
          <t>Cabang Medan</t>
        </is>
      </c>
      <c r="C24" s="19" t="n">
        <v>1600000</v>
      </c>
    </row>
    <row r="27" ht="22" customHeight="1">
      <c r="B27" s="26" t="inlineStr">
        <is>
          <t>📝 SOAL TES #2: Kasus HRD, Gaji &amp; Lembur Karyawan</t>
        </is>
      </c>
    </row>
    <row r="28" ht="30" customHeight="1">
      <c r="B28" s="14" t="inlineStr">
        <is>
          <t>Nama Unit / Kategori</t>
        </is>
      </c>
      <c r="C28" s="14" t="inlineStr">
        <is>
          <t>Nilai Data</t>
        </is>
      </c>
      <c r="E28" s="27" t="inlineStr">
        <is>
          <t>Persoalan Tes #2: Hitung hasil pengolahan fungsi VAR.S untuk keempat baris data pada rentang C29:C32!</t>
        </is>
      </c>
    </row>
    <row r="29">
      <c r="B29" s="19" t="inlineStr">
        <is>
          <t>Budi Santoso</t>
        </is>
      </c>
      <c r="C29" s="19" t="n">
        <v>4500000</v>
      </c>
      <c r="E29" s="14" t="inlineStr">
        <is>
          <t>✏️ KETIK RUMUS JAWABAN TES DI BAWAH:</t>
        </is>
      </c>
      <c r="F29" s="14" t="inlineStr">
        <is>
          <t>📌 STATUS KOREKSI JAWABAN TES:</t>
        </is>
      </c>
      <c r="G29" s="5" t="n"/>
    </row>
    <row r="30" ht="26" customHeight="1">
      <c r="B30" s="19" t="inlineStr">
        <is>
          <t>Siti Aminah</t>
        </is>
      </c>
      <c r="C30" s="19" t="n">
        <v>5200000</v>
      </c>
      <c r="E30" s="28" t="n"/>
      <c r="F30" s="29">
        <f>IF(ISBLANK(E30), "⏳ Belum Diisi (Ketik Rumus di Sel Kuning E30)", IF(E30='99_KUNCI_JAWABAN'!F456, "✅ BENAR! JAWABAN TES TEPAT!", "❌ Belum Tepat (Cek Sheet Akhir: 99_KUNCI_JAWABAN)"))</f>
        <v/>
      </c>
      <c r="G30" s="5" t="n"/>
    </row>
    <row r="31">
      <c r="B31" s="19" t="inlineStr">
        <is>
          <t>Andi Pratama</t>
        </is>
      </c>
      <c r="C31" s="19" t="n">
        <v>4800000</v>
      </c>
    </row>
    <row r="32">
      <c r="B32" s="19" t="inlineStr">
        <is>
          <t>Rina Wijaya</t>
        </is>
      </c>
      <c r="C32" s="19" t="n">
        <v>6100000</v>
      </c>
    </row>
    <row r="35" ht="22" customHeight="1">
      <c r="B35" s="26" t="inlineStr">
        <is>
          <t>📝 SOAL TES #3: Kasus Logistik &amp; Stok Gudang Utama</t>
        </is>
      </c>
    </row>
    <row r="36" ht="30" customHeight="1">
      <c r="B36" s="14" t="inlineStr">
        <is>
          <t>Nama Unit / Kategori</t>
        </is>
      </c>
      <c r="C36" s="14" t="inlineStr">
        <is>
          <t>Nilai Data</t>
        </is>
      </c>
      <c r="E36" s="27" t="inlineStr">
        <is>
          <t>Persoalan Tes #3: Hitung hasil pengolahan fungsi VAR.S untuk keempat baris data pada rentang C37:C40!</t>
        </is>
      </c>
    </row>
    <row r="37">
      <c r="B37" s="19" t="inlineStr">
        <is>
          <t>Gudang Blok A</t>
        </is>
      </c>
      <c r="C37" s="19" t="n">
        <v>240</v>
      </c>
      <c r="E37" s="14" t="inlineStr">
        <is>
          <t>✏️ KETIK RUMUS JAWABAN TES DI BAWAH:</t>
        </is>
      </c>
      <c r="F37" s="14" t="inlineStr">
        <is>
          <t>📌 STATUS KOREKSI JAWABAN TES:</t>
        </is>
      </c>
      <c r="G37" s="5" t="n"/>
    </row>
    <row r="38" ht="26" customHeight="1">
      <c r="B38" s="19" t="inlineStr">
        <is>
          <t>Gudang Blok B</t>
        </is>
      </c>
      <c r="C38" s="19" t="n">
        <v>380</v>
      </c>
      <c r="E38" s="28" t="n"/>
      <c r="F38" s="29">
        <f>IF(ISBLANK(E38), "⏳ Belum Diisi (Ketik Rumus di Sel Kuning E38)", IF(E38='99_KUNCI_JAWABAN'!F457, "✅ BENAR! JAWABAN TES TEPAT!", "❌ Belum Tepat (Cek Sheet Akhir: 99_KUNCI_JAWABAN)"))</f>
        <v/>
      </c>
      <c r="G38" s="5" t="n"/>
    </row>
    <row r="39">
      <c r="B39" s="19" t="inlineStr">
        <is>
          <t>Gudang Blok C</t>
        </is>
      </c>
      <c r="C39" s="19" t="n">
        <v>195</v>
      </c>
    </row>
    <row r="40">
      <c r="B40" s="19" t="inlineStr">
        <is>
          <t>Gudang Blok D</t>
        </is>
      </c>
      <c r="C40" s="19" t="n">
        <v>425</v>
      </c>
    </row>
    <row r="43" ht="22" customHeight="1">
      <c r="B43" s="26" t="inlineStr">
        <is>
          <t>📝 SOAL TES #4: Kasus Penjualan Retail &amp; Target Toko</t>
        </is>
      </c>
    </row>
    <row r="44" ht="30" customHeight="1">
      <c r="B44" s="14" t="inlineStr">
        <is>
          <t>Nama Unit / Kategori</t>
        </is>
      </c>
      <c r="C44" s="14" t="inlineStr">
        <is>
          <t>Nilai Data</t>
        </is>
      </c>
      <c r="E44" s="27" t="inlineStr">
        <is>
          <t>Persoalan Tes #4: Hitung hasil pengolahan fungsi VAR.S untuk keempat baris data pada rentang C45:C48!</t>
        </is>
      </c>
    </row>
    <row r="45">
      <c r="B45" s="19" t="inlineStr">
        <is>
          <t>Toko Elektronik</t>
        </is>
      </c>
      <c r="C45" s="19" t="n">
        <v>85</v>
      </c>
      <c r="E45" s="14" t="inlineStr">
        <is>
          <t>✏️ KETIK RUMUS JAWABAN TES DI BAWAH:</t>
        </is>
      </c>
      <c r="F45" s="14" t="inlineStr">
        <is>
          <t>📌 STATUS KOREKSI JAWABAN TES:</t>
        </is>
      </c>
      <c r="G45" s="5" t="n"/>
    </row>
    <row r="46" ht="26" customHeight="1">
      <c r="B46" s="19" t="inlineStr">
        <is>
          <t>Toko Komputer</t>
        </is>
      </c>
      <c r="C46" s="19" t="n">
        <v>92</v>
      </c>
      <c r="E46" s="28" t="n"/>
      <c r="F46" s="29">
        <f>IF(ISBLANK(E46), "⏳ Belum Diisi (Ketik Rumus di Sel Kuning E46)", IF(E46='99_KUNCI_JAWABAN'!F458, "✅ BENAR! JAWABAN TES TEPAT!", "❌ Belum Tepat (Cek Sheet Akhir: 99_KUNCI_JAWABAN)"))</f>
        <v/>
      </c>
      <c r="G46" s="5" t="n"/>
    </row>
    <row r="47">
      <c r="B47" s="19" t="inlineStr">
        <is>
          <t>Toko Aksesoris</t>
        </is>
      </c>
      <c r="C47" s="19" t="n">
        <v>78</v>
      </c>
    </row>
    <row r="48">
      <c r="B48" s="19" t="inlineStr">
        <is>
          <t>Toko Servis</t>
        </is>
      </c>
      <c r="C48" s="19" t="n">
        <v>95</v>
      </c>
    </row>
    <row r="51" ht="22" customHeight="1">
      <c r="B51" s="26" t="inlineStr">
        <is>
          <t>📝 SOAL TES #5: Kasus Akademik Sekolah &amp; Layanan Publik</t>
        </is>
      </c>
    </row>
    <row r="52" ht="30" customHeight="1">
      <c r="B52" s="14" t="inlineStr">
        <is>
          <t>Nama Unit / Kategori</t>
        </is>
      </c>
      <c r="C52" s="14" t="inlineStr">
        <is>
          <t>Nilai Data</t>
        </is>
      </c>
      <c r="E52" s="27" t="inlineStr">
        <is>
          <t>Persoalan Tes #5: Hitung hasil pengolahan fungsi VAR.S untuk keempat baris data pada rentang C53:C56!</t>
        </is>
      </c>
    </row>
    <row r="53">
      <c r="B53" s="19" t="inlineStr">
        <is>
          <t>Kelas 10 IPA</t>
        </is>
      </c>
      <c r="C53" s="19" t="n">
        <v>82</v>
      </c>
      <c r="E53" s="14" t="inlineStr">
        <is>
          <t>✏️ KETIK RUMUS JAWABAN TES DI BAWAH:</t>
        </is>
      </c>
      <c r="F53" s="14" t="inlineStr">
        <is>
          <t>📌 STATUS KOREKSI JAWABAN TES:</t>
        </is>
      </c>
      <c r="G53" s="5" t="n"/>
    </row>
    <row r="54" ht="26" customHeight="1">
      <c r="B54" s="19" t="inlineStr">
        <is>
          <t>Kelas 11 IPA</t>
        </is>
      </c>
      <c r="C54" s="19" t="n">
        <v>88</v>
      </c>
      <c r="E54" s="28" t="n"/>
      <c r="F54" s="29">
        <f>IF(ISBLANK(E54), "⏳ Belum Diisi (Ketik Rumus di Sel Kuning E54)", IF(E54='99_KUNCI_JAWABAN'!F459, "✅ BENAR! JAWABAN TES TEPAT!", "❌ Belum Tepat (Cek Sheet Akhir: 99_KUNCI_JAWABAN)"))</f>
        <v/>
      </c>
      <c r="G54" s="5" t="n"/>
    </row>
    <row r="55">
      <c r="B55" s="19" t="inlineStr">
        <is>
          <t>Kelas 12 IPA</t>
        </is>
      </c>
      <c r="C55" s="19" t="n">
        <v>91</v>
      </c>
    </row>
    <row r="56">
      <c r="B56" s="19" t="inlineStr">
        <is>
          <t>Kelas Unggulan</t>
        </is>
      </c>
      <c r="C56" s="19" t="n">
        <v>79</v>
      </c>
    </row>
  </sheetData>
  <mergeCells count="33">
    <mergeCell ref="E10:G10"/>
    <mergeCell ref="F11:G11"/>
    <mergeCell ref="E28:G28"/>
    <mergeCell ref="F29:G29"/>
    <mergeCell ref="C6:G6"/>
    <mergeCell ref="F54:G54"/>
    <mergeCell ref="B17:G17"/>
    <mergeCell ref="B1:G1"/>
    <mergeCell ref="C5:G5"/>
    <mergeCell ref="B19:G19"/>
    <mergeCell ref="F21:G21"/>
    <mergeCell ref="F12:G12"/>
    <mergeCell ref="F30:G30"/>
    <mergeCell ref="E36:G36"/>
    <mergeCell ref="B9:G9"/>
    <mergeCell ref="F45:G45"/>
    <mergeCell ref="B51:G51"/>
    <mergeCell ref="F38:G38"/>
    <mergeCell ref="B35:G35"/>
    <mergeCell ref="B4:G4"/>
    <mergeCell ref="F46:G46"/>
    <mergeCell ref="F22:G22"/>
    <mergeCell ref="B2:E2"/>
    <mergeCell ref="F13:G13"/>
    <mergeCell ref="B16:G16"/>
    <mergeCell ref="F37:G37"/>
    <mergeCell ref="C7:G7"/>
    <mergeCell ref="E52:G52"/>
    <mergeCell ref="B27:G27"/>
    <mergeCell ref="B43:G43"/>
    <mergeCell ref="E44:G44"/>
    <mergeCell ref="E20:G20"/>
    <mergeCell ref="F53:G53"/>
  </mergeCells>
  <hyperlinks>
    <hyperlink xmlns:r="http://schemas.openxmlformats.org/officeDocument/2006/relationships" ref="F2" r:id="rId1"/>
    <hyperlink xmlns:r="http://schemas.openxmlformats.org/officeDocument/2006/relationships" ref="G2" r:id="rId2"/>
  </hyperlinks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B1:G56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22" customWidth="1" min="3" max="3"/>
    <col width="4" customWidth="1" min="4" max="4"/>
    <col width="34" customWidth="1" min="5" max="5"/>
    <col width="44" customWidth="1" min="6" max="6"/>
    <col width="28" customWidth="1" min="7" max="7"/>
  </cols>
  <sheetData>
    <row r="1" ht="30" customHeight="1">
      <c r="B1" s="10" t="inlineStr">
        <is>
          <t>📊 #092 — RUMUS EXCEL: VARA   |   Kategori: 8. Statistik &amp; Analisis Data</t>
        </is>
      </c>
    </row>
    <row r="2" ht="22" customHeight="1">
      <c r="B2" s="11" t="inlineStr">
        <is>
          <t>1 Rumus = 1 Contoh Soal + Jawaban Benar &amp; 5 Soal Tes Mandiri (Kunci Jawaban Ada di Sheet Paling Terakhir)</t>
        </is>
      </c>
      <c r="F2" s="12" t="inlineStr">
        <is>
          <t>⬅️ Ke Daftar Isi (00_DAFTAR_ISI)</t>
        </is>
      </c>
      <c r="G2" s="3" t="inlineStr">
        <is>
          <t>🔑 Ke Kunci Jawaban (Sheet Akhir)</t>
        </is>
      </c>
    </row>
    <row r="4" ht="24" customHeight="1">
      <c r="B4" s="13" t="inlineStr">
        <is>
          <t>1️⃣ IDENTITAS RUMUS &amp; FUNGSINYA BUAT APA? (VARA)</t>
        </is>
      </c>
    </row>
    <row r="5" ht="21" customHeight="1">
      <c r="B5" s="14" t="inlineStr">
        <is>
          <t>Nama Rumus Excel</t>
        </is>
      </c>
      <c r="C5" s="15">
        <f>VARA(...)</f>
        <v/>
      </c>
      <c r="D5" s="5" t="n"/>
      <c r="E5" s="5" t="n"/>
      <c r="F5" s="5" t="n"/>
      <c r="G5" s="5" t="n"/>
    </row>
    <row r="6" ht="21" customHeight="1">
      <c r="B6" s="14" t="inlineStr">
        <is>
          <t>Sintaks / Pola Umum</t>
        </is>
      </c>
      <c r="C6" s="15">
        <f>VARA(range_sampel)</f>
        <v/>
      </c>
      <c r="D6" s="5" t="n"/>
      <c r="E6" s="5" t="n"/>
      <c r="F6" s="5" t="n"/>
      <c r="G6" s="5" t="n"/>
    </row>
    <row r="7" ht="26" customHeight="1">
      <c r="B7" s="14" t="inlineStr">
        <is>
          <t>👶 Fungsinya Buat Apa?</t>
        </is>
      </c>
      <c r="C7" s="16" t="inlineStr">
        <is>
          <t>Menghitung varians sampel termasuk nilai logika dan teks.</t>
        </is>
      </c>
      <c r="D7" s="5" t="n"/>
      <c r="E7" s="5" t="n"/>
      <c r="F7" s="5" t="n"/>
      <c r="G7" s="5" t="n"/>
    </row>
    <row r="9" ht="24" customHeight="1">
      <c r="B9" s="17" t="inlineStr">
        <is>
          <t>2️⃣ 1 CONTOH SOAL &amp; CONTOH JAWABAN BENAR (PELAJARI POLA RUMUS VARA DI SINI)</t>
        </is>
      </c>
    </row>
    <row r="10">
      <c r="B10" s="18" t="inlineStr">
        <is>
          <t>Nama Unit / Kategori</t>
        </is>
      </c>
      <c r="C10" s="18" t="inlineStr">
        <is>
          <t>Nilai Data</t>
        </is>
      </c>
      <c r="E10" s="18" t="inlineStr">
        <is>
          <t>✅ 1 CONTOH SOAL BESERTA CONTOH RUMUS &amp; HASIL JAWABAN BENAR:</t>
        </is>
      </c>
      <c r="F10" s="5" t="n"/>
      <c r="G10" s="5" t="n"/>
    </row>
    <row r="11" ht="28" customHeight="1">
      <c r="B11" s="19" t="inlineStr">
        <is>
          <t>Simulasi Unit A</t>
        </is>
      </c>
      <c r="C11" s="19" t="n">
        <v>500000</v>
      </c>
      <c r="E11" s="20" t="inlineStr">
        <is>
          <t>Contoh Soal:</t>
        </is>
      </c>
      <c r="F11" s="21" t="inlineStr">
        <is>
          <t>Hitung hasil pengolahan fungsi VARA untuk keempat baris data pada rentang C11:C14!</t>
        </is>
      </c>
      <c r="G11" s="5" t="n"/>
    </row>
    <row r="12">
      <c r="B12" s="19" t="inlineStr">
        <is>
          <t>Simulasi Unit B</t>
        </is>
      </c>
      <c r="C12" s="19" t="n">
        <v>750000</v>
      </c>
      <c r="E12" s="20" t="inlineStr">
        <is>
          <t>Contoh Rumus Benar:</t>
        </is>
      </c>
      <c r="F12" s="22" t="inlineStr">
        <is>
          <t>'=VARA(C11:C14)</t>
        </is>
      </c>
      <c r="G12" s="5" t="n"/>
    </row>
    <row r="13">
      <c r="B13" s="19" t="inlineStr">
        <is>
          <t>Simulasi Unit C</t>
        </is>
      </c>
      <c r="C13" s="19" t="n">
        <v>600000</v>
      </c>
      <c r="E13" s="20" t="inlineStr">
        <is>
          <t>Contoh Hasil Benar:</t>
        </is>
      </c>
      <c r="F13" s="23">
        <f>VARA(C11:C14)</f>
        <v/>
      </c>
      <c r="G13" s="5" t="n"/>
    </row>
    <row r="14">
      <c r="B14" s="19" t="inlineStr">
        <is>
          <t>Simulasi Unit D</t>
        </is>
      </c>
      <c r="C14" s="19" t="n">
        <v>950000</v>
      </c>
    </row>
    <row r="16" ht="26" customHeight="1">
      <c r="B16" s="24" t="inlineStr">
        <is>
          <t>3️⃣ 5 SOAL TES DUNIA NYATA — KERJAKAN DI KOTAK KUNING (TANPA KUNCI RUMUS / HASIL DI SINI!)</t>
        </is>
      </c>
    </row>
    <row r="17" ht="20" customHeight="1">
      <c r="B17" s="25" t="inlineStr">
        <is>
          <t>📌 Catatan Tes: Soal Tes #1 s/d #5 di bawah ini tidak menampilkan kunci rumus maupun hasil. Kunci jawaban lengkap tersedia di sheet paling terakhir (99_KUNCI_JAWABAN).</t>
        </is>
      </c>
    </row>
    <row r="19" ht="22" customHeight="1">
      <c r="B19" s="26" t="inlineStr">
        <is>
          <t>📝 SOAL TES #1: Kasus Keuangan &amp; Akuntansi Kantor</t>
        </is>
      </c>
    </row>
    <row r="20" ht="30" customHeight="1">
      <c r="B20" s="14" t="inlineStr">
        <is>
          <t>Nama Unit / Kategori</t>
        </is>
      </c>
      <c r="C20" s="14" t="inlineStr">
        <is>
          <t>Nilai Data</t>
        </is>
      </c>
      <c r="E20" s="27" t="inlineStr">
        <is>
          <t>Persoalan Tes #1: Hitung hasil pengolahan fungsi VARA untuk keempat baris data pada rentang C21:C24!</t>
        </is>
      </c>
    </row>
    <row r="21">
      <c r="B21" s="19" t="inlineStr">
        <is>
          <t>Cabang Jakarta</t>
        </is>
      </c>
      <c r="C21" s="19" t="n">
        <v>1250000</v>
      </c>
      <c r="E21" s="14" t="inlineStr">
        <is>
          <t>✏️ KETIK RUMUS JAWABAN TES DI BAWAH:</t>
        </is>
      </c>
      <c r="F21" s="14" t="inlineStr">
        <is>
          <t>📌 STATUS KOREKSI JAWABAN TES:</t>
        </is>
      </c>
      <c r="G21" s="5" t="n"/>
    </row>
    <row r="22" ht="26" customHeight="1">
      <c r="B22" s="19" t="inlineStr">
        <is>
          <t>Cabang Bandung</t>
        </is>
      </c>
      <c r="C22" s="19" t="n">
        <v>1850000</v>
      </c>
      <c r="E22" s="28" t="n"/>
      <c r="F22" s="29">
        <f>IF(ISBLANK(E22), "⏳ Belum Diisi (Ketik Rumus di Sel Kuning E22)", IF(E22='99_KUNCI_JAWABAN'!F460, "✅ BENAR! JAWABAN TES TEPAT!", "❌ Belum Tepat (Cek Sheet Akhir: 99_KUNCI_JAWABAN)"))</f>
        <v/>
      </c>
      <c r="G22" s="5" t="n"/>
    </row>
    <row r="23">
      <c r="B23" s="19" t="inlineStr">
        <is>
          <t>Cabang Surabaya</t>
        </is>
      </c>
      <c r="C23" s="19" t="n">
        <v>2100000</v>
      </c>
    </row>
    <row r="24">
      <c r="B24" s="19" t="inlineStr">
        <is>
          <t>Cabang Medan</t>
        </is>
      </c>
      <c r="C24" s="19" t="n">
        <v>1600000</v>
      </c>
    </row>
    <row r="27" ht="22" customHeight="1">
      <c r="B27" s="26" t="inlineStr">
        <is>
          <t>📝 SOAL TES #2: Kasus HRD, Gaji &amp; Lembur Karyawan</t>
        </is>
      </c>
    </row>
    <row r="28" ht="30" customHeight="1">
      <c r="B28" s="14" t="inlineStr">
        <is>
          <t>Nama Unit / Kategori</t>
        </is>
      </c>
      <c r="C28" s="14" t="inlineStr">
        <is>
          <t>Nilai Data</t>
        </is>
      </c>
      <c r="E28" s="27" t="inlineStr">
        <is>
          <t>Persoalan Tes #2: Hitung hasil pengolahan fungsi VARA untuk keempat baris data pada rentang C29:C32!</t>
        </is>
      </c>
    </row>
    <row r="29">
      <c r="B29" s="19" t="inlineStr">
        <is>
          <t>Budi Santoso</t>
        </is>
      </c>
      <c r="C29" s="19" t="n">
        <v>4500000</v>
      </c>
      <c r="E29" s="14" t="inlineStr">
        <is>
          <t>✏️ KETIK RUMUS JAWABAN TES DI BAWAH:</t>
        </is>
      </c>
      <c r="F29" s="14" t="inlineStr">
        <is>
          <t>📌 STATUS KOREKSI JAWABAN TES:</t>
        </is>
      </c>
      <c r="G29" s="5" t="n"/>
    </row>
    <row r="30" ht="26" customHeight="1">
      <c r="B30" s="19" t="inlineStr">
        <is>
          <t>Siti Aminah</t>
        </is>
      </c>
      <c r="C30" s="19" t="n">
        <v>5200000</v>
      </c>
      <c r="E30" s="28" t="n"/>
      <c r="F30" s="29">
        <f>IF(ISBLANK(E30), "⏳ Belum Diisi (Ketik Rumus di Sel Kuning E30)", IF(E30='99_KUNCI_JAWABAN'!F461, "✅ BENAR! JAWABAN TES TEPAT!", "❌ Belum Tepat (Cek Sheet Akhir: 99_KUNCI_JAWABAN)"))</f>
        <v/>
      </c>
      <c r="G30" s="5" t="n"/>
    </row>
    <row r="31">
      <c r="B31" s="19" t="inlineStr">
        <is>
          <t>Andi Pratama</t>
        </is>
      </c>
      <c r="C31" s="19" t="n">
        <v>4800000</v>
      </c>
    </row>
    <row r="32">
      <c r="B32" s="19" t="inlineStr">
        <is>
          <t>Rina Wijaya</t>
        </is>
      </c>
      <c r="C32" s="19" t="n">
        <v>6100000</v>
      </c>
    </row>
    <row r="35" ht="22" customHeight="1">
      <c r="B35" s="26" t="inlineStr">
        <is>
          <t>📝 SOAL TES #3: Kasus Logistik &amp; Stok Gudang Utama</t>
        </is>
      </c>
    </row>
    <row r="36" ht="30" customHeight="1">
      <c r="B36" s="14" t="inlineStr">
        <is>
          <t>Nama Unit / Kategori</t>
        </is>
      </c>
      <c r="C36" s="14" t="inlineStr">
        <is>
          <t>Nilai Data</t>
        </is>
      </c>
      <c r="E36" s="27" t="inlineStr">
        <is>
          <t>Persoalan Tes #3: Hitung hasil pengolahan fungsi VARA untuk keempat baris data pada rentang C37:C40!</t>
        </is>
      </c>
    </row>
    <row r="37">
      <c r="B37" s="19" t="inlineStr">
        <is>
          <t>Gudang Blok A</t>
        </is>
      </c>
      <c r="C37" s="19" t="n">
        <v>240</v>
      </c>
      <c r="E37" s="14" t="inlineStr">
        <is>
          <t>✏️ KETIK RUMUS JAWABAN TES DI BAWAH:</t>
        </is>
      </c>
      <c r="F37" s="14" t="inlineStr">
        <is>
          <t>📌 STATUS KOREKSI JAWABAN TES:</t>
        </is>
      </c>
      <c r="G37" s="5" t="n"/>
    </row>
    <row r="38" ht="26" customHeight="1">
      <c r="B38" s="19" t="inlineStr">
        <is>
          <t>Gudang Blok B</t>
        </is>
      </c>
      <c r="C38" s="19" t="n">
        <v>380</v>
      </c>
      <c r="E38" s="28" t="n"/>
      <c r="F38" s="29">
        <f>IF(ISBLANK(E38), "⏳ Belum Diisi (Ketik Rumus di Sel Kuning E38)", IF(E38='99_KUNCI_JAWABAN'!F462, "✅ BENAR! JAWABAN TES TEPAT!", "❌ Belum Tepat (Cek Sheet Akhir: 99_KUNCI_JAWABAN)"))</f>
        <v/>
      </c>
      <c r="G38" s="5" t="n"/>
    </row>
    <row r="39">
      <c r="B39" s="19" t="inlineStr">
        <is>
          <t>Gudang Blok C</t>
        </is>
      </c>
      <c r="C39" s="19" t="n">
        <v>195</v>
      </c>
    </row>
    <row r="40">
      <c r="B40" s="19" t="inlineStr">
        <is>
          <t>Gudang Blok D</t>
        </is>
      </c>
      <c r="C40" s="19" t="n">
        <v>425</v>
      </c>
    </row>
    <row r="43" ht="22" customHeight="1">
      <c r="B43" s="26" t="inlineStr">
        <is>
          <t>📝 SOAL TES #4: Kasus Penjualan Retail &amp; Target Toko</t>
        </is>
      </c>
    </row>
    <row r="44" ht="30" customHeight="1">
      <c r="B44" s="14" t="inlineStr">
        <is>
          <t>Nama Unit / Kategori</t>
        </is>
      </c>
      <c r="C44" s="14" t="inlineStr">
        <is>
          <t>Nilai Data</t>
        </is>
      </c>
      <c r="E44" s="27" t="inlineStr">
        <is>
          <t>Persoalan Tes #4: Hitung hasil pengolahan fungsi VARA untuk keempat baris data pada rentang C45:C48!</t>
        </is>
      </c>
    </row>
    <row r="45">
      <c r="B45" s="19" t="inlineStr">
        <is>
          <t>Toko Elektronik</t>
        </is>
      </c>
      <c r="C45" s="19" t="n">
        <v>85</v>
      </c>
      <c r="E45" s="14" t="inlineStr">
        <is>
          <t>✏️ KETIK RUMUS JAWABAN TES DI BAWAH:</t>
        </is>
      </c>
      <c r="F45" s="14" t="inlineStr">
        <is>
          <t>📌 STATUS KOREKSI JAWABAN TES:</t>
        </is>
      </c>
      <c r="G45" s="5" t="n"/>
    </row>
    <row r="46" ht="26" customHeight="1">
      <c r="B46" s="19" t="inlineStr">
        <is>
          <t>Toko Komputer</t>
        </is>
      </c>
      <c r="C46" s="19" t="n">
        <v>92</v>
      </c>
      <c r="E46" s="28" t="n"/>
      <c r="F46" s="29">
        <f>IF(ISBLANK(E46), "⏳ Belum Diisi (Ketik Rumus di Sel Kuning E46)", IF(E46='99_KUNCI_JAWABAN'!F463, "✅ BENAR! JAWABAN TES TEPAT!", "❌ Belum Tepat (Cek Sheet Akhir: 99_KUNCI_JAWABAN)"))</f>
        <v/>
      </c>
      <c r="G46" s="5" t="n"/>
    </row>
    <row r="47">
      <c r="B47" s="19" t="inlineStr">
        <is>
          <t>Toko Aksesoris</t>
        </is>
      </c>
      <c r="C47" s="19" t="n">
        <v>78</v>
      </c>
    </row>
    <row r="48">
      <c r="B48" s="19" t="inlineStr">
        <is>
          <t>Toko Servis</t>
        </is>
      </c>
      <c r="C48" s="19" t="n">
        <v>95</v>
      </c>
    </row>
    <row r="51" ht="22" customHeight="1">
      <c r="B51" s="26" t="inlineStr">
        <is>
          <t>📝 SOAL TES #5: Kasus Akademik Sekolah &amp; Layanan Publik</t>
        </is>
      </c>
    </row>
    <row r="52" ht="30" customHeight="1">
      <c r="B52" s="14" t="inlineStr">
        <is>
          <t>Nama Unit / Kategori</t>
        </is>
      </c>
      <c r="C52" s="14" t="inlineStr">
        <is>
          <t>Nilai Data</t>
        </is>
      </c>
      <c r="E52" s="27" t="inlineStr">
        <is>
          <t>Persoalan Tes #5: Hitung hasil pengolahan fungsi VARA untuk keempat baris data pada rentang C53:C56!</t>
        </is>
      </c>
    </row>
    <row r="53">
      <c r="B53" s="19" t="inlineStr">
        <is>
          <t>Kelas 10 IPA</t>
        </is>
      </c>
      <c r="C53" s="19" t="n">
        <v>82</v>
      </c>
      <c r="E53" s="14" t="inlineStr">
        <is>
          <t>✏️ KETIK RUMUS JAWABAN TES DI BAWAH:</t>
        </is>
      </c>
      <c r="F53" s="14" t="inlineStr">
        <is>
          <t>📌 STATUS KOREKSI JAWABAN TES:</t>
        </is>
      </c>
      <c r="G53" s="5" t="n"/>
    </row>
    <row r="54" ht="26" customHeight="1">
      <c r="B54" s="19" t="inlineStr">
        <is>
          <t>Kelas 11 IPA</t>
        </is>
      </c>
      <c r="C54" s="19" t="n">
        <v>88</v>
      </c>
      <c r="E54" s="28" t="n"/>
      <c r="F54" s="29">
        <f>IF(ISBLANK(E54), "⏳ Belum Diisi (Ketik Rumus di Sel Kuning E54)", IF(E54='99_KUNCI_JAWABAN'!F464, "✅ BENAR! JAWABAN TES TEPAT!", "❌ Belum Tepat (Cek Sheet Akhir: 99_KUNCI_JAWABAN)"))</f>
        <v/>
      </c>
      <c r="G54" s="5" t="n"/>
    </row>
    <row r="55">
      <c r="B55" s="19" t="inlineStr">
        <is>
          <t>Kelas 12 IPA</t>
        </is>
      </c>
      <c r="C55" s="19" t="n">
        <v>91</v>
      </c>
    </row>
    <row r="56">
      <c r="B56" s="19" t="inlineStr">
        <is>
          <t>Kelas Unggulan</t>
        </is>
      </c>
      <c r="C56" s="19" t="n">
        <v>79</v>
      </c>
    </row>
  </sheetData>
  <mergeCells count="33">
    <mergeCell ref="E10:G10"/>
    <mergeCell ref="F11:G11"/>
    <mergeCell ref="E28:G28"/>
    <mergeCell ref="F29:G29"/>
    <mergeCell ref="C6:G6"/>
    <mergeCell ref="F54:G54"/>
    <mergeCell ref="B17:G17"/>
    <mergeCell ref="B1:G1"/>
    <mergeCell ref="C5:G5"/>
    <mergeCell ref="B19:G19"/>
    <mergeCell ref="F21:G21"/>
    <mergeCell ref="F12:G12"/>
    <mergeCell ref="F30:G30"/>
    <mergeCell ref="E36:G36"/>
    <mergeCell ref="B9:G9"/>
    <mergeCell ref="F45:G45"/>
    <mergeCell ref="B51:G51"/>
    <mergeCell ref="F38:G38"/>
    <mergeCell ref="B35:G35"/>
    <mergeCell ref="B4:G4"/>
    <mergeCell ref="F46:G46"/>
    <mergeCell ref="F22:G22"/>
    <mergeCell ref="B2:E2"/>
    <mergeCell ref="F13:G13"/>
    <mergeCell ref="B16:G16"/>
    <mergeCell ref="F37:G37"/>
    <mergeCell ref="C7:G7"/>
    <mergeCell ref="E52:G52"/>
    <mergeCell ref="B27:G27"/>
    <mergeCell ref="B43:G43"/>
    <mergeCell ref="E44:G44"/>
    <mergeCell ref="E20:G20"/>
    <mergeCell ref="F53:G53"/>
  </mergeCells>
  <hyperlinks>
    <hyperlink xmlns:r="http://schemas.openxmlformats.org/officeDocument/2006/relationships" ref="F2" r:id="rId1"/>
    <hyperlink xmlns:r="http://schemas.openxmlformats.org/officeDocument/2006/relationships" ref="G2" r:id="rId2"/>
  </hyperlinks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B1:G56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22" customWidth="1" min="3" max="3"/>
    <col width="4" customWidth="1" min="4" max="4"/>
    <col width="34" customWidth="1" min="5" max="5"/>
    <col width="44" customWidth="1" min="6" max="6"/>
    <col width="28" customWidth="1" min="7" max="7"/>
  </cols>
  <sheetData>
    <row r="1" ht="30" customHeight="1">
      <c r="B1" s="10" t="inlineStr">
        <is>
          <t>📊 #093 — RUMUS EXCEL: VARPA   |   Kategori: 8. Statistik &amp; Analisis Data</t>
        </is>
      </c>
    </row>
    <row r="2" ht="22" customHeight="1">
      <c r="B2" s="11" t="inlineStr">
        <is>
          <t>1 Rumus = 1 Contoh Soal + Jawaban Benar &amp; 5 Soal Tes Mandiri (Kunci Jawaban Ada di Sheet Paling Terakhir)</t>
        </is>
      </c>
      <c r="F2" s="12" t="inlineStr">
        <is>
          <t>⬅️ Ke Daftar Isi (00_DAFTAR_ISI)</t>
        </is>
      </c>
      <c r="G2" s="3" t="inlineStr">
        <is>
          <t>🔑 Ke Kunci Jawaban (Sheet Akhir)</t>
        </is>
      </c>
    </row>
    <row r="4" ht="24" customHeight="1">
      <c r="B4" s="13" t="inlineStr">
        <is>
          <t>1️⃣ IDENTITAS RUMUS &amp; FUNGSINYA BUAT APA? (VARPA)</t>
        </is>
      </c>
    </row>
    <row r="5" ht="21" customHeight="1">
      <c r="B5" s="14" t="inlineStr">
        <is>
          <t>Nama Rumus Excel</t>
        </is>
      </c>
      <c r="C5" s="15">
        <f>VARPA(...)</f>
        <v/>
      </c>
      <c r="D5" s="5" t="n"/>
      <c r="E5" s="5" t="n"/>
      <c r="F5" s="5" t="n"/>
      <c r="G5" s="5" t="n"/>
    </row>
    <row r="6" ht="21" customHeight="1">
      <c r="B6" s="14" t="inlineStr">
        <is>
          <t>Sintaks / Pola Umum</t>
        </is>
      </c>
      <c r="C6" s="15">
        <f>VARPA(range_populasi)</f>
        <v/>
      </c>
      <c r="D6" s="5" t="n"/>
      <c r="E6" s="5" t="n"/>
      <c r="F6" s="5" t="n"/>
      <c r="G6" s="5" t="n"/>
    </row>
    <row r="7" ht="26" customHeight="1">
      <c r="B7" s="14" t="inlineStr">
        <is>
          <t>👶 Fungsinya Buat Apa?</t>
        </is>
      </c>
      <c r="C7" s="16" t="inlineStr">
        <is>
          <t>Menghitung varians populasi termasuk nilai logika dan teks.</t>
        </is>
      </c>
      <c r="D7" s="5" t="n"/>
      <c r="E7" s="5" t="n"/>
      <c r="F7" s="5" t="n"/>
      <c r="G7" s="5" t="n"/>
    </row>
    <row r="9" ht="24" customHeight="1">
      <c r="B9" s="17" t="inlineStr">
        <is>
          <t>2️⃣ 1 CONTOH SOAL &amp; CONTOH JAWABAN BENAR (PELAJARI POLA RUMUS VARPA DI SINI)</t>
        </is>
      </c>
    </row>
    <row r="10">
      <c r="B10" s="18" t="inlineStr">
        <is>
          <t>Nama Unit / Kategori</t>
        </is>
      </c>
      <c r="C10" s="18" t="inlineStr">
        <is>
          <t>Nilai Data</t>
        </is>
      </c>
      <c r="E10" s="18" t="inlineStr">
        <is>
          <t>✅ 1 CONTOH SOAL BESERTA CONTOH RUMUS &amp; HASIL JAWABAN BENAR:</t>
        </is>
      </c>
      <c r="F10" s="5" t="n"/>
      <c r="G10" s="5" t="n"/>
    </row>
    <row r="11" ht="28" customHeight="1">
      <c r="B11" s="19" t="inlineStr">
        <is>
          <t>Simulasi Unit A</t>
        </is>
      </c>
      <c r="C11" s="19" t="n">
        <v>500000</v>
      </c>
      <c r="E11" s="20" t="inlineStr">
        <is>
          <t>Contoh Soal:</t>
        </is>
      </c>
      <c r="F11" s="21" t="inlineStr">
        <is>
          <t>Hitung hasil pengolahan fungsi VARPA untuk keempat baris data pada rentang C11:C14!</t>
        </is>
      </c>
      <c r="G11" s="5" t="n"/>
    </row>
    <row r="12">
      <c r="B12" s="19" t="inlineStr">
        <is>
          <t>Simulasi Unit B</t>
        </is>
      </c>
      <c r="C12" s="19" t="n">
        <v>750000</v>
      </c>
      <c r="E12" s="20" t="inlineStr">
        <is>
          <t>Contoh Rumus Benar:</t>
        </is>
      </c>
      <c r="F12" s="22" t="inlineStr">
        <is>
          <t>'=VARPA(C11:C14)</t>
        </is>
      </c>
      <c r="G12" s="5" t="n"/>
    </row>
    <row r="13">
      <c r="B13" s="19" t="inlineStr">
        <is>
          <t>Simulasi Unit C</t>
        </is>
      </c>
      <c r="C13" s="19" t="n">
        <v>600000</v>
      </c>
      <c r="E13" s="20" t="inlineStr">
        <is>
          <t>Contoh Hasil Benar:</t>
        </is>
      </c>
      <c r="F13" s="23">
        <f>VARPA(C11:C14)</f>
        <v/>
      </c>
      <c r="G13" s="5" t="n"/>
    </row>
    <row r="14">
      <c r="B14" s="19" t="inlineStr">
        <is>
          <t>Simulasi Unit D</t>
        </is>
      </c>
      <c r="C14" s="19" t="n">
        <v>950000</v>
      </c>
    </row>
    <row r="16" ht="26" customHeight="1">
      <c r="B16" s="24" t="inlineStr">
        <is>
          <t>3️⃣ 5 SOAL TES DUNIA NYATA — KERJAKAN DI KOTAK KUNING (TANPA KUNCI RUMUS / HASIL DI SINI!)</t>
        </is>
      </c>
    </row>
    <row r="17" ht="20" customHeight="1">
      <c r="B17" s="25" t="inlineStr">
        <is>
          <t>📌 Catatan Tes: Soal Tes #1 s/d #5 di bawah ini tidak menampilkan kunci rumus maupun hasil. Kunci jawaban lengkap tersedia di sheet paling terakhir (99_KUNCI_JAWABAN).</t>
        </is>
      </c>
    </row>
    <row r="19" ht="22" customHeight="1">
      <c r="B19" s="26" t="inlineStr">
        <is>
          <t>📝 SOAL TES #1: Kasus Keuangan &amp; Akuntansi Kantor</t>
        </is>
      </c>
    </row>
    <row r="20" ht="30" customHeight="1">
      <c r="B20" s="14" t="inlineStr">
        <is>
          <t>Nama Unit / Kategori</t>
        </is>
      </c>
      <c r="C20" s="14" t="inlineStr">
        <is>
          <t>Nilai Data</t>
        </is>
      </c>
      <c r="E20" s="27" t="inlineStr">
        <is>
          <t>Persoalan Tes #1: Hitung hasil pengolahan fungsi VARPA untuk keempat baris data pada rentang C21:C24!</t>
        </is>
      </c>
    </row>
    <row r="21">
      <c r="B21" s="19" t="inlineStr">
        <is>
          <t>Cabang Jakarta</t>
        </is>
      </c>
      <c r="C21" s="19" t="n">
        <v>1250000</v>
      </c>
      <c r="E21" s="14" t="inlineStr">
        <is>
          <t>✏️ KETIK RUMUS JAWABAN TES DI BAWAH:</t>
        </is>
      </c>
      <c r="F21" s="14" t="inlineStr">
        <is>
          <t>📌 STATUS KOREKSI JAWABAN TES:</t>
        </is>
      </c>
      <c r="G21" s="5" t="n"/>
    </row>
    <row r="22" ht="26" customHeight="1">
      <c r="B22" s="19" t="inlineStr">
        <is>
          <t>Cabang Bandung</t>
        </is>
      </c>
      <c r="C22" s="19" t="n">
        <v>1850000</v>
      </c>
      <c r="E22" s="28" t="n"/>
      <c r="F22" s="29">
        <f>IF(ISBLANK(E22), "⏳ Belum Diisi (Ketik Rumus di Sel Kuning E22)", IF(E22='99_KUNCI_JAWABAN'!F465, "✅ BENAR! JAWABAN TES TEPAT!", "❌ Belum Tepat (Cek Sheet Akhir: 99_KUNCI_JAWABAN)"))</f>
        <v/>
      </c>
      <c r="G22" s="5" t="n"/>
    </row>
    <row r="23">
      <c r="B23" s="19" t="inlineStr">
        <is>
          <t>Cabang Surabaya</t>
        </is>
      </c>
      <c r="C23" s="19" t="n">
        <v>2100000</v>
      </c>
    </row>
    <row r="24">
      <c r="B24" s="19" t="inlineStr">
        <is>
          <t>Cabang Medan</t>
        </is>
      </c>
      <c r="C24" s="19" t="n">
        <v>1600000</v>
      </c>
    </row>
    <row r="27" ht="22" customHeight="1">
      <c r="B27" s="26" t="inlineStr">
        <is>
          <t>📝 SOAL TES #2: Kasus HRD, Gaji &amp; Lembur Karyawan</t>
        </is>
      </c>
    </row>
    <row r="28" ht="30" customHeight="1">
      <c r="B28" s="14" t="inlineStr">
        <is>
          <t>Nama Unit / Kategori</t>
        </is>
      </c>
      <c r="C28" s="14" t="inlineStr">
        <is>
          <t>Nilai Data</t>
        </is>
      </c>
      <c r="E28" s="27" t="inlineStr">
        <is>
          <t>Persoalan Tes #2: Hitung hasil pengolahan fungsi VARPA untuk keempat baris data pada rentang C29:C32!</t>
        </is>
      </c>
    </row>
    <row r="29">
      <c r="B29" s="19" t="inlineStr">
        <is>
          <t>Budi Santoso</t>
        </is>
      </c>
      <c r="C29" s="19" t="n">
        <v>4500000</v>
      </c>
      <c r="E29" s="14" t="inlineStr">
        <is>
          <t>✏️ KETIK RUMUS JAWABAN TES DI BAWAH:</t>
        </is>
      </c>
      <c r="F29" s="14" t="inlineStr">
        <is>
          <t>📌 STATUS KOREKSI JAWABAN TES:</t>
        </is>
      </c>
      <c r="G29" s="5" t="n"/>
    </row>
    <row r="30" ht="26" customHeight="1">
      <c r="B30" s="19" t="inlineStr">
        <is>
          <t>Siti Aminah</t>
        </is>
      </c>
      <c r="C30" s="19" t="n">
        <v>5200000</v>
      </c>
      <c r="E30" s="28" t="n"/>
      <c r="F30" s="29">
        <f>IF(ISBLANK(E30), "⏳ Belum Diisi (Ketik Rumus di Sel Kuning E30)", IF(E30='99_KUNCI_JAWABAN'!F466, "✅ BENAR! JAWABAN TES TEPAT!", "❌ Belum Tepat (Cek Sheet Akhir: 99_KUNCI_JAWABAN)"))</f>
        <v/>
      </c>
      <c r="G30" s="5" t="n"/>
    </row>
    <row r="31">
      <c r="B31" s="19" t="inlineStr">
        <is>
          <t>Andi Pratama</t>
        </is>
      </c>
      <c r="C31" s="19" t="n">
        <v>4800000</v>
      </c>
    </row>
    <row r="32">
      <c r="B32" s="19" t="inlineStr">
        <is>
          <t>Rina Wijaya</t>
        </is>
      </c>
      <c r="C32" s="19" t="n">
        <v>6100000</v>
      </c>
    </row>
    <row r="35" ht="22" customHeight="1">
      <c r="B35" s="26" t="inlineStr">
        <is>
          <t>📝 SOAL TES #3: Kasus Logistik &amp; Stok Gudang Utama</t>
        </is>
      </c>
    </row>
    <row r="36" ht="30" customHeight="1">
      <c r="B36" s="14" t="inlineStr">
        <is>
          <t>Nama Unit / Kategori</t>
        </is>
      </c>
      <c r="C36" s="14" t="inlineStr">
        <is>
          <t>Nilai Data</t>
        </is>
      </c>
      <c r="E36" s="27" t="inlineStr">
        <is>
          <t>Persoalan Tes #3: Hitung hasil pengolahan fungsi VARPA untuk keempat baris data pada rentang C37:C40!</t>
        </is>
      </c>
    </row>
    <row r="37">
      <c r="B37" s="19" t="inlineStr">
        <is>
          <t>Gudang Blok A</t>
        </is>
      </c>
      <c r="C37" s="19" t="n">
        <v>240</v>
      </c>
      <c r="E37" s="14" t="inlineStr">
        <is>
          <t>✏️ KETIK RUMUS JAWABAN TES DI BAWAH:</t>
        </is>
      </c>
      <c r="F37" s="14" t="inlineStr">
        <is>
          <t>📌 STATUS KOREKSI JAWABAN TES:</t>
        </is>
      </c>
      <c r="G37" s="5" t="n"/>
    </row>
    <row r="38" ht="26" customHeight="1">
      <c r="B38" s="19" t="inlineStr">
        <is>
          <t>Gudang Blok B</t>
        </is>
      </c>
      <c r="C38" s="19" t="n">
        <v>380</v>
      </c>
      <c r="E38" s="28" t="n"/>
      <c r="F38" s="29">
        <f>IF(ISBLANK(E38), "⏳ Belum Diisi (Ketik Rumus di Sel Kuning E38)", IF(E38='99_KUNCI_JAWABAN'!F467, "✅ BENAR! JAWABAN TES TEPAT!", "❌ Belum Tepat (Cek Sheet Akhir: 99_KUNCI_JAWABAN)"))</f>
        <v/>
      </c>
      <c r="G38" s="5" t="n"/>
    </row>
    <row r="39">
      <c r="B39" s="19" t="inlineStr">
        <is>
          <t>Gudang Blok C</t>
        </is>
      </c>
      <c r="C39" s="19" t="n">
        <v>195</v>
      </c>
    </row>
    <row r="40">
      <c r="B40" s="19" t="inlineStr">
        <is>
          <t>Gudang Blok D</t>
        </is>
      </c>
      <c r="C40" s="19" t="n">
        <v>425</v>
      </c>
    </row>
    <row r="43" ht="22" customHeight="1">
      <c r="B43" s="26" t="inlineStr">
        <is>
          <t>📝 SOAL TES #4: Kasus Penjualan Retail &amp; Target Toko</t>
        </is>
      </c>
    </row>
    <row r="44" ht="30" customHeight="1">
      <c r="B44" s="14" t="inlineStr">
        <is>
          <t>Nama Unit / Kategori</t>
        </is>
      </c>
      <c r="C44" s="14" t="inlineStr">
        <is>
          <t>Nilai Data</t>
        </is>
      </c>
      <c r="E44" s="27" t="inlineStr">
        <is>
          <t>Persoalan Tes #4: Hitung hasil pengolahan fungsi VARPA untuk keempat baris data pada rentang C45:C48!</t>
        </is>
      </c>
    </row>
    <row r="45">
      <c r="B45" s="19" t="inlineStr">
        <is>
          <t>Toko Elektronik</t>
        </is>
      </c>
      <c r="C45" s="19" t="n">
        <v>85</v>
      </c>
      <c r="E45" s="14" t="inlineStr">
        <is>
          <t>✏️ KETIK RUMUS JAWABAN TES DI BAWAH:</t>
        </is>
      </c>
      <c r="F45" s="14" t="inlineStr">
        <is>
          <t>📌 STATUS KOREKSI JAWABAN TES:</t>
        </is>
      </c>
      <c r="G45" s="5" t="n"/>
    </row>
    <row r="46" ht="26" customHeight="1">
      <c r="B46" s="19" t="inlineStr">
        <is>
          <t>Toko Komputer</t>
        </is>
      </c>
      <c r="C46" s="19" t="n">
        <v>92</v>
      </c>
      <c r="E46" s="28" t="n"/>
      <c r="F46" s="29">
        <f>IF(ISBLANK(E46), "⏳ Belum Diisi (Ketik Rumus di Sel Kuning E46)", IF(E46='99_KUNCI_JAWABAN'!F468, "✅ BENAR! JAWABAN TES TEPAT!", "❌ Belum Tepat (Cek Sheet Akhir: 99_KUNCI_JAWABAN)"))</f>
        <v/>
      </c>
      <c r="G46" s="5" t="n"/>
    </row>
    <row r="47">
      <c r="B47" s="19" t="inlineStr">
        <is>
          <t>Toko Aksesoris</t>
        </is>
      </c>
      <c r="C47" s="19" t="n">
        <v>78</v>
      </c>
    </row>
    <row r="48">
      <c r="B48" s="19" t="inlineStr">
        <is>
          <t>Toko Servis</t>
        </is>
      </c>
      <c r="C48" s="19" t="n">
        <v>95</v>
      </c>
    </row>
    <row r="51" ht="22" customHeight="1">
      <c r="B51" s="26" t="inlineStr">
        <is>
          <t>📝 SOAL TES #5: Kasus Akademik Sekolah &amp; Layanan Publik</t>
        </is>
      </c>
    </row>
    <row r="52" ht="30" customHeight="1">
      <c r="B52" s="14" t="inlineStr">
        <is>
          <t>Nama Unit / Kategori</t>
        </is>
      </c>
      <c r="C52" s="14" t="inlineStr">
        <is>
          <t>Nilai Data</t>
        </is>
      </c>
      <c r="E52" s="27" t="inlineStr">
        <is>
          <t>Persoalan Tes #5: Hitung hasil pengolahan fungsi VARPA untuk keempat baris data pada rentang C53:C56!</t>
        </is>
      </c>
    </row>
    <row r="53">
      <c r="B53" s="19" t="inlineStr">
        <is>
          <t>Kelas 10 IPA</t>
        </is>
      </c>
      <c r="C53" s="19" t="n">
        <v>82</v>
      </c>
      <c r="E53" s="14" t="inlineStr">
        <is>
          <t>✏️ KETIK RUMUS JAWABAN TES DI BAWAH:</t>
        </is>
      </c>
      <c r="F53" s="14" t="inlineStr">
        <is>
          <t>📌 STATUS KOREKSI JAWABAN TES:</t>
        </is>
      </c>
      <c r="G53" s="5" t="n"/>
    </row>
    <row r="54" ht="26" customHeight="1">
      <c r="B54" s="19" t="inlineStr">
        <is>
          <t>Kelas 11 IPA</t>
        </is>
      </c>
      <c r="C54" s="19" t="n">
        <v>88</v>
      </c>
      <c r="E54" s="28" t="n"/>
      <c r="F54" s="29">
        <f>IF(ISBLANK(E54), "⏳ Belum Diisi (Ketik Rumus di Sel Kuning E54)", IF(E54='99_KUNCI_JAWABAN'!F469, "✅ BENAR! JAWABAN TES TEPAT!", "❌ Belum Tepat (Cek Sheet Akhir: 99_KUNCI_JAWABAN)"))</f>
        <v/>
      </c>
      <c r="G54" s="5" t="n"/>
    </row>
    <row r="55">
      <c r="B55" s="19" t="inlineStr">
        <is>
          <t>Kelas 12 IPA</t>
        </is>
      </c>
      <c r="C55" s="19" t="n">
        <v>91</v>
      </c>
    </row>
    <row r="56">
      <c r="B56" s="19" t="inlineStr">
        <is>
          <t>Kelas Unggulan</t>
        </is>
      </c>
      <c r="C56" s="19" t="n">
        <v>79</v>
      </c>
    </row>
  </sheetData>
  <mergeCells count="33">
    <mergeCell ref="E10:G10"/>
    <mergeCell ref="F11:G11"/>
    <mergeCell ref="E28:G28"/>
    <mergeCell ref="F29:G29"/>
    <mergeCell ref="C6:G6"/>
    <mergeCell ref="F54:G54"/>
    <mergeCell ref="B17:G17"/>
    <mergeCell ref="B1:G1"/>
    <mergeCell ref="C5:G5"/>
    <mergeCell ref="B19:G19"/>
    <mergeCell ref="F21:G21"/>
    <mergeCell ref="F12:G12"/>
    <mergeCell ref="F30:G30"/>
    <mergeCell ref="E36:G36"/>
    <mergeCell ref="B9:G9"/>
    <mergeCell ref="F45:G45"/>
    <mergeCell ref="B51:G51"/>
    <mergeCell ref="F38:G38"/>
    <mergeCell ref="B35:G35"/>
    <mergeCell ref="B4:G4"/>
    <mergeCell ref="F46:G46"/>
    <mergeCell ref="F22:G22"/>
    <mergeCell ref="B2:E2"/>
    <mergeCell ref="F13:G13"/>
    <mergeCell ref="B16:G16"/>
    <mergeCell ref="F37:G37"/>
    <mergeCell ref="C7:G7"/>
    <mergeCell ref="E52:G52"/>
    <mergeCell ref="B27:G27"/>
    <mergeCell ref="B43:G43"/>
    <mergeCell ref="E44:G44"/>
    <mergeCell ref="E20:G20"/>
    <mergeCell ref="F53:G53"/>
  </mergeCells>
  <hyperlinks>
    <hyperlink xmlns:r="http://schemas.openxmlformats.org/officeDocument/2006/relationships" ref="F2" r:id="rId1"/>
    <hyperlink xmlns:r="http://schemas.openxmlformats.org/officeDocument/2006/relationships" ref="G2" r:id="rId2"/>
  </hyperlinks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B1:G56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22" customWidth="1" min="3" max="3"/>
    <col width="4" customWidth="1" min="4" max="4"/>
    <col width="34" customWidth="1" min="5" max="5"/>
    <col width="44" customWidth="1" min="6" max="6"/>
    <col width="28" customWidth="1" min="7" max="7"/>
  </cols>
  <sheetData>
    <row r="1" ht="30" customHeight="1">
      <c r="B1" s="10" t="inlineStr">
        <is>
          <t>📊 #094 — RUMUS EXCEL: WEIBULL   |   Kategori: 8. Statistik &amp; Analisis Data</t>
        </is>
      </c>
    </row>
    <row r="2" ht="22" customHeight="1">
      <c r="B2" s="11" t="inlineStr">
        <is>
          <t>1 Rumus = 1 Contoh Soal + Jawaban Benar &amp; 5 Soal Tes Mandiri (Kunci Jawaban Ada di Sheet Paling Terakhir)</t>
        </is>
      </c>
      <c r="F2" s="12" t="inlineStr">
        <is>
          <t>⬅️ Ke Daftar Isi (00_DAFTAR_ISI)</t>
        </is>
      </c>
      <c r="G2" s="3" t="inlineStr">
        <is>
          <t>🔑 Ke Kunci Jawaban (Sheet Akhir)</t>
        </is>
      </c>
    </row>
    <row r="4" ht="24" customHeight="1">
      <c r="B4" s="13" t="inlineStr">
        <is>
          <t>1️⃣ IDENTITAS RUMUS &amp; FUNGSINYA BUAT APA? (WEIBULL)</t>
        </is>
      </c>
    </row>
    <row r="5" ht="21" customHeight="1">
      <c r="B5" s="14" t="inlineStr">
        <is>
          <t>Nama Rumus Excel</t>
        </is>
      </c>
      <c r="C5" s="15">
        <f>WEIBULL(...)</f>
        <v/>
      </c>
      <c r="D5" s="5" t="n"/>
      <c r="E5" s="5" t="n"/>
      <c r="F5" s="5" t="n"/>
      <c r="G5" s="5" t="n"/>
    </row>
    <row r="6" ht="21" customHeight="1">
      <c r="B6" s="14" t="inlineStr">
        <is>
          <t>Sintaks / Pola Umum</t>
        </is>
      </c>
      <c r="C6" s="15">
        <f>WEIBULL(x, alpha, beta, TRUE)</f>
        <v/>
      </c>
      <c r="D6" s="5" t="n"/>
      <c r="E6" s="5" t="n"/>
      <c r="F6" s="5" t="n"/>
      <c r="G6" s="5" t="n"/>
    </row>
    <row r="7" ht="26" customHeight="1">
      <c r="B7" s="14" t="inlineStr">
        <is>
          <t>👶 Fungsinya Buat Apa?</t>
        </is>
      </c>
      <c r="C7" s="16" t="inlineStr">
        <is>
          <t>Menghitung distribusi Weibull untuk analisis keandalan mesin (reliability / MTBF).</t>
        </is>
      </c>
      <c r="D7" s="5" t="n"/>
      <c r="E7" s="5" t="n"/>
      <c r="F7" s="5" t="n"/>
      <c r="G7" s="5" t="n"/>
    </row>
    <row r="9" ht="24" customHeight="1">
      <c r="B9" s="17" t="inlineStr">
        <is>
          <t>2️⃣ 1 CONTOH SOAL &amp; CONTOH JAWABAN BENAR (PELAJARI POLA RUMUS WEIBULL DI SINI)</t>
        </is>
      </c>
    </row>
    <row r="10">
      <c r="B10" s="18" t="inlineStr">
        <is>
          <t>Nama Parameter</t>
        </is>
      </c>
      <c r="C10" s="18" t="inlineStr">
        <is>
          <t>Nilai Parameter</t>
        </is>
      </c>
      <c r="E10" s="18" t="inlineStr">
        <is>
          <t>✅ 1 CONTOH SOAL BESERTA CONTOH RUMUS &amp; HASIL JAWABAN BENAR:</t>
        </is>
      </c>
      <c r="F10" s="5" t="n"/>
      <c r="G10" s="5" t="n"/>
    </row>
    <row r="11" ht="28" customHeight="1">
      <c r="B11" s="19" t="inlineStr">
        <is>
          <t>Nilai X (C11)</t>
        </is>
      </c>
      <c r="C11" s="19" t="n">
        <v>15</v>
      </c>
      <c r="E11" s="20" t="inlineStr">
        <is>
          <t>Contoh Soal:</t>
        </is>
      </c>
      <c r="F11" s="21" t="inlineStr">
        <is>
          <t>Hitung nilai distribusi kumulatif (TRUE) menggunakan fungsi WEIBULL dengan argumen berurutan C11, C12, C13, dan TRUE!</t>
        </is>
      </c>
      <c r="G11" s="5" t="n"/>
    </row>
    <row r="12">
      <c r="B12" s="19" t="inlineStr">
        <is>
          <t>Parameter 1 / Mean (C12)</t>
        </is>
      </c>
      <c r="C12" s="19" t="n">
        <v>8</v>
      </c>
      <c r="E12" s="20" t="inlineStr">
        <is>
          <t>Contoh Rumus Benar:</t>
        </is>
      </c>
      <c r="F12" s="22" t="inlineStr">
        <is>
          <t>'=WEIBULL(C11, C12, C13, TRUE)</t>
        </is>
      </c>
      <c r="G12" s="5" t="n"/>
    </row>
    <row r="13">
      <c r="B13" s="19" t="inlineStr">
        <is>
          <t>Parameter 2 / SD (C13)</t>
        </is>
      </c>
      <c r="C13" s="19" t="n">
        <v>2</v>
      </c>
      <c r="E13" s="20" t="inlineStr">
        <is>
          <t>Contoh Hasil Benar:</t>
        </is>
      </c>
      <c r="F13" s="23">
        <f>WEIBULL(C11, C12, C13, TRUE)</f>
        <v/>
      </c>
      <c r="G13" s="5" t="n"/>
    </row>
    <row r="14">
      <c r="B14" s="19" t="inlineStr">
        <is>
          <t>Kumulatif</t>
        </is>
      </c>
      <c r="C14" s="19" t="n">
        <v>1</v>
      </c>
    </row>
    <row r="16" ht="26" customHeight="1">
      <c r="B16" s="24" t="inlineStr">
        <is>
          <t>3️⃣ 5 SOAL TES DUNIA NYATA — KERJAKAN DI KOTAK KUNING (TANPA KUNCI RUMUS / HASIL DI SINI!)</t>
        </is>
      </c>
    </row>
    <row r="17" ht="20" customHeight="1">
      <c r="B17" s="25" t="inlineStr">
        <is>
          <t>📌 Catatan Tes: Soal Tes #1 s/d #5 di bawah ini tidak menampilkan kunci rumus maupun hasil. Kunci jawaban lengkap tersedia di sheet paling terakhir (99_KUNCI_JAWABAN).</t>
        </is>
      </c>
    </row>
    <row r="19" ht="22" customHeight="1">
      <c r="B19" s="26" t="inlineStr">
        <is>
          <t>📝 SOAL TES #1: Kasus Keuangan &amp; Akuntansi Kantor</t>
        </is>
      </c>
    </row>
    <row r="20" ht="30" customHeight="1">
      <c r="B20" s="14" t="inlineStr">
        <is>
          <t>Nama Parameter</t>
        </is>
      </c>
      <c r="C20" s="14" t="inlineStr">
        <is>
          <t>Nilai Parameter</t>
        </is>
      </c>
      <c r="E20" s="27" t="inlineStr">
        <is>
          <t>Persoalan Tes #1: Hitung nilai distribusi kumulatif (TRUE) menggunakan fungsi WEIBULL dengan argumen berurutan C21, C22, C23, dan TRUE!</t>
        </is>
      </c>
    </row>
    <row r="21">
      <c r="B21" s="19" t="inlineStr">
        <is>
          <t>Nilai X (C21)</t>
        </is>
      </c>
      <c r="C21" s="19" t="n">
        <v>10</v>
      </c>
      <c r="E21" s="14" t="inlineStr">
        <is>
          <t>✏️ KETIK RUMUS JAWABAN TES DI BAWAH:</t>
        </is>
      </c>
      <c r="F21" s="14" t="inlineStr">
        <is>
          <t>📌 STATUS KOREKSI JAWABAN TES:</t>
        </is>
      </c>
      <c r="G21" s="5" t="n"/>
    </row>
    <row r="22" ht="26" customHeight="1">
      <c r="B22" s="19" t="inlineStr">
        <is>
          <t>Parameter 1 / Mean (C22)</t>
        </is>
      </c>
      <c r="C22" s="19" t="n">
        <v>8</v>
      </c>
      <c r="E22" s="28" t="n"/>
      <c r="F22" s="29">
        <f>IF(ISBLANK(E22), "⏳ Belum Diisi (Ketik Rumus di Sel Kuning E22)", IF(E22='99_KUNCI_JAWABAN'!F470, "✅ BENAR! JAWABAN TES TEPAT!", "❌ Belum Tepat (Cek Sheet Akhir: 99_KUNCI_JAWABAN)"))</f>
        <v/>
      </c>
      <c r="G22" s="5" t="n"/>
    </row>
    <row r="23">
      <c r="B23" s="19" t="inlineStr">
        <is>
          <t>Parameter 2 / SD (C23)</t>
        </is>
      </c>
      <c r="C23" s="19" t="n">
        <v>2</v>
      </c>
    </row>
    <row r="24">
      <c r="B24" s="19" t="inlineStr">
        <is>
          <t>Kumulatif</t>
        </is>
      </c>
      <c r="C24" s="19" t="n">
        <v>1</v>
      </c>
    </row>
    <row r="27" ht="22" customHeight="1">
      <c r="B27" s="26" t="inlineStr">
        <is>
          <t>📝 SOAL TES #2: Kasus HRD, Gaji &amp; Lembur Karyawan</t>
        </is>
      </c>
    </row>
    <row r="28" ht="30" customHeight="1">
      <c r="B28" s="14" t="inlineStr">
        <is>
          <t>Nama Parameter</t>
        </is>
      </c>
      <c r="C28" s="14" t="inlineStr">
        <is>
          <t>Nilai Parameter</t>
        </is>
      </c>
      <c r="E28" s="27" t="inlineStr">
        <is>
          <t>Persoalan Tes #2: Hitung nilai distribusi kumulatif (TRUE) menggunakan fungsi WEIBULL dengan argumen berurutan C29, C30, C31, dan TRUE!</t>
        </is>
      </c>
    </row>
    <row r="29">
      <c r="B29" s="19" t="inlineStr">
        <is>
          <t>Nilai X (C29)</t>
        </is>
      </c>
      <c r="C29" s="19" t="n">
        <v>11</v>
      </c>
      <c r="E29" s="14" t="inlineStr">
        <is>
          <t>✏️ KETIK RUMUS JAWABAN TES DI BAWAH:</t>
        </is>
      </c>
      <c r="F29" s="14" t="inlineStr">
        <is>
          <t>📌 STATUS KOREKSI JAWABAN TES:</t>
        </is>
      </c>
      <c r="G29" s="5" t="n"/>
    </row>
    <row r="30" ht="26" customHeight="1">
      <c r="B30" s="19" t="inlineStr">
        <is>
          <t>Parameter 1 / Mean (C30)</t>
        </is>
      </c>
      <c r="C30" s="19" t="n">
        <v>8</v>
      </c>
      <c r="E30" s="28" t="n"/>
      <c r="F30" s="29">
        <f>IF(ISBLANK(E30), "⏳ Belum Diisi (Ketik Rumus di Sel Kuning E30)", IF(E30='99_KUNCI_JAWABAN'!F471, "✅ BENAR! JAWABAN TES TEPAT!", "❌ Belum Tepat (Cek Sheet Akhir: 99_KUNCI_JAWABAN)"))</f>
        <v/>
      </c>
      <c r="G30" s="5" t="n"/>
    </row>
    <row r="31">
      <c r="B31" s="19" t="inlineStr">
        <is>
          <t>Parameter 2 / SD (C31)</t>
        </is>
      </c>
      <c r="C31" s="19" t="n">
        <v>2</v>
      </c>
    </row>
    <row r="32">
      <c r="B32" s="19" t="inlineStr">
        <is>
          <t>Kumulatif</t>
        </is>
      </c>
      <c r="C32" s="19" t="n">
        <v>1</v>
      </c>
    </row>
    <row r="35" ht="22" customHeight="1">
      <c r="B35" s="26" t="inlineStr">
        <is>
          <t>📝 SOAL TES #3: Kasus Logistik &amp; Stok Gudang Utama</t>
        </is>
      </c>
    </row>
    <row r="36" ht="30" customHeight="1">
      <c r="B36" s="14" t="inlineStr">
        <is>
          <t>Nama Parameter</t>
        </is>
      </c>
      <c r="C36" s="14" t="inlineStr">
        <is>
          <t>Nilai Parameter</t>
        </is>
      </c>
      <c r="E36" s="27" t="inlineStr">
        <is>
          <t>Persoalan Tes #3: Hitung nilai distribusi kumulatif (TRUE) menggunakan fungsi WEIBULL dengan argumen berurutan C37, C38, C39, dan TRUE!</t>
        </is>
      </c>
    </row>
    <row r="37">
      <c r="B37" s="19" t="inlineStr">
        <is>
          <t>Nilai X (C37)</t>
        </is>
      </c>
      <c r="C37" s="19" t="n">
        <v>12</v>
      </c>
      <c r="E37" s="14" t="inlineStr">
        <is>
          <t>✏️ KETIK RUMUS JAWABAN TES DI BAWAH:</t>
        </is>
      </c>
      <c r="F37" s="14" t="inlineStr">
        <is>
          <t>📌 STATUS KOREKSI JAWABAN TES:</t>
        </is>
      </c>
      <c r="G37" s="5" t="n"/>
    </row>
    <row r="38" ht="26" customHeight="1">
      <c r="B38" s="19" t="inlineStr">
        <is>
          <t>Parameter 1 / Mean (C38)</t>
        </is>
      </c>
      <c r="C38" s="19" t="n">
        <v>8</v>
      </c>
      <c r="E38" s="28" t="n"/>
      <c r="F38" s="29">
        <f>IF(ISBLANK(E38), "⏳ Belum Diisi (Ketik Rumus di Sel Kuning E38)", IF(E38='99_KUNCI_JAWABAN'!F472, "✅ BENAR! JAWABAN TES TEPAT!", "❌ Belum Tepat (Cek Sheet Akhir: 99_KUNCI_JAWABAN)"))</f>
        <v/>
      </c>
      <c r="G38" s="5" t="n"/>
    </row>
    <row r="39">
      <c r="B39" s="19" t="inlineStr">
        <is>
          <t>Parameter 2 / SD (C39)</t>
        </is>
      </c>
      <c r="C39" s="19" t="n">
        <v>2</v>
      </c>
    </row>
    <row r="40">
      <c r="B40" s="19" t="inlineStr">
        <is>
          <t>Kumulatif</t>
        </is>
      </c>
      <c r="C40" s="19" t="n">
        <v>1</v>
      </c>
    </row>
    <row r="43" ht="22" customHeight="1">
      <c r="B43" s="26" t="inlineStr">
        <is>
          <t>📝 SOAL TES #4: Kasus Penjualan Retail &amp; Target Toko</t>
        </is>
      </c>
    </row>
    <row r="44" ht="30" customHeight="1">
      <c r="B44" s="14" t="inlineStr">
        <is>
          <t>Nama Parameter</t>
        </is>
      </c>
      <c r="C44" s="14" t="inlineStr">
        <is>
          <t>Nilai Parameter</t>
        </is>
      </c>
      <c r="E44" s="27" t="inlineStr">
        <is>
          <t>Persoalan Tes #4: Hitung nilai distribusi kumulatif (TRUE) menggunakan fungsi WEIBULL dengan argumen berurutan C45, C46, C47, dan TRUE!</t>
        </is>
      </c>
    </row>
    <row r="45">
      <c r="B45" s="19" t="inlineStr">
        <is>
          <t>Nilai X (C45)</t>
        </is>
      </c>
      <c r="C45" s="19" t="n">
        <v>13</v>
      </c>
      <c r="E45" s="14" t="inlineStr">
        <is>
          <t>✏️ KETIK RUMUS JAWABAN TES DI BAWAH:</t>
        </is>
      </c>
      <c r="F45" s="14" t="inlineStr">
        <is>
          <t>📌 STATUS KOREKSI JAWABAN TES:</t>
        </is>
      </c>
      <c r="G45" s="5" t="n"/>
    </row>
    <row r="46" ht="26" customHeight="1">
      <c r="B46" s="19" t="inlineStr">
        <is>
          <t>Parameter 1 / Mean (C46)</t>
        </is>
      </c>
      <c r="C46" s="19" t="n">
        <v>8</v>
      </c>
      <c r="E46" s="28" t="n"/>
      <c r="F46" s="29">
        <f>IF(ISBLANK(E46), "⏳ Belum Diisi (Ketik Rumus di Sel Kuning E46)", IF(E46='99_KUNCI_JAWABAN'!F473, "✅ BENAR! JAWABAN TES TEPAT!", "❌ Belum Tepat (Cek Sheet Akhir: 99_KUNCI_JAWABAN)"))</f>
        <v/>
      </c>
      <c r="G46" s="5" t="n"/>
    </row>
    <row r="47">
      <c r="B47" s="19" t="inlineStr">
        <is>
          <t>Parameter 2 / SD (C47)</t>
        </is>
      </c>
      <c r="C47" s="19" t="n">
        <v>2</v>
      </c>
    </row>
    <row r="48">
      <c r="B48" s="19" t="inlineStr">
        <is>
          <t>Kumulatif</t>
        </is>
      </c>
      <c r="C48" s="19" t="n">
        <v>1</v>
      </c>
    </row>
    <row r="51" ht="22" customHeight="1">
      <c r="B51" s="26" t="inlineStr">
        <is>
          <t>📝 SOAL TES #5: Kasus Akademik Sekolah &amp; Layanan Publik</t>
        </is>
      </c>
    </row>
    <row r="52" ht="30" customHeight="1">
      <c r="B52" s="14" t="inlineStr">
        <is>
          <t>Nama Parameter</t>
        </is>
      </c>
      <c r="C52" s="14" t="inlineStr">
        <is>
          <t>Nilai Parameter</t>
        </is>
      </c>
      <c r="E52" s="27" t="inlineStr">
        <is>
          <t>Persoalan Tes #5: Hitung nilai distribusi kumulatif (TRUE) menggunakan fungsi WEIBULL dengan argumen berurutan C53, C54, C55, dan TRUE!</t>
        </is>
      </c>
    </row>
    <row r="53">
      <c r="B53" s="19" t="inlineStr">
        <is>
          <t>Nilai X (C53)</t>
        </is>
      </c>
      <c r="C53" s="19" t="n">
        <v>14</v>
      </c>
      <c r="E53" s="14" t="inlineStr">
        <is>
          <t>✏️ KETIK RUMUS JAWABAN TES DI BAWAH:</t>
        </is>
      </c>
      <c r="F53" s="14" t="inlineStr">
        <is>
          <t>📌 STATUS KOREKSI JAWABAN TES:</t>
        </is>
      </c>
      <c r="G53" s="5" t="n"/>
    </row>
    <row r="54" ht="26" customHeight="1">
      <c r="B54" s="19" t="inlineStr">
        <is>
          <t>Parameter 1 / Mean (C54)</t>
        </is>
      </c>
      <c r="C54" s="19" t="n">
        <v>8</v>
      </c>
      <c r="E54" s="28" t="n"/>
      <c r="F54" s="29">
        <f>IF(ISBLANK(E54), "⏳ Belum Diisi (Ketik Rumus di Sel Kuning E54)", IF(E54='99_KUNCI_JAWABAN'!F474, "✅ BENAR! JAWABAN TES TEPAT!", "❌ Belum Tepat (Cek Sheet Akhir: 99_KUNCI_JAWABAN)"))</f>
        <v/>
      </c>
      <c r="G54" s="5" t="n"/>
    </row>
    <row r="55">
      <c r="B55" s="19" t="inlineStr">
        <is>
          <t>Parameter 2 / SD (C55)</t>
        </is>
      </c>
      <c r="C55" s="19" t="n">
        <v>2</v>
      </c>
    </row>
    <row r="56">
      <c r="B56" s="19" t="inlineStr">
        <is>
          <t>Kumulatif</t>
        </is>
      </c>
      <c r="C56" s="19" t="n">
        <v>1</v>
      </c>
    </row>
  </sheetData>
  <mergeCells count="33">
    <mergeCell ref="E10:G10"/>
    <mergeCell ref="F11:G11"/>
    <mergeCell ref="E28:G28"/>
    <mergeCell ref="F29:G29"/>
    <mergeCell ref="C6:G6"/>
    <mergeCell ref="F54:G54"/>
    <mergeCell ref="B17:G17"/>
    <mergeCell ref="B1:G1"/>
    <mergeCell ref="C5:G5"/>
    <mergeCell ref="B19:G19"/>
    <mergeCell ref="F21:G21"/>
    <mergeCell ref="F12:G12"/>
    <mergeCell ref="F30:G30"/>
    <mergeCell ref="E36:G36"/>
    <mergeCell ref="B9:G9"/>
    <mergeCell ref="F45:G45"/>
    <mergeCell ref="B51:G51"/>
    <mergeCell ref="F38:G38"/>
    <mergeCell ref="B35:G35"/>
    <mergeCell ref="B4:G4"/>
    <mergeCell ref="F46:G46"/>
    <mergeCell ref="F22:G22"/>
    <mergeCell ref="B2:E2"/>
    <mergeCell ref="F13:G13"/>
    <mergeCell ref="B16:G16"/>
    <mergeCell ref="F37:G37"/>
    <mergeCell ref="C7:G7"/>
    <mergeCell ref="E52:G52"/>
    <mergeCell ref="B27:G27"/>
    <mergeCell ref="B43:G43"/>
    <mergeCell ref="E44:G44"/>
    <mergeCell ref="E20:G20"/>
    <mergeCell ref="F53:G53"/>
  </mergeCells>
  <hyperlinks>
    <hyperlink xmlns:r="http://schemas.openxmlformats.org/officeDocument/2006/relationships" ref="F2" r:id="rId1"/>
    <hyperlink xmlns:r="http://schemas.openxmlformats.org/officeDocument/2006/relationships" ref="G2" r:id="rId2"/>
  </hyperlinks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B1:G56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22" customWidth="1" min="3" max="3"/>
    <col width="4" customWidth="1" min="4" max="4"/>
    <col width="34" customWidth="1" min="5" max="5"/>
    <col width="44" customWidth="1" min="6" max="6"/>
    <col width="28" customWidth="1" min="7" max="7"/>
  </cols>
  <sheetData>
    <row r="1" ht="30" customHeight="1">
      <c r="B1" s="10" t="inlineStr">
        <is>
          <t>📊 #095 — RUMUS EXCEL: ZTEST   |   Kategori: 8. Statistik &amp; Analisis Data</t>
        </is>
      </c>
    </row>
    <row r="2" ht="22" customHeight="1">
      <c r="B2" s="11" t="inlineStr">
        <is>
          <t>1 Rumus = 1 Contoh Soal + Jawaban Benar &amp; 5 Soal Tes Mandiri (Kunci Jawaban Ada di Sheet Paling Terakhir)</t>
        </is>
      </c>
      <c r="F2" s="12" t="inlineStr">
        <is>
          <t>⬅️ Ke Daftar Isi (00_DAFTAR_ISI)</t>
        </is>
      </c>
      <c r="G2" s="3" t="inlineStr">
        <is>
          <t>🔑 Ke Kunci Jawaban (Sheet Akhir)</t>
        </is>
      </c>
    </row>
    <row r="4" ht="24" customHeight="1">
      <c r="B4" s="13" t="inlineStr">
        <is>
          <t>1️⃣ IDENTITAS RUMUS &amp; FUNGSINYA BUAT APA? (ZTEST)</t>
        </is>
      </c>
    </row>
    <row r="5" ht="21" customHeight="1">
      <c r="B5" s="14" t="inlineStr">
        <is>
          <t>Nama Rumus Excel</t>
        </is>
      </c>
      <c r="C5" s="15">
        <f>ZTEST(...)</f>
        <v/>
      </c>
      <c r="D5" s="5" t="n"/>
      <c r="E5" s="5" t="n"/>
      <c r="F5" s="5" t="n"/>
      <c r="G5" s="5" t="n"/>
    </row>
    <row r="6" ht="21" customHeight="1">
      <c r="B6" s="14" t="inlineStr">
        <is>
          <t>Sintaks / Pola Umum</t>
        </is>
      </c>
      <c r="C6" s="15">
        <f>ZTEST(range_data, x_uji)</f>
        <v/>
      </c>
      <c r="D6" s="5" t="n"/>
      <c r="E6" s="5" t="n"/>
      <c r="F6" s="5" t="n"/>
      <c r="G6" s="5" t="n"/>
    </row>
    <row r="7" ht="26" customHeight="1">
      <c r="B7" s="14" t="inlineStr">
        <is>
          <t>👶 Fungsinya Buat Apa?</t>
        </is>
      </c>
      <c r="C7" s="16" t="inlineStr">
        <is>
          <t>Menghitung nilai peluang satu sisi dari uji-Z (Z-Test) terhadap rata-rata hipotesis.</t>
        </is>
      </c>
      <c r="D7" s="5" t="n"/>
      <c r="E7" s="5" t="n"/>
      <c r="F7" s="5" t="n"/>
      <c r="G7" s="5" t="n"/>
    </row>
    <row r="9" ht="24" customHeight="1">
      <c r="B9" s="17" t="inlineStr">
        <is>
          <t>2️⃣ 1 CONTOH SOAL &amp; CONTOH JAWABAN BENAR (PELAJARI POLA RUMUS ZTEST DI SINI)</t>
        </is>
      </c>
    </row>
    <row r="10">
      <c r="B10" s="18" t="inlineStr">
        <is>
          <t>Sampel Uji</t>
        </is>
      </c>
      <c r="C10" s="18" t="inlineStr">
        <is>
          <t>Nilai Observasi</t>
        </is>
      </c>
      <c r="E10" s="18" t="inlineStr">
        <is>
          <t>✅ 1 CONTOH SOAL BESERTA CONTOH RUMUS &amp; HASIL JAWABAN BENAR:</t>
        </is>
      </c>
      <c r="F10" s="5" t="n"/>
      <c r="G10" s="5" t="n"/>
    </row>
    <row r="11" ht="28" customHeight="1">
      <c r="B11" s="19" t="inlineStr">
        <is>
          <t>Simulasi Unit A</t>
        </is>
      </c>
      <c r="C11" s="19" t="n">
        <v>500000</v>
      </c>
      <c r="E11" s="20" t="inlineStr">
        <is>
          <t>Contoh Soal:</t>
        </is>
      </c>
      <c r="F11" s="21" t="inlineStr">
        <is>
          <t>Hitung nilai peluang uji-Z pada rentang sampel C11:C14 terhadap nilai uji di sel C11 menggunakan fungsi ZTEST!</t>
        </is>
      </c>
      <c r="G11" s="5" t="n"/>
    </row>
    <row r="12">
      <c r="B12" s="19" t="inlineStr">
        <is>
          <t>Simulasi Unit B</t>
        </is>
      </c>
      <c r="C12" s="19" t="n">
        <v>750000</v>
      </c>
      <c r="E12" s="20" t="inlineStr">
        <is>
          <t>Contoh Rumus Benar:</t>
        </is>
      </c>
      <c r="F12" s="22" t="inlineStr">
        <is>
          <t>'=ZTEST(C11:C14, C11)</t>
        </is>
      </c>
      <c r="G12" s="5" t="n"/>
    </row>
    <row r="13">
      <c r="B13" s="19" t="inlineStr">
        <is>
          <t>Simulasi Unit C</t>
        </is>
      </c>
      <c r="C13" s="19" t="n">
        <v>600000</v>
      </c>
      <c r="E13" s="20" t="inlineStr">
        <is>
          <t>Contoh Hasil Benar:</t>
        </is>
      </c>
      <c r="F13" s="23">
        <f>ZTEST(C11:C14, C11)</f>
        <v/>
      </c>
      <c r="G13" s="5" t="n"/>
    </row>
    <row r="14">
      <c r="B14" s="19" t="inlineStr">
        <is>
          <t>Simulasi Unit D</t>
        </is>
      </c>
      <c r="C14" s="19" t="n">
        <v>950000</v>
      </c>
    </row>
    <row r="16" ht="26" customHeight="1">
      <c r="B16" s="24" t="inlineStr">
        <is>
          <t>3️⃣ 5 SOAL TES DUNIA NYATA — KERJAKAN DI KOTAK KUNING (TANPA KUNCI RUMUS / HASIL DI SINI!)</t>
        </is>
      </c>
    </row>
    <row r="17" ht="20" customHeight="1">
      <c r="B17" s="25" t="inlineStr">
        <is>
          <t>📌 Catatan Tes: Soal Tes #1 s/d #5 di bawah ini tidak menampilkan kunci rumus maupun hasil. Kunci jawaban lengkap tersedia di sheet paling terakhir (99_KUNCI_JAWABAN).</t>
        </is>
      </c>
    </row>
    <row r="19" ht="22" customHeight="1">
      <c r="B19" s="26" t="inlineStr">
        <is>
          <t>📝 SOAL TES #1: Kasus Keuangan &amp; Akuntansi Kantor</t>
        </is>
      </c>
    </row>
    <row r="20" ht="30" customHeight="1">
      <c r="B20" s="14" t="inlineStr">
        <is>
          <t>Sampel Uji</t>
        </is>
      </c>
      <c r="C20" s="14" t="inlineStr">
        <is>
          <t>Nilai Observasi</t>
        </is>
      </c>
      <c r="E20" s="27" t="inlineStr">
        <is>
          <t>Persoalan Tes #1: Hitung nilai peluang uji-Z pada rentang sampel C21:C24 terhadap nilai uji di sel C21 menggunakan fungsi ZTEST!</t>
        </is>
      </c>
    </row>
    <row r="21">
      <c r="B21" s="19" t="inlineStr">
        <is>
          <t>Cabang Jakarta</t>
        </is>
      </c>
      <c r="C21" s="19" t="n">
        <v>1250000</v>
      </c>
      <c r="E21" s="14" t="inlineStr">
        <is>
          <t>✏️ KETIK RUMUS JAWABAN TES DI BAWAH:</t>
        </is>
      </c>
      <c r="F21" s="14" t="inlineStr">
        <is>
          <t>📌 STATUS KOREKSI JAWABAN TES:</t>
        </is>
      </c>
      <c r="G21" s="5" t="n"/>
    </row>
    <row r="22" ht="26" customHeight="1">
      <c r="B22" s="19" t="inlineStr">
        <is>
          <t>Cabang Bandung</t>
        </is>
      </c>
      <c r="C22" s="19" t="n">
        <v>1850000</v>
      </c>
      <c r="E22" s="28" t="n"/>
      <c r="F22" s="29">
        <f>IF(ISBLANK(E22), "⏳ Belum Diisi (Ketik Rumus di Sel Kuning E22)", IF(E22='99_KUNCI_JAWABAN'!F475, "✅ BENAR! JAWABAN TES TEPAT!", "❌ Belum Tepat (Cek Sheet Akhir: 99_KUNCI_JAWABAN)"))</f>
        <v/>
      </c>
      <c r="G22" s="5" t="n"/>
    </row>
    <row r="23">
      <c r="B23" s="19" t="inlineStr">
        <is>
          <t>Cabang Surabaya</t>
        </is>
      </c>
      <c r="C23" s="19" t="n">
        <v>2100000</v>
      </c>
    </row>
    <row r="24">
      <c r="B24" s="19" t="inlineStr">
        <is>
          <t>Cabang Medan</t>
        </is>
      </c>
      <c r="C24" s="19" t="n">
        <v>1600000</v>
      </c>
    </row>
    <row r="27" ht="22" customHeight="1">
      <c r="B27" s="26" t="inlineStr">
        <is>
          <t>📝 SOAL TES #2: Kasus HRD, Gaji &amp; Lembur Karyawan</t>
        </is>
      </c>
    </row>
    <row r="28" ht="30" customHeight="1">
      <c r="B28" s="14" t="inlineStr">
        <is>
          <t>Sampel Uji</t>
        </is>
      </c>
      <c r="C28" s="14" t="inlineStr">
        <is>
          <t>Nilai Observasi</t>
        </is>
      </c>
      <c r="E28" s="27" t="inlineStr">
        <is>
          <t>Persoalan Tes #2: Hitung nilai peluang uji-Z pada rentang sampel C29:C32 terhadap nilai uji di sel C29 menggunakan fungsi ZTEST!</t>
        </is>
      </c>
    </row>
    <row r="29">
      <c r="B29" s="19" t="inlineStr">
        <is>
          <t>Budi Santoso</t>
        </is>
      </c>
      <c r="C29" s="19" t="n">
        <v>4500000</v>
      </c>
      <c r="E29" s="14" t="inlineStr">
        <is>
          <t>✏️ KETIK RUMUS JAWABAN TES DI BAWAH:</t>
        </is>
      </c>
      <c r="F29" s="14" t="inlineStr">
        <is>
          <t>📌 STATUS KOREKSI JAWABAN TES:</t>
        </is>
      </c>
      <c r="G29" s="5" t="n"/>
    </row>
    <row r="30" ht="26" customHeight="1">
      <c r="B30" s="19" t="inlineStr">
        <is>
          <t>Siti Aminah</t>
        </is>
      </c>
      <c r="C30" s="19" t="n">
        <v>5200000</v>
      </c>
      <c r="E30" s="28" t="n"/>
      <c r="F30" s="29">
        <f>IF(ISBLANK(E30), "⏳ Belum Diisi (Ketik Rumus di Sel Kuning E30)", IF(E30='99_KUNCI_JAWABAN'!F476, "✅ BENAR! JAWABAN TES TEPAT!", "❌ Belum Tepat (Cek Sheet Akhir: 99_KUNCI_JAWABAN)"))</f>
        <v/>
      </c>
      <c r="G30" s="5" t="n"/>
    </row>
    <row r="31">
      <c r="B31" s="19" t="inlineStr">
        <is>
          <t>Andi Pratama</t>
        </is>
      </c>
      <c r="C31" s="19" t="n">
        <v>4800000</v>
      </c>
    </row>
    <row r="32">
      <c r="B32" s="19" t="inlineStr">
        <is>
          <t>Rina Wijaya</t>
        </is>
      </c>
      <c r="C32" s="19" t="n">
        <v>6100000</v>
      </c>
    </row>
    <row r="35" ht="22" customHeight="1">
      <c r="B35" s="26" t="inlineStr">
        <is>
          <t>📝 SOAL TES #3: Kasus Logistik &amp; Stok Gudang Utama</t>
        </is>
      </c>
    </row>
    <row r="36" ht="30" customHeight="1">
      <c r="B36" s="14" t="inlineStr">
        <is>
          <t>Sampel Uji</t>
        </is>
      </c>
      <c r="C36" s="14" t="inlineStr">
        <is>
          <t>Nilai Observasi</t>
        </is>
      </c>
      <c r="E36" s="27" t="inlineStr">
        <is>
          <t>Persoalan Tes #3: Hitung nilai peluang uji-Z pada rentang sampel C37:C40 terhadap nilai uji di sel C37 menggunakan fungsi ZTEST!</t>
        </is>
      </c>
    </row>
    <row r="37">
      <c r="B37" s="19" t="inlineStr">
        <is>
          <t>Gudang Blok A</t>
        </is>
      </c>
      <c r="C37" s="19" t="n">
        <v>240</v>
      </c>
      <c r="E37" s="14" t="inlineStr">
        <is>
          <t>✏️ KETIK RUMUS JAWABAN TES DI BAWAH:</t>
        </is>
      </c>
      <c r="F37" s="14" t="inlineStr">
        <is>
          <t>📌 STATUS KOREKSI JAWABAN TES:</t>
        </is>
      </c>
      <c r="G37" s="5" t="n"/>
    </row>
    <row r="38" ht="26" customHeight="1">
      <c r="B38" s="19" t="inlineStr">
        <is>
          <t>Gudang Blok B</t>
        </is>
      </c>
      <c r="C38" s="19" t="n">
        <v>380</v>
      </c>
      <c r="E38" s="28" t="n"/>
      <c r="F38" s="29">
        <f>IF(ISBLANK(E38), "⏳ Belum Diisi (Ketik Rumus di Sel Kuning E38)", IF(E38='99_KUNCI_JAWABAN'!F477, "✅ BENAR! JAWABAN TES TEPAT!", "❌ Belum Tepat (Cek Sheet Akhir: 99_KUNCI_JAWABAN)"))</f>
        <v/>
      </c>
      <c r="G38" s="5" t="n"/>
    </row>
    <row r="39">
      <c r="B39" s="19" t="inlineStr">
        <is>
          <t>Gudang Blok C</t>
        </is>
      </c>
      <c r="C39" s="19" t="n">
        <v>195</v>
      </c>
    </row>
    <row r="40">
      <c r="B40" s="19" t="inlineStr">
        <is>
          <t>Gudang Blok D</t>
        </is>
      </c>
      <c r="C40" s="19" t="n">
        <v>425</v>
      </c>
    </row>
    <row r="43" ht="22" customHeight="1">
      <c r="B43" s="26" t="inlineStr">
        <is>
          <t>📝 SOAL TES #4: Kasus Penjualan Retail &amp; Target Toko</t>
        </is>
      </c>
    </row>
    <row r="44" ht="30" customHeight="1">
      <c r="B44" s="14" t="inlineStr">
        <is>
          <t>Sampel Uji</t>
        </is>
      </c>
      <c r="C44" s="14" t="inlineStr">
        <is>
          <t>Nilai Observasi</t>
        </is>
      </c>
      <c r="E44" s="27" t="inlineStr">
        <is>
          <t>Persoalan Tes #4: Hitung nilai peluang uji-Z pada rentang sampel C45:C48 terhadap nilai uji di sel C45 menggunakan fungsi ZTEST!</t>
        </is>
      </c>
    </row>
    <row r="45">
      <c r="B45" s="19" t="inlineStr">
        <is>
          <t>Toko Elektronik</t>
        </is>
      </c>
      <c r="C45" s="19" t="n">
        <v>85</v>
      </c>
      <c r="E45" s="14" t="inlineStr">
        <is>
          <t>✏️ KETIK RUMUS JAWABAN TES DI BAWAH:</t>
        </is>
      </c>
      <c r="F45" s="14" t="inlineStr">
        <is>
          <t>📌 STATUS KOREKSI JAWABAN TES:</t>
        </is>
      </c>
      <c r="G45" s="5" t="n"/>
    </row>
    <row r="46" ht="26" customHeight="1">
      <c r="B46" s="19" t="inlineStr">
        <is>
          <t>Toko Komputer</t>
        </is>
      </c>
      <c r="C46" s="19" t="n">
        <v>92</v>
      </c>
      <c r="E46" s="28" t="n"/>
      <c r="F46" s="29">
        <f>IF(ISBLANK(E46), "⏳ Belum Diisi (Ketik Rumus di Sel Kuning E46)", IF(E46='99_KUNCI_JAWABAN'!F478, "✅ BENAR! JAWABAN TES TEPAT!", "❌ Belum Tepat (Cek Sheet Akhir: 99_KUNCI_JAWABAN)"))</f>
        <v/>
      </c>
      <c r="G46" s="5" t="n"/>
    </row>
    <row r="47">
      <c r="B47" s="19" t="inlineStr">
        <is>
          <t>Toko Aksesoris</t>
        </is>
      </c>
      <c r="C47" s="19" t="n">
        <v>78</v>
      </c>
    </row>
    <row r="48">
      <c r="B48" s="19" t="inlineStr">
        <is>
          <t>Toko Servis</t>
        </is>
      </c>
      <c r="C48" s="19" t="n">
        <v>95</v>
      </c>
    </row>
    <row r="51" ht="22" customHeight="1">
      <c r="B51" s="26" t="inlineStr">
        <is>
          <t>📝 SOAL TES #5: Kasus Akademik Sekolah &amp; Layanan Publik</t>
        </is>
      </c>
    </row>
    <row r="52" ht="30" customHeight="1">
      <c r="B52" s="14" t="inlineStr">
        <is>
          <t>Sampel Uji</t>
        </is>
      </c>
      <c r="C52" s="14" t="inlineStr">
        <is>
          <t>Nilai Observasi</t>
        </is>
      </c>
      <c r="E52" s="27" t="inlineStr">
        <is>
          <t>Persoalan Tes #5: Hitung nilai peluang uji-Z pada rentang sampel C53:C56 terhadap nilai uji di sel C53 menggunakan fungsi ZTEST!</t>
        </is>
      </c>
    </row>
    <row r="53">
      <c r="B53" s="19" t="inlineStr">
        <is>
          <t>Kelas 10 IPA</t>
        </is>
      </c>
      <c r="C53" s="19" t="n">
        <v>82</v>
      </c>
      <c r="E53" s="14" t="inlineStr">
        <is>
          <t>✏️ KETIK RUMUS JAWABAN TES DI BAWAH:</t>
        </is>
      </c>
      <c r="F53" s="14" t="inlineStr">
        <is>
          <t>📌 STATUS KOREKSI JAWABAN TES:</t>
        </is>
      </c>
      <c r="G53" s="5" t="n"/>
    </row>
    <row r="54" ht="26" customHeight="1">
      <c r="B54" s="19" t="inlineStr">
        <is>
          <t>Kelas 11 IPA</t>
        </is>
      </c>
      <c r="C54" s="19" t="n">
        <v>88</v>
      </c>
      <c r="E54" s="28" t="n"/>
      <c r="F54" s="29">
        <f>IF(ISBLANK(E54), "⏳ Belum Diisi (Ketik Rumus di Sel Kuning E54)", IF(E54='99_KUNCI_JAWABAN'!F479, "✅ BENAR! JAWABAN TES TEPAT!", "❌ Belum Tepat (Cek Sheet Akhir: 99_KUNCI_JAWABAN)"))</f>
        <v/>
      </c>
      <c r="G54" s="5" t="n"/>
    </row>
    <row r="55">
      <c r="B55" s="19" t="inlineStr">
        <is>
          <t>Kelas 12 IPA</t>
        </is>
      </c>
      <c r="C55" s="19" t="n">
        <v>91</v>
      </c>
    </row>
    <row r="56">
      <c r="B56" s="19" t="inlineStr">
        <is>
          <t>Kelas Unggulan</t>
        </is>
      </c>
      <c r="C56" s="19" t="n">
        <v>79</v>
      </c>
    </row>
  </sheetData>
  <mergeCells count="33">
    <mergeCell ref="E10:G10"/>
    <mergeCell ref="F11:G11"/>
    <mergeCell ref="E28:G28"/>
    <mergeCell ref="F29:G29"/>
    <mergeCell ref="C6:G6"/>
    <mergeCell ref="F54:G54"/>
    <mergeCell ref="B17:G17"/>
    <mergeCell ref="B1:G1"/>
    <mergeCell ref="C5:G5"/>
    <mergeCell ref="B19:G19"/>
    <mergeCell ref="F21:G21"/>
    <mergeCell ref="F12:G12"/>
    <mergeCell ref="F30:G30"/>
    <mergeCell ref="E36:G36"/>
    <mergeCell ref="B9:G9"/>
    <mergeCell ref="F45:G45"/>
    <mergeCell ref="B51:G51"/>
    <mergeCell ref="F38:G38"/>
    <mergeCell ref="B35:G35"/>
    <mergeCell ref="B4:G4"/>
    <mergeCell ref="F46:G46"/>
    <mergeCell ref="F22:G22"/>
    <mergeCell ref="B2:E2"/>
    <mergeCell ref="F13:G13"/>
    <mergeCell ref="B16:G16"/>
    <mergeCell ref="F37:G37"/>
    <mergeCell ref="C7:G7"/>
    <mergeCell ref="E52:G52"/>
    <mergeCell ref="B27:G27"/>
    <mergeCell ref="B43:G43"/>
    <mergeCell ref="E44:G44"/>
    <mergeCell ref="E20:G20"/>
    <mergeCell ref="F53:G53"/>
  </mergeCells>
  <hyperlinks>
    <hyperlink xmlns:r="http://schemas.openxmlformats.org/officeDocument/2006/relationships" ref="F2" r:id="rId1"/>
    <hyperlink xmlns:r="http://schemas.openxmlformats.org/officeDocument/2006/relationships" ref="G2" r:id="rId2"/>
  </hyperlinks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G479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18" customWidth="1" min="3" max="3"/>
    <col width="16" customWidth="1" min="4" max="4"/>
    <col width="44" customWidth="1" min="5" max="5"/>
    <col width="28" customWidth="1" min="6" max="6"/>
    <col width="65" customWidth="1" min="7" max="7"/>
  </cols>
  <sheetData>
    <row r="1" ht="32" customHeight="1">
      <c r="A1" s="1" t="inlineStr">
        <is>
          <t>🔑 KUNCI JAWABAN LENGKAP SELURUH SOAL TES (95 RUMUS × 5 SOAL TES = 475 SOAL)</t>
        </is>
      </c>
    </row>
    <row r="2" ht="22" customHeight="1">
      <c r="A2" s="2" t="inlineStr">
        <is>
          <t>Gunakan halaman paling terakhir ini untuk memeriksa Kunci Rumus &amp; Hasil Jawaban Benar setelah Anda selesai mengerjakan Soal Tes di masing-masing sheet!</t>
        </is>
      </c>
      <c r="G2" s="12" t="inlineStr">
        <is>
          <t>⬅️ Kembali ke 00_DAFTAR_ISI</t>
        </is>
      </c>
    </row>
    <row r="4" ht="24" customHeight="1">
      <c r="A4" s="30" t="inlineStr">
        <is>
          <t>No</t>
        </is>
      </c>
      <c r="B4" s="30" t="inlineStr">
        <is>
          <t>Nama Rumus (Sheet)</t>
        </is>
      </c>
      <c r="C4" s="30" t="inlineStr">
        <is>
          <t>Nomor Soal Tes</t>
        </is>
      </c>
      <c r="D4" s="30" t="inlineStr">
        <is>
          <t>Sel Kotak Kuning</t>
        </is>
      </c>
      <c r="E4" s="30" t="inlineStr">
        <is>
          <t>🔑 KUNCI RUMUS (YANG HARUS DIKETIK)</t>
        </is>
      </c>
      <c r="F4" s="30" t="inlineStr">
        <is>
          <t>🎯 HASIL JAWABAN BENAR</t>
        </is>
      </c>
      <c r="G4" s="30" t="inlineStr">
        <is>
          <t>Ringkasan Persoalan Tes</t>
        </is>
      </c>
    </row>
    <row r="5">
      <c r="A5" s="5" t="n">
        <v>1</v>
      </c>
      <c r="B5" s="8" t="inlineStr">
        <is>
          <t>AVEDEV</t>
        </is>
      </c>
      <c r="C5" s="6" t="inlineStr">
        <is>
          <t>Soal Tes #1</t>
        </is>
      </c>
      <c r="D5" s="31" t="inlineStr">
        <is>
          <t>AVEDEV!E22</t>
        </is>
      </c>
      <c r="E5" s="22" t="inlineStr">
        <is>
          <t>'=AVEDEV(C21:C24)</t>
        </is>
      </c>
      <c r="F5" s="32">
        <f>AVEDEV('AVEDEV'!C21:C24)</f>
        <v/>
      </c>
      <c r="G5" s="19" t="inlineStr">
        <is>
          <t>Hitung hasil pengolahan fungsi AVEDEV untuk keempat baris data pada rentang C21:C24!</t>
        </is>
      </c>
    </row>
    <row r="6">
      <c r="A6" s="5" t="n">
        <v>2</v>
      </c>
      <c r="B6" s="8" t="inlineStr">
        <is>
          <t>AVEDEV</t>
        </is>
      </c>
      <c r="C6" s="6" t="inlineStr">
        <is>
          <t>Soal Tes #2</t>
        </is>
      </c>
      <c r="D6" s="31" t="inlineStr">
        <is>
          <t>AVEDEV!E30</t>
        </is>
      </c>
      <c r="E6" s="22" t="inlineStr">
        <is>
          <t>'=AVEDEV(C29:C32)</t>
        </is>
      </c>
      <c r="F6" s="32">
        <f>AVEDEV('AVEDEV'!C29:C32)</f>
        <v/>
      </c>
      <c r="G6" s="19" t="inlineStr">
        <is>
          <t>Hitung hasil pengolahan fungsi AVEDEV untuk keempat baris data pada rentang C29:C32!</t>
        </is>
      </c>
    </row>
    <row r="7">
      <c r="A7" s="5" t="n">
        <v>3</v>
      </c>
      <c r="B7" s="8" t="inlineStr">
        <is>
          <t>AVEDEV</t>
        </is>
      </c>
      <c r="C7" s="6" t="inlineStr">
        <is>
          <t>Soal Tes #3</t>
        </is>
      </c>
      <c r="D7" s="31" t="inlineStr">
        <is>
          <t>AVEDEV!E38</t>
        </is>
      </c>
      <c r="E7" s="22" t="inlineStr">
        <is>
          <t>'=AVEDEV(C37:C40)</t>
        </is>
      </c>
      <c r="F7" s="32">
        <f>AVEDEV('AVEDEV'!C37:C40)</f>
        <v/>
      </c>
      <c r="G7" s="19" t="inlineStr">
        <is>
          <t>Hitung hasil pengolahan fungsi AVEDEV untuk keempat baris data pada rentang C37:C40!</t>
        </is>
      </c>
    </row>
    <row r="8">
      <c r="A8" s="5" t="n">
        <v>4</v>
      </c>
      <c r="B8" s="8" t="inlineStr">
        <is>
          <t>AVEDEV</t>
        </is>
      </c>
      <c r="C8" s="6" t="inlineStr">
        <is>
          <t>Soal Tes #4</t>
        </is>
      </c>
      <c r="D8" s="31" t="inlineStr">
        <is>
          <t>AVEDEV!E46</t>
        </is>
      </c>
      <c r="E8" s="22" t="inlineStr">
        <is>
          <t>'=AVEDEV(C45:C48)</t>
        </is>
      </c>
      <c r="F8" s="32">
        <f>AVEDEV('AVEDEV'!C45:C48)</f>
        <v/>
      </c>
      <c r="G8" s="19" t="inlineStr">
        <is>
          <t>Hitung hasil pengolahan fungsi AVEDEV untuk keempat baris data pada rentang C45:C48!</t>
        </is>
      </c>
    </row>
    <row r="9">
      <c r="A9" s="5" t="n">
        <v>5</v>
      </c>
      <c r="B9" s="8" t="inlineStr">
        <is>
          <t>AVEDEV</t>
        </is>
      </c>
      <c r="C9" s="6" t="inlineStr">
        <is>
          <t>Soal Tes #5</t>
        </is>
      </c>
      <c r="D9" s="31" t="inlineStr">
        <is>
          <t>AVEDEV!E54</t>
        </is>
      </c>
      <c r="E9" s="22" t="inlineStr">
        <is>
          <t>'=AVEDEV(C53:C56)</t>
        </is>
      </c>
      <c r="F9" s="32">
        <f>AVEDEV('AVEDEV'!C53:C56)</f>
        <v/>
      </c>
      <c r="G9" s="19" t="inlineStr">
        <is>
          <t>Hitung hasil pengolahan fungsi AVEDEV untuk keempat baris data pada rentang C53:C56!</t>
        </is>
      </c>
    </row>
    <row r="10">
      <c r="A10" s="5" t="n">
        <v>6</v>
      </c>
      <c r="B10" s="8" t="inlineStr">
        <is>
          <t>AVERAGE</t>
        </is>
      </c>
      <c r="C10" s="6" t="inlineStr">
        <is>
          <t>Soal Tes #1</t>
        </is>
      </c>
      <c r="D10" s="31" t="inlineStr">
        <is>
          <t>AVERAGE!E22</t>
        </is>
      </c>
      <c r="E10" s="22" t="inlineStr">
        <is>
          <t>'=AVERAGE(C21:C24)</t>
        </is>
      </c>
      <c r="F10" s="32">
        <f>AVERAGE('AVERAGE'!C21:C24)</f>
        <v/>
      </c>
      <c r="G10" s="19" t="inlineStr">
        <is>
          <t>Hitung hasil pengolahan fungsi AVERAGE untuk keempat baris data pada rentang C21:C24!</t>
        </is>
      </c>
    </row>
    <row r="11">
      <c r="A11" s="5" t="n">
        <v>7</v>
      </c>
      <c r="B11" s="8" t="inlineStr">
        <is>
          <t>AVERAGE</t>
        </is>
      </c>
      <c r="C11" s="6" t="inlineStr">
        <is>
          <t>Soal Tes #2</t>
        </is>
      </c>
      <c r="D11" s="31" t="inlineStr">
        <is>
          <t>AVERAGE!E30</t>
        </is>
      </c>
      <c r="E11" s="22" t="inlineStr">
        <is>
          <t>'=AVERAGE(C29:C32)</t>
        </is>
      </c>
      <c r="F11" s="32">
        <f>AVERAGE('AVERAGE'!C29:C32)</f>
        <v/>
      </c>
      <c r="G11" s="19" t="inlineStr">
        <is>
          <t>Hitung hasil pengolahan fungsi AVERAGE untuk keempat baris data pada rentang C29:C32!</t>
        </is>
      </c>
    </row>
    <row r="12">
      <c r="A12" s="5" t="n">
        <v>8</v>
      </c>
      <c r="B12" s="8" t="inlineStr">
        <is>
          <t>AVERAGE</t>
        </is>
      </c>
      <c r="C12" s="6" t="inlineStr">
        <is>
          <t>Soal Tes #3</t>
        </is>
      </c>
      <c r="D12" s="31" t="inlineStr">
        <is>
          <t>AVERAGE!E38</t>
        </is>
      </c>
      <c r="E12" s="22" t="inlineStr">
        <is>
          <t>'=AVERAGE(C37:C40)</t>
        </is>
      </c>
      <c r="F12" s="32">
        <f>AVERAGE('AVERAGE'!C37:C40)</f>
        <v/>
      </c>
      <c r="G12" s="19" t="inlineStr">
        <is>
          <t>Hitung hasil pengolahan fungsi AVERAGE untuk keempat baris data pada rentang C37:C40!</t>
        </is>
      </c>
    </row>
    <row r="13">
      <c r="A13" s="5" t="n">
        <v>9</v>
      </c>
      <c r="B13" s="8" t="inlineStr">
        <is>
          <t>AVERAGE</t>
        </is>
      </c>
      <c r="C13" s="6" t="inlineStr">
        <is>
          <t>Soal Tes #4</t>
        </is>
      </c>
      <c r="D13" s="31" t="inlineStr">
        <is>
          <t>AVERAGE!E46</t>
        </is>
      </c>
      <c r="E13" s="22" t="inlineStr">
        <is>
          <t>'=AVERAGE(C45:C48)</t>
        </is>
      </c>
      <c r="F13" s="32">
        <f>AVERAGE('AVERAGE'!C45:C48)</f>
        <v/>
      </c>
      <c r="G13" s="19" t="inlineStr">
        <is>
          <t>Hitung hasil pengolahan fungsi AVERAGE untuk keempat baris data pada rentang C45:C48!</t>
        </is>
      </c>
    </row>
    <row r="14">
      <c r="A14" s="5" t="n">
        <v>10</v>
      </c>
      <c r="B14" s="8" t="inlineStr">
        <is>
          <t>AVERAGE</t>
        </is>
      </c>
      <c r="C14" s="6" t="inlineStr">
        <is>
          <t>Soal Tes #5</t>
        </is>
      </c>
      <c r="D14" s="31" t="inlineStr">
        <is>
          <t>AVERAGE!E54</t>
        </is>
      </c>
      <c r="E14" s="22" t="inlineStr">
        <is>
          <t>'=AVERAGE(C53:C56)</t>
        </is>
      </c>
      <c r="F14" s="32">
        <f>AVERAGE('AVERAGE'!C53:C56)</f>
        <v/>
      </c>
      <c r="G14" s="19" t="inlineStr">
        <is>
          <t>Hitung hasil pengolahan fungsi AVERAGE untuk keempat baris data pada rentang C53:C56!</t>
        </is>
      </c>
    </row>
    <row r="15">
      <c r="A15" s="5" t="n">
        <v>11</v>
      </c>
      <c r="B15" s="8" t="inlineStr">
        <is>
          <t>AVERAGEA</t>
        </is>
      </c>
      <c r="C15" s="6" t="inlineStr">
        <is>
          <t>Soal Tes #1</t>
        </is>
      </c>
      <c r="D15" s="31" t="inlineStr">
        <is>
          <t>AVERAGEA!E22</t>
        </is>
      </c>
      <c r="E15" s="22" t="inlineStr">
        <is>
          <t>'=AVERAGEA(C21:C24)</t>
        </is>
      </c>
      <c r="F15" s="32">
        <f>AVERAGEA('AVERAGEA'!C21:C24)</f>
        <v/>
      </c>
      <c r="G15" s="19" t="inlineStr">
        <is>
          <t>Hitung hasil pengolahan fungsi AVERAGEA untuk keempat baris data pada rentang C21:C24!</t>
        </is>
      </c>
    </row>
    <row r="16">
      <c r="A16" s="5" t="n">
        <v>12</v>
      </c>
      <c r="B16" s="8" t="inlineStr">
        <is>
          <t>AVERAGEA</t>
        </is>
      </c>
      <c r="C16" s="6" t="inlineStr">
        <is>
          <t>Soal Tes #2</t>
        </is>
      </c>
      <c r="D16" s="31" t="inlineStr">
        <is>
          <t>AVERAGEA!E30</t>
        </is>
      </c>
      <c r="E16" s="22" t="inlineStr">
        <is>
          <t>'=AVERAGEA(C29:C32)</t>
        </is>
      </c>
      <c r="F16" s="32">
        <f>AVERAGEA('AVERAGEA'!C29:C32)</f>
        <v/>
      </c>
      <c r="G16" s="19" t="inlineStr">
        <is>
          <t>Hitung hasil pengolahan fungsi AVERAGEA untuk keempat baris data pada rentang C29:C32!</t>
        </is>
      </c>
    </row>
    <row r="17">
      <c r="A17" s="5" t="n">
        <v>13</v>
      </c>
      <c r="B17" s="8" t="inlineStr">
        <is>
          <t>AVERAGEA</t>
        </is>
      </c>
      <c r="C17" s="6" t="inlineStr">
        <is>
          <t>Soal Tes #3</t>
        </is>
      </c>
      <c r="D17" s="31" t="inlineStr">
        <is>
          <t>AVERAGEA!E38</t>
        </is>
      </c>
      <c r="E17" s="22" t="inlineStr">
        <is>
          <t>'=AVERAGEA(C37:C40)</t>
        </is>
      </c>
      <c r="F17" s="32">
        <f>AVERAGEA('AVERAGEA'!C37:C40)</f>
        <v/>
      </c>
      <c r="G17" s="19" t="inlineStr">
        <is>
          <t>Hitung hasil pengolahan fungsi AVERAGEA untuk keempat baris data pada rentang C37:C40!</t>
        </is>
      </c>
    </row>
    <row r="18">
      <c r="A18" s="5" t="n">
        <v>14</v>
      </c>
      <c r="B18" s="8" t="inlineStr">
        <is>
          <t>AVERAGEA</t>
        </is>
      </c>
      <c r="C18" s="6" t="inlineStr">
        <is>
          <t>Soal Tes #4</t>
        </is>
      </c>
      <c r="D18" s="31" t="inlineStr">
        <is>
          <t>AVERAGEA!E46</t>
        </is>
      </c>
      <c r="E18" s="22" t="inlineStr">
        <is>
          <t>'=AVERAGEA(C45:C48)</t>
        </is>
      </c>
      <c r="F18" s="32">
        <f>AVERAGEA('AVERAGEA'!C45:C48)</f>
        <v/>
      </c>
      <c r="G18" s="19" t="inlineStr">
        <is>
          <t>Hitung hasil pengolahan fungsi AVERAGEA untuk keempat baris data pada rentang C45:C48!</t>
        </is>
      </c>
    </row>
    <row r="19">
      <c r="A19" s="5" t="n">
        <v>15</v>
      </c>
      <c r="B19" s="8" t="inlineStr">
        <is>
          <t>AVERAGEA</t>
        </is>
      </c>
      <c r="C19" s="6" t="inlineStr">
        <is>
          <t>Soal Tes #5</t>
        </is>
      </c>
      <c r="D19" s="31" t="inlineStr">
        <is>
          <t>AVERAGEA!E54</t>
        </is>
      </c>
      <c r="E19" s="22" t="inlineStr">
        <is>
          <t>'=AVERAGEA(C53:C56)</t>
        </is>
      </c>
      <c r="F19" s="32">
        <f>AVERAGEA('AVERAGEA'!C53:C56)</f>
        <v/>
      </c>
      <c r="G19" s="19" t="inlineStr">
        <is>
          <t>Hitung hasil pengolahan fungsi AVERAGEA untuk keempat baris data pada rentang C53:C56!</t>
        </is>
      </c>
    </row>
    <row r="20">
      <c r="A20" s="5" t="n">
        <v>16</v>
      </c>
      <c r="B20" s="8" t="inlineStr">
        <is>
          <t>AVERAGEIF</t>
        </is>
      </c>
      <c r="C20" s="6" t="inlineStr">
        <is>
          <t>Soal Tes #1</t>
        </is>
      </c>
      <c r="D20" s="31" t="inlineStr">
        <is>
          <t>AVERAGEIF!E22</t>
        </is>
      </c>
      <c r="E20" s="22" t="inlineStr">
        <is>
          <t>'=AVERAGEIF(B21:B24, "Pusat", C21:C24)</t>
        </is>
      </c>
      <c r="F20" s="32">
        <f>AVERAGEIF('AVERAGEIF'!B21:B24, "Pusat", 'AVERAGEIF'!C21:C24)</f>
        <v/>
      </c>
      <c r="G20" s="19" t="inlineStr">
        <is>
          <t>Gunakan fungsi AVERAGEIF untuk mengolah data khusus kategori "Pusat" saja (rentang kategori di B21:B24 dan rentang nilai di C21:C24)!</t>
        </is>
      </c>
    </row>
    <row r="21">
      <c r="A21" s="5" t="n">
        <v>17</v>
      </c>
      <c r="B21" s="8" t="inlineStr">
        <is>
          <t>AVERAGEIF</t>
        </is>
      </c>
      <c r="C21" s="6" t="inlineStr">
        <is>
          <t>Soal Tes #2</t>
        </is>
      </c>
      <c r="D21" s="31" t="inlineStr">
        <is>
          <t>AVERAGEIF!E30</t>
        </is>
      </c>
      <c r="E21" s="22" t="inlineStr">
        <is>
          <t>'=AVERAGEIF(B29:B32, "Pusat", C29:C32)</t>
        </is>
      </c>
      <c r="F21" s="32">
        <f>AVERAGEIF('AVERAGEIF'!B29:B32, "Pusat", 'AVERAGEIF'!C29:C32)</f>
        <v/>
      </c>
      <c r="G21" s="19" t="inlineStr">
        <is>
          <t>Gunakan fungsi AVERAGEIF untuk mengolah data khusus kategori "Pusat" saja (rentang kategori di B29:B32 dan rentang nilai di C29:C32)!</t>
        </is>
      </c>
    </row>
    <row r="22">
      <c r="A22" s="5" t="n">
        <v>18</v>
      </c>
      <c r="B22" s="8" t="inlineStr">
        <is>
          <t>AVERAGEIF</t>
        </is>
      </c>
      <c r="C22" s="6" t="inlineStr">
        <is>
          <t>Soal Tes #3</t>
        </is>
      </c>
      <c r="D22" s="31" t="inlineStr">
        <is>
          <t>AVERAGEIF!E38</t>
        </is>
      </c>
      <c r="E22" s="22" t="inlineStr">
        <is>
          <t>'=AVERAGEIF(B37:B40, "Pusat", C37:C40)</t>
        </is>
      </c>
      <c r="F22" s="32">
        <f>AVERAGEIF('AVERAGEIF'!B37:B40, "Pusat", 'AVERAGEIF'!C37:C40)</f>
        <v/>
      </c>
      <c r="G22" s="19" t="inlineStr">
        <is>
          <t>Gunakan fungsi AVERAGEIF untuk mengolah data khusus kategori "Pusat" saja (rentang kategori di B37:B40 dan rentang nilai di C37:C40)!</t>
        </is>
      </c>
    </row>
    <row r="23">
      <c r="A23" s="5" t="n">
        <v>19</v>
      </c>
      <c r="B23" s="8" t="inlineStr">
        <is>
          <t>AVERAGEIF</t>
        </is>
      </c>
      <c r="C23" s="6" t="inlineStr">
        <is>
          <t>Soal Tes #4</t>
        </is>
      </c>
      <c r="D23" s="31" t="inlineStr">
        <is>
          <t>AVERAGEIF!E46</t>
        </is>
      </c>
      <c r="E23" s="22" t="inlineStr">
        <is>
          <t>'=AVERAGEIF(B45:B48, "Pusat", C45:C48)</t>
        </is>
      </c>
      <c r="F23" s="32">
        <f>AVERAGEIF('AVERAGEIF'!B45:B48, "Pusat", 'AVERAGEIF'!C45:C48)</f>
        <v/>
      </c>
      <c r="G23" s="19" t="inlineStr">
        <is>
          <t>Gunakan fungsi AVERAGEIF untuk mengolah data khusus kategori "Pusat" saja (rentang kategori di B45:B48 dan rentang nilai di C45:C48)!</t>
        </is>
      </c>
    </row>
    <row r="24">
      <c r="A24" s="5" t="n">
        <v>20</v>
      </c>
      <c r="B24" s="8" t="inlineStr">
        <is>
          <t>AVERAGEIF</t>
        </is>
      </c>
      <c r="C24" s="6" t="inlineStr">
        <is>
          <t>Soal Tes #5</t>
        </is>
      </c>
      <c r="D24" s="31" t="inlineStr">
        <is>
          <t>AVERAGEIF!E54</t>
        </is>
      </c>
      <c r="E24" s="22" t="inlineStr">
        <is>
          <t>'=AVERAGEIF(B53:B56, "Pusat", C53:C56)</t>
        </is>
      </c>
      <c r="F24" s="32">
        <f>AVERAGEIF('AVERAGEIF'!B53:B56, "Pusat", 'AVERAGEIF'!C53:C56)</f>
        <v/>
      </c>
      <c r="G24" s="19" t="inlineStr">
        <is>
          <t>Gunakan fungsi AVERAGEIF untuk mengolah data khusus kategori "Pusat" saja (rentang kategori di B53:B56 dan rentang nilai di C53:C56)!</t>
        </is>
      </c>
    </row>
    <row r="25">
      <c r="A25" s="5" t="n">
        <v>21</v>
      </c>
      <c r="B25" s="8" t="inlineStr">
        <is>
          <t>AVERAGEIFS</t>
        </is>
      </c>
      <c r="C25" s="6" t="inlineStr">
        <is>
          <t>Soal Tes #1</t>
        </is>
      </c>
      <c r="D25" s="31" t="inlineStr">
        <is>
          <t>AVERAGEIFS!E22</t>
        </is>
      </c>
      <c r="E25" s="22" t="inlineStr">
        <is>
          <t>'=AVERAGEIFS(C21:C24, B21:B24, "Aktif")</t>
        </is>
      </c>
      <c r="F25" s="32">
        <f>AVERAGEIFS('AVERAGEIFS'!C21:C24, 'AVERAGEIFS'!B21:B24, "Aktif")</f>
        <v/>
      </c>
      <c r="G25" s="19" t="inlineStr">
        <is>
          <t>Gunakan fungsi AVERAGEIFS untuk mengolah nilai di C21:C24 khusus baris yang berstatus "Aktif" pada kolom B21:B24!</t>
        </is>
      </c>
    </row>
    <row r="26">
      <c r="A26" s="5" t="n">
        <v>22</v>
      </c>
      <c r="B26" s="8" t="inlineStr">
        <is>
          <t>AVERAGEIFS</t>
        </is>
      </c>
      <c r="C26" s="6" t="inlineStr">
        <is>
          <t>Soal Tes #2</t>
        </is>
      </c>
      <c r="D26" s="31" t="inlineStr">
        <is>
          <t>AVERAGEIFS!E30</t>
        </is>
      </c>
      <c r="E26" s="22" t="inlineStr">
        <is>
          <t>'=AVERAGEIFS(C29:C32, B29:B32, "Aktif")</t>
        </is>
      </c>
      <c r="F26" s="32">
        <f>AVERAGEIFS('AVERAGEIFS'!C29:C32, 'AVERAGEIFS'!B29:B32, "Aktif")</f>
        <v/>
      </c>
      <c r="G26" s="19" t="inlineStr">
        <is>
          <t>Gunakan fungsi AVERAGEIFS untuk mengolah nilai di C29:C32 khusus baris yang berstatus "Aktif" pada kolom B29:B32!</t>
        </is>
      </c>
    </row>
    <row r="27">
      <c r="A27" s="5" t="n">
        <v>23</v>
      </c>
      <c r="B27" s="8" t="inlineStr">
        <is>
          <t>AVERAGEIFS</t>
        </is>
      </c>
      <c r="C27" s="6" t="inlineStr">
        <is>
          <t>Soal Tes #3</t>
        </is>
      </c>
      <c r="D27" s="31" t="inlineStr">
        <is>
          <t>AVERAGEIFS!E38</t>
        </is>
      </c>
      <c r="E27" s="22" t="inlineStr">
        <is>
          <t>'=AVERAGEIFS(C37:C40, B37:B40, "Aktif")</t>
        </is>
      </c>
      <c r="F27" s="32">
        <f>AVERAGEIFS('AVERAGEIFS'!C37:C40, 'AVERAGEIFS'!B37:B40, "Aktif")</f>
        <v/>
      </c>
      <c r="G27" s="19" t="inlineStr">
        <is>
          <t>Gunakan fungsi AVERAGEIFS untuk mengolah nilai di C37:C40 khusus baris yang berstatus "Aktif" pada kolom B37:B40!</t>
        </is>
      </c>
    </row>
    <row r="28">
      <c r="A28" s="5" t="n">
        <v>24</v>
      </c>
      <c r="B28" s="8" t="inlineStr">
        <is>
          <t>AVERAGEIFS</t>
        </is>
      </c>
      <c r="C28" s="6" t="inlineStr">
        <is>
          <t>Soal Tes #4</t>
        </is>
      </c>
      <c r="D28" s="31" t="inlineStr">
        <is>
          <t>AVERAGEIFS!E46</t>
        </is>
      </c>
      <c r="E28" s="22" t="inlineStr">
        <is>
          <t>'=AVERAGEIFS(C45:C48, B45:B48, "Aktif")</t>
        </is>
      </c>
      <c r="F28" s="32">
        <f>AVERAGEIFS('AVERAGEIFS'!C45:C48, 'AVERAGEIFS'!B45:B48, "Aktif")</f>
        <v/>
      </c>
      <c r="G28" s="19" t="inlineStr">
        <is>
          <t>Gunakan fungsi AVERAGEIFS untuk mengolah nilai di C45:C48 khusus baris yang berstatus "Aktif" pada kolom B45:B48!</t>
        </is>
      </c>
    </row>
    <row r="29">
      <c r="A29" s="5" t="n">
        <v>25</v>
      </c>
      <c r="B29" s="8" t="inlineStr">
        <is>
          <t>AVERAGEIFS</t>
        </is>
      </c>
      <c r="C29" s="6" t="inlineStr">
        <is>
          <t>Soal Tes #5</t>
        </is>
      </c>
      <c r="D29" s="31" t="inlineStr">
        <is>
          <t>AVERAGEIFS!E54</t>
        </is>
      </c>
      <c r="E29" s="22" t="inlineStr">
        <is>
          <t>'=AVERAGEIFS(C53:C56, B53:B56, "Aktif")</t>
        </is>
      </c>
      <c r="F29" s="32">
        <f>AVERAGEIFS('AVERAGEIFS'!C53:C56, 'AVERAGEIFS'!B53:B56, "Aktif")</f>
        <v/>
      </c>
      <c r="G29" s="19" t="inlineStr">
        <is>
          <t>Gunakan fungsi AVERAGEIFS untuk mengolah nilai di C53:C56 khusus baris yang berstatus "Aktif" pada kolom B53:B56!</t>
        </is>
      </c>
    </row>
    <row r="30">
      <c r="A30" s="5" t="n">
        <v>26</v>
      </c>
      <c r="B30" s="8" t="inlineStr">
        <is>
          <t>BETA.DIST</t>
        </is>
      </c>
      <c r="C30" s="6" t="inlineStr">
        <is>
          <t>Soal Tes #1</t>
        </is>
      </c>
      <c r="D30" s="31" t="inlineStr">
        <is>
          <t>BETA.DIST!E22</t>
        </is>
      </c>
      <c r="E30" s="22" t="inlineStr">
        <is>
          <t>'=BETA.DIST(C21, C22, C23, TRUE)</t>
        </is>
      </c>
      <c r="F30" s="32">
        <f>BETA.DIST('BETA.DIST'!C21, 'BETA.DIST'!C22, 'BETA.DIST'!C23, TRUE)</f>
        <v/>
      </c>
      <c r="G30" s="19" t="inlineStr">
        <is>
          <t>Hitung distribusi Beta kumulatif menggunakan fungsi BETA.DIST dengan argumen C21, C22, C23, dan TRUE!</t>
        </is>
      </c>
    </row>
    <row r="31">
      <c r="A31" s="5" t="n">
        <v>27</v>
      </c>
      <c r="B31" s="8" t="inlineStr">
        <is>
          <t>BETA.DIST</t>
        </is>
      </c>
      <c r="C31" s="6" t="inlineStr">
        <is>
          <t>Soal Tes #2</t>
        </is>
      </c>
      <c r="D31" s="31" t="inlineStr">
        <is>
          <t>BETA.DIST!E30</t>
        </is>
      </c>
      <c r="E31" s="22" t="inlineStr">
        <is>
          <t>'=BETA.DIST(C29, C30, C31, TRUE)</t>
        </is>
      </c>
      <c r="F31" s="32">
        <f>BETA.DIST('BETA.DIST'!C29, 'BETA.DIST'!C30, 'BETA.DIST'!C31, TRUE)</f>
        <v/>
      </c>
      <c r="G31" s="19" t="inlineStr">
        <is>
          <t>Hitung distribusi Beta kumulatif menggunakan fungsi BETA.DIST dengan argumen C29, C30, C31, dan TRUE!</t>
        </is>
      </c>
    </row>
    <row r="32">
      <c r="A32" s="5" t="n">
        <v>28</v>
      </c>
      <c r="B32" s="8" t="inlineStr">
        <is>
          <t>BETA.DIST</t>
        </is>
      </c>
      <c r="C32" s="6" t="inlineStr">
        <is>
          <t>Soal Tes #3</t>
        </is>
      </c>
      <c r="D32" s="31" t="inlineStr">
        <is>
          <t>BETA.DIST!E38</t>
        </is>
      </c>
      <c r="E32" s="22" t="inlineStr">
        <is>
          <t>'=BETA.DIST(C37, C38, C39, TRUE)</t>
        </is>
      </c>
      <c r="F32" s="32">
        <f>BETA.DIST('BETA.DIST'!C37, 'BETA.DIST'!C38, 'BETA.DIST'!C39, TRUE)</f>
        <v/>
      </c>
      <c r="G32" s="19" t="inlineStr">
        <is>
          <t>Hitung distribusi Beta kumulatif menggunakan fungsi BETA.DIST dengan argumen C37, C38, C39, dan TRUE!</t>
        </is>
      </c>
    </row>
    <row r="33">
      <c r="A33" s="5" t="n">
        <v>29</v>
      </c>
      <c r="B33" s="8" t="inlineStr">
        <is>
          <t>BETA.DIST</t>
        </is>
      </c>
      <c r="C33" s="6" t="inlineStr">
        <is>
          <t>Soal Tes #4</t>
        </is>
      </c>
      <c r="D33" s="31" t="inlineStr">
        <is>
          <t>BETA.DIST!E46</t>
        </is>
      </c>
      <c r="E33" s="22" t="inlineStr">
        <is>
          <t>'=BETA.DIST(C45, C46, C47, TRUE)</t>
        </is>
      </c>
      <c r="F33" s="32">
        <f>BETA.DIST('BETA.DIST'!C45, 'BETA.DIST'!C46, 'BETA.DIST'!C47, TRUE)</f>
        <v/>
      </c>
      <c r="G33" s="19" t="inlineStr">
        <is>
          <t>Hitung distribusi Beta kumulatif menggunakan fungsi BETA.DIST dengan argumen C45, C46, C47, dan TRUE!</t>
        </is>
      </c>
    </row>
    <row r="34">
      <c r="A34" s="5" t="n">
        <v>30</v>
      </c>
      <c r="B34" s="8" t="inlineStr">
        <is>
          <t>BETA.DIST</t>
        </is>
      </c>
      <c r="C34" s="6" t="inlineStr">
        <is>
          <t>Soal Tes #5</t>
        </is>
      </c>
      <c r="D34" s="31" t="inlineStr">
        <is>
          <t>BETA.DIST!E54</t>
        </is>
      </c>
      <c r="E34" s="22" t="inlineStr">
        <is>
          <t>'=BETA.DIST(C53, C54, C55, TRUE)</t>
        </is>
      </c>
      <c r="F34" s="32">
        <f>BETA.DIST('BETA.DIST'!C53, 'BETA.DIST'!C54, 'BETA.DIST'!C55, TRUE)</f>
        <v/>
      </c>
      <c r="G34" s="19" t="inlineStr">
        <is>
          <t>Hitung distribusi Beta kumulatif menggunakan fungsi BETA.DIST dengan argumen C53, C54, C55, dan TRUE!</t>
        </is>
      </c>
    </row>
    <row r="35">
      <c r="A35" s="5" t="n">
        <v>31</v>
      </c>
      <c r="B35" s="8" t="inlineStr">
        <is>
          <t>BETA.INV</t>
        </is>
      </c>
      <c r="C35" s="6" t="inlineStr">
        <is>
          <t>Soal Tes #1</t>
        </is>
      </c>
      <c r="D35" s="31" t="inlineStr">
        <is>
          <t>BETA.INV!E22</t>
        </is>
      </c>
      <c r="E35" s="22" t="inlineStr">
        <is>
          <t>'=BETA.INV(C21, C22, C23)</t>
        </is>
      </c>
      <c r="F35" s="32">
        <f>BETA.INV('BETA.INV'!C21, 'BETA.INV'!C22, 'BETA.INV'!C23)</f>
        <v/>
      </c>
      <c r="G35" s="19" t="inlineStr">
        <is>
          <t>Hitung nilai invers distribusi Beta menggunakan fungsi BETA.INV dengan argumen C21, C22, dan C23!</t>
        </is>
      </c>
    </row>
    <row r="36">
      <c r="A36" s="5" t="n">
        <v>32</v>
      </c>
      <c r="B36" s="8" t="inlineStr">
        <is>
          <t>BETA.INV</t>
        </is>
      </c>
      <c r="C36" s="6" t="inlineStr">
        <is>
          <t>Soal Tes #2</t>
        </is>
      </c>
      <c r="D36" s="31" t="inlineStr">
        <is>
          <t>BETA.INV!E30</t>
        </is>
      </c>
      <c r="E36" s="22" t="inlineStr">
        <is>
          <t>'=BETA.INV(C29, C30, C31)</t>
        </is>
      </c>
      <c r="F36" s="32">
        <f>BETA.INV('BETA.INV'!C29, 'BETA.INV'!C30, 'BETA.INV'!C31)</f>
        <v/>
      </c>
      <c r="G36" s="19" t="inlineStr">
        <is>
          <t>Hitung nilai invers distribusi Beta menggunakan fungsi BETA.INV dengan argumen C29, C30, dan C31!</t>
        </is>
      </c>
    </row>
    <row r="37">
      <c r="A37" s="5" t="n">
        <v>33</v>
      </c>
      <c r="B37" s="8" t="inlineStr">
        <is>
          <t>BETA.INV</t>
        </is>
      </c>
      <c r="C37" s="6" t="inlineStr">
        <is>
          <t>Soal Tes #3</t>
        </is>
      </c>
      <c r="D37" s="31" t="inlineStr">
        <is>
          <t>BETA.INV!E38</t>
        </is>
      </c>
      <c r="E37" s="22" t="inlineStr">
        <is>
          <t>'=BETA.INV(C37, C38, C39)</t>
        </is>
      </c>
      <c r="F37" s="32">
        <f>BETA.INV('BETA.INV'!C37, 'BETA.INV'!C38, 'BETA.INV'!C39)</f>
        <v/>
      </c>
      <c r="G37" s="19" t="inlineStr">
        <is>
          <t>Hitung nilai invers distribusi Beta menggunakan fungsi BETA.INV dengan argumen C37, C38, dan C39!</t>
        </is>
      </c>
    </row>
    <row r="38">
      <c r="A38" s="5" t="n">
        <v>34</v>
      </c>
      <c r="B38" s="8" t="inlineStr">
        <is>
          <t>BETA.INV</t>
        </is>
      </c>
      <c r="C38" s="6" t="inlineStr">
        <is>
          <t>Soal Tes #4</t>
        </is>
      </c>
      <c r="D38" s="31" t="inlineStr">
        <is>
          <t>BETA.INV!E46</t>
        </is>
      </c>
      <c r="E38" s="22" t="inlineStr">
        <is>
          <t>'=BETA.INV(C45, C46, C47)</t>
        </is>
      </c>
      <c r="F38" s="32">
        <f>BETA.INV('BETA.INV'!C45, 'BETA.INV'!C46, 'BETA.INV'!C47)</f>
        <v/>
      </c>
      <c r="G38" s="19" t="inlineStr">
        <is>
          <t>Hitung nilai invers distribusi Beta menggunakan fungsi BETA.INV dengan argumen C45, C46, dan C47!</t>
        </is>
      </c>
    </row>
    <row r="39">
      <c r="A39" s="5" t="n">
        <v>35</v>
      </c>
      <c r="B39" s="8" t="inlineStr">
        <is>
          <t>BETA.INV</t>
        </is>
      </c>
      <c r="C39" s="6" t="inlineStr">
        <is>
          <t>Soal Tes #5</t>
        </is>
      </c>
      <c r="D39" s="31" t="inlineStr">
        <is>
          <t>BETA.INV!E54</t>
        </is>
      </c>
      <c r="E39" s="22" t="inlineStr">
        <is>
          <t>'=BETA.INV(C53, C54, C55)</t>
        </is>
      </c>
      <c r="F39" s="32">
        <f>BETA.INV('BETA.INV'!C53, 'BETA.INV'!C54, 'BETA.INV'!C55)</f>
        <v/>
      </c>
      <c r="G39" s="19" t="inlineStr">
        <is>
          <t>Hitung nilai invers distribusi Beta menggunakan fungsi BETA.INV dengan argumen C53, C54, dan C55!</t>
        </is>
      </c>
    </row>
    <row r="40">
      <c r="A40" s="5" t="n">
        <v>36</v>
      </c>
      <c r="B40" s="8" t="inlineStr">
        <is>
          <t>BINOM.DIST</t>
        </is>
      </c>
      <c r="C40" s="6" t="inlineStr">
        <is>
          <t>Soal Tes #1</t>
        </is>
      </c>
      <c r="D40" s="31" t="inlineStr">
        <is>
          <t>BINOM.DIST!E22</t>
        </is>
      </c>
      <c r="E40" s="22" t="inlineStr">
        <is>
          <t>'=BINOM.DIST(C21, C22, C23, TRUE)</t>
        </is>
      </c>
      <c r="F40" s="32">
        <f>BINOM.DIST('BINOM.DIST'!C21, 'BINOM.DIST'!C22, 'BINOM.DIST'!C23, TRUE)</f>
        <v/>
      </c>
      <c r="G40" s="19" t="inlineStr">
        <is>
          <t>Hitung peluang distribusi kumulatif (TRUE) menggunakan fungsi BINOM.DIST dengan argumen C21, C22, C23, dan TRUE!</t>
        </is>
      </c>
    </row>
    <row r="41">
      <c r="A41" s="5" t="n">
        <v>37</v>
      </c>
      <c r="B41" s="8" t="inlineStr">
        <is>
          <t>BINOM.DIST</t>
        </is>
      </c>
      <c r="C41" s="6" t="inlineStr">
        <is>
          <t>Soal Tes #2</t>
        </is>
      </c>
      <c r="D41" s="31" t="inlineStr">
        <is>
          <t>BINOM.DIST!E30</t>
        </is>
      </c>
      <c r="E41" s="22" t="inlineStr">
        <is>
          <t>'=BINOM.DIST(C29, C30, C31, TRUE)</t>
        </is>
      </c>
      <c r="F41" s="32">
        <f>BINOM.DIST('BINOM.DIST'!C29, 'BINOM.DIST'!C30, 'BINOM.DIST'!C31, TRUE)</f>
        <v/>
      </c>
      <c r="G41" s="19" t="inlineStr">
        <is>
          <t>Hitung peluang distribusi kumulatif (TRUE) menggunakan fungsi BINOM.DIST dengan argumen C29, C30, C31, dan TRUE!</t>
        </is>
      </c>
    </row>
    <row r="42">
      <c r="A42" s="5" t="n">
        <v>38</v>
      </c>
      <c r="B42" s="8" t="inlineStr">
        <is>
          <t>BINOM.DIST</t>
        </is>
      </c>
      <c r="C42" s="6" t="inlineStr">
        <is>
          <t>Soal Tes #3</t>
        </is>
      </c>
      <c r="D42" s="31" t="inlineStr">
        <is>
          <t>BINOM.DIST!E38</t>
        </is>
      </c>
      <c r="E42" s="22" t="inlineStr">
        <is>
          <t>'=BINOM.DIST(C37, C38, C39, TRUE)</t>
        </is>
      </c>
      <c r="F42" s="32">
        <f>BINOM.DIST('BINOM.DIST'!C37, 'BINOM.DIST'!C38, 'BINOM.DIST'!C39, TRUE)</f>
        <v/>
      </c>
      <c r="G42" s="19" t="inlineStr">
        <is>
          <t>Hitung peluang distribusi kumulatif (TRUE) menggunakan fungsi BINOM.DIST dengan argumen C37, C38, C39, dan TRUE!</t>
        </is>
      </c>
    </row>
    <row r="43">
      <c r="A43" s="5" t="n">
        <v>39</v>
      </c>
      <c r="B43" s="8" t="inlineStr">
        <is>
          <t>BINOM.DIST</t>
        </is>
      </c>
      <c r="C43" s="6" t="inlineStr">
        <is>
          <t>Soal Tes #4</t>
        </is>
      </c>
      <c r="D43" s="31" t="inlineStr">
        <is>
          <t>BINOM.DIST!E46</t>
        </is>
      </c>
      <c r="E43" s="22" t="inlineStr">
        <is>
          <t>'=BINOM.DIST(C45, C46, C47, TRUE)</t>
        </is>
      </c>
      <c r="F43" s="32">
        <f>BINOM.DIST('BINOM.DIST'!C45, 'BINOM.DIST'!C46, 'BINOM.DIST'!C47, TRUE)</f>
        <v/>
      </c>
      <c r="G43" s="19" t="inlineStr">
        <is>
          <t>Hitung peluang distribusi kumulatif (TRUE) menggunakan fungsi BINOM.DIST dengan argumen C45, C46, C47, dan TRUE!</t>
        </is>
      </c>
    </row>
    <row r="44">
      <c r="A44" s="5" t="n">
        <v>40</v>
      </c>
      <c r="B44" s="8" t="inlineStr">
        <is>
          <t>BINOM.DIST</t>
        </is>
      </c>
      <c r="C44" s="6" t="inlineStr">
        <is>
          <t>Soal Tes #5</t>
        </is>
      </c>
      <c r="D44" s="31" t="inlineStr">
        <is>
          <t>BINOM.DIST!E54</t>
        </is>
      </c>
      <c r="E44" s="22" t="inlineStr">
        <is>
          <t>'=BINOM.DIST(C53, C54, C55, TRUE)</t>
        </is>
      </c>
      <c r="F44" s="32">
        <f>BINOM.DIST('BINOM.DIST'!C53, 'BINOM.DIST'!C54, 'BINOM.DIST'!C55, TRUE)</f>
        <v/>
      </c>
      <c r="G44" s="19" t="inlineStr">
        <is>
          <t>Hitung peluang distribusi kumulatif (TRUE) menggunakan fungsi BINOM.DIST dengan argumen C53, C54, C55, dan TRUE!</t>
        </is>
      </c>
    </row>
    <row r="45">
      <c r="A45" s="5" t="n">
        <v>41</v>
      </c>
      <c r="B45" s="8" t="inlineStr">
        <is>
          <t>BINOM.INV</t>
        </is>
      </c>
      <c r="C45" s="6" t="inlineStr">
        <is>
          <t>Soal Tes #1</t>
        </is>
      </c>
      <c r="D45" s="31" t="inlineStr">
        <is>
          <t>BINOM.INV!E22</t>
        </is>
      </c>
      <c r="E45" s="22" t="inlineStr">
        <is>
          <t>'=BINOM.INV(C21, C22, C23)</t>
        </is>
      </c>
      <c r="F45" s="32">
        <f>BINOM.INV('BINOM.INV'!C21, 'BINOM.INV'!C22, 'BINOM.INV'!C23)</f>
        <v/>
      </c>
      <c r="G45" s="19" t="inlineStr">
        <is>
          <t>Cari nilai batas kritis binomial menggunakan fungsi BINOM.INV dengan argumen berurutan C21, C22, dan C23!</t>
        </is>
      </c>
    </row>
    <row r="46">
      <c r="A46" s="5" t="n">
        <v>42</v>
      </c>
      <c r="B46" s="8" t="inlineStr">
        <is>
          <t>BINOM.INV</t>
        </is>
      </c>
      <c r="C46" s="6" t="inlineStr">
        <is>
          <t>Soal Tes #2</t>
        </is>
      </c>
      <c r="D46" s="31" t="inlineStr">
        <is>
          <t>BINOM.INV!E30</t>
        </is>
      </c>
      <c r="E46" s="22" t="inlineStr">
        <is>
          <t>'=BINOM.INV(C29, C30, C31)</t>
        </is>
      </c>
      <c r="F46" s="32">
        <f>BINOM.INV('BINOM.INV'!C29, 'BINOM.INV'!C30, 'BINOM.INV'!C31)</f>
        <v/>
      </c>
      <c r="G46" s="19" t="inlineStr">
        <is>
          <t>Cari nilai batas kritis binomial menggunakan fungsi BINOM.INV dengan argumen berurutan C29, C30, dan C31!</t>
        </is>
      </c>
    </row>
    <row r="47">
      <c r="A47" s="5" t="n">
        <v>43</v>
      </c>
      <c r="B47" s="8" t="inlineStr">
        <is>
          <t>BINOM.INV</t>
        </is>
      </c>
      <c r="C47" s="6" t="inlineStr">
        <is>
          <t>Soal Tes #3</t>
        </is>
      </c>
      <c r="D47" s="31" t="inlineStr">
        <is>
          <t>BINOM.INV!E38</t>
        </is>
      </c>
      <c r="E47" s="22" t="inlineStr">
        <is>
          <t>'=BINOM.INV(C37, C38, C39)</t>
        </is>
      </c>
      <c r="F47" s="32">
        <f>BINOM.INV('BINOM.INV'!C37, 'BINOM.INV'!C38, 'BINOM.INV'!C39)</f>
        <v/>
      </c>
      <c r="G47" s="19" t="inlineStr">
        <is>
          <t>Cari nilai batas kritis binomial menggunakan fungsi BINOM.INV dengan argumen berurutan C37, C38, dan C39!</t>
        </is>
      </c>
    </row>
    <row r="48">
      <c r="A48" s="5" t="n">
        <v>44</v>
      </c>
      <c r="B48" s="8" t="inlineStr">
        <is>
          <t>BINOM.INV</t>
        </is>
      </c>
      <c r="C48" s="6" t="inlineStr">
        <is>
          <t>Soal Tes #4</t>
        </is>
      </c>
      <c r="D48" s="31" t="inlineStr">
        <is>
          <t>BINOM.INV!E46</t>
        </is>
      </c>
      <c r="E48" s="22" t="inlineStr">
        <is>
          <t>'=BINOM.INV(C45, C46, C47)</t>
        </is>
      </c>
      <c r="F48" s="32">
        <f>BINOM.INV('BINOM.INV'!C45, 'BINOM.INV'!C46, 'BINOM.INV'!C47)</f>
        <v/>
      </c>
      <c r="G48" s="19" t="inlineStr">
        <is>
          <t>Cari nilai batas kritis binomial menggunakan fungsi BINOM.INV dengan argumen berurutan C45, C46, dan C47!</t>
        </is>
      </c>
    </row>
    <row r="49">
      <c r="A49" s="5" t="n">
        <v>45</v>
      </c>
      <c r="B49" s="8" t="inlineStr">
        <is>
          <t>BINOM.INV</t>
        </is>
      </c>
      <c r="C49" s="6" t="inlineStr">
        <is>
          <t>Soal Tes #5</t>
        </is>
      </c>
      <c r="D49" s="31" t="inlineStr">
        <is>
          <t>BINOM.INV!E54</t>
        </is>
      </c>
      <c r="E49" s="22" t="inlineStr">
        <is>
          <t>'=BINOM.INV(C53, C54, C55)</t>
        </is>
      </c>
      <c r="F49" s="32">
        <f>BINOM.INV('BINOM.INV'!C53, 'BINOM.INV'!C54, 'BINOM.INV'!C55)</f>
        <v/>
      </c>
      <c r="G49" s="19" t="inlineStr">
        <is>
          <t>Cari nilai batas kritis binomial menggunakan fungsi BINOM.INV dengan argumen berurutan C53, C54, dan C55!</t>
        </is>
      </c>
    </row>
    <row r="50">
      <c r="A50" s="5" t="n">
        <v>46</v>
      </c>
      <c r="B50" s="8" t="inlineStr">
        <is>
          <t>CHISQ.DIST</t>
        </is>
      </c>
      <c r="C50" s="6" t="inlineStr">
        <is>
          <t>Soal Tes #1</t>
        </is>
      </c>
      <c r="D50" s="31" t="inlineStr">
        <is>
          <t>CHISQ.DIST!E22</t>
        </is>
      </c>
      <c r="E50" s="22" t="inlineStr">
        <is>
          <t>'=CHISQ.DIST(C21, C22, TRUE)</t>
        </is>
      </c>
      <c r="F50" s="32">
        <f>CHISQ.DIST('CHISQ.DIST'!C21, 'CHISQ.DIST'!C22, TRUE)</f>
        <v/>
      </c>
      <c r="G50" s="19" t="inlineStr">
        <is>
          <t>Hitung nilai distribusi kumulatif (TRUE) menggunakan fungsi CHISQ.DIST dengan argumen C21, C22, dan TRUE!</t>
        </is>
      </c>
    </row>
    <row r="51">
      <c r="A51" s="5" t="n">
        <v>47</v>
      </c>
      <c r="B51" s="8" t="inlineStr">
        <is>
          <t>CHISQ.DIST</t>
        </is>
      </c>
      <c r="C51" s="6" t="inlineStr">
        <is>
          <t>Soal Tes #2</t>
        </is>
      </c>
      <c r="D51" s="31" t="inlineStr">
        <is>
          <t>CHISQ.DIST!E30</t>
        </is>
      </c>
      <c r="E51" s="22" t="inlineStr">
        <is>
          <t>'=CHISQ.DIST(C29, C30, TRUE)</t>
        </is>
      </c>
      <c r="F51" s="32">
        <f>CHISQ.DIST('CHISQ.DIST'!C29, 'CHISQ.DIST'!C30, TRUE)</f>
        <v/>
      </c>
      <c r="G51" s="19" t="inlineStr">
        <is>
          <t>Hitung nilai distribusi kumulatif (TRUE) menggunakan fungsi CHISQ.DIST dengan argumen C29, C30, dan TRUE!</t>
        </is>
      </c>
    </row>
    <row r="52">
      <c r="A52" s="5" t="n">
        <v>48</v>
      </c>
      <c r="B52" s="8" t="inlineStr">
        <is>
          <t>CHISQ.DIST</t>
        </is>
      </c>
      <c r="C52" s="6" t="inlineStr">
        <is>
          <t>Soal Tes #3</t>
        </is>
      </c>
      <c r="D52" s="31" t="inlineStr">
        <is>
          <t>CHISQ.DIST!E38</t>
        </is>
      </c>
      <c r="E52" s="22" t="inlineStr">
        <is>
          <t>'=CHISQ.DIST(C37, C38, TRUE)</t>
        </is>
      </c>
      <c r="F52" s="32">
        <f>CHISQ.DIST('CHISQ.DIST'!C37, 'CHISQ.DIST'!C38, TRUE)</f>
        <v/>
      </c>
      <c r="G52" s="19" t="inlineStr">
        <is>
          <t>Hitung nilai distribusi kumulatif (TRUE) menggunakan fungsi CHISQ.DIST dengan argumen C37, C38, dan TRUE!</t>
        </is>
      </c>
    </row>
    <row r="53">
      <c r="A53" s="5" t="n">
        <v>49</v>
      </c>
      <c r="B53" s="8" t="inlineStr">
        <is>
          <t>CHISQ.DIST</t>
        </is>
      </c>
      <c r="C53" s="6" t="inlineStr">
        <is>
          <t>Soal Tes #4</t>
        </is>
      </c>
      <c r="D53" s="31" t="inlineStr">
        <is>
          <t>CHISQ.DIST!E46</t>
        </is>
      </c>
      <c r="E53" s="22" t="inlineStr">
        <is>
          <t>'=CHISQ.DIST(C45, C46, TRUE)</t>
        </is>
      </c>
      <c r="F53" s="32">
        <f>CHISQ.DIST('CHISQ.DIST'!C45, 'CHISQ.DIST'!C46, TRUE)</f>
        <v/>
      </c>
      <c r="G53" s="19" t="inlineStr">
        <is>
          <t>Hitung nilai distribusi kumulatif (TRUE) menggunakan fungsi CHISQ.DIST dengan argumen C45, C46, dan TRUE!</t>
        </is>
      </c>
    </row>
    <row r="54">
      <c r="A54" s="5" t="n">
        <v>50</v>
      </c>
      <c r="B54" s="8" t="inlineStr">
        <is>
          <t>CHISQ.DIST</t>
        </is>
      </c>
      <c r="C54" s="6" t="inlineStr">
        <is>
          <t>Soal Tes #5</t>
        </is>
      </c>
      <c r="D54" s="31" t="inlineStr">
        <is>
          <t>CHISQ.DIST!E54</t>
        </is>
      </c>
      <c r="E54" s="22" t="inlineStr">
        <is>
          <t>'=CHISQ.DIST(C53, C54, TRUE)</t>
        </is>
      </c>
      <c r="F54" s="32">
        <f>CHISQ.DIST('CHISQ.DIST'!C53, 'CHISQ.DIST'!C54, TRUE)</f>
        <v/>
      </c>
      <c r="G54" s="19" t="inlineStr">
        <is>
          <t>Hitung nilai distribusi kumulatif (TRUE) menggunakan fungsi CHISQ.DIST dengan argumen C53, C54, dan TRUE!</t>
        </is>
      </c>
    </row>
    <row r="55">
      <c r="A55" s="5" t="n">
        <v>51</v>
      </c>
      <c r="B55" s="8" t="inlineStr">
        <is>
          <t>CHISQ.DIST.RT</t>
        </is>
      </c>
      <c r="C55" s="6" t="inlineStr">
        <is>
          <t>Soal Tes #1</t>
        </is>
      </c>
      <c r="D55" s="31" t="inlineStr">
        <is>
          <t>CHISQ.DIST.RT!E22</t>
        </is>
      </c>
      <c r="E55" s="22" t="inlineStr">
        <is>
          <t>'=CHISQ.DIST.RT(C21, C22)</t>
        </is>
      </c>
      <c r="F55" s="32">
        <f>CHISQ.DIST.RT('CHISQ.DIST.RT'!C21, 'CHISQ.DIST.RT'!C22)</f>
        <v/>
      </c>
      <c r="G55" s="19" t="inlineStr">
        <is>
          <t>Hitung nilai probabilitas distribusi menggunakan fungsi CHISQ.DIST.RT dengan argumen nilai X di C21 dan derajat kebebasan di C22!</t>
        </is>
      </c>
    </row>
    <row r="56">
      <c r="A56" s="5" t="n">
        <v>52</v>
      </c>
      <c r="B56" s="8" t="inlineStr">
        <is>
          <t>CHISQ.DIST.RT</t>
        </is>
      </c>
      <c r="C56" s="6" t="inlineStr">
        <is>
          <t>Soal Tes #2</t>
        </is>
      </c>
      <c r="D56" s="31" t="inlineStr">
        <is>
          <t>CHISQ.DIST.RT!E30</t>
        </is>
      </c>
      <c r="E56" s="22" t="inlineStr">
        <is>
          <t>'=CHISQ.DIST.RT(C29, C30)</t>
        </is>
      </c>
      <c r="F56" s="32">
        <f>CHISQ.DIST.RT('CHISQ.DIST.RT'!C29, 'CHISQ.DIST.RT'!C30)</f>
        <v/>
      </c>
      <c r="G56" s="19" t="inlineStr">
        <is>
          <t>Hitung nilai probabilitas distribusi menggunakan fungsi CHISQ.DIST.RT dengan argumen nilai X di C29 dan derajat kebebasan di C30!</t>
        </is>
      </c>
    </row>
    <row r="57">
      <c r="A57" s="5" t="n">
        <v>53</v>
      </c>
      <c r="B57" s="8" t="inlineStr">
        <is>
          <t>CHISQ.DIST.RT</t>
        </is>
      </c>
      <c r="C57" s="6" t="inlineStr">
        <is>
          <t>Soal Tes #3</t>
        </is>
      </c>
      <c r="D57" s="31" t="inlineStr">
        <is>
          <t>CHISQ.DIST.RT!E38</t>
        </is>
      </c>
      <c r="E57" s="22" t="inlineStr">
        <is>
          <t>'=CHISQ.DIST.RT(C37, C38)</t>
        </is>
      </c>
      <c r="F57" s="32">
        <f>CHISQ.DIST.RT('CHISQ.DIST.RT'!C37, 'CHISQ.DIST.RT'!C38)</f>
        <v/>
      </c>
      <c r="G57" s="19" t="inlineStr">
        <is>
          <t>Hitung nilai probabilitas distribusi menggunakan fungsi CHISQ.DIST.RT dengan argumen nilai X di C37 dan derajat kebebasan di C38!</t>
        </is>
      </c>
    </row>
    <row r="58">
      <c r="A58" s="5" t="n">
        <v>54</v>
      </c>
      <c r="B58" s="8" t="inlineStr">
        <is>
          <t>CHISQ.DIST.RT</t>
        </is>
      </c>
      <c r="C58" s="6" t="inlineStr">
        <is>
          <t>Soal Tes #4</t>
        </is>
      </c>
      <c r="D58" s="31" t="inlineStr">
        <is>
          <t>CHISQ.DIST.RT!E46</t>
        </is>
      </c>
      <c r="E58" s="22" t="inlineStr">
        <is>
          <t>'=CHISQ.DIST.RT(C45, C46)</t>
        </is>
      </c>
      <c r="F58" s="32">
        <f>CHISQ.DIST.RT('CHISQ.DIST.RT'!C45, 'CHISQ.DIST.RT'!C46)</f>
        <v/>
      </c>
      <c r="G58" s="19" t="inlineStr">
        <is>
          <t>Hitung nilai probabilitas distribusi menggunakan fungsi CHISQ.DIST.RT dengan argumen nilai X di C45 dan derajat kebebasan di C46!</t>
        </is>
      </c>
    </row>
    <row r="59">
      <c r="A59" s="5" t="n">
        <v>55</v>
      </c>
      <c r="B59" s="8" t="inlineStr">
        <is>
          <t>CHISQ.DIST.RT</t>
        </is>
      </c>
      <c r="C59" s="6" t="inlineStr">
        <is>
          <t>Soal Tes #5</t>
        </is>
      </c>
      <c r="D59" s="31" t="inlineStr">
        <is>
          <t>CHISQ.DIST.RT!E54</t>
        </is>
      </c>
      <c r="E59" s="22" t="inlineStr">
        <is>
          <t>'=CHISQ.DIST.RT(C53, C54)</t>
        </is>
      </c>
      <c r="F59" s="32">
        <f>CHISQ.DIST.RT('CHISQ.DIST.RT'!C53, 'CHISQ.DIST.RT'!C54)</f>
        <v/>
      </c>
      <c r="G59" s="19" t="inlineStr">
        <is>
          <t>Hitung nilai probabilitas distribusi menggunakan fungsi CHISQ.DIST.RT dengan argumen nilai X di C53 dan derajat kebebasan di C54!</t>
        </is>
      </c>
    </row>
    <row r="60">
      <c r="A60" s="5" t="n">
        <v>56</v>
      </c>
      <c r="B60" s="8" t="inlineStr">
        <is>
          <t>CHISQ.INV</t>
        </is>
      </c>
      <c r="C60" s="6" t="inlineStr">
        <is>
          <t>Soal Tes #1</t>
        </is>
      </c>
      <c r="D60" s="31" t="inlineStr">
        <is>
          <t>CHISQ.INV!E22</t>
        </is>
      </c>
      <c r="E60" s="22" t="inlineStr">
        <is>
          <t>'=CHISQ.INV(C21, C22)</t>
        </is>
      </c>
      <c r="F60" s="32">
        <f>CHISQ.INV('CHISQ.INV'!C21, 'CHISQ.INV'!C22)</f>
        <v/>
      </c>
      <c r="G60" s="19" t="inlineStr">
        <is>
          <t>Hitung nilai invers distribusi menggunakan fungsi CHISQ.INV dengan probabilitas di C21 dan derajat kebebasan di C22!</t>
        </is>
      </c>
    </row>
    <row r="61">
      <c r="A61" s="5" t="n">
        <v>57</v>
      </c>
      <c r="B61" s="8" t="inlineStr">
        <is>
          <t>CHISQ.INV</t>
        </is>
      </c>
      <c r="C61" s="6" t="inlineStr">
        <is>
          <t>Soal Tes #2</t>
        </is>
      </c>
      <c r="D61" s="31" t="inlineStr">
        <is>
          <t>CHISQ.INV!E30</t>
        </is>
      </c>
      <c r="E61" s="22" t="inlineStr">
        <is>
          <t>'=CHISQ.INV(C29, C30)</t>
        </is>
      </c>
      <c r="F61" s="32">
        <f>CHISQ.INV('CHISQ.INV'!C29, 'CHISQ.INV'!C30)</f>
        <v/>
      </c>
      <c r="G61" s="19" t="inlineStr">
        <is>
          <t>Hitung nilai invers distribusi menggunakan fungsi CHISQ.INV dengan probabilitas di C29 dan derajat kebebasan di C30!</t>
        </is>
      </c>
    </row>
    <row r="62">
      <c r="A62" s="5" t="n">
        <v>58</v>
      </c>
      <c r="B62" s="8" t="inlineStr">
        <is>
          <t>CHISQ.INV</t>
        </is>
      </c>
      <c r="C62" s="6" t="inlineStr">
        <is>
          <t>Soal Tes #3</t>
        </is>
      </c>
      <c r="D62" s="31" t="inlineStr">
        <is>
          <t>CHISQ.INV!E38</t>
        </is>
      </c>
      <c r="E62" s="22" t="inlineStr">
        <is>
          <t>'=CHISQ.INV(C37, C38)</t>
        </is>
      </c>
      <c r="F62" s="32">
        <f>CHISQ.INV('CHISQ.INV'!C37, 'CHISQ.INV'!C38)</f>
        <v/>
      </c>
      <c r="G62" s="19" t="inlineStr">
        <is>
          <t>Hitung nilai invers distribusi menggunakan fungsi CHISQ.INV dengan probabilitas di C37 dan derajat kebebasan di C38!</t>
        </is>
      </c>
    </row>
    <row r="63">
      <c r="A63" s="5" t="n">
        <v>59</v>
      </c>
      <c r="B63" s="8" t="inlineStr">
        <is>
          <t>CHISQ.INV</t>
        </is>
      </c>
      <c r="C63" s="6" t="inlineStr">
        <is>
          <t>Soal Tes #4</t>
        </is>
      </c>
      <c r="D63" s="31" t="inlineStr">
        <is>
          <t>CHISQ.INV!E46</t>
        </is>
      </c>
      <c r="E63" s="22" t="inlineStr">
        <is>
          <t>'=CHISQ.INV(C45, C46)</t>
        </is>
      </c>
      <c r="F63" s="32">
        <f>CHISQ.INV('CHISQ.INV'!C45, 'CHISQ.INV'!C46)</f>
        <v/>
      </c>
      <c r="G63" s="19" t="inlineStr">
        <is>
          <t>Hitung nilai invers distribusi menggunakan fungsi CHISQ.INV dengan probabilitas di C45 dan derajat kebebasan di C46!</t>
        </is>
      </c>
    </row>
    <row r="64">
      <c r="A64" s="5" t="n">
        <v>60</v>
      </c>
      <c r="B64" s="8" t="inlineStr">
        <is>
          <t>CHISQ.INV</t>
        </is>
      </c>
      <c r="C64" s="6" t="inlineStr">
        <is>
          <t>Soal Tes #5</t>
        </is>
      </c>
      <c r="D64" s="31" t="inlineStr">
        <is>
          <t>CHISQ.INV!E54</t>
        </is>
      </c>
      <c r="E64" s="22" t="inlineStr">
        <is>
          <t>'=CHISQ.INV(C53, C54)</t>
        </is>
      </c>
      <c r="F64" s="32">
        <f>CHISQ.INV('CHISQ.INV'!C53, 'CHISQ.INV'!C54)</f>
        <v/>
      </c>
      <c r="G64" s="19" t="inlineStr">
        <is>
          <t>Hitung nilai invers distribusi menggunakan fungsi CHISQ.INV dengan probabilitas di C53 dan derajat kebebasan di C54!</t>
        </is>
      </c>
    </row>
    <row r="65">
      <c r="A65" s="5" t="n">
        <v>61</v>
      </c>
      <c r="B65" s="8" t="inlineStr">
        <is>
          <t>CHISQ.RT.INV</t>
        </is>
      </c>
      <c r="C65" s="6" t="inlineStr">
        <is>
          <t>Soal Tes #1</t>
        </is>
      </c>
      <c r="D65" s="31" t="inlineStr">
        <is>
          <t>CHISQ.RT.INV!E22</t>
        </is>
      </c>
      <c r="E65" s="22" t="inlineStr">
        <is>
          <t>'=CHISQ.INV.RT(C21, C22)</t>
        </is>
      </c>
      <c r="F65" s="32">
        <f>CHISQ.INV.RT('CHISQ.RT.INV'!C21, 'CHISQ.RT.INV'!C22)</f>
        <v/>
      </c>
      <c r="G65" s="19" t="inlineStr">
        <is>
          <t>Hitung nilai invers distribusi menggunakan fungsi CHISQ.INV.RT dengan probabilitas di C21 dan derajat kebebasan di C22!</t>
        </is>
      </c>
    </row>
    <row r="66">
      <c r="A66" s="5" t="n">
        <v>62</v>
      </c>
      <c r="B66" s="8" t="inlineStr">
        <is>
          <t>CHISQ.RT.INV</t>
        </is>
      </c>
      <c r="C66" s="6" t="inlineStr">
        <is>
          <t>Soal Tes #2</t>
        </is>
      </c>
      <c r="D66" s="31" t="inlineStr">
        <is>
          <t>CHISQ.RT.INV!E30</t>
        </is>
      </c>
      <c r="E66" s="22" t="inlineStr">
        <is>
          <t>'=CHISQ.INV.RT(C29, C30)</t>
        </is>
      </c>
      <c r="F66" s="32">
        <f>CHISQ.INV.RT('CHISQ.RT.INV'!C29, 'CHISQ.RT.INV'!C30)</f>
        <v/>
      </c>
      <c r="G66" s="19" t="inlineStr">
        <is>
          <t>Hitung nilai invers distribusi menggunakan fungsi CHISQ.INV.RT dengan probabilitas di C29 dan derajat kebebasan di C30!</t>
        </is>
      </c>
    </row>
    <row r="67">
      <c r="A67" s="5" t="n">
        <v>63</v>
      </c>
      <c r="B67" s="8" t="inlineStr">
        <is>
          <t>CHISQ.RT.INV</t>
        </is>
      </c>
      <c r="C67" s="6" t="inlineStr">
        <is>
          <t>Soal Tes #3</t>
        </is>
      </c>
      <c r="D67" s="31" t="inlineStr">
        <is>
          <t>CHISQ.RT.INV!E38</t>
        </is>
      </c>
      <c r="E67" s="22" t="inlineStr">
        <is>
          <t>'=CHISQ.INV.RT(C37, C38)</t>
        </is>
      </c>
      <c r="F67" s="32">
        <f>CHISQ.INV.RT('CHISQ.RT.INV'!C37, 'CHISQ.RT.INV'!C38)</f>
        <v/>
      </c>
      <c r="G67" s="19" t="inlineStr">
        <is>
          <t>Hitung nilai invers distribusi menggunakan fungsi CHISQ.INV.RT dengan probabilitas di C37 dan derajat kebebasan di C38!</t>
        </is>
      </c>
    </row>
    <row r="68">
      <c r="A68" s="5" t="n">
        <v>64</v>
      </c>
      <c r="B68" s="8" t="inlineStr">
        <is>
          <t>CHISQ.RT.INV</t>
        </is>
      </c>
      <c r="C68" s="6" t="inlineStr">
        <is>
          <t>Soal Tes #4</t>
        </is>
      </c>
      <c r="D68" s="31" t="inlineStr">
        <is>
          <t>CHISQ.RT.INV!E46</t>
        </is>
      </c>
      <c r="E68" s="22" t="inlineStr">
        <is>
          <t>'=CHISQ.INV.RT(C45, C46)</t>
        </is>
      </c>
      <c r="F68" s="32">
        <f>CHISQ.INV.RT('CHISQ.RT.INV'!C45, 'CHISQ.RT.INV'!C46)</f>
        <v/>
      </c>
      <c r="G68" s="19" t="inlineStr">
        <is>
          <t>Hitung nilai invers distribusi menggunakan fungsi CHISQ.INV.RT dengan probabilitas di C45 dan derajat kebebasan di C46!</t>
        </is>
      </c>
    </row>
    <row r="69">
      <c r="A69" s="5" t="n">
        <v>65</v>
      </c>
      <c r="B69" s="8" t="inlineStr">
        <is>
          <t>CHISQ.RT.INV</t>
        </is>
      </c>
      <c r="C69" s="6" t="inlineStr">
        <is>
          <t>Soal Tes #5</t>
        </is>
      </c>
      <c r="D69" s="31" t="inlineStr">
        <is>
          <t>CHISQ.RT.INV!E54</t>
        </is>
      </c>
      <c r="E69" s="22" t="inlineStr">
        <is>
          <t>'=CHISQ.INV.RT(C53, C54)</t>
        </is>
      </c>
      <c r="F69" s="32">
        <f>CHISQ.INV.RT('CHISQ.RT.INV'!C53, 'CHISQ.RT.INV'!C54)</f>
        <v/>
      </c>
      <c r="G69" s="19" t="inlineStr">
        <is>
          <t>Hitung nilai invers distribusi menggunakan fungsi CHISQ.INV.RT dengan probabilitas di C53 dan derajat kebebasan di C54!</t>
        </is>
      </c>
    </row>
    <row r="70">
      <c r="A70" s="5" t="n">
        <v>66</v>
      </c>
      <c r="B70" s="8" t="inlineStr">
        <is>
          <t>CHITEST</t>
        </is>
      </c>
      <c r="C70" s="6" t="inlineStr">
        <is>
          <t>Soal Tes #1</t>
        </is>
      </c>
      <c r="D70" s="31" t="inlineStr">
        <is>
          <t>CHITEST!E22</t>
        </is>
      </c>
      <c r="E70" s="22" t="inlineStr">
        <is>
          <t>'=CHITEST(B21:B24, C21:C24)</t>
        </is>
      </c>
      <c r="F70" s="32">
        <f>CHITEST('CHITEST'!B21:B24, 'CHITEST'!C21:C24)</f>
        <v/>
      </c>
      <c r="G70" s="19" t="inlineStr">
        <is>
          <t>Analisis hubungan antara data pertama (B21:B24) dan data kedua (C21:C24) menggunakan fungsi CHITEST!</t>
        </is>
      </c>
    </row>
    <row r="71">
      <c r="A71" s="5" t="n">
        <v>67</v>
      </c>
      <c r="B71" s="8" t="inlineStr">
        <is>
          <t>CHITEST</t>
        </is>
      </c>
      <c r="C71" s="6" t="inlineStr">
        <is>
          <t>Soal Tes #2</t>
        </is>
      </c>
      <c r="D71" s="31" t="inlineStr">
        <is>
          <t>CHITEST!E30</t>
        </is>
      </c>
      <c r="E71" s="22" t="inlineStr">
        <is>
          <t>'=CHITEST(B29:B32, C29:C32)</t>
        </is>
      </c>
      <c r="F71" s="32">
        <f>CHITEST('CHITEST'!B29:B32, 'CHITEST'!C29:C32)</f>
        <v/>
      </c>
      <c r="G71" s="19" t="inlineStr">
        <is>
          <t>Analisis hubungan antara data pertama (B29:B32) dan data kedua (C29:C32) menggunakan fungsi CHITEST!</t>
        </is>
      </c>
    </row>
    <row r="72">
      <c r="A72" s="5" t="n">
        <v>68</v>
      </c>
      <c r="B72" s="8" t="inlineStr">
        <is>
          <t>CHITEST</t>
        </is>
      </c>
      <c r="C72" s="6" t="inlineStr">
        <is>
          <t>Soal Tes #3</t>
        </is>
      </c>
      <c r="D72" s="31" t="inlineStr">
        <is>
          <t>CHITEST!E38</t>
        </is>
      </c>
      <c r="E72" s="22" t="inlineStr">
        <is>
          <t>'=CHITEST(B37:B40, C37:C40)</t>
        </is>
      </c>
      <c r="F72" s="32">
        <f>CHITEST('CHITEST'!B37:B40, 'CHITEST'!C37:C40)</f>
        <v/>
      </c>
      <c r="G72" s="19" t="inlineStr">
        <is>
          <t>Analisis hubungan antara data pertama (B37:B40) dan data kedua (C37:C40) menggunakan fungsi CHITEST!</t>
        </is>
      </c>
    </row>
    <row r="73">
      <c r="A73" s="5" t="n">
        <v>69</v>
      </c>
      <c r="B73" s="8" t="inlineStr">
        <is>
          <t>CHITEST</t>
        </is>
      </c>
      <c r="C73" s="6" t="inlineStr">
        <is>
          <t>Soal Tes #4</t>
        </is>
      </c>
      <c r="D73" s="31" t="inlineStr">
        <is>
          <t>CHITEST!E46</t>
        </is>
      </c>
      <c r="E73" s="22" t="inlineStr">
        <is>
          <t>'=CHITEST(B45:B48, C45:C48)</t>
        </is>
      </c>
      <c r="F73" s="32">
        <f>CHITEST('CHITEST'!B45:B48, 'CHITEST'!C45:C48)</f>
        <v/>
      </c>
      <c r="G73" s="19" t="inlineStr">
        <is>
          <t>Analisis hubungan antara data pertama (B45:B48) dan data kedua (C45:C48) menggunakan fungsi CHITEST!</t>
        </is>
      </c>
    </row>
    <row r="74">
      <c r="A74" s="5" t="n">
        <v>70</v>
      </c>
      <c r="B74" s="8" t="inlineStr">
        <is>
          <t>CHITEST</t>
        </is>
      </c>
      <c r="C74" s="6" t="inlineStr">
        <is>
          <t>Soal Tes #5</t>
        </is>
      </c>
      <c r="D74" s="31" t="inlineStr">
        <is>
          <t>CHITEST!E54</t>
        </is>
      </c>
      <c r="E74" s="22" t="inlineStr">
        <is>
          <t>'=CHITEST(B53:B56, C53:C56)</t>
        </is>
      </c>
      <c r="F74" s="32">
        <f>CHITEST('CHITEST'!B53:B56, 'CHITEST'!C53:C56)</f>
        <v/>
      </c>
      <c r="G74" s="19" t="inlineStr">
        <is>
          <t>Analisis hubungan antara data pertama (B53:B56) dan data kedua (C53:C56) menggunakan fungsi CHITEST!</t>
        </is>
      </c>
    </row>
    <row r="75">
      <c r="A75" s="5" t="n">
        <v>71</v>
      </c>
      <c r="B75" s="8" t="inlineStr">
        <is>
          <t>CONFIDENCE.NORM</t>
        </is>
      </c>
      <c r="C75" s="6" t="inlineStr">
        <is>
          <t>Soal Tes #1</t>
        </is>
      </c>
      <c r="D75" s="31" t="inlineStr">
        <is>
          <t>CONFIDENCE.NORM!E22</t>
        </is>
      </c>
      <c r="E75" s="22" t="inlineStr">
        <is>
          <t>'=CONFIDENCE.NORM(C21, C22, C23)</t>
        </is>
      </c>
      <c r="F75" s="32">
        <f>CONFIDENCE.NORM('CONFIDENCE.NORM'!C21, 'CONFIDENCE.NORM'!C22, 'CONFIDENCE.NORM'!C23)</f>
        <v/>
      </c>
      <c r="G75" s="19" t="inlineStr">
        <is>
          <t>Hitung rentang kepercayaan menggunakan fungsi CONFIDENCE.NORM dengan Alpha di C21, Standar Deviasi di C22, dan Ukuran Sampel di C23!</t>
        </is>
      </c>
    </row>
    <row r="76">
      <c r="A76" s="5" t="n">
        <v>72</v>
      </c>
      <c r="B76" s="8" t="inlineStr">
        <is>
          <t>CONFIDENCE.NORM</t>
        </is>
      </c>
      <c r="C76" s="6" t="inlineStr">
        <is>
          <t>Soal Tes #2</t>
        </is>
      </c>
      <c r="D76" s="31" t="inlineStr">
        <is>
          <t>CONFIDENCE.NORM!E30</t>
        </is>
      </c>
      <c r="E76" s="22" t="inlineStr">
        <is>
          <t>'=CONFIDENCE.NORM(C29, C30, C31)</t>
        </is>
      </c>
      <c r="F76" s="32">
        <f>CONFIDENCE.NORM('CONFIDENCE.NORM'!C29, 'CONFIDENCE.NORM'!C30, 'CONFIDENCE.NORM'!C31)</f>
        <v/>
      </c>
      <c r="G76" s="19" t="inlineStr">
        <is>
          <t>Hitung rentang kepercayaan menggunakan fungsi CONFIDENCE.NORM dengan Alpha di C29, Standar Deviasi di C30, dan Ukuran Sampel di C31!</t>
        </is>
      </c>
    </row>
    <row r="77">
      <c r="A77" s="5" t="n">
        <v>73</v>
      </c>
      <c r="B77" s="8" t="inlineStr">
        <is>
          <t>CONFIDENCE.NORM</t>
        </is>
      </c>
      <c r="C77" s="6" t="inlineStr">
        <is>
          <t>Soal Tes #3</t>
        </is>
      </c>
      <c r="D77" s="31" t="inlineStr">
        <is>
          <t>CONFIDENCE.NORM!E38</t>
        </is>
      </c>
      <c r="E77" s="22" t="inlineStr">
        <is>
          <t>'=CONFIDENCE.NORM(C37, C38, C39)</t>
        </is>
      </c>
      <c r="F77" s="32">
        <f>CONFIDENCE.NORM('CONFIDENCE.NORM'!C37, 'CONFIDENCE.NORM'!C38, 'CONFIDENCE.NORM'!C39)</f>
        <v/>
      </c>
      <c r="G77" s="19" t="inlineStr">
        <is>
          <t>Hitung rentang kepercayaan menggunakan fungsi CONFIDENCE.NORM dengan Alpha di C37, Standar Deviasi di C38, dan Ukuran Sampel di C39!</t>
        </is>
      </c>
    </row>
    <row r="78">
      <c r="A78" s="5" t="n">
        <v>74</v>
      </c>
      <c r="B78" s="8" t="inlineStr">
        <is>
          <t>CONFIDENCE.NORM</t>
        </is>
      </c>
      <c r="C78" s="6" t="inlineStr">
        <is>
          <t>Soal Tes #4</t>
        </is>
      </c>
      <c r="D78" s="31" t="inlineStr">
        <is>
          <t>CONFIDENCE.NORM!E46</t>
        </is>
      </c>
      <c r="E78" s="22" t="inlineStr">
        <is>
          <t>'=CONFIDENCE.NORM(C45, C46, C47)</t>
        </is>
      </c>
      <c r="F78" s="32">
        <f>CONFIDENCE.NORM('CONFIDENCE.NORM'!C45, 'CONFIDENCE.NORM'!C46, 'CONFIDENCE.NORM'!C47)</f>
        <v/>
      </c>
      <c r="G78" s="19" t="inlineStr">
        <is>
          <t>Hitung rentang kepercayaan menggunakan fungsi CONFIDENCE.NORM dengan Alpha di C45, Standar Deviasi di C46, dan Ukuran Sampel di C47!</t>
        </is>
      </c>
    </row>
    <row r="79">
      <c r="A79" s="5" t="n">
        <v>75</v>
      </c>
      <c r="B79" s="8" t="inlineStr">
        <is>
          <t>CONFIDENCE.NORM</t>
        </is>
      </c>
      <c r="C79" s="6" t="inlineStr">
        <is>
          <t>Soal Tes #5</t>
        </is>
      </c>
      <c r="D79" s="31" t="inlineStr">
        <is>
          <t>CONFIDENCE.NORM!E54</t>
        </is>
      </c>
      <c r="E79" s="22" t="inlineStr">
        <is>
          <t>'=CONFIDENCE.NORM(C53, C54, C55)</t>
        </is>
      </c>
      <c r="F79" s="32">
        <f>CONFIDENCE.NORM('CONFIDENCE.NORM'!C53, 'CONFIDENCE.NORM'!C54, 'CONFIDENCE.NORM'!C55)</f>
        <v/>
      </c>
      <c r="G79" s="19" t="inlineStr">
        <is>
          <t>Hitung rentang kepercayaan menggunakan fungsi CONFIDENCE.NORM dengan Alpha di C53, Standar Deviasi di C54, dan Ukuran Sampel di C55!</t>
        </is>
      </c>
    </row>
    <row r="80">
      <c r="A80" s="5" t="n">
        <v>76</v>
      </c>
      <c r="B80" s="8" t="inlineStr">
        <is>
          <t>CONFIDENCE.T</t>
        </is>
      </c>
      <c r="C80" s="6" t="inlineStr">
        <is>
          <t>Soal Tes #1</t>
        </is>
      </c>
      <c r="D80" s="31" t="inlineStr">
        <is>
          <t>CONFIDENCE.T!E22</t>
        </is>
      </c>
      <c r="E80" s="22" t="inlineStr">
        <is>
          <t>'=CONFIDENCE.T(C21, C22, C23)</t>
        </is>
      </c>
      <c r="F80" s="32">
        <f>CONFIDENCE.T('CONFIDENCE.T'!C21, 'CONFIDENCE.T'!C22, 'CONFIDENCE.T'!C23)</f>
        <v/>
      </c>
      <c r="G80" s="19" t="inlineStr">
        <is>
          <t>Hitung rentang kepercayaan menggunakan fungsi CONFIDENCE.T dengan Alpha di C21, Standar Deviasi di C22, dan Ukuran Sampel di C23!</t>
        </is>
      </c>
    </row>
    <row r="81">
      <c r="A81" s="5" t="n">
        <v>77</v>
      </c>
      <c r="B81" s="8" t="inlineStr">
        <is>
          <t>CONFIDENCE.T</t>
        </is>
      </c>
      <c r="C81" s="6" t="inlineStr">
        <is>
          <t>Soal Tes #2</t>
        </is>
      </c>
      <c r="D81" s="31" t="inlineStr">
        <is>
          <t>CONFIDENCE.T!E30</t>
        </is>
      </c>
      <c r="E81" s="22" t="inlineStr">
        <is>
          <t>'=CONFIDENCE.T(C29, C30, C31)</t>
        </is>
      </c>
      <c r="F81" s="32">
        <f>CONFIDENCE.T('CONFIDENCE.T'!C29, 'CONFIDENCE.T'!C30, 'CONFIDENCE.T'!C31)</f>
        <v/>
      </c>
      <c r="G81" s="19" t="inlineStr">
        <is>
          <t>Hitung rentang kepercayaan menggunakan fungsi CONFIDENCE.T dengan Alpha di C29, Standar Deviasi di C30, dan Ukuran Sampel di C31!</t>
        </is>
      </c>
    </row>
    <row r="82">
      <c r="A82" s="5" t="n">
        <v>78</v>
      </c>
      <c r="B82" s="8" t="inlineStr">
        <is>
          <t>CONFIDENCE.T</t>
        </is>
      </c>
      <c r="C82" s="6" t="inlineStr">
        <is>
          <t>Soal Tes #3</t>
        </is>
      </c>
      <c r="D82" s="31" t="inlineStr">
        <is>
          <t>CONFIDENCE.T!E38</t>
        </is>
      </c>
      <c r="E82" s="22" t="inlineStr">
        <is>
          <t>'=CONFIDENCE.T(C37, C38, C39)</t>
        </is>
      </c>
      <c r="F82" s="32">
        <f>CONFIDENCE.T('CONFIDENCE.T'!C37, 'CONFIDENCE.T'!C38, 'CONFIDENCE.T'!C39)</f>
        <v/>
      </c>
      <c r="G82" s="19" t="inlineStr">
        <is>
          <t>Hitung rentang kepercayaan menggunakan fungsi CONFIDENCE.T dengan Alpha di C37, Standar Deviasi di C38, dan Ukuran Sampel di C39!</t>
        </is>
      </c>
    </row>
    <row r="83">
      <c r="A83" s="5" t="n">
        <v>79</v>
      </c>
      <c r="B83" s="8" t="inlineStr">
        <is>
          <t>CONFIDENCE.T</t>
        </is>
      </c>
      <c r="C83" s="6" t="inlineStr">
        <is>
          <t>Soal Tes #4</t>
        </is>
      </c>
      <c r="D83" s="31" t="inlineStr">
        <is>
          <t>CONFIDENCE.T!E46</t>
        </is>
      </c>
      <c r="E83" s="22" t="inlineStr">
        <is>
          <t>'=CONFIDENCE.T(C45, C46, C47)</t>
        </is>
      </c>
      <c r="F83" s="32">
        <f>CONFIDENCE.T('CONFIDENCE.T'!C45, 'CONFIDENCE.T'!C46, 'CONFIDENCE.T'!C47)</f>
        <v/>
      </c>
      <c r="G83" s="19" t="inlineStr">
        <is>
          <t>Hitung rentang kepercayaan menggunakan fungsi CONFIDENCE.T dengan Alpha di C45, Standar Deviasi di C46, dan Ukuran Sampel di C47!</t>
        </is>
      </c>
    </row>
    <row r="84">
      <c r="A84" s="5" t="n">
        <v>80</v>
      </c>
      <c r="B84" s="8" t="inlineStr">
        <is>
          <t>CONFIDENCE.T</t>
        </is>
      </c>
      <c r="C84" s="6" t="inlineStr">
        <is>
          <t>Soal Tes #5</t>
        </is>
      </c>
      <c r="D84" s="31" t="inlineStr">
        <is>
          <t>CONFIDENCE.T!E54</t>
        </is>
      </c>
      <c r="E84" s="22" t="inlineStr">
        <is>
          <t>'=CONFIDENCE.T(C53, C54, C55)</t>
        </is>
      </c>
      <c r="F84" s="32">
        <f>CONFIDENCE.T('CONFIDENCE.T'!C53, 'CONFIDENCE.T'!C54, 'CONFIDENCE.T'!C55)</f>
        <v/>
      </c>
      <c r="G84" s="19" t="inlineStr">
        <is>
          <t>Hitung rentang kepercayaan menggunakan fungsi CONFIDENCE.T dengan Alpha di C53, Standar Deviasi di C54, dan Ukuran Sampel di C55!</t>
        </is>
      </c>
    </row>
    <row r="85">
      <c r="A85" s="5" t="n">
        <v>81</v>
      </c>
      <c r="B85" s="8" t="inlineStr">
        <is>
          <t>CORREL</t>
        </is>
      </c>
      <c r="C85" s="6" t="inlineStr">
        <is>
          <t>Soal Tes #1</t>
        </is>
      </c>
      <c r="D85" s="31" t="inlineStr">
        <is>
          <t>CORREL!E22</t>
        </is>
      </c>
      <c r="E85" s="22" t="inlineStr">
        <is>
          <t>'=CORREL(B21:B24, C21:C24)</t>
        </is>
      </c>
      <c r="F85" s="32">
        <f>CORREL('CORREL'!B21:B24, 'CORREL'!C21:C24)</f>
        <v/>
      </c>
      <c r="G85" s="19" t="inlineStr">
        <is>
          <t>Analisis hubungan antara data pertama (B21:B24) dan data kedua (C21:C24) menggunakan fungsi CORREL!</t>
        </is>
      </c>
    </row>
    <row r="86">
      <c r="A86" s="5" t="n">
        <v>82</v>
      </c>
      <c r="B86" s="8" t="inlineStr">
        <is>
          <t>CORREL</t>
        </is>
      </c>
      <c r="C86" s="6" t="inlineStr">
        <is>
          <t>Soal Tes #2</t>
        </is>
      </c>
      <c r="D86" s="31" t="inlineStr">
        <is>
          <t>CORREL!E30</t>
        </is>
      </c>
      <c r="E86" s="22" t="inlineStr">
        <is>
          <t>'=CORREL(B29:B32, C29:C32)</t>
        </is>
      </c>
      <c r="F86" s="32">
        <f>CORREL('CORREL'!B29:B32, 'CORREL'!C29:C32)</f>
        <v/>
      </c>
      <c r="G86" s="19" t="inlineStr">
        <is>
          <t>Analisis hubungan antara data pertama (B29:B32) dan data kedua (C29:C32) menggunakan fungsi CORREL!</t>
        </is>
      </c>
    </row>
    <row r="87">
      <c r="A87" s="5" t="n">
        <v>83</v>
      </c>
      <c r="B87" s="8" t="inlineStr">
        <is>
          <t>CORREL</t>
        </is>
      </c>
      <c r="C87" s="6" t="inlineStr">
        <is>
          <t>Soal Tes #3</t>
        </is>
      </c>
      <c r="D87" s="31" t="inlineStr">
        <is>
          <t>CORREL!E38</t>
        </is>
      </c>
      <c r="E87" s="22" t="inlineStr">
        <is>
          <t>'=CORREL(B37:B40, C37:C40)</t>
        </is>
      </c>
      <c r="F87" s="32">
        <f>CORREL('CORREL'!B37:B40, 'CORREL'!C37:C40)</f>
        <v/>
      </c>
      <c r="G87" s="19" t="inlineStr">
        <is>
          <t>Analisis hubungan antara data pertama (B37:B40) dan data kedua (C37:C40) menggunakan fungsi CORREL!</t>
        </is>
      </c>
    </row>
    <row r="88">
      <c r="A88" s="5" t="n">
        <v>84</v>
      </c>
      <c r="B88" s="8" t="inlineStr">
        <is>
          <t>CORREL</t>
        </is>
      </c>
      <c r="C88" s="6" t="inlineStr">
        <is>
          <t>Soal Tes #4</t>
        </is>
      </c>
      <c r="D88" s="31" t="inlineStr">
        <is>
          <t>CORREL!E46</t>
        </is>
      </c>
      <c r="E88" s="22" t="inlineStr">
        <is>
          <t>'=CORREL(B45:B48, C45:C48)</t>
        </is>
      </c>
      <c r="F88" s="32">
        <f>CORREL('CORREL'!B45:B48, 'CORREL'!C45:C48)</f>
        <v/>
      </c>
      <c r="G88" s="19" t="inlineStr">
        <is>
          <t>Analisis hubungan antara data pertama (B45:B48) dan data kedua (C45:C48) menggunakan fungsi CORREL!</t>
        </is>
      </c>
    </row>
    <row r="89">
      <c r="A89" s="5" t="n">
        <v>85</v>
      </c>
      <c r="B89" s="8" t="inlineStr">
        <is>
          <t>CORREL</t>
        </is>
      </c>
      <c r="C89" s="6" t="inlineStr">
        <is>
          <t>Soal Tes #5</t>
        </is>
      </c>
      <c r="D89" s="31" t="inlineStr">
        <is>
          <t>CORREL!E54</t>
        </is>
      </c>
      <c r="E89" s="22" t="inlineStr">
        <is>
          <t>'=CORREL(B53:B56, C53:C56)</t>
        </is>
      </c>
      <c r="F89" s="32">
        <f>CORREL('CORREL'!B53:B56, 'CORREL'!C53:C56)</f>
        <v/>
      </c>
      <c r="G89" s="19" t="inlineStr">
        <is>
          <t>Analisis hubungan antara data pertama (B53:B56) dan data kedua (C53:C56) menggunakan fungsi CORREL!</t>
        </is>
      </c>
    </row>
    <row r="90">
      <c r="A90" s="5" t="n">
        <v>86</v>
      </c>
      <c r="B90" s="8" t="inlineStr">
        <is>
          <t>COUNT</t>
        </is>
      </c>
      <c r="C90" s="6" t="inlineStr">
        <is>
          <t>Soal Tes #1</t>
        </is>
      </c>
      <c r="D90" s="31" t="inlineStr">
        <is>
          <t>COUNT!E22</t>
        </is>
      </c>
      <c r="E90" s="22" t="inlineStr">
        <is>
          <t>'=COUNT(C21:C24)</t>
        </is>
      </c>
      <c r="F90" s="32">
        <f>COUNT('COUNT'!C21:C24)</f>
        <v/>
      </c>
      <c r="G90" s="19" t="inlineStr">
        <is>
          <t>Hitung hasil pengolahan fungsi COUNT untuk keempat baris data pada rentang C21:C24!</t>
        </is>
      </c>
    </row>
    <row r="91">
      <c r="A91" s="5" t="n">
        <v>87</v>
      </c>
      <c r="B91" s="8" t="inlineStr">
        <is>
          <t>COUNT</t>
        </is>
      </c>
      <c r="C91" s="6" t="inlineStr">
        <is>
          <t>Soal Tes #2</t>
        </is>
      </c>
      <c r="D91" s="31" t="inlineStr">
        <is>
          <t>COUNT!E30</t>
        </is>
      </c>
      <c r="E91" s="22" t="inlineStr">
        <is>
          <t>'=COUNT(C29:C32)</t>
        </is>
      </c>
      <c r="F91" s="32">
        <f>COUNT('COUNT'!C29:C32)</f>
        <v/>
      </c>
      <c r="G91" s="19" t="inlineStr">
        <is>
          <t>Hitung hasil pengolahan fungsi COUNT untuk keempat baris data pada rentang C29:C32!</t>
        </is>
      </c>
    </row>
    <row r="92">
      <c r="A92" s="5" t="n">
        <v>88</v>
      </c>
      <c r="B92" s="8" t="inlineStr">
        <is>
          <t>COUNT</t>
        </is>
      </c>
      <c r="C92" s="6" t="inlineStr">
        <is>
          <t>Soal Tes #3</t>
        </is>
      </c>
      <c r="D92" s="31" t="inlineStr">
        <is>
          <t>COUNT!E38</t>
        </is>
      </c>
      <c r="E92" s="22" t="inlineStr">
        <is>
          <t>'=COUNT(C37:C40)</t>
        </is>
      </c>
      <c r="F92" s="32">
        <f>COUNT('COUNT'!C37:C40)</f>
        <v/>
      </c>
      <c r="G92" s="19" t="inlineStr">
        <is>
          <t>Hitung hasil pengolahan fungsi COUNT untuk keempat baris data pada rentang C37:C40!</t>
        </is>
      </c>
    </row>
    <row r="93">
      <c r="A93" s="5" t="n">
        <v>89</v>
      </c>
      <c r="B93" s="8" t="inlineStr">
        <is>
          <t>COUNT</t>
        </is>
      </c>
      <c r="C93" s="6" t="inlineStr">
        <is>
          <t>Soal Tes #4</t>
        </is>
      </c>
      <c r="D93" s="31" t="inlineStr">
        <is>
          <t>COUNT!E46</t>
        </is>
      </c>
      <c r="E93" s="22" t="inlineStr">
        <is>
          <t>'=COUNT(C45:C48)</t>
        </is>
      </c>
      <c r="F93" s="32">
        <f>COUNT('COUNT'!C45:C48)</f>
        <v/>
      </c>
      <c r="G93" s="19" t="inlineStr">
        <is>
          <t>Hitung hasil pengolahan fungsi COUNT untuk keempat baris data pada rentang C45:C48!</t>
        </is>
      </c>
    </row>
    <row r="94">
      <c r="A94" s="5" t="n">
        <v>90</v>
      </c>
      <c r="B94" s="8" t="inlineStr">
        <is>
          <t>COUNT</t>
        </is>
      </c>
      <c r="C94" s="6" t="inlineStr">
        <is>
          <t>Soal Tes #5</t>
        </is>
      </c>
      <c r="D94" s="31" t="inlineStr">
        <is>
          <t>COUNT!E54</t>
        </is>
      </c>
      <c r="E94" s="22" t="inlineStr">
        <is>
          <t>'=COUNT(C53:C56)</t>
        </is>
      </c>
      <c r="F94" s="32">
        <f>COUNT('COUNT'!C53:C56)</f>
        <v/>
      </c>
      <c r="G94" s="19" t="inlineStr">
        <is>
          <t>Hitung hasil pengolahan fungsi COUNT untuk keempat baris data pada rentang C53:C56!</t>
        </is>
      </c>
    </row>
    <row r="95">
      <c r="A95" s="5" t="n">
        <v>91</v>
      </c>
      <c r="B95" s="8" t="inlineStr">
        <is>
          <t>COUNTA</t>
        </is>
      </c>
      <c r="C95" s="6" t="inlineStr">
        <is>
          <t>Soal Tes #1</t>
        </is>
      </c>
      <c r="D95" s="31" t="inlineStr">
        <is>
          <t>COUNTA!E22</t>
        </is>
      </c>
      <c r="E95" s="22" t="inlineStr">
        <is>
          <t>'=COUNTA(C21:C24)</t>
        </is>
      </c>
      <c r="F95" s="32">
        <f>COUNTA('COUNTA'!C21:C24)</f>
        <v/>
      </c>
      <c r="G95" s="19" t="inlineStr">
        <is>
          <t>Hitung hasil pengolahan fungsi COUNTA untuk keempat baris data pada rentang C21:C24!</t>
        </is>
      </c>
    </row>
    <row r="96">
      <c r="A96" s="5" t="n">
        <v>92</v>
      </c>
      <c r="B96" s="8" t="inlineStr">
        <is>
          <t>COUNTA</t>
        </is>
      </c>
      <c r="C96" s="6" t="inlineStr">
        <is>
          <t>Soal Tes #2</t>
        </is>
      </c>
      <c r="D96" s="31" t="inlineStr">
        <is>
          <t>COUNTA!E30</t>
        </is>
      </c>
      <c r="E96" s="22" t="inlineStr">
        <is>
          <t>'=COUNTA(C29:C32)</t>
        </is>
      </c>
      <c r="F96" s="32">
        <f>COUNTA('COUNTA'!C29:C32)</f>
        <v/>
      </c>
      <c r="G96" s="19" t="inlineStr">
        <is>
          <t>Hitung hasil pengolahan fungsi COUNTA untuk keempat baris data pada rentang C29:C32!</t>
        </is>
      </c>
    </row>
    <row r="97">
      <c r="A97" s="5" t="n">
        <v>93</v>
      </c>
      <c r="B97" s="8" t="inlineStr">
        <is>
          <t>COUNTA</t>
        </is>
      </c>
      <c r="C97" s="6" t="inlineStr">
        <is>
          <t>Soal Tes #3</t>
        </is>
      </c>
      <c r="D97" s="31" t="inlineStr">
        <is>
          <t>COUNTA!E38</t>
        </is>
      </c>
      <c r="E97" s="22" t="inlineStr">
        <is>
          <t>'=COUNTA(C37:C40)</t>
        </is>
      </c>
      <c r="F97" s="32">
        <f>COUNTA('COUNTA'!C37:C40)</f>
        <v/>
      </c>
      <c r="G97" s="19" t="inlineStr">
        <is>
          <t>Hitung hasil pengolahan fungsi COUNTA untuk keempat baris data pada rentang C37:C40!</t>
        </is>
      </c>
    </row>
    <row r="98">
      <c r="A98" s="5" t="n">
        <v>94</v>
      </c>
      <c r="B98" s="8" t="inlineStr">
        <is>
          <t>COUNTA</t>
        </is>
      </c>
      <c r="C98" s="6" t="inlineStr">
        <is>
          <t>Soal Tes #4</t>
        </is>
      </c>
      <c r="D98" s="31" t="inlineStr">
        <is>
          <t>COUNTA!E46</t>
        </is>
      </c>
      <c r="E98" s="22" t="inlineStr">
        <is>
          <t>'=COUNTA(C45:C48)</t>
        </is>
      </c>
      <c r="F98" s="32">
        <f>COUNTA('COUNTA'!C45:C48)</f>
        <v/>
      </c>
      <c r="G98" s="19" t="inlineStr">
        <is>
          <t>Hitung hasil pengolahan fungsi COUNTA untuk keempat baris data pada rentang C45:C48!</t>
        </is>
      </c>
    </row>
    <row r="99">
      <c r="A99" s="5" t="n">
        <v>95</v>
      </c>
      <c r="B99" s="8" t="inlineStr">
        <is>
          <t>COUNTA</t>
        </is>
      </c>
      <c r="C99" s="6" t="inlineStr">
        <is>
          <t>Soal Tes #5</t>
        </is>
      </c>
      <c r="D99" s="31" t="inlineStr">
        <is>
          <t>COUNTA!E54</t>
        </is>
      </c>
      <c r="E99" s="22" t="inlineStr">
        <is>
          <t>'=COUNTA(C53:C56)</t>
        </is>
      </c>
      <c r="F99" s="32">
        <f>COUNTA('COUNTA'!C53:C56)</f>
        <v/>
      </c>
      <c r="G99" s="19" t="inlineStr">
        <is>
          <t>Hitung hasil pengolahan fungsi COUNTA untuk keempat baris data pada rentang C53:C56!</t>
        </is>
      </c>
    </row>
    <row r="100">
      <c r="A100" s="5" t="n">
        <v>96</v>
      </c>
      <c r="B100" s="8" t="inlineStr">
        <is>
          <t>COUNTBLANK</t>
        </is>
      </c>
      <c r="C100" s="6" t="inlineStr">
        <is>
          <t>Soal Tes #1</t>
        </is>
      </c>
      <c r="D100" s="31" t="inlineStr">
        <is>
          <t>COUNTBLANK!E22</t>
        </is>
      </c>
      <c r="E100" s="22" t="inlineStr">
        <is>
          <t>'=COUNTBLANK(C21:C24)</t>
        </is>
      </c>
      <c r="F100" s="32">
        <f>COUNTBLANK('COUNTBLANK'!C21:C24)</f>
        <v/>
      </c>
      <c r="G100" s="19" t="inlineStr">
        <is>
          <t>Hitung berapa banyak sel yang masih kosong pada rentang data C21:C24 menggunakan fungsi COUNTBLANK!</t>
        </is>
      </c>
    </row>
    <row r="101">
      <c r="A101" s="5" t="n">
        <v>97</v>
      </c>
      <c r="B101" s="8" t="inlineStr">
        <is>
          <t>COUNTBLANK</t>
        </is>
      </c>
      <c r="C101" s="6" t="inlineStr">
        <is>
          <t>Soal Tes #2</t>
        </is>
      </c>
      <c r="D101" s="31" t="inlineStr">
        <is>
          <t>COUNTBLANK!E30</t>
        </is>
      </c>
      <c r="E101" s="22" t="inlineStr">
        <is>
          <t>'=COUNTBLANK(C29:C32)</t>
        </is>
      </c>
      <c r="F101" s="32">
        <f>COUNTBLANK('COUNTBLANK'!C29:C32)</f>
        <v/>
      </c>
      <c r="G101" s="19" t="inlineStr">
        <is>
          <t>Hitung berapa banyak sel yang masih kosong pada rentang data C29:C32 menggunakan fungsi COUNTBLANK!</t>
        </is>
      </c>
    </row>
    <row r="102">
      <c r="A102" s="5" t="n">
        <v>98</v>
      </c>
      <c r="B102" s="8" t="inlineStr">
        <is>
          <t>COUNTBLANK</t>
        </is>
      </c>
      <c r="C102" s="6" t="inlineStr">
        <is>
          <t>Soal Tes #3</t>
        </is>
      </c>
      <c r="D102" s="31" t="inlineStr">
        <is>
          <t>COUNTBLANK!E38</t>
        </is>
      </c>
      <c r="E102" s="22" t="inlineStr">
        <is>
          <t>'=COUNTBLANK(C37:C40)</t>
        </is>
      </c>
      <c r="F102" s="32">
        <f>COUNTBLANK('COUNTBLANK'!C37:C40)</f>
        <v/>
      </c>
      <c r="G102" s="19" t="inlineStr">
        <is>
          <t>Hitung berapa banyak sel yang masih kosong pada rentang data C37:C40 menggunakan fungsi COUNTBLANK!</t>
        </is>
      </c>
    </row>
    <row r="103">
      <c r="A103" s="5" t="n">
        <v>99</v>
      </c>
      <c r="B103" s="8" t="inlineStr">
        <is>
          <t>COUNTBLANK</t>
        </is>
      </c>
      <c r="C103" s="6" t="inlineStr">
        <is>
          <t>Soal Tes #4</t>
        </is>
      </c>
      <c r="D103" s="31" t="inlineStr">
        <is>
          <t>COUNTBLANK!E46</t>
        </is>
      </c>
      <c r="E103" s="22" t="inlineStr">
        <is>
          <t>'=COUNTBLANK(C45:C48)</t>
        </is>
      </c>
      <c r="F103" s="32">
        <f>COUNTBLANK('COUNTBLANK'!C45:C48)</f>
        <v/>
      </c>
      <c r="G103" s="19" t="inlineStr">
        <is>
          <t>Hitung berapa banyak sel yang masih kosong pada rentang data C45:C48 menggunakan fungsi COUNTBLANK!</t>
        </is>
      </c>
    </row>
    <row r="104">
      <c r="A104" s="5" t="n">
        <v>100</v>
      </c>
      <c r="B104" s="8" t="inlineStr">
        <is>
          <t>COUNTBLANK</t>
        </is>
      </c>
      <c r="C104" s="6" t="inlineStr">
        <is>
          <t>Soal Tes #5</t>
        </is>
      </c>
      <c r="D104" s="31" t="inlineStr">
        <is>
          <t>COUNTBLANK!E54</t>
        </is>
      </c>
      <c r="E104" s="22" t="inlineStr">
        <is>
          <t>'=COUNTBLANK(C53:C56)</t>
        </is>
      </c>
      <c r="F104" s="32">
        <f>COUNTBLANK('COUNTBLANK'!C53:C56)</f>
        <v/>
      </c>
      <c r="G104" s="19" t="inlineStr">
        <is>
          <t>Hitung berapa banyak sel yang masih kosong pada rentang data C53:C56 menggunakan fungsi COUNTBLANK!</t>
        </is>
      </c>
    </row>
    <row r="105">
      <c r="A105" s="5" t="n">
        <v>101</v>
      </c>
      <c r="B105" s="8" t="inlineStr">
        <is>
          <t>COUNTIF</t>
        </is>
      </c>
      <c r="C105" s="6" t="inlineStr">
        <is>
          <t>Soal Tes #1</t>
        </is>
      </c>
      <c r="D105" s="31" t="inlineStr">
        <is>
          <t>COUNTIF!E22</t>
        </is>
      </c>
      <c r="E105" s="22" t="inlineStr">
        <is>
          <t>'=COUNTIF(B21:B24, "Lulus")</t>
        </is>
      </c>
      <c r="F105" s="32">
        <f>COUNTIF('COUNTIF'!B21:B24, "Lulus")</f>
        <v/>
      </c>
      <c r="G105" s="19" t="inlineStr">
        <is>
          <t>Hitung berapa banyak peserta yang berstatus "Lulus" pada rentang B21:B24 menggunakan fungsi COUNTIF!</t>
        </is>
      </c>
    </row>
    <row r="106">
      <c r="A106" s="5" t="n">
        <v>102</v>
      </c>
      <c r="B106" s="8" t="inlineStr">
        <is>
          <t>COUNTIF</t>
        </is>
      </c>
      <c r="C106" s="6" t="inlineStr">
        <is>
          <t>Soal Tes #2</t>
        </is>
      </c>
      <c r="D106" s="31" t="inlineStr">
        <is>
          <t>COUNTIF!E30</t>
        </is>
      </c>
      <c r="E106" s="22" t="inlineStr">
        <is>
          <t>'=COUNTIF(B29:B32, "Lulus")</t>
        </is>
      </c>
      <c r="F106" s="32">
        <f>COUNTIF('COUNTIF'!B29:B32, "Lulus")</f>
        <v/>
      </c>
      <c r="G106" s="19" t="inlineStr">
        <is>
          <t>Hitung berapa banyak peserta yang berstatus "Lulus" pada rentang B29:B32 menggunakan fungsi COUNTIF!</t>
        </is>
      </c>
    </row>
    <row r="107">
      <c r="A107" s="5" t="n">
        <v>103</v>
      </c>
      <c r="B107" s="8" t="inlineStr">
        <is>
          <t>COUNTIF</t>
        </is>
      </c>
      <c r="C107" s="6" t="inlineStr">
        <is>
          <t>Soal Tes #3</t>
        </is>
      </c>
      <c r="D107" s="31" t="inlineStr">
        <is>
          <t>COUNTIF!E38</t>
        </is>
      </c>
      <c r="E107" s="22" t="inlineStr">
        <is>
          <t>'=COUNTIF(B37:B40, "Lulus")</t>
        </is>
      </c>
      <c r="F107" s="32">
        <f>COUNTIF('COUNTIF'!B37:B40, "Lulus")</f>
        <v/>
      </c>
      <c r="G107" s="19" t="inlineStr">
        <is>
          <t>Hitung berapa banyak peserta yang berstatus "Lulus" pada rentang B37:B40 menggunakan fungsi COUNTIF!</t>
        </is>
      </c>
    </row>
    <row r="108">
      <c r="A108" s="5" t="n">
        <v>104</v>
      </c>
      <c r="B108" s="8" t="inlineStr">
        <is>
          <t>COUNTIF</t>
        </is>
      </c>
      <c r="C108" s="6" t="inlineStr">
        <is>
          <t>Soal Tes #4</t>
        </is>
      </c>
      <c r="D108" s="31" t="inlineStr">
        <is>
          <t>COUNTIF!E46</t>
        </is>
      </c>
      <c r="E108" s="22" t="inlineStr">
        <is>
          <t>'=COUNTIF(B45:B48, "Lulus")</t>
        </is>
      </c>
      <c r="F108" s="32">
        <f>COUNTIF('COUNTIF'!B45:B48, "Lulus")</f>
        <v/>
      </c>
      <c r="G108" s="19" t="inlineStr">
        <is>
          <t>Hitung berapa banyak peserta yang berstatus "Lulus" pada rentang B45:B48 menggunakan fungsi COUNTIF!</t>
        </is>
      </c>
    </row>
    <row r="109">
      <c r="A109" s="5" t="n">
        <v>105</v>
      </c>
      <c r="B109" s="8" t="inlineStr">
        <is>
          <t>COUNTIF</t>
        </is>
      </c>
      <c r="C109" s="6" t="inlineStr">
        <is>
          <t>Soal Tes #5</t>
        </is>
      </c>
      <c r="D109" s="31" t="inlineStr">
        <is>
          <t>COUNTIF!E54</t>
        </is>
      </c>
      <c r="E109" s="22" t="inlineStr">
        <is>
          <t>'=COUNTIF(B53:B56, "Lulus")</t>
        </is>
      </c>
      <c r="F109" s="32">
        <f>COUNTIF('COUNTIF'!B53:B56, "Lulus")</f>
        <v/>
      </c>
      <c r="G109" s="19" t="inlineStr">
        <is>
          <t>Hitung berapa banyak peserta yang berstatus "Lulus" pada rentang B53:B56 menggunakan fungsi COUNTIF!</t>
        </is>
      </c>
    </row>
    <row r="110">
      <c r="A110" s="5" t="n">
        <v>106</v>
      </c>
      <c r="B110" s="8" t="inlineStr">
        <is>
          <t>COUNTIFS</t>
        </is>
      </c>
      <c r="C110" s="6" t="inlineStr">
        <is>
          <t>Soal Tes #1</t>
        </is>
      </c>
      <c r="D110" s="31" t="inlineStr">
        <is>
          <t>COUNTIFS!E22</t>
        </is>
      </c>
      <c r="E110" s="22" t="inlineStr">
        <is>
          <t>'=COUNTIFS(B21:B24, "Lulus", C21:C24, "&gt;=80")</t>
        </is>
      </c>
      <c r="F110" s="32">
        <f>COUNTIFS('COUNTIFS'!B21:B24, "Lulus", 'COUNTIFS'!C21:C24, "&gt;=80")</f>
        <v/>
      </c>
      <c r="G110" s="19" t="inlineStr">
        <is>
          <t>Hitung berapa banyak peserta yang berstatus "Lulus" di B21:B24 sekaligus memiliki skor minimal 80 ("&gt;=80") di C21:C24 menggunakan fungsi COUNTIFS!</t>
        </is>
      </c>
    </row>
    <row r="111">
      <c r="A111" s="5" t="n">
        <v>107</v>
      </c>
      <c r="B111" s="8" t="inlineStr">
        <is>
          <t>COUNTIFS</t>
        </is>
      </c>
      <c r="C111" s="6" t="inlineStr">
        <is>
          <t>Soal Tes #2</t>
        </is>
      </c>
      <c r="D111" s="31" t="inlineStr">
        <is>
          <t>COUNTIFS!E30</t>
        </is>
      </c>
      <c r="E111" s="22" t="inlineStr">
        <is>
          <t>'=COUNTIFS(B29:B32, "Lulus", C29:C32, "&gt;=80")</t>
        </is>
      </c>
      <c r="F111" s="32">
        <f>COUNTIFS('COUNTIFS'!B29:B32, "Lulus", 'COUNTIFS'!C29:C32, "&gt;=80")</f>
        <v/>
      </c>
      <c r="G111" s="19" t="inlineStr">
        <is>
          <t>Hitung berapa banyak peserta yang berstatus "Lulus" di B29:B32 sekaligus memiliki skor minimal 80 ("&gt;=80") di C29:C32 menggunakan fungsi COUNTIFS!</t>
        </is>
      </c>
    </row>
    <row r="112">
      <c r="A112" s="5" t="n">
        <v>108</v>
      </c>
      <c r="B112" s="8" t="inlineStr">
        <is>
          <t>COUNTIFS</t>
        </is>
      </c>
      <c r="C112" s="6" t="inlineStr">
        <is>
          <t>Soal Tes #3</t>
        </is>
      </c>
      <c r="D112" s="31" t="inlineStr">
        <is>
          <t>COUNTIFS!E38</t>
        </is>
      </c>
      <c r="E112" s="22" t="inlineStr">
        <is>
          <t>'=COUNTIFS(B37:B40, "Lulus", C37:C40, "&gt;=80")</t>
        </is>
      </c>
      <c r="F112" s="32">
        <f>COUNTIFS('COUNTIFS'!B37:B40, "Lulus", 'COUNTIFS'!C37:C40, "&gt;=80")</f>
        <v/>
      </c>
      <c r="G112" s="19" t="inlineStr">
        <is>
          <t>Hitung berapa banyak peserta yang berstatus "Lulus" di B37:B40 sekaligus memiliki skor minimal 80 ("&gt;=80") di C37:C40 menggunakan fungsi COUNTIFS!</t>
        </is>
      </c>
    </row>
    <row r="113">
      <c r="A113" s="5" t="n">
        <v>109</v>
      </c>
      <c r="B113" s="8" t="inlineStr">
        <is>
          <t>COUNTIFS</t>
        </is>
      </c>
      <c r="C113" s="6" t="inlineStr">
        <is>
          <t>Soal Tes #4</t>
        </is>
      </c>
      <c r="D113" s="31" t="inlineStr">
        <is>
          <t>COUNTIFS!E46</t>
        </is>
      </c>
      <c r="E113" s="22" t="inlineStr">
        <is>
          <t>'=COUNTIFS(B45:B48, "Lulus", C45:C48, "&gt;=80")</t>
        </is>
      </c>
      <c r="F113" s="32">
        <f>COUNTIFS('COUNTIFS'!B45:B48, "Lulus", 'COUNTIFS'!C45:C48, "&gt;=80")</f>
        <v/>
      </c>
      <c r="G113" s="19" t="inlineStr">
        <is>
          <t>Hitung berapa banyak peserta yang berstatus "Lulus" di B45:B48 sekaligus memiliki skor minimal 80 ("&gt;=80") di C45:C48 menggunakan fungsi COUNTIFS!</t>
        </is>
      </c>
    </row>
    <row r="114">
      <c r="A114" s="5" t="n">
        <v>110</v>
      </c>
      <c r="B114" s="8" t="inlineStr">
        <is>
          <t>COUNTIFS</t>
        </is>
      </c>
      <c r="C114" s="6" t="inlineStr">
        <is>
          <t>Soal Tes #5</t>
        </is>
      </c>
      <c r="D114" s="31" t="inlineStr">
        <is>
          <t>COUNTIFS!E54</t>
        </is>
      </c>
      <c r="E114" s="22" t="inlineStr">
        <is>
          <t>'=COUNTIFS(B53:B56, "Lulus", C53:C56, "&gt;=80")</t>
        </is>
      </c>
      <c r="F114" s="32">
        <f>COUNTIFS('COUNTIFS'!B53:B56, "Lulus", 'COUNTIFS'!C53:C56, "&gt;=80")</f>
        <v/>
      </c>
      <c r="G114" s="19" t="inlineStr">
        <is>
          <t>Hitung berapa banyak peserta yang berstatus "Lulus" di B53:B56 sekaligus memiliki skor minimal 80 ("&gt;=80") di C53:C56 menggunakan fungsi COUNTIFS!</t>
        </is>
      </c>
    </row>
    <row r="115">
      <c r="A115" s="5" t="n">
        <v>111</v>
      </c>
      <c r="B115" s="8" t="inlineStr">
        <is>
          <t>COVARIANCE.P</t>
        </is>
      </c>
      <c r="C115" s="6" t="inlineStr">
        <is>
          <t>Soal Tes #1</t>
        </is>
      </c>
      <c r="D115" s="31" t="inlineStr">
        <is>
          <t>COVARIANCE.P!E22</t>
        </is>
      </c>
      <c r="E115" s="22" t="inlineStr">
        <is>
          <t>'=COVARIANCE.P(B21:B24, C21:C24)</t>
        </is>
      </c>
      <c r="F115" s="32">
        <f>COVARIANCE.P('COVARIANCE.P'!B21:B24, 'COVARIANCE.P'!C21:C24)</f>
        <v/>
      </c>
      <c r="G115" s="19" t="inlineStr">
        <is>
          <t>Analisis hubungan antara data pertama (B21:B24) dan data kedua (C21:C24) menggunakan fungsi COVARIANCE.P!</t>
        </is>
      </c>
    </row>
    <row r="116">
      <c r="A116" s="5" t="n">
        <v>112</v>
      </c>
      <c r="B116" s="8" t="inlineStr">
        <is>
          <t>COVARIANCE.P</t>
        </is>
      </c>
      <c r="C116" s="6" t="inlineStr">
        <is>
          <t>Soal Tes #2</t>
        </is>
      </c>
      <c r="D116" s="31" t="inlineStr">
        <is>
          <t>COVARIANCE.P!E30</t>
        </is>
      </c>
      <c r="E116" s="22" t="inlineStr">
        <is>
          <t>'=COVARIANCE.P(B29:B32, C29:C32)</t>
        </is>
      </c>
      <c r="F116" s="32">
        <f>COVARIANCE.P('COVARIANCE.P'!B29:B32, 'COVARIANCE.P'!C29:C32)</f>
        <v/>
      </c>
      <c r="G116" s="19" t="inlineStr">
        <is>
          <t>Analisis hubungan antara data pertama (B29:B32) dan data kedua (C29:C32) menggunakan fungsi COVARIANCE.P!</t>
        </is>
      </c>
    </row>
    <row r="117">
      <c r="A117" s="5" t="n">
        <v>113</v>
      </c>
      <c r="B117" s="8" t="inlineStr">
        <is>
          <t>COVARIANCE.P</t>
        </is>
      </c>
      <c r="C117" s="6" t="inlineStr">
        <is>
          <t>Soal Tes #3</t>
        </is>
      </c>
      <c r="D117" s="31" t="inlineStr">
        <is>
          <t>COVARIANCE.P!E38</t>
        </is>
      </c>
      <c r="E117" s="22" t="inlineStr">
        <is>
          <t>'=COVARIANCE.P(B37:B40, C37:C40)</t>
        </is>
      </c>
      <c r="F117" s="32">
        <f>COVARIANCE.P('COVARIANCE.P'!B37:B40, 'COVARIANCE.P'!C37:C40)</f>
        <v/>
      </c>
      <c r="G117" s="19" t="inlineStr">
        <is>
          <t>Analisis hubungan antara data pertama (B37:B40) dan data kedua (C37:C40) menggunakan fungsi COVARIANCE.P!</t>
        </is>
      </c>
    </row>
    <row r="118">
      <c r="A118" s="5" t="n">
        <v>114</v>
      </c>
      <c r="B118" s="8" t="inlineStr">
        <is>
          <t>COVARIANCE.P</t>
        </is>
      </c>
      <c r="C118" s="6" t="inlineStr">
        <is>
          <t>Soal Tes #4</t>
        </is>
      </c>
      <c r="D118" s="31" t="inlineStr">
        <is>
          <t>COVARIANCE.P!E46</t>
        </is>
      </c>
      <c r="E118" s="22" t="inlineStr">
        <is>
          <t>'=COVARIANCE.P(B45:B48, C45:C48)</t>
        </is>
      </c>
      <c r="F118" s="32">
        <f>COVARIANCE.P('COVARIANCE.P'!B45:B48, 'COVARIANCE.P'!C45:C48)</f>
        <v/>
      </c>
      <c r="G118" s="19" t="inlineStr">
        <is>
          <t>Analisis hubungan antara data pertama (B45:B48) dan data kedua (C45:C48) menggunakan fungsi COVARIANCE.P!</t>
        </is>
      </c>
    </row>
    <row r="119">
      <c r="A119" s="5" t="n">
        <v>115</v>
      </c>
      <c r="B119" s="8" t="inlineStr">
        <is>
          <t>COVARIANCE.P</t>
        </is>
      </c>
      <c r="C119" s="6" t="inlineStr">
        <is>
          <t>Soal Tes #5</t>
        </is>
      </c>
      <c r="D119" s="31" t="inlineStr">
        <is>
          <t>COVARIANCE.P!E54</t>
        </is>
      </c>
      <c r="E119" s="22" t="inlineStr">
        <is>
          <t>'=COVARIANCE.P(B53:B56, C53:C56)</t>
        </is>
      </c>
      <c r="F119" s="32">
        <f>COVARIANCE.P('COVARIANCE.P'!B53:B56, 'COVARIANCE.P'!C53:C56)</f>
        <v/>
      </c>
      <c r="G119" s="19" t="inlineStr">
        <is>
          <t>Analisis hubungan antara data pertama (B53:B56) dan data kedua (C53:C56) menggunakan fungsi COVARIANCE.P!</t>
        </is>
      </c>
    </row>
    <row r="120">
      <c r="A120" s="5" t="n">
        <v>116</v>
      </c>
      <c r="B120" s="8" t="inlineStr">
        <is>
          <t>COVARIANCE.T</t>
        </is>
      </c>
      <c r="C120" s="6" t="inlineStr">
        <is>
          <t>Soal Tes #1</t>
        </is>
      </c>
      <c r="D120" s="31" t="inlineStr">
        <is>
          <t>COVARIANCE.T!E22</t>
        </is>
      </c>
      <c r="E120" s="22" t="inlineStr">
        <is>
          <t>'=COVARIANCE.S(B21:B24, C21:C24)</t>
        </is>
      </c>
      <c r="F120" s="32">
        <f>COVARIANCE.S('COVARIANCE.T'!B21:B24, 'COVARIANCE.T'!C21:C24)</f>
        <v/>
      </c>
      <c r="G120" s="19" t="inlineStr">
        <is>
          <t>Analisis hubungan antara data pertama (B21:B24) dan data kedua (C21:C24) menggunakan fungsi COVARIANCE.T!</t>
        </is>
      </c>
    </row>
    <row r="121">
      <c r="A121" s="5" t="n">
        <v>117</v>
      </c>
      <c r="B121" s="8" t="inlineStr">
        <is>
          <t>COVARIANCE.T</t>
        </is>
      </c>
      <c r="C121" s="6" t="inlineStr">
        <is>
          <t>Soal Tes #2</t>
        </is>
      </c>
      <c r="D121" s="31" t="inlineStr">
        <is>
          <t>COVARIANCE.T!E30</t>
        </is>
      </c>
      <c r="E121" s="22" t="inlineStr">
        <is>
          <t>'=COVARIANCE.S(B29:B32, C29:C32)</t>
        </is>
      </c>
      <c r="F121" s="32">
        <f>COVARIANCE.S('COVARIANCE.T'!B29:B32, 'COVARIANCE.T'!C29:C32)</f>
        <v/>
      </c>
      <c r="G121" s="19" t="inlineStr">
        <is>
          <t>Analisis hubungan antara data pertama (B29:B32) dan data kedua (C29:C32) menggunakan fungsi COVARIANCE.T!</t>
        </is>
      </c>
    </row>
    <row r="122">
      <c r="A122" s="5" t="n">
        <v>118</v>
      </c>
      <c r="B122" s="8" t="inlineStr">
        <is>
          <t>COVARIANCE.T</t>
        </is>
      </c>
      <c r="C122" s="6" t="inlineStr">
        <is>
          <t>Soal Tes #3</t>
        </is>
      </c>
      <c r="D122" s="31" t="inlineStr">
        <is>
          <t>COVARIANCE.T!E38</t>
        </is>
      </c>
      <c r="E122" s="22" t="inlineStr">
        <is>
          <t>'=COVARIANCE.S(B37:B40, C37:C40)</t>
        </is>
      </c>
      <c r="F122" s="32">
        <f>COVARIANCE.S('COVARIANCE.T'!B37:B40, 'COVARIANCE.T'!C37:C40)</f>
        <v/>
      </c>
      <c r="G122" s="19" t="inlineStr">
        <is>
          <t>Analisis hubungan antara data pertama (B37:B40) dan data kedua (C37:C40) menggunakan fungsi COVARIANCE.T!</t>
        </is>
      </c>
    </row>
    <row r="123">
      <c r="A123" s="5" t="n">
        <v>119</v>
      </c>
      <c r="B123" s="8" t="inlineStr">
        <is>
          <t>COVARIANCE.T</t>
        </is>
      </c>
      <c r="C123" s="6" t="inlineStr">
        <is>
          <t>Soal Tes #4</t>
        </is>
      </c>
      <c r="D123" s="31" t="inlineStr">
        <is>
          <t>COVARIANCE.T!E46</t>
        </is>
      </c>
      <c r="E123" s="22" t="inlineStr">
        <is>
          <t>'=COVARIANCE.S(B45:B48, C45:C48)</t>
        </is>
      </c>
      <c r="F123" s="32">
        <f>COVARIANCE.S('COVARIANCE.T'!B45:B48, 'COVARIANCE.T'!C45:C48)</f>
        <v/>
      </c>
      <c r="G123" s="19" t="inlineStr">
        <is>
          <t>Analisis hubungan antara data pertama (B45:B48) dan data kedua (C45:C48) menggunakan fungsi COVARIANCE.T!</t>
        </is>
      </c>
    </row>
    <row r="124">
      <c r="A124" s="5" t="n">
        <v>120</v>
      </c>
      <c r="B124" s="8" t="inlineStr">
        <is>
          <t>COVARIANCE.T</t>
        </is>
      </c>
      <c r="C124" s="6" t="inlineStr">
        <is>
          <t>Soal Tes #5</t>
        </is>
      </c>
      <c r="D124" s="31" t="inlineStr">
        <is>
          <t>COVARIANCE.T!E54</t>
        </is>
      </c>
      <c r="E124" s="22" t="inlineStr">
        <is>
          <t>'=COVARIANCE.S(B53:B56, C53:C56)</t>
        </is>
      </c>
      <c r="F124" s="32">
        <f>COVARIANCE.S('COVARIANCE.T'!B53:B56, 'COVARIANCE.T'!C53:C56)</f>
        <v/>
      </c>
      <c r="G124" s="19" t="inlineStr">
        <is>
          <t>Analisis hubungan antara data pertama (B53:B56) dan data kedua (C53:C56) menggunakan fungsi COVARIANCE.T!</t>
        </is>
      </c>
    </row>
    <row r="125">
      <c r="A125" s="5" t="n">
        <v>121</v>
      </c>
      <c r="B125" s="8" t="inlineStr">
        <is>
          <t>CRITBINOM</t>
        </is>
      </c>
      <c r="C125" s="6" t="inlineStr">
        <is>
          <t>Soal Tes #1</t>
        </is>
      </c>
      <c r="D125" s="31" t="inlineStr">
        <is>
          <t>CRITBINOM!E22</t>
        </is>
      </c>
      <c r="E125" s="22" t="inlineStr">
        <is>
          <t>'=CRITBINOM(C21, C22, C23)</t>
        </is>
      </c>
      <c r="F125" s="32">
        <f>CRITBINOM('CRITBINOM'!C21, 'CRITBINOM'!C22, 'CRITBINOM'!C23)</f>
        <v/>
      </c>
      <c r="G125" s="19" t="inlineStr">
        <is>
          <t>Cari nilai batas kritis binomial menggunakan fungsi CRITBINOM dengan argumen berurutan C21, C22, dan C23!</t>
        </is>
      </c>
    </row>
    <row r="126">
      <c r="A126" s="5" t="n">
        <v>122</v>
      </c>
      <c r="B126" s="8" t="inlineStr">
        <is>
          <t>CRITBINOM</t>
        </is>
      </c>
      <c r="C126" s="6" t="inlineStr">
        <is>
          <t>Soal Tes #2</t>
        </is>
      </c>
      <c r="D126" s="31" t="inlineStr">
        <is>
          <t>CRITBINOM!E30</t>
        </is>
      </c>
      <c r="E126" s="22" t="inlineStr">
        <is>
          <t>'=CRITBINOM(C29, C30, C31)</t>
        </is>
      </c>
      <c r="F126" s="32">
        <f>CRITBINOM('CRITBINOM'!C29, 'CRITBINOM'!C30, 'CRITBINOM'!C31)</f>
        <v/>
      </c>
      <c r="G126" s="19" t="inlineStr">
        <is>
          <t>Cari nilai batas kritis binomial menggunakan fungsi CRITBINOM dengan argumen berurutan C29, C30, dan C31!</t>
        </is>
      </c>
    </row>
    <row r="127">
      <c r="A127" s="5" t="n">
        <v>123</v>
      </c>
      <c r="B127" s="8" t="inlineStr">
        <is>
          <t>CRITBINOM</t>
        </is>
      </c>
      <c r="C127" s="6" t="inlineStr">
        <is>
          <t>Soal Tes #3</t>
        </is>
      </c>
      <c r="D127" s="31" t="inlineStr">
        <is>
          <t>CRITBINOM!E38</t>
        </is>
      </c>
      <c r="E127" s="22" t="inlineStr">
        <is>
          <t>'=CRITBINOM(C37, C38, C39)</t>
        </is>
      </c>
      <c r="F127" s="32">
        <f>CRITBINOM('CRITBINOM'!C37, 'CRITBINOM'!C38, 'CRITBINOM'!C39)</f>
        <v/>
      </c>
      <c r="G127" s="19" t="inlineStr">
        <is>
          <t>Cari nilai batas kritis binomial menggunakan fungsi CRITBINOM dengan argumen berurutan C37, C38, dan C39!</t>
        </is>
      </c>
    </row>
    <row r="128">
      <c r="A128" s="5" t="n">
        <v>124</v>
      </c>
      <c r="B128" s="8" t="inlineStr">
        <is>
          <t>CRITBINOM</t>
        </is>
      </c>
      <c r="C128" s="6" t="inlineStr">
        <is>
          <t>Soal Tes #4</t>
        </is>
      </c>
      <c r="D128" s="31" t="inlineStr">
        <is>
          <t>CRITBINOM!E46</t>
        </is>
      </c>
      <c r="E128" s="22" t="inlineStr">
        <is>
          <t>'=CRITBINOM(C45, C46, C47)</t>
        </is>
      </c>
      <c r="F128" s="32">
        <f>CRITBINOM('CRITBINOM'!C45, 'CRITBINOM'!C46, 'CRITBINOM'!C47)</f>
        <v/>
      </c>
      <c r="G128" s="19" t="inlineStr">
        <is>
          <t>Cari nilai batas kritis binomial menggunakan fungsi CRITBINOM dengan argumen berurutan C45, C46, dan C47!</t>
        </is>
      </c>
    </row>
    <row r="129">
      <c r="A129" s="5" t="n">
        <v>125</v>
      </c>
      <c r="B129" s="8" t="inlineStr">
        <is>
          <t>CRITBINOM</t>
        </is>
      </c>
      <c r="C129" s="6" t="inlineStr">
        <is>
          <t>Soal Tes #5</t>
        </is>
      </c>
      <c r="D129" s="31" t="inlineStr">
        <is>
          <t>CRITBINOM!E54</t>
        </is>
      </c>
      <c r="E129" s="22" t="inlineStr">
        <is>
          <t>'=CRITBINOM(C53, C54, C55)</t>
        </is>
      </c>
      <c r="F129" s="32">
        <f>CRITBINOM('CRITBINOM'!C53, 'CRITBINOM'!C54, 'CRITBINOM'!C55)</f>
        <v/>
      </c>
      <c r="G129" s="19" t="inlineStr">
        <is>
          <t>Cari nilai batas kritis binomial menggunakan fungsi CRITBINOM dengan argumen berurutan C53, C54, dan C55!</t>
        </is>
      </c>
    </row>
    <row r="130">
      <c r="A130" s="5" t="n">
        <v>126</v>
      </c>
      <c r="B130" s="8" t="inlineStr">
        <is>
          <t>DEVSQ</t>
        </is>
      </c>
      <c r="C130" s="6" t="inlineStr">
        <is>
          <t>Soal Tes #1</t>
        </is>
      </c>
      <c r="D130" s="31" t="inlineStr">
        <is>
          <t>DEVSQ!E22</t>
        </is>
      </c>
      <c r="E130" s="22" t="inlineStr">
        <is>
          <t>'=DEVSQ(C21:C24)</t>
        </is>
      </c>
      <c r="F130" s="32">
        <f>DEVSQ('DEVSQ'!C21:C24)</f>
        <v/>
      </c>
      <c r="G130" s="19" t="inlineStr">
        <is>
          <t>Hitung hasil pengolahan fungsi DEVSQ untuk keempat baris data pada rentang C21:C24!</t>
        </is>
      </c>
    </row>
    <row r="131">
      <c r="A131" s="5" t="n">
        <v>127</v>
      </c>
      <c r="B131" s="8" t="inlineStr">
        <is>
          <t>DEVSQ</t>
        </is>
      </c>
      <c r="C131" s="6" t="inlineStr">
        <is>
          <t>Soal Tes #2</t>
        </is>
      </c>
      <c r="D131" s="31" t="inlineStr">
        <is>
          <t>DEVSQ!E30</t>
        </is>
      </c>
      <c r="E131" s="22" t="inlineStr">
        <is>
          <t>'=DEVSQ(C29:C32)</t>
        </is>
      </c>
      <c r="F131" s="32">
        <f>DEVSQ('DEVSQ'!C29:C32)</f>
        <v/>
      </c>
      <c r="G131" s="19" t="inlineStr">
        <is>
          <t>Hitung hasil pengolahan fungsi DEVSQ untuk keempat baris data pada rentang C29:C32!</t>
        </is>
      </c>
    </row>
    <row r="132">
      <c r="A132" s="5" t="n">
        <v>128</v>
      </c>
      <c r="B132" s="8" t="inlineStr">
        <is>
          <t>DEVSQ</t>
        </is>
      </c>
      <c r="C132" s="6" t="inlineStr">
        <is>
          <t>Soal Tes #3</t>
        </is>
      </c>
      <c r="D132" s="31" t="inlineStr">
        <is>
          <t>DEVSQ!E38</t>
        </is>
      </c>
      <c r="E132" s="22" t="inlineStr">
        <is>
          <t>'=DEVSQ(C37:C40)</t>
        </is>
      </c>
      <c r="F132" s="32">
        <f>DEVSQ('DEVSQ'!C37:C40)</f>
        <v/>
      </c>
      <c r="G132" s="19" t="inlineStr">
        <is>
          <t>Hitung hasil pengolahan fungsi DEVSQ untuk keempat baris data pada rentang C37:C40!</t>
        </is>
      </c>
    </row>
    <row r="133">
      <c r="A133" s="5" t="n">
        <v>129</v>
      </c>
      <c r="B133" s="8" t="inlineStr">
        <is>
          <t>DEVSQ</t>
        </is>
      </c>
      <c r="C133" s="6" t="inlineStr">
        <is>
          <t>Soal Tes #4</t>
        </is>
      </c>
      <c r="D133" s="31" t="inlineStr">
        <is>
          <t>DEVSQ!E46</t>
        </is>
      </c>
      <c r="E133" s="22" t="inlineStr">
        <is>
          <t>'=DEVSQ(C45:C48)</t>
        </is>
      </c>
      <c r="F133" s="32">
        <f>DEVSQ('DEVSQ'!C45:C48)</f>
        <v/>
      </c>
      <c r="G133" s="19" t="inlineStr">
        <is>
          <t>Hitung hasil pengolahan fungsi DEVSQ untuk keempat baris data pada rentang C45:C48!</t>
        </is>
      </c>
    </row>
    <row r="134">
      <c r="A134" s="5" t="n">
        <v>130</v>
      </c>
      <c r="B134" s="8" t="inlineStr">
        <is>
          <t>DEVSQ</t>
        </is>
      </c>
      <c r="C134" s="6" t="inlineStr">
        <is>
          <t>Soal Tes #5</t>
        </is>
      </c>
      <c r="D134" s="31" t="inlineStr">
        <is>
          <t>DEVSQ!E54</t>
        </is>
      </c>
      <c r="E134" s="22" t="inlineStr">
        <is>
          <t>'=DEVSQ(C53:C56)</t>
        </is>
      </c>
      <c r="F134" s="32">
        <f>DEVSQ('DEVSQ'!C53:C56)</f>
        <v/>
      </c>
      <c r="G134" s="19" t="inlineStr">
        <is>
          <t>Hitung hasil pengolahan fungsi DEVSQ untuk keempat baris data pada rentang C53:C56!</t>
        </is>
      </c>
    </row>
    <row r="135">
      <c r="A135" s="5" t="n">
        <v>131</v>
      </c>
      <c r="B135" s="8" t="inlineStr">
        <is>
          <t>EXPON.DIST</t>
        </is>
      </c>
      <c r="C135" s="6" t="inlineStr">
        <is>
          <t>Soal Tes #1</t>
        </is>
      </c>
      <c r="D135" s="31" t="inlineStr">
        <is>
          <t>EXPON.DIST!E22</t>
        </is>
      </c>
      <c r="E135" s="22" t="inlineStr">
        <is>
          <t>'=EXPON.DIST(C21, C22, TRUE)</t>
        </is>
      </c>
      <c r="F135" s="32">
        <f>EXPON.DIST('EXPON.DIST'!C21, 'EXPON.DIST'!C22, TRUE)</f>
        <v/>
      </c>
      <c r="G135" s="19" t="inlineStr">
        <is>
          <t>Hitung nilai distribusi kumulatif (TRUE) menggunakan fungsi EXPON.DIST dengan argumen C21, C22, dan TRUE!</t>
        </is>
      </c>
    </row>
    <row r="136">
      <c r="A136" s="5" t="n">
        <v>132</v>
      </c>
      <c r="B136" s="8" t="inlineStr">
        <is>
          <t>EXPON.DIST</t>
        </is>
      </c>
      <c r="C136" s="6" t="inlineStr">
        <is>
          <t>Soal Tes #2</t>
        </is>
      </c>
      <c r="D136" s="31" t="inlineStr">
        <is>
          <t>EXPON.DIST!E30</t>
        </is>
      </c>
      <c r="E136" s="22" t="inlineStr">
        <is>
          <t>'=EXPON.DIST(C29, C30, TRUE)</t>
        </is>
      </c>
      <c r="F136" s="32">
        <f>EXPON.DIST('EXPON.DIST'!C29, 'EXPON.DIST'!C30, TRUE)</f>
        <v/>
      </c>
      <c r="G136" s="19" t="inlineStr">
        <is>
          <t>Hitung nilai distribusi kumulatif (TRUE) menggunakan fungsi EXPON.DIST dengan argumen C29, C30, dan TRUE!</t>
        </is>
      </c>
    </row>
    <row r="137">
      <c r="A137" s="5" t="n">
        <v>133</v>
      </c>
      <c r="B137" s="8" t="inlineStr">
        <is>
          <t>EXPON.DIST</t>
        </is>
      </c>
      <c r="C137" s="6" t="inlineStr">
        <is>
          <t>Soal Tes #3</t>
        </is>
      </c>
      <c r="D137" s="31" t="inlineStr">
        <is>
          <t>EXPON.DIST!E38</t>
        </is>
      </c>
      <c r="E137" s="22" t="inlineStr">
        <is>
          <t>'=EXPON.DIST(C37, C38, TRUE)</t>
        </is>
      </c>
      <c r="F137" s="32">
        <f>EXPON.DIST('EXPON.DIST'!C37, 'EXPON.DIST'!C38, TRUE)</f>
        <v/>
      </c>
      <c r="G137" s="19" t="inlineStr">
        <is>
          <t>Hitung nilai distribusi kumulatif (TRUE) menggunakan fungsi EXPON.DIST dengan argumen C37, C38, dan TRUE!</t>
        </is>
      </c>
    </row>
    <row r="138">
      <c r="A138" s="5" t="n">
        <v>134</v>
      </c>
      <c r="B138" s="8" t="inlineStr">
        <is>
          <t>EXPON.DIST</t>
        </is>
      </c>
      <c r="C138" s="6" t="inlineStr">
        <is>
          <t>Soal Tes #4</t>
        </is>
      </c>
      <c r="D138" s="31" t="inlineStr">
        <is>
          <t>EXPON.DIST!E46</t>
        </is>
      </c>
      <c r="E138" s="22" t="inlineStr">
        <is>
          <t>'=EXPON.DIST(C45, C46, TRUE)</t>
        </is>
      </c>
      <c r="F138" s="32">
        <f>EXPON.DIST('EXPON.DIST'!C45, 'EXPON.DIST'!C46, TRUE)</f>
        <v/>
      </c>
      <c r="G138" s="19" t="inlineStr">
        <is>
          <t>Hitung nilai distribusi kumulatif (TRUE) menggunakan fungsi EXPON.DIST dengan argumen C45, C46, dan TRUE!</t>
        </is>
      </c>
    </row>
    <row r="139">
      <c r="A139" s="5" t="n">
        <v>135</v>
      </c>
      <c r="B139" s="8" t="inlineStr">
        <is>
          <t>EXPON.DIST</t>
        </is>
      </c>
      <c r="C139" s="6" t="inlineStr">
        <is>
          <t>Soal Tes #5</t>
        </is>
      </c>
      <c r="D139" s="31" t="inlineStr">
        <is>
          <t>EXPON.DIST!E54</t>
        </is>
      </c>
      <c r="E139" s="22" t="inlineStr">
        <is>
          <t>'=EXPON.DIST(C53, C54, TRUE)</t>
        </is>
      </c>
      <c r="F139" s="32">
        <f>EXPON.DIST('EXPON.DIST'!C53, 'EXPON.DIST'!C54, TRUE)</f>
        <v/>
      </c>
      <c r="G139" s="19" t="inlineStr">
        <is>
          <t>Hitung nilai distribusi kumulatif (TRUE) menggunakan fungsi EXPON.DIST dengan argumen C53, C54, dan TRUE!</t>
        </is>
      </c>
    </row>
    <row r="140">
      <c r="A140" s="5" t="n">
        <v>136</v>
      </c>
      <c r="B140" s="8" t="inlineStr">
        <is>
          <t>F.DIST</t>
        </is>
      </c>
      <c r="C140" s="6" t="inlineStr">
        <is>
          <t>Soal Tes #1</t>
        </is>
      </c>
      <c r="D140" s="31" t="inlineStr">
        <is>
          <t>F.DIST!E22</t>
        </is>
      </c>
      <c r="E140" s="22" t="inlineStr">
        <is>
          <t>'=F.DIST(C21, C22, C23, TRUE)</t>
        </is>
      </c>
      <c r="F140" s="32">
        <f>F.DIST('F.DIST'!C21, 'F.DIST'!C22, 'F.DIST'!C23, TRUE)</f>
        <v/>
      </c>
      <c r="G140" s="19" t="inlineStr">
        <is>
          <t>Hitung distribusi F kumulatif menggunakan fungsi F.DIST dengan argumen C21, C22, C23, dan TRUE!</t>
        </is>
      </c>
    </row>
    <row r="141">
      <c r="A141" s="5" t="n">
        <v>137</v>
      </c>
      <c r="B141" s="8" t="inlineStr">
        <is>
          <t>F.DIST</t>
        </is>
      </c>
      <c r="C141" s="6" t="inlineStr">
        <is>
          <t>Soal Tes #2</t>
        </is>
      </c>
      <c r="D141" s="31" t="inlineStr">
        <is>
          <t>F.DIST!E30</t>
        </is>
      </c>
      <c r="E141" s="22" t="inlineStr">
        <is>
          <t>'=F.DIST(C29, C30, C31, TRUE)</t>
        </is>
      </c>
      <c r="F141" s="32">
        <f>F.DIST('F.DIST'!C29, 'F.DIST'!C30, 'F.DIST'!C31, TRUE)</f>
        <v/>
      </c>
      <c r="G141" s="19" t="inlineStr">
        <is>
          <t>Hitung distribusi F kumulatif menggunakan fungsi F.DIST dengan argumen C29, C30, C31, dan TRUE!</t>
        </is>
      </c>
    </row>
    <row r="142">
      <c r="A142" s="5" t="n">
        <v>138</v>
      </c>
      <c r="B142" s="8" t="inlineStr">
        <is>
          <t>F.DIST</t>
        </is>
      </c>
      <c r="C142" s="6" t="inlineStr">
        <is>
          <t>Soal Tes #3</t>
        </is>
      </c>
      <c r="D142" s="31" t="inlineStr">
        <is>
          <t>F.DIST!E38</t>
        </is>
      </c>
      <c r="E142" s="22" t="inlineStr">
        <is>
          <t>'=F.DIST(C37, C38, C39, TRUE)</t>
        </is>
      </c>
      <c r="F142" s="32">
        <f>F.DIST('F.DIST'!C37, 'F.DIST'!C38, 'F.DIST'!C39, TRUE)</f>
        <v/>
      </c>
      <c r="G142" s="19" t="inlineStr">
        <is>
          <t>Hitung distribusi F kumulatif menggunakan fungsi F.DIST dengan argumen C37, C38, C39, dan TRUE!</t>
        </is>
      </c>
    </row>
    <row r="143">
      <c r="A143" s="5" t="n">
        <v>139</v>
      </c>
      <c r="B143" s="8" t="inlineStr">
        <is>
          <t>F.DIST</t>
        </is>
      </c>
      <c r="C143" s="6" t="inlineStr">
        <is>
          <t>Soal Tes #4</t>
        </is>
      </c>
      <c r="D143" s="31" t="inlineStr">
        <is>
          <t>F.DIST!E46</t>
        </is>
      </c>
      <c r="E143" s="22" t="inlineStr">
        <is>
          <t>'=F.DIST(C45, C46, C47, TRUE)</t>
        </is>
      </c>
      <c r="F143" s="32">
        <f>F.DIST('F.DIST'!C45, 'F.DIST'!C46, 'F.DIST'!C47, TRUE)</f>
        <v/>
      </c>
      <c r="G143" s="19" t="inlineStr">
        <is>
          <t>Hitung distribusi F kumulatif menggunakan fungsi F.DIST dengan argumen C45, C46, C47, dan TRUE!</t>
        </is>
      </c>
    </row>
    <row r="144">
      <c r="A144" s="5" t="n">
        <v>140</v>
      </c>
      <c r="B144" s="8" t="inlineStr">
        <is>
          <t>F.DIST</t>
        </is>
      </c>
      <c r="C144" s="6" t="inlineStr">
        <is>
          <t>Soal Tes #5</t>
        </is>
      </c>
      <c r="D144" s="31" t="inlineStr">
        <is>
          <t>F.DIST!E54</t>
        </is>
      </c>
      <c r="E144" s="22" t="inlineStr">
        <is>
          <t>'=F.DIST(C53, C54, C55, TRUE)</t>
        </is>
      </c>
      <c r="F144" s="32">
        <f>F.DIST('F.DIST'!C53, 'F.DIST'!C54, 'F.DIST'!C55, TRUE)</f>
        <v/>
      </c>
      <c r="G144" s="19" t="inlineStr">
        <is>
          <t>Hitung distribusi F kumulatif menggunakan fungsi F.DIST dengan argumen C53, C54, C55, dan TRUE!</t>
        </is>
      </c>
    </row>
    <row r="145">
      <c r="A145" s="5" t="n">
        <v>141</v>
      </c>
      <c r="B145" s="8" t="inlineStr">
        <is>
          <t>F.DIST.RT</t>
        </is>
      </c>
      <c r="C145" s="6" t="inlineStr">
        <is>
          <t>Soal Tes #1</t>
        </is>
      </c>
      <c r="D145" s="31" t="inlineStr">
        <is>
          <t>F.DIST.RT!E22</t>
        </is>
      </c>
      <c r="E145" s="22" t="inlineStr">
        <is>
          <t>'=F.DIST.RT(C21, C22, C23)</t>
        </is>
      </c>
      <c r="F145" s="32">
        <f>F.DIST.RT('F.DIST.RT'!C21, 'F.DIST.RT'!C22, 'F.DIST.RT'!C23)</f>
        <v/>
      </c>
      <c r="G145" s="19" t="inlineStr">
        <is>
          <t>Hitung probabilitas distribusi F ekor kanan menggunakan fungsi F.DIST.RT dengan argumen C21, C22, dan C23!</t>
        </is>
      </c>
    </row>
    <row r="146">
      <c r="A146" s="5" t="n">
        <v>142</v>
      </c>
      <c r="B146" s="8" t="inlineStr">
        <is>
          <t>F.DIST.RT</t>
        </is>
      </c>
      <c r="C146" s="6" t="inlineStr">
        <is>
          <t>Soal Tes #2</t>
        </is>
      </c>
      <c r="D146" s="31" t="inlineStr">
        <is>
          <t>F.DIST.RT!E30</t>
        </is>
      </c>
      <c r="E146" s="22" t="inlineStr">
        <is>
          <t>'=F.DIST.RT(C29, C30, C31)</t>
        </is>
      </c>
      <c r="F146" s="32">
        <f>F.DIST.RT('F.DIST.RT'!C29, 'F.DIST.RT'!C30, 'F.DIST.RT'!C31)</f>
        <v/>
      </c>
      <c r="G146" s="19" t="inlineStr">
        <is>
          <t>Hitung probabilitas distribusi F ekor kanan menggunakan fungsi F.DIST.RT dengan argumen C29, C30, dan C31!</t>
        </is>
      </c>
    </row>
    <row r="147">
      <c r="A147" s="5" t="n">
        <v>143</v>
      </c>
      <c r="B147" s="8" t="inlineStr">
        <is>
          <t>F.DIST.RT</t>
        </is>
      </c>
      <c r="C147" s="6" t="inlineStr">
        <is>
          <t>Soal Tes #3</t>
        </is>
      </c>
      <c r="D147" s="31" t="inlineStr">
        <is>
          <t>F.DIST.RT!E38</t>
        </is>
      </c>
      <c r="E147" s="22" t="inlineStr">
        <is>
          <t>'=F.DIST.RT(C37, C38, C39)</t>
        </is>
      </c>
      <c r="F147" s="32">
        <f>F.DIST.RT('F.DIST.RT'!C37, 'F.DIST.RT'!C38, 'F.DIST.RT'!C39)</f>
        <v/>
      </c>
      <c r="G147" s="19" t="inlineStr">
        <is>
          <t>Hitung probabilitas distribusi F ekor kanan menggunakan fungsi F.DIST.RT dengan argumen C37, C38, dan C39!</t>
        </is>
      </c>
    </row>
    <row r="148">
      <c r="A148" s="5" t="n">
        <v>144</v>
      </c>
      <c r="B148" s="8" t="inlineStr">
        <is>
          <t>F.DIST.RT</t>
        </is>
      </c>
      <c r="C148" s="6" t="inlineStr">
        <is>
          <t>Soal Tes #4</t>
        </is>
      </c>
      <c r="D148" s="31" t="inlineStr">
        <is>
          <t>F.DIST.RT!E46</t>
        </is>
      </c>
      <c r="E148" s="22" t="inlineStr">
        <is>
          <t>'=F.DIST.RT(C45, C46, C47)</t>
        </is>
      </c>
      <c r="F148" s="32">
        <f>F.DIST.RT('F.DIST.RT'!C45, 'F.DIST.RT'!C46, 'F.DIST.RT'!C47)</f>
        <v/>
      </c>
      <c r="G148" s="19" t="inlineStr">
        <is>
          <t>Hitung probabilitas distribusi F ekor kanan menggunakan fungsi F.DIST.RT dengan argumen C45, C46, dan C47!</t>
        </is>
      </c>
    </row>
    <row r="149">
      <c r="A149" s="5" t="n">
        <v>145</v>
      </c>
      <c r="B149" s="8" t="inlineStr">
        <is>
          <t>F.DIST.RT</t>
        </is>
      </c>
      <c r="C149" s="6" t="inlineStr">
        <is>
          <t>Soal Tes #5</t>
        </is>
      </c>
      <c r="D149" s="31" t="inlineStr">
        <is>
          <t>F.DIST.RT!E54</t>
        </is>
      </c>
      <c r="E149" s="22" t="inlineStr">
        <is>
          <t>'=F.DIST.RT(C53, C54, C55)</t>
        </is>
      </c>
      <c r="F149" s="32">
        <f>F.DIST.RT('F.DIST.RT'!C53, 'F.DIST.RT'!C54, 'F.DIST.RT'!C55)</f>
        <v/>
      </c>
      <c r="G149" s="19" t="inlineStr">
        <is>
          <t>Hitung probabilitas distribusi F ekor kanan menggunakan fungsi F.DIST.RT dengan argumen C53, C54, dan C55!</t>
        </is>
      </c>
    </row>
    <row r="150">
      <c r="A150" s="5" t="n">
        <v>146</v>
      </c>
      <c r="B150" s="8" t="inlineStr">
        <is>
          <t>F.INV</t>
        </is>
      </c>
      <c r="C150" s="6" t="inlineStr">
        <is>
          <t>Soal Tes #1</t>
        </is>
      </c>
      <c r="D150" s="31" t="inlineStr">
        <is>
          <t>F.INV!E22</t>
        </is>
      </c>
      <c r="E150" s="22" t="inlineStr">
        <is>
          <t>'=F.INV(C21, C22, C23)</t>
        </is>
      </c>
      <c r="F150" s="32">
        <f>F.INV('F.INV'!C21, 'F.INV'!C22, 'F.INV'!C23)</f>
        <v/>
      </c>
      <c r="G150" s="19" t="inlineStr">
        <is>
          <t>Hitung nilai invers distribusi F menggunakan fungsi F.INV dengan argumen berurutan C21, C22, dan C23!</t>
        </is>
      </c>
    </row>
    <row r="151">
      <c r="A151" s="5" t="n">
        <v>147</v>
      </c>
      <c r="B151" s="8" t="inlineStr">
        <is>
          <t>F.INV</t>
        </is>
      </c>
      <c r="C151" s="6" t="inlineStr">
        <is>
          <t>Soal Tes #2</t>
        </is>
      </c>
      <c r="D151" s="31" t="inlineStr">
        <is>
          <t>F.INV!E30</t>
        </is>
      </c>
      <c r="E151" s="22" t="inlineStr">
        <is>
          <t>'=F.INV(C29, C30, C31)</t>
        </is>
      </c>
      <c r="F151" s="32">
        <f>F.INV('F.INV'!C29, 'F.INV'!C30, 'F.INV'!C31)</f>
        <v/>
      </c>
      <c r="G151" s="19" t="inlineStr">
        <is>
          <t>Hitung nilai invers distribusi F menggunakan fungsi F.INV dengan argumen berurutan C29, C30, dan C31!</t>
        </is>
      </c>
    </row>
    <row r="152">
      <c r="A152" s="5" t="n">
        <v>148</v>
      </c>
      <c r="B152" s="8" t="inlineStr">
        <is>
          <t>F.INV</t>
        </is>
      </c>
      <c r="C152" s="6" t="inlineStr">
        <is>
          <t>Soal Tes #3</t>
        </is>
      </c>
      <c r="D152" s="31" t="inlineStr">
        <is>
          <t>F.INV!E38</t>
        </is>
      </c>
      <c r="E152" s="22" t="inlineStr">
        <is>
          <t>'=F.INV(C37, C38, C39)</t>
        </is>
      </c>
      <c r="F152" s="32">
        <f>F.INV('F.INV'!C37, 'F.INV'!C38, 'F.INV'!C39)</f>
        <v/>
      </c>
      <c r="G152" s="19" t="inlineStr">
        <is>
          <t>Hitung nilai invers distribusi F menggunakan fungsi F.INV dengan argumen berurutan C37, C38, dan C39!</t>
        </is>
      </c>
    </row>
    <row r="153">
      <c r="A153" s="5" t="n">
        <v>149</v>
      </c>
      <c r="B153" s="8" t="inlineStr">
        <is>
          <t>F.INV</t>
        </is>
      </c>
      <c r="C153" s="6" t="inlineStr">
        <is>
          <t>Soal Tes #4</t>
        </is>
      </c>
      <c r="D153" s="31" t="inlineStr">
        <is>
          <t>F.INV!E46</t>
        </is>
      </c>
      <c r="E153" s="22" t="inlineStr">
        <is>
          <t>'=F.INV(C45, C46, C47)</t>
        </is>
      </c>
      <c r="F153" s="32">
        <f>F.INV('F.INV'!C45, 'F.INV'!C46, 'F.INV'!C47)</f>
        <v/>
      </c>
      <c r="G153" s="19" t="inlineStr">
        <is>
          <t>Hitung nilai invers distribusi F menggunakan fungsi F.INV dengan argumen berurutan C45, C46, dan C47!</t>
        </is>
      </c>
    </row>
    <row r="154">
      <c r="A154" s="5" t="n">
        <v>150</v>
      </c>
      <c r="B154" s="8" t="inlineStr">
        <is>
          <t>F.INV</t>
        </is>
      </c>
      <c r="C154" s="6" t="inlineStr">
        <is>
          <t>Soal Tes #5</t>
        </is>
      </c>
      <c r="D154" s="31" t="inlineStr">
        <is>
          <t>F.INV!E54</t>
        </is>
      </c>
      <c r="E154" s="22" t="inlineStr">
        <is>
          <t>'=F.INV(C53, C54, C55)</t>
        </is>
      </c>
      <c r="F154" s="32">
        <f>F.INV('F.INV'!C53, 'F.INV'!C54, 'F.INV'!C55)</f>
        <v/>
      </c>
      <c r="G154" s="19" t="inlineStr">
        <is>
          <t>Hitung nilai invers distribusi F menggunakan fungsi F.INV dengan argumen berurutan C53, C54, dan C55!</t>
        </is>
      </c>
    </row>
    <row r="155">
      <c r="A155" s="5" t="n">
        <v>151</v>
      </c>
      <c r="B155" s="8" t="inlineStr">
        <is>
          <t>F.INV.RT</t>
        </is>
      </c>
      <c r="C155" s="6" t="inlineStr">
        <is>
          <t>Soal Tes #1</t>
        </is>
      </c>
      <c r="D155" s="31" t="inlineStr">
        <is>
          <t>F.INV.RT!E22</t>
        </is>
      </c>
      <c r="E155" s="22" t="inlineStr">
        <is>
          <t>'=F.INV.RT(C21, C22, C23)</t>
        </is>
      </c>
      <c r="F155" s="32">
        <f>F.INV.RT('F.INV.RT'!C21, 'F.INV.RT'!C22, 'F.INV.RT'!C23)</f>
        <v/>
      </c>
      <c r="G155" s="19" t="inlineStr">
        <is>
          <t>Hitung nilai invers distribusi F menggunakan fungsi F.INV.RT dengan argumen berurutan C21, C22, dan C23!</t>
        </is>
      </c>
    </row>
    <row r="156">
      <c r="A156" s="5" t="n">
        <v>152</v>
      </c>
      <c r="B156" s="8" t="inlineStr">
        <is>
          <t>F.INV.RT</t>
        </is>
      </c>
      <c r="C156" s="6" t="inlineStr">
        <is>
          <t>Soal Tes #2</t>
        </is>
      </c>
      <c r="D156" s="31" t="inlineStr">
        <is>
          <t>F.INV.RT!E30</t>
        </is>
      </c>
      <c r="E156" s="22" t="inlineStr">
        <is>
          <t>'=F.INV.RT(C29, C30, C31)</t>
        </is>
      </c>
      <c r="F156" s="32">
        <f>F.INV.RT('F.INV.RT'!C29, 'F.INV.RT'!C30, 'F.INV.RT'!C31)</f>
        <v/>
      </c>
      <c r="G156" s="19" t="inlineStr">
        <is>
          <t>Hitung nilai invers distribusi F menggunakan fungsi F.INV.RT dengan argumen berurutan C29, C30, dan C31!</t>
        </is>
      </c>
    </row>
    <row r="157">
      <c r="A157" s="5" t="n">
        <v>153</v>
      </c>
      <c r="B157" s="8" t="inlineStr">
        <is>
          <t>F.INV.RT</t>
        </is>
      </c>
      <c r="C157" s="6" t="inlineStr">
        <is>
          <t>Soal Tes #3</t>
        </is>
      </c>
      <c r="D157" s="31" t="inlineStr">
        <is>
          <t>F.INV.RT!E38</t>
        </is>
      </c>
      <c r="E157" s="22" t="inlineStr">
        <is>
          <t>'=F.INV.RT(C37, C38, C39)</t>
        </is>
      </c>
      <c r="F157" s="32">
        <f>F.INV.RT('F.INV.RT'!C37, 'F.INV.RT'!C38, 'F.INV.RT'!C39)</f>
        <v/>
      </c>
      <c r="G157" s="19" t="inlineStr">
        <is>
          <t>Hitung nilai invers distribusi F menggunakan fungsi F.INV.RT dengan argumen berurutan C37, C38, dan C39!</t>
        </is>
      </c>
    </row>
    <row r="158">
      <c r="A158" s="5" t="n">
        <v>154</v>
      </c>
      <c r="B158" s="8" t="inlineStr">
        <is>
          <t>F.INV.RT</t>
        </is>
      </c>
      <c r="C158" s="6" t="inlineStr">
        <is>
          <t>Soal Tes #4</t>
        </is>
      </c>
      <c r="D158" s="31" t="inlineStr">
        <is>
          <t>F.INV.RT!E46</t>
        </is>
      </c>
      <c r="E158" s="22" t="inlineStr">
        <is>
          <t>'=F.INV.RT(C45, C46, C47)</t>
        </is>
      </c>
      <c r="F158" s="32">
        <f>F.INV.RT('F.INV.RT'!C45, 'F.INV.RT'!C46, 'F.INV.RT'!C47)</f>
        <v/>
      </c>
      <c r="G158" s="19" t="inlineStr">
        <is>
          <t>Hitung nilai invers distribusi F menggunakan fungsi F.INV.RT dengan argumen berurutan C45, C46, dan C47!</t>
        </is>
      </c>
    </row>
    <row r="159">
      <c r="A159" s="5" t="n">
        <v>155</v>
      </c>
      <c r="B159" s="8" t="inlineStr">
        <is>
          <t>F.INV.RT</t>
        </is>
      </c>
      <c r="C159" s="6" t="inlineStr">
        <is>
          <t>Soal Tes #5</t>
        </is>
      </c>
      <c r="D159" s="31" t="inlineStr">
        <is>
          <t>F.INV.RT!E54</t>
        </is>
      </c>
      <c r="E159" s="22" t="inlineStr">
        <is>
          <t>'=F.INV.RT(C53, C54, C55)</t>
        </is>
      </c>
      <c r="F159" s="32">
        <f>F.INV.RT('F.INV.RT'!C53, 'F.INV.RT'!C54, 'F.INV.RT'!C55)</f>
        <v/>
      </c>
      <c r="G159" s="19" t="inlineStr">
        <is>
          <t>Hitung nilai invers distribusi F menggunakan fungsi F.INV.RT dengan argumen berurutan C53, C54, dan C55!</t>
        </is>
      </c>
    </row>
    <row r="160">
      <c r="A160" s="5" t="n">
        <v>156</v>
      </c>
      <c r="B160" s="8" t="inlineStr">
        <is>
          <t>FTEST</t>
        </is>
      </c>
      <c r="C160" s="6" t="inlineStr">
        <is>
          <t>Soal Tes #1</t>
        </is>
      </c>
      <c r="D160" s="31" t="inlineStr">
        <is>
          <t>FTEST!E22</t>
        </is>
      </c>
      <c r="E160" s="22" t="inlineStr">
        <is>
          <t>'=FTEST(B21:B24, C21:C24)</t>
        </is>
      </c>
      <c r="F160" s="32">
        <f>FTEST('FTEST'!B21:B24, 'FTEST'!C21:C24)</f>
        <v/>
      </c>
      <c r="G160" s="19" t="inlineStr">
        <is>
          <t>Analisis hubungan antara data pertama (B21:B24) dan data kedua (C21:C24) menggunakan fungsi FTEST!</t>
        </is>
      </c>
    </row>
    <row r="161">
      <c r="A161" s="5" t="n">
        <v>157</v>
      </c>
      <c r="B161" s="8" t="inlineStr">
        <is>
          <t>FTEST</t>
        </is>
      </c>
      <c r="C161" s="6" t="inlineStr">
        <is>
          <t>Soal Tes #2</t>
        </is>
      </c>
      <c r="D161" s="31" t="inlineStr">
        <is>
          <t>FTEST!E30</t>
        </is>
      </c>
      <c r="E161" s="22" t="inlineStr">
        <is>
          <t>'=FTEST(B29:B32, C29:C32)</t>
        </is>
      </c>
      <c r="F161" s="32">
        <f>FTEST('FTEST'!B29:B32, 'FTEST'!C29:C32)</f>
        <v/>
      </c>
      <c r="G161" s="19" t="inlineStr">
        <is>
          <t>Analisis hubungan antara data pertama (B29:B32) dan data kedua (C29:C32) menggunakan fungsi FTEST!</t>
        </is>
      </c>
    </row>
    <row r="162">
      <c r="A162" s="5" t="n">
        <v>158</v>
      </c>
      <c r="B162" s="8" t="inlineStr">
        <is>
          <t>FTEST</t>
        </is>
      </c>
      <c r="C162" s="6" t="inlineStr">
        <is>
          <t>Soal Tes #3</t>
        </is>
      </c>
      <c r="D162" s="31" t="inlineStr">
        <is>
          <t>FTEST!E38</t>
        </is>
      </c>
      <c r="E162" s="22" t="inlineStr">
        <is>
          <t>'=FTEST(B37:B40, C37:C40)</t>
        </is>
      </c>
      <c r="F162" s="32">
        <f>FTEST('FTEST'!B37:B40, 'FTEST'!C37:C40)</f>
        <v/>
      </c>
      <c r="G162" s="19" t="inlineStr">
        <is>
          <t>Analisis hubungan antara data pertama (B37:B40) dan data kedua (C37:C40) menggunakan fungsi FTEST!</t>
        </is>
      </c>
    </row>
    <row r="163">
      <c r="A163" s="5" t="n">
        <v>159</v>
      </c>
      <c r="B163" s="8" t="inlineStr">
        <is>
          <t>FTEST</t>
        </is>
      </c>
      <c r="C163" s="6" t="inlineStr">
        <is>
          <t>Soal Tes #4</t>
        </is>
      </c>
      <c r="D163" s="31" t="inlineStr">
        <is>
          <t>FTEST!E46</t>
        </is>
      </c>
      <c r="E163" s="22" t="inlineStr">
        <is>
          <t>'=FTEST(B45:B48, C45:C48)</t>
        </is>
      </c>
      <c r="F163" s="32">
        <f>FTEST('FTEST'!B45:B48, 'FTEST'!C45:C48)</f>
        <v/>
      </c>
      <c r="G163" s="19" t="inlineStr">
        <is>
          <t>Analisis hubungan antara data pertama (B45:B48) dan data kedua (C45:C48) menggunakan fungsi FTEST!</t>
        </is>
      </c>
    </row>
    <row r="164">
      <c r="A164" s="5" t="n">
        <v>160</v>
      </c>
      <c r="B164" s="8" t="inlineStr">
        <is>
          <t>FTEST</t>
        </is>
      </c>
      <c r="C164" s="6" t="inlineStr">
        <is>
          <t>Soal Tes #5</t>
        </is>
      </c>
      <c r="D164" s="31" t="inlineStr">
        <is>
          <t>FTEST!E54</t>
        </is>
      </c>
      <c r="E164" s="22" t="inlineStr">
        <is>
          <t>'=FTEST(B53:B56, C53:C56)</t>
        </is>
      </c>
      <c r="F164" s="32">
        <f>FTEST('FTEST'!B53:B56, 'FTEST'!C53:C56)</f>
        <v/>
      </c>
      <c r="G164" s="19" t="inlineStr">
        <is>
          <t>Analisis hubungan antara data pertama (B53:B56) dan data kedua (C53:C56) menggunakan fungsi FTEST!</t>
        </is>
      </c>
    </row>
    <row r="165">
      <c r="A165" s="5" t="n">
        <v>161</v>
      </c>
      <c r="B165" s="8" t="inlineStr">
        <is>
          <t>FISHER</t>
        </is>
      </c>
      <c r="C165" s="6" t="inlineStr">
        <is>
          <t>Soal Tes #1</t>
        </is>
      </c>
      <c r="D165" s="31" t="inlineStr">
        <is>
          <t>FISHER!E22</t>
        </is>
      </c>
      <c r="E165" s="22" t="inlineStr">
        <is>
          <t>'=FISHER(C21)</t>
        </is>
      </c>
      <c r="F165" s="32">
        <f>FISHER('FISHER'!C21)</f>
        <v/>
      </c>
      <c r="G165" s="19" t="inlineStr">
        <is>
          <t>Hitung hasil transformasi FISHER untuk nilai koefisien pada sel C21 (0.25)!</t>
        </is>
      </c>
    </row>
    <row r="166">
      <c r="A166" s="5" t="n">
        <v>162</v>
      </c>
      <c r="B166" s="8" t="inlineStr">
        <is>
          <t>FISHER</t>
        </is>
      </c>
      <c r="C166" s="6" t="inlineStr">
        <is>
          <t>Soal Tes #2</t>
        </is>
      </c>
      <c r="D166" s="31" t="inlineStr">
        <is>
          <t>FISHER!E30</t>
        </is>
      </c>
      <c r="E166" s="22" t="inlineStr">
        <is>
          <t>'=FISHER(C29)</t>
        </is>
      </c>
      <c r="F166" s="32">
        <f>FISHER('FISHER'!C29)</f>
        <v/>
      </c>
      <c r="G166" s="19" t="inlineStr">
        <is>
          <t>Hitung hasil transformasi FISHER untuk nilai koefisien pada sel C29 (0.35)!</t>
        </is>
      </c>
    </row>
    <row r="167">
      <c r="A167" s="5" t="n">
        <v>163</v>
      </c>
      <c r="B167" s="8" t="inlineStr">
        <is>
          <t>FISHER</t>
        </is>
      </c>
      <c r="C167" s="6" t="inlineStr">
        <is>
          <t>Soal Tes #3</t>
        </is>
      </c>
      <c r="D167" s="31" t="inlineStr">
        <is>
          <t>FISHER!E38</t>
        </is>
      </c>
      <c r="E167" s="22" t="inlineStr">
        <is>
          <t>'=FISHER(C37)</t>
        </is>
      </c>
      <c r="F167" s="32">
        <f>FISHER('FISHER'!C37)</f>
        <v/>
      </c>
      <c r="G167" s="19" t="inlineStr">
        <is>
          <t>Hitung hasil transformasi FISHER untuk nilai koefisien pada sel C37 (0.45)!</t>
        </is>
      </c>
    </row>
    <row r="168">
      <c r="A168" s="5" t="n">
        <v>164</v>
      </c>
      <c r="B168" s="8" t="inlineStr">
        <is>
          <t>FISHER</t>
        </is>
      </c>
      <c r="C168" s="6" t="inlineStr">
        <is>
          <t>Soal Tes #4</t>
        </is>
      </c>
      <c r="D168" s="31" t="inlineStr">
        <is>
          <t>FISHER!E46</t>
        </is>
      </c>
      <c r="E168" s="22" t="inlineStr">
        <is>
          <t>'=FISHER(C45)</t>
        </is>
      </c>
      <c r="F168" s="32">
        <f>FISHER('FISHER'!C45)</f>
        <v/>
      </c>
      <c r="G168" s="19" t="inlineStr">
        <is>
          <t>Hitung hasil transformasi FISHER untuk nilai koefisien pada sel C45 (0.55)!</t>
        </is>
      </c>
    </row>
    <row r="169">
      <c r="A169" s="5" t="n">
        <v>165</v>
      </c>
      <c r="B169" s="8" t="inlineStr">
        <is>
          <t>FISHER</t>
        </is>
      </c>
      <c r="C169" s="6" t="inlineStr">
        <is>
          <t>Soal Tes #5</t>
        </is>
      </c>
      <c r="D169" s="31" t="inlineStr">
        <is>
          <t>FISHER!E54</t>
        </is>
      </c>
      <c r="E169" s="22" t="inlineStr">
        <is>
          <t>'=FISHER(C53)</t>
        </is>
      </c>
      <c r="F169" s="32">
        <f>FISHER('FISHER'!C53)</f>
        <v/>
      </c>
      <c r="G169" s="19" t="inlineStr">
        <is>
          <t>Hitung hasil transformasi FISHER untuk nilai koefisien pada sel C53 (0.65)!</t>
        </is>
      </c>
    </row>
    <row r="170">
      <c r="A170" s="5" t="n">
        <v>166</v>
      </c>
      <c r="B170" s="8" t="inlineStr">
        <is>
          <t>FISHER.INV</t>
        </is>
      </c>
      <c r="C170" s="6" t="inlineStr">
        <is>
          <t>Soal Tes #1</t>
        </is>
      </c>
      <c r="D170" s="31" t="inlineStr">
        <is>
          <t>FISHER.INV!E22</t>
        </is>
      </c>
      <c r="E170" s="22" t="inlineStr">
        <is>
          <t>'=FISHERINV(C21)</t>
        </is>
      </c>
      <c r="F170" s="32">
        <f>FISHERINV('FISHER.INV'!C21)</f>
        <v/>
      </c>
      <c r="G170" s="19" t="inlineStr">
        <is>
          <t>Hitung hasil transformasi FISHERINV untuk nilai koefisien pada sel C21 (0.25)!</t>
        </is>
      </c>
    </row>
    <row r="171">
      <c r="A171" s="5" t="n">
        <v>167</v>
      </c>
      <c r="B171" s="8" t="inlineStr">
        <is>
          <t>FISHER.INV</t>
        </is>
      </c>
      <c r="C171" s="6" t="inlineStr">
        <is>
          <t>Soal Tes #2</t>
        </is>
      </c>
      <c r="D171" s="31" t="inlineStr">
        <is>
          <t>FISHER.INV!E30</t>
        </is>
      </c>
      <c r="E171" s="22" t="inlineStr">
        <is>
          <t>'=FISHERINV(C29)</t>
        </is>
      </c>
      <c r="F171" s="32">
        <f>FISHERINV('FISHER.INV'!C29)</f>
        <v/>
      </c>
      <c r="G171" s="19" t="inlineStr">
        <is>
          <t>Hitung hasil transformasi FISHERINV untuk nilai koefisien pada sel C29 (0.35)!</t>
        </is>
      </c>
    </row>
    <row r="172">
      <c r="A172" s="5" t="n">
        <v>168</v>
      </c>
      <c r="B172" s="8" t="inlineStr">
        <is>
          <t>FISHER.INV</t>
        </is>
      </c>
      <c r="C172" s="6" t="inlineStr">
        <is>
          <t>Soal Tes #3</t>
        </is>
      </c>
      <c r="D172" s="31" t="inlineStr">
        <is>
          <t>FISHER.INV!E38</t>
        </is>
      </c>
      <c r="E172" s="22" t="inlineStr">
        <is>
          <t>'=FISHERINV(C37)</t>
        </is>
      </c>
      <c r="F172" s="32">
        <f>FISHERINV('FISHER.INV'!C37)</f>
        <v/>
      </c>
      <c r="G172" s="19" t="inlineStr">
        <is>
          <t>Hitung hasil transformasi FISHERINV untuk nilai koefisien pada sel C37 (0.45)!</t>
        </is>
      </c>
    </row>
    <row r="173">
      <c r="A173" s="5" t="n">
        <v>169</v>
      </c>
      <c r="B173" s="8" t="inlineStr">
        <is>
          <t>FISHER.INV</t>
        </is>
      </c>
      <c r="C173" s="6" t="inlineStr">
        <is>
          <t>Soal Tes #4</t>
        </is>
      </c>
      <c r="D173" s="31" t="inlineStr">
        <is>
          <t>FISHER.INV!E46</t>
        </is>
      </c>
      <c r="E173" s="22" t="inlineStr">
        <is>
          <t>'=FISHERINV(C45)</t>
        </is>
      </c>
      <c r="F173" s="32">
        <f>FISHERINV('FISHER.INV'!C45)</f>
        <v/>
      </c>
      <c r="G173" s="19" t="inlineStr">
        <is>
          <t>Hitung hasil transformasi FISHERINV untuk nilai koefisien pada sel C45 (0.55)!</t>
        </is>
      </c>
    </row>
    <row r="174">
      <c r="A174" s="5" t="n">
        <v>170</v>
      </c>
      <c r="B174" s="8" t="inlineStr">
        <is>
          <t>FISHER.INV</t>
        </is>
      </c>
      <c r="C174" s="6" t="inlineStr">
        <is>
          <t>Soal Tes #5</t>
        </is>
      </c>
      <c r="D174" s="31" t="inlineStr">
        <is>
          <t>FISHER.INV!E54</t>
        </is>
      </c>
      <c r="E174" s="22" t="inlineStr">
        <is>
          <t>'=FISHERINV(C53)</t>
        </is>
      </c>
      <c r="F174" s="32">
        <f>FISHERINV('FISHER.INV'!C53)</f>
        <v/>
      </c>
      <c r="G174" s="19" t="inlineStr">
        <is>
          <t>Hitung hasil transformasi FISHERINV untuk nilai koefisien pada sel C53 (0.65)!</t>
        </is>
      </c>
    </row>
    <row r="175">
      <c r="A175" s="5" t="n">
        <v>171</v>
      </c>
      <c r="B175" s="8" t="inlineStr">
        <is>
          <t>FORECAST</t>
        </is>
      </c>
      <c r="C175" s="6" t="inlineStr">
        <is>
          <t>Soal Tes #1</t>
        </is>
      </c>
      <c r="D175" s="31" t="inlineStr">
        <is>
          <t>FORECAST!E22</t>
        </is>
      </c>
      <c r="E175" s="22" t="inlineStr">
        <is>
          <t>'=FORECAST(5, C21:C24, B21:B24)</t>
        </is>
      </c>
      <c r="F175" s="32">
        <f>FORECAST(5, 'FORECAST'!C21:C24, 'FORECAST'!B21:B24)</f>
        <v/>
      </c>
      <c r="G175" s="19" t="inlineStr">
        <is>
          <t>Ramal nilai pada target periode ke-5 berdasarkan data historis Y (C21:C24) dan periode X (B21:B24) menggunakan fungsi FORECAST!</t>
        </is>
      </c>
    </row>
    <row r="176">
      <c r="A176" s="5" t="n">
        <v>172</v>
      </c>
      <c r="B176" s="8" t="inlineStr">
        <is>
          <t>FORECAST</t>
        </is>
      </c>
      <c r="C176" s="6" t="inlineStr">
        <is>
          <t>Soal Tes #2</t>
        </is>
      </c>
      <c r="D176" s="31" t="inlineStr">
        <is>
          <t>FORECAST!E30</t>
        </is>
      </c>
      <c r="E176" s="22" t="inlineStr">
        <is>
          <t>'=FORECAST(5, C29:C32, B29:B32)</t>
        </is>
      </c>
      <c r="F176" s="32">
        <f>FORECAST(5, 'FORECAST'!C29:C32, 'FORECAST'!B29:B32)</f>
        <v/>
      </c>
      <c r="G176" s="19" t="inlineStr">
        <is>
          <t>Ramal nilai pada target periode ke-5 berdasarkan data historis Y (C29:C32) dan periode X (B29:B32) menggunakan fungsi FORECAST!</t>
        </is>
      </c>
    </row>
    <row r="177">
      <c r="A177" s="5" t="n">
        <v>173</v>
      </c>
      <c r="B177" s="8" t="inlineStr">
        <is>
          <t>FORECAST</t>
        </is>
      </c>
      <c r="C177" s="6" t="inlineStr">
        <is>
          <t>Soal Tes #3</t>
        </is>
      </c>
      <c r="D177" s="31" t="inlineStr">
        <is>
          <t>FORECAST!E38</t>
        </is>
      </c>
      <c r="E177" s="22" t="inlineStr">
        <is>
          <t>'=FORECAST(5, C37:C40, B37:B40)</t>
        </is>
      </c>
      <c r="F177" s="32">
        <f>FORECAST(5, 'FORECAST'!C37:C40, 'FORECAST'!B37:B40)</f>
        <v/>
      </c>
      <c r="G177" s="19" t="inlineStr">
        <is>
          <t>Ramal nilai pada target periode ke-5 berdasarkan data historis Y (C37:C40) dan periode X (B37:B40) menggunakan fungsi FORECAST!</t>
        </is>
      </c>
    </row>
    <row r="178">
      <c r="A178" s="5" t="n">
        <v>174</v>
      </c>
      <c r="B178" s="8" t="inlineStr">
        <is>
          <t>FORECAST</t>
        </is>
      </c>
      <c r="C178" s="6" t="inlineStr">
        <is>
          <t>Soal Tes #4</t>
        </is>
      </c>
      <c r="D178" s="31" t="inlineStr">
        <is>
          <t>FORECAST!E46</t>
        </is>
      </c>
      <c r="E178" s="22" t="inlineStr">
        <is>
          <t>'=FORECAST(5, C45:C48, B45:B48)</t>
        </is>
      </c>
      <c r="F178" s="32">
        <f>FORECAST(5, 'FORECAST'!C45:C48, 'FORECAST'!B45:B48)</f>
        <v/>
      </c>
      <c r="G178" s="19" t="inlineStr">
        <is>
          <t>Ramal nilai pada target periode ke-5 berdasarkan data historis Y (C45:C48) dan periode X (B45:B48) menggunakan fungsi FORECAST!</t>
        </is>
      </c>
    </row>
    <row r="179">
      <c r="A179" s="5" t="n">
        <v>175</v>
      </c>
      <c r="B179" s="8" t="inlineStr">
        <is>
          <t>FORECAST</t>
        </is>
      </c>
      <c r="C179" s="6" t="inlineStr">
        <is>
          <t>Soal Tes #5</t>
        </is>
      </c>
      <c r="D179" s="31" t="inlineStr">
        <is>
          <t>FORECAST!E54</t>
        </is>
      </c>
      <c r="E179" s="22" t="inlineStr">
        <is>
          <t>'=FORECAST(5, C53:C56, B53:B56)</t>
        </is>
      </c>
      <c r="F179" s="32">
        <f>FORECAST(5, 'FORECAST'!C53:C56, 'FORECAST'!B53:B56)</f>
        <v/>
      </c>
      <c r="G179" s="19" t="inlineStr">
        <is>
          <t>Ramal nilai pada target periode ke-5 berdasarkan data historis Y (C53:C56) dan periode X (B53:B56) menggunakan fungsi FORECAST!</t>
        </is>
      </c>
    </row>
    <row r="180">
      <c r="A180" s="5" t="n">
        <v>176</v>
      </c>
      <c r="B180" s="8" t="inlineStr">
        <is>
          <t>FREQUENCY</t>
        </is>
      </c>
      <c r="C180" s="6" t="inlineStr">
        <is>
          <t>Soal Tes #1</t>
        </is>
      </c>
      <c r="D180" s="31" t="inlineStr">
        <is>
          <t>FREQUENCY!E22</t>
        </is>
      </c>
      <c r="E180" s="22" t="inlineStr">
        <is>
          <t>'=FREQUENCY(B21:B24, C21)</t>
        </is>
      </c>
      <c r="F180" s="32">
        <f>FREQUENCY('FREQUENCY'!B21:B24, 'FREQUENCY'!C21)</f>
        <v/>
      </c>
      <c r="G180" s="19" t="inlineStr">
        <is>
          <t>Hitung frekuensi data pada rentang B21:B24 terhadap batas kelas di sel C21 menggunakan fungsi FREQUENCY!</t>
        </is>
      </c>
    </row>
    <row r="181">
      <c r="A181" s="5" t="n">
        <v>177</v>
      </c>
      <c r="B181" s="8" t="inlineStr">
        <is>
          <t>FREQUENCY</t>
        </is>
      </c>
      <c r="C181" s="6" t="inlineStr">
        <is>
          <t>Soal Tes #2</t>
        </is>
      </c>
      <c r="D181" s="31" t="inlineStr">
        <is>
          <t>FREQUENCY!E30</t>
        </is>
      </c>
      <c r="E181" s="22" t="inlineStr">
        <is>
          <t>'=FREQUENCY(B29:B32, C29)</t>
        </is>
      </c>
      <c r="F181" s="32">
        <f>FREQUENCY('FREQUENCY'!B29:B32, 'FREQUENCY'!C29)</f>
        <v/>
      </c>
      <c r="G181" s="19" t="inlineStr">
        <is>
          <t>Hitung frekuensi data pada rentang B29:B32 terhadap batas kelas di sel C29 menggunakan fungsi FREQUENCY!</t>
        </is>
      </c>
    </row>
    <row r="182">
      <c r="A182" s="5" t="n">
        <v>178</v>
      </c>
      <c r="B182" s="8" t="inlineStr">
        <is>
          <t>FREQUENCY</t>
        </is>
      </c>
      <c r="C182" s="6" t="inlineStr">
        <is>
          <t>Soal Tes #3</t>
        </is>
      </c>
      <c r="D182" s="31" t="inlineStr">
        <is>
          <t>FREQUENCY!E38</t>
        </is>
      </c>
      <c r="E182" s="22" t="inlineStr">
        <is>
          <t>'=FREQUENCY(B37:B40, C37)</t>
        </is>
      </c>
      <c r="F182" s="32">
        <f>FREQUENCY('FREQUENCY'!B37:B40, 'FREQUENCY'!C37)</f>
        <v/>
      </c>
      <c r="G182" s="19" t="inlineStr">
        <is>
          <t>Hitung frekuensi data pada rentang B37:B40 terhadap batas kelas di sel C37 menggunakan fungsi FREQUENCY!</t>
        </is>
      </c>
    </row>
    <row r="183">
      <c r="A183" s="5" t="n">
        <v>179</v>
      </c>
      <c r="B183" s="8" t="inlineStr">
        <is>
          <t>FREQUENCY</t>
        </is>
      </c>
      <c r="C183" s="6" t="inlineStr">
        <is>
          <t>Soal Tes #4</t>
        </is>
      </c>
      <c r="D183" s="31" t="inlineStr">
        <is>
          <t>FREQUENCY!E46</t>
        </is>
      </c>
      <c r="E183" s="22" t="inlineStr">
        <is>
          <t>'=FREQUENCY(B45:B48, C45)</t>
        </is>
      </c>
      <c r="F183" s="32">
        <f>FREQUENCY('FREQUENCY'!B45:B48, 'FREQUENCY'!C45)</f>
        <v/>
      </c>
      <c r="G183" s="19" t="inlineStr">
        <is>
          <t>Hitung frekuensi data pada rentang B45:B48 terhadap batas kelas di sel C45 menggunakan fungsi FREQUENCY!</t>
        </is>
      </c>
    </row>
    <row r="184">
      <c r="A184" s="5" t="n">
        <v>180</v>
      </c>
      <c r="B184" s="8" t="inlineStr">
        <is>
          <t>FREQUENCY</t>
        </is>
      </c>
      <c r="C184" s="6" t="inlineStr">
        <is>
          <t>Soal Tes #5</t>
        </is>
      </c>
      <c r="D184" s="31" t="inlineStr">
        <is>
          <t>FREQUENCY!E54</t>
        </is>
      </c>
      <c r="E184" s="22" t="inlineStr">
        <is>
          <t>'=FREQUENCY(B53:B56, C53)</t>
        </is>
      </c>
      <c r="F184" s="32">
        <f>FREQUENCY('FREQUENCY'!B53:B56, 'FREQUENCY'!C53)</f>
        <v/>
      </c>
      <c r="G184" s="19" t="inlineStr">
        <is>
          <t>Hitung frekuensi data pada rentang B53:B56 terhadap batas kelas di sel C53 menggunakan fungsi FREQUENCY!</t>
        </is>
      </c>
    </row>
    <row r="185">
      <c r="A185" s="5" t="n">
        <v>181</v>
      </c>
      <c r="B185" s="8" t="inlineStr">
        <is>
          <t>GAMMADIST</t>
        </is>
      </c>
      <c r="C185" s="6" t="inlineStr">
        <is>
          <t>Soal Tes #1</t>
        </is>
      </c>
      <c r="D185" s="31" t="inlineStr">
        <is>
          <t>GAMMADIST!E22</t>
        </is>
      </c>
      <c r="E185" s="22" t="inlineStr">
        <is>
          <t>'=GAMMA.DIST(C21, C22, C23, TRUE)</t>
        </is>
      </c>
      <c r="F185" s="32">
        <f>GAMMA.DIST('GAMMADIST'!C21, 'GAMMADIST'!C22, 'GAMMADIST'!C23, TRUE)</f>
        <v/>
      </c>
      <c r="G185" s="19" t="inlineStr">
        <is>
          <t>Hitung nilai distribusi kumulatif (TRUE) menggunakan fungsi GAMMA.DIST dengan argumen berurutan C21, C22, C23, dan TRUE!</t>
        </is>
      </c>
    </row>
    <row r="186">
      <c r="A186" s="5" t="n">
        <v>182</v>
      </c>
      <c r="B186" s="8" t="inlineStr">
        <is>
          <t>GAMMADIST</t>
        </is>
      </c>
      <c r="C186" s="6" t="inlineStr">
        <is>
          <t>Soal Tes #2</t>
        </is>
      </c>
      <c r="D186" s="31" t="inlineStr">
        <is>
          <t>GAMMADIST!E30</t>
        </is>
      </c>
      <c r="E186" s="22" t="inlineStr">
        <is>
          <t>'=GAMMA.DIST(C29, C30, C31, TRUE)</t>
        </is>
      </c>
      <c r="F186" s="32">
        <f>GAMMA.DIST('GAMMADIST'!C29, 'GAMMADIST'!C30, 'GAMMADIST'!C31, TRUE)</f>
        <v/>
      </c>
      <c r="G186" s="19" t="inlineStr">
        <is>
          <t>Hitung nilai distribusi kumulatif (TRUE) menggunakan fungsi GAMMA.DIST dengan argumen berurutan C29, C30, C31, dan TRUE!</t>
        </is>
      </c>
    </row>
    <row r="187">
      <c r="A187" s="5" t="n">
        <v>183</v>
      </c>
      <c r="B187" s="8" t="inlineStr">
        <is>
          <t>GAMMADIST</t>
        </is>
      </c>
      <c r="C187" s="6" t="inlineStr">
        <is>
          <t>Soal Tes #3</t>
        </is>
      </c>
      <c r="D187" s="31" t="inlineStr">
        <is>
          <t>GAMMADIST!E38</t>
        </is>
      </c>
      <c r="E187" s="22" t="inlineStr">
        <is>
          <t>'=GAMMA.DIST(C37, C38, C39, TRUE)</t>
        </is>
      </c>
      <c r="F187" s="32">
        <f>GAMMA.DIST('GAMMADIST'!C37, 'GAMMADIST'!C38, 'GAMMADIST'!C39, TRUE)</f>
        <v/>
      </c>
      <c r="G187" s="19" t="inlineStr">
        <is>
          <t>Hitung nilai distribusi kumulatif (TRUE) menggunakan fungsi GAMMA.DIST dengan argumen berurutan C37, C38, C39, dan TRUE!</t>
        </is>
      </c>
    </row>
    <row r="188">
      <c r="A188" s="5" t="n">
        <v>184</v>
      </c>
      <c r="B188" s="8" t="inlineStr">
        <is>
          <t>GAMMADIST</t>
        </is>
      </c>
      <c r="C188" s="6" t="inlineStr">
        <is>
          <t>Soal Tes #4</t>
        </is>
      </c>
      <c r="D188" s="31" t="inlineStr">
        <is>
          <t>GAMMADIST!E46</t>
        </is>
      </c>
      <c r="E188" s="22" t="inlineStr">
        <is>
          <t>'=GAMMA.DIST(C45, C46, C47, TRUE)</t>
        </is>
      </c>
      <c r="F188" s="32">
        <f>GAMMA.DIST('GAMMADIST'!C45, 'GAMMADIST'!C46, 'GAMMADIST'!C47, TRUE)</f>
        <v/>
      </c>
      <c r="G188" s="19" t="inlineStr">
        <is>
          <t>Hitung nilai distribusi kumulatif (TRUE) menggunakan fungsi GAMMA.DIST dengan argumen berurutan C45, C46, C47, dan TRUE!</t>
        </is>
      </c>
    </row>
    <row r="189">
      <c r="A189" s="5" t="n">
        <v>185</v>
      </c>
      <c r="B189" s="8" t="inlineStr">
        <is>
          <t>GAMMADIST</t>
        </is>
      </c>
      <c r="C189" s="6" t="inlineStr">
        <is>
          <t>Soal Tes #5</t>
        </is>
      </c>
      <c r="D189" s="31" t="inlineStr">
        <is>
          <t>GAMMADIST!E54</t>
        </is>
      </c>
      <c r="E189" s="22" t="inlineStr">
        <is>
          <t>'=GAMMA.DIST(C53, C54, C55, TRUE)</t>
        </is>
      </c>
      <c r="F189" s="32">
        <f>GAMMA.DIST('GAMMADIST'!C53, 'GAMMADIST'!C54, 'GAMMADIST'!C55, TRUE)</f>
        <v/>
      </c>
      <c r="G189" s="19" t="inlineStr">
        <is>
          <t>Hitung nilai distribusi kumulatif (TRUE) menggunakan fungsi GAMMA.DIST dengan argumen berurutan C53, C54, C55, dan TRUE!</t>
        </is>
      </c>
    </row>
    <row r="190">
      <c r="A190" s="5" t="n">
        <v>186</v>
      </c>
      <c r="B190" s="8" t="inlineStr">
        <is>
          <t>GAMMAINV</t>
        </is>
      </c>
      <c r="C190" s="6" t="inlineStr">
        <is>
          <t>Soal Tes #1</t>
        </is>
      </c>
      <c r="D190" s="31" t="inlineStr">
        <is>
          <t>GAMMAINV!E22</t>
        </is>
      </c>
      <c r="E190" s="22" t="inlineStr">
        <is>
          <t>'=GAMMA.INV(C21, C22, C23)</t>
        </is>
      </c>
      <c r="F190" s="32">
        <f>GAMMA.INV('GAMMAINV'!C21, 'GAMMAINV'!C22, 'GAMMAINV'!C23)</f>
        <v/>
      </c>
      <c r="G190" s="19" t="inlineStr">
        <is>
          <t>Hitung nilai invers distribusi menggunakan fungsi GAMMA.INV dengan argumen berurutan C21, C22, dan C23!</t>
        </is>
      </c>
    </row>
    <row r="191">
      <c r="A191" s="5" t="n">
        <v>187</v>
      </c>
      <c r="B191" s="8" t="inlineStr">
        <is>
          <t>GAMMAINV</t>
        </is>
      </c>
      <c r="C191" s="6" t="inlineStr">
        <is>
          <t>Soal Tes #2</t>
        </is>
      </c>
      <c r="D191" s="31" t="inlineStr">
        <is>
          <t>GAMMAINV!E30</t>
        </is>
      </c>
      <c r="E191" s="22" t="inlineStr">
        <is>
          <t>'=GAMMA.INV(C29, C30, C31)</t>
        </is>
      </c>
      <c r="F191" s="32">
        <f>GAMMA.INV('GAMMAINV'!C29, 'GAMMAINV'!C30, 'GAMMAINV'!C31)</f>
        <v/>
      </c>
      <c r="G191" s="19" t="inlineStr">
        <is>
          <t>Hitung nilai invers distribusi menggunakan fungsi GAMMA.INV dengan argumen berurutan C29, C30, dan C31!</t>
        </is>
      </c>
    </row>
    <row r="192">
      <c r="A192" s="5" t="n">
        <v>188</v>
      </c>
      <c r="B192" s="8" t="inlineStr">
        <is>
          <t>GAMMAINV</t>
        </is>
      </c>
      <c r="C192" s="6" t="inlineStr">
        <is>
          <t>Soal Tes #3</t>
        </is>
      </c>
      <c r="D192" s="31" t="inlineStr">
        <is>
          <t>GAMMAINV!E38</t>
        </is>
      </c>
      <c r="E192" s="22" t="inlineStr">
        <is>
          <t>'=GAMMA.INV(C37, C38, C39)</t>
        </is>
      </c>
      <c r="F192" s="32">
        <f>GAMMA.INV('GAMMAINV'!C37, 'GAMMAINV'!C38, 'GAMMAINV'!C39)</f>
        <v/>
      </c>
      <c r="G192" s="19" t="inlineStr">
        <is>
          <t>Hitung nilai invers distribusi menggunakan fungsi GAMMA.INV dengan argumen berurutan C37, C38, dan C39!</t>
        </is>
      </c>
    </row>
    <row r="193">
      <c r="A193" s="5" t="n">
        <v>189</v>
      </c>
      <c r="B193" s="8" t="inlineStr">
        <is>
          <t>GAMMAINV</t>
        </is>
      </c>
      <c r="C193" s="6" t="inlineStr">
        <is>
          <t>Soal Tes #4</t>
        </is>
      </c>
      <c r="D193" s="31" t="inlineStr">
        <is>
          <t>GAMMAINV!E46</t>
        </is>
      </c>
      <c r="E193" s="22" t="inlineStr">
        <is>
          <t>'=GAMMA.INV(C45, C46, C47)</t>
        </is>
      </c>
      <c r="F193" s="32">
        <f>GAMMA.INV('GAMMAINV'!C45, 'GAMMAINV'!C46, 'GAMMAINV'!C47)</f>
        <v/>
      </c>
      <c r="G193" s="19" t="inlineStr">
        <is>
          <t>Hitung nilai invers distribusi menggunakan fungsi GAMMA.INV dengan argumen berurutan C45, C46, dan C47!</t>
        </is>
      </c>
    </row>
    <row r="194">
      <c r="A194" s="5" t="n">
        <v>190</v>
      </c>
      <c r="B194" s="8" t="inlineStr">
        <is>
          <t>GAMMAINV</t>
        </is>
      </c>
      <c r="C194" s="6" t="inlineStr">
        <is>
          <t>Soal Tes #5</t>
        </is>
      </c>
      <c r="D194" s="31" t="inlineStr">
        <is>
          <t>GAMMAINV!E54</t>
        </is>
      </c>
      <c r="E194" s="22" t="inlineStr">
        <is>
          <t>'=GAMMA.INV(C53, C54, C55)</t>
        </is>
      </c>
      <c r="F194" s="32">
        <f>GAMMA.INV('GAMMAINV'!C53, 'GAMMAINV'!C54, 'GAMMAINV'!C55)</f>
        <v/>
      </c>
      <c r="G194" s="19" t="inlineStr">
        <is>
          <t>Hitung nilai invers distribusi menggunakan fungsi GAMMA.INV dengan argumen berurutan C53, C54, dan C55!</t>
        </is>
      </c>
    </row>
    <row r="195">
      <c r="A195" s="5" t="n">
        <v>191</v>
      </c>
      <c r="B195" s="8" t="inlineStr">
        <is>
          <t>GAMMALN</t>
        </is>
      </c>
      <c r="C195" s="6" t="inlineStr">
        <is>
          <t>Soal Tes #1</t>
        </is>
      </c>
      <c r="D195" s="31" t="inlineStr">
        <is>
          <t>GAMMALN!E22</t>
        </is>
      </c>
      <c r="E195" s="22" t="inlineStr">
        <is>
          <t>'=GAMMALN(C21)</t>
        </is>
      </c>
      <c r="F195" s="32">
        <f>GAMMALN('GAMMALN'!C21)</f>
        <v/>
      </c>
      <c r="G195" s="19" t="inlineStr">
        <is>
          <t>Hitung hasil fungsi GAMMALN untuk nilai input pada sel C21 (3)!</t>
        </is>
      </c>
    </row>
    <row r="196">
      <c r="A196" s="5" t="n">
        <v>192</v>
      </c>
      <c r="B196" s="8" t="inlineStr">
        <is>
          <t>GAMMALN</t>
        </is>
      </c>
      <c r="C196" s="6" t="inlineStr">
        <is>
          <t>Soal Tes #2</t>
        </is>
      </c>
      <c r="D196" s="31" t="inlineStr">
        <is>
          <t>GAMMALN!E30</t>
        </is>
      </c>
      <c r="E196" s="22" t="inlineStr">
        <is>
          <t>'=GAMMALN(C29)</t>
        </is>
      </c>
      <c r="F196" s="32">
        <f>GAMMALN('GAMMALN'!C29)</f>
        <v/>
      </c>
      <c r="G196" s="19" t="inlineStr">
        <is>
          <t>Hitung hasil fungsi GAMMALN untuk nilai input pada sel C29 (4)!</t>
        </is>
      </c>
    </row>
    <row r="197">
      <c r="A197" s="5" t="n">
        <v>193</v>
      </c>
      <c r="B197" s="8" t="inlineStr">
        <is>
          <t>GAMMALN</t>
        </is>
      </c>
      <c r="C197" s="6" t="inlineStr">
        <is>
          <t>Soal Tes #3</t>
        </is>
      </c>
      <c r="D197" s="31" t="inlineStr">
        <is>
          <t>GAMMALN!E38</t>
        </is>
      </c>
      <c r="E197" s="22" t="inlineStr">
        <is>
          <t>'=GAMMALN(C37)</t>
        </is>
      </c>
      <c r="F197" s="32">
        <f>GAMMALN('GAMMALN'!C37)</f>
        <v/>
      </c>
      <c r="G197" s="19" t="inlineStr">
        <is>
          <t>Hitung hasil fungsi GAMMALN untuk nilai input pada sel C37 (5)!</t>
        </is>
      </c>
    </row>
    <row r="198">
      <c r="A198" s="5" t="n">
        <v>194</v>
      </c>
      <c r="B198" s="8" t="inlineStr">
        <is>
          <t>GAMMALN</t>
        </is>
      </c>
      <c r="C198" s="6" t="inlineStr">
        <is>
          <t>Soal Tes #4</t>
        </is>
      </c>
      <c r="D198" s="31" t="inlineStr">
        <is>
          <t>GAMMALN!E46</t>
        </is>
      </c>
      <c r="E198" s="22" t="inlineStr">
        <is>
          <t>'=GAMMALN(C45)</t>
        </is>
      </c>
      <c r="F198" s="32">
        <f>GAMMALN('GAMMALN'!C45)</f>
        <v/>
      </c>
      <c r="G198" s="19" t="inlineStr">
        <is>
          <t>Hitung hasil fungsi GAMMALN untuk nilai input pada sel C45 (6)!</t>
        </is>
      </c>
    </row>
    <row r="199">
      <c r="A199" s="5" t="n">
        <v>195</v>
      </c>
      <c r="B199" s="8" t="inlineStr">
        <is>
          <t>GAMMALN</t>
        </is>
      </c>
      <c r="C199" s="6" t="inlineStr">
        <is>
          <t>Soal Tes #5</t>
        </is>
      </c>
      <c r="D199" s="31" t="inlineStr">
        <is>
          <t>GAMMALN!E54</t>
        </is>
      </c>
      <c r="E199" s="22" t="inlineStr">
        <is>
          <t>'=GAMMALN(C53)</t>
        </is>
      </c>
      <c r="F199" s="32">
        <f>GAMMALN('GAMMALN'!C53)</f>
        <v/>
      </c>
      <c r="G199" s="19" t="inlineStr">
        <is>
          <t>Hitung hasil fungsi GAMMALN untuk nilai input pada sel C53 (7)!</t>
        </is>
      </c>
    </row>
    <row r="200">
      <c r="A200" s="5" t="n">
        <v>196</v>
      </c>
      <c r="B200" s="8" t="inlineStr">
        <is>
          <t>GEOMEAN</t>
        </is>
      </c>
      <c r="C200" s="6" t="inlineStr">
        <is>
          <t>Soal Tes #1</t>
        </is>
      </c>
      <c r="D200" s="31" t="inlineStr">
        <is>
          <t>GEOMEAN!E22</t>
        </is>
      </c>
      <c r="E200" s="22" t="inlineStr">
        <is>
          <t>'=GEOMEAN(C21:C24)</t>
        </is>
      </c>
      <c r="F200" s="32">
        <f>GEOMEAN('GEOMEAN'!C21:C24)</f>
        <v/>
      </c>
      <c r="G200" s="19" t="inlineStr">
        <is>
          <t>Hitung hasil pengolahan fungsi GEOMEAN untuk keempat baris data pada rentang C21:C24!</t>
        </is>
      </c>
    </row>
    <row r="201">
      <c r="A201" s="5" t="n">
        <v>197</v>
      </c>
      <c r="B201" s="8" t="inlineStr">
        <is>
          <t>GEOMEAN</t>
        </is>
      </c>
      <c r="C201" s="6" t="inlineStr">
        <is>
          <t>Soal Tes #2</t>
        </is>
      </c>
      <c r="D201" s="31" t="inlineStr">
        <is>
          <t>GEOMEAN!E30</t>
        </is>
      </c>
      <c r="E201" s="22" t="inlineStr">
        <is>
          <t>'=GEOMEAN(C29:C32)</t>
        </is>
      </c>
      <c r="F201" s="32">
        <f>GEOMEAN('GEOMEAN'!C29:C32)</f>
        <v/>
      </c>
      <c r="G201" s="19" t="inlineStr">
        <is>
          <t>Hitung hasil pengolahan fungsi GEOMEAN untuk keempat baris data pada rentang C29:C32!</t>
        </is>
      </c>
    </row>
    <row r="202">
      <c r="A202" s="5" t="n">
        <v>198</v>
      </c>
      <c r="B202" s="8" t="inlineStr">
        <is>
          <t>GEOMEAN</t>
        </is>
      </c>
      <c r="C202" s="6" t="inlineStr">
        <is>
          <t>Soal Tes #3</t>
        </is>
      </c>
      <c r="D202" s="31" t="inlineStr">
        <is>
          <t>GEOMEAN!E38</t>
        </is>
      </c>
      <c r="E202" s="22" t="inlineStr">
        <is>
          <t>'=GEOMEAN(C37:C40)</t>
        </is>
      </c>
      <c r="F202" s="32">
        <f>GEOMEAN('GEOMEAN'!C37:C40)</f>
        <v/>
      </c>
      <c r="G202" s="19" t="inlineStr">
        <is>
          <t>Hitung hasil pengolahan fungsi GEOMEAN untuk keempat baris data pada rentang C37:C40!</t>
        </is>
      </c>
    </row>
    <row r="203">
      <c r="A203" s="5" t="n">
        <v>199</v>
      </c>
      <c r="B203" s="8" t="inlineStr">
        <is>
          <t>GEOMEAN</t>
        </is>
      </c>
      <c r="C203" s="6" t="inlineStr">
        <is>
          <t>Soal Tes #4</t>
        </is>
      </c>
      <c r="D203" s="31" t="inlineStr">
        <is>
          <t>GEOMEAN!E46</t>
        </is>
      </c>
      <c r="E203" s="22" t="inlineStr">
        <is>
          <t>'=GEOMEAN(C45:C48)</t>
        </is>
      </c>
      <c r="F203" s="32">
        <f>GEOMEAN('GEOMEAN'!C45:C48)</f>
        <v/>
      </c>
      <c r="G203" s="19" t="inlineStr">
        <is>
          <t>Hitung hasil pengolahan fungsi GEOMEAN untuk keempat baris data pada rentang C45:C48!</t>
        </is>
      </c>
    </row>
    <row r="204">
      <c r="A204" s="5" t="n">
        <v>200</v>
      </c>
      <c r="B204" s="8" t="inlineStr">
        <is>
          <t>GEOMEAN</t>
        </is>
      </c>
      <c r="C204" s="6" t="inlineStr">
        <is>
          <t>Soal Tes #5</t>
        </is>
      </c>
      <c r="D204" s="31" t="inlineStr">
        <is>
          <t>GEOMEAN!E54</t>
        </is>
      </c>
      <c r="E204" s="22" t="inlineStr">
        <is>
          <t>'=GEOMEAN(C53:C56)</t>
        </is>
      </c>
      <c r="F204" s="32">
        <f>GEOMEAN('GEOMEAN'!C53:C56)</f>
        <v/>
      </c>
      <c r="G204" s="19" t="inlineStr">
        <is>
          <t>Hitung hasil pengolahan fungsi GEOMEAN untuk keempat baris data pada rentang C53:C56!</t>
        </is>
      </c>
    </row>
    <row r="205">
      <c r="A205" s="5" t="n">
        <v>201</v>
      </c>
      <c r="B205" s="8" t="inlineStr">
        <is>
          <t>GROWTH</t>
        </is>
      </c>
      <c r="C205" s="6" t="inlineStr">
        <is>
          <t>Soal Tes #1</t>
        </is>
      </c>
      <c r="D205" s="31" t="inlineStr">
        <is>
          <t>GROWTH!E22</t>
        </is>
      </c>
      <c r="E205" s="22" t="inlineStr">
        <is>
          <t>'=GROWTH(C21:C24, B21:B24, 5)</t>
        </is>
      </c>
      <c r="F205" s="32">
        <f>GROWTH('GROWTH'!C21:C24, 'GROWTH'!B21:B24, 5)</f>
        <v/>
      </c>
      <c r="G205" s="19" t="inlineStr">
        <is>
          <t>Prediksi nilai periode ke-5 berdasarkan deret hasil Y (C21:C24) dan periode X (B21:B24) menggunakan fungsi GROWTH!</t>
        </is>
      </c>
    </row>
    <row r="206">
      <c r="A206" s="5" t="n">
        <v>202</v>
      </c>
      <c r="B206" s="8" t="inlineStr">
        <is>
          <t>GROWTH</t>
        </is>
      </c>
      <c r="C206" s="6" t="inlineStr">
        <is>
          <t>Soal Tes #2</t>
        </is>
      </c>
      <c r="D206" s="31" t="inlineStr">
        <is>
          <t>GROWTH!E30</t>
        </is>
      </c>
      <c r="E206" s="22" t="inlineStr">
        <is>
          <t>'=GROWTH(C29:C32, B29:B32, 5)</t>
        </is>
      </c>
      <c r="F206" s="32">
        <f>GROWTH('GROWTH'!C29:C32, 'GROWTH'!B29:B32, 5)</f>
        <v/>
      </c>
      <c r="G206" s="19" t="inlineStr">
        <is>
          <t>Prediksi nilai periode ke-5 berdasarkan deret hasil Y (C29:C32) dan periode X (B29:B32) menggunakan fungsi GROWTH!</t>
        </is>
      </c>
    </row>
    <row r="207">
      <c r="A207" s="5" t="n">
        <v>203</v>
      </c>
      <c r="B207" s="8" t="inlineStr">
        <is>
          <t>GROWTH</t>
        </is>
      </c>
      <c r="C207" s="6" t="inlineStr">
        <is>
          <t>Soal Tes #3</t>
        </is>
      </c>
      <c r="D207" s="31" t="inlineStr">
        <is>
          <t>GROWTH!E38</t>
        </is>
      </c>
      <c r="E207" s="22" t="inlineStr">
        <is>
          <t>'=GROWTH(C37:C40, B37:B40, 5)</t>
        </is>
      </c>
      <c r="F207" s="32">
        <f>GROWTH('GROWTH'!C37:C40, 'GROWTH'!B37:B40, 5)</f>
        <v/>
      </c>
      <c r="G207" s="19" t="inlineStr">
        <is>
          <t>Prediksi nilai periode ke-5 berdasarkan deret hasil Y (C37:C40) dan periode X (B37:B40) menggunakan fungsi GROWTH!</t>
        </is>
      </c>
    </row>
    <row r="208">
      <c r="A208" s="5" t="n">
        <v>204</v>
      </c>
      <c r="B208" s="8" t="inlineStr">
        <is>
          <t>GROWTH</t>
        </is>
      </c>
      <c r="C208" s="6" t="inlineStr">
        <is>
          <t>Soal Tes #4</t>
        </is>
      </c>
      <c r="D208" s="31" t="inlineStr">
        <is>
          <t>GROWTH!E46</t>
        </is>
      </c>
      <c r="E208" s="22" t="inlineStr">
        <is>
          <t>'=GROWTH(C45:C48, B45:B48, 5)</t>
        </is>
      </c>
      <c r="F208" s="32">
        <f>GROWTH('GROWTH'!C45:C48, 'GROWTH'!B45:B48, 5)</f>
        <v/>
      </c>
      <c r="G208" s="19" t="inlineStr">
        <is>
          <t>Prediksi nilai periode ke-5 berdasarkan deret hasil Y (C45:C48) dan periode X (B45:B48) menggunakan fungsi GROWTH!</t>
        </is>
      </c>
    </row>
    <row r="209">
      <c r="A209" s="5" t="n">
        <v>205</v>
      </c>
      <c r="B209" s="8" t="inlineStr">
        <is>
          <t>GROWTH</t>
        </is>
      </c>
      <c r="C209" s="6" t="inlineStr">
        <is>
          <t>Soal Tes #5</t>
        </is>
      </c>
      <c r="D209" s="31" t="inlineStr">
        <is>
          <t>GROWTH!E54</t>
        </is>
      </c>
      <c r="E209" s="22" t="inlineStr">
        <is>
          <t>'=GROWTH(C53:C56, B53:B56, 5)</t>
        </is>
      </c>
      <c r="F209" s="32">
        <f>GROWTH('GROWTH'!C53:C56, 'GROWTH'!B53:B56, 5)</f>
        <v/>
      </c>
      <c r="G209" s="19" t="inlineStr">
        <is>
          <t>Prediksi nilai periode ke-5 berdasarkan deret hasil Y (C53:C56) dan periode X (B53:B56) menggunakan fungsi GROWTH!</t>
        </is>
      </c>
    </row>
    <row r="210">
      <c r="A210" s="5" t="n">
        <v>206</v>
      </c>
      <c r="B210" s="8" t="inlineStr">
        <is>
          <t>HARMEAN</t>
        </is>
      </c>
      <c r="C210" s="6" t="inlineStr">
        <is>
          <t>Soal Tes #1</t>
        </is>
      </c>
      <c r="D210" s="31" t="inlineStr">
        <is>
          <t>HARMEAN!E22</t>
        </is>
      </c>
      <c r="E210" s="22" t="inlineStr">
        <is>
          <t>'=HARMEAN(C21:C24)</t>
        </is>
      </c>
      <c r="F210" s="32">
        <f>HARMEAN('HARMEAN'!C21:C24)</f>
        <v/>
      </c>
      <c r="G210" s="19" t="inlineStr">
        <is>
          <t>Hitung hasil pengolahan fungsi HARMEAN untuk keempat baris data pada rentang C21:C24!</t>
        </is>
      </c>
    </row>
    <row r="211">
      <c r="A211" s="5" t="n">
        <v>207</v>
      </c>
      <c r="B211" s="8" t="inlineStr">
        <is>
          <t>HARMEAN</t>
        </is>
      </c>
      <c r="C211" s="6" t="inlineStr">
        <is>
          <t>Soal Tes #2</t>
        </is>
      </c>
      <c r="D211" s="31" t="inlineStr">
        <is>
          <t>HARMEAN!E30</t>
        </is>
      </c>
      <c r="E211" s="22" t="inlineStr">
        <is>
          <t>'=HARMEAN(C29:C32)</t>
        </is>
      </c>
      <c r="F211" s="32">
        <f>HARMEAN('HARMEAN'!C29:C32)</f>
        <v/>
      </c>
      <c r="G211" s="19" t="inlineStr">
        <is>
          <t>Hitung hasil pengolahan fungsi HARMEAN untuk keempat baris data pada rentang C29:C32!</t>
        </is>
      </c>
    </row>
    <row r="212">
      <c r="A212" s="5" t="n">
        <v>208</v>
      </c>
      <c r="B212" s="8" t="inlineStr">
        <is>
          <t>HARMEAN</t>
        </is>
      </c>
      <c r="C212" s="6" t="inlineStr">
        <is>
          <t>Soal Tes #3</t>
        </is>
      </c>
      <c r="D212" s="31" t="inlineStr">
        <is>
          <t>HARMEAN!E38</t>
        </is>
      </c>
      <c r="E212" s="22" t="inlineStr">
        <is>
          <t>'=HARMEAN(C37:C40)</t>
        </is>
      </c>
      <c r="F212" s="32">
        <f>HARMEAN('HARMEAN'!C37:C40)</f>
        <v/>
      </c>
      <c r="G212" s="19" t="inlineStr">
        <is>
          <t>Hitung hasil pengolahan fungsi HARMEAN untuk keempat baris data pada rentang C37:C40!</t>
        </is>
      </c>
    </row>
    <row r="213">
      <c r="A213" s="5" t="n">
        <v>209</v>
      </c>
      <c r="B213" s="8" t="inlineStr">
        <is>
          <t>HARMEAN</t>
        </is>
      </c>
      <c r="C213" s="6" t="inlineStr">
        <is>
          <t>Soal Tes #4</t>
        </is>
      </c>
      <c r="D213" s="31" t="inlineStr">
        <is>
          <t>HARMEAN!E46</t>
        </is>
      </c>
      <c r="E213" s="22" t="inlineStr">
        <is>
          <t>'=HARMEAN(C45:C48)</t>
        </is>
      </c>
      <c r="F213" s="32">
        <f>HARMEAN('HARMEAN'!C45:C48)</f>
        <v/>
      </c>
      <c r="G213" s="19" t="inlineStr">
        <is>
          <t>Hitung hasil pengolahan fungsi HARMEAN untuk keempat baris data pada rentang C45:C48!</t>
        </is>
      </c>
    </row>
    <row r="214">
      <c r="A214" s="5" t="n">
        <v>210</v>
      </c>
      <c r="B214" s="8" t="inlineStr">
        <is>
          <t>HARMEAN</t>
        </is>
      </c>
      <c r="C214" s="6" t="inlineStr">
        <is>
          <t>Soal Tes #5</t>
        </is>
      </c>
      <c r="D214" s="31" t="inlineStr">
        <is>
          <t>HARMEAN!E54</t>
        </is>
      </c>
      <c r="E214" s="22" t="inlineStr">
        <is>
          <t>'=HARMEAN(C53:C56)</t>
        </is>
      </c>
      <c r="F214" s="32">
        <f>HARMEAN('HARMEAN'!C53:C56)</f>
        <v/>
      </c>
      <c r="G214" s="19" t="inlineStr">
        <is>
          <t>Hitung hasil pengolahan fungsi HARMEAN untuk keempat baris data pada rentang C53:C56!</t>
        </is>
      </c>
    </row>
    <row r="215">
      <c r="A215" s="5" t="n">
        <v>211</v>
      </c>
      <c r="B215" s="8" t="inlineStr">
        <is>
          <t>HYPGEOMDIST</t>
        </is>
      </c>
      <c r="C215" s="6" t="inlineStr">
        <is>
          <t>Soal Tes #1</t>
        </is>
      </c>
      <c r="D215" s="31" t="inlineStr">
        <is>
          <t>HYPGEOMDIST!E22</t>
        </is>
      </c>
      <c r="E215" s="22" t="inlineStr">
        <is>
          <t>'=HYPGEOM.DIST(C21, C22, C23, C24, TRUE)</t>
        </is>
      </c>
      <c r="F215" s="32">
        <f>HYPGEOM.DIST('HYPGEOMDIST'!C21, 'HYPGEOMDIST'!C22, 'HYPGEOMDIST'!C23, 'HYPGEOMDIST'!C24, TRUE)</f>
        <v/>
      </c>
      <c r="G215" s="19" t="inlineStr">
        <is>
          <t>Hitung distribusi hipergeometrik kumulatif menggunakan fungsi HYPGEOM.DIST dengan argumen C21, C22, C23, C24, dan TRUE!</t>
        </is>
      </c>
    </row>
    <row r="216">
      <c r="A216" s="5" t="n">
        <v>212</v>
      </c>
      <c r="B216" s="8" t="inlineStr">
        <is>
          <t>HYPGEOMDIST</t>
        </is>
      </c>
      <c r="C216" s="6" t="inlineStr">
        <is>
          <t>Soal Tes #2</t>
        </is>
      </c>
      <c r="D216" s="31" t="inlineStr">
        <is>
          <t>HYPGEOMDIST!E30</t>
        </is>
      </c>
      <c r="E216" s="22" t="inlineStr">
        <is>
          <t>'=HYPGEOM.DIST(C29, C30, C31, C32, TRUE)</t>
        </is>
      </c>
      <c r="F216" s="32">
        <f>HYPGEOM.DIST('HYPGEOMDIST'!C29, 'HYPGEOMDIST'!C30, 'HYPGEOMDIST'!C31, 'HYPGEOMDIST'!C32, TRUE)</f>
        <v/>
      </c>
      <c r="G216" s="19" t="inlineStr">
        <is>
          <t>Hitung distribusi hipergeometrik kumulatif menggunakan fungsi HYPGEOM.DIST dengan argumen C29, C30, C31, C32, dan TRUE!</t>
        </is>
      </c>
    </row>
    <row r="217">
      <c r="A217" s="5" t="n">
        <v>213</v>
      </c>
      <c r="B217" s="8" t="inlineStr">
        <is>
          <t>HYPGEOMDIST</t>
        </is>
      </c>
      <c r="C217" s="6" t="inlineStr">
        <is>
          <t>Soal Tes #3</t>
        </is>
      </c>
      <c r="D217" s="31" t="inlineStr">
        <is>
          <t>HYPGEOMDIST!E38</t>
        </is>
      </c>
      <c r="E217" s="22" t="inlineStr">
        <is>
          <t>'=HYPGEOM.DIST(C37, C38, C39, C40, TRUE)</t>
        </is>
      </c>
      <c r="F217" s="32">
        <f>HYPGEOM.DIST('HYPGEOMDIST'!C37, 'HYPGEOMDIST'!C38, 'HYPGEOMDIST'!C39, 'HYPGEOMDIST'!C40, TRUE)</f>
        <v/>
      </c>
      <c r="G217" s="19" t="inlineStr">
        <is>
          <t>Hitung distribusi hipergeometrik kumulatif menggunakan fungsi HYPGEOM.DIST dengan argumen C37, C38, C39, C40, dan TRUE!</t>
        </is>
      </c>
    </row>
    <row r="218">
      <c r="A218" s="5" t="n">
        <v>214</v>
      </c>
      <c r="B218" s="8" t="inlineStr">
        <is>
          <t>HYPGEOMDIST</t>
        </is>
      </c>
      <c r="C218" s="6" t="inlineStr">
        <is>
          <t>Soal Tes #4</t>
        </is>
      </c>
      <c r="D218" s="31" t="inlineStr">
        <is>
          <t>HYPGEOMDIST!E46</t>
        </is>
      </c>
      <c r="E218" s="22" t="inlineStr">
        <is>
          <t>'=HYPGEOM.DIST(C45, C46, C47, C48, TRUE)</t>
        </is>
      </c>
      <c r="F218" s="32">
        <f>HYPGEOM.DIST('HYPGEOMDIST'!C45, 'HYPGEOMDIST'!C46, 'HYPGEOMDIST'!C47, 'HYPGEOMDIST'!C48, TRUE)</f>
        <v/>
      </c>
      <c r="G218" s="19" t="inlineStr">
        <is>
          <t>Hitung distribusi hipergeometrik kumulatif menggunakan fungsi HYPGEOM.DIST dengan argumen C45, C46, C47, C48, dan TRUE!</t>
        </is>
      </c>
    </row>
    <row r="219">
      <c r="A219" s="5" t="n">
        <v>215</v>
      </c>
      <c r="B219" s="8" t="inlineStr">
        <is>
          <t>HYPGEOMDIST</t>
        </is>
      </c>
      <c r="C219" s="6" t="inlineStr">
        <is>
          <t>Soal Tes #5</t>
        </is>
      </c>
      <c r="D219" s="31" t="inlineStr">
        <is>
          <t>HYPGEOMDIST!E54</t>
        </is>
      </c>
      <c r="E219" s="22" t="inlineStr">
        <is>
          <t>'=HYPGEOM.DIST(C53, C54, C55, C56, TRUE)</t>
        </is>
      </c>
      <c r="F219" s="32">
        <f>HYPGEOM.DIST('HYPGEOMDIST'!C53, 'HYPGEOMDIST'!C54, 'HYPGEOMDIST'!C55, 'HYPGEOMDIST'!C56, TRUE)</f>
        <v/>
      </c>
      <c r="G219" s="19" t="inlineStr">
        <is>
          <t>Hitung distribusi hipergeometrik kumulatif menggunakan fungsi HYPGEOM.DIST dengan argumen C53, C54, C55, C56, dan TRUE!</t>
        </is>
      </c>
    </row>
    <row r="220">
      <c r="A220" s="5" t="n">
        <v>216</v>
      </c>
      <c r="B220" s="8" t="inlineStr">
        <is>
          <t>INTERCEPT</t>
        </is>
      </c>
      <c r="C220" s="6" t="inlineStr">
        <is>
          <t>Soal Tes #1</t>
        </is>
      </c>
      <c r="D220" s="31" t="inlineStr">
        <is>
          <t>INTERCEPT!E22</t>
        </is>
      </c>
      <c r="E220" s="22" t="inlineStr">
        <is>
          <t>'=INTERCEPT(C21:C24, B21:B24)</t>
        </is>
      </c>
      <c r="F220" s="32">
        <f>INTERCEPT('INTERCEPT'!C21:C24, 'INTERCEPT'!B21:B24)</f>
        <v/>
      </c>
      <c r="G220" s="19" t="inlineStr">
        <is>
          <t>Analisis regresi linear dengan menempatkan rentang hasil Y (C21:C24) dan rentang variabel X (B21:B24) menggunakan fungsi INTERCEPT!</t>
        </is>
      </c>
    </row>
    <row r="221">
      <c r="A221" s="5" t="n">
        <v>217</v>
      </c>
      <c r="B221" s="8" t="inlineStr">
        <is>
          <t>INTERCEPT</t>
        </is>
      </c>
      <c r="C221" s="6" t="inlineStr">
        <is>
          <t>Soal Tes #2</t>
        </is>
      </c>
      <c r="D221" s="31" t="inlineStr">
        <is>
          <t>INTERCEPT!E30</t>
        </is>
      </c>
      <c r="E221" s="22" t="inlineStr">
        <is>
          <t>'=INTERCEPT(C29:C32, B29:B32)</t>
        </is>
      </c>
      <c r="F221" s="32">
        <f>INTERCEPT('INTERCEPT'!C29:C32, 'INTERCEPT'!B29:B32)</f>
        <v/>
      </c>
      <c r="G221" s="19" t="inlineStr">
        <is>
          <t>Analisis regresi linear dengan menempatkan rentang hasil Y (C29:C32) dan rentang variabel X (B29:B32) menggunakan fungsi INTERCEPT!</t>
        </is>
      </c>
    </row>
    <row r="222">
      <c r="A222" s="5" t="n">
        <v>218</v>
      </c>
      <c r="B222" s="8" t="inlineStr">
        <is>
          <t>INTERCEPT</t>
        </is>
      </c>
      <c r="C222" s="6" t="inlineStr">
        <is>
          <t>Soal Tes #3</t>
        </is>
      </c>
      <c r="D222" s="31" t="inlineStr">
        <is>
          <t>INTERCEPT!E38</t>
        </is>
      </c>
      <c r="E222" s="22" t="inlineStr">
        <is>
          <t>'=INTERCEPT(C37:C40, B37:B40)</t>
        </is>
      </c>
      <c r="F222" s="32">
        <f>INTERCEPT('INTERCEPT'!C37:C40, 'INTERCEPT'!B37:B40)</f>
        <v/>
      </c>
      <c r="G222" s="19" t="inlineStr">
        <is>
          <t>Analisis regresi linear dengan menempatkan rentang hasil Y (C37:C40) dan rentang variabel X (B37:B40) menggunakan fungsi INTERCEPT!</t>
        </is>
      </c>
    </row>
    <row r="223">
      <c r="A223" s="5" t="n">
        <v>219</v>
      </c>
      <c r="B223" s="8" t="inlineStr">
        <is>
          <t>INTERCEPT</t>
        </is>
      </c>
      <c r="C223" s="6" t="inlineStr">
        <is>
          <t>Soal Tes #4</t>
        </is>
      </c>
      <c r="D223" s="31" t="inlineStr">
        <is>
          <t>INTERCEPT!E46</t>
        </is>
      </c>
      <c r="E223" s="22" t="inlineStr">
        <is>
          <t>'=INTERCEPT(C45:C48, B45:B48)</t>
        </is>
      </c>
      <c r="F223" s="32">
        <f>INTERCEPT('INTERCEPT'!C45:C48, 'INTERCEPT'!B45:B48)</f>
        <v/>
      </c>
      <c r="G223" s="19" t="inlineStr">
        <is>
          <t>Analisis regresi linear dengan menempatkan rentang hasil Y (C45:C48) dan rentang variabel X (B45:B48) menggunakan fungsi INTERCEPT!</t>
        </is>
      </c>
    </row>
    <row r="224">
      <c r="A224" s="5" t="n">
        <v>220</v>
      </c>
      <c r="B224" s="8" t="inlineStr">
        <is>
          <t>INTERCEPT</t>
        </is>
      </c>
      <c r="C224" s="6" t="inlineStr">
        <is>
          <t>Soal Tes #5</t>
        </is>
      </c>
      <c r="D224" s="31" t="inlineStr">
        <is>
          <t>INTERCEPT!E54</t>
        </is>
      </c>
      <c r="E224" s="22" t="inlineStr">
        <is>
          <t>'=INTERCEPT(C53:C56, B53:B56)</t>
        </is>
      </c>
      <c r="F224" s="32">
        <f>INTERCEPT('INTERCEPT'!C53:C56, 'INTERCEPT'!B53:B56)</f>
        <v/>
      </c>
      <c r="G224" s="19" t="inlineStr">
        <is>
          <t>Analisis regresi linear dengan menempatkan rentang hasil Y (C53:C56) dan rentang variabel X (B53:B56) menggunakan fungsi INTERCEPT!</t>
        </is>
      </c>
    </row>
    <row r="225">
      <c r="A225" s="5" t="n">
        <v>221</v>
      </c>
      <c r="B225" s="8" t="inlineStr">
        <is>
          <t>KURT</t>
        </is>
      </c>
      <c r="C225" s="6" t="inlineStr">
        <is>
          <t>Soal Tes #1</t>
        </is>
      </c>
      <c r="D225" s="31" t="inlineStr">
        <is>
          <t>KURT!E22</t>
        </is>
      </c>
      <c r="E225" s="22" t="inlineStr">
        <is>
          <t>'=KURT(C21:C24)</t>
        </is>
      </c>
      <c r="F225" s="32">
        <f>KURT('KURT'!C21:C24)</f>
        <v/>
      </c>
      <c r="G225" s="19" t="inlineStr">
        <is>
          <t>Hitung hasil pengolahan fungsi KURT untuk keempat baris data pada rentang C21:C24!</t>
        </is>
      </c>
    </row>
    <row r="226">
      <c r="A226" s="5" t="n">
        <v>222</v>
      </c>
      <c r="B226" s="8" t="inlineStr">
        <is>
          <t>KURT</t>
        </is>
      </c>
      <c r="C226" s="6" t="inlineStr">
        <is>
          <t>Soal Tes #2</t>
        </is>
      </c>
      <c r="D226" s="31" t="inlineStr">
        <is>
          <t>KURT!E30</t>
        </is>
      </c>
      <c r="E226" s="22" t="inlineStr">
        <is>
          <t>'=KURT(C29:C32)</t>
        </is>
      </c>
      <c r="F226" s="32">
        <f>KURT('KURT'!C29:C32)</f>
        <v/>
      </c>
      <c r="G226" s="19" t="inlineStr">
        <is>
          <t>Hitung hasil pengolahan fungsi KURT untuk keempat baris data pada rentang C29:C32!</t>
        </is>
      </c>
    </row>
    <row r="227">
      <c r="A227" s="5" t="n">
        <v>223</v>
      </c>
      <c r="B227" s="8" t="inlineStr">
        <is>
          <t>KURT</t>
        </is>
      </c>
      <c r="C227" s="6" t="inlineStr">
        <is>
          <t>Soal Tes #3</t>
        </is>
      </c>
      <c r="D227" s="31" t="inlineStr">
        <is>
          <t>KURT!E38</t>
        </is>
      </c>
      <c r="E227" s="22" t="inlineStr">
        <is>
          <t>'=KURT(C37:C40)</t>
        </is>
      </c>
      <c r="F227" s="32">
        <f>KURT('KURT'!C37:C40)</f>
        <v/>
      </c>
      <c r="G227" s="19" t="inlineStr">
        <is>
          <t>Hitung hasil pengolahan fungsi KURT untuk keempat baris data pada rentang C37:C40!</t>
        </is>
      </c>
    </row>
    <row r="228">
      <c r="A228" s="5" t="n">
        <v>224</v>
      </c>
      <c r="B228" s="8" t="inlineStr">
        <is>
          <t>KURT</t>
        </is>
      </c>
      <c r="C228" s="6" t="inlineStr">
        <is>
          <t>Soal Tes #4</t>
        </is>
      </c>
      <c r="D228" s="31" t="inlineStr">
        <is>
          <t>KURT!E46</t>
        </is>
      </c>
      <c r="E228" s="22" t="inlineStr">
        <is>
          <t>'=KURT(C45:C48)</t>
        </is>
      </c>
      <c r="F228" s="32">
        <f>KURT('KURT'!C45:C48)</f>
        <v/>
      </c>
      <c r="G228" s="19" t="inlineStr">
        <is>
          <t>Hitung hasil pengolahan fungsi KURT untuk keempat baris data pada rentang C45:C48!</t>
        </is>
      </c>
    </row>
    <row r="229">
      <c r="A229" s="5" t="n">
        <v>225</v>
      </c>
      <c r="B229" s="8" t="inlineStr">
        <is>
          <t>KURT</t>
        </is>
      </c>
      <c r="C229" s="6" t="inlineStr">
        <is>
          <t>Soal Tes #5</t>
        </is>
      </c>
      <c r="D229" s="31" t="inlineStr">
        <is>
          <t>KURT!E54</t>
        </is>
      </c>
      <c r="E229" s="22" t="inlineStr">
        <is>
          <t>'=KURT(C53:C56)</t>
        </is>
      </c>
      <c r="F229" s="32">
        <f>KURT('KURT'!C53:C56)</f>
        <v/>
      </c>
      <c r="G229" s="19" t="inlineStr">
        <is>
          <t>Hitung hasil pengolahan fungsi KURT untuk keempat baris data pada rentang C53:C56!</t>
        </is>
      </c>
    </row>
    <row r="230">
      <c r="A230" s="5" t="n">
        <v>226</v>
      </c>
      <c r="B230" s="8" t="inlineStr">
        <is>
          <t>LARGE</t>
        </is>
      </c>
      <c r="C230" s="6" t="inlineStr">
        <is>
          <t>Soal Tes #1</t>
        </is>
      </c>
      <c r="D230" s="31" t="inlineStr">
        <is>
          <t>LARGE!E22</t>
        </is>
      </c>
      <c r="E230" s="22" t="inlineStr">
        <is>
          <t>'=LARGE(C21:C24, 1)</t>
        </is>
      </c>
      <c r="F230" s="32">
        <f>LARGE('LARGE'!C21:C24, 1)</f>
        <v/>
      </c>
      <c r="G230" s="19" t="inlineStr">
        <is>
          <t>Temukan nilai pada urutan ke-1 dari rentang data C21:C24 menggunakan fungsi LARGE!</t>
        </is>
      </c>
    </row>
    <row r="231">
      <c r="A231" s="5" t="n">
        <v>227</v>
      </c>
      <c r="B231" s="8" t="inlineStr">
        <is>
          <t>LARGE</t>
        </is>
      </c>
      <c r="C231" s="6" t="inlineStr">
        <is>
          <t>Soal Tes #2</t>
        </is>
      </c>
      <c r="D231" s="31" t="inlineStr">
        <is>
          <t>LARGE!E30</t>
        </is>
      </c>
      <c r="E231" s="22" t="inlineStr">
        <is>
          <t>'=LARGE(C29:C32, 2)</t>
        </is>
      </c>
      <c r="F231" s="32">
        <f>LARGE('LARGE'!C29:C32, 2)</f>
        <v/>
      </c>
      <c r="G231" s="19" t="inlineStr">
        <is>
          <t>Temukan nilai pada urutan ke-2 dari rentang data C29:C32 menggunakan fungsi LARGE!</t>
        </is>
      </c>
    </row>
    <row r="232">
      <c r="A232" s="5" t="n">
        <v>228</v>
      </c>
      <c r="B232" s="8" t="inlineStr">
        <is>
          <t>LARGE</t>
        </is>
      </c>
      <c r="C232" s="6" t="inlineStr">
        <is>
          <t>Soal Tes #3</t>
        </is>
      </c>
      <c r="D232" s="31" t="inlineStr">
        <is>
          <t>LARGE!E38</t>
        </is>
      </c>
      <c r="E232" s="22" t="inlineStr">
        <is>
          <t>'=LARGE(C37:C40, 3)</t>
        </is>
      </c>
      <c r="F232" s="32">
        <f>LARGE('LARGE'!C37:C40, 3)</f>
        <v/>
      </c>
      <c r="G232" s="19" t="inlineStr">
        <is>
          <t>Temukan nilai pada urutan ke-3 dari rentang data C37:C40 menggunakan fungsi LARGE!</t>
        </is>
      </c>
    </row>
    <row r="233">
      <c r="A233" s="5" t="n">
        <v>229</v>
      </c>
      <c r="B233" s="8" t="inlineStr">
        <is>
          <t>LARGE</t>
        </is>
      </c>
      <c r="C233" s="6" t="inlineStr">
        <is>
          <t>Soal Tes #4</t>
        </is>
      </c>
      <c r="D233" s="31" t="inlineStr">
        <is>
          <t>LARGE!E46</t>
        </is>
      </c>
      <c r="E233" s="22" t="inlineStr">
        <is>
          <t>'=LARGE(C45:C48, 1)</t>
        </is>
      </c>
      <c r="F233" s="32">
        <f>LARGE('LARGE'!C45:C48, 1)</f>
        <v/>
      </c>
      <c r="G233" s="19" t="inlineStr">
        <is>
          <t>Temukan nilai pada urutan ke-1 dari rentang data C45:C48 menggunakan fungsi LARGE!</t>
        </is>
      </c>
    </row>
    <row r="234">
      <c r="A234" s="5" t="n">
        <v>230</v>
      </c>
      <c r="B234" s="8" t="inlineStr">
        <is>
          <t>LARGE</t>
        </is>
      </c>
      <c r="C234" s="6" t="inlineStr">
        <is>
          <t>Soal Tes #5</t>
        </is>
      </c>
      <c r="D234" s="31" t="inlineStr">
        <is>
          <t>LARGE!E54</t>
        </is>
      </c>
      <c r="E234" s="22" t="inlineStr">
        <is>
          <t>'=LARGE(C53:C56, 2)</t>
        </is>
      </c>
      <c r="F234" s="32">
        <f>LARGE('LARGE'!C53:C56, 2)</f>
        <v/>
      </c>
      <c r="G234" s="19" t="inlineStr">
        <is>
          <t>Temukan nilai pada urutan ke-2 dari rentang data C53:C56 menggunakan fungsi LARGE!</t>
        </is>
      </c>
    </row>
    <row r="235">
      <c r="A235" s="5" t="n">
        <v>231</v>
      </c>
      <c r="B235" s="8" t="inlineStr">
        <is>
          <t>LOGNORM.DIST</t>
        </is>
      </c>
      <c r="C235" s="6" t="inlineStr">
        <is>
          <t>Soal Tes #1</t>
        </is>
      </c>
      <c r="D235" s="31" t="inlineStr">
        <is>
          <t>LOGNORM.DIST!E22</t>
        </is>
      </c>
      <c r="E235" s="22" t="inlineStr">
        <is>
          <t>'=LOGNORM.DIST(C21, C22, C23, TRUE)</t>
        </is>
      </c>
      <c r="F235" s="32">
        <f>LOGNORM.DIST('LOGNORM.DIST'!C21, 'LOGNORM.DIST'!C22, 'LOGNORM.DIST'!C23, TRUE)</f>
        <v/>
      </c>
      <c r="G235" s="19" t="inlineStr">
        <is>
          <t>Hitung nilai distribusi kumulatif (TRUE) menggunakan fungsi LOGNORM.DIST dengan argumen berurutan C21, C22, C23, dan TRUE!</t>
        </is>
      </c>
    </row>
    <row r="236">
      <c r="A236" s="5" t="n">
        <v>232</v>
      </c>
      <c r="B236" s="8" t="inlineStr">
        <is>
          <t>LOGNORM.DIST</t>
        </is>
      </c>
      <c r="C236" s="6" t="inlineStr">
        <is>
          <t>Soal Tes #2</t>
        </is>
      </c>
      <c r="D236" s="31" t="inlineStr">
        <is>
          <t>LOGNORM.DIST!E30</t>
        </is>
      </c>
      <c r="E236" s="22" t="inlineStr">
        <is>
          <t>'=LOGNORM.DIST(C29, C30, C31, TRUE)</t>
        </is>
      </c>
      <c r="F236" s="32">
        <f>LOGNORM.DIST('LOGNORM.DIST'!C29, 'LOGNORM.DIST'!C30, 'LOGNORM.DIST'!C31, TRUE)</f>
        <v/>
      </c>
      <c r="G236" s="19" t="inlineStr">
        <is>
          <t>Hitung nilai distribusi kumulatif (TRUE) menggunakan fungsi LOGNORM.DIST dengan argumen berurutan C29, C30, C31, dan TRUE!</t>
        </is>
      </c>
    </row>
    <row r="237">
      <c r="A237" s="5" t="n">
        <v>233</v>
      </c>
      <c r="B237" s="8" t="inlineStr">
        <is>
          <t>LOGNORM.DIST</t>
        </is>
      </c>
      <c r="C237" s="6" t="inlineStr">
        <is>
          <t>Soal Tes #3</t>
        </is>
      </c>
      <c r="D237" s="31" t="inlineStr">
        <is>
          <t>LOGNORM.DIST!E38</t>
        </is>
      </c>
      <c r="E237" s="22" t="inlineStr">
        <is>
          <t>'=LOGNORM.DIST(C37, C38, C39, TRUE)</t>
        </is>
      </c>
      <c r="F237" s="32">
        <f>LOGNORM.DIST('LOGNORM.DIST'!C37, 'LOGNORM.DIST'!C38, 'LOGNORM.DIST'!C39, TRUE)</f>
        <v/>
      </c>
      <c r="G237" s="19" t="inlineStr">
        <is>
          <t>Hitung nilai distribusi kumulatif (TRUE) menggunakan fungsi LOGNORM.DIST dengan argumen berurutan C37, C38, C39, dan TRUE!</t>
        </is>
      </c>
    </row>
    <row r="238">
      <c r="A238" s="5" t="n">
        <v>234</v>
      </c>
      <c r="B238" s="8" t="inlineStr">
        <is>
          <t>LOGNORM.DIST</t>
        </is>
      </c>
      <c r="C238" s="6" t="inlineStr">
        <is>
          <t>Soal Tes #4</t>
        </is>
      </c>
      <c r="D238" s="31" t="inlineStr">
        <is>
          <t>LOGNORM.DIST!E46</t>
        </is>
      </c>
      <c r="E238" s="22" t="inlineStr">
        <is>
          <t>'=LOGNORM.DIST(C45, C46, C47, TRUE)</t>
        </is>
      </c>
      <c r="F238" s="32">
        <f>LOGNORM.DIST('LOGNORM.DIST'!C45, 'LOGNORM.DIST'!C46, 'LOGNORM.DIST'!C47, TRUE)</f>
        <v/>
      </c>
      <c r="G238" s="19" t="inlineStr">
        <is>
          <t>Hitung nilai distribusi kumulatif (TRUE) menggunakan fungsi LOGNORM.DIST dengan argumen berurutan C45, C46, C47, dan TRUE!</t>
        </is>
      </c>
    </row>
    <row r="239">
      <c r="A239" s="5" t="n">
        <v>235</v>
      </c>
      <c r="B239" s="8" t="inlineStr">
        <is>
          <t>LOGNORM.DIST</t>
        </is>
      </c>
      <c r="C239" s="6" t="inlineStr">
        <is>
          <t>Soal Tes #5</t>
        </is>
      </c>
      <c r="D239" s="31" t="inlineStr">
        <is>
          <t>LOGNORM.DIST!E54</t>
        </is>
      </c>
      <c r="E239" s="22" t="inlineStr">
        <is>
          <t>'=LOGNORM.DIST(C53, C54, C55, TRUE)</t>
        </is>
      </c>
      <c r="F239" s="32">
        <f>LOGNORM.DIST('LOGNORM.DIST'!C53, 'LOGNORM.DIST'!C54, 'LOGNORM.DIST'!C55, TRUE)</f>
        <v/>
      </c>
      <c r="G239" s="19" t="inlineStr">
        <is>
          <t>Hitung nilai distribusi kumulatif (TRUE) menggunakan fungsi LOGNORM.DIST dengan argumen berurutan C53, C54, C55, dan TRUE!</t>
        </is>
      </c>
    </row>
    <row r="240">
      <c r="A240" s="5" t="n">
        <v>236</v>
      </c>
      <c r="B240" s="8" t="inlineStr">
        <is>
          <t>LOGINV</t>
        </is>
      </c>
      <c r="C240" s="6" t="inlineStr">
        <is>
          <t>Soal Tes #1</t>
        </is>
      </c>
      <c r="D240" s="31" t="inlineStr">
        <is>
          <t>LOGINV!E22</t>
        </is>
      </c>
      <c r="E240" s="22" t="inlineStr">
        <is>
          <t>'=LOGNORM.INV(C21, C22, C23)</t>
        </is>
      </c>
      <c r="F240" s="32">
        <f>LOGNORM.INV('LOGINV'!C21, 'LOGINV'!C22, 'LOGINV'!C23)</f>
        <v/>
      </c>
      <c r="G240" s="19" t="inlineStr">
        <is>
          <t>Hitung nilai invers distribusi menggunakan fungsi LOGNORM.INV dengan argumen berurutan C21, C22, dan C23!</t>
        </is>
      </c>
    </row>
    <row r="241">
      <c r="A241" s="5" t="n">
        <v>237</v>
      </c>
      <c r="B241" s="8" t="inlineStr">
        <is>
          <t>LOGINV</t>
        </is>
      </c>
      <c r="C241" s="6" t="inlineStr">
        <is>
          <t>Soal Tes #2</t>
        </is>
      </c>
      <c r="D241" s="31" t="inlineStr">
        <is>
          <t>LOGINV!E30</t>
        </is>
      </c>
      <c r="E241" s="22" t="inlineStr">
        <is>
          <t>'=LOGNORM.INV(C29, C30, C31)</t>
        </is>
      </c>
      <c r="F241" s="32">
        <f>LOGNORM.INV('LOGINV'!C29, 'LOGINV'!C30, 'LOGINV'!C31)</f>
        <v/>
      </c>
      <c r="G241" s="19" t="inlineStr">
        <is>
          <t>Hitung nilai invers distribusi menggunakan fungsi LOGNORM.INV dengan argumen berurutan C29, C30, dan C31!</t>
        </is>
      </c>
    </row>
    <row r="242">
      <c r="A242" s="5" t="n">
        <v>238</v>
      </c>
      <c r="B242" s="8" t="inlineStr">
        <is>
          <t>LOGINV</t>
        </is>
      </c>
      <c r="C242" s="6" t="inlineStr">
        <is>
          <t>Soal Tes #3</t>
        </is>
      </c>
      <c r="D242" s="31" t="inlineStr">
        <is>
          <t>LOGINV!E38</t>
        </is>
      </c>
      <c r="E242" s="22" t="inlineStr">
        <is>
          <t>'=LOGNORM.INV(C37, C38, C39)</t>
        </is>
      </c>
      <c r="F242" s="32">
        <f>LOGNORM.INV('LOGINV'!C37, 'LOGINV'!C38, 'LOGINV'!C39)</f>
        <v/>
      </c>
      <c r="G242" s="19" t="inlineStr">
        <is>
          <t>Hitung nilai invers distribusi menggunakan fungsi LOGNORM.INV dengan argumen berurutan C37, C38, dan C39!</t>
        </is>
      </c>
    </row>
    <row r="243">
      <c r="A243" s="5" t="n">
        <v>239</v>
      </c>
      <c r="B243" s="8" t="inlineStr">
        <is>
          <t>LOGINV</t>
        </is>
      </c>
      <c r="C243" s="6" t="inlineStr">
        <is>
          <t>Soal Tes #4</t>
        </is>
      </c>
      <c r="D243" s="31" t="inlineStr">
        <is>
          <t>LOGINV!E46</t>
        </is>
      </c>
      <c r="E243" s="22" t="inlineStr">
        <is>
          <t>'=LOGNORM.INV(C45, C46, C47)</t>
        </is>
      </c>
      <c r="F243" s="32">
        <f>LOGNORM.INV('LOGINV'!C45, 'LOGINV'!C46, 'LOGINV'!C47)</f>
        <v/>
      </c>
      <c r="G243" s="19" t="inlineStr">
        <is>
          <t>Hitung nilai invers distribusi menggunakan fungsi LOGNORM.INV dengan argumen berurutan C45, C46, dan C47!</t>
        </is>
      </c>
    </row>
    <row r="244">
      <c r="A244" s="5" t="n">
        <v>240</v>
      </c>
      <c r="B244" s="8" t="inlineStr">
        <is>
          <t>LOGINV</t>
        </is>
      </c>
      <c r="C244" s="6" t="inlineStr">
        <is>
          <t>Soal Tes #5</t>
        </is>
      </c>
      <c r="D244" s="31" t="inlineStr">
        <is>
          <t>LOGINV!E54</t>
        </is>
      </c>
      <c r="E244" s="22" t="inlineStr">
        <is>
          <t>'=LOGNORM.INV(C53, C54, C55)</t>
        </is>
      </c>
      <c r="F244" s="32">
        <f>LOGNORM.INV('LOGINV'!C53, 'LOGINV'!C54, 'LOGINV'!C55)</f>
        <v/>
      </c>
      <c r="G244" s="19" t="inlineStr">
        <is>
          <t>Hitung nilai invers distribusi menggunakan fungsi LOGNORM.INV dengan argumen berurutan C53, C54, dan C55!</t>
        </is>
      </c>
    </row>
    <row r="245">
      <c r="A245" s="5" t="n">
        <v>241</v>
      </c>
      <c r="B245" s="8" t="inlineStr">
        <is>
          <t>MAX</t>
        </is>
      </c>
      <c r="C245" s="6" t="inlineStr">
        <is>
          <t>Soal Tes #1</t>
        </is>
      </c>
      <c r="D245" s="31" t="inlineStr">
        <is>
          <t>MAX!E22</t>
        </is>
      </c>
      <c r="E245" s="22" t="inlineStr">
        <is>
          <t>'=MAX(C21:C24)</t>
        </is>
      </c>
      <c r="F245" s="32">
        <f>MAX('MAX'!C21:C24)</f>
        <v/>
      </c>
      <c r="G245" s="19" t="inlineStr">
        <is>
          <t>Hitung hasil pengolahan fungsi MAX untuk keempat baris data pada rentang C21:C24!</t>
        </is>
      </c>
    </row>
    <row r="246">
      <c r="A246" s="5" t="n">
        <v>242</v>
      </c>
      <c r="B246" s="8" t="inlineStr">
        <is>
          <t>MAX</t>
        </is>
      </c>
      <c r="C246" s="6" t="inlineStr">
        <is>
          <t>Soal Tes #2</t>
        </is>
      </c>
      <c r="D246" s="31" t="inlineStr">
        <is>
          <t>MAX!E30</t>
        </is>
      </c>
      <c r="E246" s="22" t="inlineStr">
        <is>
          <t>'=MAX(C29:C32)</t>
        </is>
      </c>
      <c r="F246" s="32">
        <f>MAX('MAX'!C29:C32)</f>
        <v/>
      </c>
      <c r="G246" s="19" t="inlineStr">
        <is>
          <t>Hitung hasil pengolahan fungsi MAX untuk keempat baris data pada rentang C29:C32!</t>
        </is>
      </c>
    </row>
    <row r="247">
      <c r="A247" s="5" t="n">
        <v>243</v>
      </c>
      <c r="B247" s="8" t="inlineStr">
        <is>
          <t>MAX</t>
        </is>
      </c>
      <c r="C247" s="6" t="inlineStr">
        <is>
          <t>Soal Tes #3</t>
        </is>
      </c>
      <c r="D247" s="31" t="inlineStr">
        <is>
          <t>MAX!E38</t>
        </is>
      </c>
      <c r="E247" s="22" t="inlineStr">
        <is>
          <t>'=MAX(C37:C40)</t>
        </is>
      </c>
      <c r="F247" s="32">
        <f>MAX('MAX'!C37:C40)</f>
        <v/>
      </c>
      <c r="G247" s="19" t="inlineStr">
        <is>
          <t>Hitung hasil pengolahan fungsi MAX untuk keempat baris data pada rentang C37:C40!</t>
        </is>
      </c>
    </row>
    <row r="248">
      <c r="A248" s="5" t="n">
        <v>244</v>
      </c>
      <c r="B248" s="8" t="inlineStr">
        <is>
          <t>MAX</t>
        </is>
      </c>
      <c r="C248" s="6" t="inlineStr">
        <is>
          <t>Soal Tes #4</t>
        </is>
      </c>
      <c r="D248" s="31" t="inlineStr">
        <is>
          <t>MAX!E46</t>
        </is>
      </c>
      <c r="E248" s="22" t="inlineStr">
        <is>
          <t>'=MAX(C45:C48)</t>
        </is>
      </c>
      <c r="F248" s="32">
        <f>MAX('MAX'!C45:C48)</f>
        <v/>
      </c>
      <c r="G248" s="19" t="inlineStr">
        <is>
          <t>Hitung hasil pengolahan fungsi MAX untuk keempat baris data pada rentang C45:C48!</t>
        </is>
      </c>
    </row>
    <row r="249">
      <c r="A249" s="5" t="n">
        <v>245</v>
      </c>
      <c r="B249" s="8" t="inlineStr">
        <is>
          <t>MAX</t>
        </is>
      </c>
      <c r="C249" s="6" t="inlineStr">
        <is>
          <t>Soal Tes #5</t>
        </is>
      </c>
      <c r="D249" s="31" t="inlineStr">
        <is>
          <t>MAX!E54</t>
        </is>
      </c>
      <c r="E249" s="22" t="inlineStr">
        <is>
          <t>'=MAX(C53:C56)</t>
        </is>
      </c>
      <c r="F249" s="32">
        <f>MAX('MAX'!C53:C56)</f>
        <v/>
      </c>
      <c r="G249" s="19" t="inlineStr">
        <is>
          <t>Hitung hasil pengolahan fungsi MAX untuk keempat baris data pada rentang C53:C56!</t>
        </is>
      </c>
    </row>
    <row r="250">
      <c r="A250" s="5" t="n">
        <v>246</v>
      </c>
      <c r="B250" s="8" t="inlineStr">
        <is>
          <t>MAXA</t>
        </is>
      </c>
      <c r="C250" s="6" t="inlineStr">
        <is>
          <t>Soal Tes #1</t>
        </is>
      </c>
      <c r="D250" s="31" t="inlineStr">
        <is>
          <t>MAXA!E22</t>
        </is>
      </c>
      <c r="E250" s="22" t="inlineStr">
        <is>
          <t>'=MAXA(C21:C24)</t>
        </is>
      </c>
      <c r="F250" s="32">
        <f>MAXA('MAXA'!C21:C24)</f>
        <v/>
      </c>
      <c r="G250" s="19" t="inlineStr">
        <is>
          <t>Hitung hasil pengolahan fungsi MAXA untuk keempat baris data pada rentang C21:C24!</t>
        </is>
      </c>
    </row>
    <row r="251">
      <c r="A251" s="5" t="n">
        <v>247</v>
      </c>
      <c r="B251" s="8" t="inlineStr">
        <is>
          <t>MAXA</t>
        </is>
      </c>
      <c r="C251" s="6" t="inlineStr">
        <is>
          <t>Soal Tes #2</t>
        </is>
      </c>
      <c r="D251" s="31" t="inlineStr">
        <is>
          <t>MAXA!E30</t>
        </is>
      </c>
      <c r="E251" s="22" t="inlineStr">
        <is>
          <t>'=MAXA(C29:C32)</t>
        </is>
      </c>
      <c r="F251" s="32">
        <f>MAXA('MAXA'!C29:C32)</f>
        <v/>
      </c>
      <c r="G251" s="19" t="inlineStr">
        <is>
          <t>Hitung hasil pengolahan fungsi MAXA untuk keempat baris data pada rentang C29:C32!</t>
        </is>
      </c>
    </row>
    <row r="252">
      <c r="A252" s="5" t="n">
        <v>248</v>
      </c>
      <c r="B252" s="8" t="inlineStr">
        <is>
          <t>MAXA</t>
        </is>
      </c>
      <c r="C252" s="6" t="inlineStr">
        <is>
          <t>Soal Tes #3</t>
        </is>
      </c>
      <c r="D252" s="31" t="inlineStr">
        <is>
          <t>MAXA!E38</t>
        </is>
      </c>
      <c r="E252" s="22" t="inlineStr">
        <is>
          <t>'=MAXA(C37:C40)</t>
        </is>
      </c>
      <c r="F252" s="32">
        <f>MAXA('MAXA'!C37:C40)</f>
        <v/>
      </c>
      <c r="G252" s="19" t="inlineStr">
        <is>
          <t>Hitung hasil pengolahan fungsi MAXA untuk keempat baris data pada rentang C37:C40!</t>
        </is>
      </c>
    </row>
    <row r="253">
      <c r="A253" s="5" t="n">
        <v>249</v>
      </c>
      <c r="B253" s="8" t="inlineStr">
        <is>
          <t>MAXA</t>
        </is>
      </c>
      <c r="C253" s="6" t="inlineStr">
        <is>
          <t>Soal Tes #4</t>
        </is>
      </c>
      <c r="D253" s="31" t="inlineStr">
        <is>
          <t>MAXA!E46</t>
        </is>
      </c>
      <c r="E253" s="22" t="inlineStr">
        <is>
          <t>'=MAXA(C45:C48)</t>
        </is>
      </c>
      <c r="F253" s="32">
        <f>MAXA('MAXA'!C45:C48)</f>
        <v/>
      </c>
      <c r="G253" s="19" t="inlineStr">
        <is>
          <t>Hitung hasil pengolahan fungsi MAXA untuk keempat baris data pada rentang C45:C48!</t>
        </is>
      </c>
    </row>
    <row r="254">
      <c r="A254" s="5" t="n">
        <v>250</v>
      </c>
      <c r="B254" s="8" t="inlineStr">
        <is>
          <t>MAXA</t>
        </is>
      </c>
      <c r="C254" s="6" t="inlineStr">
        <is>
          <t>Soal Tes #5</t>
        </is>
      </c>
      <c r="D254" s="31" t="inlineStr">
        <is>
          <t>MAXA!E54</t>
        </is>
      </c>
      <c r="E254" s="22" t="inlineStr">
        <is>
          <t>'=MAXA(C53:C56)</t>
        </is>
      </c>
      <c r="F254" s="32">
        <f>MAXA('MAXA'!C53:C56)</f>
        <v/>
      </c>
      <c r="G254" s="19" t="inlineStr">
        <is>
          <t>Hitung hasil pengolahan fungsi MAXA untuk keempat baris data pada rentang C53:C56!</t>
        </is>
      </c>
    </row>
    <row r="255">
      <c r="A255" s="5" t="n">
        <v>251</v>
      </c>
      <c r="B255" s="8" t="inlineStr">
        <is>
          <t>MEDIAN</t>
        </is>
      </c>
      <c r="C255" s="6" t="inlineStr">
        <is>
          <t>Soal Tes #1</t>
        </is>
      </c>
      <c r="D255" s="31" t="inlineStr">
        <is>
          <t>MEDIAN!E22</t>
        </is>
      </c>
      <c r="E255" s="22" t="inlineStr">
        <is>
          <t>'=MEDIAN(C21:C24)</t>
        </is>
      </c>
      <c r="F255" s="32">
        <f>MEDIAN('MEDIAN'!C21:C24)</f>
        <v/>
      </c>
      <c r="G255" s="19" t="inlineStr">
        <is>
          <t>Hitung hasil pengolahan fungsi MEDIAN untuk keempat baris data pada rentang C21:C24!</t>
        </is>
      </c>
    </row>
    <row r="256">
      <c r="A256" s="5" t="n">
        <v>252</v>
      </c>
      <c r="B256" s="8" t="inlineStr">
        <is>
          <t>MEDIAN</t>
        </is>
      </c>
      <c r="C256" s="6" t="inlineStr">
        <is>
          <t>Soal Tes #2</t>
        </is>
      </c>
      <c r="D256" s="31" t="inlineStr">
        <is>
          <t>MEDIAN!E30</t>
        </is>
      </c>
      <c r="E256" s="22" t="inlineStr">
        <is>
          <t>'=MEDIAN(C29:C32)</t>
        </is>
      </c>
      <c r="F256" s="32">
        <f>MEDIAN('MEDIAN'!C29:C32)</f>
        <v/>
      </c>
      <c r="G256" s="19" t="inlineStr">
        <is>
          <t>Hitung hasil pengolahan fungsi MEDIAN untuk keempat baris data pada rentang C29:C32!</t>
        </is>
      </c>
    </row>
    <row r="257">
      <c r="A257" s="5" t="n">
        <v>253</v>
      </c>
      <c r="B257" s="8" t="inlineStr">
        <is>
          <t>MEDIAN</t>
        </is>
      </c>
      <c r="C257" s="6" t="inlineStr">
        <is>
          <t>Soal Tes #3</t>
        </is>
      </c>
      <c r="D257" s="31" t="inlineStr">
        <is>
          <t>MEDIAN!E38</t>
        </is>
      </c>
      <c r="E257" s="22" t="inlineStr">
        <is>
          <t>'=MEDIAN(C37:C40)</t>
        </is>
      </c>
      <c r="F257" s="32">
        <f>MEDIAN('MEDIAN'!C37:C40)</f>
        <v/>
      </c>
      <c r="G257" s="19" t="inlineStr">
        <is>
          <t>Hitung hasil pengolahan fungsi MEDIAN untuk keempat baris data pada rentang C37:C40!</t>
        </is>
      </c>
    </row>
    <row r="258">
      <c r="A258" s="5" t="n">
        <v>254</v>
      </c>
      <c r="B258" s="8" t="inlineStr">
        <is>
          <t>MEDIAN</t>
        </is>
      </c>
      <c r="C258" s="6" t="inlineStr">
        <is>
          <t>Soal Tes #4</t>
        </is>
      </c>
      <c r="D258" s="31" t="inlineStr">
        <is>
          <t>MEDIAN!E46</t>
        </is>
      </c>
      <c r="E258" s="22" t="inlineStr">
        <is>
          <t>'=MEDIAN(C45:C48)</t>
        </is>
      </c>
      <c r="F258" s="32">
        <f>MEDIAN('MEDIAN'!C45:C48)</f>
        <v/>
      </c>
      <c r="G258" s="19" t="inlineStr">
        <is>
          <t>Hitung hasil pengolahan fungsi MEDIAN untuk keempat baris data pada rentang C45:C48!</t>
        </is>
      </c>
    </row>
    <row r="259">
      <c r="A259" s="5" t="n">
        <v>255</v>
      </c>
      <c r="B259" s="8" t="inlineStr">
        <is>
          <t>MEDIAN</t>
        </is>
      </c>
      <c r="C259" s="6" t="inlineStr">
        <is>
          <t>Soal Tes #5</t>
        </is>
      </c>
      <c r="D259" s="31" t="inlineStr">
        <is>
          <t>MEDIAN!E54</t>
        </is>
      </c>
      <c r="E259" s="22" t="inlineStr">
        <is>
          <t>'=MEDIAN(C53:C56)</t>
        </is>
      </c>
      <c r="F259" s="32">
        <f>MEDIAN('MEDIAN'!C53:C56)</f>
        <v/>
      </c>
      <c r="G259" s="19" t="inlineStr">
        <is>
          <t>Hitung hasil pengolahan fungsi MEDIAN untuk keempat baris data pada rentang C53:C56!</t>
        </is>
      </c>
    </row>
    <row r="260">
      <c r="A260" s="5" t="n">
        <v>256</v>
      </c>
      <c r="B260" s="8" t="inlineStr">
        <is>
          <t>MIN</t>
        </is>
      </c>
      <c r="C260" s="6" t="inlineStr">
        <is>
          <t>Soal Tes #1</t>
        </is>
      </c>
      <c r="D260" s="31" t="inlineStr">
        <is>
          <t>MIN!E22</t>
        </is>
      </c>
      <c r="E260" s="22" t="inlineStr">
        <is>
          <t>'=MIN(C21:C24)</t>
        </is>
      </c>
      <c r="F260" s="32">
        <f>MIN('MIN'!C21:C24)</f>
        <v/>
      </c>
      <c r="G260" s="19" t="inlineStr">
        <is>
          <t>Hitung hasil pengolahan fungsi MIN untuk keempat baris data pada rentang C21:C24!</t>
        </is>
      </c>
    </row>
    <row r="261">
      <c r="A261" s="5" t="n">
        <v>257</v>
      </c>
      <c r="B261" s="8" t="inlineStr">
        <is>
          <t>MIN</t>
        </is>
      </c>
      <c r="C261" s="6" t="inlineStr">
        <is>
          <t>Soal Tes #2</t>
        </is>
      </c>
      <c r="D261" s="31" t="inlineStr">
        <is>
          <t>MIN!E30</t>
        </is>
      </c>
      <c r="E261" s="22" t="inlineStr">
        <is>
          <t>'=MIN(C29:C32)</t>
        </is>
      </c>
      <c r="F261" s="32">
        <f>MIN('MIN'!C29:C32)</f>
        <v/>
      </c>
      <c r="G261" s="19" t="inlineStr">
        <is>
          <t>Hitung hasil pengolahan fungsi MIN untuk keempat baris data pada rentang C29:C32!</t>
        </is>
      </c>
    </row>
    <row r="262">
      <c r="A262" s="5" t="n">
        <v>258</v>
      </c>
      <c r="B262" s="8" t="inlineStr">
        <is>
          <t>MIN</t>
        </is>
      </c>
      <c r="C262" s="6" t="inlineStr">
        <is>
          <t>Soal Tes #3</t>
        </is>
      </c>
      <c r="D262" s="31" t="inlineStr">
        <is>
          <t>MIN!E38</t>
        </is>
      </c>
      <c r="E262" s="22" t="inlineStr">
        <is>
          <t>'=MIN(C37:C40)</t>
        </is>
      </c>
      <c r="F262" s="32">
        <f>MIN('MIN'!C37:C40)</f>
        <v/>
      </c>
      <c r="G262" s="19" t="inlineStr">
        <is>
          <t>Hitung hasil pengolahan fungsi MIN untuk keempat baris data pada rentang C37:C40!</t>
        </is>
      </c>
    </row>
    <row r="263">
      <c r="A263" s="5" t="n">
        <v>259</v>
      </c>
      <c r="B263" s="8" t="inlineStr">
        <is>
          <t>MIN</t>
        </is>
      </c>
      <c r="C263" s="6" t="inlineStr">
        <is>
          <t>Soal Tes #4</t>
        </is>
      </c>
      <c r="D263" s="31" t="inlineStr">
        <is>
          <t>MIN!E46</t>
        </is>
      </c>
      <c r="E263" s="22" t="inlineStr">
        <is>
          <t>'=MIN(C45:C48)</t>
        </is>
      </c>
      <c r="F263" s="32">
        <f>MIN('MIN'!C45:C48)</f>
        <v/>
      </c>
      <c r="G263" s="19" t="inlineStr">
        <is>
          <t>Hitung hasil pengolahan fungsi MIN untuk keempat baris data pada rentang C45:C48!</t>
        </is>
      </c>
    </row>
    <row r="264">
      <c r="A264" s="5" t="n">
        <v>260</v>
      </c>
      <c r="B264" s="8" t="inlineStr">
        <is>
          <t>MIN</t>
        </is>
      </c>
      <c r="C264" s="6" t="inlineStr">
        <is>
          <t>Soal Tes #5</t>
        </is>
      </c>
      <c r="D264" s="31" t="inlineStr">
        <is>
          <t>MIN!E54</t>
        </is>
      </c>
      <c r="E264" s="22" t="inlineStr">
        <is>
          <t>'=MIN(C53:C56)</t>
        </is>
      </c>
      <c r="F264" s="32">
        <f>MIN('MIN'!C53:C56)</f>
        <v/>
      </c>
      <c r="G264" s="19" t="inlineStr">
        <is>
          <t>Hitung hasil pengolahan fungsi MIN untuk keempat baris data pada rentang C53:C56!</t>
        </is>
      </c>
    </row>
    <row r="265">
      <c r="A265" s="5" t="n">
        <v>261</v>
      </c>
      <c r="B265" s="8" t="inlineStr">
        <is>
          <t>MINA</t>
        </is>
      </c>
      <c r="C265" s="6" t="inlineStr">
        <is>
          <t>Soal Tes #1</t>
        </is>
      </c>
      <c r="D265" s="31" t="inlineStr">
        <is>
          <t>MINA!E22</t>
        </is>
      </c>
      <c r="E265" s="22" t="inlineStr">
        <is>
          <t>'=MINA(C21:C24)</t>
        </is>
      </c>
      <c r="F265" s="32">
        <f>MINA('MINA'!C21:C24)</f>
        <v/>
      </c>
      <c r="G265" s="19" t="inlineStr">
        <is>
          <t>Hitung hasil pengolahan fungsi MINA untuk keempat baris data pada rentang C21:C24!</t>
        </is>
      </c>
    </row>
    <row r="266">
      <c r="A266" s="5" t="n">
        <v>262</v>
      </c>
      <c r="B266" s="8" t="inlineStr">
        <is>
          <t>MINA</t>
        </is>
      </c>
      <c r="C266" s="6" t="inlineStr">
        <is>
          <t>Soal Tes #2</t>
        </is>
      </c>
      <c r="D266" s="31" t="inlineStr">
        <is>
          <t>MINA!E30</t>
        </is>
      </c>
      <c r="E266" s="22" t="inlineStr">
        <is>
          <t>'=MINA(C29:C32)</t>
        </is>
      </c>
      <c r="F266" s="32">
        <f>MINA('MINA'!C29:C32)</f>
        <v/>
      </c>
      <c r="G266" s="19" t="inlineStr">
        <is>
          <t>Hitung hasil pengolahan fungsi MINA untuk keempat baris data pada rentang C29:C32!</t>
        </is>
      </c>
    </row>
    <row r="267">
      <c r="A267" s="5" t="n">
        <v>263</v>
      </c>
      <c r="B267" s="8" t="inlineStr">
        <is>
          <t>MINA</t>
        </is>
      </c>
      <c r="C267" s="6" t="inlineStr">
        <is>
          <t>Soal Tes #3</t>
        </is>
      </c>
      <c r="D267" s="31" t="inlineStr">
        <is>
          <t>MINA!E38</t>
        </is>
      </c>
      <c r="E267" s="22" t="inlineStr">
        <is>
          <t>'=MINA(C37:C40)</t>
        </is>
      </c>
      <c r="F267" s="32">
        <f>MINA('MINA'!C37:C40)</f>
        <v/>
      </c>
      <c r="G267" s="19" t="inlineStr">
        <is>
          <t>Hitung hasil pengolahan fungsi MINA untuk keempat baris data pada rentang C37:C40!</t>
        </is>
      </c>
    </row>
    <row r="268">
      <c r="A268" s="5" t="n">
        <v>264</v>
      </c>
      <c r="B268" s="8" t="inlineStr">
        <is>
          <t>MINA</t>
        </is>
      </c>
      <c r="C268" s="6" t="inlineStr">
        <is>
          <t>Soal Tes #4</t>
        </is>
      </c>
      <c r="D268" s="31" t="inlineStr">
        <is>
          <t>MINA!E46</t>
        </is>
      </c>
      <c r="E268" s="22" t="inlineStr">
        <is>
          <t>'=MINA(C45:C48)</t>
        </is>
      </c>
      <c r="F268" s="32">
        <f>MINA('MINA'!C45:C48)</f>
        <v/>
      </c>
      <c r="G268" s="19" t="inlineStr">
        <is>
          <t>Hitung hasil pengolahan fungsi MINA untuk keempat baris data pada rentang C45:C48!</t>
        </is>
      </c>
    </row>
    <row r="269">
      <c r="A269" s="5" t="n">
        <v>265</v>
      </c>
      <c r="B269" s="8" t="inlineStr">
        <is>
          <t>MINA</t>
        </is>
      </c>
      <c r="C269" s="6" t="inlineStr">
        <is>
          <t>Soal Tes #5</t>
        </is>
      </c>
      <c r="D269" s="31" t="inlineStr">
        <is>
          <t>MINA!E54</t>
        </is>
      </c>
      <c r="E269" s="22" t="inlineStr">
        <is>
          <t>'=MINA(C53:C56)</t>
        </is>
      </c>
      <c r="F269" s="32">
        <f>MINA('MINA'!C53:C56)</f>
        <v/>
      </c>
      <c r="G269" s="19" t="inlineStr">
        <is>
          <t>Hitung hasil pengolahan fungsi MINA untuk keempat baris data pada rentang C53:C56!</t>
        </is>
      </c>
    </row>
    <row r="270">
      <c r="A270" s="5" t="n">
        <v>266</v>
      </c>
      <c r="B270" s="8" t="inlineStr">
        <is>
          <t>MODE</t>
        </is>
      </c>
      <c r="C270" s="6" t="inlineStr">
        <is>
          <t>Soal Tes #1</t>
        </is>
      </c>
      <c r="D270" s="31" t="inlineStr">
        <is>
          <t>MODE!E22</t>
        </is>
      </c>
      <c r="E270" s="22" t="inlineStr">
        <is>
          <t>'=MODE(C21:C24)</t>
        </is>
      </c>
      <c r="F270" s="32">
        <f>MODE('MODE'!C21:C24)</f>
        <v/>
      </c>
      <c r="G270" s="19" t="inlineStr">
        <is>
          <t>Cari nilai yang paling sering muncul (modus) pada rentang data C21:C24 menggunakan fungsi MODE!</t>
        </is>
      </c>
    </row>
    <row r="271">
      <c r="A271" s="5" t="n">
        <v>267</v>
      </c>
      <c r="B271" s="8" t="inlineStr">
        <is>
          <t>MODE</t>
        </is>
      </c>
      <c r="C271" s="6" t="inlineStr">
        <is>
          <t>Soal Tes #2</t>
        </is>
      </c>
      <c r="D271" s="31" t="inlineStr">
        <is>
          <t>MODE!E30</t>
        </is>
      </c>
      <c r="E271" s="22" t="inlineStr">
        <is>
          <t>'=MODE(C29:C32)</t>
        </is>
      </c>
      <c r="F271" s="32">
        <f>MODE('MODE'!C29:C32)</f>
        <v/>
      </c>
      <c r="G271" s="19" t="inlineStr">
        <is>
          <t>Cari nilai yang paling sering muncul (modus) pada rentang data C29:C32 menggunakan fungsi MODE!</t>
        </is>
      </c>
    </row>
    <row r="272">
      <c r="A272" s="5" t="n">
        <v>268</v>
      </c>
      <c r="B272" s="8" t="inlineStr">
        <is>
          <t>MODE</t>
        </is>
      </c>
      <c r="C272" s="6" t="inlineStr">
        <is>
          <t>Soal Tes #3</t>
        </is>
      </c>
      <c r="D272" s="31" t="inlineStr">
        <is>
          <t>MODE!E38</t>
        </is>
      </c>
      <c r="E272" s="22" t="inlineStr">
        <is>
          <t>'=MODE(C37:C40)</t>
        </is>
      </c>
      <c r="F272" s="32">
        <f>MODE('MODE'!C37:C40)</f>
        <v/>
      </c>
      <c r="G272" s="19" t="inlineStr">
        <is>
          <t>Cari nilai yang paling sering muncul (modus) pada rentang data C37:C40 menggunakan fungsi MODE!</t>
        </is>
      </c>
    </row>
    <row r="273">
      <c r="A273" s="5" t="n">
        <v>269</v>
      </c>
      <c r="B273" s="8" t="inlineStr">
        <is>
          <t>MODE</t>
        </is>
      </c>
      <c r="C273" s="6" t="inlineStr">
        <is>
          <t>Soal Tes #4</t>
        </is>
      </c>
      <c r="D273" s="31" t="inlineStr">
        <is>
          <t>MODE!E46</t>
        </is>
      </c>
      <c r="E273" s="22" t="inlineStr">
        <is>
          <t>'=MODE(C45:C48)</t>
        </is>
      </c>
      <c r="F273" s="32">
        <f>MODE('MODE'!C45:C48)</f>
        <v/>
      </c>
      <c r="G273" s="19" t="inlineStr">
        <is>
          <t>Cari nilai yang paling sering muncul (modus) pada rentang data C45:C48 menggunakan fungsi MODE!</t>
        </is>
      </c>
    </row>
    <row r="274">
      <c r="A274" s="5" t="n">
        <v>270</v>
      </c>
      <c r="B274" s="8" t="inlineStr">
        <is>
          <t>MODE</t>
        </is>
      </c>
      <c r="C274" s="6" t="inlineStr">
        <is>
          <t>Soal Tes #5</t>
        </is>
      </c>
      <c r="D274" s="31" t="inlineStr">
        <is>
          <t>MODE!E54</t>
        </is>
      </c>
      <c r="E274" s="22" t="inlineStr">
        <is>
          <t>'=MODE(C53:C56)</t>
        </is>
      </c>
      <c r="F274" s="32">
        <f>MODE('MODE'!C53:C56)</f>
        <v/>
      </c>
      <c r="G274" s="19" t="inlineStr">
        <is>
          <t>Cari nilai yang paling sering muncul (modus) pada rentang data C53:C56 menggunakan fungsi MODE!</t>
        </is>
      </c>
    </row>
    <row r="275">
      <c r="A275" s="5" t="n">
        <v>271</v>
      </c>
      <c r="B275" s="8" t="inlineStr">
        <is>
          <t>NEGBINOM.DIST</t>
        </is>
      </c>
      <c r="C275" s="6" t="inlineStr">
        <is>
          <t>Soal Tes #1</t>
        </is>
      </c>
      <c r="D275" s="31" t="inlineStr">
        <is>
          <t>NEGBINOM.DIST!E22</t>
        </is>
      </c>
      <c r="E275" s="22" t="inlineStr">
        <is>
          <t>'=NEGBINOM.DIST(C21, C22, C23, TRUE)</t>
        </is>
      </c>
      <c r="F275" s="32">
        <f>NEGBINOM.DIST('NEGBINOM.DIST'!C21, 'NEGBINOM.DIST'!C22, 'NEGBINOM.DIST'!C23, TRUE)</f>
        <v/>
      </c>
      <c r="G275" s="19" t="inlineStr">
        <is>
          <t>Hitung peluang distribusi kumulatif (TRUE) menggunakan fungsi NEGBINOM.DIST dengan argumen C21, C22, C23, dan TRUE!</t>
        </is>
      </c>
    </row>
    <row r="276">
      <c r="A276" s="5" t="n">
        <v>272</v>
      </c>
      <c r="B276" s="8" t="inlineStr">
        <is>
          <t>NEGBINOM.DIST</t>
        </is>
      </c>
      <c r="C276" s="6" t="inlineStr">
        <is>
          <t>Soal Tes #2</t>
        </is>
      </c>
      <c r="D276" s="31" t="inlineStr">
        <is>
          <t>NEGBINOM.DIST!E30</t>
        </is>
      </c>
      <c r="E276" s="22" t="inlineStr">
        <is>
          <t>'=NEGBINOM.DIST(C29, C30, C31, TRUE)</t>
        </is>
      </c>
      <c r="F276" s="32">
        <f>NEGBINOM.DIST('NEGBINOM.DIST'!C29, 'NEGBINOM.DIST'!C30, 'NEGBINOM.DIST'!C31, TRUE)</f>
        <v/>
      </c>
      <c r="G276" s="19" t="inlineStr">
        <is>
          <t>Hitung peluang distribusi kumulatif (TRUE) menggunakan fungsi NEGBINOM.DIST dengan argumen C29, C30, C31, dan TRUE!</t>
        </is>
      </c>
    </row>
    <row r="277">
      <c r="A277" s="5" t="n">
        <v>273</v>
      </c>
      <c r="B277" s="8" t="inlineStr">
        <is>
          <t>NEGBINOM.DIST</t>
        </is>
      </c>
      <c r="C277" s="6" t="inlineStr">
        <is>
          <t>Soal Tes #3</t>
        </is>
      </c>
      <c r="D277" s="31" t="inlineStr">
        <is>
          <t>NEGBINOM.DIST!E38</t>
        </is>
      </c>
      <c r="E277" s="22" t="inlineStr">
        <is>
          <t>'=NEGBINOM.DIST(C37, C38, C39, TRUE)</t>
        </is>
      </c>
      <c r="F277" s="32">
        <f>NEGBINOM.DIST('NEGBINOM.DIST'!C37, 'NEGBINOM.DIST'!C38, 'NEGBINOM.DIST'!C39, TRUE)</f>
        <v/>
      </c>
      <c r="G277" s="19" t="inlineStr">
        <is>
          <t>Hitung peluang distribusi kumulatif (TRUE) menggunakan fungsi NEGBINOM.DIST dengan argumen C37, C38, C39, dan TRUE!</t>
        </is>
      </c>
    </row>
    <row r="278">
      <c r="A278" s="5" t="n">
        <v>274</v>
      </c>
      <c r="B278" s="8" t="inlineStr">
        <is>
          <t>NEGBINOM.DIST</t>
        </is>
      </c>
      <c r="C278" s="6" t="inlineStr">
        <is>
          <t>Soal Tes #4</t>
        </is>
      </c>
      <c r="D278" s="31" t="inlineStr">
        <is>
          <t>NEGBINOM.DIST!E46</t>
        </is>
      </c>
      <c r="E278" s="22" t="inlineStr">
        <is>
          <t>'=NEGBINOM.DIST(C45, C46, C47, TRUE)</t>
        </is>
      </c>
      <c r="F278" s="32">
        <f>NEGBINOM.DIST('NEGBINOM.DIST'!C45, 'NEGBINOM.DIST'!C46, 'NEGBINOM.DIST'!C47, TRUE)</f>
        <v/>
      </c>
      <c r="G278" s="19" t="inlineStr">
        <is>
          <t>Hitung peluang distribusi kumulatif (TRUE) menggunakan fungsi NEGBINOM.DIST dengan argumen C45, C46, C47, dan TRUE!</t>
        </is>
      </c>
    </row>
    <row r="279">
      <c r="A279" s="5" t="n">
        <v>275</v>
      </c>
      <c r="B279" s="8" t="inlineStr">
        <is>
          <t>NEGBINOM.DIST</t>
        </is>
      </c>
      <c r="C279" s="6" t="inlineStr">
        <is>
          <t>Soal Tes #5</t>
        </is>
      </c>
      <c r="D279" s="31" t="inlineStr">
        <is>
          <t>NEGBINOM.DIST!E54</t>
        </is>
      </c>
      <c r="E279" s="22" t="inlineStr">
        <is>
          <t>'=NEGBINOM.DIST(C53, C54, C55, TRUE)</t>
        </is>
      </c>
      <c r="F279" s="32">
        <f>NEGBINOM.DIST('NEGBINOM.DIST'!C53, 'NEGBINOM.DIST'!C54, 'NEGBINOM.DIST'!C55, TRUE)</f>
        <v/>
      </c>
      <c r="G279" s="19" t="inlineStr">
        <is>
          <t>Hitung peluang distribusi kumulatif (TRUE) menggunakan fungsi NEGBINOM.DIST dengan argumen C53, C54, C55, dan TRUE!</t>
        </is>
      </c>
    </row>
    <row r="280">
      <c r="A280" s="5" t="n">
        <v>276</v>
      </c>
      <c r="B280" s="8" t="inlineStr">
        <is>
          <t>NORM.DIST</t>
        </is>
      </c>
      <c r="C280" s="6" t="inlineStr">
        <is>
          <t>Soal Tes #1</t>
        </is>
      </c>
      <c r="D280" s="31" t="inlineStr">
        <is>
          <t>NORM.DIST!E22</t>
        </is>
      </c>
      <c r="E280" s="22" t="inlineStr">
        <is>
          <t>'=NORM.DIST(C21, C22, C23, TRUE)</t>
        </is>
      </c>
      <c r="F280" s="32">
        <f>NORM.DIST('NORM.DIST'!C21, 'NORM.DIST'!C22, 'NORM.DIST'!C23, TRUE)</f>
        <v/>
      </c>
      <c r="G280" s="19" t="inlineStr">
        <is>
          <t>Hitung nilai distribusi kumulatif (TRUE) menggunakan fungsi NORM.DIST dengan argumen berurutan C21, C22, C23, dan TRUE!</t>
        </is>
      </c>
    </row>
    <row r="281">
      <c r="A281" s="5" t="n">
        <v>277</v>
      </c>
      <c r="B281" s="8" t="inlineStr">
        <is>
          <t>NORM.DIST</t>
        </is>
      </c>
      <c r="C281" s="6" t="inlineStr">
        <is>
          <t>Soal Tes #2</t>
        </is>
      </c>
      <c r="D281" s="31" t="inlineStr">
        <is>
          <t>NORM.DIST!E30</t>
        </is>
      </c>
      <c r="E281" s="22" t="inlineStr">
        <is>
          <t>'=NORM.DIST(C29, C30, C31, TRUE)</t>
        </is>
      </c>
      <c r="F281" s="32">
        <f>NORM.DIST('NORM.DIST'!C29, 'NORM.DIST'!C30, 'NORM.DIST'!C31, TRUE)</f>
        <v/>
      </c>
      <c r="G281" s="19" t="inlineStr">
        <is>
          <t>Hitung nilai distribusi kumulatif (TRUE) menggunakan fungsi NORM.DIST dengan argumen berurutan C29, C30, C31, dan TRUE!</t>
        </is>
      </c>
    </row>
    <row r="282">
      <c r="A282" s="5" t="n">
        <v>278</v>
      </c>
      <c r="B282" s="8" t="inlineStr">
        <is>
          <t>NORM.DIST</t>
        </is>
      </c>
      <c r="C282" s="6" t="inlineStr">
        <is>
          <t>Soal Tes #3</t>
        </is>
      </c>
      <c r="D282" s="31" t="inlineStr">
        <is>
          <t>NORM.DIST!E38</t>
        </is>
      </c>
      <c r="E282" s="22" t="inlineStr">
        <is>
          <t>'=NORM.DIST(C37, C38, C39, TRUE)</t>
        </is>
      </c>
      <c r="F282" s="32">
        <f>NORM.DIST('NORM.DIST'!C37, 'NORM.DIST'!C38, 'NORM.DIST'!C39, TRUE)</f>
        <v/>
      </c>
      <c r="G282" s="19" t="inlineStr">
        <is>
          <t>Hitung nilai distribusi kumulatif (TRUE) menggunakan fungsi NORM.DIST dengan argumen berurutan C37, C38, C39, dan TRUE!</t>
        </is>
      </c>
    </row>
    <row r="283">
      <c r="A283" s="5" t="n">
        <v>279</v>
      </c>
      <c r="B283" s="8" t="inlineStr">
        <is>
          <t>NORM.DIST</t>
        </is>
      </c>
      <c r="C283" s="6" t="inlineStr">
        <is>
          <t>Soal Tes #4</t>
        </is>
      </c>
      <c r="D283" s="31" t="inlineStr">
        <is>
          <t>NORM.DIST!E46</t>
        </is>
      </c>
      <c r="E283" s="22" t="inlineStr">
        <is>
          <t>'=NORM.DIST(C45, C46, C47, TRUE)</t>
        </is>
      </c>
      <c r="F283" s="32">
        <f>NORM.DIST('NORM.DIST'!C45, 'NORM.DIST'!C46, 'NORM.DIST'!C47, TRUE)</f>
        <v/>
      </c>
      <c r="G283" s="19" t="inlineStr">
        <is>
          <t>Hitung nilai distribusi kumulatif (TRUE) menggunakan fungsi NORM.DIST dengan argumen berurutan C45, C46, C47, dan TRUE!</t>
        </is>
      </c>
    </row>
    <row r="284">
      <c r="A284" s="5" t="n">
        <v>280</v>
      </c>
      <c r="B284" s="8" t="inlineStr">
        <is>
          <t>NORM.DIST</t>
        </is>
      </c>
      <c r="C284" s="6" t="inlineStr">
        <is>
          <t>Soal Tes #5</t>
        </is>
      </c>
      <c r="D284" s="31" t="inlineStr">
        <is>
          <t>NORM.DIST!E54</t>
        </is>
      </c>
      <c r="E284" s="22" t="inlineStr">
        <is>
          <t>'=NORM.DIST(C53, C54, C55, TRUE)</t>
        </is>
      </c>
      <c r="F284" s="32">
        <f>NORM.DIST('NORM.DIST'!C53, 'NORM.DIST'!C54, 'NORM.DIST'!C55, TRUE)</f>
        <v/>
      </c>
      <c r="G284" s="19" t="inlineStr">
        <is>
          <t>Hitung nilai distribusi kumulatif (TRUE) menggunakan fungsi NORM.DIST dengan argumen berurutan C53, C54, C55, dan TRUE!</t>
        </is>
      </c>
    </row>
    <row r="285">
      <c r="A285" s="5" t="n">
        <v>281</v>
      </c>
      <c r="B285" s="8" t="inlineStr">
        <is>
          <t>NORM.INV</t>
        </is>
      </c>
      <c r="C285" s="6" t="inlineStr">
        <is>
          <t>Soal Tes #1</t>
        </is>
      </c>
      <c r="D285" s="31" t="inlineStr">
        <is>
          <t>NORM.INV!E22</t>
        </is>
      </c>
      <c r="E285" s="22" t="inlineStr">
        <is>
          <t>'=NORM.INV(C21, C22, C23)</t>
        </is>
      </c>
      <c r="F285" s="32">
        <f>NORM.INV('NORM.INV'!C21, 'NORM.INV'!C22, 'NORM.INV'!C23)</f>
        <v/>
      </c>
      <c r="G285" s="19" t="inlineStr">
        <is>
          <t>Hitung nilai invers distribusi menggunakan fungsi NORM.INV dengan argumen berurutan C21, C22, dan C23!</t>
        </is>
      </c>
    </row>
    <row r="286">
      <c r="A286" s="5" t="n">
        <v>282</v>
      </c>
      <c r="B286" s="8" t="inlineStr">
        <is>
          <t>NORM.INV</t>
        </is>
      </c>
      <c r="C286" s="6" t="inlineStr">
        <is>
          <t>Soal Tes #2</t>
        </is>
      </c>
      <c r="D286" s="31" t="inlineStr">
        <is>
          <t>NORM.INV!E30</t>
        </is>
      </c>
      <c r="E286" s="22" t="inlineStr">
        <is>
          <t>'=NORM.INV(C29, C30, C31)</t>
        </is>
      </c>
      <c r="F286" s="32">
        <f>NORM.INV('NORM.INV'!C29, 'NORM.INV'!C30, 'NORM.INV'!C31)</f>
        <v/>
      </c>
      <c r="G286" s="19" t="inlineStr">
        <is>
          <t>Hitung nilai invers distribusi menggunakan fungsi NORM.INV dengan argumen berurutan C29, C30, dan C31!</t>
        </is>
      </c>
    </row>
    <row r="287">
      <c r="A287" s="5" t="n">
        <v>283</v>
      </c>
      <c r="B287" s="8" t="inlineStr">
        <is>
          <t>NORM.INV</t>
        </is>
      </c>
      <c r="C287" s="6" t="inlineStr">
        <is>
          <t>Soal Tes #3</t>
        </is>
      </c>
      <c r="D287" s="31" t="inlineStr">
        <is>
          <t>NORM.INV!E38</t>
        </is>
      </c>
      <c r="E287" s="22" t="inlineStr">
        <is>
          <t>'=NORM.INV(C37, C38, C39)</t>
        </is>
      </c>
      <c r="F287" s="32">
        <f>NORM.INV('NORM.INV'!C37, 'NORM.INV'!C38, 'NORM.INV'!C39)</f>
        <v/>
      </c>
      <c r="G287" s="19" t="inlineStr">
        <is>
          <t>Hitung nilai invers distribusi menggunakan fungsi NORM.INV dengan argumen berurutan C37, C38, dan C39!</t>
        </is>
      </c>
    </row>
    <row r="288">
      <c r="A288" s="5" t="n">
        <v>284</v>
      </c>
      <c r="B288" s="8" t="inlineStr">
        <is>
          <t>NORM.INV</t>
        </is>
      </c>
      <c r="C288" s="6" t="inlineStr">
        <is>
          <t>Soal Tes #4</t>
        </is>
      </c>
      <c r="D288" s="31" t="inlineStr">
        <is>
          <t>NORM.INV!E46</t>
        </is>
      </c>
      <c r="E288" s="22" t="inlineStr">
        <is>
          <t>'=NORM.INV(C45, C46, C47)</t>
        </is>
      </c>
      <c r="F288" s="32">
        <f>NORM.INV('NORM.INV'!C45, 'NORM.INV'!C46, 'NORM.INV'!C47)</f>
        <v/>
      </c>
      <c r="G288" s="19" t="inlineStr">
        <is>
          <t>Hitung nilai invers distribusi menggunakan fungsi NORM.INV dengan argumen berurutan C45, C46, dan C47!</t>
        </is>
      </c>
    </row>
    <row r="289">
      <c r="A289" s="5" t="n">
        <v>285</v>
      </c>
      <c r="B289" s="8" t="inlineStr">
        <is>
          <t>NORM.INV</t>
        </is>
      </c>
      <c r="C289" s="6" t="inlineStr">
        <is>
          <t>Soal Tes #5</t>
        </is>
      </c>
      <c r="D289" s="31" t="inlineStr">
        <is>
          <t>NORM.INV!E54</t>
        </is>
      </c>
      <c r="E289" s="22" t="inlineStr">
        <is>
          <t>'=NORM.INV(C53, C54, C55)</t>
        </is>
      </c>
      <c r="F289" s="32">
        <f>NORM.INV('NORM.INV'!C53, 'NORM.INV'!C54, 'NORM.INV'!C55)</f>
        <v/>
      </c>
      <c r="G289" s="19" t="inlineStr">
        <is>
          <t>Hitung nilai invers distribusi menggunakan fungsi NORM.INV dengan argumen berurutan C53, C54, dan C55!</t>
        </is>
      </c>
    </row>
    <row r="290">
      <c r="A290" s="5" t="n">
        <v>286</v>
      </c>
      <c r="B290" s="8" t="inlineStr">
        <is>
          <t>NORM.S.DIST</t>
        </is>
      </c>
      <c r="C290" s="6" t="inlineStr">
        <is>
          <t>Soal Tes #1</t>
        </is>
      </c>
      <c r="D290" s="31" t="inlineStr">
        <is>
          <t>NORM.S.DIST!E22</t>
        </is>
      </c>
      <c r="E290" s="22" t="inlineStr">
        <is>
          <t>'=NORM.S.DIST(C21, TRUE)</t>
        </is>
      </c>
      <c r="F290" s="32">
        <f>NORM.S.DIST('NORM.S.DIST'!C21, TRUE)</f>
        <v/>
      </c>
      <c r="G290" s="19" t="inlineStr">
        <is>
          <t>Hitung nilai distribusi normal standar kumulatif (TRUE) untuk skor-Z di sel C21 (0.5) menggunakan fungsi NORM.S.DIST!</t>
        </is>
      </c>
    </row>
    <row r="291">
      <c r="A291" s="5" t="n">
        <v>287</v>
      </c>
      <c r="B291" s="8" t="inlineStr">
        <is>
          <t>NORM.S.DIST</t>
        </is>
      </c>
      <c r="C291" s="6" t="inlineStr">
        <is>
          <t>Soal Tes #2</t>
        </is>
      </c>
      <c r="D291" s="31" t="inlineStr">
        <is>
          <t>NORM.S.DIST!E30</t>
        </is>
      </c>
      <c r="E291" s="22" t="inlineStr">
        <is>
          <t>'=NORM.S.DIST(C29, TRUE)</t>
        </is>
      </c>
      <c r="F291" s="32">
        <f>NORM.S.DIST('NORM.S.DIST'!C29, TRUE)</f>
        <v/>
      </c>
      <c r="G291" s="19" t="inlineStr">
        <is>
          <t>Hitung nilai distribusi normal standar kumulatif (TRUE) untuk skor-Z di sel C29 (0.75) menggunakan fungsi NORM.S.DIST!</t>
        </is>
      </c>
    </row>
    <row r="292">
      <c r="A292" s="5" t="n">
        <v>288</v>
      </c>
      <c r="B292" s="8" t="inlineStr">
        <is>
          <t>NORM.S.DIST</t>
        </is>
      </c>
      <c r="C292" s="6" t="inlineStr">
        <is>
          <t>Soal Tes #3</t>
        </is>
      </c>
      <c r="D292" s="31" t="inlineStr">
        <is>
          <t>NORM.S.DIST!E38</t>
        </is>
      </c>
      <c r="E292" s="22" t="inlineStr">
        <is>
          <t>'=NORM.S.DIST(C37, TRUE)</t>
        </is>
      </c>
      <c r="F292" s="32">
        <f>NORM.S.DIST('NORM.S.DIST'!C37, TRUE)</f>
        <v/>
      </c>
      <c r="G292" s="19" t="inlineStr">
        <is>
          <t>Hitung nilai distribusi normal standar kumulatif (TRUE) untuk skor-Z di sel C37 (1.0) menggunakan fungsi NORM.S.DIST!</t>
        </is>
      </c>
    </row>
    <row r="293">
      <c r="A293" s="5" t="n">
        <v>289</v>
      </c>
      <c r="B293" s="8" t="inlineStr">
        <is>
          <t>NORM.S.DIST</t>
        </is>
      </c>
      <c r="C293" s="6" t="inlineStr">
        <is>
          <t>Soal Tes #4</t>
        </is>
      </c>
      <c r="D293" s="31" t="inlineStr">
        <is>
          <t>NORM.S.DIST!E46</t>
        </is>
      </c>
      <c r="E293" s="22" t="inlineStr">
        <is>
          <t>'=NORM.S.DIST(C45, TRUE)</t>
        </is>
      </c>
      <c r="F293" s="32">
        <f>NORM.S.DIST('NORM.S.DIST'!C45, TRUE)</f>
        <v/>
      </c>
      <c r="G293" s="19" t="inlineStr">
        <is>
          <t>Hitung nilai distribusi normal standar kumulatif (TRUE) untuk skor-Z di sel C45 (1.25) menggunakan fungsi NORM.S.DIST!</t>
        </is>
      </c>
    </row>
    <row r="294">
      <c r="A294" s="5" t="n">
        <v>290</v>
      </c>
      <c r="B294" s="8" t="inlineStr">
        <is>
          <t>NORM.S.DIST</t>
        </is>
      </c>
      <c r="C294" s="6" t="inlineStr">
        <is>
          <t>Soal Tes #5</t>
        </is>
      </c>
      <c r="D294" s="31" t="inlineStr">
        <is>
          <t>NORM.S.DIST!E54</t>
        </is>
      </c>
      <c r="E294" s="22" t="inlineStr">
        <is>
          <t>'=NORM.S.DIST(C53, TRUE)</t>
        </is>
      </c>
      <c r="F294" s="32">
        <f>NORM.S.DIST('NORM.S.DIST'!C53, TRUE)</f>
        <v/>
      </c>
      <c r="G294" s="19" t="inlineStr">
        <is>
          <t>Hitung nilai distribusi normal standar kumulatif (TRUE) untuk skor-Z di sel C53 (1.5) menggunakan fungsi NORM.S.DIST!</t>
        </is>
      </c>
    </row>
    <row r="295">
      <c r="A295" s="5" t="n">
        <v>291</v>
      </c>
      <c r="B295" s="8" t="inlineStr">
        <is>
          <t>NORM.S.INV</t>
        </is>
      </c>
      <c r="C295" s="6" t="inlineStr">
        <is>
          <t>Soal Tes #1</t>
        </is>
      </c>
      <c r="D295" s="31" t="inlineStr">
        <is>
          <t>NORM.S.INV!E22</t>
        </is>
      </c>
      <c r="E295" s="22" t="inlineStr">
        <is>
          <t>'=NORM.S.INV(C21)</t>
        </is>
      </c>
      <c r="F295" s="32">
        <f>NORM.S.INV('NORM.S.INV'!C21)</f>
        <v/>
      </c>
      <c r="G295" s="19" t="inlineStr">
        <is>
          <t>Hitung hasil transformasi NORM.S.INV untuk nilai koefisien pada sel C21 (0.25)!</t>
        </is>
      </c>
    </row>
    <row r="296">
      <c r="A296" s="5" t="n">
        <v>292</v>
      </c>
      <c r="B296" s="8" t="inlineStr">
        <is>
          <t>NORM.S.INV</t>
        </is>
      </c>
      <c r="C296" s="6" t="inlineStr">
        <is>
          <t>Soal Tes #2</t>
        </is>
      </c>
      <c r="D296" s="31" t="inlineStr">
        <is>
          <t>NORM.S.INV!E30</t>
        </is>
      </c>
      <c r="E296" s="22" t="inlineStr">
        <is>
          <t>'=NORM.S.INV(C29)</t>
        </is>
      </c>
      <c r="F296" s="32">
        <f>NORM.S.INV('NORM.S.INV'!C29)</f>
        <v/>
      </c>
      <c r="G296" s="19" t="inlineStr">
        <is>
          <t>Hitung hasil transformasi NORM.S.INV untuk nilai koefisien pada sel C29 (0.35)!</t>
        </is>
      </c>
    </row>
    <row r="297">
      <c r="A297" s="5" t="n">
        <v>293</v>
      </c>
      <c r="B297" s="8" t="inlineStr">
        <is>
          <t>NORM.S.INV</t>
        </is>
      </c>
      <c r="C297" s="6" t="inlineStr">
        <is>
          <t>Soal Tes #3</t>
        </is>
      </c>
      <c r="D297" s="31" t="inlineStr">
        <is>
          <t>NORM.S.INV!E38</t>
        </is>
      </c>
      <c r="E297" s="22" t="inlineStr">
        <is>
          <t>'=NORM.S.INV(C37)</t>
        </is>
      </c>
      <c r="F297" s="32">
        <f>NORM.S.INV('NORM.S.INV'!C37)</f>
        <v/>
      </c>
      <c r="G297" s="19" t="inlineStr">
        <is>
          <t>Hitung hasil transformasi NORM.S.INV untuk nilai koefisien pada sel C37 (0.45)!</t>
        </is>
      </c>
    </row>
    <row r="298">
      <c r="A298" s="5" t="n">
        <v>294</v>
      </c>
      <c r="B298" s="8" t="inlineStr">
        <is>
          <t>NORM.S.INV</t>
        </is>
      </c>
      <c r="C298" s="6" t="inlineStr">
        <is>
          <t>Soal Tes #4</t>
        </is>
      </c>
      <c r="D298" s="31" t="inlineStr">
        <is>
          <t>NORM.S.INV!E46</t>
        </is>
      </c>
      <c r="E298" s="22" t="inlineStr">
        <is>
          <t>'=NORM.S.INV(C45)</t>
        </is>
      </c>
      <c r="F298" s="32">
        <f>NORM.S.INV('NORM.S.INV'!C45)</f>
        <v/>
      </c>
      <c r="G298" s="19" t="inlineStr">
        <is>
          <t>Hitung hasil transformasi NORM.S.INV untuk nilai koefisien pada sel C45 (0.55)!</t>
        </is>
      </c>
    </row>
    <row r="299">
      <c r="A299" s="5" t="n">
        <v>295</v>
      </c>
      <c r="B299" s="8" t="inlineStr">
        <is>
          <t>NORM.S.INV</t>
        </is>
      </c>
      <c r="C299" s="6" t="inlineStr">
        <is>
          <t>Soal Tes #5</t>
        </is>
      </c>
      <c r="D299" s="31" t="inlineStr">
        <is>
          <t>NORM.S.INV!E54</t>
        </is>
      </c>
      <c r="E299" s="22" t="inlineStr">
        <is>
          <t>'=NORM.S.INV(C53)</t>
        </is>
      </c>
      <c r="F299" s="32">
        <f>NORM.S.INV('NORM.S.INV'!C53)</f>
        <v/>
      </c>
      <c r="G299" s="19" t="inlineStr">
        <is>
          <t>Hitung hasil transformasi NORM.S.INV untuk nilai koefisien pada sel C53 (0.65)!</t>
        </is>
      </c>
    </row>
    <row r="300">
      <c r="A300" s="5" t="n">
        <v>296</v>
      </c>
      <c r="B300" s="8" t="inlineStr">
        <is>
          <t>PEARSON</t>
        </is>
      </c>
      <c r="C300" s="6" t="inlineStr">
        <is>
          <t>Soal Tes #1</t>
        </is>
      </c>
      <c r="D300" s="31" t="inlineStr">
        <is>
          <t>PEARSON!E22</t>
        </is>
      </c>
      <c r="E300" s="22" t="inlineStr">
        <is>
          <t>'=PEARSON(B21:B24, C21:C24)</t>
        </is>
      </c>
      <c r="F300" s="32">
        <f>PEARSON('PEARSON'!B21:B24, 'PEARSON'!C21:C24)</f>
        <v/>
      </c>
      <c r="G300" s="19" t="inlineStr">
        <is>
          <t>Analisis hubungan antara data pertama (B21:B24) dan data kedua (C21:C24) menggunakan fungsi PEARSON!</t>
        </is>
      </c>
    </row>
    <row r="301">
      <c r="A301" s="5" t="n">
        <v>297</v>
      </c>
      <c r="B301" s="8" t="inlineStr">
        <is>
          <t>PEARSON</t>
        </is>
      </c>
      <c r="C301" s="6" t="inlineStr">
        <is>
          <t>Soal Tes #2</t>
        </is>
      </c>
      <c r="D301" s="31" t="inlineStr">
        <is>
          <t>PEARSON!E30</t>
        </is>
      </c>
      <c r="E301" s="22" t="inlineStr">
        <is>
          <t>'=PEARSON(B29:B32, C29:C32)</t>
        </is>
      </c>
      <c r="F301" s="32">
        <f>PEARSON('PEARSON'!B29:B32, 'PEARSON'!C29:C32)</f>
        <v/>
      </c>
      <c r="G301" s="19" t="inlineStr">
        <is>
          <t>Analisis hubungan antara data pertama (B29:B32) dan data kedua (C29:C32) menggunakan fungsi PEARSON!</t>
        </is>
      </c>
    </row>
    <row r="302">
      <c r="A302" s="5" t="n">
        <v>298</v>
      </c>
      <c r="B302" s="8" t="inlineStr">
        <is>
          <t>PEARSON</t>
        </is>
      </c>
      <c r="C302" s="6" t="inlineStr">
        <is>
          <t>Soal Tes #3</t>
        </is>
      </c>
      <c r="D302" s="31" t="inlineStr">
        <is>
          <t>PEARSON!E38</t>
        </is>
      </c>
      <c r="E302" s="22" t="inlineStr">
        <is>
          <t>'=PEARSON(B37:B40, C37:C40)</t>
        </is>
      </c>
      <c r="F302" s="32">
        <f>PEARSON('PEARSON'!B37:B40, 'PEARSON'!C37:C40)</f>
        <v/>
      </c>
      <c r="G302" s="19" t="inlineStr">
        <is>
          <t>Analisis hubungan antara data pertama (B37:B40) dan data kedua (C37:C40) menggunakan fungsi PEARSON!</t>
        </is>
      </c>
    </row>
    <row r="303">
      <c r="A303" s="5" t="n">
        <v>299</v>
      </c>
      <c r="B303" s="8" t="inlineStr">
        <is>
          <t>PEARSON</t>
        </is>
      </c>
      <c r="C303" s="6" t="inlineStr">
        <is>
          <t>Soal Tes #4</t>
        </is>
      </c>
      <c r="D303" s="31" t="inlineStr">
        <is>
          <t>PEARSON!E46</t>
        </is>
      </c>
      <c r="E303" s="22" t="inlineStr">
        <is>
          <t>'=PEARSON(B45:B48, C45:C48)</t>
        </is>
      </c>
      <c r="F303" s="32">
        <f>PEARSON('PEARSON'!B45:B48, 'PEARSON'!C45:C48)</f>
        <v/>
      </c>
      <c r="G303" s="19" t="inlineStr">
        <is>
          <t>Analisis hubungan antara data pertama (B45:B48) dan data kedua (C45:C48) menggunakan fungsi PEARSON!</t>
        </is>
      </c>
    </row>
    <row r="304">
      <c r="A304" s="5" t="n">
        <v>300</v>
      </c>
      <c r="B304" s="8" t="inlineStr">
        <is>
          <t>PEARSON</t>
        </is>
      </c>
      <c r="C304" s="6" t="inlineStr">
        <is>
          <t>Soal Tes #5</t>
        </is>
      </c>
      <c r="D304" s="31" t="inlineStr">
        <is>
          <t>PEARSON!E54</t>
        </is>
      </c>
      <c r="E304" s="22" t="inlineStr">
        <is>
          <t>'=PEARSON(B53:B56, C53:C56)</t>
        </is>
      </c>
      <c r="F304" s="32">
        <f>PEARSON('PEARSON'!B53:B56, 'PEARSON'!C53:C56)</f>
        <v/>
      </c>
      <c r="G304" s="19" t="inlineStr">
        <is>
          <t>Analisis hubungan antara data pertama (B53:B56) dan data kedua (C53:C56) menggunakan fungsi PEARSON!</t>
        </is>
      </c>
    </row>
    <row r="305">
      <c r="A305" s="5" t="n">
        <v>301</v>
      </c>
      <c r="B305" s="8" t="inlineStr">
        <is>
          <t>PERCENTILE.EXC</t>
        </is>
      </c>
      <c r="C305" s="6" t="inlineStr">
        <is>
          <t>Soal Tes #1</t>
        </is>
      </c>
      <c r="D305" s="31" t="inlineStr">
        <is>
          <t>PERCENTILE.EXC!E22</t>
        </is>
      </c>
      <c r="E305" s="22" t="inlineStr">
        <is>
          <t>'=PERCENTILE.EXC(C21:C24, 0.5)</t>
        </is>
      </c>
      <c r="F305" s="32">
        <f>PERCENTILE.EXC('PERCENTILE.EXC'!C21:C24, 0.5)</f>
        <v/>
      </c>
      <c r="G305" s="19" t="inlineStr">
        <is>
          <t>Hitung nilai persentil k = 0.5 (50%) dari rentang data C21:C24 menggunakan fungsi PERCENTILE.EXC!</t>
        </is>
      </c>
    </row>
    <row r="306">
      <c r="A306" s="5" t="n">
        <v>302</v>
      </c>
      <c r="B306" s="8" t="inlineStr">
        <is>
          <t>PERCENTILE.EXC</t>
        </is>
      </c>
      <c r="C306" s="6" t="inlineStr">
        <is>
          <t>Soal Tes #2</t>
        </is>
      </c>
      <c r="D306" s="31" t="inlineStr">
        <is>
          <t>PERCENTILE.EXC!E30</t>
        </is>
      </c>
      <c r="E306" s="22" t="inlineStr">
        <is>
          <t>'=PERCENTILE.EXC(C29:C32, 0.5)</t>
        </is>
      </c>
      <c r="F306" s="32">
        <f>PERCENTILE.EXC('PERCENTILE.EXC'!C29:C32, 0.5)</f>
        <v/>
      </c>
      <c r="G306" s="19" t="inlineStr">
        <is>
          <t>Hitung nilai persentil k = 0.5 (50%) dari rentang data C29:C32 menggunakan fungsi PERCENTILE.EXC!</t>
        </is>
      </c>
    </row>
    <row r="307">
      <c r="A307" s="5" t="n">
        <v>303</v>
      </c>
      <c r="B307" s="8" t="inlineStr">
        <is>
          <t>PERCENTILE.EXC</t>
        </is>
      </c>
      <c r="C307" s="6" t="inlineStr">
        <is>
          <t>Soal Tes #3</t>
        </is>
      </c>
      <c r="D307" s="31" t="inlineStr">
        <is>
          <t>PERCENTILE.EXC!E38</t>
        </is>
      </c>
      <c r="E307" s="22" t="inlineStr">
        <is>
          <t>'=PERCENTILE.EXC(C37:C40, 0.5)</t>
        </is>
      </c>
      <c r="F307" s="32">
        <f>PERCENTILE.EXC('PERCENTILE.EXC'!C37:C40, 0.5)</f>
        <v/>
      </c>
      <c r="G307" s="19" t="inlineStr">
        <is>
          <t>Hitung nilai persentil k = 0.5 (50%) dari rentang data C37:C40 menggunakan fungsi PERCENTILE.EXC!</t>
        </is>
      </c>
    </row>
    <row r="308">
      <c r="A308" s="5" t="n">
        <v>304</v>
      </c>
      <c r="B308" s="8" t="inlineStr">
        <is>
          <t>PERCENTILE.EXC</t>
        </is>
      </c>
      <c r="C308" s="6" t="inlineStr">
        <is>
          <t>Soal Tes #4</t>
        </is>
      </c>
      <c r="D308" s="31" t="inlineStr">
        <is>
          <t>PERCENTILE.EXC!E46</t>
        </is>
      </c>
      <c r="E308" s="22" t="inlineStr">
        <is>
          <t>'=PERCENTILE.EXC(C45:C48, 0.5)</t>
        </is>
      </c>
      <c r="F308" s="32">
        <f>PERCENTILE.EXC('PERCENTILE.EXC'!C45:C48, 0.5)</f>
        <v/>
      </c>
      <c r="G308" s="19" t="inlineStr">
        <is>
          <t>Hitung nilai persentil k = 0.5 (50%) dari rentang data C45:C48 menggunakan fungsi PERCENTILE.EXC!</t>
        </is>
      </c>
    </row>
    <row r="309">
      <c r="A309" s="5" t="n">
        <v>305</v>
      </c>
      <c r="B309" s="8" t="inlineStr">
        <is>
          <t>PERCENTILE.EXC</t>
        </is>
      </c>
      <c r="C309" s="6" t="inlineStr">
        <is>
          <t>Soal Tes #5</t>
        </is>
      </c>
      <c r="D309" s="31" t="inlineStr">
        <is>
          <t>PERCENTILE.EXC!E54</t>
        </is>
      </c>
      <c r="E309" s="22" t="inlineStr">
        <is>
          <t>'=PERCENTILE.EXC(C53:C56, 0.5)</t>
        </is>
      </c>
      <c r="F309" s="32">
        <f>PERCENTILE.EXC('PERCENTILE.EXC'!C53:C56, 0.5)</f>
        <v/>
      </c>
      <c r="G309" s="19" t="inlineStr">
        <is>
          <t>Hitung nilai persentil k = 0.5 (50%) dari rentang data C53:C56 menggunakan fungsi PERCENTILE.EXC!</t>
        </is>
      </c>
    </row>
    <row r="310">
      <c r="A310" s="5" t="n">
        <v>306</v>
      </c>
      <c r="B310" s="8" t="inlineStr">
        <is>
          <t>PERCENTILE.INC</t>
        </is>
      </c>
      <c r="C310" s="6" t="inlineStr">
        <is>
          <t>Soal Tes #1</t>
        </is>
      </c>
      <c r="D310" s="31" t="inlineStr">
        <is>
          <t>PERCENTILE.INC!E22</t>
        </is>
      </c>
      <c r="E310" s="22" t="inlineStr">
        <is>
          <t>'=PERCENTILE.INC(C21:C24, 0.5)</t>
        </is>
      </c>
      <c r="F310" s="32">
        <f>PERCENTILE.INC('PERCENTILE.INC'!C21:C24, 0.5)</f>
        <v/>
      </c>
      <c r="G310" s="19" t="inlineStr">
        <is>
          <t>Hitung nilai persentil k = 0.5 (50%) dari rentang data C21:C24 menggunakan fungsi PERCENTILE.INC!</t>
        </is>
      </c>
    </row>
    <row r="311">
      <c r="A311" s="5" t="n">
        <v>307</v>
      </c>
      <c r="B311" s="8" t="inlineStr">
        <is>
          <t>PERCENTILE.INC</t>
        </is>
      </c>
      <c r="C311" s="6" t="inlineStr">
        <is>
          <t>Soal Tes #2</t>
        </is>
      </c>
      <c r="D311" s="31" t="inlineStr">
        <is>
          <t>PERCENTILE.INC!E30</t>
        </is>
      </c>
      <c r="E311" s="22" t="inlineStr">
        <is>
          <t>'=PERCENTILE.INC(C29:C32, 0.5)</t>
        </is>
      </c>
      <c r="F311" s="32">
        <f>PERCENTILE.INC('PERCENTILE.INC'!C29:C32, 0.5)</f>
        <v/>
      </c>
      <c r="G311" s="19" t="inlineStr">
        <is>
          <t>Hitung nilai persentil k = 0.5 (50%) dari rentang data C29:C32 menggunakan fungsi PERCENTILE.INC!</t>
        </is>
      </c>
    </row>
    <row r="312">
      <c r="A312" s="5" t="n">
        <v>308</v>
      </c>
      <c r="B312" s="8" t="inlineStr">
        <is>
          <t>PERCENTILE.INC</t>
        </is>
      </c>
      <c r="C312" s="6" t="inlineStr">
        <is>
          <t>Soal Tes #3</t>
        </is>
      </c>
      <c r="D312" s="31" t="inlineStr">
        <is>
          <t>PERCENTILE.INC!E38</t>
        </is>
      </c>
      <c r="E312" s="22" t="inlineStr">
        <is>
          <t>'=PERCENTILE.INC(C37:C40, 0.5)</t>
        </is>
      </c>
      <c r="F312" s="32">
        <f>PERCENTILE.INC('PERCENTILE.INC'!C37:C40, 0.5)</f>
        <v/>
      </c>
      <c r="G312" s="19" t="inlineStr">
        <is>
          <t>Hitung nilai persentil k = 0.5 (50%) dari rentang data C37:C40 menggunakan fungsi PERCENTILE.INC!</t>
        </is>
      </c>
    </row>
    <row r="313">
      <c r="A313" s="5" t="n">
        <v>309</v>
      </c>
      <c r="B313" s="8" t="inlineStr">
        <is>
          <t>PERCENTILE.INC</t>
        </is>
      </c>
      <c r="C313" s="6" t="inlineStr">
        <is>
          <t>Soal Tes #4</t>
        </is>
      </c>
      <c r="D313" s="31" t="inlineStr">
        <is>
          <t>PERCENTILE.INC!E46</t>
        </is>
      </c>
      <c r="E313" s="22" t="inlineStr">
        <is>
          <t>'=PERCENTILE.INC(C45:C48, 0.5)</t>
        </is>
      </c>
      <c r="F313" s="32">
        <f>PERCENTILE.INC('PERCENTILE.INC'!C45:C48, 0.5)</f>
        <v/>
      </c>
      <c r="G313" s="19" t="inlineStr">
        <is>
          <t>Hitung nilai persentil k = 0.5 (50%) dari rentang data C45:C48 menggunakan fungsi PERCENTILE.INC!</t>
        </is>
      </c>
    </row>
    <row r="314">
      <c r="A314" s="5" t="n">
        <v>310</v>
      </c>
      <c r="B314" s="8" t="inlineStr">
        <is>
          <t>PERCENTILE.INC</t>
        </is>
      </c>
      <c r="C314" s="6" t="inlineStr">
        <is>
          <t>Soal Tes #5</t>
        </is>
      </c>
      <c r="D314" s="31" t="inlineStr">
        <is>
          <t>PERCENTILE.INC!E54</t>
        </is>
      </c>
      <c r="E314" s="22" t="inlineStr">
        <is>
          <t>'=PERCENTILE.INC(C53:C56, 0.5)</t>
        </is>
      </c>
      <c r="F314" s="32">
        <f>PERCENTILE.INC('PERCENTILE.INC'!C53:C56, 0.5)</f>
        <v/>
      </c>
      <c r="G314" s="19" t="inlineStr">
        <is>
          <t>Hitung nilai persentil k = 0.5 (50%) dari rentang data C53:C56 menggunakan fungsi PERCENTILE.INC!</t>
        </is>
      </c>
    </row>
    <row r="315">
      <c r="A315" s="5" t="n">
        <v>311</v>
      </c>
      <c r="B315" s="8" t="inlineStr">
        <is>
          <t>PERCENTRANK.EXC</t>
        </is>
      </c>
      <c r="C315" s="6" t="inlineStr">
        <is>
          <t>Soal Tes #1</t>
        </is>
      </c>
      <c r="D315" s="31" t="inlineStr">
        <is>
          <t>PERCENTRANK.EXC!E22</t>
        </is>
      </c>
      <c r="E315" s="22" t="inlineStr">
        <is>
          <t>'=PERCENTRANK.EXC(C21:C24, C22)</t>
        </is>
      </c>
      <c r="F315" s="32">
        <f>PERCENTRANK.EXC('PERCENTRANK.EXC'!C21:C24, 'PERCENTRANK.EXC'!C22)</f>
        <v/>
      </c>
      <c r="G315" s="19" t="inlineStr">
        <is>
          <t>Hitung peringkat persentase dari nilai di sel C22 terhadap rentang C21:C24 menggunakan fungsi PERCENTRANK.EXC!</t>
        </is>
      </c>
    </row>
    <row r="316">
      <c r="A316" s="5" t="n">
        <v>312</v>
      </c>
      <c r="B316" s="8" t="inlineStr">
        <is>
          <t>PERCENTRANK.EXC</t>
        </is>
      </c>
      <c r="C316" s="6" t="inlineStr">
        <is>
          <t>Soal Tes #2</t>
        </is>
      </c>
      <c r="D316" s="31" t="inlineStr">
        <is>
          <t>PERCENTRANK.EXC!E30</t>
        </is>
      </c>
      <c r="E316" s="22" t="inlineStr">
        <is>
          <t>'=PERCENTRANK.EXC(C29:C32, C30)</t>
        </is>
      </c>
      <c r="F316" s="32">
        <f>PERCENTRANK.EXC('PERCENTRANK.EXC'!C29:C32, 'PERCENTRANK.EXC'!C30)</f>
        <v/>
      </c>
      <c r="G316" s="19" t="inlineStr">
        <is>
          <t>Hitung peringkat persentase dari nilai di sel C30 terhadap rentang C29:C32 menggunakan fungsi PERCENTRANK.EXC!</t>
        </is>
      </c>
    </row>
    <row r="317">
      <c r="A317" s="5" t="n">
        <v>313</v>
      </c>
      <c r="B317" s="8" t="inlineStr">
        <is>
          <t>PERCENTRANK.EXC</t>
        </is>
      </c>
      <c r="C317" s="6" t="inlineStr">
        <is>
          <t>Soal Tes #3</t>
        </is>
      </c>
      <c r="D317" s="31" t="inlineStr">
        <is>
          <t>PERCENTRANK.EXC!E38</t>
        </is>
      </c>
      <c r="E317" s="22" t="inlineStr">
        <is>
          <t>'=PERCENTRANK.EXC(C37:C40, C38)</t>
        </is>
      </c>
      <c r="F317" s="32">
        <f>PERCENTRANK.EXC('PERCENTRANK.EXC'!C37:C40, 'PERCENTRANK.EXC'!C38)</f>
        <v/>
      </c>
      <c r="G317" s="19" t="inlineStr">
        <is>
          <t>Hitung peringkat persentase dari nilai di sel C38 terhadap rentang C37:C40 menggunakan fungsi PERCENTRANK.EXC!</t>
        </is>
      </c>
    </row>
    <row r="318">
      <c r="A318" s="5" t="n">
        <v>314</v>
      </c>
      <c r="B318" s="8" t="inlineStr">
        <is>
          <t>PERCENTRANK.EXC</t>
        </is>
      </c>
      <c r="C318" s="6" t="inlineStr">
        <is>
          <t>Soal Tes #4</t>
        </is>
      </c>
      <c r="D318" s="31" t="inlineStr">
        <is>
          <t>PERCENTRANK.EXC!E46</t>
        </is>
      </c>
      <c r="E318" s="22" t="inlineStr">
        <is>
          <t>'=PERCENTRANK.EXC(C45:C48, C46)</t>
        </is>
      </c>
      <c r="F318" s="32">
        <f>PERCENTRANK.EXC('PERCENTRANK.EXC'!C45:C48, 'PERCENTRANK.EXC'!C46)</f>
        <v/>
      </c>
      <c r="G318" s="19" t="inlineStr">
        <is>
          <t>Hitung peringkat persentase dari nilai di sel C46 terhadap rentang C45:C48 menggunakan fungsi PERCENTRANK.EXC!</t>
        </is>
      </c>
    </row>
    <row r="319">
      <c r="A319" s="5" t="n">
        <v>315</v>
      </c>
      <c r="B319" s="8" t="inlineStr">
        <is>
          <t>PERCENTRANK.EXC</t>
        </is>
      </c>
      <c r="C319" s="6" t="inlineStr">
        <is>
          <t>Soal Tes #5</t>
        </is>
      </c>
      <c r="D319" s="31" t="inlineStr">
        <is>
          <t>PERCENTRANK.EXC!E54</t>
        </is>
      </c>
      <c r="E319" s="22" t="inlineStr">
        <is>
          <t>'=PERCENTRANK.EXC(C53:C56, C54)</t>
        </is>
      </c>
      <c r="F319" s="32">
        <f>PERCENTRANK.EXC('PERCENTRANK.EXC'!C53:C56, 'PERCENTRANK.EXC'!C54)</f>
        <v/>
      </c>
      <c r="G319" s="19" t="inlineStr">
        <is>
          <t>Hitung peringkat persentase dari nilai di sel C54 terhadap rentang C53:C56 menggunakan fungsi PERCENTRANK.EXC!</t>
        </is>
      </c>
    </row>
    <row r="320">
      <c r="A320" s="5" t="n">
        <v>316</v>
      </c>
      <c r="B320" s="8" t="inlineStr">
        <is>
          <t>PERCENTRANK.INC</t>
        </is>
      </c>
      <c r="C320" s="6" t="inlineStr">
        <is>
          <t>Soal Tes #1</t>
        </is>
      </c>
      <c r="D320" s="31" t="inlineStr">
        <is>
          <t>PERCENTRANK.INC!E22</t>
        </is>
      </c>
      <c r="E320" s="22" t="inlineStr">
        <is>
          <t>'=PERCENTRANK.INC(C21:C24, C22)</t>
        </is>
      </c>
      <c r="F320" s="32">
        <f>PERCENTRANK.INC('PERCENTRANK.INC'!C21:C24, 'PERCENTRANK.INC'!C22)</f>
        <v/>
      </c>
      <c r="G320" s="19" t="inlineStr">
        <is>
          <t>Hitung peringkat persentase dari nilai di sel C22 terhadap rentang C21:C24 menggunakan fungsi PERCENTRANK.INC!</t>
        </is>
      </c>
    </row>
    <row r="321">
      <c r="A321" s="5" t="n">
        <v>317</v>
      </c>
      <c r="B321" s="8" t="inlineStr">
        <is>
          <t>PERCENTRANK.INC</t>
        </is>
      </c>
      <c r="C321" s="6" t="inlineStr">
        <is>
          <t>Soal Tes #2</t>
        </is>
      </c>
      <c r="D321" s="31" t="inlineStr">
        <is>
          <t>PERCENTRANK.INC!E30</t>
        </is>
      </c>
      <c r="E321" s="22" t="inlineStr">
        <is>
          <t>'=PERCENTRANK.INC(C29:C32, C30)</t>
        </is>
      </c>
      <c r="F321" s="32">
        <f>PERCENTRANK.INC('PERCENTRANK.INC'!C29:C32, 'PERCENTRANK.INC'!C30)</f>
        <v/>
      </c>
      <c r="G321" s="19" t="inlineStr">
        <is>
          <t>Hitung peringkat persentase dari nilai di sel C30 terhadap rentang C29:C32 menggunakan fungsi PERCENTRANK.INC!</t>
        </is>
      </c>
    </row>
    <row r="322">
      <c r="A322" s="5" t="n">
        <v>318</v>
      </c>
      <c r="B322" s="8" t="inlineStr">
        <is>
          <t>PERCENTRANK.INC</t>
        </is>
      </c>
      <c r="C322" s="6" t="inlineStr">
        <is>
          <t>Soal Tes #3</t>
        </is>
      </c>
      <c r="D322" s="31" t="inlineStr">
        <is>
          <t>PERCENTRANK.INC!E38</t>
        </is>
      </c>
      <c r="E322" s="22" t="inlineStr">
        <is>
          <t>'=PERCENTRANK.INC(C37:C40, C38)</t>
        </is>
      </c>
      <c r="F322" s="32">
        <f>PERCENTRANK.INC('PERCENTRANK.INC'!C37:C40, 'PERCENTRANK.INC'!C38)</f>
        <v/>
      </c>
      <c r="G322" s="19" t="inlineStr">
        <is>
          <t>Hitung peringkat persentase dari nilai di sel C38 terhadap rentang C37:C40 menggunakan fungsi PERCENTRANK.INC!</t>
        </is>
      </c>
    </row>
    <row r="323">
      <c r="A323" s="5" t="n">
        <v>319</v>
      </c>
      <c r="B323" s="8" t="inlineStr">
        <is>
          <t>PERCENTRANK.INC</t>
        </is>
      </c>
      <c r="C323" s="6" t="inlineStr">
        <is>
          <t>Soal Tes #4</t>
        </is>
      </c>
      <c r="D323" s="31" t="inlineStr">
        <is>
          <t>PERCENTRANK.INC!E46</t>
        </is>
      </c>
      <c r="E323" s="22" t="inlineStr">
        <is>
          <t>'=PERCENTRANK.INC(C45:C48, C46)</t>
        </is>
      </c>
      <c r="F323" s="32">
        <f>PERCENTRANK.INC('PERCENTRANK.INC'!C45:C48, 'PERCENTRANK.INC'!C46)</f>
        <v/>
      </c>
      <c r="G323" s="19" t="inlineStr">
        <is>
          <t>Hitung peringkat persentase dari nilai di sel C46 terhadap rentang C45:C48 menggunakan fungsi PERCENTRANK.INC!</t>
        </is>
      </c>
    </row>
    <row r="324">
      <c r="A324" s="5" t="n">
        <v>320</v>
      </c>
      <c r="B324" s="8" t="inlineStr">
        <is>
          <t>PERCENTRANK.INC</t>
        </is>
      </c>
      <c r="C324" s="6" t="inlineStr">
        <is>
          <t>Soal Tes #5</t>
        </is>
      </c>
      <c r="D324" s="31" t="inlineStr">
        <is>
          <t>PERCENTRANK.INC!E54</t>
        </is>
      </c>
      <c r="E324" s="22" t="inlineStr">
        <is>
          <t>'=PERCENTRANK.INC(C53:C56, C54)</t>
        </is>
      </c>
      <c r="F324" s="32">
        <f>PERCENTRANK.INC('PERCENTRANK.INC'!C53:C56, 'PERCENTRANK.INC'!C54)</f>
        <v/>
      </c>
      <c r="G324" s="19" t="inlineStr">
        <is>
          <t>Hitung peringkat persentase dari nilai di sel C54 terhadap rentang C53:C56 menggunakan fungsi PERCENTRANK.INC!</t>
        </is>
      </c>
    </row>
    <row r="325">
      <c r="A325" s="5" t="n">
        <v>321</v>
      </c>
      <c r="B325" s="8" t="inlineStr">
        <is>
          <t>PERMUT</t>
        </is>
      </c>
      <c r="C325" s="6" t="inlineStr">
        <is>
          <t>Soal Tes #1</t>
        </is>
      </c>
      <c r="D325" s="31" t="inlineStr">
        <is>
          <t>PERMUT!E22</t>
        </is>
      </c>
      <c r="E325" s="22" t="inlineStr">
        <is>
          <t>'=PERMUT(B21, C21)</t>
        </is>
      </c>
      <c r="F325" s="32">
        <f>PERMUT('PERMUT'!B21, 'PERMUT'!C21)</f>
        <v/>
      </c>
      <c r="G325" s="19" t="inlineStr">
        <is>
          <t>Hitung jumlah permutasi untuk total objek di B21 (8) yang diambil sebanyak C21 (2) menggunakan fungsi PERMUT!</t>
        </is>
      </c>
    </row>
    <row r="326">
      <c r="A326" s="5" t="n">
        <v>322</v>
      </c>
      <c r="B326" s="8" t="inlineStr">
        <is>
          <t>PERMUT</t>
        </is>
      </c>
      <c r="C326" s="6" t="inlineStr">
        <is>
          <t>Soal Tes #2</t>
        </is>
      </c>
      <c r="D326" s="31" t="inlineStr">
        <is>
          <t>PERMUT!E30</t>
        </is>
      </c>
      <c r="E326" s="22" t="inlineStr">
        <is>
          <t>'=PERMUT(B29, C29)</t>
        </is>
      </c>
      <c r="F326" s="32">
        <f>PERMUT('PERMUT'!B29, 'PERMUT'!C29)</f>
        <v/>
      </c>
      <c r="G326" s="19" t="inlineStr">
        <is>
          <t>Hitung jumlah permutasi untuk total objek di B29 (9) yang diambil sebanyak C29 (3) menggunakan fungsi PERMUT!</t>
        </is>
      </c>
    </row>
    <row r="327">
      <c r="A327" s="5" t="n">
        <v>323</v>
      </c>
      <c r="B327" s="8" t="inlineStr">
        <is>
          <t>PERMUT</t>
        </is>
      </c>
      <c r="C327" s="6" t="inlineStr">
        <is>
          <t>Soal Tes #3</t>
        </is>
      </c>
      <c r="D327" s="31" t="inlineStr">
        <is>
          <t>PERMUT!E38</t>
        </is>
      </c>
      <c r="E327" s="22" t="inlineStr">
        <is>
          <t>'=PERMUT(B37, C37)</t>
        </is>
      </c>
      <c r="F327" s="32">
        <f>PERMUT('PERMUT'!B37, 'PERMUT'!C37)</f>
        <v/>
      </c>
      <c r="G327" s="19" t="inlineStr">
        <is>
          <t>Hitung jumlah permutasi untuk total objek di B37 (10) yang diambil sebanyak C37 (2) menggunakan fungsi PERMUT!</t>
        </is>
      </c>
    </row>
    <row r="328">
      <c r="A328" s="5" t="n">
        <v>324</v>
      </c>
      <c r="B328" s="8" t="inlineStr">
        <is>
          <t>PERMUT</t>
        </is>
      </c>
      <c r="C328" s="6" t="inlineStr">
        <is>
          <t>Soal Tes #4</t>
        </is>
      </c>
      <c r="D328" s="31" t="inlineStr">
        <is>
          <t>PERMUT!E46</t>
        </is>
      </c>
      <c r="E328" s="22" t="inlineStr">
        <is>
          <t>'=PERMUT(B45, C45)</t>
        </is>
      </c>
      <c r="F328" s="32">
        <f>PERMUT('PERMUT'!B45, 'PERMUT'!C45)</f>
        <v/>
      </c>
      <c r="G328" s="19" t="inlineStr">
        <is>
          <t>Hitung jumlah permutasi untuk total objek di B45 (11) yang diambil sebanyak C45 (3) menggunakan fungsi PERMUT!</t>
        </is>
      </c>
    </row>
    <row r="329">
      <c r="A329" s="5" t="n">
        <v>325</v>
      </c>
      <c r="B329" s="8" t="inlineStr">
        <is>
          <t>PERMUT</t>
        </is>
      </c>
      <c r="C329" s="6" t="inlineStr">
        <is>
          <t>Soal Tes #5</t>
        </is>
      </c>
      <c r="D329" s="31" t="inlineStr">
        <is>
          <t>PERMUT!E54</t>
        </is>
      </c>
      <c r="E329" s="22" t="inlineStr">
        <is>
          <t>'=PERMUT(B53, C53)</t>
        </is>
      </c>
      <c r="F329" s="32">
        <f>PERMUT('PERMUT'!B53, 'PERMUT'!C53)</f>
        <v/>
      </c>
      <c r="G329" s="19" t="inlineStr">
        <is>
          <t>Hitung jumlah permutasi untuk total objek di B53 (12) yang diambil sebanyak C53 (2) menggunakan fungsi PERMUT!</t>
        </is>
      </c>
    </row>
    <row r="330">
      <c r="A330" s="5" t="n">
        <v>326</v>
      </c>
      <c r="B330" s="8" t="inlineStr">
        <is>
          <t>POISSON</t>
        </is>
      </c>
      <c r="C330" s="6" t="inlineStr">
        <is>
          <t>Soal Tes #1</t>
        </is>
      </c>
      <c r="D330" s="31" t="inlineStr">
        <is>
          <t>POISSON!E22</t>
        </is>
      </c>
      <c r="E330" s="22" t="inlineStr">
        <is>
          <t>'=POISSON(C21, C22, TRUE)</t>
        </is>
      </c>
      <c r="F330" s="32">
        <f>POISSON('POISSON'!C21, 'POISSON'!C22, TRUE)</f>
        <v/>
      </c>
      <c r="G330" s="19" t="inlineStr">
        <is>
          <t>Hitung nilai distribusi kumulatif (TRUE) menggunakan fungsi POISSON dengan argumen C21, C22, dan TRUE!</t>
        </is>
      </c>
    </row>
    <row r="331">
      <c r="A331" s="5" t="n">
        <v>327</v>
      </c>
      <c r="B331" s="8" t="inlineStr">
        <is>
          <t>POISSON</t>
        </is>
      </c>
      <c r="C331" s="6" t="inlineStr">
        <is>
          <t>Soal Tes #2</t>
        </is>
      </c>
      <c r="D331" s="31" t="inlineStr">
        <is>
          <t>POISSON!E30</t>
        </is>
      </c>
      <c r="E331" s="22" t="inlineStr">
        <is>
          <t>'=POISSON(C29, C30, TRUE)</t>
        </is>
      </c>
      <c r="F331" s="32">
        <f>POISSON('POISSON'!C29, 'POISSON'!C30, TRUE)</f>
        <v/>
      </c>
      <c r="G331" s="19" t="inlineStr">
        <is>
          <t>Hitung nilai distribusi kumulatif (TRUE) menggunakan fungsi POISSON dengan argumen C29, C30, dan TRUE!</t>
        </is>
      </c>
    </row>
    <row r="332">
      <c r="A332" s="5" t="n">
        <v>328</v>
      </c>
      <c r="B332" s="8" t="inlineStr">
        <is>
          <t>POISSON</t>
        </is>
      </c>
      <c r="C332" s="6" t="inlineStr">
        <is>
          <t>Soal Tes #3</t>
        </is>
      </c>
      <c r="D332" s="31" t="inlineStr">
        <is>
          <t>POISSON!E38</t>
        </is>
      </c>
      <c r="E332" s="22" t="inlineStr">
        <is>
          <t>'=POISSON(C37, C38, TRUE)</t>
        </is>
      </c>
      <c r="F332" s="32">
        <f>POISSON('POISSON'!C37, 'POISSON'!C38, TRUE)</f>
        <v/>
      </c>
      <c r="G332" s="19" t="inlineStr">
        <is>
          <t>Hitung nilai distribusi kumulatif (TRUE) menggunakan fungsi POISSON dengan argumen C37, C38, dan TRUE!</t>
        </is>
      </c>
    </row>
    <row r="333">
      <c r="A333" s="5" t="n">
        <v>329</v>
      </c>
      <c r="B333" s="8" t="inlineStr">
        <is>
          <t>POISSON</t>
        </is>
      </c>
      <c r="C333" s="6" t="inlineStr">
        <is>
          <t>Soal Tes #4</t>
        </is>
      </c>
      <c r="D333" s="31" t="inlineStr">
        <is>
          <t>POISSON!E46</t>
        </is>
      </c>
      <c r="E333" s="22" t="inlineStr">
        <is>
          <t>'=POISSON(C45, C46, TRUE)</t>
        </is>
      </c>
      <c r="F333" s="32">
        <f>POISSON('POISSON'!C45, 'POISSON'!C46, TRUE)</f>
        <v/>
      </c>
      <c r="G333" s="19" t="inlineStr">
        <is>
          <t>Hitung nilai distribusi kumulatif (TRUE) menggunakan fungsi POISSON dengan argumen C45, C46, dan TRUE!</t>
        </is>
      </c>
    </row>
    <row r="334">
      <c r="A334" s="5" t="n">
        <v>330</v>
      </c>
      <c r="B334" s="8" t="inlineStr">
        <is>
          <t>POISSON</t>
        </is>
      </c>
      <c r="C334" s="6" t="inlineStr">
        <is>
          <t>Soal Tes #5</t>
        </is>
      </c>
      <c r="D334" s="31" t="inlineStr">
        <is>
          <t>POISSON!E54</t>
        </is>
      </c>
      <c r="E334" s="22" t="inlineStr">
        <is>
          <t>'=POISSON(C53, C54, TRUE)</t>
        </is>
      </c>
      <c r="F334" s="32">
        <f>POISSON('POISSON'!C53, 'POISSON'!C54, TRUE)</f>
        <v/>
      </c>
      <c r="G334" s="19" t="inlineStr">
        <is>
          <t>Hitung nilai distribusi kumulatif (TRUE) menggunakan fungsi POISSON dengan argumen C53, C54, dan TRUE!</t>
        </is>
      </c>
    </row>
    <row r="335">
      <c r="A335" s="5" t="n">
        <v>331</v>
      </c>
      <c r="B335" s="8" t="inlineStr">
        <is>
          <t>PROB</t>
        </is>
      </c>
      <c r="C335" s="6" t="inlineStr">
        <is>
          <t>Soal Tes #1</t>
        </is>
      </c>
      <c r="D335" s="31" t="inlineStr">
        <is>
          <t>PROB!E22</t>
        </is>
      </c>
      <c r="E335" s="22" t="inlineStr">
        <is>
          <t>'=PROB(B21:B24, C21:C24, 2)</t>
        </is>
      </c>
      <c r="F335" s="32">
        <f>PROB('PROB'!B21:B24, 'PROB'!C21:C24, 2)</f>
        <v/>
      </c>
      <c r="G335" s="19" t="inlineStr">
        <is>
          <t>Hitung peluang terjadinya nilai 2 berdasarkan daftar kejadian di B21:B24 dan daftar peluang di C21:C24 menggunakan fungsi PROB!</t>
        </is>
      </c>
    </row>
    <row r="336">
      <c r="A336" s="5" t="n">
        <v>332</v>
      </c>
      <c r="B336" s="8" t="inlineStr">
        <is>
          <t>PROB</t>
        </is>
      </c>
      <c r="C336" s="6" t="inlineStr">
        <is>
          <t>Soal Tes #2</t>
        </is>
      </c>
      <c r="D336" s="31" t="inlineStr">
        <is>
          <t>PROB!E30</t>
        </is>
      </c>
      <c r="E336" s="22" t="inlineStr">
        <is>
          <t>'=PROB(B29:B32, C29:C32, 2)</t>
        </is>
      </c>
      <c r="F336" s="32">
        <f>PROB('PROB'!B29:B32, 'PROB'!C29:C32, 2)</f>
        <v/>
      </c>
      <c r="G336" s="19" t="inlineStr">
        <is>
          <t>Hitung peluang terjadinya nilai 2 berdasarkan daftar kejadian di B29:B32 dan daftar peluang di C29:C32 menggunakan fungsi PROB!</t>
        </is>
      </c>
    </row>
    <row r="337">
      <c r="A337" s="5" t="n">
        <v>333</v>
      </c>
      <c r="B337" s="8" t="inlineStr">
        <is>
          <t>PROB</t>
        </is>
      </c>
      <c r="C337" s="6" t="inlineStr">
        <is>
          <t>Soal Tes #3</t>
        </is>
      </c>
      <c r="D337" s="31" t="inlineStr">
        <is>
          <t>PROB!E38</t>
        </is>
      </c>
      <c r="E337" s="22" t="inlineStr">
        <is>
          <t>'=PROB(B37:B40, C37:C40, 2)</t>
        </is>
      </c>
      <c r="F337" s="32">
        <f>PROB('PROB'!B37:B40, 'PROB'!C37:C40, 2)</f>
        <v/>
      </c>
      <c r="G337" s="19" t="inlineStr">
        <is>
          <t>Hitung peluang terjadinya nilai 2 berdasarkan daftar kejadian di B37:B40 dan daftar peluang di C37:C40 menggunakan fungsi PROB!</t>
        </is>
      </c>
    </row>
    <row r="338">
      <c r="A338" s="5" t="n">
        <v>334</v>
      </c>
      <c r="B338" s="8" t="inlineStr">
        <is>
          <t>PROB</t>
        </is>
      </c>
      <c r="C338" s="6" t="inlineStr">
        <is>
          <t>Soal Tes #4</t>
        </is>
      </c>
      <c r="D338" s="31" t="inlineStr">
        <is>
          <t>PROB!E46</t>
        </is>
      </c>
      <c r="E338" s="22" t="inlineStr">
        <is>
          <t>'=PROB(B45:B48, C45:C48, 2)</t>
        </is>
      </c>
      <c r="F338" s="32">
        <f>PROB('PROB'!B45:B48, 'PROB'!C45:C48, 2)</f>
        <v/>
      </c>
      <c r="G338" s="19" t="inlineStr">
        <is>
          <t>Hitung peluang terjadinya nilai 2 berdasarkan daftar kejadian di B45:B48 dan daftar peluang di C45:C48 menggunakan fungsi PROB!</t>
        </is>
      </c>
    </row>
    <row r="339">
      <c r="A339" s="5" t="n">
        <v>335</v>
      </c>
      <c r="B339" s="8" t="inlineStr">
        <is>
          <t>PROB</t>
        </is>
      </c>
      <c r="C339" s="6" t="inlineStr">
        <is>
          <t>Soal Tes #5</t>
        </is>
      </c>
      <c r="D339" s="31" t="inlineStr">
        <is>
          <t>PROB!E54</t>
        </is>
      </c>
      <c r="E339" s="22" t="inlineStr">
        <is>
          <t>'=PROB(B53:B56, C53:C56, 2)</t>
        </is>
      </c>
      <c r="F339" s="32">
        <f>PROB('PROB'!B53:B56, 'PROB'!C53:C56, 2)</f>
        <v/>
      </c>
      <c r="G339" s="19" t="inlineStr">
        <is>
          <t>Hitung peluang terjadinya nilai 2 berdasarkan daftar kejadian di B53:B56 dan daftar peluang di C53:C56 menggunakan fungsi PROB!</t>
        </is>
      </c>
    </row>
    <row r="340">
      <c r="A340" s="5" t="n">
        <v>336</v>
      </c>
      <c r="B340" s="8" t="inlineStr">
        <is>
          <t>QUARTILE.EXC</t>
        </is>
      </c>
      <c r="C340" s="6" t="inlineStr">
        <is>
          <t>Soal Tes #1</t>
        </is>
      </c>
      <c r="D340" s="31" t="inlineStr">
        <is>
          <t>QUARTILE.EXC!E22</t>
        </is>
      </c>
      <c r="E340" s="22" t="inlineStr">
        <is>
          <t>'=QUARTILE.EXC(C21:C24, 1)</t>
        </is>
      </c>
      <c r="F340" s="32">
        <f>QUARTILE.EXC('QUARTILE.EXC'!C21:C24, 1)</f>
        <v/>
      </c>
      <c r="G340" s="19" t="inlineStr">
        <is>
          <t>Hitung nilai Kuartil ke-1 dari rentang data C21:C24 menggunakan fungsi QUARTILE.EXC!</t>
        </is>
      </c>
    </row>
    <row r="341">
      <c r="A341" s="5" t="n">
        <v>337</v>
      </c>
      <c r="B341" s="8" t="inlineStr">
        <is>
          <t>QUARTILE.EXC</t>
        </is>
      </c>
      <c r="C341" s="6" t="inlineStr">
        <is>
          <t>Soal Tes #2</t>
        </is>
      </c>
      <c r="D341" s="31" t="inlineStr">
        <is>
          <t>QUARTILE.EXC!E30</t>
        </is>
      </c>
      <c r="E341" s="22" t="inlineStr">
        <is>
          <t>'=QUARTILE.EXC(C29:C32, 1)</t>
        </is>
      </c>
      <c r="F341" s="32">
        <f>QUARTILE.EXC('QUARTILE.EXC'!C29:C32, 1)</f>
        <v/>
      </c>
      <c r="G341" s="19" t="inlineStr">
        <is>
          <t>Hitung nilai Kuartil ke-1 dari rentang data C29:C32 menggunakan fungsi QUARTILE.EXC!</t>
        </is>
      </c>
    </row>
    <row r="342">
      <c r="A342" s="5" t="n">
        <v>338</v>
      </c>
      <c r="B342" s="8" t="inlineStr">
        <is>
          <t>QUARTILE.EXC</t>
        </is>
      </c>
      <c r="C342" s="6" t="inlineStr">
        <is>
          <t>Soal Tes #3</t>
        </is>
      </c>
      <c r="D342" s="31" t="inlineStr">
        <is>
          <t>QUARTILE.EXC!E38</t>
        </is>
      </c>
      <c r="E342" s="22" t="inlineStr">
        <is>
          <t>'=QUARTILE.EXC(C37:C40, 1)</t>
        </is>
      </c>
      <c r="F342" s="32">
        <f>QUARTILE.EXC('QUARTILE.EXC'!C37:C40, 1)</f>
        <v/>
      </c>
      <c r="G342" s="19" t="inlineStr">
        <is>
          <t>Hitung nilai Kuartil ke-1 dari rentang data C37:C40 menggunakan fungsi QUARTILE.EXC!</t>
        </is>
      </c>
    </row>
    <row r="343">
      <c r="A343" s="5" t="n">
        <v>339</v>
      </c>
      <c r="B343" s="8" t="inlineStr">
        <is>
          <t>QUARTILE.EXC</t>
        </is>
      </c>
      <c r="C343" s="6" t="inlineStr">
        <is>
          <t>Soal Tes #4</t>
        </is>
      </c>
      <c r="D343" s="31" t="inlineStr">
        <is>
          <t>QUARTILE.EXC!E46</t>
        </is>
      </c>
      <c r="E343" s="22" t="inlineStr">
        <is>
          <t>'=QUARTILE.EXC(C45:C48, 1)</t>
        </is>
      </c>
      <c r="F343" s="32">
        <f>QUARTILE.EXC('QUARTILE.EXC'!C45:C48, 1)</f>
        <v/>
      </c>
      <c r="G343" s="19" t="inlineStr">
        <is>
          <t>Hitung nilai Kuartil ke-1 dari rentang data C45:C48 menggunakan fungsi QUARTILE.EXC!</t>
        </is>
      </c>
    </row>
    <row r="344">
      <c r="A344" s="5" t="n">
        <v>340</v>
      </c>
      <c r="B344" s="8" t="inlineStr">
        <is>
          <t>QUARTILE.EXC</t>
        </is>
      </c>
      <c r="C344" s="6" t="inlineStr">
        <is>
          <t>Soal Tes #5</t>
        </is>
      </c>
      <c r="D344" s="31" t="inlineStr">
        <is>
          <t>QUARTILE.EXC!E54</t>
        </is>
      </c>
      <c r="E344" s="22" t="inlineStr">
        <is>
          <t>'=QUARTILE.EXC(C53:C56, 1)</t>
        </is>
      </c>
      <c r="F344" s="32">
        <f>QUARTILE.EXC('QUARTILE.EXC'!C53:C56, 1)</f>
        <v/>
      </c>
      <c r="G344" s="19" t="inlineStr">
        <is>
          <t>Hitung nilai Kuartil ke-1 dari rentang data C53:C56 menggunakan fungsi QUARTILE.EXC!</t>
        </is>
      </c>
    </row>
    <row r="345">
      <c r="A345" s="5" t="n">
        <v>341</v>
      </c>
      <c r="B345" s="8" t="inlineStr">
        <is>
          <t>QUARTILE.INC</t>
        </is>
      </c>
      <c r="C345" s="6" t="inlineStr">
        <is>
          <t>Soal Tes #1</t>
        </is>
      </c>
      <c r="D345" s="31" t="inlineStr">
        <is>
          <t>QUARTILE.INC!E22</t>
        </is>
      </c>
      <c r="E345" s="22" t="inlineStr">
        <is>
          <t>'=QUARTILE.INC(C21:C24, 1)</t>
        </is>
      </c>
      <c r="F345" s="32">
        <f>QUARTILE.INC('QUARTILE.INC'!C21:C24, 1)</f>
        <v/>
      </c>
      <c r="G345" s="19" t="inlineStr">
        <is>
          <t>Hitung nilai Kuartil ke-1 dari rentang data C21:C24 menggunakan fungsi QUARTILE.INC!</t>
        </is>
      </c>
    </row>
    <row r="346">
      <c r="A346" s="5" t="n">
        <v>342</v>
      </c>
      <c r="B346" s="8" t="inlineStr">
        <is>
          <t>QUARTILE.INC</t>
        </is>
      </c>
      <c r="C346" s="6" t="inlineStr">
        <is>
          <t>Soal Tes #2</t>
        </is>
      </c>
      <c r="D346" s="31" t="inlineStr">
        <is>
          <t>QUARTILE.INC!E30</t>
        </is>
      </c>
      <c r="E346" s="22" t="inlineStr">
        <is>
          <t>'=QUARTILE.INC(C29:C32, 1)</t>
        </is>
      </c>
      <c r="F346" s="32">
        <f>QUARTILE.INC('QUARTILE.INC'!C29:C32, 1)</f>
        <v/>
      </c>
      <c r="G346" s="19" t="inlineStr">
        <is>
          <t>Hitung nilai Kuartil ke-1 dari rentang data C29:C32 menggunakan fungsi QUARTILE.INC!</t>
        </is>
      </c>
    </row>
    <row r="347">
      <c r="A347" s="5" t="n">
        <v>343</v>
      </c>
      <c r="B347" s="8" t="inlineStr">
        <is>
          <t>QUARTILE.INC</t>
        </is>
      </c>
      <c r="C347" s="6" t="inlineStr">
        <is>
          <t>Soal Tes #3</t>
        </is>
      </c>
      <c r="D347" s="31" t="inlineStr">
        <is>
          <t>QUARTILE.INC!E38</t>
        </is>
      </c>
      <c r="E347" s="22" t="inlineStr">
        <is>
          <t>'=QUARTILE.INC(C37:C40, 1)</t>
        </is>
      </c>
      <c r="F347" s="32">
        <f>QUARTILE.INC('QUARTILE.INC'!C37:C40, 1)</f>
        <v/>
      </c>
      <c r="G347" s="19" t="inlineStr">
        <is>
          <t>Hitung nilai Kuartil ke-1 dari rentang data C37:C40 menggunakan fungsi QUARTILE.INC!</t>
        </is>
      </c>
    </row>
    <row r="348">
      <c r="A348" s="5" t="n">
        <v>344</v>
      </c>
      <c r="B348" s="8" t="inlineStr">
        <is>
          <t>QUARTILE.INC</t>
        </is>
      </c>
      <c r="C348" s="6" t="inlineStr">
        <is>
          <t>Soal Tes #4</t>
        </is>
      </c>
      <c r="D348" s="31" t="inlineStr">
        <is>
          <t>QUARTILE.INC!E46</t>
        </is>
      </c>
      <c r="E348" s="22" t="inlineStr">
        <is>
          <t>'=QUARTILE.INC(C45:C48, 1)</t>
        </is>
      </c>
      <c r="F348" s="32">
        <f>QUARTILE.INC('QUARTILE.INC'!C45:C48, 1)</f>
        <v/>
      </c>
      <c r="G348" s="19" t="inlineStr">
        <is>
          <t>Hitung nilai Kuartil ke-1 dari rentang data C45:C48 menggunakan fungsi QUARTILE.INC!</t>
        </is>
      </c>
    </row>
    <row r="349">
      <c r="A349" s="5" t="n">
        <v>345</v>
      </c>
      <c r="B349" s="8" t="inlineStr">
        <is>
          <t>QUARTILE.INC</t>
        </is>
      </c>
      <c r="C349" s="6" t="inlineStr">
        <is>
          <t>Soal Tes #5</t>
        </is>
      </c>
      <c r="D349" s="31" t="inlineStr">
        <is>
          <t>QUARTILE.INC!E54</t>
        </is>
      </c>
      <c r="E349" s="22" t="inlineStr">
        <is>
          <t>'=QUARTILE.INC(C53:C56, 1)</t>
        </is>
      </c>
      <c r="F349" s="32">
        <f>QUARTILE.INC('QUARTILE.INC'!C53:C56, 1)</f>
        <v/>
      </c>
      <c r="G349" s="19" t="inlineStr">
        <is>
          <t>Hitung nilai Kuartil ke-1 dari rentang data C53:C56 menggunakan fungsi QUARTILE.INC!</t>
        </is>
      </c>
    </row>
    <row r="350">
      <c r="A350" s="5" t="n">
        <v>346</v>
      </c>
      <c r="B350" s="8" t="inlineStr">
        <is>
          <t>RANK</t>
        </is>
      </c>
      <c r="C350" s="6" t="inlineStr">
        <is>
          <t>Soal Tes #1</t>
        </is>
      </c>
      <c r="D350" s="31" t="inlineStr">
        <is>
          <t>RANK!E22</t>
        </is>
      </c>
      <c r="E350" s="22" t="inlineStr">
        <is>
          <t>'=RANK(C21, C21:C24)</t>
        </is>
      </c>
      <c r="F350" s="32">
        <f>RANK('RANK'!C21, 'RANK'!C21:C24)</f>
        <v/>
      </c>
      <c r="G350" s="19" t="inlineStr">
        <is>
          <t>Tentukan peringkat nilai sel C21 di dalam daftar referensi C21:C24 menggunakan fungsi RANK!</t>
        </is>
      </c>
    </row>
    <row r="351">
      <c r="A351" s="5" t="n">
        <v>347</v>
      </c>
      <c r="B351" s="8" t="inlineStr">
        <is>
          <t>RANK</t>
        </is>
      </c>
      <c r="C351" s="6" t="inlineStr">
        <is>
          <t>Soal Tes #2</t>
        </is>
      </c>
      <c r="D351" s="31" t="inlineStr">
        <is>
          <t>RANK!E30</t>
        </is>
      </c>
      <c r="E351" s="22" t="inlineStr">
        <is>
          <t>'=RANK(C29, C29:C32)</t>
        </is>
      </c>
      <c r="F351" s="32">
        <f>RANK('RANK'!C29, 'RANK'!C29:C32)</f>
        <v/>
      </c>
      <c r="G351" s="19" t="inlineStr">
        <is>
          <t>Tentukan peringkat nilai sel C29 di dalam daftar referensi C29:C32 menggunakan fungsi RANK!</t>
        </is>
      </c>
    </row>
    <row r="352">
      <c r="A352" s="5" t="n">
        <v>348</v>
      </c>
      <c r="B352" s="8" t="inlineStr">
        <is>
          <t>RANK</t>
        </is>
      </c>
      <c r="C352" s="6" t="inlineStr">
        <is>
          <t>Soal Tes #3</t>
        </is>
      </c>
      <c r="D352" s="31" t="inlineStr">
        <is>
          <t>RANK!E38</t>
        </is>
      </c>
      <c r="E352" s="22" t="inlineStr">
        <is>
          <t>'=RANK(C37, C37:C40)</t>
        </is>
      </c>
      <c r="F352" s="32">
        <f>RANK('RANK'!C37, 'RANK'!C37:C40)</f>
        <v/>
      </c>
      <c r="G352" s="19" t="inlineStr">
        <is>
          <t>Tentukan peringkat nilai sel C37 di dalam daftar referensi C37:C40 menggunakan fungsi RANK!</t>
        </is>
      </c>
    </row>
    <row r="353">
      <c r="A353" s="5" t="n">
        <v>349</v>
      </c>
      <c r="B353" s="8" t="inlineStr">
        <is>
          <t>RANK</t>
        </is>
      </c>
      <c r="C353" s="6" t="inlineStr">
        <is>
          <t>Soal Tes #4</t>
        </is>
      </c>
      <c r="D353" s="31" t="inlineStr">
        <is>
          <t>RANK!E46</t>
        </is>
      </c>
      <c r="E353" s="22" t="inlineStr">
        <is>
          <t>'=RANK(C45, C45:C48)</t>
        </is>
      </c>
      <c r="F353" s="32">
        <f>RANK('RANK'!C45, 'RANK'!C45:C48)</f>
        <v/>
      </c>
      <c r="G353" s="19" t="inlineStr">
        <is>
          <t>Tentukan peringkat nilai sel C45 di dalam daftar referensi C45:C48 menggunakan fungsi RANK!</t>
        </is>
      </c>
    </row>
    <row r="354">
      <c r="A354" s="5" t="n">
        <v>350</v>
      </c>
      <c r="B354" s="8" t="inlineStr">
        <is>
          <t>RANK</t>
        </is>
      </c>
      <c r="C354" s="6" t="inlineStr">
        <is>
          <t>Soal Tes #5</t>
        </is>
      </c>
      <c r="D354" s="31" t="inlineStr">
        <is>
          <t>RANK!E54</t>
        </is>
      </c>
      <c r="E354" s="22" t="inlineStr">
        <is>
          <t>'=RANK(C53, C53:C56)</t>
        </is>
      </c>
      <c r="F354" s="32">
        <f>RANK('RANK'!C53, 'RANK'!C53:C56)</f>
        <v/>
      </c>
      <c r="G354" s="19" t="inlineStr">
        <is>
          <t>Tentukan peringkat nilai sel C53 di dalam daftar referensi C53:C56 menggunakan fungsi RANK!</t>
        </is>
      </c>
    </row>
    <row r="355">
      <c r="A355" s="5" t="n">
        <v>351</v>
      </c>
      <c r="B355" s="8" t="inlineStr">
        <is>
          <t>RSQ</t>
        </is>
      </c>
      <c r="C355" s="6" t="inlineStr">
        <is>
          <t>Soal Tes #1</t>
        </is>
      </c>
      <c r="D355" s="31" t="inlineStr">
        <is>
          <t>RSQ!E22</t>
        </is>
      </c>
      <c r="E355" s="22" t="inlineStr">
        <is>
          <t>'=RSQ(C21:C24, B21:B24)</t>
        </is>
      </c>
      <c r="F355" s="32">
        <f>RSQ('RSQ'!C21:C24, 'RSQ'!B21:B24)</f>
        <v/>
      </c>
      <c r="G355" s="19" t="inlineStr">
        <is>
          <t>Analisis regresi linear dengan menempatkan rentang hasil Y (C21:C24) dan rentang variabel X (B21:B24) menggunakan fungsi RSQ!</t>
        </is>
      </c>
    </row>
    <row r="356">
      <c r="A356" s="5" t="n">
        <v>352</v>
      </c>
      <c r="B356" s="8" t="inlineStr">
        <is>
          <t>RSQ</t>
        </is>
      </c>
      <c r="C356" s="6" t="inlineStr">
        <is>
          <t>Soal Tes #2</t>
        </is>
      </c>
      <c r="D356" s="31" t="inlineStr">
        <is>
          <t>RSQ!E30</t>
        </is>
      </c>
      <c r="E356" s="22" t="inlineStr">
        <is>
          <t>'=RSQ(C29:C32, B29:B32)</t>
        </is>
      </c>
      <c r="F356" s="32">
        <f>RSQ('RSQ'!C29:C32, 'RSQ'!B29:B32)</f>
        <v/>
      </c>
      <c r="G356" s="19" t="inlineStr">
        <is>
          <t>Analisis regresi linear dengan menempatkan rentang hasil Y (C29:C32) dan rentang variabel X (B29:B32) menggunakan fungsi RSQ!</t>
        </is>
      </c>
    </row>
    <row r="357">
      <c r="A357" s="5" t="n">
        <v>353</v>
      </c>
      <c r="B357" s="8" t="inlineStr">
        <is>
          <t>RSQ</t>
        </is>
      </c>
      <c r="C357" s="6" t="inlineStr">
        <is>
          <t>Soal Tes #3</t>
        </is>
      </c>
      <c r="D357" s="31" t="inlineStr">
        <is>
          <t>RSQ!E38</t>
        </is>
      </c>
      <c r="E357" s="22" t="inlineStr">
        <is>
          <t>'=RSQ(C37:C40, B37:B40)</t>
        </is>
      </c>
      <c r="F357" s="32">
        <f>RSQ('RSQ'!C37:C40, 'RSQ'!B37:B40)</f>
        <v/>
      </c>
      <c r="G357" s="19" t="inlineStr">
        <is>
          <t>Analisis regresi linear dengan menempatkan rentang hasil Y (C37:C40) dan rentang variabel X (B37:B40) menggunakan fungsi RSQ!</t>
        </is>
      </c>
    </row>
    <row r="358">
      <c r="A358" s="5" t="n">
        <v>354</v>
      </c>
      <c r="B358" s="8" t="inlineStr">
        <is>
          <t>RSQ</t>
        </is>
      </c>
      <c r="C358" s="6" t="inlineStr">
        <is>
          <t>Soal Tes #4</t>
        </is>
      </c>
      <c r="D358" s="31" t="inlineStr">
        <is>
          <t>RSQ!E46</t>
        </is>
      </c>
      <c r="E358" s="22" t="inlineStr">
        <is>
          <t>'=RSQ(C45:C48, B45:B48)</t>
        </is>
      </c>
      <c r="F358" s="32">
        <f>RSQ('RSQ'!C45:C48, 'RSQ'!B45:B48)</f>
        <v/>
      </c>
      <c r="G358" s="19" t="inlineStr">
        <is>
          <t>Analisis regresi linear dengan menempatkan rentang hasil Y (C45:C48) dan rentang variabel X (B45:B48) menggunakan fungsi RSQ!</t>
        </is>
      </c>
    </row>
    <row r="359">
      <c r="A359" s="5" t="n">
        <v>355</v>
      </c>
      <c r="B359" s="8" t="inlineStr">
        <is>
          <t>RSQ</t>
        </is>
      </c>
      <c r="C359" s="6" t="inlineStr">
        <is>
          <t>Soal Tes #5</t>
        </is>
      </c>
      <c r="D359" s="31" t="inlineStr">
        <is>
          <t>RSQ!E54</t>
        </is>
      </c>
      <c r="E359" s="22" t="inlineStr">
        <is>
          <t>'=RSQ(C53:C56, B53:B56)</t>
        </is>
      </c>
      <c r="F359" s="32">
        <f>RSQ('RSQ'!C53:C56, 'RSQ'!B53:B56)</f>
        <v/>
      </c>
      <c r="G359" s="19" t="inlineStr">
        <is>
          <t>Analisis regresi linear dengan menempatkan rentang hasil Y (C53:C56) dan rentang variabel X (B53:B56) menggunakan fungsi RSQ!</t>
        </is>
      </c>
    </row>
    <row r="360">
      <c r="A360" s="5" t="n">
        <v>356</v>
      </c>
      <c r="B360" s="8" t="inlineStr">
        <is>
          <t>SKEW</t>
        </is>
      </c>
      <c r="C360" s="6" t="inlineStr">
        <is>
          <t>Soal Tes #1</t>
        </is>
      </c>
      <c r="D360" s="31" t="inlineStr">
        <is>
          <t>SKEW!E22</t>
        </is>
      </c>
      <c r="E360" s="22" t="inlineStr">
        <is>
          <t>'=SKEW(C21:C24)</t>
        </is>
      </c>
      <c r="F360" s="32">
        <f>SKEW('SKEW'!C21:C24)</f>
        <v/>
      </c>
      <c r="G360" s="19" t="inlineStr">
        <is>
          <t>Hitung hasil pengolahan fungsi SKEW untuk keempat baris data pada rentang C21:C24!</t>
        </is>
      </c>
    </row>
    <row r="361">
      <c r="A361" s="5" t="n">
        <v>357</v>
      </c>
      <c r="B361" s="8" t="inlineStr">
        <is>
          <t>SKEW</t>
        </is>
      </c>
      <c r="C361" s="6" t="inlineStr">
        <is>
          <t>Soal Tes #2</t>
        </is>
      </c>
      <c r="D361" s="31" t="inlineStr">
        <is>
          <t>SKEW!E30</t>
        </is>
      </c>
      <c r="E361" s="22" t="inlineStr">
        <is>
          <t>'=SKEW(C29:C32)</t>
        </is>
      </c>
      <c r="F361" s="32">
        <f>SKEW('SKEW'!C29:C32)</f>
        <v/>
      </c>
      <c r="G361" s="19" t="inlineStr">
        <is>
          <t>Hitung hasil pengolahan fungsi SKEW untuk keempat baris data pada rentang C29:C32!</t>
        </is>
      </c>
    </row>
    <row r="362">
      <c r="A362" s="5" t="n">
        <v>358</v>
      </c>
      <c r="B362" s="8" t="inlineStr">
        <is>
          <t>SKEW</t>
        </is>
      </c>
      <c r="C362" s="6" t="inlineStr">
        <is>
          <t>Soal Tes #3</t>
        </is>
      </c>
      <c r="D362" s="31" t="inlineStr">
        <is>
          <t>SKEW!E38</t>
        </is>
      </c>
      <c r="E362" s="22" t="inlineStr">
        <is>
          <t>'=SKEW(C37:C40)</t>
        </is>
      </c>
      <c r="F362" s="32">
        <f>SKEW('SKEW'!C37:C40)</f>
        <v/>
      </c>
      <c r="G362" s="19" t="inlineStr">
        <is>
          <t>Hitung hasil pengolahan fungsi SKEW untuk keempat baris data pada rentang C37:C40!</t>
        </is>
      </c>
    </row>
    <row r="363">
      <c r="A363" s="5" t="n">
        <v>359</v>
      </c>
      <c r="B363" s="8" t="inlineStr">
        <is>
          <t>SKEW</t>
        </is>
      </c>
      <c r="C363" s="6" t="inlineStr">
        <is>
          <t>Soal Tes #4</t>
        </is>
      </c>
      <c r="D363" s="31" t="inlineStr">
        <is>
          <t>SKEW!E46</t>
        </is>
      </c>
      <c r="E363" s="22" t="inlineStr">
        <is>
          <t>'=SKEW(C45:C48)</t>
        </is>
      </c>
      <c r="F363" s="32">
        <f>SKEW('SKEW'!C45:C48)</f>
        <v/>
      </c>
      <c r="G363" s="19" t="inlineStr">
        <is>
          <t>Hitung hasil pengolahan fungsi SKEW untuk keempat baris data pada rentang C45:C48!</t>
        </is>
      </c>
    </row>
    <row r="364">
      <c r="A364" s="5" t="n">
        <v>360</v>
      </c>
      <c r="B364" s="8" t="inlineStr">
        <is>
          <t>SKEW</t>
        </is>
      </c>
      <c r="C364" s="6" t="inlineStr">
        <is>
          <t>Soal Tes #5</t>
        </is>
      </c>
      <c r="D364" s="31" t="inlineStr">
        <is>
          <t>SKEW!E54</t>
        </is>
      </c>
      <c r="E364" s="22" t="inlineStr">
        <is>
          <t>'=SKEW(C53:C56)</t>
        </is>
      </c>
      <c r="F364" s="32">
        <f>SKEW('SKEW'!C53:C56)</f>
        <v/>
      </c>
      <c r="G364" s="19" t="inlineStr">
        <is>
          <t>Hitung hasil pengolahan fungsi SKEW untuk keempat baris data pada rentang C53:C56!</t>
        </is>
      </c>
    </row>
    <row r="365">
      <c r="A365" s="5" t="n">
        <v>361</v>
      </c>
      <c r="B365" s="8" t="inlineStr">
        <is>
          <t>SLOPE</t>
        </is>
      </c>
      <c r="C365" s="6" t="inlineStr">
        <is>
          <t>Soal Tes #1</t>
        </is>
      </c>
      <c r="D365" s="31" t="inlineStr">
        <is>
          <t>SLOPE!E22</t>
        </is>
      </c>
      <c r="E365" s="22" t="inlineStr">
        <is>
          <t>'=SLOPE(C21:C24, B21:B24)</t>
        </is>
      </c>
      <c r="F365" s="32">
        <f>SLOPE('SLOPE'!C21:C24, 'SLOPE'!B21:B24)</f>
        <v/>
      </c>
      <c r="G365" s="19" t="inlineStr">
        <is>
          <t>Analisis regresi linear dengan menempatkan rentang hasil Y (C21:C24) dan rentang variabel X (B21:B24) menggunakan fungsi SLOPE!</t>
        </is>
      </c>
    </row>
    <row r="366">
      <c r="A366" s="5" t="n">
        <v>362</v>
      </c>
      <c r="B366" s="8" t="inlineStr">
        <is>
          <t>SLOPE</t>
        </is>
      </c>
      <c r="C366" s="6" t="inlineStr">
        <is>
          <t>Soal Tes #2</t>
        </is>
      </c>
      <c r="D366" s="31" t="inlineStr">
        <is>
          <t>SLOPE!E30</t>
        </is>
      </c>
      <c r="E366" s="22" t="inlineStr">
        <is>
          <t>'=SLOPE(C29:C32, B29:B32)</t>
        </is>
      </c>
      <c r="F366" s="32">
        <f>SLOPE('SLOPE'!C29:C32, 'SLOPE'!B29:B32)</f>
        <v/>
      </c>
      <c r="G366" s="19" t="inlineStr">
        <is>
          <t>Analisis regresi linear dengan menempatkan rentang hasil Y (C29:C32) dan rentang variabel X (B29:B32) menggunakan fungsi SLOPE!</t>
        </is>
      </c>
    </row>
    <row r="367">
      <c r="A367" s="5" t="n">
        <v>363</v>
      </c>
      <c r="B367" s="8" t="inlineStr">
        <is>
          <t>SLOPE</t>
        </is>
      </c>
      <c r="C367" s="6" t="inlineStr">
        <is>
          <t>Soal Tes #3</t>
        </is>
      </c>
      <c r="D367" s="31" t="inlineStr">
        <is>
          <t>SLOPE!E38</t>
        </is>
      </c>
      <c r="E367" s="22" t="inlineStr">
        <is>
          <t>'=SLOPE(C37:C40, B37:B40)</t>
        </is>
      </c>
      <c r="F367" s="32">
        <f>SLOPE('SLOPE'!C37:C40, 'SLOPE'!B37:B40)</f>
        <v/>
      </c>
      <c r="G367" s="19" t="inlineStr">
        <is>
          <t>Analisis regresi linear dengan menempatkan rentang hasil Y (C37:C40) dan rentang variabel X (B37:B40) menggunakan fungsi SLOPE!</t>
        </is>
      </c>
    </row>
    <row r="368">
      <c r="A368" s="5" t="n">
        <v>364</v>
      </c>
      <c r="B368" s="8" t="inlineStr">
        <is>
          <t>SLOPE</t>
        </is>
      </c>
      <c r="C368" s="6" t="inlineStr">
        <is>
          <t>Soal Tes #4</t>
        </is>
      </c>
      <c r="D368" s="31" t="inlineStr">
        <is>
          <t>SLOPE!E46</t>
        </is>
      </c>
      <c r="E368" s="22" t="inlineStr">
        <is>
          <t>'=SLOPE(C45:C48, B45:B48)</t>
        </is>
      </c>
      <c r="F368" s="32">
        <f>SLOPE('SLOPE'!C45:C48, 'SLOPE'!B45:B48)</f>
        <v/>
      </c>
      <c r="G368" s="19" t="inlineStr">
        <is>
          <t>Analisis regresi linear dengan menempatkan rentang hasil Y (C45:C48) dan rentang variabel X (B45:B48) menggunakan fungsi SLOPE!</t>
        </is>
      </c>
    </row>
    <row r="369">
      <c r="A369" s="5" t="n">
        <v>365</v>
      </c>
      <c r="B369" s="8" t="inlineStr">
        <is>
          <t>SLOPE</t>
        </is>
      </c>
      <c r="C369" s="6" t="inlineStr">
        <is>
          <t>Soal Tes #5</t>
        </is>
      </c>
      <c r="D369" s="31" t="inlineStr">
        <is>
          <t>SLOPE!E54</t>
        </is>
      </c>
      <c r="E369" s="22" t="inlineStr">
        <is>
          <t>'=SLOPE(C53:C56, B53:B56)</t>
        </is>
      </c>
      <c r="F369" s="32">
        <f>SLOPE('SLOPE'!C53:C56, 'SLOPE'!B53:B56)</f>
        <v/>
      </c>
      <c r="G369" s="19" t="inlineStr">
        <is>
          <t>Analisis regresi linear dengan menempatkan rentang hasil Y (C53:C56) dan rentang variabel X (B53:B56) menggunakan fungsi SLOPE!</t>
        </is>
      </c>
    </row>
    <row r="370">
      <c r="A370" s="5" t="n">
        <v>366</v>
      </c>
      <c r="B370" s="8" t="inlineStr">
        <is>
          <t>SMALL</t>
        </is>
      </c>
      <c r="C370" s="6" t="inlineStr">
        <is>
          <t>Soal Tes #1</t>
        </is>
      </c>
      <c r="D370" s="31" t="inlineStr">
        <is>
          <t>SMALL!E22</t>
        </is>
      </c>
      <c r="E370" s="22" t="inlineStr">
        <is>
          <t>'=SMALL(C21:C24, 1)</t>
        </is>
      </c>
      <c r="F370" s="32">
        <f>SMALL('SMALL'!C21:C24, 1)</f>
        <v/>
      </c>
      <c r="G370" s="19" t="inlineStr">
        <is>
          <t>Temukan nilai pada urutan ke-1 dari rentang data C21:C24 menggunakan fungsi SMALL!</t>
        </is>
      </c>
    </row>
    <row r="371">
      <c r="A371" s="5" t="n">
        <v>367</v>
      </c>
      <c r="B371" s="8" t="inlineStr">
        <is>
          <t>SMALL</t>
        </is>
      </c>
      <c r="C371" s="6" t="inlineStr">
        <is>
          <t>Soal Tes #2</t>
        </is>
      </c>
      <c r="D371" s="31" t="inlineStr">
        <is>
          <t>SMALL!E30</t>
        </is>
      </c>
      <c r="E371" s="22" t="inlineStr">
        <is>
          <t>'=SMALL(C29:C32, 2)</t>
        </is>
      </c>
      <c r="F371" s="32">
        <f>SMALL('SMALL'!C29:C32, 2)</f>
        <v/>
      </c>
      <c r="G371" s="19" t="inlineStr">
        <is>
          <t>Temukan nilai pada urutan ke-2 dari rentang data C29:C32 menggunakan fungsi SMALL!</t>
        </is>
      </c>
    </row>
    <row r="372">
      <c r="A372" s="5" t="n">
        <v>368</v>
      </c>
      <c r="B372" s="8" t="inlineStr">
        <is>
          <t>SMALL</t>
        </is>
      </c>
      <c r="C372" s="6" t="inlineStr">
        <is>
          <t>Soal Tes #3</t>
        </is>
      </c>
      <c r="D372" s="31" t="inlineStr">
        <is>
          <t>SMALL!E38</t>
        </is>
      </c>
      <c r="E372" s="22" t="inlineStr">
        <is>
          <t>'=SMALL(C37:C40, 3)</t>
        </is>
      </c>
      <c r="F372" s="32">
        <f>SMALL('SMALL'!C37:C40, 3)</f>
        <v/>
      </c>
      <c r="G372" s="19" t="inlineStr">
        <is>
          <t>Temukan nilai pada urutan ke-3 dari rentang data C37:C40 menggunakan fungsi SMALL!</t>
        </is>
      </c>
    </row>
    <row r="373">
      <c r="A373" s="5" t="n">
        <v>369</v>
      </c>
      <c r="B373" s="8" t="inlineStr">
        <is>
          <t>SMALL</t>
        </is>
      </c>
      <c r="C373" s="6" t="inlineStr">
        <is>
          <t>Soal Tes #4</t>
        </is>
      </c>
      <c r="D373" s="31" t="inlineStr">
        <is>
          <t>SMALL!E46</t>
        </is>
      </c>
      <c r="E373" s="22" t="inlineStr">
        <is>
          <t>'=SMALL(C45:C48, 1)</t>
        </is>
      </c>
      <c r="F373" s="32">
        <f>SMALL('SMALL'!C45:C48, 1)</f>
        <v/>
      </c>
      <c r="G373" s="19" t="inlineStr">
        <is>
          <t>Temukan nilai pada urutan ke-1 dari rentang data C45:C48 menggunakan fungsi SMALL!</t>
        </is>
      </c>
    </row>
    <row r="374">
      <c r="A374" s="5" t="n">
        <v>370</v>
      </c>
      <c r="B374" s="8" t="inlineStr">
        <is>
          <t>SMALL</t>
        </is>
      </c>
      <c r="C374" s="6" t="inlineStr">
        <is>
          <t>Soal Tes #5</t>
        </is>
      </c>
      <c r="D374" s="31" t="inlineStr">
        <is>
          <t>SMALL!E54</t>
        </is>
      </c>
      <c r="E374" s="22" t="inlineStr">
        <is>
          <t>'=SMALL(C53:C56, 2)</t>
        </is>
      </c>
      <c r="F374" s="32">
        <f>SMALL('SMALL'!C53:C56, 2)</f>
        <v/>
      </c>
      <c r="G374" s="19" t="inlineStr">
        <is>
          <t>Temukan nilai pada urutan ke-2 dari rentang data C53:C56 menggunakan fungsi SMALL!</t>
        </is>
      </c>
    </row>
    <row r="375">
      <c r="A375" s="5" t="n">
        <v>371</v>
      </c>
      <c r="B375" s="8" t="inlineStr">
        <is>
          <t>STANDARDIZE</t>
        </is>
      </c>
      <c r="C375" s="6" t="inlineStr">
        <is>
          <t>Soal Tes #1</t>
        </is>
      </c>
      <c r="D375" s="31" t="inlineStr">
        <is>
          <t>STANDARDIZE!E22</t>
        </is>
      </c>
      <c r="E375" s="22" t="inlineStr">
        <is>
          <t>'=STANDARDIZE(C21, C22, C23)</t>
        </is>
      </c>
      <c r="F375" s="32">
        <f>STANDARDIZE('STANDARDIZE'!C21, 'STANDARDIZE'!C22, 'STANDARDIZE'!C23)</f>
        <v/>
      </c>
      <c r="G375" s="19" t="inlineStr">
        <is>
          <t>Hitung nilai baku Z-score menggunakan fungsi STANDARDIZE dengan parameter X di C21, Mean di C22, dan Standar Deviasi di C23!</t>
        </is>
      </c>
    </row>
    <row r="376">
      <c r="A376" s="5" t="n">
        <v>372</v>
      </c>
      <c r="B376" s="8" t="inlineStr">
        <is>
          <t>STANDARDIZE</t>
        </is>
      </c>
      <c r="C376" s="6" t="inlineStr">
        <is>
          <t>Soal Tes #2</t>
        </is>
      </c>
      <c r="D376" s="31" t="inlineStr">
        <is>
          <t>STANDARDIZE!E30</t>
        </is>
      </c>
      <c r="E376" s="22" t="inlineStr">
        <is>
          <t>'=STANDARDIZE(C29, C30, C31)</t>
        </is>
      </c>
      <c r="F376" s="32">
        <f>STANDARDIZE('STANDARDIZE'!C29, 'STANDARDIZE'!C30, 'STANDARDIZE'!C31)</f>
        <v/>
      </c>
      <c r="G376" s="19" t="inlineStr">
        <is>
          <t>Hitung nilai baku Z-score menggunakan fungsi STANDARDIZE dengan parameter X di C29, Mean di C30, dan Standar Deviasi di C31!</t>
        </is>
      </c>
    </row>
    <row r="377">
      <c r="A377" s="5" t="n">
        <v>373</v>
      </c>
      <c r="B377" s="8" t="inlineStr">
        <is>
          <t>STANDARDIZE</t>
        </is>
      </c>
      <c r="C377" s="6" t="inlineStr">
        <is>
          <t>Soal Tes #3</t>
        </is>
      </c>
      <c r="D377" s="31" t="inlineStr">
        <is>
          <t>STANDARDIZE!E38</t>
        </is>
      </c>
      <c r="E377" s="22" t="inlineStr">
        <is>
          <t>'=STANDARDIZE(C37, C38, C39)</t>
        </is>
      </c>
      <c r="F377" s="32">
        <f>STANDARDIZE('STANDARDIZE'!C37, 'STANDARDIZE'!C38, 'STANDARDIZE'!C39)</f>
        <v/>
      </c>
      <c r="G377" s="19" t="inlineStr">
        <is>
          <t>Hitung nilai baku Z-score menggunakan fungsi STANDARDIZE dengan parameter X di C37, Mean di C38, dan Standar Deviasi di C39!</t>
        </is>
      </c>
    </row>
    <row r="378">
      <c r="A378" s="5" t="n">
        <v>374</v>
      </c>
      <c r="B378" s="8" t="inlineStr">
        <is>
          <t>STANDARDIZE</t>
        </is>
      </c>
      <c r="C378" s="6" t="inlineStr">
        <is>
          <t>Soal Tes #4</t>
        </is>
      </c>
      <c r="D378" s="31" t="inlineStr">
        <is>
          <t>STANDARDIZE!E46</t>
        </is>
      </c>
      <c r="E378" s="22" t="inlineStr">
        <is>
          <t>'=STANDARDIZE(C45, C46, C47)</t>
        </is>
      </c>
      <c r="F378" s="32">
        <f>STANDARDIZE('STANDARDIZE'!C45, 'STANDARDIZE'!C46, 'STANDARDIZE'!C47)</f>
        <v/>
      </c>
      <c r="G378" s="19" t="inlineStr">
        <is>
          <t>Hitung nilai baku Z-score menggunakan fungsi STANDARDIZE dengan parameter X di C45, Mean di C46, dan Standar Deviasi di C47!</t>
        </is>
      </c>
    </row>
    <row r="379">
      <c r="A379" s="5" t="n">
        <v>375</v>
      </c>
      <c r="B379" s="8" t="inlineStr">
        <is>
          <t>STANDARDIZE</t>
        </is>
      </c>
      <c r="C379" s="6" t="inlineStr">
        <is>
          <t>Soal Tes #5</t>
        </is>
      </c>
      <c r="D379" s="31" t="inlineStr">
        <is>
          <t>STANDARDIZE!E54</t>
        </is>
      </c>
      <c r="E379" s="22" t="inlineStr">
        <is>
          <t>'=STANDARDIZE(C53, C54, C55)</t>
        </is>
      </c>
      <c r="F379" s="32">
        <f>STANDARDIZE('STANDARDIZE'!C53, 'STANDARDIZE'!C54, 'STANDARDIZE'!C55)</f>
        <v/>
      </c>
      <c r="G379" s="19" t="inlineStr">
        <is>
          <t>Hitung nilai baku Z-score menggunakan fungsi STANDARDIZE dengan parameter X di C53, Mean di C54, dan Standar Deviasi di C55!</t>
        </is>
      </c>
    </row>
    <row r="380">
      <c r="A380" s="5" t="n">
        <v>376</v>
      </c>
      <c r="B380" s="8" t="inlineStr">
        <is>
          <t>STDEV.P</t>
        </is>
      </c>
      <c r="C380" s="6" t="inlineStr">
        <is>
          <t>Soal Tes #1</t>
        </is>
      </c>
      <c r="D380" s="31" t="inlineStr">
        <is>
          <t>STDEV.P!E22</t>
        </is>
      </c>
      <c r="E380" s="22" t="inlineStr">
        <is>
          <t>'=STDEV.P(C21:C24)</t>
        </is>
      </c>
      <c r="F380" s="32">
        <f>STDEV.P('STDEV.P'!C21:C24)</f>
        <v/>
      </c>
      <c r="G380" s="19" t="inlineStr">
        <is>
          <t>Hitung hasil pengolahan fungsi STDEV.P untuk keempat baris data pada rentang C21:C24!</t>
        </is>
      </c>
    </row>
    <row r="381">
      <c r="A381" s="5" t="n">
        <v>377</v>
      </c>
      <c r="B381" s="8" t="inlineStr">
        <is>
          <t>STDEV.P</t>
        </is>
      </c>
      <c r="C381" s="6" t="inlineStr">
        <is>
          <t>Soal Tes #2</t>
        </is>
      </c>
      <c r="D381" s="31" t="inlineStr">
        <is>
          <t>STDEV.P!E30</t>
        </is>
      </c>
      <c r="E381" s="22" t="inlineStr">
        <is>
          <t>'=STDEV.P(C29:C32)</t>
        </is>
      </c>
      <c r="F381" s="32">
        <f>STDEV.P('STDEV.P'!C29:C32)</f>
        <v/>
      </c>
      <c r="G381" s="19" t="inlineStr">
        <is>
          <t>Hitung hasil pengolahan fungsi STDEV.P untuk keempat baris data pada rentang C29:C32!</t>
        </is>
      </c>
    </row>
    <row r="382">
      <c r="A382" s="5" t="n">
        <v>378</v>
      </c>
      <c r="B382" s="8" t="inlineStr">
        <is>
          <t>STDEV.P</t>
        </is>
      </c>
      <c r="C382" s="6" t="inlineStr">
        <is>
          <t>Soal Tes #3</t>
        </is>
      </c>
      <c r="D382" s="31" t="inlineStr">
        <is>
          <t>STDEV.P!E38</t>
        </is>
      </c>
      <c r="E382" s="22" t="inlineStr">
        <is>
          <t>'=STDEV.P(C37:C40)</t>
        </is>
      </c>
      <c r="F382" s="32">
        <f>STDEV.P('STDEV.P'!C37:C40)</f>
        <v/>
      </c>
      <c r="G382" s="19" t="inlineStr">
        <is>
          <t>Hitung hasil pengolahan fungsi STDEV.P untuk keempat baris data pada rentang C37:C40!</t>
        </is>
      </c>
    </row>
    <row r="383">
      <c r="A383" s="5" t="n">
        <v>379</v>
      </c>
      <c r="B383" s="8" t="inlineStr">
        <is>
          <t>STDEV.P</t>
        </is>
      </c>
      <c r="C383" s="6" t="inlineStr">
        <is>
          <t>Soal Tes #4</t>
        </is>
      </c>
      <c r="D383" s="31" t="inlineStr">
        <is>
          <t>STDEV.P!E46</t>
        </is>
      </c>
      <c r="E383" s="22" t="inlineStr">
        <is>
          <t>'=STDEV.P(C45:C48)</t>
        </is>
      </c>
      <c r="F383" s="32">
        <f>STDEV.P('STDEV.P'!C45:C48)</f>
        <v/>
      </c>
      <c r="G383" s="19" t="inlineStr">
        <is>
          <t>Hitung hasil pengolahan fungsi STDEV.P untuk keempat baris data pada rentang C45:C48!</t>
        </is>
      </c>
    </row>
    <row r="384">
      <c r="A384" s="5" t="n">
        <v>380</v>
      </c>
      <c r="B384" s="8" t="inlineStr">
        <is>
          <t>STDEV.P</t>
        </is>
      </c>
      <c r="C384" s="6" t="inlineStr">
        <is>
          <t>Soal Tes #5</t>
        </is>
      </c>
      <c r="D384" s="31" t="inlineStr">
        <is>
          <t>STDEV.P!E54</t>
        </is>
      </c>
      <c r="E384" s="22" t="inlineStr">
        <is>
          <t>'=STDEV.P(C53:C56)</t>
        </is>
      </c>
      <c r="F384" s="32">
        <f>STDEV.P('STDEV.P'!C53:C56)</f>
        <v/>
      </c>
      <c r="G384" s="19" t="inlineStr">
        <is>
          <t>Hitung hasil pengolahan fungsi STDEV.P untuk keempat baris data pada rentang C53:C56!</t>
        </is>
      </c>
    </row>
    <row r="385">
      <c r="A385" s="5" t="n">
        <v>381</v>
      </c>
      <c r="B385" s="8" t="inlineStr">
        <is>
          <t>STDEV.S</t>
        </is>
      </c>
      <c r="C385" s="6" t="inlineStr">
        <is>
          <t>Soal Tes #1</t>
        </is>
      </c>
      <c r="D385" s="31" t="inlineStr">
        <is>
          <t>STDEV.S!E22</t>
        </is>
      </c>
      <c r="E385" s="22" t="inlineStr">
        <is>
          <t>'=STDEV.S(C21:C24)</t>
        </is>
      </c>
      <c r="F385" s="32">
        <f>STDEV.S('STDEV.S'!C21:C24)</f>
        <v/>
      </c>
      <c r="G385" s="19" t="inlineStr">
        <is>
          <t>Hitung hasil pengolahan fungsi STDEV.S untuk keempat baris data pada rentang C21:C24!</t>
        </is>
      </c>
    </row>
    <row r="386">
      <c r="A386" s="5" t="n">
        <v>382</v>
      </c>
      <c r="B386" s="8" t="inlineStr">
        <is>
          <t>STDEV.S</t>
        </is>
      </c>
      <c r="C386" s="6" t="inlineStr">
        <is>
          <t>Soal Tes #2</t>
        </is>
      </c>
      <c r="D386" s="31" t="inlineStr">
        <is>
          <t>STDEV.S!E30</t>
        </is>
      </c>
      <c r="E386" s="22" t="inlineStr">
        <is>
          <t>'=STDEV.S(C29:C32)</t>
        </is>
      </c>
      <c r="F386" s="32">
        <f>STDEV.S('STDEV.S'!C29:C32)</f>
        <v/>
      </c>
      <c r="G386" s="19" t="inlineStr">
        <is>
          <t>Hitung hasil pengolahan fungsi STDEV.S untuk keempat baris data pada rentang C29:C32!</t>
        </is>
      </c>
    </row>
    <row r="387">
      <c r="A387" s="5" t="n">
        <v>383</v>
      </c>
      <c r="B387" s="8" t="inlineStr">
        <is>
          <t>STDEV.S</t>
        </is>
      </c>
      <c r="C387" s="6" t="inlineStr">
        <is>
          <t>Soal Tes #3</t>
        </is>
      </c>
      <c r="D387" s="31" t="inlineStr">
        <is>
          <t>STDEV.S!E38</t>
        </is>
      </c>
      <c r="E387" s="22" t="inlineStr">
        <is>
          <t>'=STDEV.S(C37:C40)</t>
        </is>
      </c>
      <c r="F387" s="32">
        <f>STDEV.S('STDEV.S'!C37:C40)</f>
        <v/>
      </c>
      <c r="G387" s="19" t="inlineStr">
        <is>
          <t>Hitung hasil pengolahan fungsi STDEV.S untuk keempat baris data pada rentang C37:C40!</t>
        </is>
      </c>
    </row>
    <row r="388">
      <c r="A388" s="5" t="n">
        <v>384</v>
      </c>
      <c r="B388" s="8" t="inlineStr">
        <is>
          <t>STDEV.S</t>
        </is>
      </c>
      <c r="C388" s="6" t="inlineStr">
        <is>
          <t>Soal Tes #4</t>
        </is>
      </c>
      <c r="D388" s="31" t="inlineStr">
        <is>
          <t>STDEV.S!E46</t>
        </is>
      </c>
      <c r="E388" s="22" t="inlineStr">
        <is>
          <t>'=STDEV.S(C45:C48)</t>
        </is>
      </c>
      <c r="F388" s="32">
        <f>STDEV.S('STDEV.S'!C45:C48)</f>
        <v/>
      </c>
      <c r="G388" s="19" t="inlineStr">
        <is>
          <t>Hitung hasil pengolahan fungsi STDEV.S untuk keempat baris data pada rentang C45:C48!</t>
        </is>
      </c>
    </row>
    <row r="389">
      <c r="A389" s="5" t="n">
        <v>385</v>
      </c>
      <c r="B389" s="8" t="inlineStr">
        <is>
          <t>STDEV.S</t>
        </is>
      </c>
      <c r="C389" s="6" t="inlineStr">
        <is>
          <t>Soal Tes #5</t>
        </is>
      </c>
      <c r="D389" s="31" t="inlineStr">
        <is>
          <t>STDEV.S!E54</t>
        </is>
      </c>
      <c r="E389" s="22" t="inlineStr">
        <is>
          <t>'=STDEV.S(C53:C56)</t>
        </is>
      </c>
      <c r="F389" s="32">
        <f>STDEV.S('STDEV.S'!C53:C56)</f>
        <v/>
      </c>
      <c r="G389" s="19" t="inlineStr">
        <is>
          <t>Hitung hasil pengolahan fungsi STDEV.S untuk keempat baris data pada rentang C53:C56!</t>
        </is>
      </c>
    </row>
    <row r="390">
      <c r="A390" s="5" t="n">
        <v>386</v>
      </c>
      <c r="B390" s="8" t="inlineStr">
        <is>
          <t>STDEVA</t>
        </is>
      </c>
      <c r="C390" s="6" t="inlineStr">
        <is>
          <t>Soal Tes #1</t>
        </is>
      </c>
      <c r="D390" s="31" t="inlineStr">
        <is>
          <t>STDEVA!E22</t>
        </is>
      </c>
      <c r="E390" s="22" t="inlineStr">
        <is>
          <t>'=STDEVA(C21:C24)</t>
        </is>
      </c>
      <c r="F390" s="32">
        <f>STDEVA('STDEVA'!C21:C24)</f>
        <v/>
      </c>
      <c r="G390" s="19" t="inlineStr">
        <is>
          <t>Hitung hasil pengolahan fungsi STDEVA untuk keempat baris data pada rentang C21:C24!</t>
        </is>
      </c>
    </row>
    <row r="391">
      <c r="A391" s="5" t="n">
        <v>387</v>
      </c>
      <c r="B391" s="8" t="inlineStr">
        <is>
          <t>STDEVA</t>
        </is>
      </c>
      <c r="C391" s="6" t="inlineStr">
        <is>
          <t>Soal Tes #2</t>
        </is>
      </c>
      <c r="D391" s="31" t="inlineStr">
        <is>
          <t>STDEVA!E30</t>
        </is>
      </c>
      <c r="E391" s="22" t="inlineStr">
        <is>
          <t>'=STDEVA(C29:C32)</t>
        </is>
      </c>
      <c r="F391" s="32">
        <f>STDEVA('STDEVA'!C29:C32)</f>
        <v/>
      </c>
      <c r="G391" s="19" t="inlineStr">
        <is>
          <t>Hitung hasil pengolahan fungsi STDEVA untuk keempat baris data pada rentang C29:C32!</t>
        </is>
      </c>
    </row>
    <row r="392">
      <c r="A392" s="5" t="n">
        <v>388</v>
      </c>
      <c r="B392" s="8" t="inlineStr">
        <is>
          <t>STDEVA</t>
        </is>
      </c>
      <c r="C392" s="6" t="inlineStr">
        <is>
          <t>Soal Tes #3</t>
        </is>
      </c>
      <c r="D392" s="31" t="inlineStr">
        <is>
          <t>STDEVA!E38</t>
        </is>
      </c>
      <c r="E392" s="22" t="inlineStr">
        <is>
          <t>'=STDEVA(C37:C40)</t>
        </is>
      </c>
      <c r="F392" s="32">
        <f>STDEVA('STDEVA'!C37:C40)</f>
        <v/>
      </c>
      <c r="G392" s="19" t="inlineStr">
        <is>
          <t>Hitung hasil pengolahan fungsi STDEVA untuk keempat baris data pada rentang C37:C40!</t>
        </is>
      </c>
    </row>
    <row r="393">
      <c r="A393" s="5" t="n">
        <v>389</v>
      </c>
      <c r="B393" s="8" t="inlineStr">
        <is>
          <t>STDEVA</t>
        </is>
      </c>
      <c r="C393" s="6" t="inlineStr">
        <is>
          <t>Soal Tes #4</t>
        </is>
      </c>
      <c r="D393" s="31" t="inlineStr">
        <is>
          <t>STDEVA!E46</t>
        </is>
      </c>
      <c r="E393" s="22" t="inlineStr">
        <is>
          <t>'=STDEVA(C45:C48)</t>
        </is>
      </c>
      <c r="F393" s="32">
        <f>STDEVA('STDEVA'!C45:C48)</f>
        <v/>
      </c>
      <c r="G393" s="19" t="inlineStr">
        <is>
          <t>Hitung hasil pengolahan fungsi STDEVA untuk keempat baris data pada rentang C45:C48!</t>
        </is>
      </c>
    </row>
    <row r="394">
      <c r="A394" s="5" t="n">
        <v>390</v>
      </c>
      <c r="B394" s="8" t="inlineStr">
        <is>
          <t>STDEVA</t>
        </is>
      </c>
      <c r="C394" s="6" t="inlineStr">
        <is>
          <t>Soal Tes #5</t>
        </is>
      </c>
      <c r="D394" s="31" t="inlineStr">
        <is>
          <t>STDEVA!E54</t>
        </is>
      </c>
      <c r="E394" s="22" t="inlineStr">
        <is>
          <t>'=STDEVA(C53:C56)</t>
        </is>
      </c>
      <c r="F394" s="32">
        <f>STDEVA('STDEVA'!C53:C56)</f>
        <v/>
      </c>
      <c r="G394" s="19" t="inlineStr">
        <is>
          <t>Hitung hasil pengolahan fungsi STDEVA untuk keempat baris data pada rentang C53:C56!</t>
        </is>
      </c>
    </row>
    <row r="395">
      <c r="A395" s="5" t="n">
        <v>391</v>
      </c>
      <c r="B395" s="8" t="inlineStr">
        <is>
          <t>STDEVP</t>
        </is>
      </c>
      <c r="C395" s="6" t="inlineStr">
        <is>
          <t>Soal Tes #1</t>
        </is>
      </c>
      <c r="D395" s="31" t="inlineStr">
        <is>
          <t>STDEVP!E22</t>
        </is>
      </c>
      <c r="E395" s="22" t="inlineStr">
        <is>
          <t>'=STDEVP(C21:C24)</t>
        </is>
      </c>
      <c r="F395" s="32">
        <f>STDEVP('STDEVP'!C21:C24)</f>
        <v/>
      </c>
      <c r="G395" s="19" t="inlineStr">
        <is>
          <t>Hitung hasil pengolahan fungsi STDEVP untuk keempat baris data pada rentang C21:C24!</t>
        </is>
      </c>
    </row>
    <row r="396">
      <c r="A396" s="5" t="n">
        <v>392</v>
      </c>
      <c r="B396" s="8" t="inlineStr">
        <is>
          <t>STDEVP</t>
        </is>
      </c>
      <c r="C396" s="6" t="inlineStr">
        <is>
          <t>Soal Tes #2</t>
        </is>
      </c>
      <c r="D396" s="31" t="inlineStr">
        <is>
          <t>STDEVP!E30</t>
        </is>
      </c>
      <c r="E396" s="22" t="inlineStr">
        <is>
          <t>'=STDEVP(C29:C32)</t>
        </is>
      </c>
      <c r="F396" s="32">
        <f>STDEVP('STDEVP'!C29:C32)</f>
        <v/>
      </c>
      <c r="G396" s="19" t="inlineStr">
        <is>
          <t>Hitung hasil pengolahan fungsi STDEVP untuk keempat baris data pada rentang C29:C32!</t>
        </is>
      </c>
    </row>
    <row r="397">
      <c r="A397" s="5" t="n">
        <v>393</v>
      </c>
      <c r="B397" s="8" t="inlineStr">
        <is>
          <t>STDEVP</t>
        </is>
      </c>
      <c r="C397" s="6" t="inlineStr">
        <is>
          <t>Soal Tes #3</t>
        </is>
      </c>
      <c r="D397" s="31" t="inlineStr">
        <is>
          <t>STDEVP!E38</t>
        </is>
      </c>
      <c r="E397" s="22" t="inlineStr">
        <is>
          <t>'=STDEVP(C37:C40)</t>
        </is>
      </c>
      <c r="F397" s="32">
        <f>STDEVP('STDEVP'!C37:C40)</f>
        <v/>
      </c>
      <c r="G397" s="19" t="inlineStr">
        <is>
          <t>Hitung hasil pengolahan fungsi STDEVP untuk keempat baris data pada rentang C37:C40!</t>
        </is>
      </c>
    </row>
    <row r="398">
      <c r="A398" s="5" t="n">
        <v>394</v>
      </c>
      <c r="B398" s="8" t="inlineStr">
        <is>
          <t>STDEVP</t>
        </is>
      </c>
      <c r="C398" s="6" t="inlineStr">
        <is>
          <t>Soal Tes #4</t>
        </is>
      </c>
      <c r="D398" s="31" t="inlineStr">
        <is>
          <t>STDEVP!E46</t>
        </is>
      </c>
      <c r="E398" s="22" t="inlineStr">
        <is>
          <t>'=STDEVP(C45:C48)</t>
        </is>
      </c>
      <c r="F398" s="32">
        <f>STDEVP('STDEVP'!C45:C48)</f>
        <v/>
      </c>
      <c r="G398" s="19" t="inlineStr">
        <is>
          <t>Hitung hasil pengolahan fungsi STDEVP untuk keempat baris data pada rentang C45:C48!</t>
        </is>
      </c>
    </row>
    <row r="399">
      <c r="A399" s="5" t="n">
        <v>395</v>
      </c>
      <c r="B399" s="8" t="inlineStr">
        <is>
          <t>STDEVP</t>
        </is>
      </c>
      <c r="C399" s="6" t="inlineStr">
        <is>
          <t>Soal Tes #5</t>
        </is>
      </c>
      <c r="D399" s="31" t="inlineStr">
        <is>
          <t>STDEVP!E54</t>
        </is>
      </c>
      <c r="E399" s="22" t="inlineStr">
        <is>
          <t>'=STDEVP(C53:C56)</t>
        </is>
      </c>
      <c r="F399" s="32">
        <f>STDEVP('STDEVP'!C53:C56)</f>
        <v/>
      </c>
      <c r="G399" s="19" t="inlineStr">
        <is>
          <t>Hitung hasil pengolahan fungsi STDEVP untuk keempat baris data pada rentang C53:C56!</t>
        </is>
      </c>
    </row>
    <row r="400">
      <c r="A400" s="5" t="n">
        <v>396</v>
      </c>
      <c r="B400" s="8" t="inlineStr">
        <is>
          <t>STDEVPA</t>
        </is>
      </c>
      <c r="C400" s="6" t="inlineStr">
        <is>
          <t>Soal Tes #1</t>
        </is>
      </c>
      <c r="D400" s="31" t="inlineStr">
        <is>
          <t>STDEVPA!E22</t>
        </is>
      </c>
      <c r="E400" s="22" t="inlineStr">
        <is>
          <t>'=STDEVPA(C21:C24)</t>
        </is>
      </c>
      <c r="F400" s="32">
        <f>STDEVPA('STDEVPA'!C21:C24)</f>
        <v/>
      </c>
      <c r="G400" s="19" t="inlineStr">
        <is>
          <t>Hitung hasil pengolahan fungsi STDEVPA untuk keempat baris data pada rentang C21:C24!</t>
        </is>
      </c>
    </row>
    <row r="401">
      <c r="A401" s="5" t="n">
        <v>397</v>
      </c>
      <c r="B401" s="8" t="inlineStr">
        <is>
          <t>STDEVPA</t>
        </is>
      </c>
      <c r="C401" s="6" t="inlineStr">
        <is>
          <t>Soal Tes #2</t>
        </is>
      </c>
      <c r="D401" s="31" t="inlineStr">
        <is>
          <t>STDEVPA!E30</t>
        </is>
      </c>
      <c r="E401" s="22" t="inlineStr">
        <is>
          <t>'=STDEVPA(C29:C32)</t>
        </is>
      </c>
      <c r="F401" s="32">
        <f>STDEVPA('STDEVPA'!C29:C32)</f>
        <v/>
      </c>
      <c r="G401" s="19" t="inlineStr">
        <is>
          <t>Hitung hasil pengolahan fungsi STDEVPA untuk keempat baris data pada rentang C29:C32!</t>
        </is>
      </c>
    </row>
    <row r="402">
      <c r="A402" s="5" t="n">
        <v>398</v>
      </c>
      <c r="B402" s="8" t="inlineStr">
        <is>
          <t>STDEVPA</t>
        </is>
      </c>
      <c r="C402" s="6" t="inlineStr">
        <is>
          <t>Soal Tes #3</t>
        </is>
      </c>
      <c r="D402" s="31" t="inlineStr">
        <is>
          <t>STDEVPA!E38</t>
        </is>
      </c>
      <c r="E402" s="22" t="inlineStr">
        <is>
          <t>'=STDEVPA(C37:C40)</t>
        </is>
      </c>
      <c r="F402" s="32">
        <f>STDEVPA('STDEVPA'!C37:C40)</f>
        <v/>
      </c>
      <c r="G402" s="19" t="inlineStr">
        <is>
          <t>Hitung hasil pengolahan fungsi STDEVPA untuk keempat baris data pada rentang C37:C40!</t>
        </is>
      </c>
    </row>
    <row r="403">
      <c r="A403" s="5" t="n">
        <v>399</v>
      </c>
      <c r="B403" s="8" t="inlineStr">
        <is>
          <t>STDEVPA</t>
        </is>
      </c>
      <c r="C403" s="6" t="inlineStr">
        <is>
          <t>Soal Tes #4</t>
        </is>
      </c>
      <c r="D403" s="31" t="inlineStr">
        <is>
          <t>STDEVPA!E46</t>
        </is>
      </c>
      <c r="E403" s="22" t="inlineStr">
        <is>
          <t>'=STDEVPA(C45:C48)</t>
        </is>
      </c>
      <c r="F403" s="32">
        <f>STDEVPA('STDEVPA'!C45:C48)</f>
        <v/>
      </c>
      <c r="G403" s="19" t="inlineStr">
        <is>
          <t>Hitung hasil pengolahan fungsi STDEVPA untuk keempat baris data pada rentang C45:C48!</t>
        </is>
      </c>
    </row>
    <row r="404">
      <c r="A404" s="5" t="n">
        <v>400</v>
      </c>
      <c r="B404" s="8" t="inlineStr">
        <is>
          <t>STDEVPA</t>
        </is>
      </c>
      <c r="C404" s="6" t="inlineStr">
        <is>
          <t>Soal Tes #5</t>
        </is>
      </c>
      <c r="D404" s="31" t="inlineStr">
        <is>
          <t>STDEVPA!E54</t>
        </is>
      </c>
      <c r="E404" s="22" t="inlineStr">
        <is>
          <t>'=STDEVPA(C53:C56)</t>
        </is>
      </c>
      <c r="F404" s="32">
        <f>STDEVPA('STDEVPA'!C53:C56)</f>
        <v/>
      </c>
      <c r="G404" s="19" t="inlineStr">
        <is>
          <t>Hitung hasil pengolahan fungsi STDEVPA untuk keempat baris data pada rentang C53:C56!</t>
        </is>
      </c>
    </row>
    <row r="405">
      <c r="A405" s="5" t="n">
        <v>401</v>
      </c>
      <c r="B405" s="8" t="inlineStr">
        <is>
          <t>STEYX</t>
        </is>
      </c>
      <c r="C405" s="6" t="inlineStr">
        <is>
          <t>Soal Tes #1</t>
        </is>
      </c>
      <c r="D405" s="31" t="inlineStr">
        <is>
          <t>STEYX!E22</t>
        </is>
      </c>
      <c r="E405" s="22" t="inlineStr">
        <is>
          <t>'=STEYX(C21:C24, B21:B24)</t>
        </is>
      </c>
      <c r="F405" s="32">
        <f>STEYX('STEYX'!C21:C24, 'STEYX'!B21:B24)</f>
        <v/>
      </c>
      <c r="G405" s="19" t="inlineStr">
        <is>
          <t>Analisis regresi linear dengan menempatkan rentang hasil Y (C21:C24) dan rentang variabel X (B21:B24) menggunakan fungsi STEYX!</t>
        </is>
      </c>
    </row>
    <row r="406">
      <c r="A406" s="5" t="n">
        <v>402</v>
      </c>
      <c r="B406" s="8" t="inlineStr">
        <is>
          <t>STEYX</t>
        </is>
      </c>
      <c r="C406" s="6" t="inlineStr">
        <is>
          <t>Soal Tes #2</t>
        </is>
      </c>
      <c r="D406" s="31" t="inlineStr">
        <is>
          <t>STEYX!E30</t>
        </is>
      </c>
      <c r="E406" s="22" t="inlineStr">
        <is>
          <t>'=STEYX(C29:C32, B29:B32)</t>
        </is>
      </c>
      <c r="F406" s="32">
        <f>STEYX('STEYX'!C29:C32, 'STEYX'!B29:B32)</f>
        <v/>
      </c>
      <c r="G406" s="19" t="inlineStr">
        <is>
          <t>Analisis regresi linear dengan menempatkan rentang hasil Y (C29:C32) dan rentang variabel X (B29:B32) menggunakan fungsi STEYX!</t>
        </is>
      </c>
    </row>
    <row r="407">
      <c r="A407" s="5" t="n">
        <v>403</v>
      </c>
      <c r="B407" s="8" t="inlineStr">
        <is>
          <t>STEYX</t>
        </is>
      </c>
      <c r="C407" s="6" t="inlineStr">
        <is>
          <t>Soal Tes #3</t>
        </is>
      </c>
      <c r="D407" s="31" t="inlineStr">
        <is>
          <t>STEYX!E38</t>
        </is>
      </c>
      <c r="E407" s="22" t="inlineStr">
        <is>
          <t>'=STEYX(C37:C40, B37:B40)</t>
        </is>
      </c>
      <c r="F407" s="32">
        <f>STEYX('STEYX'!C37:C40, 'STEYX'!B37:B40)</f>
        <v/>
      </c>
      <c r="G407" s="19" t="inlineStr">
        <is>
          <t>Analisis regresi linear dengan menempatkan rentang hasil Y (C37:C40) dan rentang variabel X (B37:B40) menggunakan fungsi STEYX!</t>
        </is>
      </c>
    </row>
    <row r="408">
      <c r="A408" s="5" t="n">
        <v>404</v>
      </c>
      <c r="B408" s="8" t="inlineStr">
        <is>
          <t>STEYX</t>
        </is>
      </c>
      <c r="C408" s="6" t="inlineStr">
        <is>
          <t>Soal Tes #4</t>
        </is>
      </c>
      <c r="D408" s="31" t="inlineStr">
        <is>
          <t>STEYX!E46</t>
        </is>
      </c>
      <c r="E408" s="22" t="inlineStr">
        <is>
          <t>'=STEYX(C45:C48, B45:B48)</t>
        </is>
      </c>
      <c r="F408" s="32">
        <f>STEYX('STEYX'!C45:C48, 'STEYX'!B45:B48)</f>
        <v/>
      </c>
      <c r="G408" s="19" t="inlineStr">
        <is>
          <t>Analisis regresi linear dengan menempatkan rentang hasil Y (C45:C48) dan rentang variabel X (B45:B48) menggunakan fungsi STEYX!</t>
        </is>
      </c>
    </row>
    <row r="409">
      <c r="A409" s="5" t="n">
        <v>405</v>
      </c>
      <c r="B409" s="8" t="inlineStr">
        <is>
          <t>STEYX</t>
        </is>
      </c>
      <c r="C409" s="6" t="inlineStr">
        <is>
          <t>Soal Tes #5</t>
        </is>
      </c>
      <c r="D409" s="31" t="inlineStr">
        <is>
          <t>STEYX!E54</t>
        </is>
      </c>
      <c r="E409" s="22" t="inlineStr">
        <is>
          <t>'=STEYX(C53:C56, B53:B56)</t>
        </is>
      </c>
      <c r="F409" s="32">
        <f>STEYX('STEYX'!C53:C56, 'STEYX'!B53:B56)</f>
        <v/>
      </c>
      <c r="G409" s="19" t="inlineStr">
        <is>
          <t>Analisis regresi linear dengan menempatkan rentang hasil Y (C53:C56) dan rentang variabel X (B53:B56) menggunakan fungsi STEYX!</t>
        </is>
      </c>
    </row>
    <row r="410">
      <c r="A410" s="5" t="n">
        <v>406</v>
      </c>
      <c r="B410" s="8" t="inlineStr">
        <is>
          <t>T.DIST</t>
        </is>
      </c>
      <c r="C410" s="6" t="inlineStr">
        <is>
          <t>Soal Tes #1</t>
        </is>
      </c>
      <c r="D410" s="31" t="inlineStr">
        <is>
          <t>T.DIST!E22</t>
        </is>
      </c>
      <c r="E410" s="22" t="inlineStr">
        <is>
          <t>'=T.DIST(C21, C22, TRUE)</t>
        </is>
      </c>
      <c r="F410" s="32">
        <f>T.DIST('T.DIST'!C21, 'T.DIST'!C22, TRUE)</f>
        <v/>
      </c>
      <c r="G410" s="19" t="inlineStr">
        <is>
          <t>Hitung nilai distribusi kumulatif (TRUE) menggunakan fungsi T.DIST dengan argumen C21, C22, dan TRUE!</t>
        </is>
      </c>
    </row>
    <row r="411">
      <c r="A411" s="5" t="n">
        <v>407</v>
      </c>
      <c r="B411" s="8" t="inlineStr">
        <is>
          <t>T.DIST</t>
        </is>
      </c>
      <c r="C411" s="6" t="inlineStr">
        <is>
          <t>Soal Tes #2</t>
        </is>
      </c>
      <c r="D411" s="31" t="inlineStr">
        <is>
          <t>T.DIST!E30</t>
        </is>
      </c>
      <c r="E411" s="22" t="inlineStr">
        <is>
          <t>'=T.DIST(C29, C30, TRUE)</t>
        </is>
      </c>
      <c r="F411" s="32">
        <f>T.DIST('T.DIST'!C29, 'T.DIST'!C30, TRUE)</f>
        <v/>
      </c>
      <c r="G411" s="19" t="inlineStr">
        <is>
          <t>Hitung nilai distribusi kumulatif (TRUE) menggunakan fungsi T.DIST dengan argumen C29, C30, dan TRUE!</t>
        </is>
      </c>
    </row>
    <row r="412">
      <c r="A412" s="5" t="n">
        <v>408</v>
      </c>
      <c r="B412" s="8" t="inlineStr">
        <is>
          <t>T.DIST</t>
        </is>
      </c>
      <c r="C412" s="6" t="inlineStr">
        <is>
          <t>Soal Tes #3</t>
        </is>
      </c>
      <c r="D412" s="31" t="inlineStr">
        <is>
          <t>T.DIST!E38</t>
        </is>
      </c>
      <c r="E412" s="22" t="inlineStr">
        <is>
          <t>'=T.DIST(C37, C38, TRUE)</t>
        </is>
      </c>
      <c r="F412" s="32">
        <f>T.DIST('T.DIST'!C37, 'T.DIST'!C38, TRUE)</f>
        <v/>
      </c>
      <c r="G412" s="19" t="inlineStr">
        <is>
          <t>Hitung nilai distribusi kumulatif (TRUE) menggunakan fungsi T.DIST dengan argumen C37, C38, dan TRUE!</t>
        </is>
      </c>
    </row>
    <row r="413">
      <c r="A413" s="5" t="n">
        <v>409</v>
      </c>
      <c r="B413" s="8" t="inlineStr">
        <is>
          <t>T.DIST</t>
        </is>
      </c>
      <c r="C413" s="6" t="inlineStr">
        <is>
          <t>Soal Tes #4</t>
        </is>
      </c>
      <c r="D413" s="31" t="inlineStr">
        <is>
          <t>T.DIST!E46</t>
        </is>
      </c>
      <c r="E413" s="22" t="inlineStr">
        <is>
          <t>'=T.DIST(C45, C46, TRUE)</t>
        </is>
      </c>
      <c r="F413" s="32">
        <f>T.DIST('T.DIST'!C45, 'T.DIST'!C46, TRUE)</f>
        <v/>
      </c>
      <c r="G413" s="19" t="inlineStr">
        <is>
          <t>Hitung nilai distribusi kumulatif (TRUE) menggunakan fungsi T.DIST dengan argumen C45, C46, dan TRUE!</t>
        </is>
      </c>
    </row>
    <row r="414">
      <c r="A414" s="5" t="n">
        <v>410</v>
      </c>
      <c r="B414" s="8" t="inlineStr">
        <is>
          <t>T.DIST</t>
        </is>
      </c>
      <c r="C414" s="6" t="inlineStr">
        <is>
          <t>Soal Tes #5</t>
        </is>
      </c>
      <c r="D414" s="31" t="inlineStr">
        <is>
          <t>T.DIST!E54</t>
        </is>
      </c>
      <c r="E414" s="22" t="inlineStr">
        <is>
          <t>'=T.DIST(C53, C54, TRUE)</t>
        </is>
      </c>
      <c r="F414" s="32">
        <f>T.DIST('T.DIST'!C53, 'T.DIST'!C54, TRUE)</f>
        <v/>
      </c>
      <c r="G414" s="19" t="inlineStr">
        <is>
          <t>Hitung nilai distribusi kumulatif (TRUE) menggunakan fungsi T.DIST dengan argumen C53, C54, dan TRUE!</t>
        </is>
      </c>
    </row>
    <row r="415">
      <c r="A415" s="5" t="n">
        <v>411</v>
      </c>
      <c r="B415" s="8" t="inlineStr">
        <is>
          <t>T.DIST.2T</t>
        </is>
      </c>
      <c r="C415" s="6" t="inlineStr">
        <is>
          <t>Soal Tes #1</t>
        </is>
      </c>
      <c r="D415" s="31" t="inlineStr">
        <is>
          <t>T.DIST.2T!E22</t>
        </is>
      </c>
      <c r="E415" s="22" t="inlineStr">
        <is>
          <t>'=T.DIST.2T(C21, C22)</t>
        </is>
      </c>
      <c r="F415" s="32">
        <f>T.DIST.2T('T.DIST.2T'!C21, 'T.DIST.2T'!C22)</f>
        <v/>
      </c>
      <c r="G415" s="19" t="inlineStr">
        <is>
          <t>Hitung nilai probabilitas distribusi menggunakan fungsi T.DIST.2T dengan argumen nilai X di C21 dan derajat kebebasan di C22!</t>
        </is>
      </c>
    </row>
    <row r="416">
      <c r="A416" s="5" t="n">
        <v>412</v>
      </c>
      <c r="B416" s="8" t="inlineStr">
        <is>
          <t>T.DIST.2T</t>
        </is>
      </c>
      <c r="C416" s="6" t="inlineStr">
        <is>
          <t>Soal Tes #2</t>
        </is>
      </c>
      <c r="D416" s="31" t="inlineStr">
        <is>
          <t>T.DIST.2T!E30</t>
        </is>
      </c>
      <c r="E416" s="22" t="inlineStr">
        <is>
          <t>'=T.DIST.2T(C29, C30)</t>
        </is>
      </c>
      <c r="F416" s="32">
        <f>T.DIST.2T('T.DIST.2T'!C29, 'T.DIST.2T'!C30)</f>
        <v/>
      </c>
      <c r="G416" s="19" t="inlineStr">
        <is>
          <t>Hitung nilai probabilitas distribusi menggunakan fungsi T.DIST.2T dengan argumen nilai X di C29 dan derajat kebebasan di C30!</t>
        </is>
      </c>
    </row>
    <row r="417">
      <c r="A417" s="5" t="n">
        <v>413</v>
      </c>
      <c r="B417" s="8" t="inlineStr">
        <is>
          <t>T.DIST.2T</t>
        </is>
      </c>
      <c r="C417" s="6" t="inlineStr">
        <is>
          <t>Soal Tes #3</t>
        </is>
      </c>
      <c r="D417" s="31" t="inlineStr">
        <is>
          <t>T.DIST.2T!E38</t>
        </is>
      </c>
      <c r="E417" s="22" t="inlineStr">
        <is>
          <t>'=T.DIST.2T(C37, C38)</t>
        </is>
      </c>
      <c r="F417" s="32">
        <f>T.DIST.2T('T.DIST.2T'!C37, 'T.DIST.2T'!C38)</f>
        <v/>
      </c>
      <c r="G417" s="19" t="inlineStr">
        <is>
          <t>Hitung nilai probabilitas distribusi menggunakan fungsi T.DIST.2T dengan argumen nilai X di C37 dan derajat kebebasan di C38!</t>
        </is>
      </c>
    </row>
    <row r="418">
      <c r="A418" s="5" t="n">
        <v>414</v>
      </c>
      <c r="B418" s="8" t="inlineStr">
        <is>
          <t>T.DIST.2T</t>
        </is>
      </c>
      <c r="C418" s="6" t="inlineStr">
        <is>
          <t>Soal Tes #4</t>
        </is>
      </c>
      <c r="D418" s="31" t="inlineStr">
        <is>
          <t>T.DIST.2T!E46</t>
        </is>
      </c>
      <c r="E418" s="22" t="inlineStr">
        <is>
          <t>'=T.DIST.2T(C45, C46)</t>
        </is>
      </c>
      <c r="F418" s="32">
        <f>T.DIST.2T('T.DIST.2T'!C45, 'T.DIST.2T'!C46)</f>
        <v/>
      </c>
      <c r="G418" s="19" t="inlineStr">
        <is>
          <t>Hitung nilai probabilitas distribusi menggunakan fungsi T.DIST.2T dengan argumen nilai X di C45 dan derajat kebebasan di C46!</t>
        </is>
      </c>
    </row>
    <row r="419">
      <c r="A419" s="5" t="n">
        <v>415</v>
      </c>
      <c r="B419" s="8" t="inlineStr">
        <is>
          <t>T.DIST.2T</t>
        </is>
      </c>
      <c r="C419" s="6" t="inlineStr">
        <is>
          <t>Soal Tes #5</t>
        </is>
      </c>
      <c r="D419" s="31" t="inlineStr">
        <is>
          <t>T.DIST.2T!E54</t>
        </is>
      </c>
      <c r="E419" s="22" t="inlineStr">
        <is>
          <t>'=T.DIST.2T(C53, C54)</t>
        </is>
      </c>
      <c r="F419" s="32">
        <f>T.DIST.2T('T.DIST.2T'!C53, 'T.DIST.2T'!C54)</f>
        <v/>
      </c>
      <c r="G419" s="19" t="inlineStr">
        <is>
          <t>Hitung nilai probabilitas distribusi menggunakan fungsi T.DIST.2T dengan argumen nilai X di C53 dan derajat kebebasan di C54!</t>
        </is>
      </c>
    </row>
    <row r="420">
      <c r="A420" s="5" t="n">
        <v>416</v>
      </c>
      <c r="B420" s="8" t="inlineStr">
        <is>
          <t>T.DIST.RT</t>
        </is>
      </c>
      <c r="C420" s="6" t="inlineStr">
        <is>
          <t>Soal Tes #1</t>
        </is>
      </c>
      <c r="D420" s="31" t="inlineStr">
        <is>
          <t>T.DIST.RT!E22</t>
        </is>
      </c>
      <c r="E420" s="22" t="inlineStr">
        <is>
          <t>'=T.DIST.RT(C21, C22)</t>
        </is>
      </c>
      <c r="F420" s="32">
        <f>T.DIST.RT('T.DIST.RT'!C21, 'T.DIST.RT'!C22)</f>
        <v/>
      </c>
      <c r="G420" s="19" t="inlineStr">
        <is>
          <t>Hitung nilai probabilitas distribusi menggunakan fungsi T.DIST.RT dengan argumen nilai X di C21 dan derajat kebebasan di C22!</t>
        </is>
      </c>
    </row>
    <row r="421">
      <c r="A421" s="5" t="n">
        <v>417</v>
      </c>
      <c r="B421" s="8" t="inlineStr">
        <is>
          <t>T.DIST.RT</t>
        </is>
      </c>
      <c r="C421" s="6" t="inlineStr">
        <is>
          <t>Soal Tes #2</t>
        </is>
      </c>
      <c r="D421" s="31" t="inlineStr">
        <is>
          <t>T.DIST.RT!E30</t>
        </is>
      </c>
      <c r="E421" s="22" t="inlineStr">
        <is>
          <t>'=T.DIST.RT(C29, C30)</t>
        </is>
      </c>
      <c r="F421" s="32">
        <f>T.DIST.RT('T.DIST.RT'!C29, 'T.DIST.RT'!C30)</f>
        <v/>
      </c>
      <c r="G421" s="19" t="inlineStr">
        <is>
          <t>Hitung nilai probabilitas distribusi menggunakan fungsi T.DIST.RT dengan argumen nilai X di C29 dan derajat kebebasan di C30!</t>
        </is>
      </c>
    </row>
    <row r="422">
      <c r="A422" s="5" t="n">
        <v>418</v>
      </c>
      <c r="B422" s="8" t="inlineStr">
        <is>
          <t>T.DIST.RT</t>
        </is>
      </c>
      <c r="C422" s="6" t="inlineStr">
        <is>
          <t>Soal Tes #3</t>
        </is>
      </c>
      <c r="D422" s="31" t="inlineStr">
        <is>
          <t>T.DIST.RT!E38</t>
        </is>
      </c>
      <c r="E422" s="22" t="inlineStr">
        <is>
          <t>'=T.DIST.RT(C37, C38)</t>
        </is>
      </c>
      <c r="F422" s="32">
        <f>T.DIST.RT('T.DIST.RT'!C37, 'T.DIST.RT'!C38)</f>
        <v/>
      </c>
      <c r="G422" s="19" t="inlineStr">
        <is>
          <t>Hitung nilai probabilitas distribusi menggunakan fungsi T.DIST.RT dengan argumen nilai X di C37 dan derajat kebebasan di C38!</t>
        </is>
      </c>
    </row>
    <row r="423">
      <c r="A423" s="5" t="n">
        <v>419</v>
      </c>
      <c r="B423" s="8" t="inlineStr">
        <is>
          <t>T.DIST.RT</t>
        </is>
      </c>
      <c r="C423" s="6" t="inlineStr">
        <is>
          <t>Soal Tes #4</t>
        </is>
      </c>
      <c r="D423" s="31" t="inlineStr">
        <is>
          <t>T.DIST.RT!E46</t>
        </is>
      </c>
      <c r="E423" s="22" t="inlineStr">
        <is>
          <t>'=T.DIST.RT(C45, C46)</t>
        </is>
      </c>
      <c r="F423" s="32">
        <f>T.DIST.RT('T.DIST.RT'!C45, 'T.DIST.RT'!C46)</f>
        <v/>
      </c>
      <c r="G423" s="19" t="inlineStr">
        <is>
          <t>Hitung nilai probabilitas distribusi menggunakan fungsi T.DIST.RT dengan argumen nilai X di C45 dan derajat kebebasan di C46!</t>
        </is>
      </c>
    </row>
    <row r="424">
      <c r="A424" s="5" t="n">
        <v>420</v>
      </c>
      <c r="B424" s="8" t="inlineStr">
        <is>
          <t>T.DIST.RT</t>
        </is>
      </c>
      <c r="C424" s="6" t="inlineStr">
        <is>
          <t>Soal Tes #5</t>
        </is>
      </c>
      <c r="D424" s="31" t="inlineStr">
        <is>
          <t>T.DIST.RT!E54</t>
        </is>
      </c>
      <c r="E424" s="22" t="inlineStr">
        <is>
          <t>'=T.DIST.RT(C53, C54)</t>
        </is>
      </c>
      <c r="F424" s="32">
        <f>T.DIST.RT('T.DIST.RT'!C53, 'T.DIST.RT'!C54)</f>
        <v/>
      </c>
      <c r="G424" s="19" t="inlineStr">
        <is>
          <t>Hitung nilai probabilitas distribusi menggunakan fungsi T.DIST.RT dengan argumen nilai X di C53 dan derajat kebebasan di C54!</t>
        </is>
      </c>
    </row>
    <row r="425">
      <c r="A425" s="5" t="n">
        <v>421</v>
      </c>
      <c r="B425" s="8" t="inlineStr">
        <is>
          <t>T.INV</t>
        </is>
      </c>
      <c r="C425" s="6" t="inlineStr">
        <is>
          <t>Soal Tes #1</t>
        </is>
      </c>
      <c r="D425" s="31" t="inlineStr">
        <is>
          <t>T.INV!E22</t>
        </is>
      </c>
      <c r="E425" s="22" t="inlineStr">
        <is>
          <t>'=T.INV(C21, C22)</t>
        </is>
      </c>
      <c r="F425" s="32">
        <f>T.INV('T.INV'!C21, 'T.INV'!C22)</f>
        <v/>
      </c>
      <c r="G425" s="19" t="inlineStr">
        <is>
          <t>Hitung nilai invers distribusi menggunakan fungsi T.INV dengan probabilitas di C21 dan derajat kebebasan di C22!</t>
        </is>
      </c>
    </row>
    <row r="426">
      <c r="A426" s="5" t="n">
        <v>422</v>
      </c>
      <c r="B426" s="8" t="inlineStr">
        <is>
          <t>T.INV</t>
        </is>
      </c>
      <c r="C426" s="6" t="inlineStr">
        <is>
          <t>Soal Tes #2</t>
        </is>
      </c>
      <c r="D426" s="31" t="inlineStr">
        <is>
          <t>T.INV!E30</t>
        </is>
      </c>
      <c r="E426" s="22" t="inlineStr">
        <is>
          <t>'=T.INV(C29, C30)</t>
        </is>
      </c>
      <c r="F426" s="32">
        <f>T.INV('T.INV'!C29, 'T.INV'!C30)</f>
        <v/>
      </c>
      <c r="G426" s="19" t="inlineStr">
        <is>
          <t>Hitung nilai invers distribusi menggunakan fungsi T.INV dengan probabilitas di C29 dan derajat kebebasan di C30!</t>
        </is>
      </c>
    </row>
    <row r="427">
      <c r="A427" s="5" t="n">
        <v>423</v>
      </c>
      <c r="B427" s="8" t="inlineStr">
        <is>
          <t>T.INV</t>
        </is>
      </c>
      <c r="C427" s="6" t="inlineStr">
        <is>
          <t>Soal Tes #3</t>
        </is>
      </c>
      <c r="D427" s="31" t="inlineStr">
        <is>
          <t>T.INV!E38</t>
        </is>
      </c>
      <c r="E427" s="22" t="inlineStr">
        <is>
          <t>'=T.INV(C37, C38)</t>
        </is>
      </c>
      <c r="F427" s="32">
        <f>T.INV('T.INV'!C37, 'T.INV'!C38)</f>
        <v/>
      </c>
      <c r="G427" s="19" t="inlineStr">
        <is>
          <t>Hitung nilai invers distribusi menggunakan fungsi T.INV dengan probabilitas di C37 dan derajat kebebasan di C38!</t>
        </is>
      </c>
    </row>
    <row r="428">
      <c r="A428" s="5" t="n">
        <v>424</v>
      </c>
      <c r="B428" s="8" t="inlineStr">
        <is>
          <t>T.INV</t>
        </is>
      </c>
      <c r="C428" s="6" t="inlineStr">
        <is>
          <t>Soal Tes #4</t>
        </is>
      </c>
      <c r="D428" s="31" t="inlineStr">
        <is>
          <t>T.INV!E46</t>
        </is>
      </c>
      <c r="E428" s="22" t="inlineStr">
        <is>
          <t>'=T.INV(C45, C46)</t>
        </is>
      </c>
      <c r="F428" s="32">
        <f>T.INV('T.INV'!C45, 'T.INV'!C46)</f>
        <v/>
      </c>
      <c r="G428" s="19" t="inlineStr">
        <is>
          <t>Hitung nilai invers distribusi menggunakan fungsi T.INV dengan probabilitas di C45 dan derajat kebebasan di C46!</t>
        </is>
      </c>
    </row>
    <row r="429">
      <c r="A429" s="5" t="n">
        <v>425</v>
      </c>
      <c r="B429" s="8" t="inlineStr">
        <is>
          <t>T.INV</t>
        </is>
      </c>
      <c r="C429" s="6" t="inlineStr">
        <is>
          <t>Soal Tes #5</t>
        </is>
      </c>
      <c r="D429" s="31" t="inlineStr">
        <is>
          <t>T.INV!E54</t>
        </is>
      </c>
      <c r="E429" s="22" t="inlineStr">
        <is>
          <t>'=T.INV(C53, C54)</t>
        </is>
      </c>
      <c r="F429" s="32">
        <f>T.INV('T.INV'!C53, 'T.INV'!C54)</f>
        <v/>
      </c>
      <c r="G429" s="19" t="inlineStr">
        <is>
          <t>Hitung nilai invers distribusi menggunakan fungsi T.INV dengan probabilitas di C53 dan derajat kebebasan di C54!</t>
        </is>
      </c>
    </row>
    <row r="430">
      <c r="A430" s="5" t="n">
        <v>426</v>
      </c>
      <c r="B430" s="8" t="inlineStr">
        <is>
          <t>T.INV.2T</t>
        </is>
      </c>
      <c r="C430" s="6" t="inlineStr">
        <is>
          <t>Soal Tes #1</t>
        </is>
      </c>
      <c r="D430" s="31" t="inlineStr">
        <is>
          <t>T.INV.2T!E22</t>
        </is>
      </c>
      <c r="E430" s="22" t="inlineStr">
        <is>
          <t>'=T.INV.2T(C21, C22)</t>
        </is>
      </c>
      <c r="F430" s="32">
        <f>T.INV.2T('T.INV.2T'!C21, 'T.INV.2T'!C22)</f>
        <v/>
      </c>
      <c r="G430" s="19" t="inlineStr">
        <is>
          <t>Hitung nilai invers distribusi menggunakan fungsi T.INV.2T dengan probabilitas di C21 dan derajat kebebasan di C22!</t>
        </is>
      </c>
    </row>
    <row r="431">
      <c r="A431" s="5" t="n">
        <v>427</v>
      </c>
      <c r="B431" s="8" t="inlineStr">
        <is>
          <t>T.INV.2T</t>
        </is>
      </c>
      <c r="C431" s="6" t="inlineStr">
        <is>
          <t>Soal Tes #2</t>
        </is>
      </c>
      <c r="D431" s="31" t="inlineStr">
        <is>
          <t>T.INV.2T!E30</t>
        </is>
      </c>
      <c r="E431" s="22" t="inlineStr">
        <is>
          <t>'=T.INV.2T(C29, C30)</t>
        </is>
      </c>
      <c r="F431" s="32">
        <f>T.INV.2T('T.INV.2T'!C29, 'T.INV.2T'!C30)</f>
        <v/>
      </c>
      <c r="G431" s="19" t="inlineStr">
        <is>
          <t>Hitung nilai invers distribusi menggunakan fungsi T.INV.2T dengan probabilitas di C29 dan derajat kebebasan di C30!</t>
        </is>
      </c>
    </row>
    <row r="432">
      <c r="A432" s="5" t="n">
        <v>428</v>
      </c>
      <c r="B432" s="8" t="inlineStr">
        <is>
          <t>T.INV.2T</t>
        </is>
      </c>
      <c r="C432" s="6" t="inlineStr">
        <is>
          <t>Soal Tes #3</t>
        </is>
      </c>
      <c r="D432" s="31" t="inlineStr">
        <is>
          <t>T.INV.2T!E38</t>
        </is>
      </c>
      <c r="E432" s="22" t="inlineStr">
        <is>
          <t>'=T.INV.2T(C37, C38)</t>
        </is>
      </c>
      <c r="F432" s="32">
        <f>T.INV.2T('T.INV.2T'!C37, 'T.INV.2T'!C38)</f>
        <v/>
      </c>
      <c r="G432" s="19" t="inlineStr">
        <is>
          <t>Hitung nilai invers distribusi menggunakan fungsi T.INV.2T dengan probabilitas di C37 dan derajat kebebasan di C38!</t>
        </is>
      </c>
    </row>
    <row r="433">
      <c r="A433" s="5" t="n">
        <v>429</v>
      </c>
      <c r="B433" s="8" t="inlineStr">
        <is>
          <t>T.INV.2T</t>
        </is>
      </c>
      <c r="C433" s="6" t="inlineStr">
        <is>
          <t>Soal Tes #4</t>
        </is>
      </c>
      <c r="D433" s="31" t="inlineStr">
        <is>
          <t>T.INV.2T!E46</t>
        </is>
      </c>
      <c r="E433" s="22" t="inlineStr">
        <is>
          <t>'=T.INV.2T(C45, C46)</t>
        </is>
      </c>
      <c r="F433" s="32">
        <f>T.INV.2T('T.INV.2T'!C45, 'T.INV.2T'!C46)</f>
        <v/>
      </c>
      <c r="G433" s="19" t="inlineStr">
        <is>
          <t>Hitung nilai invers distribusi menggunakan fungsi T.INV.2T dengan probabilitas di C45 dan derajat kebebasan di C46!</t>
        </is>
      </c>
    </row>
    <row r="434">
      <c r="A434" s="5" t="n">
        <v>430</v>
      </c>
      <c r="B434" s="8" t="inlineStr">
        <is>
          <t>T.INV.2T</t>
        </is>
      </c>
      <c r="C434" s="6" t="inlineStr">
        <is>
          <t>Soal Tes #5</t>
        </is>
      </c>
      <c r="D434" s="31" t="inlineStr">
        <is>
          <t>T.INV.2T!E54</t>
        </is>
      </c>
      <c r="E434" s="22" t="inlineStr">
        <is>
          <t>'=T.INV.2T(C53, C54)</t>
        </is>
      </c>
      <c r="F434" s="32">
        <f>T.INV.2T('T.INV.2T'!C53, 'T.INV.2T'!C54)</f>
        <v/>
      </c>
      <c r="G434" s="19" t="inlineStr">
        <is>
          <t>Hitung nilai invers distribusi menggunakan fungsi T.INV.2T dengan probabilitas di C53 dan derajat kebebasan di C54!</t>
        </is>
      </c>
    </row>
    <row r="435">
      <c r="A435" s="5" t="n">
        <v>431</v>
      </c>
      <c r="B435" s="8" t="inlineStr">
        <is>
          <t>TREND</t>
        </is>
      </c>
      <c r="C435" s="6" t="inlineStr">
        <is>
          <t>Soal Tes #1</t>
        </is>
      </c>
      <c r="D435" s="31" t="inlineStr">
        <is>
          <t>TREND!E22</t>
        </is>
      </c>
      <c r="E435" s="22" t="inlineStr">
        <is>
          <t>'=TREND(C21:C24, B21:B24, 5)</t>
        </is>
      </c>
      <c r="F435" s="32">
        <f>TREND('TREND'!C21:C24, 'TREND'!B21:B24, 5)</f>
        <v/>
      </c>
      <c r="G435" s="19" t="inlineStr">
        <is>
          <t>Prediksi nilai periode ke-5 berdasarkan deret hasil Y (C21:C24) dan periode X (B21:B24) menggunakan fungsi TREND!</t>
        </is>
      </c>
    </row>
    <row r="436">
      <c r="A436" s="5" t="n">
        <v>432</v>
      </c>
      <c r="B436" s="8" t="inlineStr">
        <is>
          <t>TREND</t>
        </is>
      </c>
      <c r="C436" s="6" t="inlineStr">
        <is>
          <t>Soal Tes #2</t>
        </is>
      </c>
      <c r="D436" s="31" t="inlineStr">
        <is>
          <t>TREND!E30</t>
        </is>
      </c>
      <c r="E436" s="22" t="inlineStr">
        <is>
          <t>'=TREND(C29:C32, B29:B32, 5)</t>
        </is>
      </c>
      <c r="F436" s="32">
        <f>TREND('TREND'!C29:C32, 'TREND'!B29:B32, 5)</f>
        <v/>
      </c>
      <c r="G436" s="19" t="inlineStr">
        <is>
          <t>Prediksi nilai periode ke-5 berdasarkan deret hasil Y (C29:C32) dan periode X (B29:B32) menggunakan fungsi TREND!</t>
        </is>
      </c>
    </row>
    <row r="437">
      <c r="A437" s="5" t="n">
        <v>433</v>
      </c>
      <c r="B437" s="8" t="inlineStr">
        <is>
          <t>TREND</t>
        </is>
      </c>
      <c r="C437" s="6" t="inlineStr">
        <is>
          <t>Soal Tes #3</t>
        </is>
      </c>
      <c r="D437" s="31" t="inlineStr">
        <is>
          <t>TREND!E38</t>
        </is>
      </c>
      <c r="E437" s="22" t="inlineStr">
        <is>
          <t>'=TREND(C37:C40, B37:B40, 5)</t>
        </is>
      </c>
      <c r="F437" s="32">
        <f>TREND('TREND'!C37:C40, 'TREND'!B37:B40, 5)</f>
        <v/>
      </c>
      <c r="G437" s="19" t="inlineStr">
        <is>
          <t>Prediksi nilai periode ke-5 berdasarkan deret hasil Y (C37:C40) dan periode X (B37:B40) menggunakan fungsi TREND!</t>
        </is>
      </c>
    </row>
    <row r="438">
      <c r="A438" s="5" t="n">
        <v>434</v>
      </c>
      <c r="B438" s="8" t="inlineStr">
        <is>
          <t>TREND</t>
        </is>
      </c>
      <c r="C438" s="6" t="inlineStr">
        <is>
          <t>Soal Tes #4</t>
        </is>
      </c>
      <c r="D438" s="31" t="inlineStr">
        <is>
          <t>TREND!E46</t>
        </is>
      </c>
      <c r="E438" s="22" t="inlineStr">
        <is>
          <t>'=TREND(C45:C48, B45:B48, 5)</t>
        </is>
      </c>
      <c r="F438" s="32">
        <f>TREND('TREND'!C45:C48, 'TREND'!B45:B48, 5)</f>
        <v/>
      </c>
      <c r="G438" s="19" t="inlineStr">
        <is>
          <t>Prediksi nilai periode ke-5 berdasarkan deret hasil Y (C45:C48) dan periode X (B45:B48) menggunakan fungsi TREND!</t>
        </is>
      </c>
    </row>
    <row r="439">
      <c r="A439" s="5" t="n">
        <v>435</v>
      </c>
      <c r="B439" s="8" t="inlineStr">
        <is>
          <t>TREND</t>
        </is>
      </c>
      <c r="C439" s="6" t="inlineStr">
        <is>
          <t>Soal Tes #5</t>
        </is>
      </c>
      <c r="D439" s="31" t="inlineStr">
        <is>
          <t>TREND!E54</t>
        </is>
      </c>
      <c r="E439" s="22" t="inlineStr">
        <is>
          <t>'=TREND(C53:C56, B53:B56, 5)</t>
        </is>
      </c>
      <c r="F439" s="32">
        <f>TREND('TREND'!C53:C56, 'TREND'!B53:B56, 5)</f>
        <v/>
      </c>
      <c r="G439" s="19" t="inlineStr">
        <is>
          <t>Prediksi nilai periode ke-5 berdasarkan deret hasil Y (C53:C56) dan periode X (B53:B56) menggunakan fungsi TREND!</t>
        </is>
      </c>
    </row>
    <row r="440">
      <c r="A440" s="5" t="n">
        <v>436</v>
      </c>
      <c r="B440" s="8" t="inlineStr">
        <is>
          <t>T.TEST</t>
        </is>
      </c>
      <c r="C440" s="6" t="inlineStr">
        <is>
          <t>Soal Tes #1</t>
        </is>
      </c>
      <c r="D440" s="31" t="inlineStr">
        <is>
          <t>T.TEST!E22</t>
        </is>
      </c>
      <c r="E440" s="22" t="inlineStr">
        <is>
          <t>'=T.TEST(B21:B24, C21:C24, 2, 1)</t>
        </is>
      </c>
      <c r="F440" s="32">
        <f>T.TEST('T.TEST'!B21:B24, 'T.TEST'!C21:C24, 2, 1)</f>
        <v/>
      </c>
      <c r="G440" s="19" t="inlineStr">
        <is>
          <t>Hitung uji-t berpasangan (tails = 2, type = 1) antara Kelompok 1 (B21:B24) dan Kelompok 2 (C21:C24) menggunakan fungsi T.TEST!</t>
        </is>
      </c>
    </row>
    <row r="441">
      <c r="A441" s="5" t="n">
        <v>437</v>
      </c>
      <c r="B441" s="8" t="inlineStr">
        <is>
          <t>T.TEST</t>
        </is>
      </c>
      <c r="C441" s="6" t="inlineStr">
        <is>
          <t>Soal Tes #2</t>
        </is>
      </c>
      <c r="D441" s="31" t="inlineStr">
        <is>
          <t>T.TEST!E30</t>
        </is>
      </c>
      <c r="E441" s="22" t="inlineStr">
        <is>
          <t>'=T.TEST(B29:B32, C29:C32, 2, 1)</t>
        </is>
      </c>
      <c r="F441" s="32">
        <f>T.TEST('T.TEST'!B29:B32, 'T.TEST'!C29:C32, 2, 1)</f>
        <v/>
      </c>
      <c r="G441" s="19" t="inlineStr">
        <is>
          <t>Hitung uji-t berpasangan (tails = 2, type = 1) antara Kelompok 1 (B29:B32) dan Kelompok 2 (C29:C32) menggunakan fungsi T.TEST!</t>
        </is>
      </c>
    </row>
    <row r="442">
      <c r="A442" s="5" t="n">
        <v>438</v>
      </c>
      <c r="B442" s="8" t="inlineStr">
        <is>
          <t>T.TEST</t>
        </is>
      </c>
      <c r="C442" s="6" t="inlineStr">
        <is>
          <t>Soal Tes #3</t>
        </is>
      </c>
      <c r="D442" s="31" t="inlineStr">
        <is>
          <t>T.TEST!E38</t>
        </is>
      </c>
      <c r="E442" s="22" t="inlineStr">
        <is>
          <t>'=T.TEST(B37:B40, C37:C40, 2, 1)</t>
        </is>
      </c>
      <c r="F442" s="32">
        <f>T.TEST('T.TEST'!B37:B40, 'T.TEST'!C37:C40, 2, 1)</f>
        <v/>
      </c>
      <c r="G442" s="19" t="inlineStr">
        <is>
          <t>Hitung uji-t berpasangan (tails = 2, type = 1) antara Kelompok 1 (B37:B40) dan Kelompok 2 (C37:C40) menggunakan fungsi T.TEST!</t>
        </is>
      </c>
    </row>
    <row r="443">
      <c r="A443" s="5" t="n">
        <v>439</v>
      </c>
      <c r="B443" s="8" t="inlineStr">
        <is>
          <t>T.TEST</t>
        </is>
      </c>
      <c r="C443" s="6" t="inlineStr">
        <is>
          <t>Soal Tes #4</t>
        </is>
      </c>
      <c r="D443" s="31" t="inlineStr">
        <is>
          <t>T.TEST!E46</t>
        </is>
      </c>
      <c r="E443" s="22" t="inlineStr">
        <is>
          <t>'=T.TEST(B45:B48, C45:C48, 2, 1)</t>
        </is>
      </c>
      <c r="F443" s="32">
        <f>T.TEST('T.TEST'!B45:B48, 'T.TEST'!C45:C48, 2, 1)</f>
        <v/>
      </c>
      <c r="G443" s="19" t="inlineStr">
        <is>
          <t>Hitung uji-t berpasangan (tails = 2, type = 1) antara Kelompok 1 (B45:B48) dan Kelompok 2 (C45:C48) menggunakan fungsi T.TEST!</t>
        </is>
      </c>
    </row>
    <row r="444">
      <c r="A444" s="5" t="n">
        <v>440</v>
      </c>
      <c r="B444" s="8" t="inlineStr">
        <is>
          <t>T.TEST</t>
        </is>
      </c>
      <c r="C444" s="6" t="inlineStr">
        <is>
          <t>Soal Tes #5</t>
        </is>
      </c>
      <c r="D444" s="31" t="inlineStr">
        <is>
          <t>T.TEST!E54</t>
        </is>
      </c>
      <c r="E444" s="22" t="inlineStr">
        <is>
          <t>'=T.TEST(B53:B56, C53:C56, 2, 1)</t>
        </is>
      </c>
      <c r="F444" s="32">
        <f>T.TEST('T.TEST'!B53:B56, 'T.TEST'!C53:C56, 2, 1)</f>
        <v/>
      </c>
      <c r="G444" s="19" t="inlineStr">
        <is>
          <t>Hitung uji-t berpasangan (tails = 2, type = 1) antara Kelompok 1 (B53:B56) dan Kelompok 2 (C53:C56) menggunakan fungsi T.TEST!</t>
        </is>
      </c>
    </row>
    <row r="445">
      <c r="A445" s="5" t="n">
        <v>441</v>
      </c>
      <c r="B445" s="8" t="inlineStr">
        <is>
          <t>TRIMMEAN</t>
        </is>
      </c>
      <c r="C445" s="6" t="inlineStr">
        <is>
          <t>Soal Tes #1</t>
        </is>
      </c>
      <c r="D445" s="31" t="inlineStr">
        <is>
          <t>TRIMMEAN!E22</t>
        </is>
      </c>
      <c r="E445" s="22" t="inlineStr">
        <is>
          <t>'=TRIMMEAN(C21:C24, 0.2)</t>
        </is>
      </c>
      <c r="F445" s="32">
        <f>TRIMMEAN('TRIMMEAN'!C21:C24, 0.2)</f>
        <v/>
      </c>
      <c r="G445" s="19" t="inlineStr">
        <is>
          <t>Hitung rata-rata terpangkas dengan proporsi pemangkasan 0.2 (20%) pada rentang C21:C24 menggunakan fungsi TRIMMEAN!</t>
        </is>
      </c>
    </row>
    <row r="446">
      <c r="A446" s="5" t="n">
        <v>442</v>
      </c>
      <c r="B446" s="8" t="inlineStr">
        <is>
          <t>TRIMMEAN</t>
        </is>
      </c>
      <c r="C446" s="6" t="inlineStr">
        <is>
          <t>Soal Tes #2</t>
        </is>
      </c>
      <c r="D446" s="31" t="inlineStr">
        <is>
          <t>TRIMMEAN!E30</t>
        </is>
      </c>
      <c r="E446" s="22" t="inlineStr">
        <is>
          <t>'=TRIMMEAN(C29:C32, 0.2)</t>
        </is>
      </c>
      <c r="F446" s="32">
        <f>TRIMMEAN('TRIMMEAN'!C29:C32, 0.2)</f>
        <v/>
      </c>
      <c r="G446" s="19" t="inlineStr">
        <is>
          <t>Hitung rata-rata terpangkas dengan proporsi pemangkasan 0.2 (20%) pada rentang C29:C32 menggunakan fungsi TRIMMEAN!</t>
        </is>
      </c>
    </row>
    <row r="447">
      <c r="A447" s="5" t="n">
        <v>443</v>
      </c>
      <c r="B447" s="8" t="inlineStr">
        <is>
          <t>TRIMMEAN</t>
        </is>
      </c>
      <c r="C447" s="6" t="inlineStr">
        <is>
          <t>Soal Tes #3</t>
        </is>
      </c>
      <c r="D447" s="31" t="inlineStr">
        <is>
          <t>TRIMMEAN!E38</t>
        </is>
      </c>
      <c r="E447" s="22" t="inlineStr">
        <is>
          <t>'=TRIMMEAN(C37:C40, 0.2)</t>
        </is>
      </c>
      <c r="F447" s="32">
        <f>TRIMMEAN('TRIMMEAN'!C37:C40, 0.2)</f>
        <v/>
      </c>
      <c r="G447" s="19" t="inlineStr">
        <is>
          <t>Hitung rata-rata terpangkas dengan proporsi pemangkasan 0.2 (20%) pada rentang C37:C40 menggunakan fungsi TRIMMEAN!</t>
        </is>
      </c>
    </row>
    <row r="448">
      <c r="A448" s="5" t="n">
        <v>444</v>
      </c>
      <c r="B448" s="8" t="inlineStr">
        <is>
          <t>TRIMMEAN</t>
        </is>
      </c>
      <c r="C448" s="6" t="inlineStr">
        <is>
          <t>Soal Tes #4</t>
        </is>
      </c>
      <c r="D448" s="31" t="inlineStr">
        <is>
          <t>TRIMMEAN!E46</t>
        </is>
      </c>
      <c r="E448" s="22" t="inlineStr">
        <is>
          <t>'=TRIMMEAN(C45:C48, 0.2)</t>
        </is>
      </c>
      <c r="F448" s="32">
        <f>TRIMMEAN('TRIMMEAN'!C45:C48, 0.2)</f>
        <v/>
      </c>
      <c r="G448" s="19" t="inlineStr">
        <is>
          <t>Hitung rata-rata terpangkas dengan proporsi pemangkasan 0.2 (20%) pada rentang C45:C48 menggunakan fungsi TRIMMEAN!</t>
        </is>
      </c>
    </row>
    <row r="449">
      <c r="A449" s="5" t="n">
        <v>445</v>
      </c>
      <c r="B449" s="8" t="inlineStr">
        <is>
          <t>TRIMMEAN</t>
        </is>
      </c>
      <c r="C449" s="6" t="inlineStr">
        <is>
          <t>Soal Tes #5</t>
        </is>
      </c>
      <c r="D449" s="31" t="inlineStr">
        <is>
          <t>TRIMMEAN!E54</t>
        </is>
      </c>
      <c r="E449" s="22" t="inlineStr">
        <is>
          <t>'=TRIMMEAN(C53:C56, 0.2)</t>
        </is>
      </c>
      <c r="F449" s="32">
        <f>TRIMMEAN('TRIMMEAN'!C53:C56, 0.2)</f>
        <v/>
      </c>
      <c r="G449" s="19" t="inlineStr">
        <is>
          <t>Hitung rata-rata terpangkas dengan proporsi pemangkasan 0.2 (20%) pada rentang C53:C56 menggunakan fungsi TRIMMEAN!</t>
        </is>
      </c>
    </row>
    <row r="450">
      <c r="A450" s="5" t="n">
        <v>446</v>
      </c>
      <c r="B450" s="8" t="inlineStr">
        <is>
          <t>VAR.P</t>
        </is>
      </c>
      <c r="C450" s="6" t="inlineStr">
        <is>
          <t>Soal Tes #1</t>
        </is>
      </c>
      <c r="D450" s="31" t="inlineStr">
        <is>
          <t>VAR.P!E22</t>
        </is>
      </c>
      <c r="E450" s="22" t="inlineStr">
        <is>
          <t>'=VAR.P(C21:C24)</t>
        </is>
      </c>
      <c r="F450" s="32">
        <f>VAR.P('VAR.P'!C21:C24)</f>
        <v/>
      </c>
      <c r="G450" s="19" t="inlineStr">
        <is>
          <t>Hitung hasil pengolahan fungsi VAR.P untuk keempat baris data pada rentang C21:C24!</t>
        </is>
      </c>
    </row>
    <row r="451">
      <c r="A451" s="5" t="n">
        <v>447</v>
      </c>
      <c r="B451" s="8" t="inlineStr">
        <is>
          <t>VAR.P</t>
        </is>
      </c>
      <c r="C451" s="6" t="inlineStr">
        <is>
          <t>Soal Tes #2</t>
        </is>
      </c>
      <c r="D451" s="31" t="inlineStr">
        <is>
          <t>VAR.P!E30</t>
        </is>
      </c>
      <c r="E451" s="22" t="inlineStr">
        <is>
          <t>'=VAR.P(C29:C32)</t>
        </is>
      </c>
      <c r="F451" s="32">
        <f>VAR.P('VAR.P'!C29:C32)</f>
        <v/>
      </c>
      <c r="G451" s="19" t="inlineStr">
        <is>
          <t>Hitung hasil pengolahan fungsi VAR.P untuk keempat baris data pada rentang C29:C32!</t>
        </is>
      </c>
    </row>
    <row r="452">
      <c r="A452" s="5" t="n">
        <v>448</v>
      </c>
      <c r="B452" s="8" t="inlineStr">
        <is>
          <t>VAR.P</t>
        </is>
      </c>
      <c r="C452" s="6" t="inlineStr">
        <is>
          <t>Soal Tes #3</t>
        </is>
      </c>
      <c r="D452" s="31" t="inlineStr">
        <is>
          <t>VAR.P!E38</t>
        </is>
      </c>
      <c r="E452" s="22" t="inlineStr">
        <is>
          <t>'=VAR.P(C37:C40)</t>
        </is>
      </c>
      <c r="F452" s="32">
        <f>VAR.P('VAR.P'!C37:C40)</f>
        <v/>
      </c>
      <c r="G452" s="19" t="inlineStr">
        <is>
          <t>Hitung hasil pengolahan fungsi VAR.P untuk keempat baris data pada rentang C37:C40!</t>
        </is>
      </c>
    </row>
    <row r="453">
      <c r="A453" s="5" t="n">
        <v>449</v>
      </c>
      <c r="B453" s="8" t="inlineStr">
        <is>
          <t>VAR.P</t>
        </is>
      </c>
      <c r="C453" s="6" t="inlineStr">
        <is>
          <t>Soal Tes #4</t>
        </is>
      </c>
      <c r="D453" s="31" t="inlineStr">
        <is>
          <t>VAR.P!E46</t>
        </is>
      </c>
      <c r="E453" s="22" t="inlineStr">
        <is>
          <t>'=VAR.P(C45:C48)</t>
        </is>
      </c>
      <c r="F453" s="32">
        <f>VAR.P('VAR.P'!C45:C48)</f>
        <v/>
      </c>
      <c r="G453" s="19" t="inlineStr">
        <is>
          <t>Hitung hasil pengolahan fungsi VAR.P untuk keempat baris data pada rentang C45:C48!</t>
        </is>
      </c>
    </row>
    <row r="454">
      <c r="A454" s="5" t="n">
        <v>450</v>
      </c>
      <c r="B454" s="8" t="inlineStr">
        <is>
          <t>VAR.P</t>
        </is>
      </c>
      <c r="C454" s="6" t="inlineStr">
        <is>
          <t>Soal Tes #5</t>
        </is>
      </c>
      <c r="D454" s="31" t="inlineStr">
        <is>
          <t>VAR.P!E54</t>
        </is>
      </c>
      <c r="E454" s="22" t="inlineStr">
        <is>
          <t>'=VAR.P(C53:C56)</t>
        </is>
      </c>
      <c r="F454" s="32">
        <f>VAR.P('VAR.P'!C53:C56)</f>
        <v/>
      </c>
      <c r="G454" s="19" t="inlineStr">
        <is>
          <t>Hitung hasil pengolahan fungsi VAR.P untuk keempat baris data pada rentang C53:C56!</t>
        </is>
      </c>
    </row>
    <row r="455">
      <c r="A455" s="5" t="n">
        <v>451</v>
      </c>
      <c r="B455" s="8" t="inlineStr">
        <is>
          <t>VAR.S</t>
        </is>
      </c>
      <c r="C455" s="6" t="inlineStr">
        <is>
          <t>Soal Tes #1</t>
        </is>
      </c>
      <c r="D455" s="31" t="inlineStr">
        <is>
          <t>VAR.S!E22</t>
        </is>
      </c>
      <c r="E455" s="22" t="inlineStr">
        <is>
          <t>'=VAR.S(C21:C24)</t>
        </is>
      </c>
      <c r="F455" s="32">
        <f>VAR.S('VAR.S'!C21:C24)</f>
        <v/>
      </c>
      <c r="G455" s="19" t="inlineStr">
        <is>
          <t>Hitung hasil pengolahan fungsi VAR.S untuk keempat baris data pada rentang C21:C24!</t>
        </is>
      </c>
    </row>
    <row r="456">
      <c r="A456" s="5" t="n">
        <v>452</v>
      </c>
      <c r="B456" s="8" t="inlineStr">
        <is>
          <t>VAR.S</t>
        </is>
      </c>
      <c r="C456" s="6" t="inlineStr">
        <is>
          <t>Soal Tes #2</t>
        </is>
      </c>
      <c r="D456" s="31" t="inlineStr">
        <is>
          <t>VAR.S!E30</t>
        </is>
      </c>
      <c r="E456" s="22" t="inlineStr">
        <is>
          <t>'=VAR.S(C29:C32)</t>
        </is>
      </c>
      <c r="F456" s="32">
        <f>VAR.S('VAR.S'!C29:C32)</f>
        <v/>
      </c>
      <c r="G456" s="19" t="inlineStr">
        <is>
          <t>Hitung hasil pengolahan fungsi VAR.S untuk keempat baris data pada rentang C29:C32!</t>
        </is>
      </c>
    </row>
    <row r="457">
      <c r="A457" s="5" t="n">
        <v>453</v>
      </c>
      <c r="B457" s="8" t="inlineStr">
        <is>
          <t>VAR.S</t>
        </is>
      </c>
      <c r="C457" s="6" t="inlineStr">
        <is>
          <t>Soal Tes #3</t>
        </is>
      </c>
      <c r="D457" s="31" t="inlineStr">
        <is>
          <t>VAR.S!E38</t>
        </is>
      </c>
      <c r="E457" s="22" t="inlineStr">
        <is>
          <t>'=VAR.S(C37:C40)</t>
        </is>
      </c>
      <c r="F457" s="32">
        <f>VAR.S('VAR.S'!C37:C40)</f>
        <v/>
      </c>
      <c r="G457" s="19" t="inlineStr">
        <is>
          <t>Hitung hasil pengolahan fungsi VAR.S untuk keempat baris data pada rentang C37:C40!</t>
        </is>
      </c>
    </row>
    <row r="458">
      <c r="A458" s="5" t="n">
        <v>454</v>
      </c>
      <c r="B458" s="8" t="inlineStr">
        <is>
          <t>VAR.S</t>
        </is>
      </c>
      <c r="C458" s="6" t="inlineStr">
        <is>
          <t>Soal Tes #4</t>
        </is>
      </c>
      <c r="D458" s="31" t="inlineStr">
        <is>
          <t>VAR.S!E46</t>
        </is>
      </c>
      <c r="E458" s="22" t="inlineStr">
        <is>
          <t>'=VAR.S(C45:C48)</t>
        </is>
      </c>
      <c r="F458" s="32">
        <f>VAR.S('VAR.S'!C45:C48)</f>
        <v/>
      </c>
      <c r="G458" s="19" t="inlineStr">
        <is>
          <t>Hitung hasil pengolahan fungsi VAR.S untuk keempat baris data pada rentang C45:C48!</t>
        </is>
      </c>
    </row>
    <row r="459">
      <c r="A459" s="5" t="n">
        <v>455</v>
      </c>
      <c r="B459" s="8" t="inlineStr">
        <is>
          <t>VAR.S</t>
        </is>
      </c>
      <c r="C459" s="6" t="inlineStr">
        <is>
          <t>Soal Tes #5</t>
        </is>
      </c>
      <c r="D459" s="31" t="inlineStr">
        <is>
          <t>VAR.S!E54</t>
        </is>
      </c>
      <c r="E459" s="22" t="inlineStr">
        <is>
          <t>'=VAR.S(C53:C56)</t>
        </is>
      </c>
      <c r="F459" s="32">
        <f>VAR.S('VAR.S'!C53:C56)</f>
        <v/>
      </c>
      <c r="G459" s="19" t="inlineStr">
        <is>
          <t>Hitung hasil pengolahan fungsi VAR.S untuk keempat baris data pada rentang C53:C56!</t>
        </is>
      </c>
    </row>
    <row r="460">
      <c r="A460" s="5" t="n">
        <v>456</v>
      </c>
      <c r="B460" s="8" t="inlineStr">
        <is>
          <t>VARA</t>
        </is>
      </c>
      <c r="C460" s="6" t="inlineStr">
        <is>
          <t>Soal Tes #1</t>
        </is>
      </c>
      <c r="D460" s="31" t="inlineStr">
        <is>
          <t>VARA!E22</t>
        </is>
      </c>
      <c r="E460" s="22" t="inlineStr">
        <is>
          <t>'=VARA(C21:C24)</t>
        </is>
      </c>
      <c r="F460" s="32">
        <f>VARA('VARA'!C21:C24)</f>
        <v/>
      </c>
      <c r="G460" s="19" t="inlineStr">
        <is>
          <t>Hitung hasil pengolahan fungsi VARA untuk keempat baris data pada rentang C21:C24!</t>
        </is>
      </c>
    </row>
    <row r="461">
      <c r="A461" s="5" t="n">
        <v>457</v>
      </c>
      <c r="B461" s="8" t="inlineStr">
        <is>
          <t>VARA</t>
        </is>
      </c>
      <c r="C461" s="6" t="inlineStr">
        <is>
          <t>Soal Tes #2</t>
        </is>
      </c>
      <c r="D461" s="31" t="inlineStr">
        <is>
          <t>VARA!E30</t>
        </is>
      </c>
      <c r="E461" s="22" t="inlineStr">
        <is>
          <t>'=VARA(C29:C32)</t>
        </is>
      </c>
      <c r="F461" s="32">
        <f>VARA('VARA'!C29:C32)</f>
        <v/>
      </c>
      <c r="G461" s="19" t="inlineStr">
        <is>
          <t>Hitung hasil pengolahan fungsi VARA untuk keempat baris data pada rentang C29:C32!</t>
        </is>
      </c>
    </row>
    <row r="462">
      <c r="A462" s="5" t="n">
        <v>458</v>
      </c>
      <c r="B462" s="8" t="inlineStr">
        <is>
          <t>VARA</t>
        </is>
      </c>
      <c r="C462" s="6" t="inlineStr">
        <is>
          <t>Soal Tes #3</t>
        </is>
      </c>
      <c r="D462" s="31" t="inlineStr">
        <is>
          <t>VARA!E38</t>
        </is>
      </c>
      <c r="E462" s="22" t="inlineStr">
        <is>
          <t>'=VARA(C37:C40)</t>
        </is>
      </c>
      <c r="F462" s="32">
        <f>VARA('VARA'!C37:C40)</f>
        <v/>
      </c>
      <c r="G462" s="19" t="inlineStr">
        <is>
          <t>Hitung hasil pengolahan fungsi VARA untuk keempat baris data pada rentang C37:C40!</t>
        </is>
      </c>
    </row>
    <row r="463">
      <c r="A463" s="5" t="n">
        <v>459</v>
      </c>
      <c r="B463" s="8" t="inlineStr">
        <is>
          <t>VARA</t>
        </is>
      </c>
      <c r="C463" s="6" t="inlineStr">
        <is>
          <t>Soal Tes #4</t>
        </is>
      </c>
      <c r="D463" s="31" t="inlineStr">
        <is>
          <t>VARA!E46</t>
        </is>
      </c>
      <c r="E463" s="22" t="inlineStr">
        <is>
          <t>'=VARA(C45:C48)</t>
        </is>
      </c>
      <c r="F463" s="32">
        <f>VARA('VARA'!C45:C48)</f>
        <v/>
      </c>
      <c r="G463" s="19" t="inlineStr">
        <is>
          <t>Hitung hasil pengolahan fungsi VARA untuk keempat baris data pada rentang C45:C48!</t>
        </is>
      </c>
    </row>
    <row r="464">
      <c r="A464" s="5" t="n">
        <v>460</v>
      </c>
      <c r="B464" s="8" t="inlineStr">
        <is>
          <t>VARA</t>
        </is>
      </c>
      <c r="C464" s="6" t="inlineStr">
        <is>
          <t>Soal Tes #5</t>
        </is>
      </c>
      <c r="D464" s="31" t="inlineStr">
        <is>
          <t>VARA!E54</t>
        </is>
      </c>
      <c r="E464" s="22" t="inlineStr">
        <is>
          <t>'=VARA(C53:C56)</t>
        </is>
      </c>
      <c r="F464" s="32">
        <f>VARA('VARA'!C53:C56)</f>
        <v/>
      </c>
      <c r="G464" s="19" t="inlineStr">
        <is>
          <t>Hitung hasil pengolahan fungsi VARA untuk keempat baris data pada rentang C53:C56!</t>
        </is>
      </c>
    </row>
    <row r="465">
      <c r="A465" s="5" t="n">
        <v>461</v>
      </c>
      <c r="B465" s="8" t="inlineStr">
        <is>
          <t>VARPA</t>
        </is>
      </c>
      <c r="C465" s="6" t="inlineStr">
        <is>
          <t>Soal Tes #1</t>
        </is>
      </c>
      <c r="D465" s="31" t="inlineStr">
        <is>
          <t>VARPA!E22</t>
        </is>
      </c>
      <c r="E465" s="22" t="inlineStr">
        <is>
          <t>'=VARPA(C21:C24)</t>
        </is>
      </c>
      <c r="F465" s="32">
        <f>VARPA('VARPA'!C21:C24)</f>
        <v/>
      </c>
      <c r="G465" s="19" t="inlineStr">
        <is>
          <t>Hitung hasil pengolahan fungsi VARPA untuk keempat baris data pada rentang C21:C24!</t>
        </is>
      </c>
    </row>
    <row r="466">
      <c r="A466" s="5" t="n">
        <v>462</v>
      </c>
      <c r="B466" s="8" t="inlineStr">
        <is>
          <t>VARPA</t>
        </is>
      </c>
      <c r="C466" s="6" t="inlineStr">
        <is>
          <t>Soal Tes #2</t>
        </is>
      </c>
      <c r="D466" s="31" t="inlineStr">
        <is>
          <t>VARPA!E30</t>
        </is>
      </c>
      <c r="E466" s="22" t="inlineStr">
        <is>
          <t>'=VARPA(C29:C32)</t>
        </is>
      </c>
      <c r="F466" s="32">
        <f>VARPA('VARPA'!C29:C32)</f>
        <v/>
      </c>
      <c r="G466" s="19" t="inlineStr">
        <is>
          <t>Hitung hasil pengolahan fungsi VARPA untuk keempat baris data pada rentang C29:C32!</t>
        </is>
      </c>
    </row>
    <row r="467">
      <c r="A467" s="5" t="n">
        <v>463</v>
      </c>
      <c r="B467" s="8" t="inlineStr">
        <is>
          <t>VARPA</t>
        </is>
      </c>
      <c r="C467" s="6" t="inlineStr">
        <is>
          <t>Soal Tes #3</t>
        </is>
      </c>
      <c r="D467" s="31" t="inlineStr">
        <is>
          <t>VARPA!E38</t>
        </is>
      </c>
      <c r="E467" s="22" t="inlineStr">
        <is>
          <t>'=VARPA(C37:C40)</t>
        </is>
      </c>
      <c r="F467" s="32">
        <f>VARPA('VARPA'!C37:C40)</f>
        <v/>
      </c>
      <c r="G467" s="19" t="inlineStr">
        <is>
          <t>Hitung hasil pengolahan fungsi VARPA untuk keempat baris data pada rentang C37:C40!</t>
        </is>
      </c>
    </row>
    <row r="468">
      <c r="A468" s="5" t="n">
        <v>464</v>
      </c>
      <c r="B468" s="8" t="inlineStr">
        <is>
          <t>VARPA</t>
        </is>
      </c>
      <c r="C468" s="6" t="inlineStr">
        <is>
          <t>Soal Tes #4</t>
        </is>
      </c>
      <c r="D468" s="31" t="inlineStr">
        <is>
          <t>VARPA!E46</t>
        </is>
      </c>
      <c r="E468" s="22" t="inlineStr">
        <is>
          <t>'=VARPA(C45:C48)</t>
        </is>
      </c>
      <c r="F468" s="32">
        <f>VARPA('VARPA'!C45:C48)</f>
        <v/>
      </c>
      <c r="G468" s="19" t="inlineStr">
        <is>
          <t>Hitung hasil pengolahan fungsi VARPA untuk keempat baris data pada rentang C45:C48!</t>
        </is>
      </c>
    </row>
    <row r="469">
      <c r="A469" s="5" t="n">
        <v>465</v>
      </c>
      <c r="B469" s="8" t="inlineStr">
        <is>
          <t>VARPA</t>
        </is>
      </c>
      <c r="C469" s="6" t="inlineStr">
        <is>
          <t>Soal Tes #5</t>
        </is>
      </c>
      <c r="D469" s="31" t="inlineStr">
        <is>
          <t>VARPA!E54</t>
        </is>
      </c>
      <c r="E469" s="22" t="inlineStr">
        <is>
          <t>'=VARPA(C53:C56)</t>
        </is>
      </c>
      <c r="F469" s="32">
        <f>VARPA('VARPA'!C53:C56)</f>
        <v/>
      </c>
      <c r="G469" s="19" t="inlineStr">
        <is>
          <t>Hitung hasil pengolahan fungsi VARPA untuk keempat baris data pada rentang C53:C56!</t>
        </is>
      </c>
    </row>
    <row r="470">
      <c r="A470" s="5" t="n">
        <v>466</v>
      </c>
      <c r="B470" s="8" t="inlineStr">
        <is>
          <t>WEIBULL</t>
        </is>
      </c>
      <c r="C470" s="6" t="inlineStr">
        <is>
          <t>Soal Tes #1</t>
        </is>
      </c>
      <c r="D470" s="31" t="inlineStr">
        <is>
          <t>WEIBULL!E22</t>
        </is>
      </c>
      <c r="E470" s="22" t="inlineStr">
        <is>
          <t>'=WEIBULL(C21, C22, C23, TRUE)</t>
        </is>
      </c>
      <c r="F470" s="32">
        <f>WEIBULL('WEIBULL'!C21, 'WEIBULL'!C22, 'WEIBULL'!C23, TRUE)</f>
        <v/>
      </c>
      <c r="G470" s="19" t="inlineStr">
        <is>
          <t>Hitung nilai distribusi kumulatif (TRUE) menggunakan fungsi WEIBULL dengan argumen berurutan C21, C22, C23, dan TRUE!</t>
        </is>
      </c>
    </row>
    <row r="471">
      <c r="A471" s="5" t="n">
        <v>467</v>
      </c>
      <c r="B471" s="8" t="inlineStr">
        <is>
          <t>WEIBULL</t>
        </is>
      </c>
      <c r="C471" s="6" t="inlineStr">
        <is>
          <t>Soal Tes #2</t>
        </is>
      </c>
      <c r="D471" s="31" t="inlineStr">
        <is>
          <t>WEIBULL!E30</t>
        </is>
      </c>
      <c r="E471" s="22" t="inlineStr">
        <is>
          <t>'=WEIBULL(C29, C30, C31, TRUE)</t>
        </is>
      </c>
      <c r="F471" s="32">
        <f>WEIBULL('WEIBULL'!C29, 'WEIBULL'!C30, 'WEIBULL'!C31, TRUE)</f>
        <v/>
      </c>
      <c r="G471" s="19" t="inlineStr">
        <is>
          <t>Hitung nilai distribusi kumulatif (TRUE) menggunakan fungsi WEIBULL dengan argumen berurutan C29, C30, C31, dan TRUE!</t>
        </is>
      </c>
    </row>
    <row r="472">
      <c r="A472" s="5" t="n">
        <v>468</v>
      </c>
      <c r="B472" s="8" t="inlineStr">
        <is>
          <t>WEIBULL</t>
        </is>
      </c>
      <c r="C472" s="6" t="inlineStr">
        <is>
          <t>Soal Tes #3</t>
        </is>
      </c>
      <c r="D472" s="31" t="inlineStr">
        <is>
          <t>WEIBULL!E38</t>
        </is>
      </c>
      <c r="E472" s="22" t="inlineStr">
        <is>
          <t>'=WEIBULL(C37, C38, C39, TRUE)</t>
        </is>
      </c>
      <c r="F472" s="32">
        <f>WEIBULL('WEIBULL'!C37, 'WEIBULL'!C38, 'WEIBULL'!C39, TRUE)</f>
        <v/>
      </c>
      <c r="G472" s="19" t="inlineStr">
        <is>
          <t>Hitung nilai distribusi kumulatif (TRUE) menggunakan fungsi WEIBULL dengan argumen berurutan C37, C38, C39, dan TRUE!</t>
        </is>
      </c>
    </row>
    <row r="473">
      <c r="A473" s="5" t="n">
        <v>469</v>
      </c>
      <c r="B473" s="8" t="inlineStr">
        <is>
          <t>WEIBULL</t>
        </is>
      </c>
      <c r="C473" s="6" t="inlineStr">
        <is>
          <t>Soal Tes #4</t>
        </is>
      </c>
      <c r="D473" s="31" t="inlineStr">
        <is>
          <t>WEIBULL!E46</t>
        </is>
      </c>
      <c r="E473" s="22" t="inlineStr">
        <is>
          <t>'=WEIBULL(C45, C46, C47, TRUE)</t>
        </is>
      </c>
      <c r="F473" s="32">
        <f>WEIBULL('WEIBULL'!C45, 'WEIBULL'!C46, 'WEIBULL'!C47, TRUE)</f>
        <v/>
      </c>
      <c r="G473" s="19" t="inlineStr">
        <is>
          <t>Hitung nilai distribusi kumulatif (TRUE) menggunakan fungsi WEIBULL dengan argumen berurutan C45, C46, C47, dan TRUE!</t>
        </is>
      </c>
    </row>
    <row r="474">
      <c r="A474" s="5" t="n">
        <v>470</v>
      </c>
      <c r="B474" s="8" t="inlineStr">
        <is>
          <t>WEIBULL</t>
        </is>
      </c>
      <c r="C474" s="6" t="inlineStr">
        <is>
          <t>Soal Tes #5</t>
        </is>
      </c>
      <c r="D474" s="31" t="inlineStr">
        <is>
          <t>WEIBULL!E54</t>
        </is>
      </c>
      <c r="E474" s="22" t="inlineStr">
        <is>
          <t>'=WEIBULL(C53, C54, C55, TRUE)</t>
        </is>
      </c>
      <c r="F474" s="32">
        <f>WEIBULL('WEIBULL'!C53, 'WEIBULL'!C54, 'WEIBULL'!C55, TRUE)</f>
        <v/>
      </c>
      <c r="G474" s="19" t="inlineStr">
        <is>
          <t>Hitung nilai distribusi kumulatif (TRUE) menggunakan fungsi WEIBULL dengan argumen berurutan C53, C54, C55, dan TRUE!</t>
        </is>
      </c>
    </row>
    <row r="475">
      <c r="A475" s="5" t="n">
        <v>471</v>
      </c>
      <c r="B475" s="8" t="inlineStr">
        <is>
          <t>ZTEST</t>
        </is>
      </c>
      <c r="C475" s="6" t="inlineStr">
        <is>
          <t>Soal Tes #1</t>
        </is>
      </c>
      <c r="D475" s="31" t="inlineStr">
        <is>
          <t>ZTEST!E22</t>
        </is>
      </c>
      <c r="E475" s="22" t="inlineStr">
        <is>
          <t>'=ZTEST(C21:C24, C21)</t>
        </is>
      </c>
      <c r="F475" s="32">
        <f>ZTEST('ZTEST'!C21:C24, 'ZTEST'!C21)</f>
        <v/>
      </c>
      <c r="G475" s="19" t="inlineStr">
        <is>
          <t>Hitung nilai peluang uji-Z pada rentang sampel C21:C24 terhadap nilai uji di sel C21 menggunakan fungsi ZTEST!</t>
        </is>
      </c>
    </row>
    <row r="476">
      <c r="A476" s="5" t="n">
        <v>472</v>
      </c>
      <c r="B476" s="8" t="inlineStr">
        <is>
          <t>ZTEST</t>
        </is>
      </c>
      <c r="C476" s="6" t="inlineStr">
        <is>
          <t>Soal Tes #2</t>
        </is>
      </c>
      <c r="D476" s="31" t="inlineStr">
        <is>
          <t>ZTEST!E30</t>
        </is>
      </c>
      <c r="E476" s="22" t="inlineStr">
        <is>
          <t>'=ZTEST(C29:C32, C29)</t>
        </is>
      </c>
      <c r="F476" s="32">
        <f>ZTEST('ZTEST'!C29:C32, 'ZTEST'!C29)</f>
        <v/>
      </c>
      <c r="G476" s="19" t="inlineStr">
        <is>
          <t>Hitung nilai peluang uji-Z pada rentang sampel C29:C32 terhadap nilai uji di sel C29 menggunakan fungsi ZTEST!</t>
        </is>
      </c>
    </row>
    <row r="477">
      <c r="A477" s="5" t="n">
        <v>473</v>
      </c>
      <c r="B477" s="8" t="inlineStr">
        <is>
          <t>ZTEST</t>
        </is>
      </c>
      <c r="C477" s="6" t="inlineStr">
        <is>
          <t>Soal Tes #3</t>
        </is>
      </c>
      <c r="D477" s="31" t="inlineStr">
        <is>
          <t>ZTEST!E38</t>
        </is>
      </c>
      <c r="E477" s="22" t="inlineStr">
        <is>
          <t>'=ZTEST(C37:C40, C37)</t>
        </is>
      </c>
      <c r="F477" s="32">
        <f>ZTEST('ZTEST'!C37:C40, 'ZTEST'!C37)</f>
        <v/>
      </c>
      <c r="G477" s="19" t="inlineStr">
        <is>
          <t>Hitung nilai peluang uji-Z pada rentang sampel C37:C40 terhadap nilai uji di sel C37 menggunakan fungsi ZTEST!</t>
        </is>
      </c>
    </row>
    <row r="478">
      <c r="A478" s="5" t="n">
        <v>474</v>
      </c>
      <c r="B478" s="8" t="inlineStr">
        <is>
          <t>ZTEST</t>
        </is>
      </c>
      <c r="C478" s="6" t="inlineStr">
        <is>
          <t>Soal Tes #4</t>
        </is>
      </c>
      <c r="D478" s="31" t="inlineStr">
        <is>
          <t>ZTEST!E46</t>
        </is>
      </c>
      <c r="E478" s="22" t="inlineStr">
        <is>
          <t>'=ZTEST(C45:C48, C45)</t>
        </is>
      </c>
      <c r="F478" s="32">
        <f>ZTEST('ZTEST'!C45:C48, 'ZTEST'!C45)</f>
        <v/>
      </c>
      <c r="G478" s="19" t="inlineStr">
        <is>
          <t>Hitung nilai peluang uji-Z pada rentang sampel C45:C48 terhadap nilai uji di sel C45 menggunakan fungsi ZTEST!</t>
        </is>
      </c>
    </row>
    <row r="479">
      <c r="A479" s="5" t="n">
        <v>475</v>
      </c>
      <c r="B479" s="8" t="inlineStr">
        <is>
          <t>ZTEST</t>
        </is>
      </c>
      <c r="C479" s="6" t="inlineStr">
        <is>
          <t>Soal Tes #5</t>
        </is>
      </c>
      <c r="D479" s="31" t="inlineStr">
        <is>
          <t>ZTEST!E54</t>
        </is>
      </c>
      <c r="E479" s="22" t="inlineStr">
        <is>
          <t>'=ZTEST(C53:C56, C53)</t>
        </is>
      </c>
      <c r="F479" s="32">
        <f>ZTEST('ZTEST'!C53:C56, 'ZTEST'!C53)</f>
        <v/>
      </c>
      <c r="G479" s="19" t="inlineStr">
        <is>
          <t>Hitung nilai peluang uji-Z pada rentang sampel C53:C56 terhadap nilai uji di sel C53 menggunakan fungsi ZTEST!</t>
        </is>
      </c>
    </row>
  </sheetData>
  <mergeCells count="2">
    <mergeCell ref="A2:F2"/>
    <mergeCell ref="A1:G1"/>
  </mergeCells>
  <hyperlinks>
    <hyperlink xmlns:r="http://schemas.openxmlformats.org/officeDocument/2006/relationships" ref="G2" r:id="rId1"/>
    <hyperlink xmlns:r="http://schemas.openxmlformats.org/officeDocument/2006/relationships" ref="B5" r:id="rId2"/>
    <hyperlink xmlns:r="http://schemas.openxmlformats.org/officeDocument/2006/relationships" ref="B6" r:id="rId3"/>
    <hyperlink xmlns:r="http://schemas.openxmlformats.org/officeDocument/2006/relationships" ref="B7" r:id="rId4"/>
    <hyperlink xmlns:r="http://schemas.openxmlformats.org/officeDocument/2006/relationships" ref="B8" r:id="rId5"/>
    <hyperlink xmlns:r="http://schemas.openxmlformats.org/officeDocument/2006/relationships" ref="B9" r:id="rId6"/>
    <hyperlink xmlns:r="http://schemas.openxmlformats.org/officeDocument/2006/relationships" ref="B10" r:id="rId7"/>
    <hyperlink xmlns:r="http://schemas.openxmlformats.org/officeDocument/2006/relationships" ref="B11" r:id="rId8"/>
    <hyperlink xmlns:r="http://schemas.openxmlformats.org/officeDocument/2006/relationships" ref="B12" r:id="rId9"/>
    <hyperlink xmlns:r="http://schemas.openxmlformats.org/officeDocument/2006/relationships" ref="B13" r:id="rId10"/>
    <hyperlink xmlns:r="http://schemas.openxmlformats.org/officeDocument/2006/relationships" ref="B14" r:id="rId11"/>
    <hyperlink xmlns:r="http://schemas.openxmlformats.org/officeDocument/2006/relationships" ref="B15" r:id="rId12"/>
    <hyperlink xmlns:r="http://schemas.openxmlformats.org/officeDocument/2006/relationships" ref="B16" r:id="rId13"/>
    <hyperlink xmlns:r="http://schemas.openxmlformats.org/officeDocument/2006/relationships" ref="B17" r:id="rId14"/>
    <hyperlink xmlns:r="http://schemas.openxmlformats.org/officeDocument/2006/relationships" ref="B18" r:id="rId15"/>
    <hyperlink xmlns:r="http://schemas.openxmlformats.org/officeDocument/2006/relationships" ref="B19" r:id="rId16"/>
    <hyperlink xmlns:r="http://schemas.openxmlformats.org/officeDocument/2006/relationships" ref="B20" r:id="rId17"/>
    <hyperlink xmlns:r="http://schemas.openxmlformats.org/officeDocument/2006/relationships" ref="B21" r:id="rId18"/>
    <hyperlink xmlns:r="http://schemas.openxmlformats.org/officeDocument/2006/relationships" ref="B22" r:id="rId19"/>
    <hyperlink xmlns:r="http://schemas.openxmlformats.org/officeDocument/2006/relationships" ref="B23" r:id="rId20"/>
    <hyperlink xmlns:r="http://schemas.openxmlformats.org/officeDocument/2006/relationships" ref="B24" r:id="rId21"/>
    <hyperlink xmlns:r="http://schemas.openxmlformats.org/officeDocument/2006/relationships" ref="B25" r:id="rId22"/>
    <hyperlink xmlns:r="http://schemas.openxmlformats.org/officeDocument/2006/relationships" ref="B26" r:id="rId23"/>
    <hyperlink xmlns:r="http://schemas.openxmlformats.org/officeDocument/2006/relationships" ref="B27" r:id="rId24"/>
    <hyperlink xmlns:r="http://schemas.openxmlformats.org/officeDocument/2006/relationships" ref="B28" r:id="rId25"/>
    <hyperlink xmlns:r="http://schemas.openxmlformats.org/officeDocument/2006/relationships" ref="B29" r:id="rId26"/>
    <hyperlink xmlns:r="http://schemas.openxmlformats.org/officeDocument/2006/relationships" ref="B30" r:id="rId27"/>
    <hyperlink xmlns:r="http://schemas.openxmlformats.org/officeDocument/2006/relationships" ref="B31" r:id="rId28"/>
    <hyperlink xmlns:r="http://schemas.openxmlformats.org/officeDocument/2006/relationships" ref="B32" r:id="rId29"/>
    <hyperlink xmlns:r="http://schemas.openxmlformats.org/officeDocument/2006/relationships" ref="B33" r:id="rId30"/>
    <hyperlink xmlns:r="http://schemas.openxmlformats.org/officeDocument/2006/relationships" ref="B34" r:id="rId31"/>
    <hyperlink xmlns:r="http://schemas.openxmlformats.org/officeDocument/2006/relationships" ref="B35" r:id="rId32"/>
    <hyperlink xmlns:r="http://schemas.openxmlformats.org/officeDocument/2006/relationships" ref="B36" r:id="rId33"/>
    <hyperlink xmlns:r="http://schemas.openxmlformats.org/officeDocument/2006/relationships" ref="B37" r:id="rId34"/>
    <hyperlink xmlns:r="http://schemas.openxmlformats.org/officeDocument/2006/relationships" ref="B38" r:id="rId35"/>
    <hyperlink xmlns:r="http://schemas.openxmlformats.org/officeDocument/2006/relationships" ref="B39" r:id="rId36"/>
    <hyperlink xmlns:r="http://schemas.openxmlformats.org/officeDocument/2006/relationships" ref="B40" r:id="rId37"/>
    <hyperlink xmlns:r="http://schemas.openxmlformats.org/officeDocument/2006/relationships" ref="B41" r:id="rId38"/>
    <hyperlink xmlns:r="http://schemas.openxmlformats.org/officeDocument/2006/relationships" ref="B42" r:id="rId39"/>
    <hyperlink xmlns:r="http://schemas.openxmlformats.org/officeDocument/2006/relationships" ref="B43" r:id="rId40"/>
    <hyperlink xmlns:r="http://schemas.openxmlformats.org/officeDocument/2006/relationships" ref="B44" r:id="rId41"/>
    <hyperlink xmlns:r="http://schemas.openxmlformats.org/officeDocument/2006/relationships" ref="B45" r:id="rId42"/>
    <hyperlink xmlns:r="http://schemas.openxmlformats.org/officeDocument/2006/relationships" ref="B46" r:id="rId43"/>
    <hyperlink xmlns:r="http://schemas.openxmlformats.org/officeDocument/2006/relationships" ref="B47" r:id="rId44"/>
    <hyperlink xmlns:r="http://schemas.openxmlformats.org/officeDocument/2006/relationships" ref="B48" r:id="rId45"/>
    <hyperlink xmlns:r="http://schemas.openxmlformats.org/officeDocument/2006/relationships" ref="B49" r:id="rId46"/>
    <hyperlink xmlns:r="http://schemas.openxmlformats.org/officeDocument/2006/relationships" ref="B50" r:id="rId47"/>
    <hyperlink xmlns:r="http://schemas.openxmlformats.org/officeDocument/2006/relationships" ref="B51" r:id="rId48"/>
    <hyperlink xmlns:r="http://schemas.openxmlformats.org/officeDocument/2006/relationships" ref="B52" r:id="rId49"/>
    <hyperlink xmlns:r="http://schemas.openxmlformats.org/officeDocument/2006/relationships" ref="B53" r:id="rId50"/>
    <hyperlink xmlns:r="http://schemas.openxmlformats.org/officeDocument/2006/relationships" ref="B54" r:id="rId51"/>
    <hyperlink xmlns:r="http://schemas.openxmlformats.org/officeDocument/2006/relationships" ref="B55" r:id="rId52"/>
    <hyperlink xmlns:r="http://schemas.openxmlformats.org/officeDocument/2006/relationships" ref="B56" r:id="rId53"/>
    <hyperlink xmlns:r="http://schemas.openxmlformats.org/officeDocument/2006/relationships" ref="B57" r:id="rId54"/>
    <hyperlink xmlns:r="http://schemas.openxmlformats.org/officeDocument/2006/relationships" ref="B58" r:id="rId55"/>
    <hyperlink xmlns:r="http://schemas.openxmlformats.org/officeDocument/2006/relationships" ref="B59" r:id="rId56"/>
    <hyperlink xmlns:r="http://schemas.openxmlformats.org/officeDocument/2006/relationships" ref="B60" r:id="rId57"/>
    <hyperlink xmlns:r="http://schemas.openxmlformats.org/officeDocument/2006/relationships" ref="B61" r:id="rId58"/>
    <hyperlink xmlns:r="http://schemas.openxmlformats.org/officeDocument/2006/relationships" ref="B62" r:id="rId59"/>
    <hyperlink xmlns:r="http://schemas.openxmlformats.org/officeDocument/2006/relationships" ref="B63" r:id="rId60"/>
    <hyperlink xmlns:r="http://schemas.openxmlformats.org/officeDocument/2006/relationships" ref="B64" r:id="rId61"/>
    <hyperlink xmlns:r="http://schemas.openxmlformats.org/officeDocument/2006/relationships" ref="B65" r:id="rId62"/>
    <hyperlink xmlns:r="http://schemas.openxmlformats.org/officeDocument/2006/relationships" ref="B66" r:id="rId63"/>
    <hyperlink xmlns:r="http://schemas.openxmlformats.org/officeDocument/2006/relationships" ref="B67" r:id="rId64"/>
    <hyperlink xmlns:r="http://schemas.openxmlformats.org/officeDocument/2006/relationships" ref="B68" r:id="rId65"/>
    <hyperlink xmlns:r="http://schemas.openxmlformats.org/officeDocument/2006/relationships" ref="B69" r:id="rId66"/>
    <hyperlink xmlns:r="http://schemas.openxmlformats.org/officeDocument/2006/relationships" ref="B70" r:id="rId67"/>
    <hyperlink xmlns:r="http://schemas.openxmlformats.org/officeDocument/2006/relationships" ref="B71" r:id="rId68"/>
    <hyperlink xmlns:r="http://schemas.openxmlformats.org/officeDocument/2006/relationships" ref="B72" r:id="rId69"/>
    <hyperlink xmlns:r="http://schemas.openxmlformats.org/officeDocument/2006/relationships" ref="B73" r:id="rId70"/>
    <hyperlink xmlns:r="http://schemas.openxmlformats.org/officeDocument/2006/relationships" ref="B74" r:id="rId71"/>
    <hyperlink xmlns:r="http://schemas.openxmlformats.org/officeDocument/2006/relationships" ref="B75" r:id="rId72"/>
    <hyperlink xmlns:r="http://schemas.openxmlformats.org/officeDocument/2006/relationships" ref="B76" r:id="rId73"/>
    <hyperlink xmlns:r="http://schemas.openxmlformats.org/officeDocument/2006/relationships" ref="B77" r:id="rId74"/>
    <hyperlink xmlns:r="http://schemas.openxmlformats.org/officeDocument/2006/relationships" ref="B78" r:id="rId75"/>
    <hyperlink xmlns:r="http://schemas.openxmlformats.org/officeDocument/2006/relationships" ref="B79" r:id="rId76"/>
    <hyperlink xmlns:r="http://schemas.openxmlformats.org/officeDocument/2006/relationships" ref="B80" r:id="rId77"/>
    <hyperlink xmlns:r="http://schemas.openxmlformats.org/officeDocument/2006/relationships" ref="B81" r:id="rId78"/>
    <hyperlink xmlns:r="http://schemas.openxmlformats.org/officeDocument/2006/relationships" ref="B82" r:id="rId79"/>
    <hyperlink xmlns:r="http://schemas.openxmlformats.org/officeDocument/2006/relationships" ref="B83" r:id="rId80"/>
    <hyperlink xmlns:r="http://schemas.openxmlformats.org/officeDocument/2006/relationships" ref="B84" r:id="rId81"/>
    <hyperlink xmlns:r="http://schemas.openxmlformats.org/officeDocument/2006/relationships" ref="B85" r:id="rId82"/>
    <hyperlink xmlns:r="http://schemas.openxmlformats.org/officeDocument/2006/relationships" ref="B86" r:id="rId83"/>
    <hyperlink xmlns:r="http://schemas.openxmlformats.org/officeDocument/2006/relationships" ref="B87" r:id="rId84"/>
    <hyperlink xmlns:r="http://schemas.openxmlformats.org/officeDocument/2006/relationships" ref="B88" r:id="rId85"/>
    <hyperlink xmlns:r="http://schemas.openxmlformats.org/officeDocument/2006/relationships" ref="B89" r:id="rId86"/>
    <hyperlink xmlns:r="http://schemas.openxmlformats.org/officeDocument/2006/relationships" ref="B90" r:id="rId87"/>
    <hyperlink xmlns:r="http://schemas.openxmlformats.org/officeDocument/2006/relationships" ref="B91" r:id="rId88"/>
    <hyperlink xmlns:r="http://schemas.openxmlformats.org/officeDocument/2006/relationships" ref="B92" r:id="rId89"/>
    <hyperlink xmlns:r="http://schemas.openxmlformats.org/officeDocument/2006/relationships" ref="B93" r:id="rId90"/>
    <hyperlink xmlns:r="http://schemas.openxmlformats.org/officeDocument/2006/relationships" ref="B94" r:id="rId91"/>
    <hyperlink xmlns:r="http://schemas.openxmlformats.org/officeDocument/2006/relationships" ref="B95" r:id="rId92"/>
    <hyperlink xmlns:r="http://schemas.openxmlformats.org/officeDocument/2006/relationships" ref="B96" r:id="rId93"/>
    <hyperlink xmlns:r="http://schemas.openxmlformats.org/officeDocument/2006/relationships" ref="B97" r:id="rId94"/>
    <hyperlink xmlns:r="http://schemas.openxmlformats.org/officeDocument/2006/relationships" ref="B98" r:id="rId95"/>
    <hyperlink xmlns:r="http://schemas.openxmlformats.org/officeDocument/2006/relationships" ref="B99" r:id="rId96"/>
    <hyperlink xmlns:r="http://schemas.openxmlformats.org/officeDocument/2006/relationships" ref="B100" r:id="rId97"/>
    <hyperlink xmlns:r="http://schemas.openxmlformats.org/officeDocument/2006/relationships" ref="B101" r:id="rId98"/>
    <hyperlink xmlns:r="http://schemas.openxmlformats.org/officeDocument/2006/relationships" ref="B102" r:id="rId99"/>
    <hyperlink xmlns:r="http://schemas.openxmlformats.org/officeDocument/2006/relationships" ref="B103" r:id="rId100"/>
    <hyperlink xmlns:r="http://schemas.openxmlformats.org/officeDocument/2006/relationships" ref="B104" r:id="rId101"/>
    <hyperlink xmlns:r="http://schemas.openxmlformats.org/officeDocument/2006/relationships" ref="B105" r:id="rId102"/>
    <hyperlink xmlns:r="http://schemas.openxmlformats.org/officeDocument/2006/relationships" ref="B106" r:id="rId103"/>
    <hyperlink xmlns:r="http://schemas.openxmlformats.org/officeDocument/2006/relationships" ref="B107" r:id="rId104"/>
    <hyperlink xmlns:r="http://schemas.openxmlformats.org/officeDocument/2006/relationships" ref="B108" r:id="rId105"/>
    <hyperlink xmlns:r="http://schemas.openxmlformats.org/officeDocument/2006/relationships" ref="B109" r:id="rId106"/>
    <hyperlink xmlns:r="http://schemas.openxmlformats.org/officeDocument/2006/relationships" ref="B110" r:id="rId107"/>
    <hyperlink xmlns:r="http://schemas.openxmlformats.org/officeDocument/2006/relationships" ref="B111" r:id="rId108"/>
    <hyperlink xmlns:r="http://schemas.openxmlformats.org/officeDocument/2006/relationships" ref="B112" r:id="rId109"/>
    <hyperlink xmlns:r="http://schemas.openxmlformats.org/officeDocument/2006/relationships" ref="B113" r:id="rId110"/>
    <hyperlink xmlns:r="http://schemas.openxmlformats.org/officeDocument/2006/relationships" ref="B114" r:id="rId111"/>
    <hyperlink xmlns:r="http://schemas.openxmlformats.org/officeDocument/2006/relationships" ref="B115" r:id="rId112"/>
    <hyperlink xmlns:r="http://schemas.openxmlformats.org/officeDocument/2006/relationships" ref="B116" r:id="rId113"/>
    <hyperlink xmlns:r="http://schemas.openxmlformats.org/officeDocument/2006/relationships" ref="B117" r:id="rId114"/>
    <hyperlink xmlns:r="http://schemas.openxmlformats.org/officeDocument/2006/relationships" ref="B118" r:id="rId115"/>
    <hyperlink xmlns:r="http://schemas.openxmlformats.org/officeDocument/2006/relationships" ref="B119" r:id="rId116"/>
    <hyperlink xmlns:r="http://schemas.openxmlformats.org/officeDocument/2006/relationships" ref="B120" r:id="rId117"/>
    <hyperlink xmlns:r="http://schemas.openxmlformats.org/officeDocument/2006/relationships" ref="B121" r:id="rId118"/>
    <hyperlink xmlns:r="http://schemas.openxmlformats.org/officeDocument/2006/relationships" ref="B122" r:id="rId119"/>
    <hyperlink xmlns:r="http://schemas.openxmlformats.org/officeDocument/2006/relationships" ref="B123" r:id="rId120"/>
    <hyperlink xmlns:r="http://schemas.openxmlformats.org/officeDocument/2006/relationships" ref="B124" r:id="rId121"/>
    <hyperlink xmlns:r="http://schemas.openxmlformats.org/officeDocument/2006/relationships" ref="B125" r:id="rId122"/>
    <hyperlink xmlns:r="http://schemas.openxmlformats.org/officeDocument/2006/relationships" ref="B126" r:id="rId123"/>
    <hyperlink xmlns:r="http://schemas.openxmlformats.org/officeDocument/2006/relationships" ref="B127" r:id="rId124"/>
    <hyperlink xmlns:r="http://schemas.openxmlformats.org/officeDocument/2006/relationships" ref="B128" r:id="rId125"/>
    <hyperlink xmlns:r="http://schemas.openxmlformats.org/officeDocument/2006/relationships" ref="B129" r:id="rId126"/>
    <hyperlink xmlns:r="http://schemas.openxmlformats.org/officeDocument/2006/relationships" ref="B130" r:id="rId127"/>
    <hyperlink xmlns:r="http://schemas.openxmlformats.org/officeDocument/2006/relationships" ref="B131" r:id="rId128"/>
    <hyperlink xmlns:r="http://schemas.openxmlformats.org/officeDocument/2006/relationships" ref="B132" r:id="rId129"/>
    <hyperlink xmlns:r="http://schemas.openxmlformats.org/officeDocument/2006/relationships" ref="B133" r:id="rId130"/>
    <hyperlink xmlns:r="http://schemas.openxmlformats.org/officeDocument/2006/relationships" ref="B134" r:id="rId131"/>
    <hyperlink xmlns:r="http://schemas.openxmlformats.org/officeDocument/2006/relationships" ref="B135" r:id="rId132"/>
    <hyperlink xmlns:r="http://schemas.openxmlformats.org/officeDocument/2006/relationships" ref="B136" r:id="rId133"/>
    <hyperlink xmlns:r="http://schemas.openxmlformats.org/officeDocument/2006/relationships" ref="B137" r:id="rId134"/>
    <hyperlink xmlns:r="http://schemas.openxmlformats.org/officeDocument/2006/relationships" ref="B138" r:id="rId135"/>
    <hyperlink xmlns:r="http://schemas.openxmlformats.org/officeDocument/2006/relationships" ref="B139" r:id="rId136"/>
    <hyperlink xmlns:r="http://schemas.openxmlformats.org/officeDocument/2006/relationships" ref="B140" r:id="rId137"/>
    <hyperlink xmlns:r="http://schemas.openxmlformats.org/officeDocument/2006/relationships" ref="B141" r:id="rId138"/>
    <hyperlink xmlns:r="http://schemas.openxmlformats.org/officeDocument/2006/relationships" ref="B142" r:id="rId139"/>
    <hyperlink xmlns:r="http://schemas.openxmlformats.org/officeDocument/2006/relationships" ref="B143" r:id="rId140"/>
    <hyperlink xmlns:r="http://schemas.openxmlformats.org/officeDocument/2006/relationships" ref="B144" r:id="rId141"/>
    <hyperlink xmlns:r="http://schemas.openxmlformats.org/officeDocument/2006/relationships" ref="B145" r:id="rId142"/>
    <hyperlink xmlns:r="http://schemas.openxmlformats.org/officeDocument/2006/relationships" ref="B146" r:id="rId143"/>
    <hyperlink xmlns:r="http://schemas.openxmlformats.org/officeDocument/2006/relationships" ref="B147" r:id="rId144"/>
    <hyperlink xmlns:r="http://schemas.openxmlformats.org/officeDocument/2006/relationships" ref="B148" r:id="rId145"/>
    <hyperlink xmlns:r="http://schemas.openxmlformats.org/officeDocument/2006/relationships" ref="B149" r:id="rId146"/>
    <hyperlink xmlns:r="http://schemas.openxmlformats.org/officeDocument/2006/relationships" ref="B150" r:id="rId147"/>
    <hyperlink xmlns:r="http://schemas.openxmlformats.org/officeDocument/2006/relationships" ref="B151" r:id="rId148"/>
    <hyperlink xmlns:r="http://schemas.openxmlformats.org/officeDocument/2006/relationships" ref="B152" r:id="rId149"/>
    <hyperlink xmlns:r="http://schemas.openxmlformats.org/officeDocument/2006/relationships" ref="B153" r:id="rId150"/>
    <hyperlink xmlns:r="http://schemas.openxmlformats.org/officeDocument/2006/relationships" ref="B154" r:id="rId151"/>
    <hyperlink xmlns:r="http://schemas.openxmlformats.org/officeDocument/2006/relationships" ref="B155" r:id="rId152"/>
    <hyperlink xmlns:r="http://schemas.openxmlformats.org/officeDocument/2006/relationships" ref="B156" r:id="rId153"/>
    <hyperlink xmlns:r="http://schemas.openxmlformats.org/officeDocument/2006/relationships" ref="B157" r:id="rId154"/>
    <hyperlink xmlns:r="http://schemas.openxmlformats.org/officeDocument/2006/relationships" ref="B158" r:id="rId155"/>
    <hyperlink xmlns:r="http://schemas.openxmlformats.org/officeDocument/2006/relationships" ref="B159" r:id="rId156"/>
    <hyperlink xmlns:r="http://schemas.openxmlformats.org/officeDocument/2006/relationships" ref="B160" r:id="rId157"/>
    <hyperlink xmlns:r="http://schemas.openxmlformats.org/officeDocument/2006/relationships" ref="B161" r:id="rId158"/>
    <hyperlink xmlns:r="http://schemas.openxmlformats.org/officeDocument/2006/relationships" ref="B162" r:id="rId159"/>
    <hyperlink xmlns:r="http://schemas.openxmlformats.org/officeDocument/2006/relationships" ref="B163" r:id="rId160"/>
    <hyperlink xmlns:r="http://schemas.openxmlformats.org/officeDocument/2006/relationships" ref="B164" r:id="rId161"/>
    <hyperlink xmlns:r="http://schemas.openxmlformats.org/officeDocument/2006/relationships" ref="B165" r:id="rId162"/>
    <hyperlink xmlns:r="http://schemas.openxmlformats.org/officeDocument/2006/relationships" ref="B166" r:id="rId163"/>
    <hyperlink xmlns:r="http://schemas.openxmlformats.org/officeDocument/2006/relationships" ref="B167" r:id="rId164"/>
    <hyperlink xmlns:r="http://schemas.openxmlformats.org/officeDocument/2006/relationships" ref="B168" r:id="rId165"/>
    <hyperlink xmlns:r="http://schemas.openxmlformats.org/officeDocument/2006/relationships" ref="B169" r:id="rId166"/>
    <hyperlink xmlns:r="http://schemas.openxmlformats.org/officeDocument/2006/relationships" ref="B170" r:id="rId167"/>
    <hyperlink xmlns:r="http://schemas.openxmlformats.org/officeDocument/2006/relationships" ref="B171" r:id="rId168"/>
    <hyperlink xmlns:r="http://schemas.openxmlformats.org/officeDocument/2006/relationships" ref="B172" r:id="rId169"/>
    <hyperlink xmlns:r="http://schemas.openxmlformats.org/officeDocument/2006/relationships" ref="B173" r:id="rId170"/>
    <hyperlink xmlns:r="http://schemas.openxmlformats.org/officeDocument/2006/relationships" ref="B174" r:id="rId171"/>
    <hyperlink xmlns:r="http://schemas.openxmlformats.org/officeDocument/2006/relationships" ref="B175" r:id="rId172"/>
    <hyperlink xmlns:r="http://schemas.openxmlformats.org/officeDocument/2006/relationships" ref="B176" r:id="rId173"/>
    <hyperlink xmlns:r="http://schemas.openxmlformats.org/officeDocument/2006/relationships" ref="B177" r:id="rId174"/>
    <hyperlink xmlns:r="http://schemas.openxmlformats.org/officeDocument/2006/relationships" ref="B178" r:id="rId175"/>
    <hyperlink xmlns:r="http://schemas.openxmlformats.org/officeDocument/2006/relationships" ref="B179" r:id="rId176"/>
    <hyperlink xmlns:r="http://schemas.openxmlformats.org/officeDocument/2006/relationships" ref="B180" r:id="rId177"/>
    <hyperlink xmlns:r="http://schemas.openxmlformats.org/officeDocument/2006/relationships" ref="B181" r:id="rId178"/>
    <hyperlink xmlns:r="http://schemas.openxmlformats.org/officeDocument/2006/relationships" ref="B182" r:id="rId179"/>
    <hyperlink xmlns:r="http://schemas.openxmlformats.org/officeDocument/2006/relationships" ref="B183" r:id="rId180"/>
    <hyperlink xmlns:r="http://schemas.openxmlformats.org/officeDocument/2006/relationships" ref="B184" r:id="rId181"/>
    <hyperlink xmlns:r="http://schemas.openxmlformats.org/officeDocument/2006/relationships" ref="B185" r:id="rId182"/>
    <hyperlink xmlns:r="http://schemas.openxmlformats.org/officeDocument/2006/relationships" ref="B186" r:id="rId183"/>
    <hyperlink xmlns:r="http://schemas.openxmlformats.org/officeDocument/2006/relationships" ref="B187" r:id="rId184"/>
    <hyperlink xmlns:r="http://schemas.openxmlformats.org/officeDocument/2006/relationships" ref="B188" r:id="rId185"/>
    <hyperlink xmlns:r="http://schemas.openxmlformats.org/officeDocument/2006/relationships" ref="B189" r:id="rId186"/>
    <hyperlink xmlns:r="http://schemas.openxmlformats.org/officeDocument/2006/relationships" ref="B190" r:id="rId187"/>
    <hyperlink xmlns:r="http://schemas.openxmlformats.org/officeDocument/2006/relationships" ref="B191" r:id="rId188"/>
    <hyperlink xmlns:r="http://schemas.openxmlformats.org/officeDocument/2006/relationships" ref="B192" r:id="rId189"/>
    <hyperlink xmlns:r="http://schemas.openxmlformats.org/officeDocument/2006/relationships" ref="B193" r:id="rId190"/>
    <hyperlink xmlns:r="http://schemas.openxmlformats.org/officeDocument/2006/relationships" ref="B194" r:id="rId191"/>
    <hyperlink xmlns:r="http://schemas.openxmlformats.org/officeDocument/2006/relationships" ref="B195" r:id="rId192"/>
    <hyperlink xmlns:r="http://schemas.openxmlformats.org/officeDocument/2006/relationships" ref="B196" r:id="rId193"/>
    <hyperlink xmlns:r="http://schemas.openxmlformats.org/officeDocument/2006/relationships" ref="B197" r:id="rId194"/>
    <hyperlink xmlns:r="http://schemas.openxmlformats.org/officeDocument/2006/relationships" ref="B198" r:id="rId195"/>
    <hyperlink xmlns:r="http://schemas.openxmlformats.org/officeDocument/2006/relationships" ref="B199" r:id="rId196"/>
    <hyperlink xmlns:r="http://schemas.openxmlformats.org/officeDocument/2006/relationships" ref="B200" r:id="rId197"/>
    <hyperlink xmlns:r="http://schemas.openxmlformats.org/officeDocument/2006/relationships" ref="B201" r:id="rId198"/>
    <hyperlink xmlns:r="http://schemas.openxmlformats.org/officeDocument/2006/relationships" ref="B202" r:id="rId199"/>
    <hyperlink xmlns:r="http://schemas.openxmlformats.org/officeDocument/2006/relationships" ref="B203" r:id="rId200"/>
    <hyperlink xmlns:r="http://schemas.openxmlformats.org/officeDocument/2006/relationships" ref="B204" r:id="rId201"/>
    <hyperlink xmlns:r="http://schemas.openxmlformats.org/officeDocument/2006/relationships" ref="B205" r:id="rId202"/>
    <hyperlink xmlns:r="http://schemas.openxmlformats.org/officeDocument/2006/relationships" ref="B206" r:id="rId203"/>
    <hyperlink xmlns:r="http://schemas.openxmlformats.org/officeDocument/2006/relationships" ref="B207" r:id="rId204"/>
    <hyperlink xmlns:r="http://schemas.openxmlformats.org/officeDocument/2006/relationships" ref="B208" r:id="rId205"/>
    <hyperlink xmlns:r="http://schemas.openxmlformats.org/officeDocument/2006/relationships" ref="B209" r:id="rId206"/>
    <hyperlink xmlns:r="http://schemas.openxmlformats.org/officeDocument/2006/relationships" ref="B210" r:id="rId207"/>
    <hyperlink xmlns:r="http://schemas.openxmlformats.org/officeDocument/2006/relationships" ref="B211" r:id="rId208"/>
    <hyperlink xmlns:r="http://schemas.openxmlformats.org/officeDocument/2006/relationships" ref="B212" r:id="rId209"/>
    <hyperlink xmlns:r="http://schemas.openxmlformats.org/officeDocument/2006/relationships" ref="B213" r:id="rId210"/>
    <hyperlink xmlns:r="http://schemas.openxmlformats.org/officeDocument/2006/relationships" ref="B214" r:id="rId211"/>
    <hyperlink xmlns:r="http://schemas.openxmlformats.org/officeDocument/2006/relationships" ref="B215" r:id="rId212"/>
    <hyperlink xmlns:r="http://schemas.openxmlformats.org/officeDocument/2006/relationships" ref="B216" r:id="rId213"/>
    <hyperlink xmlns:r="http://schemas.openxmlformats.org/officeDocument/2006/relationships" ref="B217" r:id="rId214"/>
    <hyperlink xmlns:r="http://schemas.openxmlformats.org/officeDocument/2006/relationships" ref="B218" r:id="rId215"/>
    <hyperlink xmlns:r="http://schemas.openxmlformats.org/officeDocument/2006/relationships" ref="B219" r:id="rId216"/>
    <hyperlink xmlns:r="http://schemas.openxmlformats.org/officeDocument/2006/relationships" ref="B220" r:id="rId217"/>
    <hyperlink xmlns:r="http://schemas.openxmlformats.org/officeDocument/2006/relationships" ref="B221" r:id="rId218"/>
    <hyperlink xmlns:r="http://schemas.openxmlformats.org/officeDocument/2006/relationships" ref="B222" r:id="rId219"/>
    <hyperlink xmlns:r="http://schemas.openxmlformats.org/officeDocument/2006/relationships" ref="B223" r:id="rId220"/>
    <hyperlink xmlns:r="http://schemas.openxmlformats.org/officeDocument/2006/relationships" ref="B224" r:id="rId221"/>
    <hyperlink xmlns:r="http://schemas.openxmlformats.org/officeDocument/2006/relationships" ref="B225" r:id="rId222"/>
    <hyperlink xmlns:r="http://schemas.openxmlformats.org/officeDocument/2006/relationships" ref="B226" r:id="rId223"/>
    <hyperlink xmlns:r="http://schemas.openxmlformats.org/officeDocument/2006/relationships" ref="B227" r:id="rId224"/>
    <hyperlink xmlns:r="http://schemas.openxmlformats.org/officeDocument/2006/relationships" ref="B228" r:id="rId225"/>
    <hyperlink xmlns:r="http://schemas.openxmlformats.org/officeDocument/2006/relationships" ref="B229" r:id="rId226"/>
    <hyperlink xmlns:r="http://schemas.openxmlformats.org/officeDocument/2006/relationships" ref="B230" r:id="rId227"/>
    <hyperlink xmlns:r="http://schemas.openxmlformats.org/officeDocument/2006/relationships" ref="B231" r:id="rId228"/>
    <hyperlink xmlns:r="http://schemas.openxmlformats.org/officeDocument/2006/relationships" ref="B232" r:id="rId229"/>
    <hyperlink xmlns:r="http://schemas.openxmlformats.org/officeDocument/2006/relationships" ref="B233" r:id="rId230"/>
    <hyperlink xmlns:r="http://schemas.openxmlformats.org/officeDocument/2006/relationships" ref="B234" r:id="rId231"/>
    <hyperlink xmlns:r="http://schemas.openxmlformats.org/officeDocument/2006/relationships" ref="B235" r:id="rId232"/>
    <hyperlink xmlns:r="http://schemas.openxmlformats.org/officeDocument/2006/relationships" ref="B236" r:id="rId233"/>
    <hyperlink xmlns:r="http://schemas.openxmlformats.org/officeDocument/2006/relationships" ref="B237" r:id="rId234"/>
    <hyperlink xmlns:r="http://schemas.openxmlformats.org/officeDocument/2006/relationships" ref="B238" r:id="rId235"/>
    <hyperlink xmlns:r="http://schemas.openxmlformats.org/officeDocument/2006/relationships" ref="B239" r:id="rId236"/>
    <hyperlink xmlns:r="http://schemas.openxmlformats.org/officeDocument/2006/relationships" ref="B240" r:id="rId237"/>
    <hyperlink xmlns:r="http://schemas.openxmlformats.org/officeDocument/2006/relationships" ref="B241" r:id="rId238"/>
    <hyperlink xmlns:r="http://schemas.openxmlformats.org/officeDocument/2006/relationships" ref="B242" r:id="rId239"/>
    <hyperlink xmlns:r="http://schemas.openxmlformats.org/officeDocument/2006/relationships" ref="B243" r:id="rId240"/>
    <hyperlink xmlns:r="http://schemas.openxmlformats.org/officeDocument/2006/relationships" ref="B244" r:id="rId241"/>
    <hyperlink xmlns:r="http://schemas.openxmlformats.org/officeDocument/2006/relationships" ref="B245" r:id="rId242"/>
    <hyperlink xmlns:r="http://schemas.openxmlformats.org/officeDocument/2006/relationships" ref="B246" r:id="rId243"/>
    <hyperlink xmlns:r="http://schemas.openxmlformats.org/officeDocument/2006/relationships" ref="B247" r:id="rId244"/>
    <hyperlink xmlns:r="http://schemas.openxmlformats.org/officeDocument/2006/relationships" ref="B248" r:id="rId245"/>
    <hyperlink xmlns:r="http://schemas.openxmlformats.org/officeDocument/2006/relationships" ref="B249" r:id="rId246"/>
    <hyperlink xmlns:r="http://schemas.openxmlformats.org/officeDocument/2006/relationships" ref="B250" r:id="rId247"/>
    <hyperlink xmlns:r="http://schemas.openxmlformats.org/officeDocument/2006/relationships" ref="B251" r:id="rId248"/>
    <hyperlink xmlns:r="http://schemas.openxmlformats.org/officeDocument/2006/relationships" ref="B252" r:id="rId249"/>
    <hyperlink xmlns:r="http://schemas.openxmlformats.org/officeDocument/2006/relationships" ref="B253" r:id="rId250"/>
    <hyperlink xmlns:r="http://schemas.openxmlformats.org/officeDocument/2006/relationships" ref="B254" r:id="rId251"/>
    <hyperlink xmlns:r="http://schemas.openxmlformats.org/officeDocument/2006/relationships" ref="B255" r:id="rId252"/>
    <hyperlink xmlns:r="http://schemas.openxmlformats.org/officeDocument/2006/relationships" ref="B256" r:id="rId253"/>
    <hyperlink xmlns:r="http://schemas.openxmlformats.org/officeDocument/2006/relationships" ref="B257" r:id="rId254"/>
    <hyperlink xmlns:r="http://schemas.openxmlformats.org/officeDocument/2006/relationships" ref="B258" r:id="rId255"/>
    <hyperlink xmlns:r="http://schemas.openxmlformats.org/officeDocument/2006/relationships" ref="B259" r:id="rId256"/>
    <hyperlink xmlns:r="http://schemas.openxmlformats.org/officeDocument/2006/relationships" ref="B260" r:id="rId257"/>
    <hyperlink xmlns:r="http://schemas.openxmlformats.org/officeDocument/2006/relationships" ref="B261" r:id="rId258"/>
    <hyperlink xmlns:r="http://schemas.openxmlformats.org/officeDocument/2006/relationships" ref="B262" r:id="rId259"/>
    <hyperlink xmlns:r="http://schemas.openxmlformats.org/officeDocument/2006/relationships" ref="B263" r:id="rId260"/>
    <hyperlink xmlns:r="http://schemas.openxmlformats.org/officeDocument/2006/relationships" ref="B264" r:id="rId261"/>
    <hyperlink xmlns:r="http://schemas.openxmlformats.org/officeDocument/2006/relationships" ref="B265" r:id="rId262"/>
    <hyperlink xmlns:r="http://schemas.openxmlformats.org/officeDocument/2006/relationships" ref="B266" r:id="rId263"/>
    <hyperlink xmlns:r="http://schemas.openxmlformats.org/officeDocument/2006/relationships" ref="B267" r:id="rId264"/>
    <hyperlink xmlns:r="http://schemas.openxmlformats.org/officeDocument/2006/relationships" ref="B268" r:id="rId265"/>
    <hyperlink xmlns:r="http://schemas.openxmlformats.org/officeDocument/2006/relationships" ref="B269" r:id="rId266"/>
    <hyperlink xmlns:r="http://schemas.openxmlformats.org/officeDocument/2006/relationships" ref="B270" r:id="rId267"/>
    <hyperlink xmlns:r="http://schemas.openxmlformats.org/officeDocument/2006/relationships" ref="B271" r:id="rId268"/>
    <hyperlink xmlns:r="http://schemas.openxmlformats.org/officeDocument/2006/relationships" ref="B272" r:id="rId269"/>
    <hyperlink xmlns:r="http://schemas.openxmlformats.org/officeDocument/2006/relationships" ref="B273" r:id="rId270"/>
    <hyperlink xmlns:r="http://schemas.openxmlformats.org/officeDocument/2006/relationships" ref="B274" r:id="rId271"/>
    <hyperlink xmlns:r="http://schemas.openxmlformats.org/officeDocument/2006/relationships" ref="B275" r:id="rId272"/>
    <hyperlink xmlns:r="http://schemas.openxmlformats.org/officeDocument/2006/relationships" ref="B276" r:id="rId273"/>
    <hyperlink xmlns:r="http://schemas.openxmlformats.org/officeDocument/2006/relationships" ref="B277" r:id="rId274"/>
    <hyperlink xmlns:r="http://schemas.openxmlformats.org/officeDocument/2006/relationships" ref="B278" r:id="rId275"/>
    <hyperlink xmlns:r="http://schemas.openxmlformats.org/officeDocument/2006/relationships" ref="B279" r:id="rId276"/>
    <hyperlink xmlns:r="http://schemas.openxmlformats.org/officeDocument/2006/relationships" ref="B280" r:id="rId277"/>
    <hyperlink xmlns:r="http://schemas.openxmlformats.org/officeDocument/2006/relationships" ref="B281" r:id="rId278"/>
    <hyperlink xmlns:r="http://schemas.openxmlformats.org/officeDocument/2006/relationships" ref="B282" r:id="rId279"/>
    <hyperlink xmlns:r="http://schemas.openxmlformats.org/officeDocument/2006/relationships" ref="B283" r:id="rId280"/>
    <hyperlink xmlns:r="http://schemas.openxmlformats.org/officeDocument/2006/relationships" ref="B284" r:id="rId281"/>
    <hyperlink xmlns:r="http://schemas.openxmlformats.org/officeDocument/2006/relationships" ref="B285" r:id="rId282"/>
    <hyperlink xmlns:r="http://schemas.openxmlformats.org/officeDocument/2006/relationships" ref="B286" r:id="rId283"/>
    <hyperlink xmlns:r="http://schemas.openxmlformats.org/officeDocument/2006/relationships" ref="B287" r:id="rId284"/>
    <hyperlink xmlns:r="http://schemas.openxmlformats.org/officeDocument/2006/relationships" ref="B288" r:id="rId285"/>
    <hyperlink xmlns:r="http://schemas.openxmlformats.org/officeDocument/2006/relationships" ref="B289" r:id="rId286"/>
    <hyperlink xmlns:r="http://schemas.openxmlformats.org/officeDocument/2006/relationships" ref="B290" r:id="rId287"/>
    <hyperlink xmlns:r="http://schemas.openxmlformats.org/officeDocument/2006/relationships" ref="B291" r:id="rId288"/>
    <hyperlink xmlns:r="http://schemas.openxmlformats.org/officeDocument/2006/relationships" ref="B292" r:id="rId289"/>
    <hyperlink xmlns:r="http://schemas.openxmlformats.org/officeDocument/2006/relationships" ref="B293" r:id="rId290"/>
    <hyperlink xmlns:r="http://schemas.openxmlformats.org/officeDocument/2006/relationships" ref="B294" r:id="rId291"/>
    <hyperlink xmlns:r="http://schemas.openxmlformats.org/officeDocument/2006/relationships" ref="B295" r:id="rId292"/>
    <hyperlink xmlns:r="http://schemas.openxmlformats.org/officeDocument/2006/relationships" ref="B296" r:id="rId293"/>
    <hyperlink xmlns:r="http://schemas.openxmlformats.org/officeDocument/2006/relationships" ref="B297" r:id="rId294"/>
    <hyperlink xmlns:r="http://schemas.openxmlformats.org/officeDocument/2006/relationships" ref="B298" r:id="rId295"/>
    <hyperlink xmlns:r="http://schemas.openxmlformats.org/officeDocument/2006/relationships" ref="B299" r:id="rId296"/>
    <hyperlink xmlns:r="http://schemas.openxmlformats.org/officeDocument/2006/relationships" ref="B300" r:id="rId297"/>
    <hyperlink xmlns:r="http://schemas.openxmlformats.org/officeDocument/2006/relationships" ref="B301" r:id="rId298"/>
    <hyperlink xmlns:r="http://schemas.openxmlformats.org/officeDocument/2006/relationships" ref="B302" r:id="rId299"/>
    <hyperlink xmlns:r="http://schemas.openxmlformats.org/officeDocument/2006/relationships" ref="B303" r:id="rId300"/>
    <hyperlink xmlns:r="http://schemas.openxmlformats.org/officeDocument/2006/relationships" ref="B304" r:id="rId301"/>
    <hyperlink xmlns:r="http://schemas.openxmlformats.org/officeDocument/2006/relationships" ref="B305" r:id="rId302"/>
    <hyperlink xmlns:r="http://schemas.openxmlformats.org/officeDocument/2006/relationships" ref="B306" r:id="rId303"/>
    <hyperlink xmlns:r="http://schemas.openxmlformats.org/officeDocument/2006/relationships" ref="B307" r:id="rId304"/>
    <hyperlink xmlns:r="http://schemas.openxmlformats.org/officeDocument/2006/relationships" ref="B308" r:id="rId305"/>
    <hyperlink xmlns:r="http://schemas.openxmlformats.org/officeDocument/2006/relationships" ref="B309" r:id="rId306"/>
    <hyperlink xmlns:r="http://schemas.openxmlformats.org/officeDocument/2006/relationships" ref="B310" r:id="rId307"/>
    <hyperlink xmlns:r="http://schemas.openxmlformats.org/officeDocument/2006/relationships" ref="B311" r:id="rId308"/>
    <hyperlink xmlns:r="http://schemas.openxmlformats.org/officeDocument/2006/relationships" ref="B312" r:id="rId309"/>
    <hyperlink xmlns:r="http://schemas.openxmlformats.org/officeDocument/2006/relationships" ref="B313" r:id="rId310"/>
    <hyperlink xmlns:r="http://schemas.openxmlformats.org/officeDocument/2006/relationships" ref="B314" r:id="rId311"/>
    <hyperlink xmlns:r="http://schemas.openxmlformats.org/officeDocument/2006/relationships" ref="B315" r:id="rId312"/>
    <hyperlink xmlns:r="http://schemas.openxmlformats.org/officeDocument/2006/relationships" ref="B316" r:id="rId313"/>
    <hyperlink xmlns:r="http://schemas.openxmlformats.org/officeDocument/2006/relationships" ref="B317" r:id="rId314"/>
    <hyperlink xmlns:r="http://schemas.openxmlformats.org/officeDocument/2006/relationships" ref="B318" r:id="rId315"/>
    <hyperlink xmlns:r="http://schemas.openxmlformats.org/officeDocument/2006/relationships" ref="B319" r:id="rId316"/>
    <hyperlink xmlns:r="http://schemas.openxmlformats.org/officeDocument/2006/relationships" ref="B320" r:id="rId317"/>
    <hyperlink xmlns:r="http://schemas.openxmlformats.org/officeDocument/2006/relationships" ref="B321" r:id="rId318"/>
    <hyperlink xmlns:r="http://schemas.openxmlformats.org/officeDocument/2006/relationships" ref="B322" r:id="rId319"/>
    <hyperlink xmlns:r="http://schemas.openxmlformats.org/officeDocument/2006/relationships" ref="B323" r:id="rId320"/>
    <hyperlink xmlns:r="http://schemas.openxmlformats.org/officeDocument/2006/relationships" ref="B324" r:id="rId321"/>
    <hyperlink xmlns:r="http://schemas.openxmlformats.org/officeDocument/2006/relationships" ref="B325" r:id="rId322"/>
    <hyperlink xmlns:r="http://schemas.openxmlformats.org/officeDocument/2006/relationships" ref="B326" r:id="rId323"/>
    <hyperlink xmlns:r="http://schemas.openxmlformats.org/officeDocument/2006/relationships" ref="B327" r:id="rId324"/>
    <hyperlink xmlns:r="http://schemas.openxmlformats.org/officeDocument/2006/relationships" ref="B328" r:id="rId325"/>
    <hyperlink xmlns:r="http://schemas.openxmlformats.org/officeDocument/2006/relationships" ref="B329" r:id="rId326"/>
    <hyperlink xmlns:r="http://schemas.openxmlformats.org/officeDocument/2006/relationships" ref="B330" r:id="rId327"/>
    <hyperlink xmlns:r="http://schemas.openxmlformats.org/officeDocument/2006/relationships" ref="B331" r:id="rId328"/>
    <hyperlink xmlns:r="http://schemas.openxmlformats.org/officeDocument/2006/relationships" ref="B332" r:id="rId329"/>
    <hyperlink xmlns:r="http://schemas.openxmlformats.org/officeDocument/2006/relationships" ref="B333" r:id="rId330"/>
    <hyperlink xmlns:r="http://schemas.openxmlformats.org/officeDocument/2006/relationships" ref="B334" r:id="rId331"/>
    <hyperlink xmlns:r="http://schemas.openxmlformats.org/officeDocument/2006/relationships" ref="B335" r:id="rId332"/>
    <hyperlink xmlns:r="http://schemas.openxmlformats.org/officeDocument/2006/relationships" ref="B336" r:id="rId333"/>
    <hyperlink xmlns:r="http://schemas.openxmlformats.org/officeDocument/2006/relationships" ref="B337" r:id="rId334"/>
    <hyperlink xmlns:r="http://schemas.openxmlformats.org/officeDocument/2006/relationships" ref="B338" r:id="rId335"/>
    <hyperlink xmlns:r="http://schemas.openxmlformats.org/officeDocument/2006/relationships" ref="B339" r:id="rId336"/>
    <hyperlink xmlns:r="http://schemas.openxmlformats.org/officeDocument/2006/relationships" ref="B340" r:id="rId337"/>
    <hyperlink xmlns:r="http://schemas.openxmlformats.org/officeDocument/2006/relationships" ref="B341" r:id="rId338"/>
    <hyperlink xmlns:r="http://schemas.openxmlformats.org/officeDocument/2006/relationships" ref="B342" r:id="rId339"/>
    <hyperlink xmlns:r="http://schemas.openxmlformats.org/officeDocument/2006/relationships" ref="B343" r:id="rId340"/>
    <hyperlink xmlns:r="http://schemas.openxmlformats.org/officeDocument/2006/relationships" ref="B344" r:id="rId341"/>
    <hyperlink xmlns:r="http://schemas.openxmlformats.org/officeDocument/2006/relationships" ref="B345" r:id="rId342"/>
    <hyperlink xmlns:r="http://schemas.openxmlformats.org/officeDocument/2006/relationships" ref="B346" r:id="rId343"/>
    <hyperlink xmlns:r="http://schemas.openxmlformats.org/officeDocument/2006/relationships" ref="B347" r:id="rId344"/>
    <hyperlink xmlns:r="http://schemas.openxmlformats.org/officeDocument/2006/relationships" ref="B348" r:id="rId345"/>
    <hyperlink xmlns:r="http://schemas.openxmlformats.org/officeDocument/2006/relationships" ref="B349" r:id="rId346"/>
    <hyperlink xmlns:r="http://schemas.openxmlformats.org/officeDocument/2006/relationships" ref="B350" r:id="rId347"/>
    <hyperlink xmlns:r="http://schemas.openxmlformats.org/officeDocument/2006/relationships" ref="B351" r:id="rId348"/>
    <hyperlink xmlns:r="http://schemas.openxmlformats.org/officeDocument/2006/relationships" ref="B352" r:id="rId349"/>
    <hyperlink xmlns:r="http://schemas.openxmlformats.org/officeDocument/2006/relationships" ref="B353" r:id="rId350"/>
    <hyperlink xmlns:r="http://schemas.openxmlformats.org/officeDocument/2006/relationships" ref="B354" r:id="rId351"/>
    <hyperlink xmlns:r="http://schemas.openxmlformats.org/officeDocument/2006/relationships" ref="B355" r:id="rId352"/>
    <hyperlink xmlns:r="http://schemas.openxmlformats.org/officeDocument/2006/relationships" ref="B356" r:id="rId353"/>
    <hyperlink xmlns:r="http://schemas.openxmlformats.org/officeDocument/2006/relationships" ref="B357" r:id="rId354"/>
    <hyperlink xmlns:r="http://schemas.openxmlformats.org/officeDocument/2006/relationships" ref="B358" r:id="rId355"/>
    <hyperlink xmlns:r="http://schemas.openxmlformats.org/officeDocument/2006/relationships" ref="B359" r:id="rId356"/>
    <hyperlink xmlns:r="http://schemas.openxmlformats.org/officeDocument/2006/relationships" ref="B360" r:id="rId357"/>
    <hyperlink xmlns:r="http://schemas.openxmlformats.org/officeDocument/2006/relationships" ref="B361" r:id="rId358"/>
    <hyperlink xmlns:r="http://schemas.openxmlformats.org/officeDocument/2006/relationships" ref="B362" r:id="rId359"/>
    <hyperlink xmlns:r="http://schemas.openxmlformats.org/officeDocument/2006/relationships" ref="B363" r:id="rId360"/>
    <hyperlink xmlns:r="http://schemas.openxmlformats.org/officeDocument/2006/relationships" ref="B364" r:id="rId361"/>
    <hyperlink xmlns:r="http://schemas.openxmlformats.org/officeDocument/2006/relationships" ref="B365" r:id="rId362"/>
    <hyperlink xmlns:r="http://schemas.openxmlformats.org/officeDocument/2006/relationships" ref="B366" r:id="rId363"/>
    <hyperlink xmlns:r="http://schemas.openxmlformats.org/officeDocument/2006/relationships" ref="B367" r:id="rId364"/>
    <hyperlink xmlns:r="http://schemas.openxmlformats.org/officeDocument/2006/relationships" ref="B368" r:id="rId365"/>
    <hyperlink xmlns:r="http://schemas.openxmlformats.org/officeDocument/2006/relationships" ref="B369" r:id="rId366"/>
    <hyperlink xmlns:r="http://schemas.openxmlformats.org/officeDocument/2006/relationships" ref="B370" r:id="rId367"/>
    <hyperlink xmlns:r="http://schemas.openxmlformats.org/officeDocument/2006/relationships" ref="B371" r:id="rId368"/>
    <hyperlink xmlns:r="http://schemas.openxmlformats.org/officeDocument/2006/relationships" ref="B372" r:id="rId369"/>
    <hyperlink xmlns:r="http://schemas.openxmlformats.org/officeDocument/2006/relationships" ref="B373" r:id="rId370"/>
    <hyperlink xmlns:r="http://schemas.openxmlformats.org/officeDocument/2006/relationships" ref="B374" r:id="rId371"/>
    <hyperlink xmlns:r="http://schemas.openxmlformats.org/officeDocument/2006/relationships" ref="B375" r:id="rId372"/>
    <hyperlink xmlns:r="http://schemas.openxmlformats.org/officeDocument/2006/relationships" ref="B376" r:id="rId373"/>
    <hyperlink xmlns:r="http://schemas.openxmlformats.org/officeDocument/2006/relationships" ref="B377" r:id="rId374"/>
    <hyperlink xmlns:r="http://schemas.openxmlformats.org/officeDocument/2006/relationships" ref="B378" r:id="rId375"/>
    <hyperlink xmlns:r="http://schemas.openxmlformats.org/officeDocument/2006/relationships" ref="B379" r:id="rId376"/>
    <hyperlink xmlns:r="http://schemas.openxmlformats.org/officeDocument/2006/relationships" ref="B380" r:id="rId377"/>
    <hyperlink xmlns:r="http://schemas.openxmlformats.org/officeDocument/2006/relationships" ref="B381" r:id="rId378"/>
    <hyperlink xmlns:r="http://schemas.openxmlformats.org/officeDocument/2006/relationships" ref="B382" r:id="rId379"/>
    <hyperlink xmlns:r="http://schemas.openxmlformats.org/officeDocument/2006/relationships" ref="B383" r:id="rId380"/>
    <hyperlink xmlns:r="http://schemas.openxmlformats.org/officeDocument/2006/relationships" ref="B384" r:id="rId381"/>
    <hyperlink xmlns:r="http://schemas.openxmlformats.org/officeDocument/2006/relationships" ref="B385" r:id="rId382"/>
    <hyperlink xmlns:r="http://schemas.openxmlformats.org/officeDocument/2006/relationships" ref="B386" r:id="rId383"/>
    <hyperlink xmlns:r="http://schemas.openxmlformats.org/officeDocument/2006/relationships" ref="B387" r:id="rId384"/>
    <hyperlink xmlns:r="http://schemas.openxmlformats.org/officeDocument/2006/relationships" ref="B388" r:id="rId385"/>
    <hyperlink xmlns:r="http://schemas.openxmlformats.org/officeDocument/2006/relationships" ref="B389" r:id="rId386"/>
    <hyperlink xmlns:r="http://schemas.openxmlformats.org/officeDocument/2006/relationships" ref="B390" r:id="rId387"/>
    <hyperlink xmlns:r="http://schemas.openxmlformats.org/officeDocument/2006/relationships" ref="B391" r:id="rId388"/>
    <hyperlink xmlns:r="http://schemas.openxmlformats.org/officeDocument/2006/relationships" ref="B392" r:id="rId389"/>
    <hyperlink xmlns:r="http://schemas.openxmlformats.org/officeDocument/2006/relationships" ref="B393" r:id="rId390"/>
    <hyperlink xmlns:r="http://schemas.openxmlformats.org/officeDocument/2006/relationships" ref="B394" r:id="rId391"/>
    <hyperlink xmlns:r="http://schemas.openxmlformats.org/officeDocument/2006/relationships" ref="B395" r:id="rId392"/>
    <hyperlink xmlns:r="http://schemas.openxmlformats.org/officeDocument/2006/relationships" ref="B396" r:id="rId393"/>
    <hyperlink xmlns:r="http://schemas.openxmlformats.org/officeDocument/2006/relationships" ref="B397" r:id="rId394"/>
    <hyperlink xmlns:r="http://schemas.openxmlformats.org/officeDocument/2006/relationships" ref="B398" r:id="rId395"/>
    <hyperlink xmlns:r="http://schemas.openxmlformats.org/officeDocument/2006/relationships" ref="B399" r:id="rId396"/>
    <hyperlink xmlns:r="http://schemas.openxmlformats.org/officeDocument/2006/relationships" ref="B400" r:id="rId397"/>
    <hyperlink xmlns:r="http://schemas.openxmlformats.org/officeDocument/2006/relationships" ref="B401" r:id="rId398"/>
    <hyperlink xmlns:r="http://schemas.openxmlformats.org/officeDocument/2006/relationships" ref="B402" r:id="rId399"/>
    <hyperlink xmlns:r="http://schemas.openxmlformats.org/officeDocument/2006/relationships" ref="B403" r:id="rId400"/>
    <hyperlink xmlns:r="http://schemas.openxmlformats.org/officeDocument/2006/relationships" ref="B404" r:id="rId401"/>
    <hyperlink xmlns:r="http://schemas.openxmlformats.org/officeDocument/2006/relationships" ref="B405" r:id="rId402"/>
    <hyperlink xmlns:r="http://schemas.openxmlformats.org/officeDocument/2006/relationships" ref="B406" r:id="rId403"/>
    <hyperlink xmlns:r="http://schemas.openxmlformats.org/officeDocument/2006/relationships" ref="B407" r:id="rId404"/>
    <hyperlink xmlns:r="http://schemas.openxmlformats.org/officeDocument/2006/relationships" ref="B408" r:id="rId405"/>
    <hyperlink xmlns:r="http://schemas.openxmlformats.org/officeDocument/2006/relationships" ref="B409" r:id="rId406"/>
    <hyperlink xmlns:r="http://schemas.openxmlformats.org/officeDocument/2006/relationships" ref="B410" r:id="rId407"/>
    <hyperlink xmlns:r="http://schemas.openxmlformats.org/officeDocument/2006/relationships" ref="B411" r:id="rId408"/>
    <hyperlink xmlns:r="http://schemas.openxmlformats.org/officeDocument/2006/relationships" ref="B412" r:id="rId409"/>
    <hyperlink xmlns:r="http://schemas.openxmlformats.org/officeDocument/2006/relationships" ref="B413" r:id="rId410"/>
    <hyperlink xmlns:r="http://schemas.openxmlformats.org/officeDocument/2006/relationships" ref="B414" r:id="rId411"/>
    <hyperlink xmlns:r="http://schemas.openxmlformats.org/officeDocument/2006/relationships" ref="B415" r:id="rId412"/>
    <hyperlink xmlns:r="http://schemas.openxmlformats.org/officeDocument/2006/relationships" ref="B416" r:id="rId413"/>
    <hyperlink xmlns:r="http://schemas.openxmlformats.org/officeDocument/2006/relationships" ref="B417" r:id="rId414"/>
    <hyperlink xmlns:r="http://schemas.openxmlformats.org/officeDocument/2006/relationships" ref="B418" r:id="rId415"/>
    <hyperlink xmlns:r="http://schemas.openxmlformats.org/officeDocument/2006/relationships" ref="B419" r:id="rId416"/>
    <hyperlink xmlns:r="http://schemas.openxmlformats.org/officeDocument/2006/relationships" ref="B420" r:id="rId417"/>
    <hyperlink xmlns:r="http://schemas.openxmlformats.org/officeDocument/2006/relationships" ref="B421" r:id="rId418"/>
    <hyperlink xmlns:r="http://schemas.openxmlformats.org/officeDocument/2006/relationships" ref="B422" r:id="rId419"/>
    <hyperlink xmlns:r="http://schemas.openxmlformats.org/officeDocument/2006/relationships" ref="B423" r:id="rId420"/>
    <hyperlink xmlns:r="http://schemas.openxmlformats.org/officeDocument/2006/relationships" ref="B424" r:id="rId421"/>
    <hyperlink xmlns:r="http://schemas.openxmlformats.org/officeDocument/2006/relationships" ref="B425" r:id="rId422"/>
    <hyperlink xmlns:r="http://schemas.openxmlformats.org/officeDocument/2006/relationships" ref="B426" r:id="rId423"/>
    <hyperlink xmlns:r="http://schemas.openxmlformats.org/officeDocument/2006/relationships" ref="B427" r:id="rId424"/>
    <hyperlink xmlns:r="http://schemas.openxmlformats.org/officeDocument/2006/relationships" ref="B428" r:id="rId425"/>
    <hyperlink xmlns:r="http://schemas.openxmlformats.org/officeDocument/2006/relationships" ref="B429" r:id="rId426"/>
    <hyperlink xmlns:r="http://schemas.openxmlformats.org/officeDocument/2006/relationships" ref="B430" r:id="rId427"/>
    <hyperlink xmlns:r="http://schemas.openxmlformats.org/officeDocument/2006/relationships" ref="B431" r:id="rId428"/>
    <hyperlink xmlns:r="http://schemas.openxmlformats.org/officeDocument/2006/relationships" ref="B432" r:id="rId429"/>
    <hyperlink xmlns:r="http://schemas.openxmlformats.org/officeDocument/2006/relationships" ref="B433" r:id="rId430"/>
    <hyperlink xmlns:r="http://schemas.openxmlformats.org/officeDocument/2006/relationships" ref="B434" r:id="rId431"/>
    <hyperlink xmlns:r="http://schemas.openxmlformats.org/officeDocument/2006/relationships" ref="B435" r:id="rId432"/>
    <hyperlink xmlns:r="http://schemas.openxmlformats.org/officeDocument/2006/relationships" ref="B436" r:id="rId433"/>
    <hyperlink xmlns:r="http://schemas.openxmlformats.org/officeDocument/2006/relationships" ref="B437" r:id="rId434"/>
    <hyperlink xmlns:r="http://schemas.openxmlformats.org/officeDocument/2006/relationships" ref="B438" r:id="rId435"/>
    <hyperlink xmlns:r="http://schemas.openxmlformats.org/officeDocument/2006/relationships" ref="B439" r:id="rId436"/>
    <hyperlink xmlns:r="http://schemas.openxmlformats.org/officeDocument/2006/relationships" ref="B440" r:id="rId437"/>
    <hyperlink xmlns:r="http://schemas.openxmlformats.org/officeDocument/2006/relationships" ref="B441" r:id="rId438"/>
    <hyperlink xmlns:r="http://schemas.openxmlformats.org/officeDocument/2006/relationships" ref="B442" r:id="rId439"/>
    <hyperlink xmlns:r="http://schemas.openxmlformats.org/officeDocument/2006/relationships" ref="B443" r:id="rId440"/>
    <hyperlink xmlns:r="http://schemas.openxmlformats.org/officeDocument/2006/relationships" ref="B444" r:id="rId441"/>
    <hyperlink xmlns:r="http://schemas.openxmlformats.org/officeDocument/2006/relationships" ref="B445" r:id="rId442"/>
    <hyperlink xmlns:r="http://schemas.openxmlformats.org/officeDocument/2006/relationships" ref="B446" r:id="rId443"/>
    <hyperlink xmlns:r="http://schemas.openxmlformats.org/officeDocument/2006/relationships" ref="B447" r:id="rId444"/>
    <hyperlink xmlns:r="http://schemas.openxmlformats.org/officeDocument/2006/relationships" ref="B448" r:id="rId445"/>
    <hyperlink xmlns:r="http://schemas.openxmlformats.org/officeDocument/2006/relationships" ref="B449" r:id="rId446"/>
    <hyperlink xmlns:r="http://schemas.openxmlformats.org/officeDocument/2006/relationships" ref="B450" r:id="rId447"/>
    <hyperlink xmlns:r="http://schemas.openxmlformats.org/officeDocument/2006/relationships" ref="B451" r:id="rId448"/>
    <hyperlink xmlns:r="http://schemas.openxmlformats.org/officeDocument/2006/relationships" ref="B452" r:id="rId449"/>
    <hyperlink xmlns:r="http://schemas.openxmlformats.org/officeDocument/2006/relationships" ref="B453" r:id="rId450"/>
    <hyperlink xmlns:r="http://schemas.openxmlformats.org/officeDocument/2006/relationships" ref="B454" r:id="rId451"/>
    <hyperlink xmlns:r="http://schemas.openxmlformats.org/officeDocument/2006/relationships" ref="B455" r:id="rId452"/>
    <hyperlink xmlns:r="http://schemas.openxmlformats.org/officeDocument/2006/relationships" ref="B456" r:id="rId453"/>
    <hyperlink xmlns:r="http://schemas.openxmlformats.org/officeDocument/2006/relationships" ref="B457" r:id="rId454"/>
    <hyperlink xmlns:r="http://schemas.openxmlformats.org/officeDocument/2006/relationships" ref="B458" r:id="rId455"/>
    <hyperlink xmlns:r="http://schemas.openxmlformats.org/officeDocument/2006/relationships" ref="B459" r:id="rId456"/>
    <hyperlink xmlns:r="http://schemas.openxmlformats.org/officeDocument/2006/relationships" ref="B460" r:id="rId457"/>
    <hyperlink xmlns:r="http://schemas.openxmlformats.org/officeDocument/2006/relationships" ref="B461" r:id="rId458"/>
    <hyperlink xmlns:r="http://schemas.openxmlformats.org/officeDocument/2006/relationships" ref="B462" r:id="rId459"/>
    <hyperlink xmlns:r="http://schemas.openxmlformats.org/officeDocument/2006/relationships" ref="B463" r:id="rId460"/>
    <hyperlink xmlns:r="http://schemas.openxmlformats.org/officeDocument/2006/relationships" ref="B464" r:id="rId461"/>
    <hyperlink xmlns:r="http://schemas.openxmlformats.org/officeDocument/2006/relationships" ref="B465" r:id="rId462"/>
    <hyperlink xmlns:r="http://schemas.openxmlformats.org/officeDocument/2006/relationships" ref="B466" r:id="rId463"/>
    <hyperlink xmlns:r="http://schemas.openxmlformats.org/officeDocument/2006/relationships" ref="B467" r:id="rId464"/>
    <hyperlink xmlns:r="http://schemas.openxmlformats.org/officeDocument/2006/relationships" ref="B468" r:id="rId465"/>
    <hyperlink xmlns:r="http://schemas.openxmlformats.org/officeDocument/2006/relationships" ref="B469" r:id="rId466"/>
    <hyperlink xmlns:r="http://schemas.openxmlformats.org/officeDocument/2006/relationships" ref="B470" r:id="rId467"/>
    <hyperlink xmlns:r="http://schemas.openxmlformats.org/officeDocument/2006/relationships" ref="B471" r:id="rId468"/>
    <hyperlink xmlns:r="http://schemas.openxmlformats.org/officeDocument/2006/relationships" ref="B472" r:id="rId469"/>
    <hyperlink xmlns:r="http://schemas.openxmlformats.org/officeDocument/2006/relationships" ref="B473" r:id="rId470"/>
    <hyperlink xmlns:r="http://schemas.openxmlformats.org/officeDocument/2006/relationships" ref="B474" r:id="rId471"/>
    <hyperlink xmlns:r="http://schemas.openxmlformats.org/officeDocument/2006/relationships" ref="B475" r:id="rId472"/>
    <hyperlink xmlns:r="http://schemas.openxmlformats.org/officeDocument/2006/relationships" ref="B476" r:id="rId473"/>
    <hyperlink xmlns:r="http://schemas.openxmlformats.org/officeDocument/2006/relationships" ref="B477" r:id="rId474"/>
    <hyperlink xmlns:r="http://schemas.openxmlformats.org/officeDocument/2006/relationships" ref="B478" r:id="rId475"/>
    <hyperlink xmlns:r="http://schemas.openxmlformats.org/officeDocument/2006/relationships" ref="B479" r:id="rId47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2026-10-13T04:18:03Z</dcterms:created>
  <dcterms:modified xmlns:dcterms="http://purl.org/dc/terms/" xmlns:xsi="http://www.w3.org/2001/XMLSchema-instance" xsi:type="dcterms:W3CDTF">2026-10-13T04:18:04Z</dcterms:modified>
</cp:coreProperties>
</file>