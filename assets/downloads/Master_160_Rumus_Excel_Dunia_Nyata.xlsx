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FTAR_ISI" sheetId="1" state="visible" r:id="rId1"/>
    <sheet xmlns:r="http://schemas.openxmlformats.org/officeDocument/2006/relationships" name="SUM" sheetId="2" state="visible" r:id="rId2"/>
    <sheet xmlns:r="http://schemas.openxmlformats.org/officeDocument/2006/relationships" name="SUMIF" sheetId="3" state="visible" r:id="rId3"/>
    <sheet xmlns:r="http://schemas.openxmlformats.org/officeDocument/2006/relationships" name="SUMIFS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SUMPRODUCT" sheetId="6" state="visible" r:id="rId6"/>
    <sheet xmlns:r="http://schemas.openxmlformats.org/officeDocument/2006/relationships" name="ROUND" sheetId="7" state="visible" r:id="rId7"/>
    <sheet xmlns:r="http://schemas.openxmlformats.org/officeDocument/2006/relationships" name="ROUNDUP" sheetId="8" state="visible" r:id="rId8"/>
    <sheet xmlns:r="http://schemas.openxmlformats.org/officeDocument/2006/relationships" name="ROUNDDOWN" sheetId="9" state="visible" r:id="rId9"/>
    <sheet xmlns:r="http://schemas.openxmlformats.org/officeDocument/2006/relationships" name="MROUND" sheetId="10" state="visible" r:id="rId10"/>
    <sheet xmlns:r="http://schemas.openxmlformats.org/officeDocument/2006/relationships" name="CEILING" sheetId="11" state="visible" r:id="rId11"/>
    <sheet xmlns:r="http://schemas.openxmlformats.org/officeDocument/2006/relationships" name="FLOOR" sheetId="12" state="visible" r:id="rId12"/>
    <sheet xmlns:r="http://schemas.openxmlformats.org/officeDocument/2006/relationships" name="INT" sheetId="13" state="visible" r:id="rId13"/>
    <sheet xmlns:r="http://schemas.openxmlformats.org/officeDocument/2006/relationships" name="TRUNC" sheetId="14" state="visible" r:id="rId14"/>
    <sheet xmlns:r="http://schemas.openxmlformats.org/officeDocument/2006/relationships" name="MOD" sheetId="15" state="visible" r:id="rId15"/>
    <sheet xmlns:r="http://schemas.openxmlformats.org/officeDocument/2006/relationships" name="QUOTIENT" sheetId="16" state="visible" r:id="rId16"/>
    <sheet xmlns:r="http://schemas.openxmlformats.org/officeDocument/2006/relationships" name="ABS" sheetId="17" state="visible" r:id="rId17"/>
    <sheet xmlns:r="http://schemas.openxmlformats.org/officeDocument/2006/relationships" name="POWER" sheetId="18" state="visible" r:id="rId18"/>
    <sheet xmlns:r="http://schemas.openxmlformats.org/officeDocument/2006/relationships" name="SQRT" sheetId="19" state="visible" r:id="rId19"/>
    <sheet xmlns:r="http://schemas.openxmlformats.org/officeDocument/2006/relationships" name="SUBTOTAL" sheetId="20" state="visible" r:id="rId20"/>
    <sheet xmlns:r="http://schemas.openxmlformats.org/officeDocument/2006/relationships" name="AGGREGATE" sheetId="21" state="visible" r:id="rId21"/>
    <sheet xmlns:r="http://schemas.openxmlformats.org/officeDocument/2006/relationships" name="RANDBETWEEN" sheetId="22" state="visible" r:id="rId22"/>
    <sheet xmlns:r="http://schemas.openxmlformats.org/officeDocument/2006/relationships" name="SIGN" sheetId="23" state="visible" r:id="rId23"/>
    <sheet xmlns:r="http://schemas.openxmlformats.org/officeDocument/2006/relationships" name="ROMAN" sheetId="24" state="visible" r:id="rId24"/>
    <sheet xmlns:r="http://schemas.openxmlformats.org/officeDocument/2006/relationships" name="ARABIC" sheetId="25" state="visible" r:id="rId25"/>
    <sheet xmlns:r="http://schemas.openxmlformats.org/officeDocument/2006/relationships" name="FACT" sheetId="26" state="visible" r:id="rId26"/>
    <sheet xmlns:r="http://schemas.openxmlformats.org/officeDocument/2006/relationships" name="GCD" sheetId="27" state="visible" r:id="rId27"/>
    <sheet xmlns:r="http://schemas.openxmlformats.org/officeDocument/2006/relationships" name="LCM" sheetId="28" state="visible" r:id="rId28"/>
    <sheet xmlns:r="http://schemas.openxmlformats.org/officeDocument/2006/relationships" name="COMBIN" sheetId="29" state="visible" r:id="rId29"/>
    <sheet xmlns:r="http://schemas.openxmlformats.org/officeDocument/2006/relationships" name="IF" sheetId="30" state="visible" r:id="rId30"/>
    <sheet xmlns:r="http://schemas.openxmlformats.org/officeDocument/2006/relationships" name="IFS" sheetId="31" state="visible" r:id="rId31"/>
    <sheet xmlns:r="http://schemas.openxmlformats.org/officeDocument/2006/relationships" name="AND" sheetId="32" state="visible" r:id="rId32"/>
    <sheet xmlns:r="http://schemas.openxmlformats.org/officeDocument/2006/relationships" name="OR" sheetId="33" state="visible" r:id="rId33"/>
    <sheet xmlns:r="http://schemas.openxmlformats.org/officeDocument/2006/relationships" name="NOT" sheetId="34" state="visible" r:id="rId34"/>
    <sheet xmlns:r="http://schemas.openxmlformats.org/officeDocument/2006/relationships" name="XOR" sheetId="35" state="visible" r:id="rId35"/>
    <sheet xmlns:r="http://schemas.openxmlformats.org/officeDocument/2006/relationships" name="IFERROR" sheetId="36" state="visible" r:id="rId36"/>
    <sheet xmlns:r="http://schemas.openxmlformats.org/officeDocument/2006/relationships" name="IFNA" sheetId="37" state="visible" r:id="rId37"/>
    <sheet xmlns:r="http://schemas.openxmlformats.org/officeDocument/2006/relationships" name="TRUE" sheetId="38" state="visible" r:id="rId38"/>
    <sheet xmlns:r="http://schemas.openxmlformats.org/officeDocument/2006/relationships" name="FALSE" sheetId="39" state="visible" r:id="rId39"/>
    <sheet xmlns:r="http://schemas.openxmlformats.org/officeDocument/2006/relationships" name="VLOOKUP" sheetId="40" state="visible" r:id="rId40"/>
    <sheet xmlns:r="http://schemas.openxmlformats.org/officeDocument/2006/relationships" name="HLOOKUP" sheetId="41" state="visible" r:id="rId41"/>
    <sheet xmlns:r="http://schemas.openxmlformats.org/officeDocument/2006/relationships" name="INDEX" sheetId="42" state="visible" r:id="rId42"/>
    <sheet xmlns:r="http://schemas.openxmlformats.org/officeDocument/2006/relationships" name="MATCH" sheetId="43" state="visible" r:id="rId43"/>
    <sheet xmlns:r="http://schemas.openxmlformats.org/officeDocument/2006/relationships" name="CHOOSE" sheetId="44" state="visible" r:id="rId44"/>
    <sheet xmlns:r="http://schemas.openxmlformats.org/officeDocument/2006/relationships" name="ROW" sheetId="45" state="visible" r:id="rId45"/>
    <sheet xmlns:r="http://schemas.openxmlformats.org/officeDocument/2006/relationships" name="ROWS" sheetId="46" state="visible" r:id="rId46"/>
    <sheet xmlns:r="http://schemas.openxmlformats.org/officeDocument/2006/relationships" name="COLUMN" sheetId="47" state="visible" r:id="rId47"/>
    <sheet xmlns:r="http://schemas.openxmlformats.org/officeDocument/2006/relationships" name="COLUMNS" sheetId="48" state="visible" r:id="rId48"/>
    <sheet xmlns:r="http://schemas.openxmlformats.org/officeDocument/2006/relationships" name="ADDRESS" sheetId="49" state="visible" r:id="rId49"/>
    <sheet xmlns:r="http://schemas.openxmlformats.org/officeDocument/2006/relationships" name="OFFSET" sheetId="50" state="visible" r:id="rId50"/>
    <sheet xmlns:r="http://schemas.openxmlformats.org/officeDocument/2006/relationships" name="INDIRECT" sheetId="51" state="visible" r:id="rId51"/>
    <sheet xmlns:r="http://schemas.openxmlformats.org/officeDocument/2006/relationships" name="LEFT" sheetId="52" state="visible" r:id="rId52"/>
    <sheet xmlns:r="http://schemas.openxmlformats.org/officeDocument/2006/relationships" name="RIGHT" sheetId="53" state="visible" r:id="rId53"/>
    <sheet xmlns:r="http://schemas.openxmlformats.org/officeDocument/2006/relationships" name="MID" sheetId="54" state="visible" r:id="rId54"/>
    <sheet xmlns:r="http://schemas.openxmlformats.org/officeDocument/2006/relationships" name="LEN" sheetId="55" state="visible" r:id="rId55"/>
    <sheet xmlns:r="http://schemas.openxmlformats.org/officeDocument/2006/relationships" name="TRIM" sheetId="56" state="visible" r:id="rId56"/>
    <sheet xmlns:r="http://schemas.openxmlformats.org/officeDocument/2006/relationships" name="CLEAN" sheetId="57" state="visible" r:id="rId57"/>
    <sheet xmlns:r="http://schemas.openxmlformats.org/officeDocument/2006/relationships" name="UPPER" sheetId="58" state="visible" r:id="rId58"/>
    <sheet xmlns:r="http://schemas.openxmlformats.org/officeDocument/2006/relationships" name="LOWER" sheetId="59" state="visible" r:id="rId59"/>
    <sheet xmlns:r="http://schemas.openxmlformats.org/officeDocument/2006/relationships" name="PROPER" sheetId="60" state="visible" r:id="rId60"/>
    <sheet xmlns:r="http://schemas.openxmlformats.org/officeDocument/2006/relationships" name="CONCATENATE" sheetId="61" state="visible" r:id="rId61"/>
    <sheet xmlns:r="http://schemas.openxmlformats.org/officeDocument/2006/relationships" name="EXACT" sheetId="62" state="visible" r:id="rId62"/>
    <sheet xmlns:r="http://schemas.openxmlformats.org/officeDocument/2006/relationships" name="FIND" sheetId="63" state="visible" r:id="rId63"/>
    <sheet xmlns:r="http://schemas.openxmlformats.org/officeDocument/2006/relationships" name="SEARCH" sheetId="64" state="visible" r:id="rId64"/>
    <sheet xmlns:r="http://schemas.openxmlformats.org/officeDocument/2006/relationships" name="SUBSTITUTE" sheetId="65" state="visible" r:id="rId65"/>
    <sheet xmlns:r="http://schemas.openxmlformats.org/officeDocument/2006/relationships" name="REPLACE" sheetId="66" state="visible" r:id="rId66"/>
    <sheet xmlns:r="http://schemas.openxmlformats.org/officeDocument/2006/relationships" name="REPT" sheetId="67" state="visible" r:id="rId67"/>
    <sheet xmlns:r="http://schemas.openxmlformats.org/officeDocument/2006/relationships" name="VALUE" sheetId="68" state="visible" r:id="rId68"/>
    <sheet xmlns:r="http://schemas.openxmlformats.org/officeDocument/2006/relationships" name="TEXT" sheetId="69" state="visible" r:id="rId69"/>
    <sheet xmlns:r="http://schemas.openxmlformats.org/officeDocument/2006/relationships" name="DATE" sheetId="70" state="visible" r:id="rId70"/>
    <sheet xmlns:r="http://schemas.openxmlformats.org/officeDocument/2006/relationships" name="YEAR" sheetId="71" state="visible" r:id="rId71"/>
    <sheet xmlns:r="http://schemas.openxmlformats.org/officeDocument/2006/relationships" name="MONTH" sheetId="72" state="visible" r:id="rId72"/>
    <sheet xmlns:r="http://schemas.openxmlformats.org/officeDocument/2006/relationships" name="DAY" sheetId="73" state="visible" r:id="rId73"/>
    <sheet xmlns:r="http://schemas.openxmlformats.org/officeDocument/2006/relationships" name="DAYS" sheetId="74" state="visible" r:id="rId74"/>
    <sheet xmlns:r="http://schemas.openxmlformats.org/officeDocument/2006/relationships" name="DATEDIF" sheetId="75" state="visible" r:id="rId75"/>
    <sheet xmlns:r="http://schemas.openxmlformats.org/officeDocument/2006/relationships" name="EDATE" sheetId="76" state="visible" r:id="rId76"/>
    <sheet xmlns:r="http://schemas.openxmlformats.org/officeDocument/2006/relationships" name="EOMONTH" sheetId="77" state="visible" r:id="rId77"/>
    <sheet xmlns:r="http://schemas.openxmlformats.org/officeDocument/2006/relationships" name="NETWORKDAYS" sheetId="78" state="visible" r:id="rId78"/>
    <sheet xmlns:r="http://schemas.openxmlformats.org/officeDocument/2006/relationships" name="WORKDAY" sheetId="79" state="visible" r:id="rId79"/>
    <sheet xmlns:r="http://schemas.openxmlformats.org/officeDocument/2006/relationships" name="WEEKDAY" sheetId="80" state="visible" r:id="rId80"/>
    <sheet xmlns:r="http://schemas.openxmlformats.org/officeDocument/2006/relationships" name="WEEKNUM" sheetId="81" state="visible" r:id="rId81"/>
    <sheet xmlns:r="http://schemas.openxmlformats.org/officeDocument/2006/relationships" name="HOUR" sheetId="82" state="visible" r:id="rId82"/>
    <sheet xmlns:r="http://schemas.openxmlformats.org/officeDocument/2006/relationships" name="MINUTE" sheetId="83" state="visible" r:id="rId83"/>
    <sheet xmlns:r="http://schemas.openxmlformats.org/officeDocument/2006/relationships" name="SECOND" sheetId="84" state="visible" r:id="rId84"/>
    <sheet xmlns:r="http://schemas.openxmlformats.org/officeDocument/2006/relationships" name="PMT" sheetId="85" state="visible" r:id="rId85"/>
    <sheet xmlns:r="http://schemas.openxmlformats.org/officeDocument/2006/relationships" name="IPMT" sheetId="86" state="visible" r:id="rId86"/>
    <sheet xmlns:r="http://schemas.openxmlformats.org/officeDocument/2006/relationships" name="PPMT" sheetId="87" state="visible" r:id="rId87"/>
    <sheet xmlns:r="http://schemas.openxmlformats.org/officeDocument/2006/relationships" name="FV" sheetId="88" state="visible" r:id="rId88"/>
    <sheet xmlns:r="http://schemas.openxmlformats.org/officeDocument/2006/relationships" name="PV" sheetId="89" state="visible" r:id="rId89"/>
    <sheet xmlns:r="http://schemas.openxmlformats.org/officeDocument/2006/relationships" name="NPV" sheetId="90" state="visible" r:id="rId90"/>
    <sheet xmlns:r="http://schemas.openxmlformats.org/officeDocument/2006/relationships" name="SLN" sheetId="91" state="visible" r:id="rId91"/>
    <sheet xmlns:r="http://schemas.openxmlformats.org/officeDocument/2006/relationships" name="SYD" sheetId="92" state="visible" r:id="rId92"/>
    <sheet xmlns:r="http://schemas.openxmlformats.org/officeDocument/2006/relationships" name="DB" sheetId="93" state="visible" r:id="rId93"/>
    <sheet xmlns:r="http://schemas.openxmlformats.org/officeDocument/2006/relationships" name="EFFECT" sheetId="94" state="visible" r:id="rId94"/>
    <sheet xmlns:r="http://schemas.openxmlformats.org/officeDocument/2006/relationships" name="ISBLANK" sheetId="95" state="visible" r:id="rId95"/>
    <sheet xmlns:r="http://schemas.openxmlformats.org/officeDocument/2006/relationships" name="ISNUMBER" sheetId="96" state="visible" r:id="rId96"/>
    <sheet xmlns:r="http://schemas.openxmlformats.org/officeDocument/2006/relationships" name="ISTEXT" sheetId="97" state="visible" r:id="rId97"/>
    <sheet xmlns:r="http://schemas.openxmlformats.org/officeDocument/2006/relationships" name="ISERROR" sheetId="98" state="visible" r:id="rId98"/>
    <sheet xmlns:r="http://schemas.openxmlformats.org/officeDocument/2006/relationships" name="ISEVEN" sheetId="99" state="visible" r:id="rId99"/>
    <sheet xmlns:r="http://schemas.openxmlformats.org/officeDocument/2006/relationships" name="ISODD" sheetId="100" state="visible" r:id="rId100"/>
    <sheet xmlns:r="http://schemas.openxmlformats.org/officeDocument/2006/relationships" name="N" sheetId="101" state="visible" r:id="rId101"/>
    <sheet xmlns:r="http://schemas.openxmlformats.org/officeDocument/2006/relationships" name="TYPE" sheetId="102" state="visible" r:id="rId102"/>
    <sheet xmlns:r="http://schemas.openxmlformats.org/officeDocument/2006/relationships" name="DELTA" sheetId="103" state="visible" r:id="rId103"/>
    <sheet xmlns:r="http://schemas.openxmlformats.org/officeDocument/2006/relationships" name="GESTEP" sheetId="104" state="visible" r:id="rId104"/>
    <sheet xmlns:r="http://schemas.openxmlformats.org/officeDocument/2006/relationships" name="DEC2BIN" sheetId="105" state="visible" r:id="rId105"/>
    <sheet xmlns:r="http://schemas.openxmlformats.org/officeDocument/2006/relationships" name="DEC2HEX" sheetId="106" state="visible" r:id="rId106"/>
    <sheet xmlns:r="http://schemas.openxmlformats.org/officeDocument/2006/relationships" name="AVEDEV" sheetId="107" state="visible" r:id="rId107"/>
    <sheet xmlns:r="http://schemas.openxmlformats.org/officeDocument/2006/relationships" name="AVERAGE" sheetId="108" state="visible" r:id="rId108"/>
    <sheet xmlns:r="http://schemas.openxmlformats.org/officeDocument/2006/relationships" name="AVERAGEA" sheetId="109" state="visible" r:id="rId109"/>
    <sheet xmlns:r="http://schemas.openxmlformats.org/officeDocument/2006/relationships" name="AVERAGEIF" sheetId="110" state="visible" r:id="rId110"/>
    <sheet xmlns:r="http://schemas.openxmlformats.org/officeDocument/2006/relationships" name="AVERAGEIFS" sheetId="111" state="visible" r:id="rId111"/>
    <sheet xmlns:r="http://schemas.openxmlformats.org/officeDocument/2006/relationships" name="BETA.DIST" sheetId="112" state="visible" r:id="rId112"/>
    <sheet xmlns:r="http://schemas.openxmlformats.org/officeDocument/2006/relationships" name="BETA.INV" sheetId="113" state="visible" r:id="rId113"/>
    <sheet xmlns:r="http://schemas.openxmlformats.org/officeDocument/2006/relationships" name="BINOM.DIST" sheetId="114" state="visible" r:id="rId114"/>
    <sheet xmlns:r="http://schemas.openxmlformats.org/officeDocument/2006/relationships" name="BINOM.INV" sheetId="115" state="visible" r:id="rId115"/>
    <sheet xmlns:r="http://schemas.openxmlformats.org/officeDocument/2006/relationships" name="CHISQ.DIST" sheetId="116" state="visible" r:id="rId116"/>
    <sheet xmlns:r="http://schemas.openxmlformats.org/officeDocument/2006/relationships" name="CHISQ.DIST.RT" sheetId="117" state="visible" r:id="rId117"/>
    <sheet xmlns:r="http://schemas.openxmlformats.org/officeDocument/2006/relationships" name="CHISQ.INV" sheetId="118" state="visible" r:id="rId118"/>
    <sheet xmlns:r="http://schemas.openxmlformats.org/officeDocument/2006/relationships" name="CHISQ.RT.INV" sheetId="119" state="visible" r:id="rId119"/>
    <sheet xmlns:r="http://schemas.openxmlformats.org/officeDocument/2006/relationships" name="CHITEST" sheetId="120" state="visible" r:id="rId120"/>
    <sheet xmlns:r="http://schemas.openxmlformats.org/officeDocument/2006/relationships" name="CONFIDENCE.NORM" sheetId="121" state="visible" r:id="rId121"/>
    <sheet xmlns:r="http://schemas.openxmlformats.org/officeDocument/2006/relationships" name="CONFIDENCE.T" sheetId="122" state="visible" r:id="rId122"/>
    <sheet xmlns:r="http://schemas.openxmlformats.org/officeDocument/2006/relationships" name="CORREL" sheetId="123" state="visible" r:id="rId123"/>
    <sheet xmlns:r="http://schemas.openxmlformats.org/officeDocument/2006/relationships" name="COUNT" sheetId="124" state="visible" r:id="rId124"/>
    <sheet xmlns:r="http://schemas.openxmlformats.org/officeDocument/2006/relationships" name="COUNTA" sheetId="125" state="visible" r:id="rId125"/>
    <sheet xmlns:r="http://schemas.openxmlformats.org/officeDocument/2006/relationships" name="COUNTBLANK" sheetId="126" state="visible" r:id="rId126"/>
    <sheet xmlns:r="http://schemas.openxmlformats.org/officeDocument/2006/relationships" name="COUNTIF" sheetId="127" state="visible" r:id="rId127"/>
    <sheet xmlns:r="http://schemas.openxmlformats.org/officeDocument/2006/relationships" name="COUNTIFS" sheetId="128" state="visible" r:id="rId128"/>
    <sheet xmlns:r="http://schemas.openxmlformats.org/officeDocument/2006/relationships" name="COVARIANCE.P" sheetId="129" state="visible" r:id="rId129"/>
    <sheet xmlns:r="http://schemas.openxmlformats.org/officeDocument/2006/relationships" name="COVARIANCE.T" sheetId="130" state="visible" r:id="rId130"/>
    <sheet xmlns:r="http://schemas.openxmlformats.org/officeDocument/2006/relationships" name="CRITBINOM" sheetId="131" state="visible" r:id="rId131"/>
    <sheet xmlns:r="http://schemas.openxmlformats.org/officeDocument/2006/relationships" name="DEVSQ" sheetId="132" state="visible" r:id="rId132"/>
    <sheet xmlns:r="http://schemas.openxmlformats.org/officeDocument/2006/relationships" name="EXPON.DIST" sheetId="133" state="visible" r:id="rId133"/>
    <sheet xmlns:r="http://schemas.openxmlformats.org/officeDocument/2006/relationships" name="F.DIST" sheetId="134" state="visible" r:id="rId134"/>
    <sheet xmlns:r="http://schemas.openxmlformats.org/officeDocument/2006/relationships" name="F.DIST.RT" sheetId="135" state="visible" r:id="rId135"/>
    <sheet xmlns:r="http://schemas.openxmlformats.org/officeDocument/2006/relationships" name="F.INV" sheetId="136" state="visible" r:id="rId136"/>
    <sheet xmlns:r="http://schemas.openxmlformats.org/officeDocument/2006/relationships" name="F.INV.RT" sheetId="137" state="visible" r:id="rId137"/>
    <sheet xmlns:r="http://schemas.openxmlformats.org/officeDocument/2006/relationships" name="FTEST" sheetId="138" state="visible" r:id="rId138"/>
    <sheet xmlns:r="http://schemas.openxmlformats.org/officeDocument/2006/relationships" name="FISHER" sheetId="139" state="visible" r:id="rId139"/>
    <sheet xmlns:r="http://schemas.openxmlformats.org/officeDocument/2006/relationships" name="FISHER.INV" sheetId="140" state="visible" r:id="rId140"/>
    <sheet xmlns:r="http://schemas.openxmlformats.org/officeDocument/2006/relationships" name="FORECAST" sheetId="141" state="visible" r:id="rId141"/>
    <sheet xmlns:r="http://schemas.openxmlformats.org/officeDocument/2006/relationships" name="FREQUENCY" sheetId="142" state="visible" r:id="rId142"/>
    <sheet xmlns:r="http://schemas.openxmlformats.org/officeDocument/2006/relationships" name="GAMMADIST" sheetId="143" state="visible" r:id="rId143"/>
    <sheet xmlns:r="http://schemas.openxmlformats.org/officeDocument/2006/relationships" name="GAMMAINV" sheetId="144" state="visible" r:id="rId144"/>
    <sheet xmlns:r="http://schemas.openxmlformats.org/officeDocument/2006/relationships" name="GAMMALN" sheetId="145" state="visible" r:id="rId145"/>
    <sheet xmlns:r="http://schemas.openxmlformats.org/officeDocument/2006/relationships" name="GEOMEAN" sheetId="146" state="visible" r:id="rId146"/>
    <sheet xmlns:r="http://schemas.openxmlformats.org/officeDocument/2006/relationships" name="GROWTH" sheetId="147" state="visible" r:id="rId147"/>
    <sheet xmlns:r="http://schemas.openxmlformats.org/officeDocument/2006/relationships" name="HARMEAN" sheetId="148" state="visible" r:id="rId148"/>
    <sheet xmlns:r="http://schemas.openxmlformats.org/officeDocument/2006/relationships" name="HYPGEOMDIST" sheetId="149" state="visible" r:id="rId149"/>
    <sheet xmlns:r="http://schemas.openxmlformats.org/officeDocument/2006/relationships" name="INTERCEPT" sheetId="150" state="visible" r:id="rId150"/>
    <sheet xmlns:r="http://schemas.openxmlformats.org/officeDocument/2006/relationships" name="KURT" sheetId="151" state="visible" r:id="rId151"/>
    <sheet xmlns:r="http://schemas.openxmlformats.org/officeDocument/2006/relationships" name="LARGE" sheetId="152" state="visible" r:id="rId152"/>
    <sheet xmlns:r="http://schemas.openxmlformats.org/officeDocument/2006/relationships" name="LOGNORM.DIST" sheetId="153" state="visible" r:id="rId153"/>
    <sheet xmlns:r="http://schemas.openxmlformats.org/officeDocument/2006/relationships" name="LOGINV" sheetId="154" state="visible" r:id="rId154"/>
    <sheet xmlns:r="http://schemas.openxmlformats.org/officeDocument/2006/relationships" name="MAX" sheetId="155" state="visible" r:id="rId155"/>
    <sheet xmlns:r="http://schemas.openxmlformats.org/officeDocument/2006/relationships" name="MAXA" sheetId="156" state="visible" r:id="rId156"/>
    <sheet xmlns:r="http://schemas.openxmlformats.org/officeDocument/2006/relationships" name="MEDIAN" sheetId="157" state="visible" r:id="rId157"/>
    <sheet xmlns:r="http://schemas.openxmlformats.org/officeDocument/2006/relationships" name="MIN" sheetId="158" state="visible" r:id="rId158"/>
    <sheet xmlns:r="http://schemas.openxmlformats.org/officeDocument/2006/relationships" name="MINA" sheetId="159" state="visible" r:id="rId159"/>
    <sheet xmlns:r="http://schemas.openxmlformats.org/officeDocument/2006/relationships" name="MODE" sheetId="160" state="visible" r:id="rId160"/>
    <sheet xmlns:r="http://schemas.openxmlformats.org/officeDocument/2006/relationships" name="NEGBINOM.DIST" sheetId="161" state="visible" r:id="rId161"/>
    <sheet xmlns:r="http://schemas.openxmlformats.org/officeDocument/2006/relationships" name="NORM.DIST" sheetId="162" state="visible" r:id="rId162"/>
    <sheet xmlns:r="http://schemas.openxmlformats.org/officeDocument/2006/relationships" name="NORM.INV" sheetId="163" state="visible" r:id="rId163"/>
    <sheet xmlns:r="http://schemas.openxmlformats.org/officeDocument/2006/relationships" name="NORM.S.DIST" sheetId="164" state="visible" r:id="rId164"/>
    <sheet xmlns:r="http://schemas.openxmlformats.org/officeDocument/2006/relationships" name="NORM.S.INV" sheetId="165" state="visible" r:id="rId165"/>
    <sheet xmlns:r="http://schemas.openxmlformats.org/officeDocument/2006/relationships" name="PEARSON" sheetId="166" state="visible" r:id="rId166"/>
    <sheet xmlns:r="http://schemas.openxmlformats.org/officeDocument/2006/relationships" name="PERCENTILE.EXC" sheetId="167" state="visible" r:id="rId167"/>
    <sheet xmlns:r="http://schemas.openxmlformats.org/officeDocument/2006/relationships" name="PERCENTILE.INC" sheetId="168" state="visible" r:id="rId168"/>
    <sheet xmlns:r="http://schemas.openxmlformats.org/officeDocument/2006/relationships" name="PERCENTRANK.EXC" sheetId="169" state="visible" r:id="rId169"/>
    <sheet xmlns:r="http://schemas.openxmlformats.org/officeDocument/2006/relationships" name="PERCENTRANK.INC" sheetId="170" state="visible" r:id="rId170"/>
    <sheet xmlns:r="http://schemas.openxmlformats.org/officeDocument/2006/relationships" name="PERMUT" sheetId="171" state="visible" r:id="rId171"/>
    <sheet xmlns:r="http://schemas.openxmlformats.org/officeDocument/2006/relationships" name="POISSON" sheetId="172" state="visible" r:id="rId172"/>
    <sheet xmlns:r="http://schemas.openxmlformats.org/officeDocument/2006/relationships" name="PROB" sheetId="173" state="visible" r:id="rId173"/>
    <sheet xmlns:r="http://schemas.openxmlformats.org/officeDocument/2006/relationships" name="QUARTILE.EXC" sheetId="174" state="visible" r:id="rId174"/>
    <sheet xmlns:r="http://schemas.openxmlformats.org/officeDocument/2006/relationships" name="QUARTILE.INC" sheetId="175" state="visible" r:id="rId175"/>
    <sheet xmlns:r="http://schemas.openxmlformats.org/officeDocument/2006/relationships" name="RANK" sheetId="176" state="visible" r:id="rId176"/>
    <sheet xmlns:r="http://schemas.openxmlformats.org/officeDocument/2006/relationships" name="RSQ" sheetId="177" state="visible" r:id="rId177"/>
    <sheet xmlns:r="http://schemas.openxmlformats.org/officeDocument/2006/relationships" name="SKEW" sheetId="178" state="visible" r:id="rId178"/>
    <sheet xmlns:r="http://schemas.openxmlformats.org/officeDocument/2006/relationships" name="SLOPE" sheetId="179" state="visible" r:id="rId179"/>
    <sheet xmlns:r="http://schemas.openxmlformats.org/officeDocument/2006/relationships" name="SMALL" sheetId="180" state="visible" r:id="rId180"/>
    <sheet xmlns:r="http://schemas.openxmlformats.org/officeDocument/2006/relationships" name="STANDARDIZE" sheetId="181" state="visible" r:id="rId181"/>
    <sheet xmlns:r="http://schemas.openxmlformats.org/officeDocument/2006/relationships" name="STDEV.P" sheetId="182" state="visible" r:id="rId182"/>
    <sheet xmlns:r="http://schemas.openxmlformats.org/officeDocument/2006/relationships" name="STDEV.S" sheetId="183" state="visible" r:id="rId183"/>
    <sheet xmlns:r="http://schemas.openxmlformats.org/officeDocument/2006/relationships" name="STDEVA" sheetId="184" state="visible" r:id="rId184"/>
    <sheet xmlns:r="http://schemas.openxmlformats.org/officeDocument/2006/relationships" name="STDEVP" sheetId="185" state="visible" r:id="rId185"/>
    <sheet xmlns:r="http://schemas.openxmlformats.org/officeDocument/2006/relationships" name="STDEVPA" sheetId="186" state="visible" r:id="rId186"/>
    <sheet xmlns:r="http://schemas.openxmlformats.org/officeDocument/2006/relationships" name="STEYX" sheetId="187" state="visible" r:id="rId187"/>
    <sheet xmlns:r="http://schemas.openxmlformats.org/officeDocument/2006/relationships" name="T.DIST" sheetId="188" state="visible" r:id="rId188"/>
    <sheet xmlns:r="http://schemas.openxmlformats.org/officeDocument/2006/relationships" name="T.DIST.2T" sheetId="189" state="visible" r:id="rId189"/>
    <sheet xmlns:r="http://schemas.openxmlformats.org/officeDocument/2006/relationships" name="T.DIST.RT" sheetId="190" state="visible" r:id="rId190"/>
    <sheet xmlns:r="http://schemas.openxmlformats.org/officeDocument/2006/relationships" name="T.INV" sheetId="191" state="visible" r:id="rId191"/>
    <sheet xmlns:r="http://schemas.openxmlformats.org/officeDocument/2006/relationships" name="T.INV.2T" sheetId="192" state="visible" r:id="rId192"/>
    <sheet xmlns:r="http://schemas.openxmlformats.org/officeDocument/2006/relationships" name="TREND" sheetId="193" state="visible" r:id="rId193"/>
    <sheet xmlns:r="http://schemas.openxmlformats.org/officeDocument/2006/relationships" name="T.TEST" sheetId="194" state="visible" r:id="rId194"/>
    <sheet xmlns:r="http://schemas.openxmlformats.org/officeDocument/2006/relationships" name="TRIMMEAN" sheetId="195" state="visible" r:id="rId195"/>
    <sheet xmlns:r="http://schemas.openxmlformats.org/officeDocument/2006/relationships" name="VAR.P" sheetId="196" state="visible" r:id="rId196"/>
    <sheet xmlns:r="http://schemas.openxmlformats.org/officeDocument/2006/relationships" name="VAR.S" sheetId="197" state="visible" r:id="rId197"/>
    <sheet xmlns:r="http://schemas.openxmlformats.org/officeDocument/2006/relationships" name="VARA" sheetId="198" state="visible" r:id="rId198"/>
    <sheet xmlns:r="http://schemas.openxmlformats.org/officeDocument/2006/relationships" name="VARPA" sheetId="199" state="visible" r:id="rId199"/>
    <sheet xmlns:r="http://schemas.openxmlformats.org/officeDocument/2006/relationships" name="WEIBULL" sheetId="200" state="visible" r:id="rId200"/>
    <sheet xmlns:r="http://schemas.openxmlformats.org/officeDocument/2006/relationships" name="ZTEST" sheetId="201" state="visible" r:id="rId20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b val="1"/>
      <color rgb="0038BDF8"/>
      <sz val="10"/>
      <u val="single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0369A1"/>
      <sz val="10"/>
    </font>
    <font>
      <name val="Segoe UI"/>
      <color rgb="001E293B"/>
      <sz val="10"/>
    </font>
    <font>
      <name val="Consolas"/>
      <b val="1"/>
      <color rgb="000F172A"/>
      <sz val="11"/>
    </font>
    <font>
      <name val="Segoe UI"/>
      <b val="1"/>
      <color rgb="00065F46"/>
      <sz val="10"/>
    </font>
    <font>
      <name val="Segoe UI"/>
      <b val="1"/>
      <color rgb="002563EB"/>
      <sz val="10"/>
      <u val="single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6" fillId="4" borderId="1" pivotButton="0" quotePrefix="0" xfId="0"/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5" fillId="6" borderId="0" pivotButton="0" quotePrefix="0" xfId="0"/>
    <xf numFmtId="0" fontId="6" fillId="7" borderId="1" pivotButton="0" quotePrefix="0" xfId="0"/>
    <xf numFmtId="0" fontId="6" fillId="7" borderId="0" pivotButton="0" quotePrefix="0" xfId="0"/>
    <xf numFmtId="0" fontId="8" fillId="0" borderId="1" pivotButton="0" quotePrefix="0" xfId="0"/>
    <xf numFmtId="0" fontId="6" fillId="0" borderId="0" pivotButton="0" quotePrefix="0" xfId="0"/>
    <xf numFmtId="0" fontId="8" fillId="0" borderId="0" applyAlignment="1" pivotButton="0" quotePrefix="0" xfId="0">
      <alignment wrapText="1"/>
    </xf>
    <xf numFmtId="0" fontId="7" fillId="0" borderId="0" pivotButton="0" quotePrefix="0" xfId="0"/>
    <xf numFmtId="0" fontId="9" fillId="7" borderId="1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0" borderId="0" applyAlignment="1" pivotButton="0" quotePrefix="0" xfId="0">
      <alignment vertical="center" wrapText="1"/>
    </xf>
    <xf numFmtId="0" fontId="9" fillId="10" borderId="2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164" fontId="8" fillId="0" borderId="1" pivotButton="0" quotePrefix="0" xfId="0"/>
    <xf numFmtId="21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styles" Target="styles.xml" Id="rId202"/><Relationship Type="http://schemas.openxmlformats.org/officeDocument/2006/relationships/theme" Target="theme/theme1.xml" Id="rId2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'!A1" TargetMode="External" Id="rId1"/><Relationship Type="http://schemas.openxmlformats.org/officeDocument/2006/relationships/hyperlink" Target="#'SUMIF'!A1" TargetMode="External" Id="rId2"/><Relationship Type="http://schemas.openxmlformats.org/officeDocument/2006/relationships/hyperlink" Target="#'SUMIFS'!A1" TargetMode="External" Id="rId3"/><Relationship Type="http://schemas.openxmlformats.org/officeDocument/2006/relationships/hyperlink" Target="#'PRODUCT'!A1" TargetMode="External" Id="rId4"/><Relationship Type="http://schemas.openxmlformats.org/officeDocument/2006/relationships/hyperlink" Target="#'SUMPRODUCT'!A1" TargetMode="External" Id="rId5"/><Relationship Type="http://schemas.openxmlformats.org/officeDocument/2006/relationships/hyperlink" Target="#'ROUND'!A1" TargetMode="External" Id="rId6"/><Relationship Type="http://schemas.openxmlformats.org/officeDocument/2006/relationships/hyperlink" Target="#'ROUNDUP'!A1" TargetMode="External" Id="rId7"/><Relationship Type="http://schemas.openxmlformats.org/officeDocument/2006/relationships/hyperlink" Target="#'ROUNDDOWN'!A1" TargetMode="External" Id="rId8"/><Relationship Type="http://schemas.openxmlformats.org/officeDocument/2006/relationships/hyperlink" Target="#'MROUND'!A1" TargetMode="External" Id="rId9"/><Relationship Type="http://schemas.openxmlformats.org/officeDocument/2006/relationships/hyperlink" Target="#'CEILING'!A1" TargetMode="External" Id="rId10"/><Relationship Type="http://schemas.openxmlformats.org/officeDocument/2006/relationships/hyperlink" Target="#'FLOOR'!A1" TargetMode="External" Id="rId11"/><Relationship Type="http://schemas.openxmlformats.org/officeDocument/2006/relationships/hyperlink" Target="#'INT'!A1" TargetMode="External" Id="rId12"/><Relationship Type="http://schemas.openxmlformats.org/officeDocument/2006/relationships/hyperlink" Target="#'TRUNC'!A1" TargetMode="External" Id="rId13"/><Relationship Type="http://schemas.openxmlformats.org/officeDocument/2006/relationships/hyperlink" Target="#'MOD'!A1" TargetMode="External" Id="rId14"/><Relationship Type="http://schemas.openxmlformats.org/officeDocument/2006/relationships/hyperlink" Target="#'QUOTIENT'!A1" TargetMode="External" Id="rId15"/><Relationship Type="http://schemas.openxmlformats.org/officeDocument/2006/relationships/hyperlink" Target="#'ABS'!A1" TargetMode="External" Id="rId16"/><Relationship Type="http://schemas.openxmlformats.org/officeDocument/2006/relationships/hyperlink" Target="#'POWER'!A1" TargetMode="External" Id="rId17"/><Relationship Type="http://schemas.openxmlformats.org/officeDocument/2006/relationships/hyperlink" Target="#'SQRT'!A1" TargetMode="External" Id="rId18"/><Relationship Type="http://schemas.openxmlformats.org/officeDocument/2006/relationships/hyperlink" Target="#'SUBTOTAL'!A1" TargetMode="External" Id="rId19"/><Relationship Type="http://schemas.openxmlformats.org/officeDocument/2006/relationships/hyperlink" Target="#'AGGREGATE'!A1" TargetMode="External" Id="rId20"/><Relationship Type="http://schemas.openxmlformats.org/officeDocument/2006/relationships/hyperlink" Target="#'RANDBETWEEN'!A1" TargetMode="External" Id="rId21"/><Relationship Type="http://schemas.openxmlformats.org/officeDocument/2006/relationships/hyperlink" Target="#'SIGN'!A1" TargetMode="External" Id="rId22"/><Relationship Type="http://schemas.openxmlformats.org/officeDocument/2006/relationships/hyperlink" Target="#'ROMAN'!A1" TargetMode="External" Id="rId23"/><Relationship Type="http://schemas.openxmlformats.org/officeDocument/2006/relationships/hyperlink" Target="#'ARABIC'!A1" TargetMode="External" Id="rId24"/><Relationship Type="http://schemas.openxmlformats.org/officeDocument/2006/relationships/hyperlink" Target="#'FACT'!A1" TargetMode="External" Id="rId25"/><Relationship Type="http://schemas.openxmlformats.org/officeDocument/2006/relationships/hyperlink" Target="#'GCD'!A1" TargetMode="External" Id="rId26"/><Relationship Type="http://schemas.openxmlformats.org/officeDocument/2006/relationships/hyperlink" Target="#'LCM'!A1" TargetMode="External" Id="rId27"/><Relationship Type="http://schemas.openxmlformats.org/officeDocument/2006/relationships/hyperlink" Target="#'COMBIN'!A1" TargetMode="External" Id="rId28"/><Relationship Type="http://schemas.openxmlformats.org/officeDocument/2006/relationships/hyperlink" Target="#'IF'!A1" TargetMode="External" Id="rId29"/><Relationship Type="http://schemas.openxmlformats.org/officeDocument/2006/relationships/hyperlink" Target="#'IFS'!A1" TargetMode="External" Id="rId30"/><Relationship Type="http://schemas.openxmlformats.org/officeDocument/2006/relationships/hyperlink" Target="#'AND'!A1" TargetMode="External" Id="rId31"/><Relationship Type="http://schemas.openxmlformats.org/officeDocument/2006/relationships/hyperlink" Target="#'OR'!A1" TargetMode="External" Id="rId32"/><Relationship Type="http://schemas.openxmlformats.org/officeDocument/2006/relationships/hyperlink" Target="#'NOT'!A1" TargetMode="External" Id="rId33"/><Relationship Type="http://schemas.openxmlformats.org/officeDocument/2006/relationships/hyperlink" Target="#'XOR'!A1" TargetMode="External" Id="rId34"/><Relationship Type="http://schemas.openxmlformats.org/officeDocument/2006/relationships/hyperlink" Target="#'IFERROR'!A1" TargetMode="External" Id="rId35"/><Relationship Type="http://schemas.openxmlformats.org/officeDocument/2006/relationships/hyperlink" Target="#'IFNA'!A1" TargetMode="External" Id="rId36"/><Relationship Type="http://schemas.openxmlformats.org/officeDocument/2006/relationships/hyperlink" Target="#'TRUE'!A1" TargetMode="External" Id="rId37"/><Relationship Type="http://schemas.openxmlformats.org/officeDocument/2006/relationships/hyperlink" Target="#'FALSE'!A1" TargetMode="External" Id="rId38"/><Relationship Type="http://schemas.openxmlformats.org/officeDocument/2006/relationships/hyperlink" Target="#'VLOOKUP'!A1" TargetMode="External" Id="rId39"/><Relationship Type="http://schemas.openxmlformats.org/officeDocument/2006/relationships/hyperlink" Target="#'HLOOKUP'!A1" TargetMode="External" Id="rId40"/><Relationship Type="http://schemas.openxmlformats.org/officeDocument/2006/relationships/hyperlink" Target="#'INDEX'!A1" TargetMode="External" Id="rId41"/><Relationship Type="http://schemas.openxmlformats.org/officeDocument/2006/relationships/hyperlink" Target="#'MATCH'!A1" TargetMode="External" Id="rId42"/><Relationship Type="http://schemas.openxmlformats.org/officeDocument/2006/relationships/hyperlink" Target="#'CHOOSE'!A1" TargetMode="External" Id="rId43"/><Relationship Type="http://schemas.openxmlformats.org/officeDocument/2006/relationships/hyperlink" Target="#'ROW'!A1" TargetMode="External" Id="rId44"/><Relationship Type="http://schemas.openxmlformats.org/officeDocument/2006/relationships/hyperlink" Target="#'ROWS'!A1" TargetMode="External" Id="rId45"/><Relationship Type="http://schemas.openxmlformats.org/officeDocument/2006/relationships/hyperlink" Target="#'COLUMN'!A1" TargetMode="External" Id="rId46"/><Relationship Type="http://schemas.openxmlformats.org/officeDocument/2006/relationships/hyperlink" Target="#'COLUMNS'!A1" TargetMode="External" Id="rId47"/><Relationship Type="http://schemas.openxmlformats.org/officeDocument/2006/relationships/hyperlink" Target="#'ADDRESS'!A1" TargetMode="External" Id="rId48"/><Relationship Type="http://schemas.openxmlformats.org/officeDocument/2006/relationships/hyperlink" Target="#'OFFSET'!A1" TargetMode="External" Id="rId49"/><Relationship Type="http://schemas.openxmlformats.org/officeDocument/2006/relationships/hyperlink" Target="#'INDIRECT'!A1" TargetMode="External" Id="rId50"/><Relationship Type="http://schemas.openxmlformats.org/officeDocument/2006/relationships/hyperlink" Target="#'LEFT'!A1" TargetMode="External" Id="rId51"/><Relationship Type="http://schemas.openxmlformats.org/officeDocument/2006/relationships/hyperlink" Target="#'RIGHT'!A1" TargetMode="External" Id="rId52"/><Relationship Type="http://schemas.openxmlformats.org/officeDocument/2006/relationships/hyperlink" Target="#'MID'!A1" TargetMode="External" Id="rId53"/><Relationship Type="http://schemas.openxmlformats.org/officeDocument/2006/relationships/hyperlink" Target="#'LEN'!A1" TargetMode="External" Id="rId54"/><Relationship Type="http://schemas.openxmlformats.org/officeDocument/2006/relationships/hyperlink" Target="#'TRIM'!A1" TargetMode="External" Id="rId55"/><Relationship Type="http://schemas.openxmlformats.org/officeDocument/2006/relationships/hyperlink" Target="#'CLEAN'!A1" TargetMode="External" Id="rId56"/><Relationship Type="http://schemas.openxmlformats.org/officeDocument/2006/relationships/hyperlink" Target="#'UPPER'!A1" TargetMode="External" Id="rId57"/><Relationship Type="http://schemas.openxmlformats.org/officeDocument/2006/relationships/hyperlink" Target="#'LOWER'!A1" TargetMode="External" Id="rId58"/><Relationship Type="http://schemas.openxmlformats.org/officeDocument/2006/relationships/hyperlink" Target="#'PROPER'!A1" TargetMode="External" Id="rId59"/><Relationship Type="http://schemas.openxmlformats.org/officeDocument/2006/relationships/hyperlink" Target="#'CONCATENATE'!A1" TargetMode="External" Id="rId60"/><Relationship Type="http://schemas.openxmlformats.org/officeDocument/2006/relationships/hyperlink" Target="#'EXACT'!A1" TargetMode="External" Id="rId61"/><Relationship Type="http://schemas.openxmlformats.org/officeDocument/2006/relationships/hyperlink" Target="#'FIND'!A1" TargetMode="External" Id="rId62"/><Relationship Type="http://schemas.openxmlformats.org/officeDocument/2006/relationships/hyperlink" Target="#'SEARCH'!A1" TargetMode="External" Id="rId63"/><Relationship Type="http://schemas.openxmlformats.org/officeDocument/2006/relationships/hyperlink" Target="#'SUBSTITUTE'!A1" TargetMode="External" Id="rId64"/><Relationship Type="http://schemas.openxmlformats.org/officeDocument/2006/relationships/hyperlink" Target="#'REPLACE'!A1" TargetMode="External" Id="rId65"/><Relationship Type="http://schemas.openxmlformats.org/officeDocument/2006/relationships/hyperlink" Target="#'REPT'!A1" TargetMode="External" Id="rId66"/><Relationship Type="http://schemas.openxmlformats.org/officeDocument/2006/relationships/hyperlink" Target="#'VALUE'!A1" TargetMode="External" Id="rId67"/><Relationship Type="http://schemas.openxmlformats.org/officeDocument/2006/relationships/hyperlink" Target="#'TEXT'!A1" TargetMode="External" Id="rId68"/><Relationship Type="http://schemas.openxmlformats.org/officeDocument/2006/relationships/hyperlink" Target="#'DATE'!A1" TargetMode="External" Id="rId69"/><Relationship Type="http://schemas.openxmlformats.org/officeDocument/2006/relationships/hyperlink" Target="#'YEAR'!A1" TargetMode="External" Id="rId70"/><Relationship Type="http://schemas.openxmlformats.org/officeDocument/2006/relationships/hyperlink" Target="#'MONTH'!A1" TargetMode="External" Id="rId71"/><Relationship Type="http://schemas.openxmlformats.org/officeDocument/2006/relationships/hyperlink" Target="#'DAY'!A1" TargetMode="External" Id="rId72"/><Relationship Type="http://schemas.openxmlformats.org/officeDocument/2006/relationships/hyperlink" Target="#'DAYS'!A1" TargetMode="External" Id="rId73"/><Relationship Type="http://schemas.openxmlformats.org/officeDocument/2006/relationships/hyperlink" Target="#'DATEDIF'!A1" TargetMode="External" Id="rId74"/><Relationship Type="http://schemas.openxmlformats.org/officeDocument/2006/relationships/hyperlink" Target="#'EDATE'!A1" TargetMode="External" Id="rId75"/><Relationship Type="http://schemas.openxmlformats.org/officeDocument/2006/relationships/hyperlink" Target="#'EOMONTH'!A1" TargetMode="External" Id="rId76"/><Relationship Type="http://schemas.openxmlformats.org/officeDocument/2006/relationships/hyperlink" Target="#'NETWORKDAYS'!A1" TargetMode="External" Id="rId77"/><Relationship Type="http://schemas.openxmlformats.org/officeDocument/2006/relationships/hyperlink" Target="#'WORKDAY'!A1" TargetMode="External" Id="rId78"/><Relationship Type="http://schemas.openxmlformats.org/officeDocument/2006/relationships/hyperlink" Target="#'WEEKDAY'!A1" TargetMode="External" Id="rId79"/><Relationship Type="http://schemas.openxmlformats.org/officeDocument/2006/relationships/hyperlink" Target="#'WEEKNUM'!A1" TargetMode="External" Id="rId80"/><Relationship Type="http://schemas.openxmlformats.org/officeDocument/2006/relationships/hyperlink" Target="#'HOUR'!A1" TargetMode="External" Id="rId81"/><Relationship Type="http://schemas.openxmlformats.org/officeDocument/2006/relationships/hyperlink" Target="#'MINUTE'!A1" TargetMode="External" Id="rId82"/><Relationship Type="http://schemas.openxmlformats.org/officeDocument/2006/relationships/hyperlink" Target="#'SECOND'!A1" TargetMode="External" Id="rId83"/><Relationship Type="http://schemas.openxmlformats.org/officeDocument/2006/relationships/hyperlink" Target="#'PMT'!A1" TargetMode="External" Id="rId84"/><Relationship Type="http://schemas.openxmlformats.org/officeDocument/2006/relationships/hyperlink" Target="#'IPMT'!A1" TargetMode="External" Id="rId85"/><Relationship Type="http://schemas.openxmlformats.org/officeDocument/2006/relationships/hyperlink" Target="#'PPMT'!A1" TargetMode="External" Id="rId86"/><Relationship Type="http://schemas.openxmlformats.org/officeDocument/2006/relationships/hyperlink" Target="#'FV'!A1" TargetMode="External" Id="rId87"/><Relationship Type="http://schemas.openxmlformats.org/officeDocument/2006/relationships/hyperlink" Target="#'PV'!A1" TargetMode="External" Id="rId88"/><Relationship Type="http://schemas.openxmlformats.org/officeDocument/2006/relationships/hyperlink" Target="#'NPV'!A1" TargetMode="External" Id="rId89"/><Relationship Type="http://schemas.openxmlformats.org/officeDocument/2006/relationships/hyperlink" Target="#'SLN'!A1" TargetMode="External" Id="rId90"/><Relationship Type="http://schemas.openxmlformats.org/officeDocument/2006/relationships/hyperlink" Target="#'SYD'!A1" TargetMode="External" Id="rId91"/><Relationship Type="http://schemas.openxmlformats.org/officeDocument/2006/relationships/hyperlink" Target="#'DB'!A1" TargetMode="External" Id="rId92"/><Relationship Type="http://schemas.openxmlformats.org/officeDocument/2006/relationships/hyperlink" Target="#'EFFECT'!A1" TargetMode="External" Id="rId93"/><Relationship Type="http://schemas.openxmlformats.org/officeDocument/2006/relationships/hyperlink" Target="#'ISBLANK'!A1" TargetMode="External" Id="rId94"/><Relationship Type="http://schemas.openxmlformats.org/officeDocument/2006/relationships/hyperlink" Target="#'ISNUMBER'!A1" TargetMode="External" Id="rId95"/><Relationship Type="http://schemas.openxmlformats.org/officeDocument/2006/relationships/hyperlink" Target="#'ISTEXT'!A1" TargetMode="External" Id="rId96"/><Relationship Type="http://schemas.openxmlformats.org/officeDocument/2006/relationships/hyperlink" Target="#'ISERROR'!A1" TargetMode="External" Id="rId97"/><Relationship Type="http://schemas.openxmlformats.org/officeDocument/2006/relationships/hyperlink" Target="#'ISEVEN'!A1" TargetMode="External" Id="rId98"/><Relationship Type="http://schemas.openxmlformats.org/officeDocument/2006/relationships/hyperlink" Target="#'ISODD'!A1" TargetMode="External" Id="rId99"/><Relationship Type="http://schemas.openxmlformats.org/officeDocument/2006/relationships/hyperlink" Target="#'N'!A1" TargetMode="External" Id="rId100"/><Relationship Type="http://schemas.openxmlformats.org/officeDocument/2006/relationships/hyperlink" Target="#'TYPE'!A1" TargetMode="External" Id="rId101"/><Relationship Type="http://schemas.openxmlformats.org/officeDocument/2006/relationships/hyperlink" Target="#'DELTA'!A1" TargetMode="External" Id="rId102"/><Relationship Type="http://schemas.openxmlformats.org/officeDocument/2006/relationships/hyperlink" Target="#'GESTEP'!A1" TargetMode="External" Id="rId103"/><Relationship Type="http://schemas.openxmlformats.org/officeDocument/2006/relationships/hyperlink" Target="#'DEC2BIN'!A1" TargetMode="External" Id="rId104"/><Relationship Type="http://schemas.openxmlformats.org/officeDocument/2006/relationships/hyperlink" Target="#'DEC2HEX'!A1" TargetMode="External" Id="rId105"/><Relationship Type="http://schemas.openxmlformats.org/officeDocument/2006/relationships/hyperlink" Target="#'AVEDEV'!A1" TargetMode="External" Id="rId106"/><Relationship Type="http://schemas.openxmlformats.org/officeDocument/2006/relationships/hyperlink" Target="#'AVERAGE'!A1" TargetMode="External" Id="rId107"/><Relationship Type="http://schemas.openxmlformats.org/officeDocument/2006/relationships/hyperlink" Target="#'AVERAGEA'!A1" TargetMode="External" Id="rId108"/><Relationship Type="http://schemas.openxmlformats.org/officeDocument/2006/relationships/hyperlink" Target="#'AVERAGEIF'!A1" TargetMode="External" Id="rId109"/><Relationship Type="http://schemas.openxmlformats.org/officeDocument/2006/relationships/hyperlink" Target="#'AVERAGEIFS'!A1" TargetMode="External" Id="rId110"/><Relationship Type="http://schemas.openxmlformats.org/officeDocument/2006/relationships/hyperlink" Target="#'BETA.DIST'!A1" TargetMode="External" Id="rId111"/><Relationship Type="http://schemas.openxmlformats.org/officeDocument/2006/relationships/hyperlink" Target="#'BETA.INV'!A1" TargetMode="External" Id="rId112"/><Relationship Type="http://schemas.openxmlformats.org/officeDocument/2006/relationships/hyperlink" Target="#'BINOM.DIST'!A1" TargetMode="External" Id="rId113"/><Relationship Type="http://schemas.openxmlformats.org/officeDocument/2006/relationships/hyperlink" Target="#'BINOM.INV'!A1" TargetMode="External" Id="rId114"/><Relationship Type="http://schemas.openxmlformats.org/officeDocument/2006/relationships/hyperlink" Target="#'CHISQ.DIST'!A1" TargetMode="External" Id="rId115"/><Relationship Type="http://schemas.openxmlformats.org/officeDocument/2006/relationships/hyperlink" Target="#'CHISQ.DIST.RT'!A1" TargetMode="External" Id="rId116"/><Relationship Type="http://schemas.openxmlformats.org/officeDocument/2006/relationships/hyperlink" Target="#'CHISQ.INV'!A1" TargetMode="External" Id="rId117"/><Relationship Type="http://schemas.openxmlformats.org/officeDocument/2006/relationships/hyperlink" Target="#'CHISQ.RT.INV'!A1" TargetMode="External" Id="rId118"/><Relationship Type="http://schemas.openxmlformats.org/officeDocument/2006/relationships/hyperlink" Target="#'CHITEST'!A1" TargetMode="External" Id="rId119"/><Relationship Type="http://schemas.openxmlformats.org/officeDocument/2006/relationships/hyperlink" Target="#'CONFIDENCE.NORM'!A1" TargetMode="External" Id="rId120"/><Relationship Type="http://schemas.openxmlformats.org/officeDocument/2006/relationships/hyperlink" Target="#'CONFIDENCE.T'!A1" TargetMode="External" Id="rId121"/><Relationship Type="http://schemas.openxmlformats.org/officeDocument/2006/relationships/hyperlink" Target="#'CORREL'!A1" TargetMode="External" Id="rId122"/><Relationship Type="http://schemas.openxmlformats.org/officeDocument/2006/relationships/hyperlink" Target="#'COUNT'!A1" TargetMode="External" Id="rId123"/><Relationship Type="http://schemas.openxmlformats.org/officeDocument/2006/relationships/hyperlink" Target="#'COUNTA'!A1" TargetMode="External" Id="rId124"/><Relationship Type="http://schemas.openxmlformats.org/officeDocument/2006/relationships/hyperlink" Target="#'COUNTBLANK'!A1" TargetMode="External" Id="rId125"/><Relationship Type="http://schemas.openxmlformats.org/officeDocument/2006/relationships/hyperlink" Target="#'COUNTIF'!A1" TargetMode="External" Id="rId126"/><Relationship Type="http://schemas.openxmlformats.org/officeDocument/2006/relationships/hyperlink" Target="#'COUNTIFS'!A1" TargetMode="External" Id="rId127"/><Relationship Type="http://schemas.openxmlformats.org/officeDocument/2006/relationships/hyperlink" Target="#'COVARIANCE.P'!A1" TargetMode="External" Id="rId128"/><Relationship Type="http://schemas.openxmlformats.org/officeDocument/2006/relationships/hyperlink" Target="#'COVARIANCE.T'!A1" TargetMode="External" Id="rId129"/><Relationship Type="http://schemas.openxmlformats.org/officeDocument/2006/relationships/hyperlink" Target="#'CRITBINOM'!A1" TargetMode="External" Id="rId130"/><Relationship Type="http://schemas.openxmlformats.org/officeDocument/2006/relationships/hyperlink" Target="#'DEVSQ'!A1" TargetMode="External" Id="rId131"/><Relationship Type="http://schemas.openxmlformats.org/officeDocument/2006/relationships/hyperlink" Target="#'EXPON.DIST'!A1" TargetMode="External" Id="rId132"/><Relationship Type="http://schemas.openxmlformats.org/officeDocument/2006/relationships/hyperlink" Target="#'F.DIST'!A1" TargetMode="External" Id="rId133"/><Relationship Type="http://schemas.openxmlformats.org/officeDocument/2006/relationships/hyperlink" Target="#'F.DIST.RT'!A1" TargetMode="External" Id="rId134"/><Relationship Type="http://schemas.openxmlformats.org/officeDocument/2006/relationships/hyperlink" Target="#'F.INV'!A1" TargetMode="External" Id="rId135"/><Relationship Type="http://schemas.openxmlformats.org/officeDocument/2006/relationships/hyperlink" Target="#'F.INV.RT'!A1" TargetMode="External" Id="rId136"/><Relationship Type="http://schemas.openxmlformats.org/officeDocument/2006/relationships/hyperlink" Target="#'FTEST'!A1" TargetMode="External" Id="rId137"/><Relationship Type="http://schemas.openxmlformats.org/officeDocument/2006/relationships/hyperlink" Target="#'FISHER'!A1" TargetMode="External" Id="rId138"/><Relationship Type="http://schemas.openxmlformats.org/officeDocument/2006/relationships/hyperlink" Target="#'FISHER.INV'!A1" TargetMode="External" Id="rId139"/><Relationship Type="http://schemas.openxmlformats.org/officeDocument/2006/relationships/hyperlink" Target="#'FORECAST'!A1" TargetMode="External" Id="rId140"/><Relationship Type="http://schemas.openxmlformats.org/officeDocument/2006/relationships/hyperlink" Target="#'FREQUENCY'!A1" TargetMode="External" Id="rId141"/><Relationship Type="http://schemas.openxmlformats.org/officeDocument/2006/relationships/hyperlink" Target="#'GAMMADIST'!A1" TargetMode="External" Id="rId142"/><Relationship Type="http://schemas.openxmlformats.org/officeDocument/2006/relationships/hyperlink" Target="#'GAMMAINV'!A1" TargetMode="External" Id="rId143"/><Relationship Type="http://schemas.openxmlformats.org/officeDocument/2006/relationships/hyperlink" Target="#'GAMMALN'!A1" TargetMode="External" Id="rId144"/><Relationship Type="http://schemas.openxmlformats.org/officeDocument/2006/relationships/hyperlink" Target="#'GEOMEAN'!A1" TargetMode="External" Id="rId145"/><Relationship Type="http://schemas.openxmlformats.org/officeDocument/2006/relationships/hyperlink" Target="#'GROWTH'!A1" TargetMode="External" Id="rId146"/><Relationship Type="http://schemas.openxmlformats.org/officeDocument/2006/relationships/hyperlink" Target="#'HARMEAN'!A1" TargetMode="External" Id="rId147"/><Relationship Type="http://schemas.openxmlformats.org/officeDocument/2006/relationships/hyperlink" Target="#'HYPGEOMDIST'!A1" TargetMode="External" Id="rId148"/><Relationship Type="http://schemas.openxmlformats.org/officeDocument/2006/relationships/hyperlink" Target="#'INTERCEPT'!A1" TargetMode="External" Id="rId149"/><Relationship Type="http://schemas.openxmlformats.org/officeDocument/2006/relationships/hyperlink" Target="#'KURT'!A1" TargetMode="External" Id="rId150"/><Relationship Type="http://schemas.openxmlformats.org/officeDocument/2006/relationships/hyperlink" Target="#'LARGE'!A1" TargetMode="External" Id="rId151"/><Relationship Type="http://schemas.openxmlformats.org/officeDocument/2006/relationships/hyperlink" Target="#'LOGNORM.DIST'!A1" TargetMode="External" Id="rId152"/><Relationship Type="http://schemas.openxmlformats.org/officeDocument/2006/relationships/hyperlink" Target="#'LOGINV'!A1" TargetMode="External" Id="rId153"/><Relationship Type="http://schemas.openxmlformats.org/officeDocument/2006/relationships/hyperlink" Target="#'MAX'!A1" TargetMode="External" Id="rId154"/><Relationship Type="http://schemas.openxmlformats.org/officeDocument/2006/relationships/hyperlink" Target="#'MAXA'!A1" TargetMode="External" Id="rId155"/><Relationship Type="http://schemas.openxmlformats.org/officeDocument/2006/relationships/hyperlink" Target="#'MEDIAN'!A1" TargetMode="External" Id="rId156"/><Relationship Type="http://schemas.openxmlformats.org/officeDocument/2006/relationships/hyperlink" Target="#'MIN'!A1" TargetMode="External" Id="rId157"/><Relationship Type="http://schemas.openxmlformats.org/officeDocument/2006/relationships/hyperlink" Target="#'MINA'!A1" TargetMode="External" Id="rId158"/><Relationship Type="http://schemas.openxmlformats.org/officeDocument/2006/relationships/hyperlink" Target="#'MODE'!A1" TargetMode="External" Id="rId159"/><Relationship Type="http://schemas.openxmlformats.org/officeDocument/2006/relationships/hyperlink" Target="#'NEGBINOM.DIST'!A1" TargetMode="External" Id="rId160"/><Relationship Type="http://schemas.openxmlformats.org/officeDocument/2006/relationships/hyperlink" Target="#'NORM.DIST'!A1" TargetMode="External" Id="rId161"/><Relationship Type="http://schemas.openxmlformats.org/officeDocument/2006/relationships/hyperlink" Target="#'NORM.INV'!A1" TargetMode="External" Id="rId162"/><Relationship Type="http://schemas.openxmlformats.org/officeDocument/2006/relationships/hyperlink" Target="#'NORM.S.DIST'!A1" TargetMode="External" Id="rId163"/><Relationship Type="http://schemas.openxmlformats.org/officeDocument/2006/relationships/hyperlink" Target="#'NORM.S.INV'!A1" TargetMode="External" Id="rId164"/><Relationship Type="http://schemas.openxmlformats.org/officeDocument/2006/relationships/hyperlink" Target="#'PEARSON'!A1" TargetMode="External" Id="rId165"/><Relationship Type="http://schemas.openxmlformats.org/officeDocument/2006/relationships/hyperlink" Target="#'PERCENTILE.EXC'!A1" TargetMode="External" Id="rId166"/><Relationship Type="http://schemas.openxmlformats.org/officeDocument/2006/relationships/hyperlink" Target="#'PERCENTILE.INC'!A1" TargetMode="External" Id="rId167"/><Relationship Type="http://schemas.openxmlformats.org/officeDocument/2006/relationships/hyperlink" Target="#'PERCENTRANK.EXC'!A1" TargetMode="External" Id="rId168"/><Relationship Type="http://schemas.openxmlformats.org/officeDocument/2006/relationships/hyperlink" Target="#'PERCENTRANK.INC'!A1" TargetMode="External" Id="rId169"/><Relationship Type="http://schemas.openxmlformats.org/officeDocument/2006/relationships/hyperlink" Target="#'PERMUT'!A1" TargetMode="External" Id="rId170"/><Relationship Type="http://schemas.openxmlformats.org/officeDocument/2006/relationships/hyperlink" Target="#'POISSON'!A1" TargetMode="External" Id="rId171"/><Relationship Type="http://schemas.openxmlformats.org/officeDocument/2006/relationships/hyperlink" Target="#'PROB'!A1" TargetMode="External" Id="rId172"/><Relationship Type="http://schemas.openxmlformats.org/officeDocument/2006/relationships/hyperlink" Target="#'QUARTILE.EXC'!A1" TargetMode="External" Id="rId173"/><Relationship Type="http://schemas.openxmlformats.org/officeDocument/2006/relationships/hyperlink" Target="#'QUARTILE.INC'!A1" TargetMode="External" Id="rId174"/><Relationship Type="http://schemas.openxmlformats.org/officeDocument/2006/relationships/hyperlink" Target="#'RANK'!A1" TargetMode="External" Id="rId175"/><Relationship Type="http://schemas.openxmlformats.org/officeDocument/2006/relationships/hyperlink" Target="#'RSQ'!A1" TargetMode="External" Id="rId176"/><Relationship Type="http://schemas.openxmlformats.org/officeDocument/2006/relationships/hyperlink" Target="#'SKEW'!A1" TargetMode="External" Id="rId177"/><Relationship Type="http://schemas.openxmlformats.org/officeDocument/2006/relationships/hyperlink" Target="#'SLOPE'!A1" TargetMode="External" Id="rId178"/><Relationship Type="http://schemas.openxmlformats.org/officeDocument/2006/relationships/hyperlink" Target="#'SMALL'!A1" TargetMode="External" Id="rId179"/><Relationship Type="http://schemas.openxmlformats.org/officeDocument/2006/relationships/hyperlink" Target="#'STANDARDIZE'!A1" TargetMode="External" Id="rId180"/><Relationship Type="http://schemas.openxmlformats.org/officeDocument/2006/relationships/hyperlink" Target="#'STDEV.P'!A1" TargetMode="External" Id="rId181"/><Relationship Type="http://schemas.openxmlformats.org/officeDocument/2006/relationships/hyperlink" Target="#'STDEV.S'!A1" TargetMode="External" Id="rId182"/><Relationship Type="http://schemas.openxmlformats.org/officeDocument/2006/relationships/hyperlink" Target="#'STDEVA'!A1" TargetMode="External" Id="rId183"/><Relationship Type="http://schemas.openxmlformats.org/officeDocument/2006/relationships/hyperlink" Target="#'STDEVP'!A1" TargetMode="External" Id="rId184"/><Relationship Type="http://schemas.openxmlformats.org/officeDocument/2006/relationships/hyperlink" Target="#'STDEVPA'!A1" TargetMode="External" Id="rId185"/><Relationship Type="http://schemas.openxmlformats.org/officeDocument/2006/relationships/hyperlink" Target="#'STEYX'!A1" TargetMode="External" Id="rId186"/><Relationship Type="http://schemas.openxmlformats.org/officeDocument/2006/relationships/hyperlink" Target="#'T.DIST'!A1" TargetMode="External" Id="rId187"/><Relationship Type="http://schemas.openxmlformats.org/officeDocument/2006/relationships/hyperlink" Target="#'T.DIST.2T'!A1" TargetMode="External" Id="rId188"/><Relationship Type="http://schemas.openxmlformats.org/officeDocument/2006/relationships/hyperlink" Target="#'T.DIST.RT'!A1" TargetMode="External" Id="rId189"/><Relationship Type="http://schemas.openxmlformats.org/officeDocument/2006/relationships/hyperlink" Target="#'T.INV'!A1" TargetMode="External" Id="rId190"/><Relationship Type="http://schemas.openxmlformats.org/officeDocument/2006/relationships/hyperlink" Target="#'T.INV.2T'!A1" TargetMode="External" Id="rId191"/><Relationship Type="http://schemas.openxmlformats.org/officeDocument/2006/relationships/hyperlink" Target="#'TREND'!A1" TargetMode="External" Id="rId192"/><Relationship Type="http://schemas.openxmlformats.org/officeDocument/2006/relationships/hyperlink" Target="#'T.TEST'!A1" TargetMode="External" Id="rId193"/><Relationship Type="http://schemas.openxmlformats.org/officeDocument/2006/relationships/hyperlink" Target="#'TRIMMEAN'!A1" TargetMode="External" Id="rId194"/><Relationship Type="http://schemas.openxmlformats.org/officeDocument/2006/relationships/hyperlink" Target="#'VAR.P'!A1" TargetMode="External" Id="rId195"/><Relationship Type="http://schemas.openxmlformats.org/officeDocument/2006/relationships/hyperlink" Target="#'VAR.S'!A1" TargetMode="External" Id="rId196"/><Relationship Type="http://schemas.openxmlformats.org/officeDocument/2006/relationships/hyperlink" Target="#'VARA'!A1" TargetMode="External" Id="rId197"/><Relationship Type="http://schemas.openxmlformats.org/officeDocument/2006/relationships/hyperlink" Target="#'VARPA'!A1" TargetMode="External" Id="rId198"/><Relationship Type="http://schemas.openxmlformats.org/officeDocument/2006/relationships/hyperlink" Target="#'WEIBULL'!A1" TargetMode="External" Id="rId199"/><Relationship Type="http://schemas.openxmlformats.org/officeDocument/2006/relationships/hyperlink" Target="#'ZTEST'!A1" TargetMode="External" Id="rId200"/></Relationships>
</file>

<file path=xl/worksheets/_rels/sheet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0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0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6" customWidth="1" min="4" max="4"/>
    <col width="65" customWidth="1" min="5" max="5"/>
    <col width="24" customWidth="1" min="6" max="6"/>
  </cols>
  <sheetData>
    <row r="1" ht="32" customHeight="1">
      <c r="A1" s="1" t="inlineStr">
        <is>
          <t>📚 MASTER WORKBOOK 160+ RUMUS EXCEL DUNIA NYATA (200 SHEET RUMUS &amp; 1000 SOAL DUNIA NYATA)</t>
        </is>
      </c>
    </row>
    <row r="2" ht="22" customHeight="1">
      <c r="A2" s="2" t="inlineStr">
        <is>
          <t>Klik nama sheet di kolom 'Link Langsung' atau pilih tab di bawah untuk langsung mempraktekkan 5 Persoalan Dunia Nyata di setiap rumus!</t>
        </is>
      </c>
    </row>
    <row r="4" ht="24" customHeight="1">
      <c r="A4" s="3" t="inlineStr">
        <is>
          <t>No</t>
        </is>
      </c>
      <c r="B4" s="3" t="inlineStr">
        <is>
          <t>Nama Rumus (Sheet)</t>
        </is>
      </c>
      <c r="C4" s="3" t="inlineStr">
        <is>
          <t>Kategori</t>
        </is>
      </c>
      <c r="D4" s="3" t="inlineStr">
        <is>
          <t>Sintaks Penulisan</t>
        </is>
      </c>
      <c r="E4" s="3" t="inlineStr">
        <is>
          <t>Fungsinya Buat Apa (Bahasa Bayi &amp; Dunia Nyata)</t>
        </is>
      </c>
      <c r="F4" s="3" t="inlineStr">
        <is>
          <t>Link Langsung</t>
        </is>
      </c>
    </row>
    <row r="5">
      <c r="A5" s="4" t="n">
        <v>1</v>
      </c>
      <c r="B5" s="5" t="inlineStr">
        <is>
          <t>SUM</t>
        </is>
      </c>
      <c r="C5" s="4" t="inlineStr">
        <is>
          <t>1. Matematika &amp; Akuntansi</t>
        </is>
      </c>
      <c r="D5" s="6">
        <f>SUM(angka1, [angka2], ...)</f>
        <v/>
      </c>
      <c r="E5" s="4" t="inlineStr">
        <is>
          <t>Menjumlahkan seluruh angka di dalam blok sel sekaligus. Bayangkan punya 5 celengan, SUM langsung menghitung total uang di semua celengan itu dalam 1 detik!</t>
        </is>
      </c>
      <c r="F5" s="7" t="inlineStr">
        <is>
          <t>👉 Buka Sheet SUM</t>
        </is>
      </c>
    </row>
    <row r="6">
      <c r="A6" s="4" t="n">
        <v>2</v>
      </c>
      <c r="B6" s="5" t="inlineStr">
        <is>
          <t>SUMIF</t>
        </is>
      </c>
      <c r="C6" s="4" t="inlineStr">
        <is>
          <t>1. Matematika &amp; Akuntansi</t>
        </is>
      </c>
      <c r="D6" s="6">
        <f>SUMIF(range_syarat, syarat, [range_jumlah])</f>
        <v/>
      </c>
      <c r="E6" s="4" t="inlineStr">
        <is>
          <t>Menjumlahkan angka TAPI pilih-pilih sesuai 1 syarat. Contoh: Hanya jumlahkan omzet dari cabang 'Jakarta' saja, cabang lain abaikan!</t>
        </is>
      </c>
      <c r="F6" s="7" t="inlineStr">
        <is>
          <t>👉 Buka Sheet SUMIF</t>
        </is>
      </c>
    </row>
    <row r="7">
      <c r="A7" s="4" t="n">
        <v>3</v>
      </c>
      <c r="B7" s="5" t="inlineStr">
        <is>
          <t>SUMIFS</t>
        </is>
      </c>
      <c r="C7" s="4" t="inlineStr">
        <is>
          <t>1. Matematika &amp; Akuntansi</t>
        </is>
      </c>
      <c r="D7" s="6">
        <f>SUMIFS(range_jumlah, range_syarat1, syarat1, range_syarat2, syarat2)</f>
        <v/>
      </c>
      <c r="E7" s="4" t="inlineStr">
        <is>
          <t>Menjumlahkan angka dengan BANYAK syarat sekaligus. Contoh: Jumlahkan penjualan khusus barang 'Laptop' DAN khusus cabang 'Surabaya'!</t>
        </is>
      </c>
      <c r="F7" s="7" t="inlineStr">
        <is>
          <t>👉 Buka Sheet SUMIFS</t>
        </is>
      </c>
    </row>
    <row r="8">
      <c r="A8" s="4" t="n">
        <v>4</v>
      </c>
      <c r="B8" s="5" t="inlineStr">
        <is>
          <t>PRODUCT</t>
        </is>
      </c>
      <c r="C8" s="4" t="inlineStr">
        <is>
          <t>1. Matematika &amp; Akuntansi</t>
        </is>
      </c>
      <c r="D8" s="6">
        <f>PRODUCT(angka1, [angka2], ...)</f>
        <v/>
      </c>
      <c r="E8" s="4" t="inlineStr">
        <is>
          <t>Mengalikan semua angka di dalam rentang sel. Cocok untuk menghitung perkalian beruntun seperti Harga × Jumlah × Faktor Diskon.</t>
        </is>
      </c>
      <c r="F8" s="7" t="inlineStr">
        <is>
          <t>👉 Buka Sheet PRODUCT</t>
        </is>
      </c>
    </row>
    <row r="9">
      <c r="A9" s="4" t="n">
        <v>5</v>
      </c>
      <c r="B9" s="5" t="inlineStr">
        <is>
          <t>SUMPRODUCT</t>
        </is>
      </c>
      <c r="C9" s="4" t="inlineStr">
        <is>
          <t>1. Matematika &amp; Akuntansi</t>
        </is>
      </c>
      <c r="D9" s="6">
        <f>SUMPRODUCT(array1, [array2], ...)</f>
        <v/>
      </c>
      <c r="E9" s="4" t="inlineStr">
        <is>
          <t>Mengalikan dua kolom sejajar (misal Harga × Qty tiap baris) lalu langsung menjumlahkan total akhirnya tanpa perlu kolom bantuan!</t>
        </is>
      </c>
      <c r="F9" s="7" t="inlineStr">
        <is>
          <t>👉 Buka Sheet SUMPRODUCT</t>
        </is>
      </c>
    </row>
    <row r="10">
      <c r="A10" s="4" t="n">
        <v>6</v>
      </c>
      <c r="B10" s="5" t="inlineStr">
        <is>
          <t>ROUND</t>
        </is>
      </c>
      <c r="C10" s="4" t="inlineStr">
        <is>
          <t>1. Matematika &amp; Akuntansi</t>
        </is>
      </c>
      <c r="D10" s="6">
        <f>ROUND(angka, jumlah_digit)</f>
        <v/>
      </c>
      <c r="E10" s="4" t="inlineStr">
        <is>
          <t>Membulatkan angka desimal ke jumlah angka di belakang koma terdekat sesuai aturan matematika standar (0.5 ke atas naik).</t>
        </is>
      </c>
      <c r="F10" s="7" t="inlineStr">
        <is>
          <t>👉 Buka Sheet ROUND</t>
        </is>
      </c>
    </row>
    <row r="11">
      <c r="A11" s="4" t="n">
        <v>7</v>
      </c>
      <c r="B11" s="5" t="inlineStr">
        <is>
          <t>ROUNDUP</t>
        </is>
      </c>
      <c r="C11" s="4" t="inlineStr">
        <is>
          <t>1. Matematika &amp; Akuntansi</t>
        </is>
      </c>
      <c r="D11" s="6">
        <f>ROUNDUP(angka, jumlah_digit)</f>
        <v/>
      </c>
      <c r="E11" s="4" t="inlineStr">
        <is>
          <t>Selalu membulatkan angka KE ATAS menjauhi nol. Cocok untuk menghitung jumlah dus/truk (kalau butuh 4.1 truk, harus sewa 5 truk!).</t>
        </is>
      </c>
      <c r="F11" s="7" t="inlineStr">
        <is>
          <t>👉 Buka Sheet ROUNDUP</t>
        </is>
      </c>
    </row>
    <row r="12">
      <c r="A12" s="4" t="n">
        <v>8</v>
      </c>
      <c r="B12" s="5" t="inlineStr">
        <is>
          <t>ROUNDDOWN</t>
        </is>
      </c>
      <c r="C12" s="4" t="inlineStr">
        <is>
          <t>1. Matematika &amp; Akuntansi</t>
        </is>
      </c>
      <c r="D12" s="6">
        <f>ROUNDDOWN(angka, jumlah_digit)</f>
        <v/>
      </c>
      <c r="E12" s="4" t="inlineStr">
        <is>
          <t>Selalu membulatkan angka KE BAWAH mendekati nol (memotong desimal tanpa peduli angkanya besar).</t>
        </is>
      </c>
      <c r="F12" s="7" t="inlineStr">
        <is>
          <t>👉 Buka Sheet ROUNDDOWN</t>
        </is>
      </c>
    </row>
    <row r="13">
      <c r="A13" s="4" t="n">
        <v>9</v>
      </c>
      <c r="B13" s="5" t="inlineStr">
        <is>
          <t>MROUND</t>
        </is>
      </c>
      <c r="C13" s="4" t="inlineStr">
        <is>
          <t>1. Matematika &amp; Akuntansi</t>
        </is>
      </c>
      <c r="D13" s="6">
        <f>MROUND(angka, kelipatan)</f>
        <v/>
      </c>
      <c r="E13" s="4" t="inlineStr">
        <is>
          <t>Membulatkan angka ke kelipatan tertentu terdekat (misal membulatkan harga uang receh ke kelipatan Rp 500 terdekat).</t>
        </is>
      </c>
      <c r="F13" s="7" t="inlineStr">
        <is>
          <t>👉 Buka Sheet MROUND</t>
        </is>
      </c>
    </row>
    <row r="14">
      <c r="A14" s="4" t="n">
        <v>10</v>
      </c>
      <c r="B14" s="5" t="inlineStr">
        <is>
          <t>CEILING</t>
        </is>
      </c>
      <c r="C14" s="4" t="inlineStr">
        <is>
          <t>1. Matematika &amp; Akuntansi</t>
        </is>
      </c>
      <c r="D14" s="6">
        <f>CEILING(angka, kelipatan)</f>
        <v/>
      </c>
      <c r="E14" s="4" t="inlineStr">
        <is>
          <t>Membulatkan angka KE ATAS menuju kelipatan terdekat (misal pembulatan tagihan parkir per kelipatan 1000 ke atas).</t>
        </is>
      </c>
      <c r="F14" s="7" t="inlineStr">
        <is>
          <t>👉 Buka Sheet CEILING</t>
        </is>
      </c>
    </row>
    <row r="15">
      <c r="A15" s="4" t="n">
        <v>11</v>
      </c>
      <c r="B15" s="5" t="inlineStr">
        <is>
          <t>FLOOR</t>
        </is>
      </c>
      <c r="C15" s="4" t="inlineStr">
        <is>
          <t>1. Matematika &amp; Akuntansi</t>
        </is>
      </c>
      <c r="D15" s="6">
        <f>FLOOR(angka, kelipatan)</f>
        <v/>
      </c>
      <c r="E15" s="4" t="inlineStr">
        <is>
          <t>Membulatkan angka KE BAWAH menuju kelipatan terdekat (misal menghitung paket lusinan penuh dari stok barang).</t>
        </is>
      </c>
      <c r="F15" s="7" t="inlineStr">
        <is>
          <t>👉 Buka Sheet FLOOR</t>
        </is>
      </c>
    </row>
    <row r="16">
      <c r="A16" s="4" t="n">
        <v>12</v>
      </c>
      <c r="B16" s="5" t="inlineStr">
        <is>
          <t>INT</t>
        </is>
      </c>
      <c r="C16" s="4" t="inlineStr">
        <is>
          <t>1. Matematika &amp; Akuntansi</t>
        </is>
      </c>
      <c r="D16" s="6">
        <f>INT(angka)</f>
        <v/>
      </c>
      <c r="E16" s="4" t="inlineStr">
        <is>
          <t>Mengambil angka bulatnya saja dengan membulatkan ke bawah ke bilangan bulat terdekat.</t>
        </is>
      </c>
      <c r="F16" s="7" t="inlineStr">
        <is>
          <t>👉 Buka Sheet INT</t>
        </is>
      </c>
    </row>
    <row r="17">
      <c r="A17" s="4" t="n">
        <v>13</v>
      </c>
      <c r="B17" s="5" t="inlineStr">
        <is>
          <t>TRUNC</t>
        </is>
      </c>
      <c r="C17" s="4" t="inlineStr">
        <is>
          <t>1. Matematika &amp; Akuntansi</t>
        </is>
      </c>
      <c r="D17" s="6">
        <f>TRUNC(angka, [jumlah_digit])</f>
        <v/>
      </c>
      <c r="E17" s="4" t="inlineStr">
        <is>
          <t>Memotong angka desimal di belakang koma secara langsung tanpa pembulatan.</t>
        </is>
      </c>
      <c r="F17" s="7" t="inlineStr">
        <is>
          <t>👉 Buka Sheet TRUNC</t>
        </is>
      </c>
    </row>
    <row r="18">
      <c r="A18" s="4" t="n">
        <v>14</v>
      </c>
      <c r="B18" s="5" t="inlineStr">
        <is>
          <t>MOD</t>
        </is>
      </c>
      <c r="C18" s="4" t="inlineStr">
        <is>
          <t>1. Matematika &amp; Akuntansi</t>
        </is>
      </c>
      <c r="D18" s="6">
        <f>MOD(angka, pembagi)</f>
        <v/>
      </c>
      <c r="E18" s="4" t="inlineStr">
        <is>
          <t>Mencari SISA hasil pembagian. Contoh: 14 permen dibagi ke 4 anak, masing-masing dapat 3 dan SISA 2 permen (MOD = 2).</t>
        </is>
      </c>
      <c r="F18" s="7" t="inlineStr">
        <is>
          <t>👉 Buka Sheet MOD</t>
        </is>
      </c>
    </row>
    <row r="19">
      <c r="A19" s="4" t="n">
        <v>15</v>
      </c>
      <c r="B19" s="5" t="inlineStr">
        <is>
          <t>QUOTIENT</t>
        </is>
      </c>
      <c r="C19" s="4" t="inlineStr">
        <is>
          <t>1. Matematika &amp; Akuntansi</t>
        </is>
      </c>
      <c r="D19" s="6">
        <f>QUOTIENT(pembilang, penyebut)</f>
        <v/>
      </c>
      <c r="E19" s="4" t="inlineStr">
        <is>
          <t>Mengambil hasil bagi BULAT saja dan membuang sisanya. Contoh: 14 dibagi 4 hasilnya 3 (sisanya diabaikan).</t>
        </is>
      </c>
      <c r="F19" s="7" t="inlineStr">
        <is>
          <t>👉 Buka Sheet QUOTIENT</t>
        </is>
      </c>
    </row>
    <row r="20">
      <c r="A20" s="4" t="n">
        <v>16</v>
      </c>
      <c r="B20" s="5" t="inlineStr">
        <is>
          <t>ABS</t>
        </is>
      </c>
      <c r="C20" s="4" t="inlineStr">
        <is>
          <t>1. Matematika &amp; Akuntansi</t>
        </is>
      </c>
      <c r="D20" s="6">
        <f>ABS(angka)</f>
        <v/>
      </c>
      <c r="E20" s="4" t="inlineStr">
        <is>
          <t>Mengubah angka minus (negatif) menjadi positif (Nilai Mutlak). Cocok untuk menghitung selisih jarak atau deviasi stok tanpa tanda minus.</t>
        </is>
      </c>
      <c r="F20" s="7" t="inlineStr">
        <is>
          <t>👉 Buka Sheet ABS</t>
        </is>
      </c>
    </row>
    <row r="21">
      <c r="A21" s="4" t="n">
        <v>17</v>
      </c>
      <c r="B21" s="5" t="inlineStr">
        <is>
          <t>POWER</t>
        </is>
      </c>
      <c r="C21" s="4" t="inlineStr">
        <is>
          <t>1. Matematika &amp; Akuntansi</t>
        </is>
      </c>
      <c r="D21" s="6">
        <f>POWER(angka, pangkat)</f>
        <v/>
      </c>
      <c r="E21" s="4" t="inlineStr">
        <is>
          <t>Menghitung perpangkatan angka (misal 5 pangkat 3 = 125).</t>
        </is>
      </c>
      <c r="F21" s="7" t="inlineStr">
        <is>
          <t>👉 Buka Sheet POWER</t>
        </is>
      </c>
    </row>
    <row r="22">
      <c r="A22" s="4" t="n">
        <v>18</v>
      </c>
      <c r="B22" s="5" t="inlineStr">
        <is>
          <t>SQRT</t>
        </is>
      </c>
      <c r="C22" s="4" t="inlineStr">
        <is>
          <t>1. Matematika &amp; Akuntansi</t>
        </is>
      </c>
      <c r="D22" s="6">
        <f>SQRT(angka)</f>
        <v/>
      </c>
      <c r="E22" s="4" t="inlineStr">
        <is>
          <t>Mencari akar kuadrat dari suatu angka (misal akar dari 144 adalah 12).</t>
        </is>
      </c>
      <c r="F22" s="7" t="inlineStr">
        <is>
          <t>👉 Buka Sheet SQRT</t>
        </is>
      </c>
    </row>
    <row r="23">
      <c r="A23" s="4" t="n">
        <v>19</v>
      </c>
      <c r="B23" s="5" t="inlineStr">
        <is>
          <t>SUBTOTAL</t>
        </is>
      </c>
      <c r="C23" s="4" t="inlineStr">
        <is>
          <t>1. Matematika &amp; Akuntansi</t>
        </is>
      </c>
      <c r="D23" s="6">
        <f>SUBTOTAL(kode_fungsi, range)</f>
        <v/>
      </c>
      <c r="E23" s="4" t="inlineStr">
        <is>
          <t>Menghitung total/rata-rata yang PINTAR karena otomatis mengabaikan baris yang sedang disembunyikan oleh Filter!</t>
        </is>
      </c>
      <c r="F23" s="7" t="inlineStr">
        <is>
          <t>👉 Buka Sheet SUBTOTAL</t>
        </is>
      </c>
    </row>
    <row r="24">
      <c r="A24" s="4" t="n">
        <v>20</v>
      </c>
      <c r="B24" s="5" t="inlineStr">
        <is>
          <t>AGGREGATE</t>
        </is>
      </c>
      <c r="C24" s="4" t="inlineStr">
        <is>
          <t>1. Matematika &amp; Akuntansi</t>
        </is>
      </c>
      <c r="D24" s="6">
        <f>AGGREGATE(kode_fungsi, opsi_abaikan, range)</f>
        <v/>
      </c>
      <c r="E24" s="4" t="inlineStr">
        <is>
          <t>Versi super dari SUBTOTAL yang sanggup mengabaikan baris tersembunyi SEKALIGUS mengabaikan sel yang error (#N/A atau #DIV/0!).</t>
        </is>
      </c>
      <c r="F24" s="7" t="inlineStr">
        <is>
          <t>👉 Buka Sheet AGGREGATE</t>
        </is>
      </c>
    </row>
    <row r="25">
      <c r="A25" s="4" t="n">
        <v>21</v>
      </c>
      <c r="B25" s="5" t="inlineStr">
        <is>
          <t>RANDBETWEEN</t>
        </is>
      </c>
      <c r="C25" s="4" t="inlineStr">
        <is>
          <t>1. Matematika &amp; Akuntansi</t>
        </is>
      </c>
      <c r="D25" s="6">
        <f>RANDBETWEEN(batas_bawah, batas_atas)</f>
        <v/>
      </c>
      <c r="E25" s="4" t="inlineStr">
        <is>
          <t>Menghasilkan angka acak bulat di antara batas bawah dan atas (cocok untuk undian doorprize atau simulasi data).</t>
        </is>
      </c>
      <c r="F25" s="7" t="inlineStr">
        <is>
          <t>👉 Buka Sheet RANDBETWEEN</t>
        </is>
      </c>
    </row>
    <row r="26">
      <c r="A26" s="4" t="n">
        <v>22</v>
      </c>
      <c r="B26" s="5" t="inlineStr">
        <is>
          <t>SIGN</t>
        </is>
      </c>
      <c r="C26" s="4" t="inlineStr">
        <is>
          <t>1. Matematika &amp; Akuntansi</t>
        </is>
      </c>
      <c r="D26" s="6">
        <f>SIGN(angka)</f>
        <v/>
      </c>
      <c r="E26" s="4" t="inlineStr">
        <is>
          <t>Mengecek tanda angka: menghasilkan 1 jika positif (untung), 0 jika impas, dan -1 jika negatif (rugi).</t>
        </is>
      </c>
      <c r="F26" s="7" t="inlineStr">
        <is>
          <t>👉 Buka Sheet SIGN</t>
        </is>
      </c>
    </row>
    <row r="27">
      <c r="A27" s="4" t="n">
        <v>23</v>
      </c>
      <c r="B27" s="5" t="inlineStr">
        <is>
          <t>ROMAN</t>
        </is>
      </c>
      <c r="C27" s="4" t="inlineStr">
        <is>
          <t>1. Matematika &amp; Akuntansi</t>
        </is>
      </c>
      <c r="D27" s="6">
        <f>ROMAN(angka)</f>
        <v/>
      </c>
      <c r="E27" s="4" t="inlineStr">
        <is>
          <t>Mengubah angka biasa menjadi Angka Romawi (misal 2026 menjadi MMXXVI, atau bab laporan I, II, III, IV).</t>
        </is>
      </c>
      <c r="F27" s="7" t="inlineStr">
        <is>
          <t>👉 Buka Sheet ROMAN</t>
        </is>
      </c>
    </row>
    <row r="28">
      <c r="A28" s="4" t="n">
        <v>24</v>
      </c>
      <c r="B28" s="5" t="inlineStr">
        <is>
          <t>ARABIC</t>
        </is>
      </c>
      <c r="C28" s="4" t="inlineStr">
        <is>
          <t>1. Matematika &amp; Akuntansi</t>
        </is>
      </c>
      <c r="D28" s="6">
        <f>ARABIC(teks_romawi)</f>
        <v/>
      </c>
      <c r="E28" s="4" t="inlineStr">
        <is>
          <t>Kebalikan ROMAN: mengubah teks angka Romawi (seperti 'XIV') kembali menjadi angka biasa (14).</t>
        </is>
      </c>
      <c r="F28" s="7" t="inlineStr">
        <is>
          <t>👉 Buka Sheet ARABIC</t>
        </is>
      </c>
    </row>
    <row r="29">
      <c r="A29" s="4" t="n">
        <v>25</v>
      </c>
      <c r="B29" s="5" t="inlineStr">
        <is>
          <t>FACT</t>
        </is>
      </c>
      <c r="C29" s="4" t="inlineStr">
        <is>
          <t>1. Matematika &amp; Akuntansi</t>
        </is>
      </c>
      <c r="D29" s="6">
        <f>FACT(angka)</f>
        <v/>
      </c>
      <c r="E29" s="4" t="inlineStr">
        <is>
          <t>Menghitung faktorial matematika (n! = 1 × 2 × 3 × ... × n) untuk peluang dan susunan jadwal.</t>
        </is>
      </c>
      <c r="F29" s="7" t="inlineStr">
        <is>
          <t>👉 Buka Sheet FACT</t>
        </is>
      </c>
    </row>
    <row r="30">
      <c r="A30" s="4" t="n">
        <v>26</v>
      </c>
      <c r="B30" s="5" t="inlineStr">
        <is>
          <t>GCD</t>
        </is>
      </c>
      <c r="C30" s="4" t="inlineStr">
        <is>
          <t>1. Matematika &amp; Akuntansi</t>
        </is>
      </c>
      <c r="D30" s="6">
        <f>GCD(angka1, angka2)</f>
        <v/>
      </c>
      <c r="E30" s="4" t="inlineStr">
        <is>
          <t>Mencari Faktor Persekutuan Terbesar (FPB) dari dua angka atau lebih (misal membagi paket bingkisan sama rata).</t>
        </is>
      </c>
      <c r="F30" s="7" t="inlineStr">
        <is>
          <t>👉 Buka Sheet GCD</t>
        </is>
      </c>
    </row>
    <row r="31">
      <c r="A31" s="4" t="n">
        <v>27</v>
      </c>
      <c r="B31" s="5" t="inlineStr">
        <is>
          <t>LCM</t>
        </is>
      </c>
      <c r="C31" s="4" t="inlineStr">
        <is>
          <t>1. Matematika &amp; Akuntansi</t>
        </is>
      </c>
      <c r="D31" s="6">
        <f>LCM(angka1, angka2)</f>
        <v/>
      </c>
      <c r="E31" s="4" t="inlineStr">
        <is>
          <t>Mencari Kelipatan Persekutuan Terkecil (KPK) dari dua angka (misal jadwal pertemuan dua armada truk).</t>
        </is>
      </c>
      <c r="F31" s="7" t="inlineStr">
        <is>
          <t>👉 Buka Sheet LCM</t>
        </is>
      </c>
    </row>
    <row r="32">
      <c r="A32" s="4" t="n">
        <v>28</v>
      </c>
      <c r="B32" s="5" t="inlineStr">
        <is>
          <t>COMBIN</t>
        </is>
      </c>
      <c r="C32" s="4" t="inlineStr">
        <is>
          <t>1. Matematika &amp; Akuntansi</t>
        </is>
      </c>
      <c r="D32" s="6">
        <f>COMBIN(total_item, jumlah_dipilih)</f>
        <v/>
      </c>
      <c r="E32" s="4" t="inlineStr">
        <is>
          <t>Menghitung banyaknya kombinasi pemilihan tim/barang tanpa memperhatikan urutan.</t>
        </is>
      </c>
      <c r="F32" s="7" t="inlineStr">
        <is>
          <t>👉 Buka Sheet COMBIN</t>
        </is>
      </c>
    </row>
    <row r="33">
      <c r="A33" s="4" t="n">
        <v>29</v>
      </c>
      <c r="B33" s="5" t="inlineStr">
        <is>
          <t>IF</t>
        </is>
      </c>
      <c r="C33" s="4" t="inlineStr">
        <is>
          <t>2. Logika &amp; Keputusan</t>
        </is>
      </c>
      <c r="D33" s="6">
        <f>IF(syarat_logika, jika_benar, jika_salah)</f>
        <v/>
      </c>
      <c r="E33" s="4" t="inlineStr">
        <is>
          <t>Polisi lalu lintas di Excel: Jika syarat terpenuhi maka jalankan perintah A, jika tidak maka jalankan perintah B (Misal: Nilai &gt;= 75 maka 'LULUS', selain itu 'REMEDIAL').</t>
        </is>
      </c>
      <c r="F33" s="7" t="inlineStr">
        <is>
          <t>👉 Buka Sheet IF</t>
        </is>
      </c>
    </row>
    <row r="34">
      <c r="A34" s="4" t="n">
        <v>30</v>
      </c>
      <c r="B34" s="5" t="inlineStr">
        <is>
          <t>IFS</t>
        </is>
      </c>
      <c r="C34" s="4" t="inlineStr">
        <is>
          <t>2. Logika &amp; Keputusan</t>
        </is>
      </c>
      <c r="D34" s="6">
        <f>IFS(syarat1, hasil1, syarat2, hasil2, ...)</f>
        <v/>
      </c>
      <c r="E34" s="4" t="inlineStr">
        <is>
          <t>Menguji banyak syarat bertingkat tanpa perlu membuat IF bertumpuk-tumpuk (Misal: &gt;=90 'A', &gt;=80 'B', &gt;=70 'C').</t>
        </is>
      </c>
      <c r="F34" s="7" t="inlineStr">
        <is>
          <t>👉 Buka Sheet IFS</t>
        </is>
      </c>
    </row>
    <row r="35">
      <c r="A35" s="4" t="n">
        <v>31</v>
      </c>
      <c r="B35" s="5" t="inlineStr">
        <is>
          <t>AND</t>
        </is>
      </c>
      <c r="C35" s="4" t="inlineStr">
        <is>
          <t>2. Logika &amp; Keputusan</t>
        </is>
      </c>
      <c r="D35" s="6">
        <f>AND(logika1, logika2, ...)</f>
        <v/>
      </c>
      <c r="E35" s="4" t="inlineStr">
        <is>
          <t>Menghasilkan TRUE (Benar) HANYA JIKA SEMUA syarat terpenuhi sekaligus. Kalau ada satu saja yang gagal, hasilnya FALSE.</t>
        </is>
      </c>
      <c r="F35" s="7" t="inlineStr">
        <is>
          <t>👉 Buka Sheet AND</t>
        </is>
      </c>
    </row>
    <row r="36">
      <c r="A36" s="4" t="n">
        <v>32</v>
      </c>
      <c r="B36" s="5" t="inlineStr">
        <is>
          <t>OR</t>
        </is>
      </c>
      <c r="C36" s="4" t="inlineStr">
        <is>
          <t>2. Logika &amp; Keputusan</t>
        </is>
      </c>
      <c r="D36" s="6">
        <f>OR(logika1, logika2, ...)</f>
        <v/>
      </c>
      <c r="E36" s="4" t="inlineStr">
        <is>
          <t>Menghasilkan TRUE (Benar) jika SALAH SATU syarat saja sudah terpenuhi. Lebih fleksibel daripada AND.</t>
        </is>
      </c>
      <c r="F36" s="7" t="inlineStr">
        <is>
          <t>👉 Buka Sheet OR</t>
        </is>
      </c>
    </row>
    <row r="37">
      <c r="A37" s="4" t="n">
        <v>33</v>
      </c>
      <c r="B37" s="5" t="inlineStr">
        <is>
          <t>NOT</t>
        </is>
      </c>
      <c r="C37" s="4" t="inlineStr">
        <is>
          <t>2. Logika &amp; Keputusan</t>
        </is>
      </c>
      <c r="D37" s="6">
        <f>NOT(logika)</f>
        <v/>
      </c>
      <c r="E37" s="4" t="inlineStr">
        <is>
          <t>Membalikkan keadaan logika: yang TRUE dibalik jadi FALSE, yang FALSE dibalik jadi TRUE.</t>
        </is>
      </c>
      <c r="F37" s="7" t="inlineStr">
        <is>
          <t>👉 Buka Sheet NOT</t>
        </is>
      </c>
    </row>
    <row r="38">
      <c r="A38" s="4" t="n">
        <v>34</v>
      </c>
      <c r="B38" s="5" t="inlineStr">
        <is>
          <t>XOR</t>
        </is>
      </c>
      <c r="C38" s="4" t="inlineStr">
        <is>
          <t>2. Logika &amp; Keputusan</t>
        </is>
      </c>
      <c r="D38" s="6">
        <f>XOR(logika1, logika2)</f>
        <v/>
      </c>
      <c r="E38" s="4" t="inlineStr">
        <is>
          <t>Logika Eksklusif OR: menghasilkan TRUE jika tepat salah satu syarat benar, tapi FALSE jika keduanya sama-sama benar atau sama-sama salah.</t>
        </is>
      </c>
      <c r="F38" s="7" t="inlineStr">
        <is>
          <t>👉 Buka Sheet XOR</t>
        </is>
      </c>
    </row>
    <row r="39">
      <c r="A39" s="4" t="n">
        <v>35</v>
      </c>
      <c r="B39" s="5" t="inlineStr">
        <is>
          <t>IFERROR</t>
        </is>
      </c>
      <c r="C39" s="4" t="inlineStr">
        <is>
          <t>2. Logika &amp; Keputusan</t>
        </is>
      </c>
      <c r="D39" s="6">
        <f>IFERROR(rumus_utama, nilai_jika_error)</f>
        <v/>
      </c>
      <c r="E39" s="4" t="inlineStr">
        <is>
          <t>Sabuk pengaman rumus: jika rumus utama menghasilkan pesan error (#N/A, #DIV/0!), otomatis diganti dengan teks rapi seperti 'Data Tidak Ditemukan' atau angka 0.</t>
        </is>
      </c>
      <c r="F39" s="7" t="inlineStr">
        <is>
          <t>👉 Buka Sheet IFERROR</t>
        </is>
      </c>
    </row>
    <row r="40">
      <c r="A40" s="4" t="n">
        <v>36</v>
      </c>
      <c r="B40" s="5" t="inlineStr">
        <is>
          <t>IFNA</t>
        </is>
      </c>
      <c r="C40" s="4" t="inlineStr">
        <is>
          <t>2. Logika &amp; Keputusan</t>
        </is>
      </c>
      <c r="D40" s="6">
        <f>IFNA(nilai, nilai_jika_na)</f>
        <v/>
      </c>
      <c r="E40" s="4" t="inlineStr">
        <is>
          <t>Khusus menangkap error #N/A pada rumus pencarian VLOOKUP/MATCH agar tampil sopan jika kode barang tidak ditemukan.</t>
        </is>
      </c>
      <c r="F40" s="7" t="inlineStr">
        <is>
          <t>👉 Buka Sheet IFNA</t>
        </is>
      </c>
    </row>
    <row r="41">
      <c r="A41" s="4" t="n">
        <v>37</v>
      </c>
      <c r="B41" s="5" t="inlineStr">
        <is>
          <t>TRUE</t>
        </is>
      </c>
      <c r="C41" s="4" t="inlineStr">
        <is>
          <t>2. Logika &amp; Keputusan</t>
        </is>
      </c>
      <c r="D41" s="6">
        <f>TRUE()</f>
        <v/>
      </c>
      <c r="E41" s="4" t="inlineStr">
        <is>
          <t>Menghasilkan nilai logika benar (TRUE) untuk pengujian kondisi.</t>
        </is>
      </c>
      <c r="F41" s="7" t="inlineStr">
        <is>
          <t>👉 Buka Sheet TRUE</t>
        </is>
      </c>
    </row>
    <row r="42">
      <c r="A42" s="4" t="n">
        <v>38</v>
      </c>
      <c r="B42" s="5" t="inlineStr">
        <is>
          <t>FALSE</t>
        </is>
      </c>
      <c r="C42" s="4" t="inlineStr">
        <is>
          <t>2. Logika &amp; Keputusan</t>
        </is>
      </c>
      <c r="D42" s="6">
        <f>FALSE()</f>
        <v/>
      </c>
      <c r="E42" s="4" t="inlineStr">
        <is>
          <t>Menghasilkan nilai logika salah (FALSE) untuk pengujian kondisi.</t>
        </is>
      </c>
      <c r="F42" s="7" t="inlineStr">
        <is>
          <t>👉 Buka Sheet FALSE</t>
        </is>
      </c>
    </row>
    <row r="43">
      <c r="A43" s="4" t="n">
        <v>39</v>
      </c>
      <c r="B43" s="5" t="inlineStr">
        <is>
          <t>VLOOKUP</t>
        </is>
      </c>
      <c r="C43" s="4" t="inlineStr">
        <is>
          <t>3. Lookup &amp; Referensi</t>
        </is>
      </c>
      <c r="D43" s="6">
        <f>VLOOKUP(nilai_dicari, tabel_referensi, nomor_kolom, FALSE)</f>
        <v/>
      </c>
      <c r="E43" s="4" t="inlineStr">
        <is>
          <t>Mencari data secara VERTIKAL (dari atas ke bawah) di kolom paling kiri tabel, lalu mengambil data di sebelah kanannya (Misal: ketik NIP, otomatis muncul Nama &amp; Gaji!).</t>
        </is>
      </c>
      <c r="F43" s="7" t="inlineStr">
        <is>
          <t>👉 Buka Sheet VLOOKUP</t>
        </is>
      </c>
    </row>
    <row r="44">
      <c r="A44" s="4" t="n">
        <v>40</v>
      </c>
      <c r="B44" s="5" t="inlineStr">
        <is>
          <t>HLOOKUP</t>
        </is>
      </c>
      <c r="C44" s="4" t="inlineStr">
        <is>
          <t>3. Lookup &amp; Referensi</t>
        </is>
      </c>
      <c r="D44" s="6">
        <f>HLOOKUP(nilai_dicari, tabel_referensi, nomor_baris, FALSE)</f>
        <v/>
      </c>
      <c r="E44" s="4" t="inlineStr">
        <is>
          <t>Mencari data secara HORIZONTAL (menyamping di baris paling atas), lalu mengambil data di baris bawahnya.</t>
        </is>
      </c>
      <c r="F44" s="7" t="inlineStr">
        <is>
          <t>👉 Buka Sheet HLOOKUP</t>
        </is>
      </c>
    </row>
    <row r="45">
      <c r="A45" s="4" t="n">
        <v>41</v>
      </c>
      <c r="B45" s="5" t="inlineStr">
        <is>
          <t>INDEX</t>
        </is>
      </c>
      <c r="C45" s="4" t="inlineStr">
        <is>
          <t>3. Lookup &amp; Referensi</t>
        </is>
      </c>
      <c r="D45" s="6">
        <f>INDEX(range_tabel, nomor_baris, [nomor_kolom])</f>
        <v/>
      </c>
      <c r="E45" s="4" t="inlineStr">
        <is>
          <t>Mengambil isi sel berdasarkan koordinat nomor baris dan nomor kolom seperti menunjuk peta harta karun.</t>
        </is>
      </c>
      <c r="F45" s="7" t="inlineStr">
        <is>
          <t>👉 Buka Sheet INDEX</t>
        </is>
      </c>
    </row>
    <row r="46">
      <c r="A46" s="4" t="n">
        <v>42</v>
      </c>
      <c r="B46" s="5" t="inlineStr">
        <is>
          <t>MATCH</t>
        </is>
      </c>
      <c r="C46" s="4" t="inlineStr">
        <is>
          <t>3. Lookup &amp; Referensi</t>
        </is>
      </c>
      <c r="D46" s="6">
        <f>MATCH(nilai_dicari, range_satu_kolom, 0)</f>
        <v/>
      </c>
      <c r="E46" s="4" t="inlineStr">
        <is>
          <t>Mencari tahu suatu barang berada di urutan BARIS KE BERAPA di dalam daftar.</t>
        </is>
      </c>
      <c r="F46" s="7" t="inlineStr">
        <is>
          <t>👉 Buka Sheet MATCH</t>
        </is>
      </c>
    </row>
    <row r="47">
      <c r="A47" s="4" t="n">
        <v>43</v>
      </c>
      <c r="B47" s="5" t="inlineStr">
        <is>
          <t>CHOOSE</t>
        </is>
      </c>
      <c r="C47" s="4" t="inlineStr">
        <is>
          <t>3. Lookup &amp; Referensi</t>
        </is>
      </c>
      <c r="D47" s="6">
        <f>CHOOSE(nomor_pilihan, nilai1, nilai2, nilai3, ...)</f>
        <v/>
      </c>
      <c r="E47" s="4" t="inlineStr">
        <is>
          <t>Memilih hadiah/item dari daftar berdasarkan nomor urut yang ditunjuk (Jika pilih 1 keluar Emas, 2 Perak, 3 Perunggu).</t>
        </is>
      </c>
      <c r="F47" s="7" t="inlineStr">
        <is>
          <t>👉 Buka Sheet CHOOSE</t>
        </is>
      </c>
    </row>
    <row r="48">
      <c r="A48" s="4" t="n">
        <v>44</v>
      </c>
      <c r="B48" s="5" t="inlineStr">
        <is>
          <t>ROW</t>
        </is>
      </c>
      <c r="C48" s="4" t="inlineStr">
        <is>
          <t>3. Lookup &amp; Referensi</t>
        </is>
      </c>
      <c r="D48" s="6">
        <f>ROW([referensi_sel])</f>
        <v/>
      </c>
      <c r="E48" s="4" t="inlineStr">
        <is>
          <t>Memberitahu nomor baris tempat sel tersebut berada (Misal: =ROW(B15) menghasilkan angka 15).</t>
        </is>
      </c>
      <c r="F48" s="7" t="inlineStr">
        <is>
          <t>👉 Buka Sheet ROW</t>
        </is>
      </c>
    </row>
    <row r="49">
      <c r="A49" s="4" t="n">
        <v>45</v>
      </c>
      <c r="B49" s="5" t="inlineStr">
        <is>
          <t>ROWS</t>
        </is>
      </c>
      <c r="C49" s="4" t="inlineStr">
        <is>
          <t>3. Lookup &amp; Referensi</t>
        </is>
      </c>
      <c r="D49" s="6">
        <f>ROWS(range)</f>
        <v/>
      </c>
      <c r="E49" s="4" t="inlineStr">
        <is>
          <t>Menghitung ada berapa total baris di dalam suatu blok tabel.</t>
        </is>
      </c>
      <c r="F49" s="7" t="inlineStr">
        <is>
          <t>👉 Buka Sheet ROWS</t>
        </is>
      </c>
    </row>
    <row r="50">
      <c r="A50" s="4" t="n">
        <v>46</v>
      </c>
      <c r="B50" s="5" t="inlineStr">
        <is>
          <t>COLUMN</t>
        </is>
      </c>
      <c r="C50" s="4" t="inlineStr">
        <is>
          <t>3. Lookup &amp; Referensi</t>
        </is>
      </c>
      <c r="D50" s="6">
        <f>COLUMN([referensi_sel])</f>
        <v/>
      </c>
      <c r="E50" s="4" t="inlineStr">
        <is>
          <t>Memberitahu nomor urut kolom suatu sel (Kolom A=1, B=2, C=3, dst.).</t>
        </is>
      </c>
      <c r="F50" s="7" t="inlineStr">
        <is>
          <t>👉 Buka Sheet COLUMN</t>
        </is>
      </c>
    </row>
    <row r="51">
      <c r="A51" s="4" t="n">
        <v>47</v>
      </c>
      <c r="B51" s="5" t="inlineStr">
        <is>
          <t>COLUMNS</t>
        </is>
      </c>
      <c r="C51" s="4" t="inlineStr">
        <is>
          <t>3. Lookup &amp; Referensi</t>
        </is>
      </c>
      <c r="D51" s="6">
        <f>COLUMNS(range)</f>
        <v/>
      </c>
      <c r="E51" s="4" t="inlineStr">
        <is>
          <t>Menghitung ada berapa total kolom menyamping di dalam suatu blok tabel.</t>
        </is>
      </c>
      <c r="F51" s="7" t="inlineStr">
        <is>
          <t>👉 Buka Sheet COLUMNS</t>
        </is>
      </c>
    </row>
    <row r="52">
      <c r="A52" s="4" t="n">
        <v>48</v>
      </c>
      <c r="B52" s="5" t="inlineStr">
        <is>
          <t>ADDRESS</t>
        </is>
      </c>
      <c r="C52" s="4" t="inlineStr">
        <is>
          <t>3. Lookup &amp; Referensi</t>
        </is>
      </c>
      <c r="D52" s="6">
        <f>ADDRESS(nomor_baris, nomor_kolom)</f>
        <v/>
      </c>
      <c r="E52" s="4" t="inlineStr">
        <is>
          <t>Membuat teks alamat sel dari nomor baris dan kolom (Misal: baris 5 kolom 2 menjadi '$B$5').</t>
        </is>
      </c>
      <c r="F52" s="7" t="inlineStr">
        <is>
          <t>👉 Buka Sheet ADDRESS</t>
        </is>
      </c>
    </row>
    <row r="53">
      <c r="A53" s="4" t="n">
        <v>49</v>
      </c>
      <c r="B53" s="5" t="inlineStr">
        <is>
          <t>OFFSET</t>
        </is>
      </c>
      <c r="C53" s="4" t="inlineStr">
        <is>
          <t>3. Lookup &amp; Referensi</t>
        </is>
      </c>
      <c r="D53" s="6">
        <f>OFFSET(sel_awal, geser_baris, geser_kolom)</f>
        <v/>
      </c>
      <c r="E53" s="4" t="inlineStr">
        <is>
          <t>Mengambil nilai dari sel lain dengan cara melompat/bergeser sekian baris dan sekian kolom dari titik awal.</t>
        </is>
      </c>
      <c r="F53" s="7" t="inlineStr">
        <is>
          <t>👉 Buka Sheet OFFSET</t>
        </is>
      </c>
    </row>
    <row r="54">
      <c r="A54" s="4" t="n">
        <v>50</v>
      </c>
      <c r="B54" s="5" t="inlineStr">
        <is>
          <t>INDIRECT</t>
        </is>
      </c>
      <c r="C54" s="4" t="inlineStr">
        <is>
          <t>3. Lookup &amp; Referensi</t>
        </is>
      </c>
      <c r="D54" s="6">
        <f>INDIRECT(teks_alamat_sel)</f>
        <v/>
      </c>
      <c r="E54" s="4" t="inlineStr">
        <is>
          <t>Mengubah teks biasa (seperti tulisan 'B10') menjadi referensi sel hidup yang diambil isinya oleh Excel.</t>
        </is>
      </c>
      <c r="F54" s="7" t="inlineStr">
        <is>
          <t>👉 Buka Sheet INDIRECT</t>
        </is>
      </c>
    </row>
    <row r="55">
      <c r="A55" s="4" t="n">
        <v>51</v>
      </c>
      <c r="B55" s="5" t="inlineStr">
        <is>
          <t>LEFT</t>
        </is>
      </c>
      <c r="C55" s="4" t="inlineStr">
        <is>
          <t>4. Pengolahan Teks</t>
        </is>
      </c>
      <c r="D55" s="6">
        <f>LEFT(teks, jumlah_huruf)</f>
        <v/>
      </c>
      <c r="E55" s="4" t="inlineStr">
        <is>
          <t>Memotong dan mengambil sejumlah huruf dari sebelah KIRI (awal) kata. Cocok untuk mengambil kode cabang di awal SKU barang!</t>
        </is>
      </c>
      <c r="F55" s="7" t="inlineStr">
        <is>
          <t>👉 Buka Sheet LEFT</t>
        </is>
      </c>
    </row>
    <row r="56">
      <c r="A56" s="4" t="n">
        <v>52</v>
      </c>
      <c r="B56" s="5" t="inlineStr">
        <is>
          <t>RIGHT</t>
        </is>
      </c>
      <c r="C56" s="4" t="inlineStr">
        <is>
          <t>4. Pengolahan Teks</t>
        </is>
      </c>
      <c r="D56" s="6">
        <f>RIGHT(teks, jumlah_huruf)</f>
        <v/>
      </c>
      <c r="E56" s="4" t="inlineStr">
        <is>
          <t>Memotong dan mengambil sejumlah huruf dari sebelah KANAN (akhir) kata. Cocok untuk mengambil kode tahun di ujung nomor surat!</t>
        </is>
      </c>
      <c r="F56" s="7" t="inlineStr">
        <is>
          <t>👉 Buka Sheet RIGHT</t>
        </is>
      </c>
    </row>
    <row r="57">
      <c r="A57" s="4" t="n">
        <v>53</v>
      </c>
      <c r="B57" s="5" t="inlineStr">
        <is>
          <t>MID</t>
        </is>
      </c>
      <c r="C57" s="4" t="inlineStr">
        <is>
          <t>4. Pengolahan Teks</t>
        </is>
      </c>
      <c r="D57" s="6">
        <f>MID(teks, mulai_huruf_ke, jumlah_huruf)</f>
        <v/>
      </c>
      <c r="E57" s="4" t="inlineStr">
        <is>
          <t>Mengambil huruf dari bagian TENGAH kata (Misal: mengambil kode tanggal lahir dari tengah-tengah 16 digit NIK KTP!).</t>
        </is>
      </c>
      <c r="F57" s="7" t="inlineStr">
        <is>
          <t>👉 Buka Sheet MID</t>
        </is>
      </c>
    </row>
    <row r="58">
      <c r="A58" s="4" t="n">
        <v>54</v>
      </c>
      <c r="B58" s="5" t="inlineStr">
        <is>
          <t>LEN</t>
        </is>
      </c>
      <c r="C58" s="4" t="inlineStr">
        <is>
          <t>4. Pengolahan Teks</t>
        </is>
      </c>
      <c r="D58" s="6">
        <f>LEN(teks)</f>
        <v/>
      </c>
      <c r="E58" s="4" t="inlineStr">
        <is>
          <t>Menghitung jumlah total karakter/huruf (termasuk spasi) di dalam sebuah sel. Penting untuk validasi digit NIK atau Nomor HP!</t>
        </is>
      </c>
      <c r="F58" s="7" t="inlineStr">
        <is>
          <t>👉 Buka Sheet LEN</t>
        </is>
      </c>
    </row>
    <row r="59">
      <c r="A59" s="4" t="n">
        <v>55</v>
      </c>
      <c r="B59" s="5" t="inlineStr">
        <is>
          <t>TRIM</t>
        </is>
      </c>
      <c r="C59" s="4" t="inlineStr">
        <is>
          <t>4. Pengolahan Teks</t>
        </is>
      </c>
      <c r="D59" s="6">
        <f>TRIM(teks)</f>
        <v/>
      </c>
      <c r="E59" s="4" t="inlineStr">
        <is>
          <t>Sapu bersih spasi berlebih! Menghapus spasi ganda yang tidak sengaja terketik di awal, tengah, atau akhir nama.</t>
        </is>
      </c>
      <c r="F59" s="7" t="inlineStr">
        <is>
          <t>👉 Buka Sheet TRIM</t>
        </is>
      </c>
    </row>
    <row r="60">
      <c r="A60" s="4" t="n">
        <v>56</v>
      </c>
      <c r="B60" s="5" t="inlineStr">
        <is>
          <t>CLEAN</t>
        </is>
      </c>
      <c r="C60" s="4" t="inlineStr">
        <is>
          <t>4. Pengolahan Teks</t>
        </is>
      </c>
      <c r="D60" s="6">
        <f>CLEAN(teks)</f>
        <v/>
      </c>
      <c r="E60" s="4" t="inlineStr">
        <is>
          <t>Membersihkan karakter aneh/tak terlihat hasil copy-paste dari web atau sistem lain.</t>
        </is>
      </c>
      <c r="F60" s="7" t="inlineStr">
        <is>
          <t>👉 Buka Sheet CLEAN</t>
        </is>
      </c>
    </row>
    <row r="61">
      <c r="A61" s="4" t="n">
        <v>57</v>
      </c>
      <c r="B61" s="5" t="inlineStr">
        <is>
          <t>UPPER</t>
        </is>
      </c>
      <c r="C61" s="4" t="inlineStr">
        <is>
          <t>4. Pengolahan Teks</t>
        </is>
      </c>
      <c r="D61" s="6">
        <f>UPPER(teks)</f>
        <v/>
      </c>
      <c r="E61" s="4" t="inlineStr">
        <is>
          <t>Mengubah SEMUA huruf menjadi HURUF BESAR (KAPITAL) semua.</t>
        </is>
      </c>
      <c r="F61" s="7" t="inlineStr">
        <is>
          <t>👉 Buka Sheet UPPER</t>
        </is>
      </c>
    </row>
    <row r="62">
      <c r="A62" s="4" t="n">
        <v>58</v>
      </c>
      <c r="B62" s="5" t="inlineStr">
        <is>
          <t>LOWER</t>
        </is>
      </c>
      <c r="C62" s="4" t="inlineStr">
        <is>
          <t>4. Pengolahan Teks</t>
        </is>
      </c>
      <c r="D62" s="6">
        <f>LOWER(teks)</f>
        <v/>
      </c>
      <c r="E62" s="4" t="inlineStr">
        <is>
          <t>Mengubah semua huruf menjadi huruf kecil semua (cocok untuk merapikan alamat email).</t>
        </is>
      </c>
      <c r="F62" s="7" t="inlineStr">
        <is>
          <t>👉 Buka Sheet LOWER</t>
        </is>
      </c>
    </row>
    <row r="63">
      <c r="A63" s="4" t="n">
        <v>59</v>
      </c>
      <c r="B63" s="5" t="inlineStr">
        <is>
          <t>PROPER</t>
        </is>
      </c>
      <c r="C63" s="4" t="inlineStr">
        <is>
          <t>4. Pengolahan Teks</t>
        </is>
      </c>
      <c r="D63" s="6">
        <f>PROPER(teks)</f>
        <v/>
      </c>
      <c r="E63" s="4" t="inlineStr">
        <is>
          <t>Merapikan huruf awal setiap kata menjadi Kapital (Title Case), sangat cocok untuk merapikan daftar Nama Karyawan/Siswa!</t>
        </is>
      </c>
      <c r="F63" s="7" t="inlineStr">
        <is>
          <t>👉 Buka Sheet PROPER</t>
        </is>
      </c>
    </row>
    <row r="64">
      <c r="A64" s="4" t="n">
        <v>60</v>
      </c>
      <c r="B64" s="5" t="inlineStr">
        <is>
          <t>CONCATENATE</t>
        </is>
      </c>
      <c r="C64" s="4" t="inlineStr">
        <is>
          <t>4. Pengolahan Teks</t>
        </is>
      </c>
      <c r="D64" s="6">
        <f>CONCATENATE(teks1, teks2, ...)</f>
        <v/>
      </c>
      <c r="E64" s="4" t="inlineStr">
        <is>
          <t>Menggabungkan beberapa sel teks menjadi satu kalimat utuh (Misal: Nama Depan + Spasi + Nama Belakang).</t>
        </is>
      </c>
      <c r="F64" s="7" t="inlineStr">
        <is>
          <t>👉 Buka Sheet CONCATENATE</t>
        </is>
      </c>
    </row>
    <row r="65">
      <c r="A65" s="4" t="n">
        <v>61</v>
      </c>
      <c r="B65" s="5" t="inlineStr">
        <is>
          <t>EXACT</t>
        </is>
      </c>
      <c r="C65" s="4" t="inlineStr">
        <is>
          <t>4. Pengolahan Teks</t>
        </is>
      </c>
      <c r="D65" s="6">
        <f>EXACT(teks1, teks2)</f>
        <v/>
      </c>
      <c r="E65" s="4" t="inlineStr">
        <is>
          <t>Membandingkan apakah dua teks SAMA PERSIS hingga ke huruf besar-kecilnya (Case-Sensitive).</t>
        </is>
      </c>
      <c r="F65" s="7" t="inlineStr">
        <is>
          <t>👉 Buka Sheet EXACT</t>
        </is>
      </c>
    </row>
    <row r="66">
      <c r="A66" s="4" t="n">
        <v>62</v>
      </c>
      <c r="B66" s="5" t="inlineStr">
        <is>
          <t>FIND</t>
        </is>
      </c>
      <c r="C66" s="4" t="inlineStr">
        <is>
          <t>4. Pengolahan Teks</t>
        </is>
      </c>
      <c r="D66" s="6">
        <f>FIND(huruf_dicari, di_dalam_teks)</f>
        <v/>
      </c>
      <c r="E66" s="4" t="inlineStr">
        <is>
          <t>Mencari posisi urutan karakter tertentu di dalam teks (membedakan huruf besar dan kecil).</t>
        </is>
      </c>
      <c r="F66" s="7" t="inlineStr">
        <is>
          <t>👉 Buka Sheet FIND</t>
        </is>
      </c>
    </row>
    <row r="67">
      <c r="A67" s="4" t="n">
        <v>63</v>
      </c>
      <c r="B67" s="5" t="inlineStr">
        <is>
          <t>SEARCH</t>
        </is>
      </c>
      <c r="C67" s="4" t="inlineStr">
        <is>
          <t>4. Pengolahan Teks</t>
        </is>
      </c>
      <c r="D67" s="6">
        <f>SEARCH(huruf_dicari, di_dalam_teks)</f>
        <v/>
      </c>
      <c r="E67" s="4" t="inlineStr">
        <is>
          <t>Mencari posisi urutan karakter di dalam teks tanpa mempermasalahkan huruf besar/kecil.</t>
        </is>
      </c>
      <c r="F67" s="7" t="inlineStr">
        <is>
          <t>👉 Buka Sheet SEARCH</t>
        </is>
      </c>
    </row>
    <row r="68">
      <c r="A68" s="4" t="n">
        <v>64</v>
      </c>
      <c r="B68" s="5" t="inlineStr">
        <is>
          <t>SUBSTITUTE</t>
        </is>
      </c>
      <c r="C68" s="4" t="inlineStr">
        <is>
          <t>4. Pengolahan Teks</t>
        </is>
      </c>
      <c r="D68" s="6">
        <f>SUBSTITUTE(teks, teks_lama, teks_baru)</f>
        <v/>
      </c>
      <c r="E68" s="4" t="inlineStr">
        <is>
          <t>Mengganti kata/simbol tertentu dengan kata/simbol baru secara otomatis (Misal: ganti tanda '-' menjadi '/').</t>
        </is>
      </c>
      <c r="F68" s="7" t="inlineStr">
        <is>
          <t>👉 Buka Sheet SUBSTITUTE</t>
        </is>
      </c>
    </row>
    <row r="69">
      <c r="A69" s="4" t="n">
        <v>65</v>
      </c>
      <c r="B69" s="5" t="inlineStr">
        <is>
          <t>REPLACE</t>
        </is>
      </c>
      <c r="C69" s="4" t="inlineStr">
        <is>
          <t>4. Pengolahan Teks</t>
        </is>
      </c>
      <c r="D69" s="6">
        <f>REPLACE(teks_lama, mulai_ke, jumlah_diganti, teks_baru)</f>
        <v/>
      </c>
      <c r="E69" s="4" t="inlineStr">
        <is>
          <t>Mengganti sebagian karakter berdasarkan posisi urutannya (Misal: menyensor 4 angka tengah nomor kartu).</t>
        </is>
      </c>
      <c r="F69" s="7" t="inlineStr">
        <is>
          <t>👉 Buka Sheet REPLACE</t>
        </is>
      </c>
    </row>
    <row r="70">
      <c r="A70" s="4" t="n">
        <v>66</v>
      </c>
      <c r="B70" s="5" t="inlineStr">
        <is>
          <t>REPT</t>
        </is>
      </c>
      <c r="C70" s="4" t="inlineStr">
        <is>
          <t>4. Pengolahan Teks</t>
        </is>
      </c>
      <c r="D70" s="6">
        <f>REPT(teks, jumlah_ulang)</f>
        <v/>
      </c>
      <c r="E70" s="4" t="inlineStr">
        <is>
          <t>Mengulang teks atau simbol berkali-kali (Sering dipakai membuat grafik bintang '⭐⭐⭐⭐⭐' langsung di dalam sel!).</t>
        </is>
      </c>
      <c r="F70" s="7" t="inlineStr">
        <is>
          <t>👉 Buka Sheet REPT</t>
        </is>
      </c>
    </row>
    <row r="71">
      <c r="A71" s="4" t="n">
        <v>67</v>
      </c>
      <c r="B71" s="5" t="inlineStr">
        <is>
          <t>VALUE</t>
        </is>
      </c>
      <c r="C71" s="4" t="inlineStr">
        <is>
          <t>4. Pengolahan Teks</t>
        </is>
      </c>
      <c r="D71" s="6">
        <f>VALUE(teks_angka)</f>
        <v/>
      </c>
      <c r="E71" s="4" t="inlineStr">
        <is>
          <t>Mengubah angka yang berformat Teks (biasanya hasil impor sistem) menjadi Angka Murni agar bisa dijumlahkan.</t>
        </is>
      </c>
      <c r="F71" s="7" t="inlineStr">
        <is>
          <t>👉 Buka Sheet VALUE</t>
        </is>
      </c>
    </row>
    <row r="72">
      <c r="A72" s="4" t="n">
        <v>68</v>
      </c>
      <c r="B72" s="5" t="inlineStr">
        <is>
          <t>TEXT</t>
        </is>
      </c>
      <c r="C72" s="4" t="inlineStr">
        <is>
          <t>4. Pengolahan Teks</t>
        </is>
      </c>
      <c r="D72" s="6">
        <f>TEXT(nilai, format_teks)</f>
        <v/>
      </c>
      <c r="E72" s="4" t="inlineStr">
        <is>
          <t>Mengubah angka atau tanggal menjadi teks dengan format tampilan cantik seperti 'Rp 1.500.000' atau 'Senin, 12 Okt'.</t>
        </is>
      </c>
      <c r="F72" s="7" t="inlineStr">
        <is>
          <t>👉 Buka Sheet TEXT</t>
        </is>
      </c>
    </row>
    <row r="73">
      <c r="A73" s="4" t="n">
        <v>69</v>
      </c>
      <c r="B73" s="5" t="inlineStr">
        <is>
          <t>DATE</t>
        </is>
      </c>
      <c r="C73" s="4" t="inlineStr">
        <is>
          <t>5. Tanggal &amp; Waktu HRD</t>
        </is>
      </c>
      <c r="D73" s="6">
        <f>DATE(tahun, bulan, tanggal)</f>
        <v/>
      </c>
      <c r="E73" s="4" t="inlineStr">
        <is>
          <t>Merakit angka Tahun, Bulan, dan Tanggal yang terpisah menjadi satu Tanggal Resmi Excel.</t>
        </is>
      </c>
      <c r="F73" s="7" t="inlineStr">
        <is>
          <t>👉 Buka Sheet DATE</t>
        </is>
      </c>
    </row>
    <row r="74">
      <c r="A74" s="4" t="n">
        <v>70</v>
      </c>
      <c r="B74" s="5" t="inlineStr">
        <is>
          <t>YEAR</t>
        </is>
      </c>
      <c r="C74" s="4" t="inlineStr">
        <is>
          <t>5. Tanggal &amp; Waktu HRD</t>
        </is>
      </c>
      <c r="D74" s="6">
        <f>YEAR(tanggal)</f>
        <v/>
      </c>
      <c r="E74" s="4" t="inlineStr">
        <is>
          <t>Mengambil angka TAHUN saja (misal 2026) dari sebuah sel tanggal.</t>
        </is>
      </c>
      <c r="F74" s="7" t="inlineStr">
        <is>
          <t>👉 Buka Sheet YEAR</t>
        </is>
      </c>
    </row>
    <row r="75">
      <c r="A75" s="4" t="n">
        <v>71</v>
      </c>
      <c r="B75" s="5" t="inlineStr">
        <is>
          <t>MONTH</t>
        </is>
      </c>
      <c r="C75" s="4" t="inlineStr">
        <is>
          <t>5. Tanggal &amp; Waktu HRD</t>
        </is>
      </c>
      <c r="D75" s="6">
        <f>MONTH(tanggal)</f>
        <v/>
      </c>
      <c r="E75" s="4" t="inlineStr">
        <is>
          <t>Mengambil angka BULAN saja (1 sampai 12) dari sebuah sel tanggal.</t>
        </is>
      </c>
      <c r="F75" s="7" t="inlineStr">
        <is>
          <t>👉 Buka Sheet MONTH</t>
        </is>
      </c>
    </row>
    <row r="76">
      <c r="A76" s="4" t="n">
        <v>72</v>
      </c>
      <c r="B76" s="5" t="inlineStr">
        <is>
          <t>DAY</t>
        </is>
      </c>
      <c r="C76" s="4" t="inlineStr">
        <is>
          <t>5. Tanggal &amp; Waktu HRD</t>
        </is>
      </c>
      <c r="D76" s="6">
        <f>DAY(tanggal)</f>
        <v/>
      </c>
      <c r="E76" s="4" t="inlineStr">
        <is>
          <t>Mengambil angka HARI/TANGGAL saja (1 sampai 31) dari sebuah sel tanggal.</t>
        </is>
      </c>
      <c r="F76" s="7" t="inlineStr">
        <is>
          <t>👉 Buka Sheet DAY</t>
        </is>
      </c>
    </row>
    <row r="77">
      <c r="A77" s="4" t="n">
        <v>73</v>
      </c>
      <c r="B77" s="5" t="inlineStr">
        <is>
          <t>DAYS</t>
        </is>
      </c>
      <c r="C77" s="4" t="inlineStr">
        <is>
          <t>5. Tanggal &amp; Waktu HRD</t>
        </is>
      </c>
      <c r="D77" s="6">
        <f>DAYS(tanggal_akhir, tanggal_awal)</f>
        <v/>
      </c>
      <c r="E77" s="4" t="inlineStr">
        <is>
          <t>Menghitung jumlah selisih hari antara dua tanggal (Misal: lama hari pinjam buku atau jatuh tempo invoice).</t>
        </is>
      </c>
      <c r="F77" s="7" t="inlineStr">
        <is>
          <t>👉 Buka Sheet DAYS</t>
        </is>
      </c>
    </row>
    <row r="78">
      <c r="A78" s="4" t="n">
        <v>74</v>
      </c>
      <c r="B78" s="5" t="inlineStr">
        <is>
          <t>DATEDIF</t>
        </is>
      </c>
      <c r="C78" s="4" t="inlineStr">
        <is>
          <t>5. Tanggal &amp; Waktu HRD</t>
        </is>
      </c>
      <c r="D78" s="6">
        <f>DATEDIF(tgl_awal, tgl_akhir, "Y")</f>
        <v/>
      </c>
      <c r="E78" s="4" t="inlineStr">
        <is>
          <t>Rumus rahasia HRD untuk menghitung Umur Karyawan atau Masa Kerja dalam Tahun ('Y'), Bulan ('M'), atau Hari ('D').</t>
        </is>
      </c>
      <c r="F78" s="7" t="inlineStr">
        <is>
          <t>👉 Buka Sheet DATEDIF</t>
        </is>
      </c>
    </row>
    <row r="79">
      <c r="A79" s="4" t="n">
        <v>75</v>
      </c>
      <c r="B79" s="5" t="inlineStr">
        <is>
          <t>EDATE</t>
        </is>
      </c>
      <c r="C79" s="4" t="inlineStr">
        <is>
          <t>5. Tanggal &amp; Waktu HRD</t>
        </is>
      </c>
      <c r="D79" s="6">
        <f>EDATE(tanggal_awal, jumlah_bulan)</f>
        <v/>
      </c>
      <c r="E79" s="4" t="inlineStr">
        <is>
          <t>Mencari tanggal jatuh tempo persis sekian bulan ke depan atau ke belakang (Misal: masa habis kontrak 6 bulan lagi).</t>
        </is>
      </c>
      <c r="F79" s="7" t="inlineStr">
        <is>
          <t>👉 Buka Sheet EDATE</t>
        </is>
      </c>
    </row>
    <row r="80">
      <c r="A80" s="4" t="n">
        <v>76</v>
      </c>
      <c r="B80" s="5" t="inlineStr">
        <is>
          <t>EOMONTH</t>
        </is>
      </c>
      <c r="C80" s="4" t="inlineStr">
        <is>
          <t>5. Tanggal &amp; Waktu HRD</t>
        </is>
      </c>
      <c r="D80" s="6">
        <f>EOMONTH(tanggal_awal, jumlah_bulan)</f>
        <v/>
      </c>
      <c r="E80" s="4" t="inlineStr">
        <is>
          <t>Mencari tanggal AKHIR BULAN (End of Month) untuk tutup buku akuntansi atau tanggal gajian akhir bulan.</t>
        </is>
      </c>
      <c r="F80" s="7" t="inlineStr">
        <is>
          <t>👉 Buka Sheet EOMONTH</t>
        </is>
      </c>
    </row>
    <row r="81">
      <c r="A81" s="4" t="n">
        <v>77</v>
      </c>
      <c r="B81" s="5" t="inlineStr">
        <is>
          <t>NETWORKDAYS</t>
        </is>
      </c>
      <c r="C81" s="4" t="inlineStr">
        <is>
          <t>5. Tanggal &amp; Waktu HRD</t>
        </is>
      </c>
      <c r="D81" s="6">
        <f>NETWORKDAYS(tgl_awal, tgl_akhir)</f>
        <v/>
      </c>
      <c r="E81" s="4" t="inlineStr">
        <is>
          <t>Menghitung jumlah HARI KERJA EFEKTIF (otomatis memotong hari Sabtu dan Minggu!). Sangat krusial untuk absensi &amp; gaji.</t>
        </is>
      </c>
      <c r="F81" s="7" t="inlineStr">
        <is>
          <t>👉 Buka Sheet NETWORKDAYS</t>
        </is>
      </c>
    </row>
    <row r="82">
      <c r="A82" s="4" t="n">
        <v>78</v>
      </c>
      <c r="B82" s="5" t="inlineStr">
        <is>
          <t>WORKDAY</t>
        </is>
      </c>
      <c r="C82" s="4" t="inlineStr">
        <is>
          <t>5. Tanggal &amp; Waktu HRD</t>
        </is>
      </c>
      <c r="D82" s="6">
        <f>WORKDAY(tgl_awal, jumlah_hari_kerja)</f>
        <v/>
      </c>
      <c r="E82" s="4" t="inlineStr">
        <is>
          <t>Menentukan tanggal selesai proyek jika dikerjakan selama N hari kerja (otomatis melompati Sabtu-Minggu).</t>
        </is>
      </c>
      <c r="F82" s="7" t="inlineStr">
        <is>
          <t>👉 Buka Sheet WORKDAY</t>
        </is>
      </c>
    </row>
    <row r="83">
      <c r="A83" s="4" t="n">
        <v>79</v>
      </c>
      <c r="B83" s="5" t="inlineStr">
        <is>
          <t>WEEKDAY</t>
        </is>
      </c>
      <c r="C83" s="4" t="inlineStr">
        <is>
          <t>5. Tanggal &amp; Waktu HRD</t>
        </is>
      </c>
      <c r="D83" s="6">
        <f>WEEKDAY(tanggal)</f>
        <v/>
      </c>
      <c r="E83" s="4" t="inlineStr">
        <is>
          <t>Mengecek hari ke berapa dalam seminggu (1=Minggu s/d 7=Sabtu) untuk menentukan tarif lembur akhir pekan.</t>
        </is>
      </c>
      <c r="F83" s="7" t="inlineStr">
        <is>
          <t>👉 Buka Sheet WEEKDAY</t>
        </is>
      </c>
    </row>
    <row r="84">
      <c r="A84" s="4" t="n">
        <v>80</v>
      </c>
      <c r="B84" s="5" t="inlineStr">
        <is>
          <t>WEEKNUM</t>
        </is>
      </c>
      <c r="C84" s="4" t="inlineStr">
        <is>
          <t>5. Tanggal &amp; Waktu HRD</t>
        </is>
      </c>
      <c r="D84" s="6">
        <f>WEEKNUM(tanggal)</f>
        <v/>
      </c>
      <c r="E84" s="4" t="inlineStr">
        <is>
          <t>Mengecek tanggal tersebut jatuh pada minggu ke berapa dalam 1 tahun (Minggu ke-1 s/d ke-52).</t>
        </is>
      </c>
      <c r="F84" s="7" t="inlineStr">
        <is>
          <t>👉 Buka Sheet WEEKNUM</t>
        </is>
      </c>
    </row>
    <row r="85">
      <c r="A85" s="4" t="n">
        <v>81</v>
      </c>
      <c r="B85" s="5" t="inlineStr">
        <is>
          <t>HOUR</t>
        </is>
      </c>
      <c r="C85" s="4" t="inlineStr">
        <is>
          <t>5. Tanggal &amp; Waktu HRD</t>
        </is>
      </c>
      <c r="D85" s="6">
        <f>HOUR(waktu)</f>
        <v/>
      </c>
      <c r="E85" s="4" t="inlineStr">
        <is>
          <t>Mengambil angka JAM (0–23) dari data waktu absensi finger-print.</t>
        </is>
      </c>
      <c r="F85" s="7" t="inlineStr">
        <is>
          <t>👉 Buka Sheet HOUR</t>
        </is>
      </c>
    </row>
    <row r="86">
      <c r="A86" s="4" t="n">
        <v>82</v>
      </c>
      <c r="B86" s="5" t="inlineStr">
        <is>
          <t>MINUTE</t>
        </is>
      </c>
      <c r="C86" s="4" t="inlineStr">
        <is>
          <t>5. Tanggal &amp; Waktu HRD</t>
        </is>
      </c>
      <c r="D86" s="6">
        <f>MINUTE(waktu)</f>
        <v/>
      </c>
      <c r="E86" s="4" t="inlineStr">
        <is>
          <t>Mengambil angka MENIT (0–59) dari data waktu untuk menghitung keterlambatan masuk kantor.</t>
        </is>
      </c>
      <c r="F86" s="7" t="inlineStr">
        <is>
          <t>👉 Buka Sheet MINUTE</t>
        </is>
      </c>
    </row>
    <row r="87">
      <c r="A87" s="4" t="n">
        <v>83</v>
      </c>
      <c r="B87" s="5" t="inlineStr">
        <is>
          <t>SECOND</t>
        </is>
      </c>
      <c r="C87" s="4" t="inlineStr">
        <is>
          <t>5. Tanggal &amp; Waktu HRD</t>
        </is>
      </c>
      <c r="D87" s="6">
        <f>SECOND(waktu)</f>
        <v/>
      </c>
      <c r="E87" s="4" t="inlineStr">
        <is>
          <t>Mengambil angka DETIK (0–59) dari catatan waktu.</t>
        </is>
      </c>
      <c r="F87" s="7" t="inlineStr">
        <is>
          <t>👉 Buka Sheet SECOND</t>
        </is>
      </c>
    </row>
    <row r="88">
      <c r="A88" s="4" t="n">
        <v>84</v>
      </c>
      <c r="B88" s="5" t="inlineStr">
        <is>
          <t>PMT</t>
        </is>
      </c>
      <c r="C88" s="4" t="inlineStr">
        <is>
          <t>6. Keuangan &amp; Investasi</t>
        </is>
      </c>
      <c r="D88" s="6">
        <f>PMT(bunga_per_periode, jumlah_periode, nilai_pinjaman)</f>
        <v/>
      </c>
      <c r="E88" s="4" t="inlineStr">
        <is>
          <t>Menghitung cicilan bulanan tetap (KPR Rumah / Kredit Mobil / Pinjaman Bank) lengkap pokok + bunga.</t>
        </is>
      </c>
      <c r="F88" s="7" t="inlineStr">
        <is>
          <t>👉 Buka Sheet PMT</t>
        </is>
      </c>
    </row>
    <row r="89">
      <c r="A89" s="4" t="n">
        <v>85</v>
      </c>
      <c r="B89" s="5" t="inlineStr">
        <is>
          <t>IPMT</t>
        </is>
      </c>
      <c r="C89" s="4" t="inlineStr">
        <is>
          <t>6. Keuangan &amp; Investasi</t>
        </is>
      </c>
      <c r="D89" s="6">
        <f>IPMT(bunga, periode_ke, total_periode, nilai_pinjaman)</f>
        <v/>
      </c>
      <c r="E89" s="4" t="inlineStr">
        <is>
          <t>Menghitung porsi BUNGA saja yang dibayar pada cicilan bulan tertentu.</t>
        </is>
      </c>
      <c r="F89" s="7" t="inlineStr">
        <is>
          <t>👉 Buka Sheet IPMT</t>
        </is>
      </c>
    </row>
    <row r="90">
      <c r="A90" s="4" t="n">
        <v>86</v>
      </c>
      <c r="B90" s="5" t="inlineStr">
        <is>
          <t>PPMT</t>
        </is>
      </c>
      <c r="C90" s="4" t="inlineStr">
        <is>
          <t>6. Keuangan &amp; Investasi</t>
        </is>
      </c>
      <c r="D90" s="6">
        <f>PPMT(bunga, periode_ke, total_periode, nilai_pinjaman)</f>
        <v/>
      </c>
      <c r="E90" s="4" t="inlineStr">
        <is>
          <t>Menghitung porsi POKOK PINJAMAN saja yang berkurang pada cicilan bulan tertentu.</t>
        </is>
      </c>
      <c r="F90" s="7" t="inlineStr">
        <is>
          <t>👉 Buka Sheet PPMT</t>
        </is>
      </c>
    </row>
    <row r="91">
      <c r="A91" s="4" t="n">
        <v>87</v>
      </c>
      <c r="B91" s="5" t="inlineStr">
        <is>
          <t>FV</t>
        </is>
      </c>
      <c r="C91" s="4" t="inlineStr">
        <is>
          <t>6. Keuangan &amp; Investasi</t>
        </is>
      </c>
      <c r="D91" s="6">
        <f>FV(bunga, jumlah_periode, setoran_rutin, [nilai_awal])</f>
        <v/>
      </c>
      <c r="E91" s="4" t="inlineStr">
        <is>
          <t>Future Value: Menghitung total uang tabungan/deposito di masa depan jika rutin menabung tiap periode.</t>
        </is>
      </c>
      <c r="F91" s="7" t="inlineStr">
        <is>
          <t>👉 Buka Sheet FV</t>
        </is>
      </c>
    </row>
    <row r="92">
      <c r="A92" s="4" t="n">
        <v>88</v>
      </c>
      <c r="B92" s="5" t="inlineStr">
        <is>
          <t>PV</t>
        </is>
      </c>
      <c r="C92" s="4" t="inlineStr">
        <is>
          <t>6. Keuangan &amp; Investasi</t>
        </is>
      </c>
      <c r="D92" s="6">
        <f>PV(bunga, jumlah_periode, hasil_rutin)</f>
        <v/>
      </c>
      <c r="E92" s="4" t="inlineStr">
        <is>
          <t>Present Value: Menghitung berapa nilai uang saat ini dari rangkaian arus kas masa depan.</t>
        </is>
      </c>
      <c r="F92" s="7" t="inlineStr">
        <is>
          <t>👉 Buka Sheet PV</t>
        </is>
      </c>
    </row>
    <row r="93">
      <c r="A93" s="4" t="n">
        <v>89</v>
      </c>
      <c r="B93" s="5" t="inlineStr">
        <is>
          <t>NPV</t>
        </is>
      </c>
      <c r="C93" s="4" t="inlineStr">
        <is>
          <t>6. Keuangan &amp; Investasi</t>
        </is>
      </c>
      <c r="D93" s="6">
        <f>NPV(suku_diskonto, arus_kas1, arus_kas2, ...)</f>
        <v/>
      </c>
      <c r="E93" s="4" t="inlineStr">
        <is>
          <t>Net Present Value: Mengukur apakah sebuah proyek investasi menguntungkan atau merugikan dibanding bunga bank.</t>
        </is>
      </c>
      <c r="F93" s="7" t="inlineStr">
        <is>
          <t>👉 Buka Sheet NPV</t>
        </is>
      </c>
    </row>
    <row r="94">
      <c r="A94" s="4" t="n">
        <v>90</v>
      </c>
      <c r="B94" s="5" t="inlineStr">
        <is>
          <t>SLN</t>
        </is>
      </c>
      <c r="C94" s="4" t="inlineStr">
        <is>
          <t>6. Keuangan &amp; Investasi</t>
        </is>
      </c>
      <c r="D94" s="6">
        <f>SLN(harga_beli, nilai_sisa, umur_ekonomis)</f>
        <v/>
      </c>
      <c r="E94" s="4" t="inlineStr">
        <is>
          <t>Straight-Line Depreciation: Menghitung biaya penyusutan aset kantor (mesin/kendaraan) metode garis lurus per tahun.</t>
        </is>
      </c>
      <c r="F94" s="7" t="inlineStr">
        <is>
          <t>👉 Buka Sheet SLN</t>
        </is>
      </c>
    </row>
    <row r="95">
      <c r="A95" s="4" t="n">
        <v>91</v>
      </c>
      <c r="B95" s="5" t="inlineStr">
        <is>
          <t>SYD</t>
        </is>
      </c>
      <c r="C95" s="4" t="inlineStr">
        <is>
          <t>6. Keuangan &amp; Investasi</t>
        </is>
      </c>
      <c r="D95" s="6">
        <f>SYD(harga_beli, nilai_sisa, umur, periode)</f>
        <v/>
      </c>
      <c r="E95" s="4" t="inlineStr">
        <is>
          <t>Menghitung penyusutan aset dengan metode jumlah angka tahun (Sum-of-Years' Digits).</t>
        </is>
      </c>
      <c r="F95" s="7" t="inlineStr">
        <is>
          <t>👉 Buka Sheet SYD</t>
        </is>
      </c>
    </row>
    <row r="96">
      <c r="A96" s="4" t="n">
        <v>92</v>
      </c>
      <c r="B96" s="5" t="inlineStr">
        <is>
          <t>DB</t>
        </is>
      </c>
      <c r="C96" s="4" t="inlineStr">
        <is>
          <t>6. Keuangan &amp; Investasi</t>
        </is>
      </c>
      <c r="D96" s="6">
        <f>DB(harga_beli, nilai_sisa, umur, periode)</f>
        <v/>
      </c>
      <c r="E96" s="4" t="inlineStr">
        <is>
          <t>Menghitung penyusutan aset dengan metode saldo menurun tetap (Fixed Declining Balance).</t>
        </is>
      </c>
      <c r="F96" s="7" t="inlineStr">
        <is>
          <t>👉 Buka Sheet DB</t>
        </is>
      </c>
    </row>
    <row r="97">
      <c r="A97" s="4" t="n">
        <v>93</v>
      </c>
      <c r="B97" s="5" t="inlineStr">
        <is>
          <t>EFFECT</t>
        </is>
      </c>
      <c r="C97" s="4" t="inlineStr">
        <is>
          <t>6. Keuangan &amp; Investasi</t>
        </is>
      </c>
      <c r="D97" s="6">
        <f>EFFECT(bunga_nominal_tahunan, frekuensi_majemuk_per_tahun)</f>
        <v/>
      </c>
      <c r="E97" s="4" t="inlineStr">
        <is>
          <t>Menghitung suku bunga efektif tahunan yang sebenarnya jika bunga dimajemukkan tiap bulan/kuartal.</t>
        </is>
      </c>
      <c r="F97" s="7" t="inlineStr">
        <is>
          <t>👉 Buka Sheet EFFECT</t>
        </is>
      </c>
    </row>
    <row r="98">
      <c r="A98" s="4" t="n">
        <v>94</v>
      </c>
      <c r="B98" s="5" t="inlineStr">
        <is>
          <t>ISBLANK</t>
        </is>
      </c>
      <c r="C98" s="4" t="inlineStr">
        <is>
          <t>7. Informasi &amp; Audit Data</t>
        </is>
      </c>
      <c r="D98" s="6">
        <f>ISBLANK(sel)</f>
        <v/>
      </c>
      <c r="E98" s="4" t="inlineStr">
        <is>
          <t>Mengecek apakah suatu sel KOSONG melompong (TRUE jika kosong, FALSE jika ada isinya).</t>
        </is>
      </c>
      <c r="F98" s="7" t="inlineStr">
        <is>
          <t>👉 Buka Sheet ISBLANK</t>
        </is>
      </c>
    </row>
    <row r="99">
      <c r="A99" s="4" t="n">
        <v>95</v>
      </c>
      <c r="B99" s="5" t="inlineStr">
        <is>
          <t>ISNUMBER</t>
        </is>
      </c>
      <c r="C99" s="4" t="inlineStr">
        <is>
          <t>7. Informasi &amp; Audit Data</t>
        </is>
      </c>
      <c r="D99" s="6">
        <f>ISNUMBER(sel)</f>
        <v/>
      </c>
      <c r="E99" s="4" t="inlineStr">
        <is>
          <t>Mengecek apakah isi sel benar-benar berupa ANGKA murni.</t>
        </is>
      </c>
      <c r="F99" s="7" t="inlineStr">
        <is>
          <t>👉 Buka Sheet ISNUMBER</t>
        </is>
      </c>
    </row>
    <row r="100">
      <c r="A100" s="4" t="n">
        <v>96</v>
      </c>
      <c r="B100" s="5" t="inlineStr">
        <is>
          <t>ISTEXT</t>
        </is>
      </c>
      <c r="C100" s="4" t="inlineStr">
        <is>
          <t>7. Informasi &amp; Audit Data</t>
        </is>
      </c>
      <c r="D100" s="6">
        <f>ISTEXT(sel)</f>
        <v/>
      </c>
      <c r="E100" s="4" t="inlineStr">
        <is>
          <t>Mengecek apakah isi sel berupa TEKS / huruf.</t>
        </is>
      </c>
      <c r="F100" s="7" t="inlineStr">
        <is>
          <t>👉 Buka Sheet ISTEXT</t>
        </is>
      </c>
    </row>
    <row r="101">
      <c r="A101" s="4" t="n">
        <v>97</v>
      </c>
      <c r="B101" s="5" t="inlineStr">
        <is>
          <t>ISERROR</t>
        </is>
      </c>
      <c r="C101" s="4" t="inlineStr">
        <is>
          <t>7. Informasi &amp; Audit Data</t>
        </is>
      </c>
      <c r="D101" s="6">
        <f>ISERROR(sel)</f>
        <v/>
      </c>
      <c r="E101" s="4" t="inlineStr">
        <is>
          <t>Mendeteksi apakah suatu sel mengalami ERROR apa pun.</t>
        </is>
      </c>
      <c r="F101" s="7" t="inlineStr">
        <is>
          <t>👉 Buka Sheet ISERROR</t>
        </is>
      </c>
    </row>
    <row r="102">
      <c r="A102" s="4" t="n">
        <v>98</v>
      </c>
      <c r="B102" s="5" t="inlineStr">
        <is>
          <t>ISEVEN</t>
        </is>
      </c>
      <c r="C102" s="4" t="inlineStr">
        <is>
          <t>7. Informasi &amp; Audit Data</t>
        </is>
      </c>
      <c r="D102" s="6">
        <f>ISEVEN(angka)</f>
        <v/>
      </c>
      <c r="E102" s="4" t="inlineStr">
        <is>
          <t>Mengecek apakah suatu angka merupakan bilangan GENAP (Misal: aturan plat nomor genap-ganjil).</t>
        </is>
      </c>
      <c r="F102" s="7" t="inlineStr">
        <is>
          <t>👉 Buka Sheet ISEVEN</t>
        </is>
      </c>
    </row>
    <row r="103">
      <c r="A103" s="4" t="n">
        <v>99</v>
      </c>
      <c r="B103" s="5" t="inlineStr">
        <is>
          <t>ISODD</t>
        </is>
      </c>
      <c r="C103" s="4" t="inlineStr">
        <is>
          <t>7. Informasi &amp; Audit Data</t>
        </is>
      </c>
      <c r="D103" s="6">
        <f>ISODD(angka)</f>
        <v/>
      </c>
      <c r="E103" s="4" t="inlineStr">
        <is>
          <t>Mengecek apakah suatu angka merupakan bilangan GANJIL.</t>
        </is>
      </c>
      <c r="F103" s="7" t="inlineStr">
        <is>
          <t>👉 Buka Sheet ISODD</t>
        </is>
      </c>
    </row>
    <row r="104">
      <c r="A104" s="4" t="n">
        <v>100</v>
      </c>
      <c r="B104" s="5" t="inlineStr">
        <is>
          <t>N</t>
        </is>
      </c>
      <c r="C104" s="4" t="inlineStr">
        <is>
          <t>7. Informasi &amp; Audit Data</t>
        </is>
      </c>
      <c r="D104" s="6">
        <f>N(nilai)</f>
        <v/>
      </c>
      <c r="E104" s="4" t="inlineStr">
        <is>
          <t>Mengubah nilai logika menjadi angka (TRUE jadi 1, FALSE jadi 0, Teks jadi 0, Angka tetap Angka).</t>
        </is>
      </c>
      <c r="F104" s="7" t="inlineStr">
        <is>
          <t>👉 Buka Sheet N</t>
        </is>
      </c>
    </row>
    <row r="105">
      <c r="A105" s="4" t="n">
        <v>101</v>
      </c>
      <c r="B105" s="5" t="inlineStr">
        <is>
          <t>TYPE</t>
        </is>
      </c>
      <c r="C105" s="4" t="inlineStr">
        <is>
          <t>7. Informasi &amp; Audit Data</t>
        </is>
      </c>
      <c r="D105" s="6">
        <f>TYPE(nilai)</f>
        <v/>
      </c>
      <c r="E105" s="4" t="inlineStr">
        <is>
          <t>Mendeteksi kode tipe data di dalam sel (1=Angka, 2=Teks, 4=Logika, 16=Error).</t>
        </is>
      </c>
      <c r="F105" s="7" t="inlineStr">
        <is>
          <t>👉 Buka Sheet TYPE</t>
        </is>
      </c>
    </row>
    <row r="106">
      <c r="A106" s="4" t="n">
        <v>102</v>
      </c>
      <c r="B106" s="5" t="inlineStr">
        <is>
          <t>DELTA</t>
        </is>
      </c>
      <c r="C106" s="4" t="inlineStr">
        <is>
          <t>7. Informasi &amp; Audit Data</t>
        </is>
      </c>
      <c r="D106" s="6">
        <f>DELTA(angka1, angka2)</f>
        <v/>
      </c>
      <c r="E106" s="4" t="inlineStr">
        <is>
          <t>Menguji apakah dua angka SAMA PERSIS: menghasilkan 1 jika sama, dan 0 jika berbeda (Sering dipakai untuk audit rekonsiliasi bank!).</t>
        </is>
      </c>
      <c r="F106" s="7" t="inlineStr">
        <is>
          <t>👉 Buka Sheet DELTA</t>
        </is>
      </c>
    </row>
    <row r="107">
      <c r="A107" s="4" t="n">
        <v>103</v>
      </c>
      <c r="B107" s="5" t="inlineStr">
        <is>
          <t>GESTEP</t>
        </is>
      </c>
      <c r="C107" s="4" t="inlineStr">
        <is>
          <t>7. Informasi &amp; Audit Data</t>
        </is>
      </c>
      <c r="D107" s="6">
        <f>GESTEP(angka, batas_ambang)</f>
        <v/>
      </c>
      <c r="E107" s="4" t="inlineStr">
        <is>
          <t>Menguji apakah angka sudah mencapai target ambang batas (&gt;= batas): menghasilkan 1 jika tercapai, 0 jika belum.</t>
        </is>
      </c>
      <c r="F107" s="7" t="inlineStr">
        <is>
          <t>👉 Buka Sheet GESTEP</t>
        </is>
      </c>
    </row>
    <row r="108">
      <c r="A108" s="4" t="n">
        <v>104</v>
      </c>
      <c r="B108" s="5" t="inlineStr">
        <is>
          <t>DEC2BIN</t>
        </is>
      </c>
      <c r="C108" s="4" t="inlineStr">
        <is>
          <t>7. Informasi &amp; Audit Data</t>
        </is>
      </c>
      <c r="D108" s="6">
        <f>DEC2BIN(angka_desimal)</f>
        <v/>
      </c>
      <c r="E108" s="4" t="inlineStr">
        <is>
          <t>Mengonversi angka desimal biasa menjadi bilangan Biner (0 dan 1) untuk jaringan komputer/IT.</t>
        </is>
      </c>
      <c r="F108" s="7" t="inlineStr">
        <is>
          <t>👉 Buka Sheet DEC2BIN</t>
        </is>
      </c>
    </row>
    <row r="109">
      <c r="A109" s="4" t="n">
        <v>105</v>
      </c>
      <c r="B109" s="5" t="inlineStr">
        <is>
          <t>DEC2HEX</t>
        </is>
      </c>
      <c r="C109" s="4" t="inlineStr">
        <is>
          <t>7. Informasi &amp; Audit Data</t>
        </is>
      </c>
      <c r="D109" s="6">
        <f>DEC2HEX(angka_desimal)</f>
        <v/>
      </c>
      <c r="E109" s="4" t="inlineStr">
        <is>
          <t>Mengonversi angka desimal menjadi bilangan Heksadesimal.</t>
        </is>
      </c>
      <c r="F109" s="7" t="inlineStr">
        <is>
          <t>👉 Buka Sheet DEC2HEX</t>
        </is>
      </c>
    </row>
    <row r="110">
      <c r="A110" s="4" t="n">
        <v>106</v>
      </c>
      <c r="B110" s="5" t="inlineStr">
        <is>
          <t>AVEDEV</t>
        </is>
      </c>
      <c r="C110" s="4" t="inlineStr">
        <is>
          <t>8. Statistik &amp; Analisis Data</t>
        </is>
      </c>
      <c r="D110" s="6">
        <f>AVEDEV(range_data)</f>
        <v/>
      </c>
      <c r="E110" s="4" t="inlineStr">
        <is>
          <t>Mengukur rata-rata simpangan mutlak data dari nilai rata-ratanya (seberapa jauh angka-angka menyebar dari rata-rata).</t>
        </is>
      </c>
      <c r="F110" s="7" t="inlineStr">
        <is>
          <t>👉 Buka Sheet AVEDEV</t>
        </is>
      </c>
    </row>
    <row r="111">
      <c r="A111" s="4" t="n">
        <v>107</v>
      </c>
      <c r="B111" s="5" t="inlineStr">
        <is>
          <t>AVERAGE</t>
        </is>
      </c>
      <c r="C111" s="4" t="inlineStr">
        <is>
          <t>8. Statistik &amp; Analisis Data</t>
        </is>
      </c>
      <c r="D111" s="6">
        <f>AVERAGE(range_data)</f>
        <v/>
      </c>
      <c r="E111" s="4" t="inlineStr">
        <is>
          <t>Menghitung nilai RATA-RATA (Mean) dari sekumpulan angka (Total dibagi banyaknya data).</t>
        </is>
      </c>
      <c r="F111" s="7" t="inlineStr">
        <is>
          <t>👉 Buka Sheet AVERAGE</t>
        </is>
      </c>
    </row>
    <row r="112">
      <c r="A112" s="4" t="n">
        <v>108</v>
      </c>
      <c r="B112" s="5" t="inlineStr">
        <is>
          <t>AVERAGEA</t>
        </is>
      </c>
      <c r="C112" s="4" t="inlineStr">
        <is>
          <t>8. Statistik &amp; Analisis Data</t>
        </is>
      </c>
      <c r="D112" s="6">
        <f>AVERAGEA(range_data)</f>
        <v/>
      </c>
      <c r="E112" s="4" t="inlineStr">
        <is>
          <t>Menghitung rata-rata dengan mengikutsertakan sel teks (dianggap 0) dan logika TRUE (dianggap 1).</t>
        </is>
      </c>
      <c r="F112" s="7" t="inlineStr">
        <is>
          <t>👉 Buka Sheet AVERAGEA</t>
        </is>
      </c>
    </row>
    <row r="113">
      <c r="A113" s="4" t="n">
        <v>109</v>
      </c>
      <c r="B113" s="5" t="inlineStr">
        <is>
          <t>AVERAGEIF</t>
        </is>
      </c>
      <c r="C113" s="4" t="inlineStr">
        <is>
          <t>8. Statistik &amp; Analisis Data</t>
        </is>
      </c>
      <c r="D113" s="6">
        <f>AVERAGEIF(range_syarat, syarat, [range_rata2])</f>
        <v/>
      </c>
      <c r="E113" s="4" t="inlineStr">
        <is>
          <t>Menghitung rata-rata khusus untuk data yang memenuhi 1 syarat tertentu saja.</t>
        </is>
      </c>
      <c r="F113" s="7" t="inlineStr">
        <is>
          <t>👉 Buka Sheet AVERAGEIF</t>
        </is>
      </c>
    </row>
    <row r="114">
      <c r="A114" s="4" t="n">
        <v>110</v>
      </c>
      <c r="B114" s="5" t="inlineStr">
        <is>
          <t>AVERAGEIFS</t>
        </is>
      </c>
      <c r="C114" s="4" t="inlineStr">
        <is>
          <t>8. Statistik &amp; Analisis Data</t>
        </is>
      </c>
      <c r="D114" s="6">
        <f>AVERAGEIFS(range_rata2, range_syarat1, syarat1, ...)</f>
        <v/>
      </c>
      <c r="E114" s="4" t="inlineStr">
        <is>
          <t>Menghitung rata-rata dengan banyak syarat sekaligus.</t>
        </is>
      </c>
      <c r="F114" s="7" t="inlineStr">
        <is>
          <t>👉 Buka Sheet AVERAGEIFS</t>
        </is>
      </c>
    </row>
    <row r="115">
      <c r="A115" s="4" t="n">
        <v>111</v>
      </c>
      <c r="B115" s="5" t="inlineStr">
        <is>
          <t>BETA.DIST</t>
        </is>
      </c>
      <c r="C115" s="4" t="inlineStr">
        <is>
          <t>8. Statistik &amp; Analisis Data</t>
        </is>
      </c>
      <c r="D115" s="6">
        <f>BETA.DIST(...)</f>
        <v/>
      </c>
      <c r="E115" s="4" t="inlineStr">
        <is>
          <t>Fungsi Statistik &amp; Analisis Data Excel (BETA.DIST) untuk mengolah distribusi, peluang, standar deviasi, dan pengujian hipotesis data secara presisi.</t>
        </is>
      </c>
      <c r="F115" s="7" t="inlineStr">
        <is>
          <t>👉 Buka Sheet BETA.DIST</t>
        </is>
      </c>
    </row>
    <row r="116">
      <c r="A116" s="4" t="n">
        <v>112</v>
      </c>
      <c r="B116" s="5" t="inlineStr">
        <is>
          <t>BETA.INV</t>
        </is>
      </c>
      <c r="C116" s="4" t="inlineStr">
        <is>
          <t>8. Statistik &amp; Analisis Data</t>
        </is>
      </c>
      <c r="D116" s="6">
        <f>BETA.INV(...)</f>
        <v/>
      </c>
      <c r="E116" s="4" t="inlineStr">
        <is>
          <t>Fungsi Statistik &amp; Analisis Data Excel (BETA.INV) untuk mengolah distribusi, peluang, standar deviasi, dan pengujian hipotesis data secara presisi.</t>
        </is>
      </c>
      <c r="F116" s="7" t="inlineStr">
        <is>
          <t>👉 Buka Sheet BETA.INV</t>
        </is>
      </c>
    </row>
    <row r="117">
      <c r="A117" s="4" t="n">
        <v>113</v>
      </c>
      <c r="B117" s="5" t="inlineStr">
        <is>
          <t>BINOM.DIST</t>
        </is>
      </c>
      <c r="C117" s="4" t="inlineStr">
        <is>
          <t>8. Statistik &amp; Analisis Data</t>
        </is>
      </c>
      <c r="D117" s="6">
        <f>BINOM.DIST(...)</f>
        <v/>
      </c>
      <c r="E117" s="4" t="inlineStr">
        <is>
          <t>Fungsi Statistik &amp; Analisis Data Excel (BINOM.DIST) untuk mengolah distribusi, peluang, standar deviasi, dan pengujian hipotesis data secara presisi.</t>
        </is>
      </c>
      <c r="F117" s="7" t="inlineStr">
        <is>
          <t>👉 Buka Sheet BINOM.DIST</t>
        </is>
      </c>
    </row>
    <row r="118">
      <c r="A118" s="4" t="n">
        <v>114</v>
      </c>
      <c r="B118" s="5" t="inlineStr">
        <is>
          <t>BINOM.INV</t>
        </is>
      </c>
      <c r="C118" s="4" t="inlineStr">
        <is>
          <t>8. Statistik &amp; Analisis Data</t>
        </is>
      </c>
      <c r="D118" s="6">
        <f>BINOM.INV(...)</f>
        <v/>
      </c>
      <c r="E118" s="4" t="inlineStr">
        <is>
          <t>Fungsi Statistik &amp; Analisis Data Excel (BINOM.INV) untuk mengolah distribusi, peluang, standar deviasi, dan pengujian hipotesis data secara presisi.</t>
        </is>
      </c>
      <c r="F118" s="7" t="inlineStr">
        <is>
          <t>👉 Buka Sheet BINOM.INV</t>
        </is>
      </c>
    </row>
    <row r="119">
      <c r="A119" s="4" t="n">
        <v>115</v>
      </c>
      <c r="B119" s="5" t="inlineStr">
        <is>
          <t>CHISQ.DIST</t>
        </is>
      </c>
      <c r="C119" s="4" t="inlineStr">
        <is>
          <t>8. Statistik &amp; Analisis Data</t>
        </is>
      </c>
      <c r="D119" s="6">
        <f>CHISQ.DIST(...)</f>
        <v/>
      </c>
      <c r="E119" s="4" t="inlineStr">
        <is>
          <t>Fungsi Statistik &amp; Analisis Data Excel (CHISQ.DIST) untuk mengolah distribusi, peluang, standar deviasi, dan pengujian hipotesis data secara presisi.</t>
        </is>
      </c>
      <c r="F119" s="7" t="inlineStr">
        <is>
          <t>👉 Buka Sheet CHISQ.DIST</t>
        </is>
      </c>
    </row>
    <row r="120">
      <c r="A120" s="4" t="n">
        <v>116</v>
      </c>
      <c r="B120" s="5" t="inlineStr">
        <is>
          <t>CHISQ.DIST.RT</t>
        </is>
      </c>
      <c r="C120" s="4" t="inlineStr">
        <is>
          <t>8. Statistik &amp; Analisis Data</t>
        </is>
      </c>
      <c r="D120" s="6">
        <f>CHISQ.DIST.RT(...)</f>
        <v/>
      </c>
      <c r="E120" s="4" t="inlineStr">
        <is>
          <t>Fungsi Statistik &amp; Analisis Data Excel (CHISQ.DIST.RT) untuk mengolah distribusi, peluang, standar deviasi, dan pengujian hipotesis data secara presisi.</t>
        </is>
      </c>
      <c r="F120" s="7" t="inlineStr">
        <is>
          <t>👉 Buka Sheet CHISQ.DIST.RT</t>
        </is>
      </c>
    </row>
    <row r="121">
      <c r="A121" s="4" t="n">
        <v>117</v>
      </c>
      <c r="B121" s="5" t="inlineStr">
        <is>
          <t>CHISQ.INV</t>
        </is>
      </c>
      <c r="C121" s="4" t="inlineStr">
        <is>
          <t>8. Statistik &amp; Analisis Data</t>
        </is>
      </c>
      <c r="D121" s="6">
        <f>CHISQ.INV(...)</f>
        <v/>
      </c>
      <c r="E121" s="4" t="inlineStr">
        <is>
          <t>Fungsi Statistik &amp; Analisis Data Excel (CHISQ.INV) untuk mengolah distribusi, peluang, standar deviasi, dan pengujian hipotesis data secara presisi.</t>
        </is>
      </c>
      <c r="F121" s="7" t="inlineStr">
        <is>
          <t>👉 Buka Sheet CHISQ.INV</t>
        </is>
      </c>
    </row>
    <row r="122">
      <c r="A122" s="4" t="n">
        <v>118</v>
      </c>
      <c r="B122" s="5" t="inlineStr">
        <is>
          <t>CHISQ.RT.INV</t>
        </is>
      </c>
      <c r="C122" s="4" t="inlineStr">
        <is>
          <t>8. Statistik &amp; Analisis Data</t>
        </is>
      </c>
      <c r="D122" s="6">
        <f>CHISQ.RT.INV(...)</f>
        <v/>
      </c>
      <c r="E122" s="4" t="inlineStr">
        <is>
          <t>Fungsi Statistik &amp; Analisis Data Excel (CHISQ.RT.INV) untuk mengolah distribusi, peluang, standar deviasi, dan pengujian hipotesis data secara presisi.</t>
        </is>
      </c>
      <c r="F122" s="7" t="inlineStr">
        <is>
          <t>👉 Buka Sheet CHISQ.RT.INV</t>
        </is>
      </c>
    </row>
    <row r="123">
      <c r="A123" s="4" t="n">
        <v>119</v>
      </c>
      <c r="B123" s="5" t="inlineStr">
        <is>
          <t>CHITEST</t>
        </is>
      </c>
      <c r="C123" s="4" t="inlineStr">
        <is>
          <t>8. Statistik &amp; Analisis Data</t>
        </is>
      </c>
      <c r="D123" s="6">
        <f>CHITEST(...)</f>
        <v/>
      </c>
      <c r="E123" s="4" t="inlineStr">
        <is>
          <t>Fungsi Statistik &amp; Analisis Data Excel (CHITEST) untuk mengolah distribusi, peluang, standar deviasi, dan pengujian hipotesis data secara presisi.</t>
        </is>
      </c>
      <c r="F123" s="7" t="inlineStr">
        <is>
          <t>👉 Buka Sheet CHITEST</t>
        </is>
      </c>
    </row>
    <row r="124">
      <c r="A124" s="4" t="n">
        <v>120</v>
      </c>
      <c r="B124" s="5" t="inlineStr">
        <is>
          <t>CONFIDENCE.NORM</t>
        </is>
      </c>
      <c r="C124" s="4" t="inlineStr">
        <is>
          <t>8. Statistik &amp; Analisis Data</t>
        </is>
      </c>
      <c r="D124" s="6">
        <f>CONFIDENCE.NORM(...)</f>
        <v/>
      </c>
      <c r="E124" s="4" t="inlineStr">
        <is>
          <t>Fungsi Statistik &amp; Analisis Data Excel (CONFIDENCE.NORM) untuk mengolah distribusi, peluang, standar deviasi, dan pengujian hipotesis data secara presisi.</t>
        </is>
      </c>
      <c r="F124" s="7" t="inlineStr">
        <is>
          <t>👉 Buka Sheet CONFIDENCE.NORM</t>
        </is>
      </c>
    </row>
    <row r="125">
      <c r="A125" s="4" t="n">
        <v>121</v>
      </c>
      <c r="B125" s="5" t="inlineStr">
        <is>
          <t>CONFIDENCE.T</t>
        </is>
      </c>
      <c r="C125" s="4" t="inlineStr">
        <is>
          <t>8. Statistik &amp; Analisis Data</t>
        </is>
      </c>
      <c r="D125" s="6">
        <f>CONFIDENCE.T(...)</f>
        <v/>
      </c>
      <c r="E125" s="4" t="inlineStr">
        <is>
          <t>Fungsi Statistik &amp; Analisis Data Excel (CONFIDENCE.T) untuk mengolah distribusi, peluang, standar deviasi, dan pengujian hipotesis data secara presisi.</t>
        </is>
      </c>
      <c r="F125" s="7" t="inlineStr">
        <is>
          <t>👉 Buka Sheet CONFIDENCE.T</t>
        </is>
      </c>
    </row>
    <row r="126">
      <c r="A126" s="4" t="n">
        <v>122</v>
      </c>
      <c r="B126" s="5" t="inlineStr">
        <is>
          <t>CORREL</t>
        </is>
      </c>
      <c r="C126" s="4" t="inlineStr">
        <is>
          <t>8. Statistik &amp; Analisis Data</t>
        </is>
      </c>
      <c r="D126" s="6">
        <f>CORREL(range_x, range_y)</f>
        <v/>
      </c>
      <c r="E126" s="4" t="inlineStr">
        <is>
          <t>Mengukur seberapa kuat hubungan (korelasi -1 s/d +1) antara dua variabel (Misal: Biaya Iklan vs Omzet Penjualan).</t>
        </is>
      </c>
      <c r="F126" s="7" t="inlineStr">
        <is>
          <t>👉 Buka Sheet CORREL</t>
        </is>
      </c>
    </row>
    <row r="127">
      <c r="A127" s="4" t="n">
        <v>123</v>
      </c>
      <c r="B127" s="5" t="inlineStr">
        <is>
          <t>COUNT</t>
        </is>
      </c>
      <c r="C127" s="4" t="inlineStr">
        <is>
          <t>8. Statistik &amp; Analisis Data</t>
        </is>
      </c>
      <c r="D127" s="6">
        <f>COUNT(range_data)</f>
        <v/>
      </c>
      <c r="E127" s="4" t="inlineStr">
        <is>
          <t>Menghitung berapa banyak sel yang berisi ANGKA saja di dalam suatu tabel.</t>
        </is>
      </c>
      <c r="F127" s="7" t="inlineStr">
        <is>
          <t>👉 Buka Sheet COUNT</t>
        </is>
      </c>
    </row>
    <row r="128">
      <c r="A128" s="4" t="n">
        <v>124</v>
      </c>
      <c r="B128" s="5" t="inlineStr">
        <is>
          <t>COUNTA</t>
        </is>
      </c>
      <c r="C128" s="4" t="inlineStr">
        <is>
          <t>8. Statistik &amp; Analisis Data</t>
        </is>
      </c>
      <c r="D128" s="6">
        <f>COUNTA(range_data)</f>
        <v/>
      </c>
      <c r="E128" s="4" t="inlineStr">
        <is>
          <t>Menghitung berapa banyak sel yang TIDAK KOSONG (baik berisi angka maupun teks nama).</t>
        </is>
      </c>
      <c r="F128" s="7" t="inlineStr">
        <is>
          <t>👉 Buka Sheet COUNTA</t>
        </is>
      </c>
    </row>
    <row r="129">
      <c r="A129" s="4" t="n">
        <v>125</v>
      </c>
      <c r="B129" s="5" t="inlineStr">
        <is>
          <t>COUNTBLANK</t>
        </is>
      </c>
      <c r="C129" s="4" t="inlineStr">
        <is>
          <t>8. Statistik &amp; Analisis Data</t>
        </is>
      </c>
      <c r="D129" s="6">
        <f>COUNTBLANK(range_data)</f>
        <v/>
      </c>
      <c r="E129" s="4" t="inlineStr">
        <is>
          <t>Menghitung berapa banyak sel yang masih KOSONG / belum diisi di dalam formulir/tabel.</t>
        </is>
      </c>
      <c r="F129" s="7" t="inlineStr">
        <is>
          <t>👉 Buka Sheet COUNTBLANK</t>
        </is>
      </c>
    </row>
    <row r="130">
      <c r="A130" s="4" t="n">
        <v>126</v>
      </c>
      <c r="B130" s="5" t="inlineStr">
        <is>
          <t>COUNTIF</t>
        </is>
      </c>
      <c r="C130" s="4" t="inlineStr">
        <is>
          <t>8. Statistik &amp; Analisis Data</t>
        </is>
      </c>
      <c r="D130" s="6">
        <f>COUNTIF(range_data, syarat)</f>
        <v/>
      </c>
      <c r="E130" s="4" t="inlineStr">
        <is>
          <t>Menghitung berapa banyak data yang memenuhi 1 syarat (Misal: hitung berapa orang yang hadir 'H').</t>
        </is>
      </c>
      <c r="F130" s="7" t="inlineStr">
        <is>
          <t>👉 Buka Sheet COUNTIF</t>
        </is>
      </c>
    </row>
    <row r="131">
      <c r="A131" s="4" t="n">
        <v>127</v>
      </c>
      <c r="B131" s="5" t="inlineStr">
        <is>
          <t>COUNTIFS</t>
        </is>
      </c>
      <c r="C131" s="4" t="inlineStr">
        <is>
          <t>8. Statistik &amp; Analisis Data</t>
        </is>
      </c>
      <c r="D131" s="6">
        <f>COUNTIFS(range1, syarat1, range2, syarat2)</f>
        <v/>
      </c>
      <c r="E131" s="4" t="inlineStr">
        <is>
          <t>Menghitung berapa banyak data yang memenuhi banyak kriteria sekaligus.</t>
        </is>
      </c>
      <c r="F131" s="7" t="inlineStr">
        <is>
          <t>👉 Buka Sheet COUNTIFS</t>
        </is>
      </c>
    </row>
    <row r="132">
      <c r="A132" s="4" t="n">
        <v>128</v>
      </c>
      <c r="B132" s="5" t="inlineStr">
        <is>
          <t>COVARIANCE.P</t>
        </is>
      </c>
      <c r="C132" s="4" t="inlineStr">
        <is>
          <t>8. Statistik &amp; Analisis Data</t>
        </is>
      </c>
      <c r="D132" s="6">
        <f>COVARIANCE.P(range_x, range_y)</f>
        <v/>
      </c>
      <c r="E132" s="4" t="inlineStr">
        <is>
          <t>Menghitung kovarians populasi antara dua kumpulan data.</t>
        </is>
      </c>
      <c r="F132" s="7" t="inlineStr">
        <is>
          <t>👉 Buka Sheet COVARIANCE.P</t>
        </is>
      </c>
    </row>
    <row r="133">
      <c r="A133" s="4" t="n">
        <v>129</v>
      </c>
      <c r="B133" s="5" t="inlineStr">
        <is>
          <t>COVARIANCE.T</t>
        </is>
      </c>
      <c r="C133" s="4" t="inlineStr">
        <is>
          <t>8. Statistik &amp; Analisis Data</t>
        </is>
      </c>
      <c r="D133" s="6">
        <f>COVARIANCE.T(...)</f>
        <v/>
      </c>
      <c r="E133" s="4" t="inlineStr">
        <is>
          <t>Fungsi Statistik &amp; Analisis Data Excel (COVARIANCE.T) untuk mengolah distribusi, peluang, standar deviasi, dan pengujian hipotesis data secara presisi.</t>
        </is>
      </c>
      <c r="F133" s="7" t="inlineStr">
        <is>
          <t>👉 Buka Sheet COVARIANCE.T</t>
        </is>
      </c>
    </row>
    <row r="134">
      <c r="A134" s="4" t="n">
        <v>130</v>
      </c>
      <c r="B134" s="5" t="inlineStr">
        <is>
          <t>CRITBINOM</t>
        </is>
      </c>
      <c r="C134" s="4" t="inlineStr">
        <is>
          <t>8. Statistik &amp; Analisis Data</t>
        </is>
      </c>
      <c r="D134" s="6">
        <f>CRITBINOM(...)</f>
        <v/>
      </c>
      <c r="E134" s="4" t="inlineStr">
        <is>
          <t>Fungsi Statistik &amp; Analisis Data Excel (CRITBINOM) untuk mengolah distribusi, peluang, standar deviasi, dan pengujian hipotesis data secara presisi.</t>
        </is>
      </c>
      <c r="F134" s="7" t="inlineStr">
        <is>
          <t>👉 Buka Sheet CRITBINOM</t>
        </is>
      </c>
    </row>
    <row r="135">
      <c r="A135" s="4" t="n">
        <v>131</v>
      </c>
      <c r="B135" s="5" t="inlineStr">
        <is>
          <t>DEVSQ</t>
        </is>
      </c>
      <c r="C135" s="4" t="inlineStr">
        <is>
          <t>8. Statistik &amp; Analisis Data</t>
        </is>
      </c>
      <c r="D135" s="6">
        <f>DEVSQ(range_data)</f>
        <v/>
      </c>
      <c r="E135" s="4" t="inlineStr">
        <is>
          <t>Menghitung jumlah kuadrat simpangan data dari rata-ratanya.</t>
        </is>
      </c>
      <c r="F135" s="7" t="inlineStr">
        <is>
          <t>👉 Buka Sheet DEVSQ</t>
        </is>
      </c>
    </row>
    <row r="136">
      <c r="A136" s="4" t="n">
        <v>132</v>
      </c>
      <c r="B136" s="5" t="inlineStr">
        <is>
          <t>EXPON.DIST</t>
        </is>
      </c>
      <c r="C136" s="4" t="inlineStr">
        <is>
          <t>8. Statistik &amp; Analisis Data</t>
        </is>
      </c>
      <c r="D136" s="6">
        <f>EXPON.DIST(...)</f>
        <v/>
      </c>
      <c r="E136" s="4" t="inlineStr">
        <is>
          <t>Fungsi Statistik &amp; Analisis Data Excel (EXPON.DIST) untuk mengolah distribusi, peluang, standar deviasi, dan pengujian hipotesis data secara presisi.</t>
        </is>
      </c>
      <c r="F136" s="7" t="inlineStr">
        <is>
          <t>👉 Buka Sheet EXPON.DIST</t>
        </is>
      </c>
    </row>
    <row r="137">
      <c r="A137" s="4" t="n">
        <v>133</v>
      </c>
      <c r="B137" s="5" t="inlineStr">
        <is>
          <t>F.DIST</t>
        </is>
      </c>
      <c r="C137" s="4" t="inlineStr">
        <is>
          <t>8. Statistik &amp; Analisis Data</t>
        </is>
      </c>
      <c r="D137" s="6">
        <f>F.DIST(...)</f>
        <v/>
      </c>
      <c r="E137" s="4" t="inlineStr">
        <is>
          <t>Fungsi Statistik &amp; Analisis Data Excel (F.DIST) untuk mengolah distribusi, peluang, standar deviasi, dan pengujian hipotesis data secara presisi.</t>
        </is>
      </c>
      <c r="F137" s="7" t="inlineStr">
        <is>
          <t>👉 Buka Sheet F.DIST</t>
        </is>
      </c>
    </row>
    <row r="138">
      <c r="A138" s="4" t="n">
        <v>134</v>
      </c>
      <c r="B138" s="5" t="inlineStr">
        <is>
          <t>F.DIST.RT</t>
        </is>
      </c>
      <c r="C138" s="4" t="inlineStr">
        <is>
          <t>8. Statistik &amp; Analisis Data</t>
        </is>
      </c>
      <c r="D138" s="6">
        <f>F.DIST.RT(...)</f>
        <v/>
      </c>
      <c r="E138" s="4" t="inlineStr">
        <is>
          <t>Fungsi Statistik &amp; Analisis Data Excel (F.DIST.RT) untuk mengolah distribusi, peluang, standar deviasi, dan pengujian hipotesis data secara presisi.</t>
        </is>
      </c>
      <c r="F138" s="7" t="inlineStr">
        <is>
          <t>👉 Buka Sheet F.DIST.RT</t>
        </is>
      </c>
    </row>
    <row r="139">
      <c r="A139" s="4" t="n">
        <v>135</v>
      </c>
      <c r="B139" s="5" t="inlineStr">
        <is>
          <t>F.INV</t>
        </is>
      </c>
      <c r="C139" s="4" t="inlineStr">
        <is>
          <t>8. Statistik &amp; Analisis Data</t>
        </is>
      </c>
      <c r="D139" s="6">
        <f>F.INV(...)</f>
        <v/>
      </c>
      <c r="E139" s="4" t="inlineStr">
        <is>
          <t>Fungsi Statistik &amp; Analisis Data Excel (F.INV) untuk mengolah distribusi, peluang, standar deviasi, dan pengujian hipotesis data secara presisi.</t>
        </is>
      </c>
      <c r="F139" s="7" t="inlineStr">
        <is>
          <t>👉 Buka Sheet F.INV</t>
        </is>
      </c>
    </row>
    <row r="140">
      <c r="A140" s="4" t="n">
        <v>136</v>
      </c>
      <c r="B140" s="5" t="inlineStr">
        <is>
          <t>F.INV.RT</t>
        </is>
      </c>
      <c r="C140" s="4" t="inlineStr">
        <is>
          <t>8. Statistik &amp; Analisis Data</t>
        </is>
      </c>
      <c r="D140" s="6">
        <f>F.INV.RT(...)</f>
        <v/>
      </c>
      <c r="E140" s="4" t="inlineStr">
        <is>
          <t>Fungsi Statistik &amp; Analisis Data Excel (F.INV.RT) untuk mengolah distribusi, peluang, standar deviasi, dan pengujian hipotesis data secara presisi.</t>
        </is>
      </c>
      <c r="F140" s="7" t="inlineStr">
        <is>
          <t>👉 Buka Sheet F.INV.RT</t>
        </is>
      </c>
    </row>
    <row r="141">
      <c r="A141" s="4" t="n">
        <v>137</v>
      </c>
      <c r="B141" s="5" t="inlineStr">
        <is>
          <t>FTEST</t>
        </is>
      </c>
      <c r="C141" s="4" t="inlineStr">
        <is>
          <t>8. Statistik &amp; Analisis Data</t>
        </is>
      </c>
      <c r="D141" s="6">
        <f>FTEST(...)</f>
        <v/>
      </c>
      <c r="E141" s="4" t="inlineStr">
        <is>
          <t>Fungsi Statistik &amp; Analisis Data Excel (FTEST) untuk mengolah distribusi, peluang, standar deviasi, dan pengujian hipotesis data secara presisi.</t>
        </is>
      </c>
      <c r="F141" s="7" t="inlineStr">
        <is>
          <t>👉 Buka Sheet FTEST</t>
        </is>
      </c>
    </row>
    <row r="142">
      <c r="A142" s="4" t="n">
        <v>138</v>
      </c>
      <c r="B142" s="5" t="inlineStr">
        <is>
          <t>FISHER</t>
        </is>
      </c>
      <c r="C142" s="4" t="inlineStr">
        <is>
          <t>8. Statistik &amp; Analisis Data</t>
        </is>
      </c>
      <c r="D142" s="6">
        <f>FISHER(...)</f>
        <v/>
      </c>
      <c r="E142" s="4" t="inlineStr">
        <is>
          <t>Fungsi Statistik &amp; Analisis Data Excel (FISHER) untuk mengolah distribusi, peluang, standar deviasi, dan pengujian hipotesis data secara presisi.</t>
        </is>
      </c>
      <c r="F142" s="7" t="inlineStr">
        <is>
          <t>👉 Buka Sheet FISHER</t>
        </is>
      </c>
    </row>
    <row r="143">
      <c r="A143" s="4" t="n">
        <v>139</v>
      </c>
      <c r="B143" s="5" t="inlineStr">
        <is>
          <t>FISHER.INV</t>
        </is>
      </c>
      <c r="C143" s="4" t="inlineStr">
        <is>
          <t>8. Statistik &amp; Analisis Data</t>
        </is>
      </c>
      <c r="D143" s="6">
        <f>FISHER.INV(...)</f>
        <v/>
      </c>
      <c r="E143" s="4" t="inlineStr">
        <is>
          <t>Fungsi Statistik &amp; Analisis Data Excel (FISHER.INV) untuk mengolah distribusi, peluang, standar deviasi, dan pengujian hipotesis data secara presisi.</t>
        </is>
      </c>
      <c r="F143" s="7" t="inlineStr">
        <is>
          <t>👉 Buka Sheet FISHER.INV</t>
        </is>
      </c>
    </row>
    <row r="144">
      <c r="A144" s="4" t="n">
        <v>140</v>
      </c>
      <c r="B144" s="5" t="inlineStr">
        <is>
          <t>FORECAST</t>
        </is>
      </c>
      <c r="C144" s="4" t="inlineStr">
        <is>
          <t>8. Statistik &amp; Analisis Data</t>
        </is>
      </c>
      <c r="D144" s="6">
        <f>FORECAST(target_x, range_y, range_x)</f>
        <v/>
      </c>
      <c r="E144" s="4" t="inlineStr">
        <is>
          <t>Meramal angka masa depan (Misal: memprediksi omzet bulan ke-6 berdasarkan tren bulan 1 s/d 5)!</t>
        </is>
      </c>
      <c r="F144" s="7" t="inlineStr">
        <is>
          <t>👉 Buka Sheet FORECAST</t>
        </is>
      </c>
    </row>
    <row r="145">
      <c r="A145" s="4" t="n">
        <v>141</v>
      </c>
      <c r="B145" s="5" t="inlineStr">
        <is>
          <t>FREQUENCY</t>
        </is>
      </c>
      <c r="C145" s="4" t="inlineStr">
        <is>
          <t>8. Statistik &amp; Analisis Data</t>
        </is>
      </c>
      <c r="D145" s="6">
        <f>FREQUENCY(...)</f>
        <v/>
      </c>
      <c r="E145" s="4" t="inlineStr">
        <is>
          <t>Fungsi Statistik &amp; Analisis Data Excel (FREQUENCY) untuk mengolah distribusi, peluang, standar deviasi, dan pengujian hipotesis data secara presisi.</t>
        </is>
      </c>
      <c r="F145" s="7" t="inlineStr">
        <is>
          <t>👉 Buka Sheet FREQUENCY</t>
        </is>
      </c>
    </row>
    <row r="146">
      <c r="A146" s="4" t="n">
        <v>142</v>
      </c>
      <c r="B146" s="5" t="inlineStr">
        <is>
          <t>GAMMADIST</t>
        </is>
      </c>
      <c r="C146" s="4" t="inlineStr">
        <is>
          <t>8. Statistik &amp; Analisis Data</t>
        </is>
      </c>
      <c r="D146" s="6">
        <f>GAMMADIST(...)</f>
        <v/>
      </c>
      <c r="E146" s="4" t="inlineStr">
        <is>
          <t>Fungsi Statistik &amp; Analisis Data Excel (GAMMADIST) untuk mengolah distribusi, peluang, standar deviasi, dan pengujian hipotesis data secara presisi.</t>
        </is>
      </c>
      <c r="F146" s="7" t="inlineStr">
        <is>
          <t>👉 Buka Sheet GAMMADIST</t>
        </is>
      </c>
    </row>
    <row r="147">
      <c r="A147" s="4" t="n">
        <v>143</v>
      </c>
      <c r="B147" s="5" t="inlineStr">
        <is>
          <t>GAMMAINV</t>
        </is>
      </c>
      <c r="C147" s="4" t="inlineStr">
        <is>
          <t>8. Statistik &amp; Analisis Data</t>
        </is>
      </c>
      <c r="D147" s="6">
        <f>GAMMAINV(...)</f>
        <v/>
      </c>
      <c r="E147" s="4" t="inlineStr">
        <is>
          <t>Fungsi Statistik &amp; Analisis Data Excel (GAMMAINV) untuk mengolah distribusi, peluang, standar deviasi, dan pengujian hipotesis data secara presisi.</t>
        </is>
      </c>
      <c r="F147" s="7" t="inlineStr">
        <is>
          <t>👉 Buka Sheet GAMMAINV</t>
        </is>
      </c>
    </row>
    <row r="148">
      <c r="A148" s="4" t="n">
        <v>144</v>
      </c>
      <c r="B148" s="5" t="inlineStr">
        <is>
          <t>GAMMALN</t>
        </is>
      </c>
      <c r="C148" s="4" t="inlineStr">
        <is>
          <t>8. Statistik &amp; Analisis Data</t>
        </is>
      </c>
      <c r="D148" s="6">
        <f>GAMMALN(...)</f>
        <v/>
      </c>
      <c r="E148" s="4" t="inlineStr">
        <is>
          <t>Fungsi Statistik &amp; Analisis Data Excel (GAMMALN) untuk mengolah distribusi, peluang, standar deviasi, dan pengujian hipotesis data secara presisi.</t>
        </is>
      </c>
      <c r="F148" s="7" t="inlineStr">
        <is>
          <t>👉 Buka Sheet GAMMALN</t>
        </is>
      </c>
    </row>
    <row r="149">
      <c r="A149" s="4" t="n">
        <v>145</v>
      </c>
      <c r="B149" s="5" t="inlineStr">
        <is>
          <t>GEOMEAN</t>
        </is>
      </c>
      <c r="C149" s="4" t="inlineStr">
        <is>
          <t>8. Statistik &amp; Analisis Data</t>
        </is>
      </c>
      <c r="D149" s="6">
        <f>GEOMEAN(range_data)</f>
        <v/>
      </c>
      <c r="E149" s="4" t="inlineStr">
        <is>
          <t>Menghitung Rata-Rata Geometrik (sangat penting untuk menghitung rata-rata pertumbuhan investasi tahunan).</t>
        </is>
      </c>
      <c r="F149" s="7" t="inlineStr">
        <is>
          <t>👉 Buka Sheet GEOMEAN</t>
        </is>
      </c>
    </row>
    <row r="150">
      <c r="A150" s="4" t="n">
        <v>146</v>
      </c>
      <c r="B150" s="5" t="inlineStr">
        <is>
          <t>GROWTH</t>
        </is>
      </c>
      <c r="C150" s="4" t="inlineStr">
        <is>
          <t>8. Statistik &amp; Analisis Data</t>
        </is>
      </c>
      <c r="D150" s="6">
        <f>GROWTH(...)</f>
        <v/>
      </c>
      <c r="E150" s="4" t="inlineStr">
        <is>
          <t>Fungsi Statistik &amp; Analisis Data Excel (GROWTH) untuk mengolah distribusi, peluang, standar deviasi, dan pengujian hipotesis data secara presisi.</t>
        </is>
      </c>
      <c r="F150" s="7" t="inlineStr">
        <is>
          <t>👉 Buka Sheet GROWTH</t>
        </is>
      </c>
    </row>
    <row r="151">
      <c r="A151" s="4" t="n">
        <v>147</v>
      </c>
      <c r="B151" s="5" t="inlineStr">
        <is>
          <t>HARMEAN</t>
        </is>
      </c>
      <c r="C151" s="4" t="inlineStr">
        <is>
          <t>8. Statistik &amp; Analisis Data</t>
        </is>
      </c>
      <c r="D151" s="6">
        <f>HARMEAN(range_data)</f>
        <v/>
      </c>
      <c r="E151" s="4" t="inlineStr">
        <is>
          <t>Menghitung Rata-Rata Harmonik (cocok untuk menghitung rata-rata kecepatan perjalanan pulang-pergi).</t>
        </is>
      </c>
      <c r="F151" s="7" t="inlineStr">
        <is>
          <t>👉 Buka Sheet HARMEAN</t>
        </is>
      </c>
    </row>
    <row r="152">
      <c r="A152" s="4" t="n">
        <v>148</v>
      </c>
      <c r="B152" s="5" t="inlineStr">
        <is>
          <t>HYPGEOMDIST</t>
        </is>
      </c>
      <c r="C152" s="4" t="inlineStr">
        <is>
          <t>8. Statistik &amp; Analisis Data</t>
        </is>
      </c>
      <c r="D152" s="6">
        <f>HYPGEOMDIST(...)</f>
        <v/>
      </c>
      <c r="E152" s="4" t="inlineStr">
        <is>
          <t>Fungsi Statistik &amp; Analisis Data Excel (HYPGEOMDIST) untuk mengolah distribusi, peluang, standar deviasi, dan pengujian hipotesis data secara presisi.</t>
        </is>
      </c>
      <c r="F152" s="7" t="inlineStr">
        <is>
          <t>👉 Buka Sheet HYPGEOMDIST</t>
        </is>
      </c>
    </row>
    <row r="153">
      <c r="A153" s="4" t="n">
        <v>149</v>
      </c>
      <c r="B153" s="5" t="inlineStr">
        <is>
          <t>INTERCEPT</t>
        </is>
      </c>
      <c r="C153" s="4" t="inlineStr">
        <is>
          <t>8. Statistik &amp; Analisis Data</t>
        </is>
      </c>
      <c r="D153" s="6">
        <f>INTERCEPT(range_y, range_x)</f>
        <v/>
      </c>
      <c r="E153" s="4" t="inlineStr">
        <is>
          <t>Mencari titik potong sumbu Y pada garis regresi linear (nilai dasar saat X = 0).</t>
        </is>
      </c>
      <c r="F153" s="7" t="inlineStr">
        <is>
          <t>👉 Buka Sheet INTERCEPT</t>
        </is>
      </c>
    </row>
    <row r="154">
      <c r="A154" s="4" t="n">
        <v>150</v>
      </c>
      <c r="B154" s="5" t="inlineStr">
        <is>
          <t>KURT</t>
        </is>
      </c>
      <c r="C154" s="4" t="inlineStr">
        <is>
          <t>8. Statistik &amp; Analisis Data</t>
        </is>
      </c>
      <c r="D154" s="6">
        <f>KURT(range_data)</f>
        <v/>
      </c>
      <c r="E154" s="4" t="inlineStr">
        <is>
          <t>Mengukur keruncingan (Kurtosis) distribusi data statistik.</t>
        </is>
      </c>
      <c r="F154" s="7" t="inlineStr">
        <is>
          <t>👉 Buka Sheet KURT</t>
        </is>
      </c>
    </row>
    <row r="155">
      <c r="A155" s="4" t="n">
        <v>151</v>
      </c>
      <c r="B155" s="5" t="inlineStr">
        <is>
          <t>LARGE</t>
        </is>
      </c>
      <c r="C155" s="4" t="inlineStr">
        <is>
          <t>8. Statistik &amp; Analisis Data</t>
        </is>
      </c>
      <c r="D155" s="6">
        <f>LARGE(range_data, k)</f>
        <v/>
      </c>
      <c r="E155" s="4" t="inlineStr">
        <is>
          <t>Mencari nilai terbesar ke-k (Misal k=2 untuk mencari Juara 2, k=3 untuk Juara 3).</t>
        </is>
      </c>
      <c r="F155" s="7" t="inlineStr">
        <is>
          <t>👉 Buka Sheet LARGE</t>
        </is>
      </c>
    </row>
    <row r="156">
      <c r="A156" s="4" t="n">
        <v>152</v>
      </c>
      <c r="B156" s="5" t="inlineStr">
        <is>
          <t>LOGNORM.DIST</t>
        </is>
      </c>
      <c r="C156" s="4" t="inlineStr">
        <is>
          <t>8. Statistik &amp; Analisis Data</t>
        </is>
      </c>
      <c r="D156" s="6">
        <f>LOGNORM.DIST(...)</f>
        <v/>
      </c>
      <c r="E156" s="4" t="inlineStr">
        <is>
          <t>Fungsi Statistik &amp; Analisis Data Excel (LOGNORM.DIST) untuk mengolah distribusi, peluang, standar deviasi, dan pengujian hipotesis data secara presisi.</t>
        </is>
      </c>
      <c r="F156" s="7" t="inlineStr">
        <is>
          <t>👉 Buka Sheet LOGNORM.DIST</t>
        </is>
      </c>
    </row>
    <row r="157">
      <c r="A157" s="4" t="n">
        <v>153</v>
      </c>
      <c r="B157" s="5" t="inlineStr">
        <is>
          <t>LOGINV</t>
        </is>
      </c>
      <c r="C157" s="4" t="inlineStr">
        <is>
          <t>8. Statistik &amp; Analisis Data</t>
        </is>
      </c>
      <c r="D157" s="6">
        <f>LOGINV(...)</f>
        <v/>
      </c>
      <c r="E157" s="4" t="inlineStr">
        <is>
          <t>Fungsi Statistik &amp; Analisis Data Excel (LOGINV) untuk mengolah distribusi, peluang, standar deviasi, dan pengujian hipotesis data secara presisi.</t>
        </is>
      </c>
      <c r="F157" s="7" t="inlineStr">
        <is>
          <t>👉 Buka Sheet LOGINV</t>
        </is>
      </c>
    </row>
    <row r="158">
      <c r="A158" s="4" t="n">
        <v>154</v>
      </c>
      <c r="B158" s="5" t="inlineStr">
        <is>
          <t>MAX</t>
        </is>
      </c>
      <c r="C158" s="4" t="inlineStr">
        <is>
          <t>8. Statistik &amp; Analisis Data</t>
        </is>
      </c>
      <c r="D158" s="6">
        <f>MAX(range_data)</f>
        <v/>
      </c>
      <c r="E158" s="4" t="inlineStr">
        <is>
          <t>Mencari nilai PALING TINGGI (Juara 1 / Rekor Tertinggi) dari sekumpulan angka.</t>
        </is>
      </c>
      <c r="F158" s="7" t="inlineStr">
        <is>
          <t>👉 Buka Sheet MAX</t>
        </is>
      </c>
    </row>
    <row r="159">
      <c r="A159" s="4" t="n">
        <v>155</v>
      </c>
      <c r="B159" s="5" t="inlineStr">
        <is>
          <t>MAXA</t>
        </is>
      </c>
      <c r="C159" s="4" t="inlineStr">
        <is>
          <t>8. Statistik &amp; Analisis Data</t>
        </is>
      </c>
      <c r="D159" s="6">
        <f>MAXA(range_data)</f>
        <v/>
      </c>
      <c r="E159" s="4" t="inlineStr">
        <is>
          <t>Mencari nilai tertinggi termasuk mengevaluasi nilai logika dan teks.</t>
        </is>
      </c>
      <c r="F159" s="7" t="inlineStr">
        <is>
          <t>👉 Buka Sheet MAXA</t>
        </is>
      </c>
    </row>
    <row r="160">
      <c r="A160" s="4" t="n">
        <v>156</v>
      </c>
      <c r="B160" s="5" t="inlineStr">
        <is>
          <t>MEDIAN</t>
        </is>
      </c>
      <c r="C160" s="4" t="inlineStr">
        <is>
          <t>8. Statistik &amp; Analisis Data</t>
        </is>
      </c>
      <c r="D160" s="6">
        <f>MEDIAN(range_data)</f>
        <v/>
      </c>
      <c r="E160" s="4" t="inlineStr">
        <is>
          <t>Mencari NILAI TENGAH setelah data diurutkan dari terkecil ke terbesar (tidak terpengaruh angka ekstrem).</t>
        </is>
      </c>
      <c r="F160" s="7" t="inlineStr">
        <is>
          <t>👉 Buka Sheet MEDIAN</t>
        </is>
      </c>
    </row>
    <row r="161">
      <c r="A161" s="4" t="n">
        <v>157</v>
      </c>
      <c r="B161" s="5" t="inlineStr">
        <is>
          <t>MIN</t>
        </is>
      </c>
      <c r="C161" s="4" t="inlineStr">
        <is>
          <t>8. Statistik &amp; Analisis Data</t>
        </is>
      </c>
      <c r="D161" s="6">
        <f>MIN(range_data)</f>
        <v/>
      </c>
      <c r="E161" s="4" t="inlineStr">
        <is>
          <t>Mencari nilai PALING RENDAH / paling murah dari sekumpulan angka.</t>
        </is>
      </c>
      <c r="F161" s="7" t="inlineStr">
        <is>
          <t>👉 Buka Sheet MIN</t>
        </is>
      </c>
    </row>
    <row r="162">
      <c r="A162" s="4" t="n">
        <v>158</v>
      </c>
      <c r="B162" s="5" t="inlineStr">
        <is>
          <t>MINA</t>
        </is>
      </c>
      <c r="C162" s="4" t="inlineStr">
        <is>
          <t>8. Statistik &amp; Analisis Data</t>
        </is>
      </c>
      <c r="D162" s="6">
        <f>MINA(range_data)</f>
        <v/>
      </c>
      <c r="E162" s="4" t="inlineStr">
        <is>
          <t>Mencari nilai terendah termasuk mengevaluasi nilai logika dan teks (0).</t>
        </is>
      </c>
      <c r="F162" s="7" t="inlineStr">
        <is>
          <t>👉 Buka Sheet MINA</t>
        </is>
      </c>
    </row>
    <row r="163">
      <c r="A163" s="4" t="n">
        <v>159</v>
      </c>
      <c r="B163" s="5" t="inlineStr">
        <is>
          <t>MODE</t>
        </is>
      </c>
      <c r="C163" s="4" t="inlineStr">
        <is>
          <t>8. Statistik &amp; Analisis Data</t>
        </is>
      </c>
      <c r="D163" s="6">
        <f>MODE(range_data)</f>
        <v/>
      </c>
      <c r="E163" s="4" t="inlineStr">
        <is>
          <t>Mencari angka yang PALING SERING MUNCUL (Modus / ukuran paling laris).</t>
        </is>
      </c>
      <c r="F163" s="7" t="inlineStr">
        <is>
          <t>👉 Buka Sheet MODE</t>
        </is>
      </c>
    </row>
    <row r="164">
      <c r="A164" s="4" t="n">
        <v>160</v>
      </c>
      <c r="B164" s="5" t="inlineStr">
        <is>
          <t>NEGBINOM.DIST</t>
        </is>
      </c>
      <c r="C164" s="4" t="inlineStr">
        <is>
          <t>8. Statistik &amp; Analisis Data</t>
        </is>
      </c>
      <c r="D164" s="6">
        <f>NEGBINOM.DIST(...)</f>
        <v/>
      </c>
      <c r="E164" s="4" t="inlineStr">
        <is>
          <t>Fungsi Statistik &amp; Analisis Data Excel (NEGBINOM.DIST) untuk mengolah distribusi, peluang, standar deviasi, dan pengujian hipotesis data secara presisi.</t>
        </is>
      </c>
      <c r="F164" s="7" t="inlineStr">
        <is>
          <t>👉 Buka Sheet NEGBINOM.DIST</t>
        </is>
      </c>
    </row>
    <row r="165">
      <c r="A165" s="4" t="n">
        <v>161</v>
      </c>
      <c r="B165" s="5" t="inlineStr">
        <is>
          <t>NORM.DIST</t>
        </is>
      </c>
      <c r="C165" s="4" t="inlineStr">
        <is>
          <t>8. Statistik &amp; Analisis Data</t>
        </is>
      </c>
      <c r="D165" s="6">
        <f>NORM.DIST(...)</f>
        <v/>
      </c>
      <c r="E165" s="4" t="inlineStr">
        <is>
          <t>Fungsi Statistik &amp; Analisis Data Excel (NORM.DIST) untuk mengolah distribusi, peluang, standar deviasi, dan pengujian hipotesis data secara presisi.</t>
        </is>
      </c>
      <c r="F165" s="7" t="inlineStr">
        <is>
          <t>👉 Buka Sheet NORM.DIST</t>
        </is>
      </c>
    </row>
    <row r="166">
      <c r="A166" s="4" t="n">
        <v>162</v>
      </c>
      <c r="B166" s="5" t="inlineStr">
        <is>
          <t>NORM.INV</t>
        </is>
      </c>
      <c r="C166" s="4" t="inlineStr">
        <is>
          <t>8. Statistik &amp; Analisis Data</t>
        </is>
      </c>
      <c r="D166" s="6">
        <f>NORM.INV(...)</f>
        <v/>
      </c>
      <c r="E166" s="4" t="inlineStr">
        <is>
          <t>Fungsi Statistik &amp; Analisis Data Excel (NORM.INV) untuk mengolah distribusi, peluang, standar deviasi, dan pengujian hipotesis data secara presisi.</t>
        </is>
      </c>
      <c r="F166" s="7" t="inlineStr">
        <is>
          <t>👉 Buka Sheet NORM.INV</t>
        </is>
      </c>
    </row>
    <row r="167">
      <c r="A167" s="4" t="n">
        <v>163</v>
      </c>
      <c r="B167" s="5" t="inlineStr">
        <is>
          <t>NORM.S.DIST</t>
        </is>
      </c>
      <c r="C167" s="4" t="inlineStr">
        <is>
          <t>8. Statistik &amp; Analisis Data</t>
        </is>
      </c>
      <c r="D167" s="6">
        <f>NORM.S.DIST(...)</f>
        <v/>
      </c>
      <c r="E167" s="4" t="inlineStr">
        <is>
          <t>Fungsi Statistik &amp; Analisis Data Excel (NORM.S.DIST) untuk mengolah distribusi, peluang, standar deviasi, dan pengujian hipotesis data secara presisi.</t>
        </is>
      </c>
      <c r="F167" s="7" t="inlineStr">
        <is>
          <t>👉 Buka Sheet NORM.S.DIST</t>
        </is>
      </c>
    </row>
    <row r="168">
      <c r="A168" s="4" t="n">
        <v>164</v>
      </c>
      <c r="B168" s="5" t="inlineStr">
        <is>
          <t>NORM.S.INV</t>
        </is>
      </c>
      <c r="C168" s="4" t="inlineStr">
        <is>
          <t>8. Statistik &amp; Analisis Data</t>
        </is>
      </c>
      <c r="D168" s="6">
        <f>NORM.S.INV(...)</f>
        <v/>
      </c>
      <c r="E168" s="4" t="inlineStr">
        <is>
          <t>Fungsi Statistik &amp; Analisis Data Excel (NORM.S.INV) untuk mengolah distribusi, peluang, standar deviasi, dan pengujian hipotesis data secara presisi.</t>
        </is>
      </c>
      <c r="F168" s="7" t="inlineStr">
        <is>
          <t>👉 Buka Sheet NORM.S.INV</t>
        </is>
      </c>
    </row>
    <row r="169">
      <c r="A169" s="4" t="n">
        <v>165</v>
      </c>
      <c r="B169" s="5" t="inlineStr">
        <is>
          <t>PEARSON</t>
        </is>
      </c>
      <c r="C169" s="4" t="inlineStr">
        <is>
          <t>8. Statistik &amp; Analisis Data</t>
        </is>
      </c>
      <c r="D169" s="6">
        <f>PEARSON(range_x, range_y)</f>
        <v/>
      </c>
      <c r="E169" s="4" t="inlineStr">
        <is>
          <t>Menghitung koefisien korelasi Pearson antara dua kumpulan data.</t>
        </is>
      </c>
      <c r="F169" s="7" t="inlineStr">
        <is>
          <t>👉 Buka Sheet PEARSON</t>
        </is>
      </c>
    </row>
    <row r="170">
      <c r="A170" s="4" t="n">
        <v>166</v>
      </c>
      <c r="B170" s="5" t="inlineStr">
        <is>
          <t>PERCENTILE.EXC</t>
        </is>
      </c>
      <c r="C170" s="4" t="inlineStr">
        <is>
          <t>8. Statistik &amp; Analisis Data</t>
        </is>
      </c>
      <c r="D170" s="6">
        <f>PERCENTILE.EXC(...)</f>
        <v/>
      </c>
      <c r="E170" s="4" t="inlineStr">
        <is>
          <t>Fungsi Statistik &amp; Analisis Data Excel (PERCENTILE.EXC) untuk mengolah distribusi, peluang, standar deviasi, dan pengujian hipotesis data secara presisi.</t>
        </is>
      </c>
      <c r="F170" s="7" t="inlineStr">
        <is>
          <t>👉 Buka Sheet PERCENTILE.EXC</t>
        </is>
      </c>
    </row>
    <row r="171">
      <c r="A171" s="4" t="n">
        <v>167</v>
      </c>
      <c r="B171" s="5" t="inlineStr">
        <is>
          <t>PERCENTILE.INC</t>
        </is>
      </c>
      <c r="C171" s="4" t="inlineStr">
        <is>
          <t>8. Statistik &amp; Analisis Data</t>
        </is>
      </c>
      <c r="D171" s="6">
        <f>PERCENTILE.INC(...)</f>
        <v/>
      </c>
      <c r="E171" s="4" t="inlineStr">
        <is>
          <t>Fungsi Statistik &amp; Analisis Data Excel (PERCENTILE.INC) untuk mengolah distribusi, peluang, standar deviasi, dan pengujian hipotesis data secara presisi.</t>
        </is>
      </c>
      <c r="F171" s="7" t="inlineStr">
        <is>
          <t>👉 Buka Sheet PERCENTILE.INC</t>
        </is>
      </c>
    </row>
    <row r="172">
      <c r="A172" s="4" t="n">
        <v>168</v>
      </c>
      <c r="B172" s="5" t="inlineStr">
        <is>
          <t>PERCENTRANK.EXC</t>
        </is>
      </c>
      <c r="C172" s="4" t="inlineStr">
        <is>
          <t>8. Statistik &amp; Analisis Data</t>
        </is>
      </c>
      <c r="D172" s="6">
        <f>PERCENTRANK.EXC(...)</f>
        <v/>
      </c>
      <c r="E172" s="4" t="inlineStr">
        <is>
          <t>Fungsi Statistik &amp; Analisis Data Excel (PERCENTRANK.EXC) untuk mengolah distribusi, peluang, standar deviasi, dan pengujian hipotesis data secara presisi.</t>
        </is>
      </c>
      <c r="F172" s="7" t="inlineStr">
        <is>
          <t>👉 Buka Sheet PERCENTRANK.EXC</t>
        </is>
      </c>
    </row>
    <row r="173">
      <c r="A173" s="4" t="n">
        <v>169</v>
      </c>
      <c r="B173" s="5" t="inlineStr">
        <is>
          <t>PERCENTRANK.INC</t>
        </is>
      </c>
      <c r="C173" s="4" t="inlineStr">
        <is>
          <t>8. Statistik &amp; Analisis Data</t>
        </is>
      </c>
      <c r="D173" s="6">
        <f>PERCENTRANK.INC(...)</f>
        <v/>
      </c>
      <c r="E173" s="4" t="inlineStr">
        <is>
          <t>Fungsi Statistik &amp; Analisis Data Excel (PERCENTRANK.INC) untuk mengolah distribusi, peluang, standar deviasi, dan pengujian hipotesis data secara presisi.</t>
        </is>
      </c>
      <c r="F173" s="7" t="inlineStr">
        <is>
          <t>👉 Buka Sheet PERCENTRANK.INC</t>
        </is>
      </c>
    </row>
    <row r="174">
      <c r="A174" s="4" t="n">
        <v>170</v>
      </c>
      <c r="B174" s="5" t="inlineStr">
        <is>
          <t>PERMUT</t>
        </is>
      </c>
      <c r="C174" s="4" t="inlineStr">
        <is>
          <t>8. Statistik &amp; Analisis Data</t>
        </is>
      </c>
      <c r="D174" s="6">
        <f>PERMUT(...)</f>
        <v/>
      </c>
      <c r="E174" s="4" t="inlineStr">
        <is>
          <t>Fungsi Statistik &amp; Analisis Data Excel (PERMUT) untuk mengolah distribusi, peluang, standar deviasi, dan pengujian hipotesis data secara presisi.</t>
        </is>
      </c>
      <c r="F174" s="7" t="inlineStr">
        <is>
          <t>👉 Buka Sheet PERMUT</t>
        </is>
      </c>
    </row>
    <row r="175">
      <c r="A175" s="4" t="n">
        <v>171</v>
      </c>
      <c r="B175" s="5" t="inlineStr">
        <is>
          <t>POISSON</t>
        </is>
      </c>
      <c r="C175" s="4" t="inlineStr">
        <is>
          <t>8. Statistik &amp; Analisis Data</t>
        </is>
      </c>
      <c r="D175" s="6">
        <f>POISSON(...)</f>
        <v/>
      </c>
      <c r="E175" s="4" t="inlineStr">
        <is>
          <t>Fungsi Statistik &amp; Analisis Data Excel (POISSON) untuk mengolah distribusi, peluang, standar deviasi, dan pengujian hipotesis data secara presisi.</t>
        </is>
      </c>
      <c r="F175" s="7" t="inlineStr">
        <is>
          <t>👉 Buka Sheet POISSON</t>
        </is>
      </c>
    </row>
    <row r="176">
      <c r="A176" s="4" t="n">
        <v>172</v>
      </c>
      <c r="B176" s="5" t="inlineStr">
        <is>
          <t>PROB</t>
        </is>
      </c>
      <c r="C176" s="4" t="inlineStr">
        <is>
          <t>8. Statistik &amp; Analisis Data</t>
        </is>
      </c>
      <c r="D176" s="6">
        <f>PROB(...)</f>
        <v/>
      </c>
      <c r="E176" s="4" t="inlineStr">
        <is>
          <t>Fungsi Statistik &amp; Analisis Data Excel (PROB) untuk mengolah distribusi, peluang, standar deviasi, dan pengujian hipotesis data secara presisi.</t>
        </is>
      </c>
      <c r="F176" s="7" t="inlineStr">
        <is>
          <t>👉 Buka Sheet PROB</t>
        </is>
      </c>
    </row>
    <row r="177">
      <c r="A177" s="4" t="n">
        <v>173</v>
      </c>
      <c r="B177" s="5" t="inlineStr">
        <is>
          <t>QUARTILE.EXC</t>
        </is>
      </c>
      <c r="C177" s="4" t="inlineStr">
        <is>
          <t>8. Statistik &amp; Analisis Data</t>
        </is>
      </c>
      <c r="D177" s="6">
        <f>QUARTILE.EXC(...)</f>
        <v/>
      </c>
      <c r="E177" s="4" t="inlineStr">
        <is>
          <t>Fungsi Statistik &amp; Analisis Data Excel (QUARTILE.EXC) untuk mengolah distribusi, peluang, standar deviasi, dan pengujian hipotesis data secara presisi.</t>
        </is>
      </c>
      <c r="F177" s="7" t="inlineStr">
        <is>
          <t>👉 Buka Sheet QUARTILE.EXC</t>
        </is>
      </c>
    </row>
    <row r="178">
      <c r="A178" s="4" t="n">
        <v>174</v>
      </c>
      <c r="B178" s="5" t="inlineStr">
        <is>
          <t>QUARTILE.INC</t>
        </is>
      </c>
      <c r="C178" s="4" t="inlineStr">
        <is>
          <t>8. Statistik &amp; Analisis Data</t>
        </is>
      </c>
      <c r="D178" s="6">
        <f>QUARTILE.INC(...)</f>
        <v/>
      </c>
      <c r="E178" s="4" t="inlineStr">
        <is>
          <t>Fungsi Statistik &amp; Analisis Data Excel (QUARTILE.INC) untuk mengolah distribusi, peluang, standar deviasi, dan pengujian hipotesis data secara presisi.</t>
        </is>
      </c>
      <c r="F178" s="7" t="inlineStr">
        <is>
          <t>👉 Buka Sheet QUARTILE.INC</t>
        </is>
      </c>
    </row>
    <row r="179">
      <c r="A179" s="4" t="n">
        <v>175</v>
      </c>
      <c r="B179" s="5" t="inlineStr">
        <is>
          <t>RANK</t>
        </is>
      </c>
      <c r="C179" s="4" t="inlineStr">
        <is>
          <t>8. Statistik &amp; Analisis Data</t>
        </is>
      </c>
      <c r="D179" s="6">
        <f>RANK(angka, range_daftar)</f>
        <v/>
      </c>
      <c r="E179" s="4" t="inlineStr">
        <is>
          <t>Menentukan peringkat juara ke berapa suatu angka dibandingkan seluruh daftar.</t>
        </is>
      </c>
      <c r="F179" s="7" t="inlineStr">
        <is>
          <t>👉 Buka Sheet RANK</t>
        </is>
      </c>
    </row>
    <row r="180">
      <c r="A180" s="4" t="n">
        <v>176</v>
      </c>
      <c r="B180" s="5" t="inlineStr">
        <is>
          <t>RSQ</t>
        </is>
      </c>
      <c r="C180" s="4" t="inlineStr">
        <is>
          <t>8. Statistik &amp; Analisis Data</t>
        </is>
      </c>
      <c r="D180" s="6">
        <f>RSQ(range_y, range_x)</f>
        <v/>
      </c>
      <c r="E180" s="4" t="inlineStr">
        <is>
          <t>Menghitung nilai R-Squared (Koefisien Determinasi) untuk melihat seberapa akurat model prediksi.</t>
        </is>
      </c>
      <c r="F180" s="7" t="inlineStr">
        <is>
          <t>👉 Buka Sheet RSQ</t>
        </is>
      </c>
    </row>
    <row r="181">
      <c r="A181" s="4" t="n">
        <v>177</v>
      </c>
      <c r="B181" s="5" t="inlineStr">
        <is>
          <t>SKEW</t>
        </is>
      </c>
      <c r="C181" s="4" t="inlineStr">
        <is>
          <t>8. Statistik &amp; Analisis Data</t>
        </is>
      </c>
      <c r="D181" s="6">
        <f>SKEW(range_data)</f>
        <v/>
      </c>
      <c r="E181" s="4" t="inlineStr">
        <is>
          <t>Mengukur kemencengan (Skewness) distribusi data.</t>
        </is>
      </c>
      <c r="F181" s="7" t="inlineStr">
        <is>
          <t>👉 Buka Sheet SKEW</t>
        </is>
      </c>
    </row>
    <row r="182">
      <c r="A182" s="4" t="n">
        <v>178</v>
      </c>
      <c r="B182" s="5" t="inlineStr">
        <is>
          <t>SLOPE</t>
        </is>
      </c>
      <c r="C182" s="4" t="inlineStr">
        <is>
          <t>8. Statistik &amp; Analisis Data</t>
        </is>
      </c>
      <c r="D182" s="6">
        <f>SLOPE(range_y, range_x)</f>
        <v/>
      </c>
      <c r="E182" s="4" t="inlineStr">
        <is>
          <t>Menghitung kemiringan garis tren regresi linear (seberapa besar kenaikan Y setiap X naik 1 unit).</t>
        </is>
      </c>
      <c r="F182" s="7" t="inlineStr">
        <is>
          <t>👉 Buka Sheet SLOPE</t>
        </is>
      </c>
    </row>
    <row r="183">
      <c r="A183" s="4" t="n">
        <v>179</v>
      </c>
      <c r="B183" s="5" t="inlineStr">
        <is>
          <t>SMALL</t>
        </is>
      </c>
      <c r="C183" s="4" t="inlineStr">
        <is>
          <t>8. Statistik &amp; Analisis Data</t>
        </is>
      </c>
      <c r="D183" s="6">
        <f>SMALL(range_data, k)</f>
        <v/>
      </c>
      <c r="E183" s="4" t="inlineStr">
        <is>
          <t>Mencari nilai terkecil ke-k (Misal mencari 3 cabang dengan biaya termurah).</t>
        </is>
      </c>
      <c r="F183" s="7" t="inlineStr">
        <is>
          <t>👉 Buka Sheet SMALL</t>
        </is>
      </c>
    </row>
    <row r="184">
      <c r="A184" s="4" t="n">
        <v>180</v>
      </c>
      <c r="B184" s="5" t="inlineStr">
        <is>
          <t>STANDARDIZE</t>
        </is>
      </c>
      <c r="C184" s="4" t="inlineStr">
        <is>
          <t>8. Statistik &amp; Analisis Data</t>
        </is>
      </c>
      <c r="D184" s="6">
        <f>STANDARDIZE(...)</f>
        <v/>
      </c>
      <c r="E184" s="4" t="inlineStr">
        <is>
          <t>Fungsi Statistik &amp; Analisis Data Excel (STANDARDIZE) untuk mengolah distribusi, peluang, standar deviasi, dan pengujian hipotesis data secara presisi.</t>
        </is>
      </c>
      <c r="F184" s="7" t="inlineStr">
        <is>
          <t>👉 Buka Sheet STANDARDIZE</t>
        </is>
      </c>
    </row>
    <row r="185">
      <c r="A185" s="4" t="n">
        <v>181</v>
      </c>
      <c r="B185" s="5" t="inlineStr">
        <is>
          <t>STDEV.P</t>
        </is>
      </c>
      <c r="C185" s="4" t="inlineStr">
        <is>
          <t>8. Statistik &amp; Analisis Data</t>
        </is>
      </c>
      <c r="D185" s="6">
        <f>STDEV.P(range_data)</f>
        <v/>
      </c>
      <c r="E185" s="4" t="inlineStr">
        <is>
          <t>Menghitung Standar Deviasi untuk seluruh populasi data.</t>
        </is>
      </c>
      <c r="F185" s="7" t="inlineStr">
        <is>
          <t>👉 Buka Sheet STDEV.P</t>
        </is>
      </c>
    </row>
    <row r="186">
      <c r="A186" s="4" t="n">
        <v>182</v>
      </c>
      <c r="B186" s="5" t="inlineStr">
        <is>
          <t>STDEV.S</t>
        </is>
      </c>
      <c r="C186" s="4" t="inlineStr">
        <is>
          <t>8. Statistik &amp; Analisis Data</t>
        </is>
      </c>
      <c r="D186" s="6">
        <f>STDEV.S(range_data)</f>
        <v/>
      </c>
      <c r="E186" s="4" t="inlineStr">
        <is>
          <t>Menghitung Standar Deviasi sampel untuk melihat tingkat fluktuasi/ketidakstabilan data.</t>
        </is>
      </c>
      <c r="F186" s="7" t="inlineStr">
        <is>
          <t>👉 Buka Sheet STDEV.S</t>
        </is>
      </c>
    </row>
    <row r="187">
      <c r="A187" s="4" t="n">
        <v>183</v>
      </c>
      <c r="B187" s="5" t="inlineStr">
        <is>
          <t>STDEVA</t>
        </is>
      </c>
      <c r="C187" s="4" t="inlineStr">
        <is>
          <t>8. Statistik &amp; Analisis Data</t>
        </is>
      </c>
      <c r="D187" s="6">
        <f>STDEVA(...)</f>
        <v/>
      </c>
      <c r="E187" s="4" t="inlineStr">
        <is>
          <t>Fungsi Statistik &amp; Analisis Data Excel (STDEVA) untuk mengolah distribusi, peluang, standar deviasi, dan pengujian hipotesis data secara presisi.</t>
        </is>
      </c>
      <c r="F187" s="7" t="inlineStr">
        <is>
          <t>👉 Buka Sheet STDEVA</t>
        </is>
      </c>
    </row>
    <row r="188">
      <c r="A188" s="4" t="n">
        <v>184</v>
      </c>
      <c r="B188" s="5" t="inlineStr">
        <is>
          <t>STDEVP</t>
        </is>
      </c>
      <c r="C188" s="4" t="inlineStr">
        <is>
          <t>8. Statistik &amp; Analisis Data</t>
        </is>
      </c>
      <c r="D188" s="6">
        <f>STDEVP(...)</f>
        <v/>
      </c>
      <c r="E188" s="4" t="inlineStr">
        <is>
          <t>Fungsi Statistik &amp; Analisis Data Excel (STDEVP) untuk mengolah distribusi, peluang, standar deviasi, dan pengujian hipotesis data secara presisi.</t>
        </is>
      </c>
      <c r="F188" s="7" t="inlineStr">
        <is>
          <t>👉 Buka Sheet STDEVP</t>
        </is>
      </c>
    </row>
    <row r="189">
      <c r="A189" s="4" t="n">
        <v>185</v>
      </c>
      <c r="B189" s="5" t="inlineStr">
        <is>
          <t>STDEVPA</t>
        </is>
      </c>
      <c r="C189" s="4" t="inlineStr">
        <is>
          <t>8. Statistik &amp; Analisis Data</t>
        </is>
      </c>
      <c r="D189" s="6">
        <f>STDEVPA(...)</f>
        <v/>
      </c>
      <c r="E189" s="4" t="inlineStr">
        <is>
          <t>Fungsi Statistik &amp; Analisis Data Excel (STDEVPA) untuk mengolah distribusi, peluang, standar deviasi, dan pengujian hipotesis data secara presisi.</t>
        </is>
      </c>
      <c r="F189" s="7" t="inlineStr">
        <is>
          <t>👉 Buka Sheet STDEVPA</t>
        </is>
      </c>
    </row>
    <row r="190">
      <c r="A190" s="4" t="n">
        <v>186</v>
      </c>
      <c r="B190" s="5" t="inlineStr">
        <is>
          <t>STEYX</t>
        </is>
      </c>
      <c r="C190" s="4" t="inlineStr">
        <is>
          <t>8. Statistik &amp; Analisis Data</t>
        </is>
      </c>
      <c r="D190" s="6">
        <f>STEYX(range_y, range_x)</f>
        <v/>
      </c>
      <c r="E190" s="4" t="inlineStr">
        <is>
          <t>Menghitung standar error dari prediksi regresi Y terhadap X.</t>
        </is>
      </c>
      <c r="F190" s="7" t="inlineStr">
        <is>
          <t>👉 Buka Sheet STEYX</t>
        </is>
      </c>
    </row>
    <row r="191">
      <c r="A191" s="4" t="n">
        <v>187</v>
      </c>
      <c r="B191" s="5" t="inlineStr">
        <is>
          <t>T.DIST</t>
        </is>
      </c>
      <c r="C191" s="4" t="inlineStr">
        <is>
          <t>8. Statistik &amp; Analisis Data</t>
        </is>
      </c>
      <c r="D191" s="6">
        <f>T.DIST(...)</f>
        <v/>
      </c>
      <c r="E191" s="4" t="inlineStr">
        <is>
          <t>Fungsi Statistik &amp; Analisis Data Excel (T.DIST) untuk mengolah distribusi, peluang, standar deviasi, dan pengujian hipotesis data secara presisi.</t>
        </is>
      </c>
      <c r="F191" s="7" t="inlineStr">
        <is>
          <t>👉 Buka Sheet T.DIST</t>
        </is>
      </c>
    </row>
    <row r="192">
      <c r="A192" s="4" t="n">
        <v>188</v>
      </c>
      <c r="B192" s="5" t="inlineStr">
        <is>
          <t>T.DIST.2T</t>
        </is>
      </c>
      <c r="C192" s="4" t="inlineStr">
        <is>
          <t>8. Statistik &amp; Analisis Data</t>
        </is>
      </c>
      <c r="D192" s="6">
        <f>T.DIST.2T(...)</f>
        <v/>
      </c>
      <c r="E192" s="4" t="inlineStr">
        <is>
          <t>Fungsi Statistik &amp; Analisis Data Excel (T.DIST.2T) untuk mengolah distribusi, peluang, standar deviasi, dan pengujian hipotesis data secara presisi.</t>
        </is>
      </c>
      <c r="F192" s="7" t="inlineStr">
        <is>
          <t>👉 Buka Sheet T.DIST.2T</t>
        </is>
      </c>
    </row>
    <row r="193">
      <c r="A193" s="4" t="n">
        <v>189</v>
      </c>
      <c r="B193" s="5" t="inlineStr">
        <is>
          <t>T.DIST.RT</t>
        </is>
      </c>
      <c r="C193" s="4" t="inlineStr">
        <is>
          <t>8. Statistik &amp; Analisis Data</t>
        </is>
      </c>
      <c r="D193" s="6">
        <f>T.DIST.RT(...)</f>
        <v/>
      </c>
      <c r="E193" s="4" t="inlineStr">
        <is>
          <t>Fungsi Statistik &amp; Analisis Data Excel (T.DIST.RT) untuk mengolah distribusi, peluang, standar deviasi, dan pengujian hipotesis data secara presisi.</t>
        </is>
      </c>
      <c r="F193" s="7" t="inlineStr">
        <is>
          <t>👉 Buka Sheet T.DIST.RT</t>
        </is>
      </c>
    </row>
    <row r="194">
      <c r="A194" s="4" t="n">
        <v>190</v>
      </c>
      <c r="B194" s="5" t="inlineStr">
        <is>
          <t>T.INV</t>
        </is>
      </c>
      <c r="C194" s="4" t="inlineStr">
        <is>
          <t>8. Statistik &amp; Analisis Data</t>
        </is>
      </c>
      <c r="D194" s="6">
        <f>T.INV(...)</f>
        <v/>
      </c>
      <c r="E194" s="4" t="inlineStr">
        <is>
          <t>Fungsi Statistik &amp; Analisis Data Excel (T.INV) untuk mengolah distribusi, peluang, standar deviasi, dan pengujian hipotesis data secara presisi.</t>
        </is>
      </c>
      <c r="F194" s="7" t="inlineStr">
        <is>
          <t>👉 Buka Sheet T.INV</t>
        </is>
      </c>
    </row>
    <row r="195">
      <c r="A195" s="4" t="n">
        <v>191</v>
      </c>
      <c r="B195" s="5" t="inlineStr">
        <is>
          <t>T.INV.2T</t>
        </is>
      </c>
      <c r="C195" s="4" t="inlineStr">
        <is>
          <t>8. Statistik &amp; Analisis Data</t>
        </is>
      </c>
      <c r="D195" s="6">
        <f>T.INV.2T(...)</f>
        <v/>
      </c>
      <c r="E195" s="4" t="inlineStr">
        <is>
          <t>Fungsi Statistik &amp; Analisis Data Excel (T.INV.2T) untuk mengolah distribusi, peluang, standar deviasi, dan pengujian hipotesis data secara presisi.</t>
        </is>
      </c>
      <c r="F195" s="7" t="inlineStr">
        <is>
          <t>👉 Buka Sheet T.INV.2T</t>
        </is>
      </c>
    </row>
    <row r="196">
      <c r="A196" s="4" t="n">
        <v>192</v>
      </c>
      <c r="B196" s="5" t="inlineStr">
        <is>
          <t>TREND</t>
        </is>
      </c>
      <c r="C196" s="4" t="inlineStr">
        <is>
          <t>8. Statistik &amp; Analisis Data</t>
        </is>
      </c>
      <c r="D196" s="6">
        <f>TREND(...)</f>
        <v/>
      </c>
      <c r="E196" s="4" t="inlineStr">
        <is>
          <t>Fungsi Statistik &amp; Analisis Data Excel (TREND) untuk mengolah distribusi, peluang, standar deviasi, dan pengujian hipotesis data secara presisi.</t>
        </is>
      </c>
      <c r="F196" s="7" t="inlineStr">
        <is>
          <t>👉 Buka Sheet TREND</t>
        </is>
      </c>
    </row>
    <row r="197">
      <c r="A197" s="4" t="n">
        <v>193</v>
      </c>
      <c r="B197" s="5" t="inlineStr">
        <is>
          <t>T.TEST</t>
        </is>
      </c>
      <c r="C197" s="4" t="inlineStr">
        <is>
          <t>8. Statistik &amp; Analisis Data</t>
        </is>
      </c>
      <c r="D197" s="6">
        <f>T.TEST(...)</f>
        <v/>
      </c>
      <c r="E197" s="4" t="inlineStr">
        <is>
          <t>Fungsi Statistik &amp; Analisis Data Excel (T.TEST) untuk mengolah distribusi, peluang, standar deviasi, dan pengujian hipotesis data secara presisi.</t>
        </is>
      </c>
      <c r="F197" s="7" t="inlineStr">
        <is>
          <t>👉 Buka Sheet T.TEST</t>
        </is>
      </c>
    </row>
    <row r="198">
      <c r="A198" s="4" t="n">
        <v>194</v>
      </c>
      <c r="B198" s="5" t="inlineStr">
        <is>
          <t>TRIMMEAN</t>
        </is>
      </c>
      <c r="C198" s="4" t="inlineStr">
        <is>
          <t>8. Statistik &amp; Analisis Data</t>
        </is>
      </c>
      <c r="D198" s="6">
        <f>TRIMMEAN(range_data, persen_pangkas)</f>
        <v/>
      </c>
      <c r="E198" s="4" t="inlineStr">
        <is>
          <t>Menghitung rata-rata adil dengan membuang nilai ekstrem tertinggi dan terendah terlebih dahulu (seperti nilai juri senam!).</t>
        </is>
      </c>
      <c r="F198" s="7" t="inlineStr">
        <is>
          <t>👉 Buka Sheet TRIMMEAN</t>
        </is>
      </c>
    </row>
    <row r="199">
      <c r="A199" s="4" t="n">
        <v>195</v>
      </c>
      <c r="B199" s="5" t="inlineStr">
        <is>
          <t>VAR.P</t>
        </is>
      </c>
      <c r="C199" s="4" t="inlineStr">
        <is>
          <t>8. Statistik &amp; Analisis Data</t>
        </is>
      </c>
      <c r="D199" s="6">
        <f>VAR.P(range_data)</f>
        <v/>
      </c>
      <c r="E199" s="4" t="inlineStr">
        <is>
          <t>Menghitung Varians seluruh populasi.</t>
        </is>
      </c>
      <c r="F199" s="7" t="inlineStr">
        <is>
          <t>👉 Buka Sheet VAR.P</t>
        </is>
      </c>
    </row>
    <row r="200">
      <c r="A200" s="4" t="n">
        <v>196</v>
      </c>
      <c r="B200" s="5" t="inlineStr">
        <is>
          <t>VAR.S</t>
        </is>
      </c>
      <c r="C200" s="4" t="inlineStr">
        <is>
          <t>8. Statistik &amp; Analisis Data</t>
        </is>
      </c>
      <c r="D200" s="6">
        <f>VAR.S(range_data)</f>
        <v/>
      </c>
      <c r="E200" s="4" t="inlineStr">
        <is>
          <t>Menghitung Varians sampel statistik.</t>
        </is>
      </c>
      <c r="F200" s="7" t="inlineStr">
        <is>
          <t>👉 Buka Sheet VAR.S</t>
        </is>
      </c>
    </row>
    <row r="201">
      <c r="A201" s="4" t="n">
        <v>197</v>
      </c>
      <c r="B201" s="5" t="inlineStr">
        <is>
          <t>VARA</t>
        </is>
      </c>
      <c r="C201" s="4" t="inlineStr">
        <is>
          <t>8. Statistik &amp; Analisis Data</t>
        </is>
      </c>
      <c r="D201" s="6">
        <f>VARA(...)</f>
        <v/>
      </c>
      <c r="E201" s="4" t="inlineStr">
        <is>
          <t>Fungsi Statistik &amp; Analisis Data Excel (VARA) untuk mengolah distribusi, peluang, standar deviasi, dan pengujian hipotesis data secara presisi.</t>
        </is>
      </c>
      <c r="F201" s="7" t="inlineStr">
        <is>
          <t>👉 Buka Sheet VARA</t>
        </is>
      </c>
    </row>
    <row r="202">
      <c r="A202" s="4" t="n">
        <v>198</v>
      </c>
      <c r="B202" s="5" t="inlineStr">
        <is>
          <t>VARPA</t>
        </is>
      </c>
      <c r="C202" s="4" t="inlineStr">
        <is>
          <t>8. Statistik &amp; Analisis Data</t>
        </is>
      </c>
      <c r="D202" s="6">
        <f>VARPA(...)</f>
        <v/>
      </c>
      <c r="E202" s="4" t="inlineStr">
        <is>
          <t>Fungsi Statistik &amp; Analisis Data Excel (VARPA) untuk mengolah distribusi, peluang, standar deviasi, dan pengujian hipotesis data secara presisi.</t>
        </is>
      </c>
      <c r="F202" s="7" t="inlineStr">
        <is>
          <t>👉 Buka Sheet VARPA</t>
        </is>
      </c>
    </row>
    <row r="203">
      <c r="A203" s="4" t="n">
        <v>199</v>
      </c>
      <c r="B203" s="5" t="inlineStr">
        <is>
          <t>WEIBULL</t>
        </is>
      </c>
      <c r="C203" s="4" t="inlineStr">
        <is>
          <t>8. Statistik &amp; Analisis Data</t>
        </is>
      </c>
      <c r="D203" s="6">
        <f>WEIBULL(...)</f>
        <v/>
      </c>
      <c r="E203" s="4" t="inlineStr">
        <is>
          <t>Fungsi Statistik &amp; Analisis Data Excel (WEIBULL) untuk mengolah distribusi, peluang, standar deviasi, dan pengujian hipotesis data secara presisi.</t>
        </is>
      </c>
      <c r="F203" s="7" t="inlineStr">
        <is>
          <t>👉 Buka Sheet WEIBULL</t>
        </is>
      </c>
    </row>
    <row r="204">
      <c r="A204" s="4" t="n">
        <v>200</v>
      </c>
      <c r="B204" s="5" t="inlineStr">
        <is>
          <t>ZTEST</t>
        </is>
      </c>
      <c r="C204" s="4" t="inlineStr">
        <is>
          <t>8. Statistik &amp; Analisis Data</t>
        </is>
      </c>
      <c r="D204" s="6">
        <f>ZTEST(...)</f>
        <v/>
      </c>
      <c r="E204" s="4" t="inlineStr">
        <is>
          <t>Fungsi Statistik &amp; Analisis Data Excel (ZTEST) untuk mengolah distribusi, peluang, standar deviasi, dan pengujian hipotesis data secara presisi.</t>
        </is>
      </c>
      <c r="F204" s="7" t="inlineStr">
        <is>
          <t>👉 Buka Sheet ZTEST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1" r:id="rId127"/>
    <hyperlink xmlns:r="http://schemas.openxmlformats.org/officeDocument/2006/relationships" ref="F132" r:id="rId128"/>
    <hyperlink xmlns:r="http://schemas.openxmlformats.org/officeDocument/2006/relationships" ref="F133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#001 — RUMUS EXCEL: SUM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(SUM)</t>
        </is>
      </c>
    </row>
    <row r="5" ht="21" customHeight="1">
      <c r="B5" s="12" t="inlineStr">
        <is>
          <t>Nama Rumus Excel</t>
        </is>
      </c>
      <c r="C5" s="13">
        <f>SUM(...)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SUM(angka1, [angka2],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seluruh angka di dalam blok sel sekaligus. Bayangkan punya 5 celengan, SUM langsung menghitung total uang di semua celengan itu dalam 1 detik!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 pada rentang sel C11:C14 untuk menghitung nilai SUM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'=SUM(C11:C14)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SUM(C11:C14)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SUM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SUM pada rentang sel C20:C23 untuk menghitung nilai SUM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SUM(C20:C23)</f>
        <v/>
      </c>
      <c r="H21" s="29" t="inlineStr">
        <is>
          <t>Ketik: =SUM(C20:C23)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SUM pada rentang sel C28:C31 untuk menghitung nilai SUM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SUM(C28:C31)</f>
        <v/>
      </c>
      <c r="H29" s="29" t="inlineStr">
        <is>
          <t>Ketik: =SUM(C28:C31)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SUM pada rentang sel C36:C39 untuk menghitung nilai SUM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SUM(C36:C39)</f>
        <v/>
      </c>
      <c r="H37" s="29" t="inlineStr">
        <is>
          <t>Ketik: =SUM(C36:C39)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SUM pada rentang sel C44:C47 untuk menghitung nilai SUM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SUM(C44:C47)</f>
        <v/>
      </c>
      <c r="H45" s="29" t="inlineStr">
        <is>
          <t>Ketik: =SUM(C44:C47)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SUM pada rentang sel C52:C55 untuk menghitung nilai SUM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SUM(C52:C55)</f>
        <v/>
      </c>
      <c r="H53" s="29" t="inlineStr">
        <is>
          <t>Ketik: =SUM(C52:C55)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#002 — RUMUS EXCEL: SUMIF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(SUMIF)</t>
        </is>
      </c>
    </row>
    <row r="5" ht="21" customHeight="1">
      <c r="B5" s="12" t="inlineStr">
        <is>
          <t>Nama Rumus Excel</t>
        </is>
      </c>
      <c r="C5" s="13">
        <f>SUMIF(...)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SUMIF(range_syarat, syarat, [range_jumlah])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angka TAPI pilih-pilih sesuai 1 syarat. Contoh: Hanya jumlahkan omzet dari cabang 'Jakarta' saja, cabang lain abaikan!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SUMIF)</t>
        </is>
      </c>
    </row>
    <row r="10">
      <c r="B10" s="16" t="inlineStr">
        <is>
          <t>Kategori Lokasi</t>
        </is>
      </c>
      <c r="C10" s="16" t="inlineStr">
        <is>
          <t>Nilai Transaksi</t>
        </is>
      </c>
      <c r="E10" s="17" t="inlineStr">
        <is>
          <t>💡 CONTOH RUMUS YANG SUDAH TERPASANG AKTIF:</t>
        </is>
      </c>
    </row>
    <row r="11">
      <c r="B11" s="18" t="inlineStr">
        <is>
          <t>Pusat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SUMIF untuk menghitung khusus kategori "Pusat" saja (Kolom syarat: B11:B14, Kolom nilai: C11:C14)!</t>
        </is>
      </c>
    </row>
    <row r="12">
      <c r="B12" s="18" t="inlineStr">
        <is>
          <t>Cabang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'=SUMIF(B11:B14, "Pusat", C11:C14)</t>
        </is>
      </c>
    </row>
    <row r="13">
      <c r="B13" s="18" t="inlineStr">
        <is>
          <t>Pusat</t>
        </is>
      </c>
      <c r="C13" s="18" t="n">
        <v>2100000</v>
      </c>
      <c r="E13" s="19" t="inlineStr">
        <is>
          <t>Hasil Otomatis Excel:</t>
        </is>
      </c>
      <c r="F13" s="22">
        <f>SUMIF(B11:B14, "Pusat", C11:C14)</f>
        <v/>
      </c>
    </row>
    <row r="14">
      <c r="B14" s="18" t="inlineStr">
        <is>
          <t>Cabang</t>
        </is>
      </c>
      <c r="C14" s="18" t="n">
        <v>1600000</v>
      </c>
    </row>
    <row r="16" ht="26" customHeight="1">
      <c r="B16" s="23" t="inlineStr">
        <is>
          <t>3️⃣ 5 PERSOALAN DUNIA NYATA (KETIK RUMUS SUMIF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Kategori Lokasi</t>
        </is>
      </c>
      <c r="C19" s="12" t="inlineStr">
        <is>
          <t>Nilai Transaksi</t>
        </is>
      </c>
      <c r="E19" s="25" t="inlineStr">
        <is>
          <t>Persoalan #1: Gunakan rumus SUMIF untuk menghitung khusus kategori "Pusat" saja (Kolom syarat: B20:B23, Kolom nilai: C20:C23)!</t>
        </is>
      </c>
    </row>
    <row r="20">
      <c r="B20" s="18" t="inlineStr">
        <is>
          <t>Pusat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SUMIF(B20:B23, "Pusat", C20:C23)</f>
        <v/>
      </c>
      <c r="H21" s="29" t="inlineStr">
        <is>
          <t>Ketik: =SUMIF(B20:B23, "Pusat", C20:C23)</t>
        </is>
      </c>
    </row>
    <row r="22">
      <c r="B22" s="18" t="inlineStr">
        <is>
          <t>Pusat</t>
        </is>
      </c>
      <c r="C22" s="18" t="n">
        <v>2100000</v>
      </c>
    </row>
    <row r="23">
      <c r="B23" s="18" t="inlineStr">
        <is>
          <t>Cabang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Kategori Lokasi</t>
        </is>
      </c>
      <c r="C27" s="12" t="inlineStr">
        <is>
          <t>Nilai Transaksi</t>
        </is>
      </c>
      <c r="E27" s="25" t="inlineStr">
        <is>
          <t>Persoalan #2: Gunakan rumus SUMIF untuk menghitung khusus kategori "Pusat" saja (Kolom syarat: B28:B31, Kolom nilai: C28:C31)!</t>
        </is>
      </c>
    </row>
    <row r="28">
      <c r="B28" s="18" t="inlineStr">
        <is>
          <t>Pusat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Cabang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SUMIF(B28:B31, "Pusat", C28:C31)</f>
        <v/>
      </c>
      <c r="H29" s="29" t="inlineStr">
        <is>
          <t>Ketik: =SUMIF(B28:B31, "Pusat", C28:C31)</t>
        </is>
      </c>
    </row>
    <row r="30">
      <c r="B30" s="18" t="inlineStr">
        <is>
          <t>Pusat</t>
        </is>
      </c>
      <c r="C30" s="18" t="n">
        <v>4800000</v>
      </c>
    </row>
    <row r="31">
      <c r="B31" s="18" t="inlineStr">
        <is>
          <t>Cabang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Kategori Lokasi</t>
        </is>
      </c>
      <c r="C35" s="12" t="inlineStr">
        <is>
          <t>Nilai Transaksi</t>
        </is>
      </c>
      <c r="E35" s="25" t="inlineStr">
        <is>
          <t>Persoalan #3: Gunakan rumus SUMIF untuk menghitung khusus kategori "Pusat" saja (Kolom syarat: B36:B39, Kolom nilai: C36:C39)!</t>
        </is>
      </c>
    </row>
    <row r="36">
      <c r="B36" s="18" t="inlineStr">
        <is>
          <t>Pusat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Cabang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SUMIF(B36:B39, "Pusat", C36:C39)</f>
        <v/>
      </c>
      <c r="H37" s="29" t="inlineStr">
        <is>
          <t>Ketik: =SUMIF(B36:B39, "Pusat", C36:C39)</t>
        </is>
      </c>
    </row>
    <row r="38">
      <c r="B38" s="18" t="inlineStr">
        <is>
          <t>Pusat</t>
        </is>
      </c>
      <c r="C38" s="18" t="n">
        <v>195</v>
      </c>
    </row>
    <row r="39">
      <c r="B39" s="18" t="inlineStr">
        <is>
          <t>Cabang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Kategori Lokasi</t>
        </is>
      </c>
      <c r="C43" s="12" t="inlineStr">
        <is>
          <t>Nilai Transaksi</t>
        </is>
      </c>
      <c r="E43" s="25" t="inlineStr">
        <is>
          <t>Persoalan #4: Gunakan rumus SUMIF untuk menghitung khusus kategori "Pusat" saja (Kolom syarat: B44:B47, Kolom nilai: C44:C47)!</t>
        </is>
      </c>
    </row>
    <row r="44">
      <c r="B44" s="18" t="inlineStr">
        <is>
          <t>Pusat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Cabang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SUMIF(B44:B47, "Pusat", C44:C47)</f>
        <v/>
      </c>
      <c r="H45" s="29" t="inlineStr">
        <is>
          <t>Ketik: =SUMIF(B44:B47, "Pusat", C44:C47)</t>
        </is>
      </c>
    </row>
    <row r="46">
      <c r="B46" s="18" t="inlineStr">
        <is>
          <t>Pusat</t>
        </is>
      </c>
      <c r="C46" s="18" t="n">
        <v>78</v>
      </c>
    </row>
    <row r="47">
      <c r="B47" s="18" t="inlineStr">
        <is>
          <t>Cabang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Kategori Lokasi</t>
        </is>
      </c>
      <c r="C51" s="12" t="inlineStr">
        <is>
          <t>Nilai Transaksi</t>
        </is>
      </c>
      <c r="E51" s="25" t="inlineStr">
        <is>
          <t>Persoalan #5: Gunakan rumus SUMIF untuk menghitung khusus kategori "Pusat" saja (Kolom syarat: B52:B55, Kolom nilai: C52:C55)!</t>
        </is>
      </c>
    </row>
    <row r="52">
      <c r="B52" s="18" t="inlineStr">
        <is>
          <t>Pusat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Cabang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SUMIF(B52:B55, "Pusat", C52:C55)</f>
        <v/>
      </c>
      <c r="H53" s="29" t="inlineStr">
        <is>
          <t>Ketik: =SUMIF(B52:B55, "Pusat", C52:C55)</t>
        </is>
      </c>
    </row>
    <row r="54">
      <c r="B54" s="18" t="inlineStr">
        <is>
          <t>Pusat</t>
        </is>
      </c>
      <c r="C54" s="18" t="n">
        <v>91</v>
      </c>
    </row>
    <row r="55">
      <c r="B55" s="18" t="inlineStr">
        <is>
          <t>Cabang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#003 — RUMUS EXCEL: SUMIFS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(SUMIFS)</t>
        </is>
      </c>
    </row>
    <row r="5" ht="21" customHeight="1">
      <c r="B5" s="12" t="inlineStr">
        <is>
          <t>Nama Rumus Excel</t>
        </is>
      </c>
      <c r="C5" s="13">
        <f>SUMIFS(...)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SUMIFS(range_jumlah, range_syarat1, syarat1, range_syarat2, syarat2)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angka dengan BANYAK syarat sekaligus. Contoh: Jumlahkan penjualan khusus barang 'Laptop' DAN khusus cabang 'Surabaya'!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SUMIFS)</t>
        </is>
      </c>
    </row>
    <row r="10">
      <c r="B10" s="16" t="inlineStr">
        <is>
          <t>Status Unit</t>
        </is>
      </c>
      <c r="C10" s="16" t="inlineStr">
        <is>
          <t>Nilai Realisasi</t>
        </is>
      </c>
      <c r="E10" s="17" t="inlineStr">
        <is>
          <t>💡 CONTOH RUMUS YANG SUDAH TERPASANG AKTIF:</t>
        </is>
      </c>
    </row>
    <row r="11">
      <c r="B11" s="18" t="inlineStr">
        <is>
          <t>Aktif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SUMIFS untuk mengolah nilai di C11:C14 yang berstatus "Aktif" pada kolom B11:B14!</t>
        </is>
      </c>
    </row>
    <row r="12">
      <c r="B12" s="18" t="inlineStr">
        <is>
          <t>Aktif</t>
        </is>
      </c>
      <c r="C12" s="18" t="n">
        <v>1850000</v>
      </c>
      <c r="E12" s="19" t="inlineStr">
        <is>
          <t>Rumus yang Diketik:</t>
        </is>
      </c>
      <c r="F12" s="21" t="inlineStr">
        <is>
          <t>'=SUMIFS(C11:C14, B11:B14, "Aktif")</t>
        </is>
      </c>
    </row>
    <row r="13">
      <c r="B13" s="18" t="inlineStr">
        <is>
          <t>Nonaktif</t>
        </is>
      </c>
      <c r="C13" s="18" t="n">
        <v>2100000</v>
      </c>
      <c r="E13" s="19" t="inlineStr">
        <is>
          <t>Hasil Otomatis Excel:</t>
        </is>
      </c>
      <c r="F13" s="22">
        <f>SUMIFS(C11:C14, B11:B14, "Aktif")</f>
        <v/>
      </c>
    </row>
    <row r="14">
      <c r="B14" s="18" t="inlineStr">
        <is>
          <t>Aktif</t>
        </is>
      </c>
      <c r="C14" s="18" t="n">
        <v>1600000</v>
      </c>
    </row>
    <row r="16" ht="26" customHeight="1">
      <c r="B16" s="23" t="inlineStr">
        <is>
          <t>3️⃣ 5 PERSOALAN DUNIA NYATA (KETIK RUMUS SUMIFS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Status Unit</t>
        </is>
      </c>
      <c r="C19" s="12" t="inlineStr">
        <is>
          <t>Nilai Realisasi</t>
        </is>
      </c>
      <c r="E19" s="25" t="inlineStr">
        <is>
          <t>Persoalan #1: Gunakan rumus SUMIFS untuk mengolah nilai di C20:C23 yang berstatus "Aktif" pada kolom B20:B23!</t>
        </is>
      </c>
    </row>
    <row r="20">
      <c r="B20" s="18" t="inlineStr">
        <is>
          <t>Aktif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Aktif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SUMIFS(C20:C23, B20:B23, "Aktif")</f>
        <v/>
      </c>
      <c r="H21" s="29" t="inlineStr">
        <is>
          <t>Ketik: =SUMIFS(C20:C23, B20:B23, "Aktif")</t>
        </is>
      </c>
    </row>
    <row r="22">
      <c r="B22" s="18" t="inlineStr">
        <is>
          <t>Nonaktif</t>
        </is>
      </c>
      <c r="C22" s="18" t="n">
        <v>2100000</v>
      </c>
    </row>
    <row r="23">
      <c r="B23" s="18" t="inlineStr">
        <is>
          <t>Aktif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Status Unit</t>
        </is>
      </c>
      <c r="C27" s="12" t="inlineStr">
        <is>
          <t>Nilai Realisasi</t>
        </is>
      </c>
      <c r="E27" s="25" t="inlineStr">
        <is>
          <t>Persoalan #2: Gunakan rumus SUMIFS untuk mengolah nilai di C28:C31 yang berstatus "Aktif" pada kolom B28:B31!</t>
        </is>
      </c>
    </row>
    <row r="28">
      <c r="B28" s="18" t="inlineStr">
        <is>
          <t>Aktif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Aktif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SUMIFS(C28:C31, B28:B31, "Aktif")</f>
        <v/>
      </c>
      <c r="H29" s="29" t="inlineStr">
        <is>
          <t>Ketik: =SUMIFS(C28:C31, B28:B31, "Aktif")</t>
        </is>
      </c>
    </row>
    <row r="30">
      <c r="B30" s="18" t="inlineStr">
        <is>
          <t>Nonaktif</t>
        </is>
      </c>
      <c r="C30" s="18" t="n">
        <v>4800000</v>
      </c>
    </row>
    <row r="31">
      <c r="B31" s="18" t="inlineStr">
        <is>
          <t>Aktif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Status Unit</t>
        </is>
      </c>
      <c r="C35" s="12" t="inlineStr">
        <is>
          <t>Nilai Realisasi</t>
        </is>
      </c>
      <c r="E35" s="25" t="inlineStr">
        <is>
          <t>Persoalan #3: Gunakan rumus SUMIFS untuk mengolah nilai di C36:C39 yang berstatus "Aktif" pada kolom B36:B39!</t>
        </is>
      </c>
    </row>
    <row r="36">
      <c r="B36" s="18" t="inlineStr">
        <is>
          <t>Aktif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Aktif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SUMIFS(C36:C39, B36:B39, "Aktif")</f>
        <v/>
      </c>
      <c r="H37" s="29" t="inlineStr">
        <is>
          <t>Ketik: =SUMIFS(C36:C39, B36:B39, "Aktif")</t>
        </is>
      </c>
    </row>
    <row r="38">
      <c r="B38" s="18" t="inlineStr">
        <is>
          <t>Nonaktif</t>
        </is>
      </c>
      <c r="C38" s="18" t="n">
        <v>195</v>
      </c>
    </row>
    <row r="39">
      <c r="B39" s="18" t="inlineStr">
        <is>
          <t>Aktif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Status Unit</t>
        </is>
      </c>
      <c r="C43" s="12" t="inlineStr">
        <is>
          <t>Nilai Realisasi</t>
        </is>
      </c>
      <c r="E43" s="25" t="inlineStr">
        <is>
          <t>Persoalan #4: Gunakan rumus SUMIFS untuk mengolah nilai di C44:C47 yang berstatus "Aktif" pada kolom B44:B47!</t>
        </is>
      </c>
    </row>
    <row r="44">
      <c r="B44" s="18" t="inlineStr">
        <is>
          <t>Aktif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Aktif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SUMIFS(C44:C47, B44:B47, "Aktif")</f>
        <v/>
      </c>
      <c r="H45" s="29" t="inlineStr">
        <is>
          <t>Ketik: =SUMIFS(C44:C47, B44:B47, "Aktif")</t>
        </is>
      </c>
    </row>
    <row r="46">
      <c r="B46" s="18" t="inlineStr">
        <is>
          <t>Nonaktif</t>
        </is>
      </c>
      <c r="C46" s="18" t="n">
        <v>78</v>
      </c>
    </row>
    <row r="47">
      <c r="B47" s="18" t="inlineStr">
        <is>
          <t>Aktif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Status Unit</t>
        </is>
      </c>
      <c r="C51" s="12" t="inlineStr">
        <is>
          <t>Nilai Realisasi</t>
        </is>
      </c>
      <c r="E51" s="25" t="inlineStr">
        <is>
          <t>Persoalan #5: Gunakan rumus SUMIFS untuk mengolah nilai di C52:C55 yang berstatus "Aktif" pada kolom B52:B55!</t>
        </is>
      </c>
    </row>
    <row r="52">
      <c r="B52" s="18" t="inlineStr">
        <is>
          <t>Aktif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Aktif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SUMIFS(C52:C55, B52:B55, "Aktif")</f>
        <v/>
      </c>
      <c r="H53" s="29" t="inlineStr">
        <is>
          <t>Ketik: =SUMIFS(C52:C55, B52:B55, "Aktif")</t>
        </is>
      </c>
    </row>
    <row r="54">
      <c r="B54" s="18" t="inlineStr">
        <is>
          <t>Nonaktif</t>
        </is>
      </c>
      <c r="C54" s="18" t="n">
        <v>91</v>
      </c>
    </row>
    <row r="55">
      <c r="B55" s="18" t="inlineStr">
        <is>
          <t>Aktif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#004 — RUMUS EXCEL: PRODUCT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(PRODUCT)</t>
        </is>
      </c>
    </row>
    <row r="5" ht="21" customHeight="1">
      <c r="B5" s="12" t="inlineStr">
        <is>
          <t>Nama Rumus Excel</t>
        </is>
      </c>
      <c r="C5" s="13">
        <f>PRODUCT(...)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PRODUCT(angka1, [angka2],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Mengalikan semua angka di dalam rentang sel. Cocok untuk menghitung perkalian beruntun seperti Harga × Jumlah × Faktor Diskon.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PRODUCT)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PRODUCT pada rentang sel C11:C14 untuk menghitung nilai PRODUCT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'=PRODUCT(C11:C14)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PRODUCT(C11:C14)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PRODUCT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PRODUCT pada rentang sel C20:C23 untuk menghitung nilai PRODUCT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PRODUCT(C20:C23)</f>
        <v/>
      </c>
      <c r="H21" s="29" t="inlineStr">
        <is>
          <t>Ketik: =PRODUCT(C20:C23)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PRODUCT pada rentang sel C28:C31 untuk menghitung nilai PRODUCT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PRODUCT(C28:C31)</f>
        <v/>
      </c>
      <c r="H29" s="29" t="inlineStr">
        <is>
          <t>Ketik: =PRODUCT(C28:C31)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PRODUCT pada rentang sel C36:C39 untuk menghitung nilai PRODUCT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PRODUCT(C36:C39)</f>
        <v/>
      </c>
      <c r="H37" s="29" t="inlineStr">
        <is>
          <t>Ketik: =PRODUCT(C36:C39)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PRODUCT pada rentang sel C44:C47 untuk menghitung nilai PRODUCT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PRODUCT(C44:C47)</f>
        <v/>
      </c>
      <c r="H45" s="29" t="inlineStr">
        <is>
          <t>Ketik: =PRODUCT(C44:C47)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PRODUCT pada rentang sel C52:C55 untuk menghitung nilai PRODUCT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PRODUCT(C52:C55)</f>
        <v/>
      </c>
      <c r="H53" s="29" t="inlineStr">
        <is>
          <t>Ketik: =PRODUCT(C52:C55)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#005 — RUMUS EXCEL: SUMPRODUCT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(SUMPRODUCT)</t>
        </is>
      </c>
    </row>
    <row r="5" ht="21" customHeight="1">
      <c r="B5" s="12" t="inlineStr">
        <is>
          <t>Nama Rumus Excel</t>
        </is>
      </c>
      <c r="C5" s="13">
        <f>SUMPRODUCT(...)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SUMPRODUCT(array1, [array2],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Mengalikan dua kolom sejajar (misal Harga × Qty tiap baris) lalu langsung menjumlahkan total akhirnya tanpa perlu kolom bantuan!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SUMPRODUCT)</t>
        </is>
      </c>
    </row>
    <row r="10">
      <c r="B10" s="16" t="inlineStr">
        <is>
          <t>Qty Barang</t>
        </is>
      </c>
      <c r="C10" s="16" t="inlineStr">
        <is>
          <t>Harga Satuan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Kalikan Jumlah Barang (B11:B14) dengan Harga Satuan (C11:C14) lalu jumlahkan sekaligus memakai SUMPRODUCT!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'=SUMPRODUCT(B11:B14,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SUMPRODUCT(B11:B14,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SUMPRODUCT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Qty Barang</t>
        </is>
      </c>
      <c r="C19" s="12" t="inlineStr">
        <is>
          <t>Harga Satuan</t>
        </is>
      </c>
      <c r="E19" s="25" t="inlineStr">
        <is>
          <t>Persoalan #1: Kalikan Jumlah Barang (B20:B23) dengan Harga Satuan (C20:C23) lalu jumlahkan sekaligus memakai SUMPRODUCT!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SUMPRODUCT(B20:B23, C20:C23)</f>
        <v/>
      </c>
      <c r="H21" s="29" t="inlineStr">
        <is>
          <t>Ketik: =SUMPRODUCT(B20:B23,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Qty Barang</t>
        </is>
      </c>
      <c r="C27" s="12" t="inlineStr">
        <is>
          <t>Harga Satuan</t>
        </is>
      </c>
      <c r="E27" s="25" t="inlineStr">
        <is>
          <t>Persoalan #2: Kalikan Jumlah Barang (B28:B31) dengan Harga Satuan (C28:C31) lalu jumlahkan sekaligus memakai SUMPRODUCT!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SUMPRODUCT(B28:B31, C28:C31)</f>
        <v/>
      </c>
      <c r="H29" s="29" t="inlineStr">
        <is>
          <t>Ketik: =SUMPRODUCT(B28:B31,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Qty Barang</t>
        </is>
      </c>
      <c r="C35" s="12" t="inlineStr">
        <is>
          <t>Harga Satuan</t>
        </is>
      </c>
      <c r="E35" s="25" t="inlineStr">
        <is>
          <t>Persoalan #3: Kalikan Jumlah Barang (B36:B39) dengan Harga Satuan (C36:C39) lalu jumlahkan sekaligus memakai SUMPRODUCT!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SUMPRODUCT(B36:B39, C36:C39)</f>
        <v/>
      </c>
      <c r="H37" s="29" t="inlineStr">
        <is>
          <t>Ketik: =SUMPRODUCT(B36:B39,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Qty Barang</t>
        </is>
      </c>
      <c r="C43" s="12" t="inlineStr">
        <is>
          <t>Harga Satuan</t>
        </is>
      </c>
      <c r="E43" s="25" t="inlineStr">
        <is>
          <t>Persoalan #4: Kalikan Jumlah Barang (B44:B47) dengan Harga Satuan (C44:C47) lalu jumlahkan sekaligus memakai SUMPRODUCT!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SUMPRODUCT(B44:B47, C44:C47)</f>
        <v/>
      </c>
      <c r="H45" s="29" t="inlineStr">
        <is>
          <t>Ketik: =SUMPRODUCT(B44:B47,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Qty Barang</t>
        </is>
      </c>
      <c r="C51" s="12" t="inlineStr">
        <is>
          <t>Harga Satuan</t>
        </is>
      </c>
      <c r="E51" s="25" t="inlineStr">
        <is>
          <t>Persoalan #5: Kalikan Jumlah Barang (B52:B55) dengan Harga Satuan (C52:C55) lalu jumlahkan sekaligus memakai SUMPRODUCT!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SUMPRODUCT(B52:B55, C52:C55)</f>
        <v/>
      </c>
      <c r="H53" s="29" t="inlineStr">
        <is>
          <t>Ketik: =SUMPRODUCT(B52:B55,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#006 — RUMUS EXCEL: ROUND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(ROUND)</t>
        </is>
      </c>
    </row>
    <row r="5" ht="21" customHeight="1">
      <c r="B5" s="12" t="inlineStr">
        <is>
          <t>Nama Rumus Excel</t>
        </is>
      </c>
      <c r="C5" s="13">
        <f>ROUND(...)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desimal ke jumlah angka di belakang koma terdekat sesuai aturan matematika standar (0.5 ke atas naik).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ROUND(C20, 1)</f>
        <v/>
      </c>
      <c r="H21" s="29" t="inlineStr">
        <is>
          <t>Ketik: =ROUND(C20,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ROUND(C28, 1)</f>
        <v/>
      </c>
      <c r="H29" s="29" t="inlineStr">
        <is>
          <t>Ketik: =ROUND(C28,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ROUND(C36, 1)</f>
        <v/>
      </c>
      <c r="H37" s="29" t="inlineStr">
        <is>
          <t>Ketik: =ROUND(C36,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ROUND(C44, 1)</f>
        <v/>
      </c>
      <c r="H45" s="29" t="inlineStr">
        <is>
          <t>Ketik: =ROUND(C44,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ROUND(C52, 1)</f>
        <v/>
      </c>
      <c r="H53" s="29" t="inlineStr">
        <is>
          <t>Ketik: =ROUND(C52,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#007 — RUMUS EXCEL: ROUNDUP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(ROUNDUP)</t>
        </is>
      </c>
    </row>
    <row r="5" ht="21" customHeight="1">
      <c r="B5" s="12" t="inlineStr">
        <is>
          <t>Nama Rumus Excel</t>
        </is>
      </c>
      <c r="C5" s="13">
        <f>ROUNDUP(...)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ROUNDUP(angka,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Selalu membulatkan angka KE ATAS menjauhi nol. Cocok untuk menghitung jumlah dus/truk (kalau butuh 4.1 truk, harus sewa 5 truk!).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ROUNDUP)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ROUNDUP!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'=ROUNDUP(C11,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ROUNDUP(C11,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ROUNDUP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ROUNDUP!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ROUNDUP(C20, 1)</f>
        <v/>
      </c>
      <c r="H21" s="29" t="inlineStr">
        <is>
          <t>Ketik: =ROUNDUP(C20,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ROUNDUP!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ROUNDUP(C28, 1)</f>
        <v/>
      </c>
      <c r="H29" s="29" t="inlineStr">
        <is>
          <t>Ketik: =ROUNDUP(C28,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ROUNDUP!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ROUNDUP(C36, 1)</f>
        <v/>
      </c>
      <c r="H37" s="29" t="inlineStr">
        <is>
          <t>Ketik: =ROUNDUP(C36,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ROUNDUP!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ROUNDUP(C44, 1)</f>
        <v/>
      </c>
      <c r="H45" s="29" t="inlineStr">
        <is>
          <t>Ketik: =ROUNDUP(C44,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ROUNDUP!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ROUNDUP(C52, 1)</f>
        <v/>
      </c>
      <c r="H53" s="29" t="inlineStr">
        <is>
          <t>Ketik: =ROUNDUP(C52,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#008 — RUMUS EXCEL: ROUNDDOWN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(ROUNDDOWN)</t>
        </is>
      </c>
    </row>
    <row r="5" ht="21" customHeight="1">
      <c r="B5" s="12" t="inlineStr">
        <is>
          <t>Nama Rumus Excel</t>
        </is>
      </c>
      <c r="C5" s="13">
        <f>ROUNDDOWN(...)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ROUNDDOWN(angka,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Selalu membulatkan angka KE BAWAH mendekati nol (memotong desimal tanpa peduli angkanya besar).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ROUNDDOWN)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ROUNDDOWN!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'=ROUNDDOWN(C11,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ROUNDDOWN(C11,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ROUNDDOWN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ROUNDDOWN!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ROUNDDOWN(C20, 1)</f>
        <v/>
      </c>
      <c r="H21" s="29" t="inlineStr">
        <is>
          <t>Ketik: =ROUNDDOWN(C20,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ROUNDDOWN!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ROUNDDOWN(C28, 1)</f>
        <v/>
      </c>
      <c r="H29" s="29" t="inlineStr">
        <is>
          <t>Ketik: =ROUNDDOWN(C28,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ROUNDDOWN!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ROUNDDOWN(C36, 1)</f>
        <v/>
      </c>
      <c r="H37" s="29" t="inlineStr">
        <is>
          <t>Ketik: =ROUNDDOWN(C36,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ROUNDDOWN!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ROUNDDOWN(C44, 1)</f>
        <v/>
      </c>
      <c r="H45" s="29" t="inlineStr">
        <is>
          <t>Ketik: =ROUNDDOWN(C44,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ROUNDDOWN!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ROUNDDOWN(C52, 1)</f>
        <v/>
      </c>
      <c r="H53" s="29" t="inlineStr">
        <is>
          <t>Ketik: =ROUNDDOWN(C52,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#009 — RUMUS EXCEL: MROUND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(MROUND)</t>
        </is>
      </c>
    </row>
    <row r="5" ht="21" customHeight="1">
      <c r="B5" s="12" t="inlineStr">
        <is>
          <t>Nama Rumus Excel</t>
        </is>
      </c>
      <c r="C5" s="13">
        <f>MROUND(...)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MROUND(angka,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kelipatan tertentu terdekat (misal membulatkan harga uang receh ke kelipatan Rp 500 terdekat).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MROUND)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MROUND!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'=MROUND(C11,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MROUND(C11,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MROUND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MROUND!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MROUND(C20, 500)</f>
        <v/>
      </c>
      <c r="H21" s="29" t="inlineStr">
        <is>
          <t>Ketik: =MROUND(C20,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MROUND!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MROUND(C28, 500)</f>
        <v/>
      </c>
      <c r="H29" s="29" t="inlineStr">
        <is>
          <t>Ketik: =MROUND(C28,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MROUND!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MROUND(C36, 500)</f>
        <v/>
      </c>
      <c r="H37" s="29" t="inlineStr">
        <is>
          <t>Ketik: =MROUND(C36,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MROUND!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MROUND(C44, 500)</f>
        <v/>
      </c>
      <c r="H45" s="29" t="inlineStr">
        <is>
          <t>Ketik: =MROUND(C44,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MROUND!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MROUND(C52, 500)</f>
        <v/>
      </c>
      <c r="H53" s="29" t="inlineStr">
        <is>
          <t>Ketik: =MROUND(C52,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#010 — RUMUS EXCEL: CEILING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(CEILING)</t>
        </is>
      </c>
    </row>
    <row r="5" ht="21" customHeight="1">
      <c r="B5" s="12" t="inlineStr">
        <is>
          <t>Nama Rumus Excel</t>
        </is>
      </c>
      <c r="C5" s="13">
        <f>CEILING(...)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CEILING(angka,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ATAS menuju kelipatan terdekat (misal pembulatan tagihan parkir per kelipatan 1000 ke atas).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CEILING)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CEILING!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'=CEILING(C11,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CEILING(C11,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CEILING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CEILING!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CEILING(C20, 500)</f>
        <v/>
      </c>
      <c r="H21" s="29" t="inlineStr">
        <is>
          <t>Ketik: =CEILING(C20,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CEILING!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CEILING(C28, 500)</f>
        <v/>
      </c>
      <c r="H29" s="29" t="inlineStr">
        <is>
          <t>Ketik: =CEILING(C28,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CEILING!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CEILING(C36, 500)</f>
        <v/>
      </c>
      <c r="H37" s="29" t="inlineStr">
        <is>
          <t>Ketik: =CEILING(C36,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CEILING!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CEILING(C44, 500)</f>
        <v/>
      </c>
      <c r="H45" s="29" t="inlineStr">
        <is>
          <t>Ketik: =CEILING(C44,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CEILING!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CEILING(C52, 500)</f>
        <v/>
      </c>
      <c r="H53" s="29" t="inlineStr">
        <is>
          <t>Ketik: =CEILING(C52,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#011 — RUMUS EXCEL: FLOOR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(FLOOR)</t>
        </is>
      </c>
    </row>
    <row r="5" ht="21" customHeight="1">
      <c r="B5" s="12" t="inlineStr">
        <is>
          <t>Nama Rumus Excel</t>
        </is>
      </c>
      <c r="C5" s="13">
        <f>FLOOR(...)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FLOOR(angka,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BAWAH menuju kelipatan terdekat (misal menghitung paket lusinan penuh dari stok barang).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FLOOR)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FLOOR!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'=FLOOR(C11,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FLOOR(C11,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FLOOR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FLOOR!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FLOOR(C20, 500)</f>
        <v/>
      </c>
      <c r="H21" s="29" t="inlineStr">
        <is>
          <t>Ketik: =FLOOR(C20,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FLOOR!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FLOOR(C28, 500)</f>
        <v/>
      </c>
      <c r="H29" s="29" t="inlineStr">
        <is>
          <t>Ketik: =FLOOR(C28,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FLOOR!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FLOOR(C36, 500)</f>
        <v/>
      </c>
      <c r="H37" s="29" t="inlineStr">
        <is>
          <t>Ketik: =FLOOR(C36,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FLOOR!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FLOOR(C44, 500)</f>
        <v/>
      </c>
      <c r="H45" s="29" t="inlineStr">
        <is>
          <t>Ketik: =FLOOR(C44,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FLOOR!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FLOOR(C52, 500)</f>
        <v/>
      </c>
      <c r="H53" s="29" t="inlineStr">
        <is>
          <t>Ketik: =FLOOR(C52,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#012 — RUMUS EXCEL: INT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(INT)</t>
        </is>
      </c>
    </row>
    <row r="5" ht="21" customHeight="1">
      <c r="B5" s="12" t="inlineStr">
        <is>
          <t>Nama Rumus Excel</t>
        </is>
      </c>
      <c r="C5" s="13">
        <f>INT(...)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INT(angka)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bulatnya saja dengan membulatkan ke bawah ke bilangan bulat terdekat.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INT)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Bulatkan/potong desimal angka di sel C11 (124.789) menjadi bilangan bulat menggunakan INT!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'=INT(C11)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INT(C11)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INT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Bulatkan/potong desimal angka di sel C20 (124.789) menjadi bilangan bulat menggunakan INT!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INT(C20)</f>
        <v/>
      </c>
      <c r="H21" s="29" t="inlineStr">
        <is>
          <t>Ketik: =INT(C20)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Bulatkan/potong desimal angka di sel C28 (125.789) menjadi bilangan bulat menggunakan INT!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INT(C28)</f>
        <v/>
      </c>
      <c r="H29" s="29" t="inlineStr">
        <is>
          <t>Ketik: =INT(C28)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Bulatkan/potong desimal angka di sel C36 (126.789) menjadi bilangan bulat menggunakan INT!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INT(C36)</f>
        <v/>
      </c>
      <c r="H37" s="29" t="inlineStr">
        <is>
          <t>Ketik: =INT(C36)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Bulatkan/potong desimal angka di sel C44 (127.789) menjadi bilangan bulat menggunakan INT!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INT(C44)</f>
        <v/>
      </c>
      <c r="H45" s="29" t="inlineStr">
        <is>
          <t>Ketik: =INT(C44)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Bulatkan/potong desimal angka di sel C52 (128.789) menjadi bilangan bulat menggunakan INT!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INT(C52)</f>
        <v/>
      </c>
      <c r="H53" s="29" t="inlineStr">
        <is>
          <t>Ketik: =INT(C52)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#013 — RUMUS EXCEL: TRUNC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(TRUNC)</t>
        </is>
      </c>
    </row>
    <row r="5" ht="21" customHeight="1">
      <c r="B5" s="12" t="inlineStr">
        <is>
          <t>Nama Rumus Excel</t>
        </is>
      </c>
      <c r="C5" s="13">
        <f>TRUNC(...)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TRUNC(angka, [jumlah_digit])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Memotong angka desimal di belakang koma secara langsung tanpa pembulatan.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TRUNC)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Bulatkan/potong desimal angka di sel C11 (124.789) menjadi bilangan bulat menggunakan TRUNC!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'=TRUNC(C11)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TRUNC(C11)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TRUNC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Bulatkan/potong desimal angka di sel C20 (124.789) menjadi bilangan bulat menggunakan TRUNC!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TRUNC(C20)</f>
        <v/>
      </c>
      <c r="H21" s="29" t="inlineStr">
        <is>
          <t>Ketik: =TRUNC(C20)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Bulatkan/potong desimal angka di sel C28 (125.789) menjadi bilangan bulat menggunakan TRUNC!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TRUNC(C28)</f>
        <v/>
      </c>
      <c r="H29" s="29" t="inlineStr">
        <is>
          <t>Ketik: =TRUNC(C28)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Bulatkan/potong desimal angka di sel C36 (126.789) menjadi bilangan bulat menggunakan TRUNC!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TRUNC(C36)</f>
        <v/>
      </c>
      <c r="H37" s="29" t="inlineStr">
        <is>
          <t>Ketik: =TRUNC(C36)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Bulatkan/potong desimal angka di sel C44 (127.789) menjadi bilangan bulat menggunakan TRUNC!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TRUNC(C44)</f>
        <v/>
      </c>
      <c r="H45" s="29" t="inlineStr">
        <is>
          <t>Ketik: =TRUNC(C44)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Bulatkan/potong desimal angka di sel C52 (128.789) menjadi bilangan bulat menggunakan TRUNC!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TRUNC(C52)</f>
        <v/>
      </c>
      <c r="H53" s="29" t="inlineStr">
        <is>
          <t>Ketik: =TRUNC(C52)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#014 — RUMUS EXCEL: MOD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(MOD)</t>
        </is>
      </c>
    </row>
    <row r="5" ht="21" customHeight="1">
      <c r="B5" s="12" t="inlineStr">
        <is>
          <t>Nama Rumus Excel</t>
        </is>
      </c>
      <c r="C5" s="13">
        <f>MOD(...)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MOD(angka, pembagi)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SISA hasil pembagian. Contoh: 14 permen dibagi ke 4 anak, masing-masing dapat 3 dan SISA 2 permen (MOD = 2).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MOD)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MOD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'=MOD(B11,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MOD(B11,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MOD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MOD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MOD(B20, C20)</f>
        <v/>
      </c>
      <c r="H21" s="29" t="inlineStr">
        <is>
          <t>Ketik: =MOD(B20,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MOD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MOD(B28, C28)</f>
        <v/>
      </c>
      <c r="H29" s="29" t="inlineStr">
        <is>
          <t>Ketik: =MOD(B28,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MOD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MOD(B36, C36)</f>
        <v/>
      </c>
      <c r="H37" s="29" t="inlineStr">
        <is>
          <t>Ketik: =MOD(B36,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MOD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MOD(B44, C44)</f>
        <v/>
      </c>
      <c r="H45" s="29" t="inlineStr">
        <is>
          <t>Ketik: =MOD(B44,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MOD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MOD(B52, C52)</f>
        <v/>
      </c>
      <c r="H53" s="29" t="inlineStr">
        <is>
          <t>Ketik: =MOD(B52,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#015 — RUMUS EXCEL: QUOTIENT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(QUOTIENT)</t>
        </is>
      </c>
    </row>
    <row r="5" ht="21" customHeight="1">
      <c r="B5" s="12" t="inlineStr">
        <is>
          <t>Nama Rumus Excel</t>
        </is>
      </c>
      <c r="C5" s="13">
        <f>QUOTIENT(...)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QUOTIENT(pembilang, penyebut)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hasil bagi BULAT saja dan membuang sisanya. Contoh: 14 dibagi 4 hasilnya 3 (sisanya diabaikan).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QUOTIENT)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QUOTIENT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'=QUOTIENT(B11,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QUOTIENT(B11,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QUOTIENT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QUOTIENT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QUOTIENT(B20, C20)</f>
        <v/>
      </c>
      <c r="H21" s="29" t="inlineStr">
        <is>
          <t>Ketik: =QUOTIENT(B20,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QUOTIENT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QUOTIENT(B28, C28)</f>
        <v/>
      </c>
      <c r="H29" s="29" t="inlineStr">
        <is>
          <t>Ketik: =QUOTIENT(B28,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QUOTIENT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QUOTIENT(B36, C36)</f>
        <v/>
      </c>
      <c r="H37" s="29" t="inlineStr">
        <is>
          <t>Ketik: =QUOTIENT(B36,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QUOTIENT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QUOTIENT(B44, C44)</f>
        <v/>
      </c>
      <c r="H45" s="29" t="inlineStr">
        <is>
          <t>Ketik: =QUOTIENT(B44,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QUOTIENT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QUOTIENT(B52, C52)</f>
        <v/>
      </c>
      <c r="H53" s="29" t="inlineStr">
        <is>
          <t>Ketik: =QUOTIENT(B52,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#016 — RUMUS EXCEL: ABS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(ABS)</t>
        </is>
      </c>
    </row>
    <row r="5" ht="21" customHeight="1">
      <c r="B5" s="12" t="inlineStr">
        <is>
          <t>Nama Rumus Excel</t>
        </is>
      </c>
      <c r="C5" s="13">
        <f>ABS(...)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ABS(angka)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minus (negatif) menjadi positif (Nilai Mutlak). Cocok untuk menghitung selisih jarak atau deviasi stok tanpa tanda minus.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ABS)</t>
        </is>
      </c>
    </row>
    <row r="10">
      <c r="B10" s="16" t="inlineStr">
        <is>
          <t xml:space="preserve"> Pos Audit</t>
        </is>
      </c>
      <c r="C10" s="16" t="inlineStr">
        <is>
          <t>Selisih Stok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-150</v>
      </c>
      <c r="E11" s="19" t="inlineStr">
        <is>
          <t>Kasus Contoh:</t>
        </is>
      </c>
      <c r="F11" s="20" t="inlineStr">
        <is>
          <t>Gunakan rumus ABS pada nilai selisih di sel C11 (-150)!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'=ABS(C11)</t>
        </is>
      </c>
    </row>
    <row r="13">
      <c r="B13" s="18" t="inlineStr">
        <is>
          <t>Cabang Surabaya</t>
        </is>
      </c>
      <c r="C13" s="18" t="n">
        <v>-75</v>
      </c>
      <c r="E13" s="19" t="inlineStr">
        <is>
          <t>Hasil Otomatis Excel:</t>
        </is>
      </c>
      <c r="F13" s="22">
        <f>ABS(C11)</f>
        <v/>
      </c>
    </row>
    <row r="14">
      <c r="B14" s="18" t="inlineStr">
        <is>
          <t>Cabang Medan</t>
        </is>
      </c>
      <c r="C14" s="18" t="n">
        <v>0</v>
      </c>
    </row>
    <row r="16" ht="26" customHeight="1">
      <c r="B16" s="23" t="inlineStr">
        <is>
          <t>3️⃣ 5 PERSOALAN DUNIA NYATA (KETIK RUMUS ABS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 xml:space="preserve"> Pos Audit</t>
        </is>
      </c>
      <c r="C19" s="12" t="inlineStr">
        <is>
          <t>Selisih Stok</t>
        </is>
      </c>
      <c r="E19" s="25" t="inlineStr">
        <is>
          <t>Persoalan #1: Gunakan rumus ABS pada nilai selisih di sel C20 (-150)!</t>
        </is>
      </c>
    </row>
    <row r="20">
      <c r="B20" s="18" t="inlineStr">
        <is>
          <t>Cabang Jakarta</t>
        </is>
      </c>
      <c r="C20" s="18" t="n">
        <v>-150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ABS(C20)</f>
        <v/>
      </c>
      <c r="H21" s="29" t="inlineStr">
        <is>
          <t>Ketik: =ABS(C20)</t>
        </is>
      </c>
    </row>
    <row r="22">
      <c r="B22" s="18" t="inlineStr">
        <is>
          <t>Cabang Surabaya</t>
        </is>
      </c>
      <c r="C22" s="18" t="n">
        <v>-75</v>
      </c>
    </row>
    <row r="23">
      <c r="B23" s="18" t="inlineStr">
        <is>
          <t>Cabang Medan</t>
        </is>
      </c>
      <c r="C23" s="18" t="n">
        <v>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 xml:space="preserve"> Pos Audit</t>
        </is>
      </c>
      <c r="C27" s="12" t="inlineStr">
        <is>
          <t>Selisih Stok</t>
        </is>
      </c>
      <c r="E27" s="25" t="inlineStr">
        <is>
          <t>Persoalan #2: Gunakan rumus ABS pada nilai selisih di sel C28 (-300)!</t>
        </is>
      </c>
    </row>
    <row r="28">
      <c r="B28" s="18" t="inlineStr">
        <is>
          <t>Budi Santoso</t>
        </is>
      </c>
      <c r="C28" s="18" t="n">
        <v>-300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400</v>
      </c>
      <c r="E29" s="26" t="n"/>
      <c r="F29" s="27">
        <f>IF(ISBLANK(E29), "⏳ Ketik rumus di sel kuning E29", IF(E29=G29, "✅ BENAR! LUAR BIASA!", "❌ Belum Tepat, Cek Kunci"))</f>
        <v/>
      </c>
      <c r="G29" s="28">
        <f>ABS(C28)</f>
        <v/>
      </c>
      <c r="H29" s="29" t="inlineStr">
        <is>
          <t>Ketik: =ABS(C28)</t>
        </is>
      </c>
    </row>
    <row r="30">
      <c r="B30" s="18" t="inlineStr">
        <is>
          <t>Andi Pratama</t>
        </is>
      </c>
      <c r="C30" s="18" t="n">
        <v>-150</v>
      </c>
    </row>
    <row r="31">
      <c r="B31" s="18" t="inlineStr">
        <is>
          <t>Rina Wijaya</t>
        </is>
      </c>
      <c r="C31" s="18" t="n">
        <v>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 xml:space="preserve"> Pos Audit</t>
        </is>
      </c>
      <c r="C35" s="12" t="inlineStr">
        <is>
          <t>Selisih Stok</t>
        </is>
      </c>
      <c r="E35" s="25" t="inlineStr">
        <is>
          <t>Persoalan #3: Gunakan rumus ABS pada nilai selisih di sel C36 (-450)!</t>
        </is>
      </c>
    </row>
    <row r="36">
      <c r="B36" s="18" t="inlineStr">
        <is>
          <t>Gudang Blok A</t>
        </is>
      </c>
      <c r="C36" s="18" t="n">
        <v>-450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600</v>
      </c>
      <c r="E37" s="26" t="n"/>
      <c r="F37" s="27">
        <f>IF(ISBLANK(E37), "⏳ Ketik rumus di sel kuning E37", IF(E37=G37, "✅ BENAR! LUAR BIASA!", "❌ Belum Tepat, Cek Kunci"))</f>
        <v/>
      </c>
      <c r="G37" s="28">
        <f>ABS(C36)</f>
        <v/>
      </c>
      <c r="H37" s="29" t="inlineStr">
        <is>
          <t>Ketik: =ABS(C36)</t>
        </is>
      </c>
    </row>
    <row r="38">
      <c r="B38" s="18" t="inlineStr">
        <is>
          <t>Gudang Blok C</t>
        </is>
      </c>
      <c r="C38" s="18" t="n">
        <v>-225</v>
      </c>
    </row>
    <row r="39">
      <c r="B39" s="18" t="inlineStr">
        <is>
          <t>Gudang Blok D</t>
        </is>
      </c>
      <c r="C39" s="18" t="n">
        <v>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 xml:space="preserve"> Pos Audit</t>
        </is>
      </c>
      <c r="C43" s="12" t="inlineStr">
        <is>
          <t>Selisih Stok</t>
        </is>
      </c>
      <c r="E43" s="25" t="inlineStr">
        <is>
          <t>Persoalan #4: Gunakan rumus ABS pada nilai selisih di sel C44 (-600)!</t>
        </is>
      </c>
    </row>
    <row r="44">
      <c r="B44" s="18" t="inlineStr">
        <is>
          <t>Toko Elektronik</t>
        </is>
      </c>
      <c r="C44" s="18" t="n">
        <v>-600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</v>
      </c>
      <c r="E45" s="26" t="n"/>
      <c r="F45" s="27">
        <f>IF(ISBLANK(E45), "⏳ Ketik rumus di sel kuning E45", IF(E45=G45, "✅ BENAR! LUAR BIASA!", "❌ Belum Tepat, Cek Kunci"))</f>
        <v/>
      </c>
      <c r="G45" s="28">
        <f>ABS(C44)</f>
        <v/>
      </c>
      <c r="H45" s="29" t="inlineStr">
        <is>
          <t>Ketik: =ABS(C44)</t>
        </is>
      </c>
    </row>
    <row r="46">
      <c r="B46" s="18" t="inlineStr">
        <is>
          <t>Toko Aksesoris</t>
        </is>
      </c>
      <c r="C46" s="18" t="n">
        <v>-300</v>
      </c>
    </row>
    <row r="47">
      <c r="B47" s="18" t="inlineStr">
        <is>
          <t>Toko Servis</t>
        </is>
      </c>
      <c r="C47" s="18" t="n">
        <v>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 xml:space="preserve"> Pos Audit</t>
        </is>
      </c>
      <c r="C51" s="12" t="inlineStr">
        <is>
          <t>Selisih Stok</t>
        </is>
      </c>
      <c r="E51" s="25" t="inlineStr">
        <is>
          <t>Persoalan #5: Gunakan rumus ABS pada nilai selisih di sel C52 (-750)!</t>
        </is>
      </c>
    </row>
    <row r="52">
      <c r="B52" s="18" t="inlineStr">
        <is>
          <t>Kelas 10 IPA</t>
        </is>
      </c>
      <c r="C52" s="18" t="n">
        <v>-750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1000</v>
      </c>
      <c r="E53" s="26" t="n"/>
      <c r="F53" s="27">
        <f>IF(ISBLANK(E53), "⏳ Ketik rumus di sel kuning E53", IF(E53=G53, "✅ BENAR! LUAR BIASA!", "❌ Belum Tepat, Cek Kunci"))</f>
        <v/>
      </c>
      <c r="G53" s="28">
        <f>ABS(C52)</f>
        <v/>
      </c>
      <c r="H53" s="29" t="inlineStr">
        <is>
          <t>Ketik: =ABS(C52)</t>
        </is>
      </c>
    </row>
    <row r="54">
      <c r="B54" s="18" t="inlineStr">
        <is>
          <t>Kelas 12 IPA</t>
        </is>
      </c>
      <c r="C54" s="18" t="n">
        <v>-375</v>
      </c>
    </row>
    <row r="55">
      <c r="B55" s="18" t="inlineStr">
        <is>
          <t>Kelas Unggulan</t>
        </is>
      </c>
      <c r="C55" s="18" t="n">
        <v>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#017 — RUMUS EXCEL: POWER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(POWER)</t>
        </is>
      </c>
    </row>
    <row r="5" ht="21" customHeight="1">
      <c r="B5" s="12" t="inlineStr">
        <is>
          <t>Nama Rumus Excel</t>
        </is>
      </c>
      <c r="C5" s="13">
        <f>POWER(...)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POWER(angka, pangkat)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perpangkatan angka (misal 5 pangkat 3 = 125).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POWER)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3</v>
      </c>
      <c r="E11" s="19" t="inlineStr">
        <is>
          <t>Kasus Contoh:</t>
        </is>
      </c>
      <c r="F11" s="20" t="inlineStr">
        <is>
          <t>Gunakan rumus POWER pada angka pertama di B11 (25) dan angka kedua di C11 (3)!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'=POWER(B11,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POWER(B11,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POWER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POWER pada angka pertama di B20 (25) dan angka kedua di C20 (3)!</t>
        </is>
      </c>
    </row>
    <row r="20">
      <c r="B20" s="18" t="n">
        <v>25</v>
      </c>
      <c r="C20" s="18" t="n">
        <v>3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POWER(B20, C20)</f>
        <v/>
      </c>
      <c r="H21" s="29" t="inlineStr">
        <is>
          <t>Ketik: =POWER(B20,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POWER pada angka pertama di B28 (31) dan angka kedua di C28 (3)!</t>
        </is>
      </c>
    </row>
    <row r="28">
      <c r="B28" s="18" t="n">
        <v>31</v>
      </c>
      <c r="C28" s="18" t="n">
        <v>3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POWER(B28, C28)</f>
        <v/>
      </c>
      <c r="H29" s="29" t="inlineStr">
        <is>
          <t>Ketik: =POWER(B28,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POWER pada angka pertama di B36 (37) dan angka kedua di C36 (3)!</t>
        </is>
      </c>
    </row>
    <row r="36">
      <c r="B36" s="18" t="n">
        <v>37</v>
      </c>
      <c r="C36" s="18" t="n">
        <v>3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POWER(B36, C36)</f>
        <v/>
      </c>
      <c r="H37" s="29" t="inlineStr">
        <is>
          <t>Ketik: =POWER(B36,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POWER pada angka pertama di B44 (43) dan angka kedua di C44 (3)!</t>
        </is>
      </c>
    </row>
    <row r="44">
      <c r="B44" s="18" t="n">
        <v>43</v>
      </c>
      <c r="C44" s="18" t="n">
        <v>3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POWER(B44, C44)</f>
        <v/>
      </c>
      <c r="H45" s="29" t="inlineStr">
        <is>
          <t>Ketik: =POWER(B44,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POWER pada angka pertama di B52 (49) dan angka kedua di C52 (3)!</t>
        </is>
      </c>
    </row>
    <row r="52">
      <c r="B52" s="18" t="n">
        <v>49</v>
      </c>
      <c r="C52" s="18" t="n">
        <v>3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POWER(B52, C52)</f>
        <v/>
      </c>
      <c r="H53" s="29" t="inlineStr">
        <is>
          <t>Ketik: =POWER(B52,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#018 — RUMUS EXCEL: SQRT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(SQRT)</t>
        </is>
      </c>
    </row>
    <row r="5" ht="21" customHeight="1">
      <c r="B5" s="12" t="inlineStr">
        <is>
          <t>Nama Rumus Excel</t>
        </is>
      </c>
      <c r="C5" s="13">
        <f>SQRT(...)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SQRT(angka)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akar kuadrat dari suatu angka (misal akar dari 144 adalah 12).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SQRT)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16</v>
      </c>
      <c r="E11" s="19" t="inlineStr">
        <is>
          <t>Kasus Contoh:</t>
        </is>
      </c>
      <c r="F11" s="20" t="inlineStr">
        <is>
          <t>Terapkan rumus SQRT pada nilai di sel C11 (16)!</t>
        </is>
      </c>
    </row>
    <row r="12">
      <c r="B12" s="18" t="inlineStr">
        <is>
          <t>Cabang Bandung</t>
        </is>
      </c>
      <c r="C12" s="18" t="n">
        <v>64</v>
      </c>
      <c r="E12" s="19" t="inlineStr">
        <is>
          <t>Rumus yang Diketik:</t>
        </is>
      </c>
      <c r="F12" s="21" t="inlineStr">
        <is>
          <t>'=SQRT(C11)</t>
        </is>
      </c>
    </row>
    <row r="13">
      <c r="B13" s="18" t="inlineStr">
        <is>
          <t>Cabang Surabaya</t>
        </is>
      </c>
      <c r="C13" s="18" t="n">
        <v>81</v>
      </c>
      <c r="E13" s="19" t="inlineStr">
        <is>
          <t>Hasil Otomatis Excel:</t>
        </is>
      </c>
      <c r="F13" s="22">
        <f>SQRT(C11)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SQRT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SQRT pada nilai di sel C20 (16)!</t>
        </is>
      </c>
    </row>
    <row r="20">
      <c r="B20" s="18" t="inlineStr">
        <is>
          <t>Cabang Jakarta</t>
        </is>
      </c>
      <c r="C20" s="18" t="n">
        <v>16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64</v>
      </c>
      <c r="E21" s="26" t="n"/>
      <c r="F21" s="27">
        <f>IF(ISBLANK(E21), "⏳ Ketik rumus di sel kuning E21", IF(E21=G21, "✅ BENAR! LUAR BIASA!", "❌ Belum Tepat, Cek Kunci"))</f>
        <v/>
      </c>
      <c r="G21" s="28">
        <f>SQRT(C20)</f>
        <v/>
      </c>
      <c r="H21" s="29" t="inlineStr">
        <is>
          <t>Ketik: =SQRT(C20)</t>
        </is>
      </c>
    </row>
    <row r="22">
      <c r="B22" s="18" t="inlineStr">
        <is>
          <t>Cabang Surabaya</t>
        </is>
      </c>
      <c r="C22" s="18" t="n">
        <v>81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SQRT pada nilai di sel C28 (25)!</t>
        </is>
      </c>
    </row>
    <row r="28">
      <c r="B28" s="18" t="inlineStr">
        <is>
          <t>Budi Santoso</t>
        </is>
      </c>
      <c r="C28" s="18" t="n">
        <v>25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64</v>
      </c>
      <c r="E29" s="26" t="n"/>
      <c r="F29" s="27">
        <f>IF(ISBLANK(E29), "⏳ Ketik rumus di sel kuning E29", IF(E29=G29, "✅ BENAR! LUAR BIASA!", "❌ Belum Tepat, Cek Kunci"))</f>
        <v/>
      </c>
      <c r="G29" s="28">
        <f>SQRT(C28)</f>
        <v/>
      </c>
      <c r="H29" s="29" t="inlineStr">
        <is>
          <t>Ketik: =SQRT(C28)</t>
        </is>
      </c>
    </row>
    <row r="30">
      <c r="B30" s="18" t="inlineStr">
        <is>
          <t>Andi Pratama</t>
        </is>
      </c>
      <c r="C30" s="18" t="n">
        <v>81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SQRT pada nilai di sel C36 (36)!</t>
        </is>
      </c>
    </row>
    <row r="36">
      <c r="B36" s="18" t="inlineStr">
        <is>
          <t>Gudang Blok A</t>
        </is>
      </c>
      <c r="C36" s="18" t="n">
        <v>36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64</v>
      </c>
      <c r="E37" s="26" t="n"/>
      <c r="F37" s="27">
        <f>IF(ISBLANK(E37), "⏳ Ketik rumus di sel kuning E37", IF(E37=G37, "✅ BENAR! LUAR BIASA!", "❌ Belum Tepat, Cek Kunci"))</f>
        <v/>
      </c>
      <c r="G37" s="28">
        <f>SQRT(C36)</f>
        <v/>
      </c>
      <c r="H37" s="29" t="inlineStr">
        <is>
          <t>Ketik: =SQRT(C36)</t>
        </is>
      </c>
    </row>
    <row r="38">
      <c r="B38" s="18" t="inlineStr">
        <is>
          <t>Gudang Blok C</t>
        </is>
      </c>
      <c r="C38" s="18" t="n">
        <v>81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SQRT pada nilai di sel C44 (49)!</t>
        </is>
      </c>
    </row>
    <row r="44">
      <c r="B44" s="18" t="inlineStr">
        <is>
          <t>Toko Elektronik</t>
        </is>
      </c>
      <c r="C44" s="18" t="n">
        <v>49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64</v>
      </c>
      <c r="E45" s="26" t="n"/>
      <c r="F45" s="27">
        <f>IF(ISBLANK(E45), "⏳ Ketik rumus di sel kuning E45", IF(E45=G45, "✅ BENAR! LUAR BIASA!", "❌ Belum Tepat, Cek Kunci"))</f>
        <v/>
      </c>
      <c r="G45" s="28">
        <f>SQRT(C44)</f>
        <v/>
      </c>
      <c r="H45" s="29" t="inlineStr">
        <is>
          <t>Ketik: =SQRT(C44)</t>
        </is>
      </c>
    </row>
    <row r="46">
      <c r="B46" s="18" t="inlineStr">
        <is>
          <t>Toko Aksesoris</t>
        </is>
      </c>
      <c r="C46" s="18" t="n">
        <v>81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SQRT pada nilai di sel C52 (64)!</t>
        </is>
      </c>
    </row>
    <row r="52">
      <c r="B52" s="18" t="inlineStr">
        <is>
          <t>Kelas 10 IPA</t>
        </is>
      </c>
      <c r="C52" s="18" t="n">
        <v>64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64</v>
      </c>
      <c r="E53" s="26" t="n"/>
      <c r="F53" s="27">
        <f>IF(ISBLANK(E53), "⏳ Ketik rumus di sel kuning E53", IF(E53=G53, "✅ BENAR! LUAR BIASA!", "❌ Belum Tepat, Cek Kunci"))</f>
        <v/>
      </c>
      <c r="G53" s="28">
        <f>SQRT(C52)</f>
        <v/>
      </c>
      <c r="H53" s="29" t="inlineStr">
        <is>
          <t>Ketik: =SQRT(C52)</t>
        </is>
      </c>
    </row>
    <row r="54">
      <c r="B54" s="18" t="inlineStr">
        <is>
          <t>Kelas 12 IPA</t>
        </is>
      </c>
      <c r="C54" s="18" t="n">
        <v>81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#019 — RUMUS EXCEL: SUBTOTAL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(SUBTOTAL)</t>
        </is>
      </c>
    </row>
    <row r="5" ht="21" customHeight="1">
      <c r="B5" s="12" t="inlineStr">
        <is>
          <t>Nama Rumus Excel</t>
        </is>
      </c>
      <c r="C5" s="13">
        <f>SUBTOTAL(...)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SUBTOTAL(kode_fungsi, 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total/rata-rata yang PINTAR karena otomatis mengabaikan baris yang sedang disembunyikan oleh Filter!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SUBTOTAL)</t>
        </is>
      </c>
    </row>
    <row r="10">
      <c r="B10" s="16" t="inlineStr">
        <is>
          <t>Divisi Kerja</t>
        </is>
      </c>
      <c r="C10" s="16" t="inlineStr">
        <is>
          <t>Anggaran Biaya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total penjumlahan dinamis (kode fungsi 9) pada rentang C11:C14 menggunakan rumus SUBTOTAL!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'=SUBTOTAL(9, 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SUBTOTAL(9, 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SUBTOTAL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Divisi Kerja</t>
        </is>
      </c>
      <c r="C19" s="12" t="inlineStr">
        <is>
          <t>Anggaran Biaya</t>
        </is>
      </c>
      <c r="E19" s="25" t="inlineStr">
        <is>
          <t>Persoalan #1: Hitung total penjumlahan dinamis (kode fungsi 9) pada rentang C20:C23 menggunakan rumus SUBTOTAL!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SUBTOTAL(9, C20:C23)</f>
        <v/>
      </c>
      <c r="H21" s="29" t="inlineStr">
        <is>
          <t>Ketik: =SUBTOTAL(9, 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Divisi Kerja</t>
        </is>
      </c>
      <c r="C27" s="12" t="inlineStr">
        <is>
          <t>Anggaran Biaya</t>
        </is>
      </c>
      <c r="E27" s="25" t="inlineStr">
        <is>
          <t>Persoalan #2: Hitung total penjumlahan dinamis (kode fungsi 9) pada rentang C28:C31 menggunakan rumus SUBTOTAL!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SUBTOTAL(9, C28:C31)</f>
        <v/>
      </c>
      <c r="H29" s="29" t="inlineStr">
        <is>
          <t>Ketik: =SUBTOTAL(9, 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Divisi Kerja</t>
        </is>
      </c>
      <c r="C35" s="12" t="inlineStr">
        <is>
          <t>Anggaran Biaya</t>
        </is>
      </c>
      <c r="E35" s="25" t="inlineStr">
        <is>
          <t>Persoalan #3: Hitung total penjumlahan dinamis (kode fungsi 9) pada rentang C36:C39 menggunakan rumus SUBTOTAL!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SUBTOTAL(9, C36:C39)</f>
        <v/>
      </c>
      <c r="H37" s="29" t="inlineStr">
        <is>
          <t>Ketik: =SUBTOTAL(9, 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Divisi Kerja</t>
        </is>
      </c>
      <c r="C43" s="12" t="inlineStr">
        <is>
          <t>Anggaran Biaya</t>
        </is>
      </c>
      <c r="E43" s="25" t="inlineStr">
        <is>
          <t>Persoalan #4: Hitung total penjumlahan dinamis (kode fungsi 9) pada rentang C44:C47 menggunakan rumus SUBTOTAL!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SUBTOTAL(9, C44:C47)</f>
        <v/>
      </c>
      <c r="H45" s="29" t="inlineStr">
        <is>
          <t>Ketik: =SUBTOTAL(9, 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Divisi Kerja</t>
        </is>
      </c>
      <c r="C51" s="12" t="inlineStr">
        <is>
          <t>Anggaran Biaya</t>
        </is>
      </c>
      <c r="E51" s="25" t="inlineStr">
        <is>
          <t>Persoalan #5: Hitung total penjumlahan dinamis (kode fungsi 9) pada rentang C52:C55 menggunakan rumus SUBTOTAL!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SUBTOTAL(9, C52:C55)</f>
        <v/>
      </c>
      <c r="H53" s="29" t="inlineStr">
        <is>
          <t>Ketik: =SUBTOTAL(9, 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#020 — RUMUS EXCEL: AGGREGATE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(AGGREGATE)</t>
        </is>
      </c>
    </row>
    <row r="5" ht="21" customHeight="1">
      <c r="B5" s="12" t="inlineStr">
        <is>
          <t>Nama Rumus Excel</t>
        </is>
      </c>
      <c r="C5" s="13">
        <f>AGGREGATE(...)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AGGREGATE(kode_fungsi, opsi_abaikan, 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Versi super dari SUBTOTAL yang sanggup mengabaikan baris tersembunyi SEKALIGUS mengabaikan sel yang error (#N/A atau #DIV/0!).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AGGREGATE)</t>
        </is>
      </c>
    </row>
    <row r="10">
      <c r="B10" s="16" t="inlineStr">
        <is>
          <t>Divisi Kerja</t>
        </is>
      </c>
      <c r="C10" s="16" t="inlineStr">
        <is>
          <t>Anggaran Biaya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penjumlahan (kode 9) dengan mengabaikan error (opsi 6) pada rentang C11:C14 menggunakan AGGREGATE!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'=AGGREGATE(9, 6, 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AGGREGATE(9, 6, 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AGGREGATE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Divisi Kerja</t>
        </is>
      </c>
      <c r="C19" s="12" t="inlineStr">
        <is>
          <t>Anggaran Biaya</t>
        </is>
      </c>
      <c r="E19" s="25" t="inlineStr">
        <is>
          <t>Persoalan #1: Hitung penjumlahan (kode 9) dengan mengabaikan error (opsi 6) pada rentang C20:C23 menggunakan AGGREGATE!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AGGREGATE(9, 6, C20:C23)</f>
        <v/>
      </c>
      <c r="H21" s="29" t="inlineStr">
        <is>
          <t>Ketik: =AGGREGATE(9, 6, 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Divisi Kerja</t>
        </is>
      </c>
      <c r="C27" s="12" t="inlineStr">
        <is>
          <t>Anggaran Biaya</t>
        </is>
      </c>
      <c r="E27" s="25" t="inlineStr">
        <is>
          <t>Persoalan #2: Hitung penjumlahan (kode 9) dengan mengabaikan error (opsi 6) pada rentang C28:C31 menggunakan AGGREGATE!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AGGREGATE(9, 6, C28:C31)</f>
        <v/>
      </c>
      <c r="H29" s="29" t="inlineStr">
        <is>
          <t>Ketik: =AGGREGATE(9, 6, 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Divisi Kerja</t>
        </is>
      </c>
      <c r="C35" s="12" t="inlineStr">
        <is>
          <t>Anggaran Biaya</t>
        </is>
      </c>
      <c r="E35" s="25" t="inlineStr">
        <is>
          <t>Persoalan #3: Hitung penjumlahan (kode 9) dengan mengabaikan error (opsi 6) pada rentang C36:C39 menggunakan AGGREGATE!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AGGREGATE(9, 6, C36:C39)</f>
        <v/>
      </c>
      <c r="H37" s="29" t="inlineStr">
        <is>
          <t>Ketik: =AGGREGATE(9, 6, 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Divisi Kerja</t>
        </is>
      </c>
      <c r="C43" s="12" t="inlineStr">
        <is>
          <t>Anggaran Biaya</t>
        </is>
      </c>
      <c r="E43" s="25" t="inlineStr">
        <is>
          <t>Persoalan #4: Hitung penjumlahan (kode 9) dengan mengabaikan error (opsi 6) pada rentang C44:C47 menggunakan AGGREGATE!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AGGREGATE(9, 6, C44:C47)</f>
        <v/>
      </c>
      <c r="H45" s="29" t="inlineStr">
        <is>
          <t>Ketik: =AGGREGATE(9, 6, 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Divisi Kerja</t>
        </is>
      </c>
      <c r="C51" s="12" t="inlineStr">
        <is>
          <t>Anggaran Biaya</t>
        </is>
      </c>
      <c r="E51" s="25" t="inlineStr">
        <is>
          <t>Persoalan #5: Hitung penjumlahan (kode 9) dengan mengabaikan error (opsi 6) pada rentang C52:C55 menggunakan AGGREGATE!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AGGREGATE(9, 6, C52:C55)</f>
        <v/>
      </c>
      <c r="H53" s="29" t="inlineStr">
        <is>
          <t>Ketik: =AGGREGATE(9, 6, 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#021 — RUMUS EXCEL: RANDBETWEEN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(RANDBETWEEN)</t>
        </is>
      </c>
    </row>
    <row r="5" ht="21" customHeight="1">
      <c r="B5" s="12" t="inlineStr">
        <is>
          <t>Nama Rumus Excel</t>
        </is>
      </c>
      <c r="C5" s="13">
        <f>RANDBETWEEN(...)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RANDBETWEEN(batas_bawah, batas_atas)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angka acak bulat di antara batas bawah dan atas (cocok untuk undian doorprize atau simulasi data).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RANDBETWEEN)</t>
        </is>
      </c>
    </row>
    <row r="10">
      <c r="B10" s="16" t="inlineStr">
        <is>
          <t>Parameter Undian</t>
        </is>
      </c>
      <c r="C10" s="16" t="inlineStr">
        <is>
          <t>Batas 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rumus RANDBETWEEN dengan batas bawah C11 dan batas atas C11!</t>
        </is>
      </c>
    </row>
    <row r="12">
      <c r="B12" s="18" t="inlineStr">
        <is>
          <t>Cabang Bandung</t>
        </is>
      </c>
      <c r="C12" s="18" t="n">
        <v>500</v>
      </c>
      <c r="E12" s="19" t="inlineStr">
        <is>
          <t>Rumus yang Diketik:</t>
        </is>
      </c>
      <c r="F12" s="21" t="inlineStr">
        <is>
          <t>'=RANDBETWEEN(C11, C11)</t>
        </is>
      </c>
    </row>
    <row r="13">
      <c r="B13" s="18" t="inlineStr">
        <is>
          <t>Cabang Surabaya</t>
        </is>
      </c>
      <c r="C13" s="18" t="n">
        <v>10</v>
      </c>
      <c r="E13" s="19" t="inlineStr">
        <is>
          <t>Hasil Otomatis Excel:</t>
        </is>
      </c>
      <c r="F13" s="22">
        <f>RANDBETWEEN(C11, C11)</f>
        <v/>
      </c>
    </row>
    <row r="14">
      <c r="B14" s="18" t="inlineStr">
        <is>
          <t>Cabang Medan</t>
        </is>
      </c>
      <c r="C14" s="18" t="n">
        <v>50</v>
      </c>
    </row>
    <row r="16" ht="26" customHeight="1">
      <c r="B16" s="23" t="inlineStr">
        <is>
          <t>3️⃣ 5 PERSOALAN DUNIA NYATA (KETIK RUMUS RANDBETWEEN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Undian</t>
        </is>
      </c>
      <c r="C19" s="12" t="inlineStr">
        <is>
          <t>Batas Nilai</t>
        </is>
      </c>
      <c r="E19" s="25" t="inlineStr">
        <is>
          <t>Persoalan #1: Gunakan rumus RANDBETWEEN dengan batas bawah C20 dan batas atas C20!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500</v>
      </c>
      <c r="E21" s="26" t="n"/>
      <c r="F21" s="27">
        <f>IF(ISBLANK(E21), "⏳ Ketik rumus di sel kuning E21", IF(E21=G21, "✅ BENAR! LUAR BIASA!", "❌ Belum Tepat, Cek Kunci"))</f>
        <v/>
      </c>
      <c r="G21" s="28">
        <f>RANDBETWEEN(C20, C20)</f>
        <v/>
      </c>
      <c r="H21" s="29" t="inlineStr">
        <is>
          <t>Ketik: =RANDBETWEEN(C20, C20)</t>
        </is>
      </c>
    </row>
    <row r="22">
      <c r="B22" s="18" t="inlineStr">
        <is>
          <t>Cabang Surabaya</t>
        </is>
      </c>
      <c r="C22" s="18" t="n">
        <v>10</v>
      </c>
    </row>
    <row r="23">
      <c r="B23" s="18" t="inlineStr">
        <is>
          <t>Cabang Medan</t>
        </is>
      </c>
      <c r="C23" s="18" t="n">
        <v>50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Undian</t>
        </is>
      </c>
      <c r="C27" s="12" t="inlineStr">
        <is>
          <t>Batas Nilai</t>
        </is>
      </c>
      <c r="E27" s="25" t="inlineStr">
        <is>
          <t>Persoalan #2: Gunakan rumus RANDBETWEEN dengan batas bawah C28 dan batas atas C28!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1000</v>
      </c>
      <c r="E29" s="26" t="n"/>
      <c r="F29" s="27">
        <f>IF(ISBLANK(E29), "⏳ Ketik rumus di sel kuning E29", IF(E29=G29, "✅ BENAR! LUAR BIASA!", "❌ Belum Tepat, Cek Kunci"))</f>
        <v/>
      </c>
      <c r="G29" s="28">
        <f>RANDBETWEEN(C28, C28)</f>
        <v/>
      </c>
      <c r="H29" s="29" t="inlineStr">
        <is>
          <t>Ketik: =RANDBETWEEN(C28, C28)</t>
        </is>
      </c>
    </row>
    <row r="30">
      <c r="B30" s="18" t="inlineStr">
        <is>
          <t>Andi Pratama</t>
        </is>
      </c>
      <c r="C30" s="18" t="n">
        <v>10</v>
      </c>
    </row>
    <row r="31">
      <c r="B31" s="18" t="inlineStr">
        <is>
          <t>Rina Wijaya</t>
        </is>
      </c>
      <c r="C31" s="18" t="n">
        <v>50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Undian</t>
        </is>
      </c>
      <c r="C35" s="12" t="inlineStr">
        <is>
          <t>Batas Nilai</t>
        </is>
      </c>
      <c r="E35" s="25" t="inlineStr">
        <is>
          <t>Persoalan #3: Gunakan rumus RANDBETWEEN dengan batas bawah C36 dan batas atas C36!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1500</v>
      </c>
      <c r="E37" s="26" t="n"/>
      <c r="F37" s="27">
        <f>IF(ISBLANK(E37), "⏳ Ketik rumus di sel kuning E37", IF(E37=G37, "✅ BENAR! LUAR BIASA!", "❌ Belum Tepat, Cek Kunci"))</f>
        <v/>
      </c>
      <c r="G37" s="28">
        <f>RANDBETWEEN(C36, C36)</f>
        <v/>
      </c>
      <c r="H37" s="29" t="inlineStr">
        <is>
          <t>Ketik: =RANDBETWEEN(C36, C36)</t>
        </is>
      </c>
    </row>
    <row r="38">
      <c r="B38" s="18" t="inlineStr">
        <is>
          <t>Gudang Blok C</t>
        </is>
      </c>
      <c r="C38" s="18" t="n">
        <v>10</v>
      </c>
    </row>
    <row r="39">
      <c r="B39" s="18" t="inlineStr">
        <is>
          <t>Gudang Blok D</t>
        </is>
      </c>
      <c r="C39" s="18" t="n">
        <v>50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Undian</t>
        </is>
      </c>
      <c r="C43" s="12" t="inlineStr">
        <is>
          <t>Batas Nilai</t>
        </is>
      </c>
      <c r="E43" s="25" t="inlineStr">
        <is>
          <t>Persoalan #4: Gunakan rumus RANDBETWEEN dengan batas bawah C44 dan batas atas C44!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2000</v>
      </c>
      <c r="E45" s="26" t="n"/>
      <c r="F45" s="27">
        <f>IF(ISBLANK(E45), "⏳ Ketik rumus di sel kuning E45", IF(E45=G45, "✅ BENAR! LUAR BIASA!", "❌ Belum Tepat, Cek Kunci"))</f>
        <v/>
      </c>
      <c r="G45" s="28">
        <f>RANDBETWEEN(C44, C44)</f>
        <v/>
      </c>
      <c r="H45" s="29" t="inlineStr">
        <is>
          <t>Ketik: =RANDBETWEEN(C44, C44)</t>
        </is>
      </c>
    </row>
    <row r="46">
      <c r="B46" s="18" t="inlineStr">
        <is>
          <t>Toko Aksesoris</t>
        </is>
      </c>
      <c r="C46" s="18" t="n">
        <v>10</v>
      </c>
    </row>
    <row r="47">
      <c r="B47" s="18" t="inlineStr">
        <is>
          <t>Toko Servis</t>
        </is>
      </c>
      <c r="C47" s="18" t="n">
        <v>50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Undian</t>
        </is>
      </c>
      <c r="C51" s="12" t="inlineStr">
        <is>
          <t>Batas Nilai</t>
        </is>
      </c>
      <c r="E51" s="25" t="inlineStr">
        <is>
          <t>Persoalan #5: Gunakan rumus RANDBETWEEN dengan batas bawah C52 dan batas atas C52!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2500</v>
      </c>
      <c r="E53" s="26" t="n"/>
      <c r="F53" s="27">
        <f>IF(ISBLANK(E53), "⏳ Ketik rumus di sel kuning E53", IF(E53=G53, "✅ BENAR! LUAR BIASA!", "❌ Belum Tepat, Cek Kunci"))</f>
        <v/>
      </c>
      <c r="G53" s="28">
        <f>RANDBETWEEN(C52, C52)</f>
        <v/>
      </c>
      <c r="H53" s="29" t="inlineStr">
        <is>
          <t>Ketik: =RANDBETWEEN(C52, C52)</t>
        </is>
      </c>
    </row>
    <row r="54">
      <c r="B54" s="18" t="inlineStr">
        <is>
          <t>Kelas 12 IPA</t>
        </is>
      </c>
      <c r="C54" s="18" t="n">
        <v>10</v>
      </c>
    </row>
    <row r="55">
      <c r="B55" s="18" t="inlineStr">
        <is>
          <t>Kelas Unggulan</t>
        </is>
      </c>
      <c r="C55" s="18" t="n">
        <v>50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#022 — RUMUS EXCEL: SIGN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(SIGN)</t>
        </is>
      </c>
    </row>
    <row r="5" ht="21" customHeight="1">
      <c r="B5" s="12" t="inlineStr">
        <is>
          <t>Nama Rumus Excel</t>
        </is>
      </c>
      <c r="C5" s="13">
        <f>SIGN(...)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SIGN(angka)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tanda angka: menghasilkan 1 jika positif (untung), 0 jika impas, dan -1 jika negatif (rugi).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SIGN)</t>
        </is>
      </c>
    </row>
    <row r="10">
      <c r="B10" s="16" t="inlineStr">
        <is>
          <t xml:space="preserve"> Pos Audit</t>
        </is>
      </c>
      <c r="C10" s="16" t="inlineStr">
        <is>
          <t>Selisih Stok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-150</v>
      </c>
      <c r="E11" s="19" t="inlineStr">
        <is>
          <t>Kasus Contoh:</t>
        </is>
      </c>
      <c r="F11" s="20" t="inlineStr">
        <is>
          <t>Gunakan rumus SIGN pada nilai selisih di sel C11 (-150)!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'=SIGN(C11)</t>
        </is>
      </c>
    </row>
    <row r="13">
      <c r="B13" s="18" t="inlineStr">
        <is>
          <t>Cabang Surabaya</t>
        </is>
      </c>
      <c r="C13" s="18" t="n">
        <v>-75</v>
      </c>
      <c r="E13" s="19" t="inlineStr">
        <is>
          <t>Hasil Otomatis Excel:</t>
        </is>
      </c>
      <c r="F13" s="22">
        <f>SIGN(C11)</f>
        <v/>
      </c>
    </row>
    <row r="14">
      <c r="B14" s="18" t="inlineStr">
        <is>
          <t>Cabang Medan</t>
        </is>
      </c>
      <c r="C14" s="18" t="n">
        <v>0</v>
      </c>
    </row>
    <row r="16" ht="26" customHeight="1">
      <c r="B16" s="23" t="inlineStr">
        <is>
          <t>3️⃣ 5 PERSOALAN DUNIA NYATA (KETIK RUMUS SIGN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 xml:space="preserve"> Pos Audit</t>
        </is>
      </c>
      <c r="C19" s="12" t="inlineStr">
        <is>
          <t>Selisih Stok</t>
        </is>
      </c>
      <c r="E19" s="25" t="inlineStr">
        <is>
          <t>Persoalan #1: Gunakan rumus SIGN pada nilai selisih di sel C20 (-150)!</t>
        </is>
      </c>
    </row>
    <row r="20">
      <c r="B20" s="18" t="inlineStr">
        <is>
          <t>Cabang Jakarta</t>
        </is>
      </c>
      <c r="C20" s="18" t="n">
        <v>-150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SIGN(C20)</f>
        <v/>
      </c>
      <c r="H21" s="29" t="inlineStr">
        <is>
          <t>Ketik: =SIGN(C20)</t>
        </is>
      </c>
    </row>
    <row r="22">
      <c r="B22" s="18" t="inlineStr">
        <is>
          <t>Cabang Surabaya</t>
        </is>
      </c>
      <c r="C22" s="18" t="n">
        <v>-75</v>
      </c>
    </row>
    <row r="23">
      <c r="B23" s="18" t="inlineStr">
        <is>
          <t>Cabang Medan</t>
        </is>
      </c>
      <c r="C23" s="18" t="n">
        <v>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 xml:space="preserve"> Pos Audit</t>
        </is>
      </c>
      <c r="C27" s="12" t="inlineStr">
        <is>
          <t>Selisih Stok</t>
        </is>
      </c>
      <c r="E27" s="25" t="inlineStr">
        <is>
          <t>Persoalan #2: Gunakan rumus SIGN pada nilai selisih di sel C28 (-300)!</t>
        </is>
      </c>
    </row>
    <row r="28">
      <c r="B28" s="18" t="inlineStr">
        <is>
          <t>Budi Santoso</t>
        </is>
      </c>
      <c r="C28" s="18" t="n">
        <v>-300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400</v>
      </c>
      <c r="E29" s="26" t="n"/>
      <c r="F29" s="27">
        <f>IF(ISBLANK(E29), "⏳ Ketik rumus di sel kuning E29", IF(E29=G29, "✅ BENAR! LUAR BIASA!", "❌ Belum Tepat, Cek Kunci"))</f>
        <v/>
      </c>
      <c r="G29" s="28">
        <f>SIGN(C28)</f>
        <v/>
      </c>
      <c r="H29" s="29" t="inlineStr">
        <is>
          <t>Ketik: =SIGN(C28)</t>
        </is>
      </c>
    </row>
    <row r="30">
      <c r="B30" s="18" t="inlineStr">
        <is>
          <t>Andi Pratama</t>
        </is>
      </c>
      <c r="C30" s="18" t="n">
        <v>-150</v>
      </c>
    </row>
    <row r="31">
      <c r="B31" s="18" t="inlineStr">
        <is>
          <t>Rina Wijaya</t>
        </is>
      </c>
      <c r="C31" s="18" t="n">
        <v>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 xml:space="preserve"> Pos Audit</t>
        </is>
      </c>
      <c r="C35" s="12" t="inlineStr">
        <is>
          <t>Selisih Stok</t>
        </is>
      </c>
      <c r="E35" s="25" t="inlineStr">
        <is>
          <t>Persoalan #3: Gunakan rumus SIGN pada nilai selisih di sel C36 (-450)!</t>
        </is>
      </c>
    </row>
    <row r="36">
      <c r="B36" s="18" t="inlineStr">
        <is>
          <t>Gudang Blok A</t>
        </is>
      </c>
      <c r="C36" s="18" t="n">
        <v>-450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600</v>
      </c>
      <c r="E37" s="26" t="n"/>
      <c r="F37" s="27">
        <f>IF(ISBLANK(E37), "⏳ Ketik rumus di sel kuning E37", IF(E37=G37, "✅ BENAR! LUAR BIASA!", "❌ Belum Tepat, Cek Kunci"))</f>
        <v/>
      </c>
      <c r="G37" s="28">
        <f>SIGN(C36)</f>
        <v/>
      </c>
      <c r="H37" s="29" t="inlineStr">
        <is>
          <t>Ketik: =SIGN(C36)</t>
        </is>
      </c>
    </row>
    <row r="38">
      <c r="B38" s="18" t="inlineStr">
        <is>
          <t>Gudang Blok C</t>
        </is>
      </c>
      <c r="C38" s="18" t="n">
        <v>-225</v>
      </c>
    </row>
    <row r="39">
      <c r="B39" s="18" t="inlineStr">
        <is>
          <t>Gudang Blok D</t>
        </is>
      </c>
      <c r="C39" s="18" t="n">
        <v>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 xml:space="preserve"> Pos Audit</t>
        </is>
      </c>
      <c r="C43" s="12" t="inlineStr">
        <is>
          <t>Selisih Stok</t>
        </is>
      </c>
      <c r="E43" s="25" t="inlineStr">
        <is>
          <t>Persoalan #4: Gunakan rumus SIGN pada nilai selisih di sel C44 (-600)!</t>
        </is>
      </c>
    </row>
    <row r="44">
      <c r="B44" s="18" t="inlineStr">
        <is>
          <t>Toko Elektronik</t>
        </is>
      </c>
      <c r="C44" s="18" t="n">
        <v>-600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</v>
      </c>
      <c r="E45" s="26" t="n"/>
      <c r="F45" s="27">
        <f>IF(ISBLANK(E45), "⏳ Ketik rumus di sel kuning E45", IF(E45=G45, "✅ BENAR! LUAR BIASA!", "❌ Belum Tepat, Cek Kunci"))</f>
        <v/>
      </c>
      <c r="G45" s="28">
        <f>SIGN(C44)</f>
        <v/>
      </c>
      <c r="H45" s="29" t="inlineStr">
        <is>
          <t>Ketik: =SIGN(C44)</t>
        </is>
      </c>
    </row>
    <row r="46">
      <c r="B46" s="18" t="inlineStr">
        <is>
          <t>Toko Aksesoris</t>
        </is>
      </c>
      <c r="C46" s="18" t="n">
        <v>-300</v>
      </c>
    </row>
    <row r="47">
      <c r="B47" s="18" t="inlineStr">
        <is>
          <t>Toko Servis</t>
        </is>
      </c>
      <c r="C47" s="18" t="n">
        <v>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 xml:space="preserve"> Pos Audit</t>
        </is>
      </c>
      <c r="C51" s="12" t="inlineStr">
        <is>
          <t>Selisih Stok</t>
        </is>
      </c>
      <c r="E51" s="25" t="inlineStr">
        <is>
          <t>Persoalan #5: Gunakan rumus SIGN pada nilai selisih di sel C52 (-750)!</t>
        </is>
      </c>
    </row>
    <row r="52">
      <c r="B52" s="18" t="inlineStr">
        <is>
          <t>Kelas 10 IPA</t>
        </is>
      </c>
      <c r="C52" s="18" t="n">
        <v>-750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1000</v>
      </c>
      <c r="E53" s="26" t="n"/>
      <c r="F53" s="27">
        <f>IF(ISBLANK(E53), "⏳ Ketik rumus di sel kuning E53", IF(E53=G53, "✅ BENAR! LUAR BIASA!", "❌ Belum Tepat, Cek Kunci"))</f>
        <v/>
      </c>
      <c r="G53" s="28">
        <f>SIGN(C52)</f>
        <v/>
      </c>
      <c r="H53" s="29" t="inlineStr">
        <is>
          <t>Ketik: =SIGN(C52)</t>
        </is>
      </c>
    </row>
    <row r="54">
      <c r="B54" s="18" t="inlineStr">
        <is>
          <t>Kelas 12 IPA</t>
        </is>
      </c>
      <c r="C54" s="18" t="n">
        <v>-375</v>
      </c>
    </row>
    <row r="55">
      <c r="B55" s="18" t="inlineStr">
        <is>
          <t>Kelas Unggulan</t>
        </is>
      </c>
      <c r="C55" s="18" t="n">
        <v>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#023 — RUMUS EXCEL: ROMAN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(ROMAN)</t>
        </is>
      </c>
    </row>
    <row r="5" ht="21" customHeight="1">
      <c r="B5" s="12" t="inlineStr">
        <is>
          <t>Nama Rumus Excel</t>
        </is>
      </c>
      <c r="C5" s="13">
        <f>ROMAN(...)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ROMAN(angka)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biasa menjadi Angka Romawi (misal 2026 menjadi MMXXVI, atau bab laporan I, II, III, IV).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ROMAN)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</v>
      </c>
      <c r="E11" s="19" t="inlineStr">
        <is>
          <t>Kasus Contoh:</t>
        </is>
      </c>
      <c r="F11" s="20" t="inlineStr">
        <is>
          <t>Terapkan rumus ROMAN pada nilai di sel C11 (12)!</t>
        </is>
      </c>
    </row>
    <row r="12">
      <c r="B12" s="18" t="inlineStr">
        <is>
          <t>Cabang Bandung</t>
        </is>
      </c>
      <c r="C12" s="18" t="n">
        <v>25</v>
      </c>
      <c r="E12" s="19" t="inlineStr">
        <is>
          <t>Rumus yang Diketik:</t>
        </is>
      </c>
      <c r="F12" s="21" t="inlineStr">
        <is>
          <t>'=ROMAN(C11)</t>
        </is>
      </c>
    </row>
    <row r="13">
      <c r="B13" s="18" t="inlineStr">
        <is>
          <t>Cabang Surabaya</t>
        </is>
      </c>
      <c r="C13" s="18" t="n">
        <v>49</v>
      </c>
      <c r="E13" s="19" t="inlineStr">
        <is>
          <t>Hasil Otomatis Excel:</t>
        </is>
      </c>
      <c r="F13" s="22">
        <f>ROMAN(C11)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ROMAN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ROMAN pada nilai di sel C20 (12)!</t>
        </is>
      </c>
    </row>
    <row r="20">
      <c r="B20" s="18" t="inlineStr">
        <is>
          <t>Cabang Jakarta</t>
        </is>
      </c>
      <c r="C20" s="18" t="n">
        <v>12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25</v>
      </c>
      <c r="E21" s="26" t="n"/>
      <c r="F21" s="27">
        <f>IF(ISBLANK(E21), "⏳ Ketik rumus di sel kuning E21", IF(E21=G21, "✅ BENAR! LUAR BIASA!", "❌ Belum Tepat, Cek Kunci"))</f>
        <v/>
      </c>
      <c r="G21" s="28">
        <f>ROMAN(C20)</f>
        <v/>
      </c>
      <c r="H21" s="29" t="inlineStr">
        <is>
          <t>Ketik: =ROMAN(C20)</t>
        </is>
      </c>
    </row>
    <row r="22">
      <c r="B22" s="18" t="inlineStr">
        <is>
          <t>Cabang Surabaya</t>
        </is>
      </c>
      <c r="C22" s="18" t="n">
        <v>49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ROMAN pada nilai di sel C28 (17)!</t>
        </is>
      </c>
    </row>
    <row r="28">
      <c r="B28" s="18" t="inlineStr">
        <is>
          <t>Budi Santoso</t>
        </is>
      </c>
      <c r="C28" s="18" t="n">
        <v>17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25</v>
      </c>
      <c r="E29" s="26" t="n"/>
      <c r="F29" s="27">
        <f>IF(ISBLANK(E29), "⏳ Ketik rumus di sel kuning E29", IF(E29=G29, "✅ BENAR! LUAR BIASA!", "❌ Belum Tepat, Cek Kunci"))</f>
        <v/>
      </c>
      <c r="G29" s="28">
        <f>ROMAN(C28)</f>
        <v/>
      </c>
      <c r="H29" s="29" t="inlineStr">
        <is>
          <t>Ketik: =ROMAN(C28)</t>
        </is>
      </c>
    </row>
    <row r="30">
      <c r="B30" s="18" t="inlineStr">
        <is>
          <t>Andi Pratama</t>
        </is>
      </c>
      <c r="C30" s="18" t="n">
        <v>49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ROMAN pada nilai di sel C36 (22)!</t>
        </is>
      </c>
    </row>
    <row r="36">
      <c r="B36" s="18" t="inlineStr">
        <is>
          <t>Gudang Blok A</t>
        </is>
      </c>
      <c r="C36" s="18" t="n">
        <v>22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25</v>
      </c>
      <c r="E37" s="26" t="n"/>
      <c r="F37" s="27">
        <f>IF(ISBLANK(E37), "⏳ Ketik rumus di sel kuning E37", IF(E37=G37, "✅ BENAR! LUAR BIASA!", "❌ Belum Tepat, Cek Kunci"))</f>
        <v/>
      </c>
      <c r="G37" s="28">
        <f>ROMAN(C36)</f>
        <v/>
      </c>
      <c r="H37" s="29" t="inlineStr">
        <is>
          <t>Ketik: =ROMAN(C36)</t>
        </is>
      </c>
    </row>
    <row r="38">
      <c r="B38" s="18" t="inlineStr">
        <is>
          <t>Gudang Blok C</t>
        </is>
      </c>
      <c r="C38" s="18" t="n">
        <v>49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ROMAN pada nilai di sel C44 (27)!</t>
        </is>
      </c>
    </row>
    <row r="44">
      <c r="B44" s="18" t="inlineStr">
        <is>
          <t>Toko Elektronik</t>
        </is>
      </c>
      <c r="C44" s="18" t="n">
        <v>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25</v>
      </c>
      <c r="E45" s="26" t="n"/>
      <c r="F45" s="27">
        <f>IF(ISBLANK(E45), "⏳ Ketik rumus di sel kuning E45", IF(E45=G45, "✅ BENAR! LUAR BIASA!", "❌ Belum Tepat, Cek Kunci"))</f>
        <v/>
      </c>
      <c r="G45" s="28">
        <f>ROMAN(C44)</f>
        <v/>
      </c>
      <c r="H45" s="29" t="inlineStr">
        <is>
          <t>Ketik: =ROMAN(C44)</t>
        </is>
      </c>
    </row>
    <row r="46">
      <c r="B46" s="18" t="inlineStr">
        <is>
          <t>Toko Aksesoris</t>
        </is>
      </c>
      <c r="C46" s="18" t="n">
        <v>49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ROMAN pada nilai di sel C52 (32)!</t>
        </is>
      </c>
    </row>
    <row r="52">
      <c r="B52" s="18" t="inlineStr">
        <is>
          <t>Kelas 10 IPA</t>
        </is>
      </c>
      <c r="C52" s="18" t="n">
        <v>32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</v>
      </c>
      <c r="E53" s="26" t="n"/>
      <c r="F53" s="27">
        <f>IF(ISBLANK(E53), "⏳ Ketik rumus di sel kuning E53", IF(E53=G53, "✅ BENAR! LUAR BIASA!", "❌ Belum Tepat, Cek Kunci"))</f>
        <v/>
      </c>
      <c r="G53" s="28">
        <f>ROMAN(C52)</f>
        <v/>
      </c>
      <c r="H53" s="29" t="inlineStr">
        <is>
          <t>Ketik: =ROMAN(C52)</t>
        </is>
      </c>
    </row>
    <row r="54">
      <c r="B54" s="18" t="inlineStr">
        <is>
          <t>Kelas 12 IPA</t>
        </is>
      </c>
      <c r="C54" s="18" t="n">
        <v>49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#024 — RUMUS EXCEL: ARABIC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(ARABIC)</t>
        </is>
      </c>
    </row>
    <row r="5" ht="21" customHeight="1">
      <c r="B5" s="12" t="inlineStr">
        <is>
          <t>Nama Rumus Excel</t>
        </is>
      </c>
      <c r="C5" s="13">
        <f>ARABIC(...)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ARABIC(teks_romawi)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Kebalikan ROMAN: mengubah teks angka Romawi (seperti 'XIV') kembali menjadi angka biasa (14).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ARABIC)</t>
        </is>
      </c>
    </row>
    <row r="10">
      <c r="B10" s="16" t="inlineStr">
        <is>
          <t>Dokumen Bab</t>
        </is>
      </c>
      <c r="C10" s="16" t="inlineStr">
        <is>
          <t>Kode Romawi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XIV</t>
        </is>
      </c>
      <c r="E11" s="19" t="inlineStr">
        <is>
          <t>Kasus Contoh:</t>
        </is>
      </c>
      <c r="F11" s="20" t="inlineStr">
        <is>
          <t>Ubah teks angka Romawi di sel C11 ("XIV") menjadi angka biasa memakai rumus ARABIC!</t>
        </is>
      </c>
    </row>
    <row r="12">
      <c r="B12" s="18" t="inlineStr">
        <is>
          <t>Cabang Bandung</t>
        </is>
      </c>
      <c r="C12" s="18" t="inlineStr">
        <is>
          <t>X</t>
        </is>
      </c>
      <c r="E12" s="19" t="inlineStr">
        <is>
          <t>Rumus yang Diketik:</t>
        </is>
      </c>
      <c r="F12" s="21" t="inlineStr">
        <is>
          <t>'=ARABIC(C11)</t>
        </is>
      </c>
    </row>
    <row r="13">
      <c r="B13" s="18" t="inlineStr">
        <is>
          <t>Cabang Surabaya</t>
        </is>
      </c>
      <c r="C13" s="18" t="inlineStr">
        <is>
          <t>V</t>
        </is>
      </c>
      <c r="E13" s="19" t="inlineStr">
        <is>
          <t>Hasil Otomatis Excel:</t>
        </is>
      </c>
      <c r="F13" s="22">
        <f>ARABIC(C11)</f>
        <v/>
      </c>
    </row>
    <row r="14">
      <c r="B14" s="18" t="inlineStr">
        <is>
          <t>Cabang Medan</t>
        </is>
      </c>
      <c r="C14" s="18" t="inlineStr">
        <is>
          <t>C</t>
        </is>
      </c>
    </row>
    <row r="16" ht="26" customHeight="1">
      <c r="B16" s="23" t="inlineStr">
        <is>
          <t>3️⃣ 5 PERSOALAN DUNIA NYATA (KETIK RUMUS ARABIC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Dokumen Bab</t>
        </is>
      </c>
      <c r="C19" s="12" t="inlineStr">
        <is>
          <t>Kode Romawi</t>
        </is>
      </c>
      <c r="E19" s="25" t="inlineStr">
        <is>
          <t>Persoalan #1: Ubah teks angka Romawi di sel C20 ("XIV") menjadi angka biasa memakai rumus ARABIC!</t>
        </is>
      </c>
    </row>
    <row r="20">
      <c r="B20" s="18" t="inlineStr">
        <is>
          <t>Cabang Jakarta</t>
        </is>
      </c>
      <c r="C20" s="18" t="inlineStr">
        <is>
          <t>XIV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X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ARABIC(C20)</f>
        <v/>
      </c>
      <c r="H21" s="29" t="inlineStr">
        <is>
          <t>Ketik: =ARABIC(C20)</t>
        </is>
      </c>
    </row>
    <row r="22">
      <c r="B22" s="18" t="inlineStr">
        <is>
          <t>Cabang Surabaya</t>
        </is>
      </c>
      <c r="C22" s="18" t="inlineStr">
        <is>
          <t>V</t>
        </is>
      </c>
    </row>
    <row r="23">
      <c r="B23" s="18" t="inlineStr">
        <is>
          <t>Cabang Medan</t>
        </is>
      </c>
      <c r="C23" s="18" t="inlineStr">
        <is>
          <t>C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Dokumen Bab</t>
        </is>
      </c>
      <c r="C27" s="12" t="inlineStr">
        <is>
          <t>Kode Romawi</t>
        </is>
      </c>
      <c r="E27" s="25" t="inlineStr">
        <is>
          <t>Persoalan #2: Ubah teks angka Romawi di sel C28 ("XXV") menjadi angka biasa memakai rumus ARABIC!</t>
        </is>
      </c>
    </row>
    <row r="28">
      <c r="B28" s="18" t="inlineStr">
        <is>
          <t>Budi Santoso</t>
        </is>
      </c>
      <c r="C28" s="18" t="inlineStr">
        <is>
          <t>XXV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X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ARABIC(C28)</f>
        <v/>
      </c>
      <c r="H29" s="29" t="inlineStr">
        <is>
          <t>Ketik: =ARABIC(C28)</t>
        </is>
      </c>
    </row>
    <row r="30">
      <c r="B30" s="18" t="inlineStr">
        <is>
          <t>Andi Pratama</t>
        </is>
      </c>
      <c r="C30" s="18" t="inlineStr">
        <is>
          <t>V</t>
        </is>
      </c>
    </row>
    <row r="31">
      <c r="B31" s="18" t="inlineStr">
        <is>
          <t>Rina Wijaya</t>
        </is>
      </c>
      <c r="C31" s="18" t="inlineStr">
        <is>
          <t>C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Dokumen Bab</t>
        </is>
      </c>
      <c r="C35" s="12" t="inlineStr">
        <is>
          <t>Kode Romawi</t>
        </is>
      </c>
      <c r="E35" s="25" t="inlineStr">
        <is>
          <t>Persoalan #3: Ubah teks angka Romawi di sel C36 ("L") menjadi angka biasa memakai rumus ARABIC!</t>
        </is>
      </c>
    </row>
    <row r="36">
      <c r="B36" s="18" t="inlineStr">
        <is>
          <t>Gudang Blok A</t>
        </is>
      </c>
      <c r="C36" s="18" t="inlineStr">
        <is>
          <t>L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X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ARABIC(C36)</f>
        <v/>
      </c>
      <c r="H37" s="29" t="inlineStr">
        <is>
          <t>Ketik: =ARABIC(C36)</t>
        </is>
      </c>
    </row>
    <row r="38">
      <c r="B38" s="18" t="inlineStr">
        <is>
          <t>Gudang Blok C</t>
        </is>
      </c>
      <c r="C38" s="18" t="inlineStr">
        <is>
          <t>V</t>
        </is>
      </c>
    </row>
    <row r="39">
      <c r="B39" s="18" t="inlineStr">
        <is>
          <t>Gudang Blok D</t>
        </is>
      </c>
      <c r="C39" s="18" t="inlineStr">
        <is>
          <t>C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Dokumen Bab</t>
        </is>
      </c>
      <c r="C43" s="12" t="inlineStr">
        <is>
          <t>Kode Romawi</t>
        </is>
      </c>
      <c r="E43" s="25" t="inlineStr">
        <is>
          <t>Persoalan #4: Ubah teks angka Romawi di sel C44 ("MMXXVI") menjadi angka biasa memakai rumus ARABIC!</t>
        </is>
      </c>
    </row>
    <row r="44">
      <c r="B44" s="18" t="inlineStr">
        <is>
          <t>Toko Elektronik</t>
        </is>
      </c>
      <c r="C44" s="18" t="inlineStr">
        <is>
          <t>MMXXVI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X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ARABIC(C44)</f>
        <v/>
      </c>
      <c r="H45" s="29" t="inlineStr">
        <is>
          <t>Ketik: =ARABIC(C44)</t>
        </is>
      </c>
    </row>
    <row r="46">
      <c r="B46" s="18" t="inlineStr">
        <is>
          <t>Toko Aksesoris</t>
        </is>
      </c>
      <c r="C46" s="18" t="inlineStr">
        <is>
          <t>V</t>
        </is>
      </c>
    </row>
    <row r="47">
      <c r="B47" s="18" t="inlineStr">
        <is>
          <t>Toko Servis</t>
        </is>
      </c>
      <c r="C47" s="18" t="inlineStr">
        <is>
          <t>C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Dokumen Bab</t>
        </is>
      </c>
      <c r="C51" s="12" t="inlineStr">
        <is>
          <t>Kode Romawi</t>
        </is>
      </c>
      <c r="E51" s="25" t="inlineStr">
        <is>
          <t>Persoalan #5: Ubah teks angka Romawi di sel C52 ("XIV") menjadi angka biasa memakai rumus ARABIC!</t>
        </is>
      </c>
    </row>
    <row r="52">
      <c r="B52" s="18" t="inlineStr">
        <is>
          <t>Kelas 10 IPA</t>
        </is>
      </c>
      <c r="C52" s="18" t="inlineStr">
        <is>
          <t>XIV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X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ARABIC(C52)</f>
        <v/>
      </c>
      <c r="H53" s="29" t="inlineStr">
        <is>
          <t>Ketik: =ARABIC(C52)</t>
        </is>
      </c>
    </row>
    <row r="54">
      <c r="B54" s="18" t="inlineStr">
        <is>
          <t>Kelas 12 IPA</t>
        </is>
      </c>
      <c r="C54" s="18" t="inlineStr">
        <is>
          <t>V</t>
        </is>
      </c>
    </row>
    <row r="55">
      <c r="B55" s="18" t="inlineStr">
        <is>
          <t>Kelas Unggulan</t>
        </is>
      </c>
      <c r="C55" s="18" t="inlineStr">
        <is>
          <t>C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#025 — RUMUS EXCEL: FACT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(FACT)</t>
        </is>
      </c>
    </row>
    <row r="5" ht="21" customHeight="1">
      <c r="B5" s="12" t="inlineStr">
        <is>
          <t>Nama Rumus Excel</t>
        </is>
      </c>
      <c r="C5" s="13">
        <f>FACT(...)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FACT(angka)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faktorial matematika (n! = 1 × 2 × 3 × ... × n) untuk peluang dan susunan jadwal.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FACT)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4</v>
      </c>
      <c r="E11" s="19" t="inlineStr">
        <is>
          <t>Kasus Contoh:</t>
        </is>
      </c>
      <c r="F11" s="20" t="inlineStr">
        <is>
          <t>Terapkan rumus FACT pada nilai di sel C11 (4)!</t>
        </is>
      </c>
    </row>
    <row r="12">
      <c r="B12" s="18" t="inlineStr">
        <is>
          <t>Cabang Bandung</t>
        </is>
      </c>
      <c r="C12" s="18" t="n">
        <v>5</v>
      </c>
      <c r="E12" s="19" t="inlineStr">
        <is>
          <t>Rumus yang Diketik:</t>
        </is>
      </c>
      <c r="F12" s="21" t="inlineStr">
        <is>
          <t>'=FACT(C11)</t>
        </is>
      </c>
    </row>
    <row r="13">
      <c r="B13" s="18" t="inlineStr">
        <is>
          <t>Cabang Surabaya</t>
        </is>
      </c>
      <c r="C13" s="18" t="n">
        <v>6</v>
      </c>
      <c r="E13" s="19" t="inlineStr">
        <is>
          <t>Hasil Otomatis Excel:</t>
        </is>
      </c>
      <c r="F13" s="22">
        <f>FACT(C11)</f>
        <v/>
      </c>
    </row>
    <row r="14">
      <c r="B14" s="18" t="inlineStr">
        <is>
          <t>Cabang Medan</t>
        </is>
      </c>
      <c r="C14" s="18" t="n">
        <v>3</v>
      </c>
    </row>
    <row r="16" ht="26" customHeight="1">
      <c r="B16" s="23" t="inlineStr">
        <is>
          <t>3️⃣ 5 PERSOALAN DUNIA NYATA (KETIK RUMUS FACT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FACT pada nilai di sel C20 (4)!</t>
        </is>
      </c>
    </row>
    <row r="20">
      <c r="B20" s="18" t="inlineStr">
        <is>
          <t>Cabang Jakarta</t>
        </is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FACT(C20)</f>
        <v/>
      </c>
      <c r="H21" s="29" t="inlineStr">
        <is>
          <t>Ketik: =FACT(C20)</t>
        </is>
      </c>
    </row>
    <row r="22">
      <c r="B22" s="18" t="inlineStr">
        <is>
          <t>Cabang Surabaya</t>
        </is>
      </c>
      <c r="C22" s="18" t="n">
        <v>6</v>
      </c>
    </row>
    <row r="23">
      <c r="B23" s="18" t="inlineStr">
        <is>
          <t>Cabang Medan</t>
        </is>
      </c>
      <c r="C23" s="18" t="n">
        <v>3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FACT pada nilai di sel C28 (5)!</t>
        </is>
      </c>
    </row>
    <row r="28">
      <c r="B28" s="18" t="inlineStr">
        <is>
          <t>Budi Santoso</t>
        </is>
      </c>
      <c r="C28" s="18" t="n">
        <v>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FACT(C28)</f>
        <v/>
      </c>
      <c r="H29" s="29" t="inlineStr">
        <is>
          <t>Ketik: =FACT(C28)</t>
        </is>
      </c>
    </row>
    <row r="30">
      <c r="B30" s="18" t="inlineStr">
        <is>
          <t>Andi Pratama</t>
        </is>
      </c>
      <c r="C30" s="18" t="n">
        <v>6</v>
      </c>
    </row>
    <row r="31">
      <c r="B31" s="18" t="inlineStr">
        <is>
          <t>Rina Wijaya</t>
        </is>
      </c>
      <c r="C31" s="18" t="n">
        <v>3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FACT pada nilai di sel C36 (6)!</t>
        </is>
      </c>
    </row>
    <row r="36">
      <c r="B36" s="18" t="inlineStr">
        <is>
          <t>Gudang Blok A</t>
        </is>
      </c>
      <c r="C36" s="18" t="n">
        <v>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FACT(C36)</f>
        <v/>
      </c>
      <c r="H37" s="29" t="inlineStr">
        <is>
          <t>Ketik: =FACT(C36)</t>
        </is>
      </c>
    </row>
    <row r="38">
      <c r="B38" s="18" t="inlineStr">
        <is>
          <t>Gudang Blok C</t>
        </is>
      </c>
      <c r="C38" s="18" t="n">
        <v>6</v>
      </c>
    </row>
    <row r="39">
      <c r="B39" s="18" t="inlineStr">
        <is>
          <t>Gudang Blok D</t>
        </is>
      </c>
      <c r="C39" s="18" t="n">
        <v>3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FACT pada nilai di sel C44 (7)!</t>
        </is>
      </c>
    </row>
    <row r="44">
      <c r="B44" s="18" t="inlineStr">
        <is>
          <t>Toko Elektronik</t>
        </is>
      </c>
      <c r="C44" s="18" t="n">
        <v>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FACT(C44)</f>
        <v/>
      </c>
      <c r="H45" s="29" t="inlineStr">
        <is>
          <t>Ketik: =FACT(C44)</t>
        </is>
      </c>
    </row>
    <row r="46">
      <c r="B46" s="18" t="inlineStr">
        <is>
          <t>Toko Aksesoris</t>
        </is>
      </c>
      <c r="C46" s="18" t="n">
        <v>6</v>
      </c>
    </row>
    <row r="47">
      <c r="B47" s="18" t="inlineStr">
        <is>
          <t>Toko Servis</t>
        </is>
      </c>
      <c r="C47" s="18" t="n">
        <v>3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FACT pada nilai di sel C52 (4)!</t>
        </is>
      </c>
    </row>
    <row r="52">
      <c r="B52" s="18" t="inlineStr">
        <is>
          <t>Kelas 10 IPA</t>
        </is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FACT(C52)</f>
        <v/>
      </c>
      <c r="H53" s="29" t="inlineStr">
        <is>
          <t>Ketik: =FACT(C52)</t>
        </is>
      </c>
    </row>
    <row r="54">
      <c r="B54" s="18" t="inlineStr">
        <is>
          <t>Kelas 12 IPA</t>
        </is>
      </c>
      <c r="C54" s="18" t="n">
        <v>6</v>
      </c>
    </row>
    <row r="55">
      <c r="B55" s="18" t="inlineStr">
        <is>
          <t>Kelas Unggulan</t>
        </is>
      </c>
      <c r="C55" s="18" t="n">
        <v>3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#026 — RUMUS EXCEL: GCD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(GCD)</t>
        </is>
      </c>
    </row>
    <row r="5" ht="21" customHeight="1">
      <c r="B5" s="12" t="inlineStr">
        <is>
          <t>Nama Rumus Excel</t>
        </is>
      </c>
      <c r="C5" s="13">
        <f>GCD(...)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GCD(angka1, angka2)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Faktor Persekutuan Terbesar (FPB) dari dua angka atau lebih (misal membagi paket bingkisan sama rata).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GCD)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GCD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'=GCD(B11,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GCD(B11,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GCD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GCD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GCD(B20, C20)</f>
        <v/>
      </c>
      <c r="H21" s="29" t="inlineStr">
        <is>
          <t>Ketik: =GCD(B20,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GCD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GCD(B28, C28)</f>
        <v/>
      </c>
      <c r="H29" s="29" t="inlineStr">
        <is>
          <t>Ketik: =GCD(B28,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GCD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GCD(B36, C36)</f>
        <v/>
      </c>
      <c r="H37" s="29" t="inlineStr">
        <is>
          <t>Ketik: =GCD(B36,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GCD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GCD(B44, C44)</f>
        <v/>
      </c>
      <c r="H45" s="29" t="inlineStr">
        <is>
          <t>Ketik: =GCD(B44,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GCD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GCD(B52, C52)</f>
        <v/>
      </c>
      <c r="H53" s="29" t="inlineStr">
        <is>
          <t>Ketik: =GCD(B52,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#027 — RUMUS EXCEL: LCM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(LCM)</t>
        </is>
      </c>
    </row>
    <row r="5" ht="21" customHeight="1">
      <c r="B5" s="12" t="inlineStr">
        <is>
          <t>Nama Rumus Excel</t>
        </is>
      </c>
      <c r="C5" s="13">
        <f>LCM(...)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LCM(angka1, angka2)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Kelipatan Persekutuan Terkecil (KPK) dari dua angka (misal jadwal pertemuan dua armada truk).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LCM)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LCM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'=LCM(B11,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LCM(B11,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LCM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LCM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LCM(B20, C20)</f>
        <v/>
      </c>
      <c r="H21" s="29" t="inlineStr">
        <is>
          <t>Ketik: =LCM(B20,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LCM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LCM(B28, C28)</f>
        <v/>
      </c>
      <c r="H29" s="29" t="inlineStr">
        <is>
          <t>Ketik: =LCM(B28,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LCM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LCM(B36, C36)</f>
        <v/>
      </c>
      <c r="H37" s="29" t="inlineStr">
        <is>
          <t>Ketik: =LCM(B36,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LCM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LCM(B44, C44)</f>
        <v/>
      </c>
      <c r="H45" s="29" t="inlineStr">
        <is>
          <t>Ketik: =LCM(B44,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LCM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LCM(B52, C52)</f>
        <v/>
      </c>
      <c r="H53" s="29" t="inlineStr">
        <is>
          <t>Ketik: =LCM(B52,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#028 — RUMUS EXCEL: COMBIN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(COMBIN)</t>
        </is>
      </c>
    </row>
    <row r="5" ht="21" customHeight="1">
      <c r="B5" s="12" t="inlineStr">
        <is>
          <t>Nama Rumus Excel</t>
        </is>
      </c>
      <c r="C5" s="13">
        <f>COMBIN(...)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COMBIN(total_item, jumlah_dipilih)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banyaknya kombinasi pemilihan tim/barang tanpa memperhatikan urutan.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COMBIN)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COMBIN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'=COMBIN(B11,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COMBIN(B11,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COMBIN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COMBIN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COMBIN(B20, C20)</f>
        <v/>
      </c>
      <c r="H21" s="29" t="inlineStr">
        <is>
          <t>Ketik: =COMBIN(B20,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COMBIN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COMBIN(B28, C28)</f>
        <v/>
      </c>
      <c r="H29" s="29" t="inlineStr">
        <is>
          <t>Ketik: =COMBIN(B28,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COMBIN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COMBIN(B36, C36)</f>
        <v/>
      </c>
      <c r="H37" s="29" t="inlineStr">
        <is>
          <t>Ketik: =COMBIN(B36,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COMBIN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COMBIN(B44, C44)</f>
        <v/>
      </c>
      <c r="H45" s="29" t="inlineStr">
        <is>
          <t>Ketik: =COMBIN(B44,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COMBIN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COMBIN(B52, C52)</f>
        <v/>
      </c>
      <c r="H53" s="29" t="inlineStr">
        <is>
          <t>Ketik: =COMBIN(B52,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#029 — RUMUS EXCEL: IF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(IF)</t>
        </is>
      </c>
    </row>
    <row r="5" ht="21" customHeight="1">
      <c r="B5" s="12" t="inlineStr">
        <is>
          <t>Nama Rumus Excel</t>
        </is>
      </c>
      <c r="C5" s="13">
        <f>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IF(syarat_logika, jika_benar, jika_salah)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Polisi lalu lintas di Excel: Jika syarat terpenuhi maka jalankan perintah A, jika tidak maka jalankan perintah B (Misal: Nilai &gt;= 75 maka 'LULUS', selain itu 'REMEDIAL').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IF)</t>
        </is>
      </c>
    </row>
    <row r="10">
      <c r="B10" s="16" t="inlineStr">
        <is>
          <t>Nama Peserta</t>
        </is>
      </c>
      <c r="C10" s="16" t="inlineStr">
        <is>
          <t>Nilai Ujian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85</v>
      </c>
      <c r="E11" s="19" t="inlineStr">
        <is>
          <t>Kasus Contoh:</t>
        </is>
      </c>
      <c r="F11" s="20" t="inlineStr">
        <is>
          <t>Gunakan rumus IF: jika nilai di C11 &gt;= 75 maka "LULUS", selain itu "REMEDIAL"!</t>
        </is>
      </c>
    </row>
    <row r="12">
      <c r="B12" s="18" t="inlineStr">
        <is>
          <t>Cabang Bandung</t>
        </is>
      </c>
      <c r="C12" s="18" t="n">
        <v>60</v>
      </c>
      <c r="E12" s="19" t="inlineStr">
        <is>
          <t>Rumus yang Diketik:</t>
        </is>
      </c>
      <c r="F12" s="21" t="inlineStr">
        <is>
          <t>'=IF(C11&gt;=75, "LULUS", "REMEDIAL")</t>
        </is>
      </c>
    </row>
    <row r="13">
      <c r="B13" s="18" t="inlineStr">
        <is>
          <t>Cabang Surabaya</t>
        </is>
      </c>
      <c r="C13" s="18" t="n">
        <v>90</v>
      </c>
      <c r="E13" s="19" t="inlineStr">
        <is>
          <t>Hasil Otomatis Excel:</t>
        </is>
      </c>
      <c r="F13" s="22">
        <f>IF(C11&gt;=75, "LULUS", "REMEDIAL")</f>
        <v/>
      </c>
    </row>
    <row r="14">
      <c r="B14" s="18" t="inlineStr">
        <is>
          <t>Cabang Medan</t>
        </is>
      </c>
      <c r="C14" s="18" t="n">
        <v>72</v>
      </c>
    </row>
    <row r="16" ht="26" customHeight="1">
      <c r="B16" s="23" t="inlineStr">
        <is>
          <t>3️⃣ 5 PERSOALAN DUNIA NYATA (KETIK RUMUS 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Peserta</t>
        </is>
      </c>
      <c r="C19" s="12" t="inlineStr">
        <is>
          <t>Nilai Ujian</t>
        </is>
      </c>
      <c r="E19" s="25" t="inlineStr">
        <is>
          <t>Persoalan #1: Gunakan rumus IF: jika nilai di C20 &gt;= 75 maka "LULUS", selain itu "REMEDIAL"!</t>
        </is>
      </c>
    </row>
    <row r="20">
      <c r="B20" s="18" t="inlineStr">
        <is>
          <t>Cabang Jakarta</t>
        </is>
      </c>
      <c r="C20" s="18" t="n">
        <v>85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IF(C20&gt;=75, "LULUS", "REMEDIAL")</f>
        <v/>
      </c>
      <c r="H21" s="29" t="inlineStr">
        <is>
          <t>Ketik: =IF(C20&gt;=75, "LULUS", "REMEDIAL")</t>
        </is>
      </c>
    </row>
    <row r="22">
      <c r="B22" s="18" t="inlineStr">
        <is>
          <t>Cabang Surabaya</t>
        </is>
      </c>
      <c r="C22" s="18" t="n">
        <v>90</v>
      </c>
    </row>
    <row r="23">
      <c r="B23" s="18" t="inlineStr">
        <is>
          <t>Cabang Medan</t>
        </is>
      </c>
      <c r="C23" s="18" t="n">
        <v>72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Peserta</t>
        </is>
      </c>
      <c r="C27" s="12" t="inlineStr">
        <is>
          <t>Nilai Ujian</t>
        </is>
      </c>
      <c r="E27" s="25" t="inlineStr">
        <is>
          <t>Persoalan #2: Gunakan rumus IF: jika nilai di C28 &gt;= 75 maka "LULUS", selain itu "REMEDIAL"!</t>
        </is>
      </c>
    </row>
    <row r="28">
      <c r="B28" s="18" t="inlineStr">
        <is>
          <t>Budi Santoso</t>
        </is>
      </c>
      <c r="C28" s="18" t="n">
        <v>80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IF(C28&gt;=75, "LULUS", "REMEDIAL")</f>
        <v/>
      </c>
      <c r="H29" s="29" t="inlineStr">
        <is>
          <t>Ketik: =IF(C28&gt;=75, "LULUS", "REMEDIAL")</t>
        </is>
      </c>
    </row>
    <row r="30">
      <c r="B30" s="18" t="inlineStr">
        <is>
          <t>Andi Pratama</t>
        </is>
      </c>
      <c r="C30" s="18" t="n">
        <v>90</v>
      </c>
    </row>
    <row r="31">
      <c r="B31" s="18" t="inlineStr">
        <is>
          <t>Rina Wijaya</t>
        </is>
      </c>
      <c r="C31" s="18" t="n">
        <v>72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Peserta</t>
        </is>
      </c>
      <c r="C35" s="12" t="inlineStr">
        <is>
          <t>Nilai Ujian</t>
        </is>
      </c>
      <c r="E35" s="25" t="inlineStr">
        <is>
          <t>Persoalan #3: Gunakan rumus IF: jika nilai di C36 &gt;= 75 maka "LULUS", selain itu "REMEDIAL"!</t>
        </is>
      </c>
    </row>
    <row r="36">
      <c r="B36" s="18" t="inlineStr">
        <is>
          <t>Gudang Blok A</t>
        </is>
      </c>
      <c r="C36" s="18" t="n">
        <v>75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IF(C36&gt;=75, "LULUS", "REMEDIAL")</f>
        <v/>
      </c>
      <c r="H37" s="29" t="inlineStr">
        <is>
          <t>Ketik: =IF(C36&gt;=75, "LULUS", "REMEDIAL")</t>
        </is>
      </c>
    </row>
    <row r="38">
      <c r="B38" s="18" t="inlineStr">
        <is>
          <t>Gudang Blok C</t>
        </is>
      </c>
      <c r="C38" s="18" t="n">
        <v>90</v>
      </c>
    </row>
    <row r="39">
      <c r="B39" s="18" t="inlineStr">
        <is>
          <t>Gudang Blok D</t>
        </is>
      </c>
      <c r="C39" s="18" t="n">
        <v>72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Peserta</t>
        </is>
      </c>
      <c r="C43" s="12" t="inlineStr">
        <is>
          <t>Nilai Ujian</t>
        </is>
      </c>
      <c r="E43" s="25" t="inlineStr">
        <is>
          <t>Persoalan #4: Gunakan rumus IF: jika nilai di C44 &gt;= 75 maka "LULUS", selain itu "REMEDIAL"!</t>
        </is>
      </c>
    </row>
    <row r="44">
      <c r="B44" s="18" t="inlineStr">
        <is>
          <t>Toko Elektronik</t>
        </is>
      </c>
      <c r="C44" s="18" t="n">
        <v>70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IF(C44&gt;=75, "LULUS", "REMEDIAL")</f>
        <v/>
      </c>
      <c r="H45" s="29" t="inlineStr">
        <is>
          <t>Ketik: =IF(C44&gt;=75, "LULUS", "REMEDIAL")</t>
        </is>
      </c>
    </row>
    <row r="46">
      <c r="B46" s="18" t="inlineStr">
        <is>
          <t>Toko Aksesoris</t>
        </is>
      </c>
      <c r="C46" s="18" t="n">
        <v>90</v>
      </c>
    </row>
    <row r="47">
      <c r="B47" s="18" t="inlineStr">
        <is>
          <t>Toko Servis</t>
        </is>
      </c>
      <c r="C47" s="18" t="n">
        <v>72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Peserta</t>
        </is>
      </c>
      <c r="C51" s="12" t="inlineStr">
        <is>
          <t>Nilai Ujian</t>
        </is>
      </c>
      <c r="E51" s="25" t="inlineStr">
        <is>
          <t>Persoalan #5: Gunakan rumus IF: jika nilai di C52 &gt;= 75 maka "LULUS", selain itu "REMEDIAL"!</t>
        </is>
      </c>
    </row>
    <row r="52">
      <c r="B52" s="18" t="inlineStr">
        <is>
          <t>Kelas 10 IPA</t>
        </is>
      </c>
      <c r="C52" s="18" t="n">
        <v>65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IF(C52&gt;=75, "LULUS", "REMEDIAL")</f>
        <v/>
      </c>
      <c r="H53" s="29" t="inlineStr">
        <is>
          <t>Ketik: =IF(C52&gt;=75, "LULUS", "REMEDIAL")</t>
        </is>
      </c>
    </row>
    <row r="54">
      <c r="B54" s="18" t="inlineStr">
        <is>
          <t>Kelas 12 IPA</t>
        </is>
      </c>
      <c r="C54" s="18" t="n">
        <v>90</v>
      </c>
    </row>
    <row r="55">
      <c r="B55" s="18" t="inlineStr">
        <is>
          <t>Kelas Unggulan</t>
        </is>
      </c>
      <c r="C55" s="18" t="n">
        <v>72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#030 — RUMUS EXCEL: IFS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(IFS)</t>
        </is>
      </c>
    </row>
    <row r="5" ht="21" customHeight="1">
      <c r="B5" s="12" t="inlineStr">
        <is>
          <t>Nama Rumus Excel</t>
        </is>
      </c>
      <c r="C5" s="13">
        <f>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IFS(syarat1, hasil1, syarat2, hasil2,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Menguji banyak syarat bertingkat tanpa perlu membuat IF bertumpuk-tumpuk (Misal: &gt;=90 'A', &gt;=80 'B', &gt;=70 'C').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IFS)</t>
        </is>
      </c>
    </row>
    <row r="10">
      <c r="B10" s="16" t="inlineStr">
        <is>
          <t>Nama Peserta</t>
        </is>
      </c>
      <c r="C10" s="16" t="inlineStr">
        <is>
          <t>Skor Kinerja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92</v>
      </c>
      <c r="E11" s="19" t="inlineStr">
        <is>
          <t>Kasus Contoh:</t>
        </is>
      </c>
      <c r="F11" s="20" t="inlineStr">
        <is>
          <t>Gunakan rumus IFS pada sel C11: jika &gt;=85 maka "A", jika &gt;=70 maka "B", selain itu (TRUE) maka "C"!</t>
        </is>
      </c>
    </row>
    <row r="12">
      <c r="B12" s="18" t="inlineStr">
        <is>
          <t>Cabang Bandung</t>
        </is>
      </c>
      <c r="C12" s="18" t="n">
        <v>84</v>
      </c>
      <c r="E12" s="19" t="inlineStr">
        <is>
          <t>Rumus yang Diketik:</t>
        </is>
      </c>
      <c r="F12" s="21" t="inlineStr">
        <is>
          <t>'=IFS(C11&gt;=85, "A", C11&gt;=70, "B", TRUE, "C")</t>
        </is>
      </c>
    </row>
    <row r="13">
      <c r="B13" s="18" t="inlineStr">
        <is>
          <t>Cabang Surabaya</t>
        </is>
      </c>
      <c r="C13" s="18" t="n">
        <v>76</v>
      </c>
      <c r="E13" s="19" t="inlineStr">
        <is>
          <t>Hasil Otomatis Excel:</t>
        </is>
      </c>
      <c r="F13" s="22">
        <f>IFS(C11&gt;=85, "A", C11&gt;=70, "B", TRUE, "C")</f>
        <v/>
      </c>
    </row>
    <row r="14">
      <c r="B14" s="18" t="inlineStr">
        <is>
          <t>Cabang Medan</t>
        </is>
      </c>
      <c r="C14" s="18" t="n">
        <v>65</v>
      </c>
    </row>
    <row r="16" ht="26" customHeight="1">
      <c r="B16" s="23" t="inlineStr">
        <is>
          <t>3️⃣ 5 PERSOALAN DUNIA NYATA (KETIK RUMUS 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Peserta</t>
        </is>
      </c>
      <c r="C19" s="12" t="inlineStr">
        <is>
          <t>Skor Kinerja</t>
        </is>
      </c>
      <c r="E19" s="25" t="inlineStr">
        <is>
          <t>Persoalan #1: Gunakan rumus IFS pada sel C20: jika &gt;=85 maka "A", jika &gt;=70 maka "B", selain itu (TRUE) maka "C"!</t>
        </is>
      </c>
    </row>
    <row r="20">
      <c r="B20" s="18" t="inlineStr">
        <is>
          <t>Cabang Jakarta</t>
        </is>
      </c>
      <c r="C20" s="18" t="n">
        <v>92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84</v>
      </c>
      <c r="E21" s="26" t="n"/>
      <c r="F21" s="27">
        <f>IF(ISBLANK(E21), "⏳ Ketik rumus di sel kuning E21", IF(E21=G21, "✅ BENAR! LUAR BIASA!", "❌ Belum Tepat, Cek Kunci"))</f>
        <v/>
      </c>
      <c r="G21" s="28">
        <f>IFS(C20&gt;=85, "A", C20&gt;=70, "B", TRUE, "C")</f>
        <v/>
      </c>
      <c r="H21" s="29" t="inlineStr">
        <is>
          <t>Ketik: =IFS(C20&gt;=85, "A", C20&gt;=70, "B", TRUE, "C")</t>
        </is>
      </c>
    </row>
    <row r="22">
      <c r="B22" s="18" t="inlineStr">
        <is>
          <t>Cabang Surabaya</t>
        </is>
      </c>
      <c r="C22" s="18" t="n">
        <v>76</v>
      </c>
    </row>
    <row r="23">
      <c r="B23" s="18" t="inlineStr">
        <is>
          <t>Cabang Medan</t>
        </is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Peserta</t>
        </is>
      </c>
      <c r="C27" s="12" t="inlineStr">
        <is>
          <t>Skor Kinerja</t>
        </is>
      </c>
      <c r="E27" s="25" t="inlineStr">
        <is>
          <t>Persoalan #2: Gunakan rumus IFS pada sel C28: jika &gt;=85 maka "A", jika &gt;=70 maka "B", selain itu (TRUE) maka "C"!</t>
        </is>
      </c>
    </row>
    <row r="28">
      <c r="B28" s="18" t="inlineStr">
        <is>
          <t>Budi Santoso</t>
        </is>
      </c>
      <c r="C28" s="18" t="n">
        <v>88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84</v>
      </c>
      <c r="E29" s="26" t="n"/>
      <c r="F29" s="27">
        <f>IF(ISBLANK(E29), "⏳ Ketik rumus di sel kuning E29", IF(E29=G29, "✅ BENAR! LUAR BIASA!", "❌ Belum Tepat, Cek Kunci"))</f>
        <v/>
      </c>
      <c r="G29" s="28">
        <f>IFS(C28&gt;=85, "A", C28&gt;=70, "B", TRUE, "C")</f>
        <v/>
      </c>
      <c r="H29" s="29" t="inlineStr">
        <is>
          <t>Ketik: =IFS(C28&gt;=85, "A", C28&gt;=70, "B", TRUE, "C")</t>
        </is>
      </c>
    </row>
    <row r="30">
      <c r="B30" s="18" t="inlineStr">
        <is>
          <t>Andi Pratama</t>
        </is>
      </c>
      <c r="C30" s="18" t="n">
        <v>76</v>
      </c>
    </row>
    <row r="31">
      <c r="B31" s="18" t="inlineStr">
        <is>
          <t>Rina Wijaya</t>
        </is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Peserta</t>
        </is>
      </c>
      <c r="C35" s="12" t="inlineStr">
        <is>
          <t>Skor Kinerja</t>
        </is>
      </c>
      <c r="E35" s="25" t="inlineStr">
        <is>
          <t>Persoalan #3: Gunakan rumus IFS pada sel C36: jika &gt;=85 maka "A", jika &gt;=70 maka "B", selain itu (TRUE) maka "C"!</t>
        </is>
      </c>
    </row>
    <row r="36">
      <c r="B36" s="18" t="inlineStr">
        <is>
          <t>Gudang Blok A</t>
        </is>
      </c>
      <c r="C36" s="18" t="n">
        <v>84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IFS(C36&gt;=85, "A", C36&gt;=70, "B", TRUE, "C")</f>
        <v/>
      </c>
      <c r="H37" s="29" t="inlineStr">
        <is>
          <t>Ketik: =IFS(C36&gt;=85, "A", C36&gt;=70, "B", TRUE, "C")</t>
        </is>
      </c>
    </row>
    <row r="38">
      <c r="B38" s="18" t="inlineStr">
        <is>
          <t>Gudang Blok C</t>
        </is>
      </c>
      <c r="C38" s="18" t="n">
        <v>76</v>
      </c>
    </row>
    <row r="39">
      <c r="B39" s="18" t="inlineStr">
        <is>
          <t>Gudang Blok D</t>
        </is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Peserta</t>
        </is>
      </c>
      <c r="C43" s="12" t="inlineStr">
        <is>
          <t>Skor Kinerja</t>
        </is>
      </c>
      <c r="E43" s="25" t="inlineStr">
        <is>
          <t>Persoalan #4: Gunakan rumus IFS pada sel C44: jika &gt;=85 maka "A", jika &gt;=70 maka "B", selain itu (TRUE) maka "C"!</t>
        </is>
      </c>
    </row>
    <row r="44">
      <c r="B44" s="18" t="inlineStr">
        <is>
          <t>Toko Elektronik</t>
        </is>
      </c>
      <c r="C44" s="18" t="n">
        <v>80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84</v>
      </c>
      <c r="E45" s="26" t="n"/>
      <c r="F45" s="27">
        <f>IF(ISBLANK(E45), "⏳ Ketik rumus di sel kuning E45", IF(E45=G45, "✅ BENAR! LUAR BIASA!", "❌ Belum Tepat, Cek Kunci"))</f>
        <v/>
      </c>
      <c r="G45" s="28">
        <f>IFS(C44&gt;=85, "A", C44&gt;=70, "B", TRUE, "C")</f>
        <v/>
      </c>
      <c r="H45" s="29" t="inlineStr">
        <is>
          <t>Ketik: =IFS(C44&gt;=85, "A", C44&gt;=70, "B", TRUE, "C")</t>
        </is>
      </c>
    </row>
    <row r="46">
      <c r="B46" s="18" t="inlineStr">
        <is>
          <t>Toko Aksesoris</t>
        </is>
      </c>
      <c r="C46" s="18" t="n">
        <v>76</v>
      </c>
    </row>
    <row r="47">
      <c r="B47" s="18" t="inlineStr">
        <is>
          <t>Toko Servis</t>
        </is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Peserta</t>
        </is>
      </c>
      <c r="C51" s="12" t="inlineStr">
        <is>
          <t>Skor Kinerja</t>
        </is>
      </c>
      <c r="E51" s="25" t="inlineStr">
        <is>
          <t>Persoalan #5: Gunakan rumus IFS pada sel C52: jika &gt;=85 maka "A", jika &gt;=70 maka "B", selain itu (TRUE) maka "C"!</t>
        </is>
      </c>
    </row>
    <row r="52">
      <c r="B52" s="18" t="inlineStr">
        <is>
          <t>Kelas 10 IPA</t>
        </is>
      </c>
      <c r="C52" s="18" t="n">
        <v>76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84</v>
      </c>
      <c r="E53" s="26" t="n"/>
      <c r="F53" s="27">
        <f>IF(ISBLANK(E53), "⏳ Ketik rumus di sel kuning E53", IF(E53=G53, "✅ BENAR! LUAR BIASA!", "❌ Belum Tepat, Cek Kunci"))</f>
        <v/>
      </c>
      <c r="G53" s="28">
        <f>IFS(C52&gt;=85, "A", C52&gt;=70, "B", TRUE, "C")</f>
        <v/>
      </c>
      <c r="H53" s="29" t="inlineStr">
        <is>
          <t>Ketik: =IFS(C52&gt;=85, "A", C52&gt;=70, "B", TRUE, "C")</t>
        </is>
      </c>
    </row>
    <row r="54">
      <c r="B54" s="18" t="inlineStr">
        <is>
          <t>Kelas 12 IPA</t>
        </is>
      </c>
      <c r="C54" s="18" t="n">
        <v>76</v>
      </c>
    </row>
    <row r="55">
      <c r="B55" s="18" t="inlineStr">
        <is>
          <t>Kelas Unggulan</t>
        </is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#031 — RUMUS EXCEL: AND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(AND)</t>
        </is>
      </c>
    </row>
    <row r="5" ht="21" customHeight="1">
      <c r="B5" s="12" t="inlineStr">
        <is>
          <t>Nama Rumus Excel</t>
        </is>
      </c>
      <c r="C5" s="13">
        <f>AND(...)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AND(logika1, logika2,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TRUE (Benar) HANYA JIKA SEMUA syarat terpenuhi sekaligus. Kalau ada satu saja yang gagal, hasilnya FALSE.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AND)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AND!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'=AND(B11&gt;=75,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AND(B11&gt;=75,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AND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AND!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AND(B20&gt;=75, C20&gt;=75)</f>
        <v/>
      </c>
      <c r="H21" s="29" t="inlineStr">
        <is>
          <t>Ketik: =AND(B20&gt;=75,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AND!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AND(B28&gt;=75, C28&gt;=75)</f>
        <v/>
      </c>
      <c r="H29" s="29" t="inlineStr">
        <is>
          <t>Ketik: =AND(B28&gt;=75,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AND!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AND(B36&gt;=75, C36&gt;=75)</f>
        <v/>
      </c>
      <c r="H37" s="29" t="inlineStr">
        <is>
          <t>Ketik: =AND(B36&gt;=75,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AND!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AND(B44&gt;=75, C44&gt;=75)</f>
        <v/>
      </c>
      <c r="H45" s="29" t="inlineStr">
        <is>
          <t>Ketik: =AND(B44&gt;=75,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AND!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AND(B52&gt;=75, C52&gt;=75)</f>
        <v/>
      </c>
      <c r="H53" s="29" t="inlineStr">
        <is>
          <t>Ketik: =AND(B52&gt;=75,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#032 — RUMUS EXCEL: 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(OR)</t>
        </is>
      </c>
    </row>
    <row r="5" ht="21" customHeight="1">
      <c r="B5" s="12" t="inlineStr">
        <is>
          <t>Nama Rumus Excel</t>
        </is>
      </c>
      <c r="C5" s="13">
        <f>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OR(logika1, logika2,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TRUE (Benar) jika SALAH SATU syarat saja sudah terpenuhi. Lebih fleksibel daripada AND.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OR)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OR!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'=OR(B11&gt;=75,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OR(B11&gt;=75,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OR!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OR(B20&gt;=75, C20&gt;=75)</f>
        <v/>
      </c>
      <c r="H21" s="29" t="inlineStr">
        <is>
          <t>Ketik: =OR(B20&gt;=75,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OR!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OR(B28&gt;=75, C28&gt;=75)</f>
        <v/>
      </c>
      <c r="H29" s="29" t="inlineStr">
        <is>
          <t>Ketik: =OR(B28&gt;=75,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OR!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OR(B36&gt;=75, C36&gt;=75)</f>
        <v/>
      </c>
      <c r="H37" s="29" t="inlineStr">
        <is>
          <t>Ketik: =OR(B36&gt;=75,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OR!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OR(B44&gt;=75, C44&gt;=75)</f>
        <v/>
      </c>
      <c r="H45" s="29" t="inlineStr">
        <is>
          <t>Ketik: =OR(B44&gt;=75,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OR!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OR(B52&gt;=75, C52&gt;=75)</f>
        <v/>
      </c>
      <c r="H53" s="29" t="inlineStr">
        <is>
          <t>Ketik: =OR(B52&gt;=75,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#033 — RUMUS EXCEL: NOT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(NOT)</t>
        </is>
      </c>
    </row>
    <row r="5" ht="21" customHeight="1">
      <c r="B5" s="12" t="inlineStr">
        <is>
          <t>Nama Rumus Excel</t>
        </is>
      </c>
      <c r="C5" s="13">
        <f>NOT(...)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NOT(logika)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Membalikkan keadaan logika: yang TRUE dibalik jadi FALSE, yang FALSE dibalik jadi TRUE.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NOT)</t>
        </is>
      </c>
    </row>
    <row r="10">
      <c r="B10" s="16" t="inlineStr">
        <is>
          <t>Peserta</t>
        </is>
      </c>
      <c r="C10" s="16" t="inlineStr">
        <is>
          <t>Skor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80</v>
      </c>
      <c r="E11" s="19" t="inlineStr">
        <is>
          <t>Kasus Contoh:</t>
        </is>
      </c>
      <c r="F11" s="20" t="inlineStr">
        <is>
          <t>Gunakan rumus NOT untuk membalik logika apakah nilai di C11 kurang dari 75 (C11&lt;75)!</t>
        </is>
      </c>
    </row>
    <row r="12">
      <c r="B12" s="18" t="inlineStr">
        <is>
          <t>Cabang Bandung</t>
        </is>
      </c>
      <c r="C12" s="18" t="n">
        <v>60</v>
      </c>
      <c r="E12" s="19" t="inlineStr">
        <is>
          <t>Rumus yang Diketik:</t>
        </is>
      </c>
      <c r="F12" s="21" t="inlineStr">
        <is>
          <t>'=NOT(C11&lt;75)</t>
        </is>
      </c>
    </row>
    <row r="13">
      <c r="B13" s="18" t="inlineStr">
        <is>
          <t>Cabang Surabaya</t>
        </is>
      </c>
      <c r="C13" s="18" t="n">
        <v>90</v>
      </c>
      <c r="E13" s="19" t="inlineStr">
        <is>
          <t>Hasil Otomatis Excel:</t>
        </is>
      </c>
      <c r="F13" s="22">
        <f>NOT(C11&lt;75)</f>
        <v/>
      </c>
    </row>
    <row r="14">
      <c r="B14" s="18" t="inlineStr">
        <is>
          <t>Cabang Medan</t>
        </is>
      </c>
      <c r="C14" s="18" t="n">
        <v>70</v>
      </c>
    </row>
    <row r="16" ht="26" customHeight="1">
      <c r="B16" s="23" t="inlineStr">
        <is>
          <t>3️⃣ 5 PERSOALAN DUNIA NYATA (KETIK RUMUS NOT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Peserta</t>
        </is>
      </c>
      <c r="C19" s="12" t="inlineStr">
        <is>
          <t>Skor Uji</t>
        </is>
      </c>
      <c r="E19" s="25" t="inlineStr">
        <is>
          <t>Persoalan #1: Gunakan rumus NOT untuk membalik logika apakah nilai di C20 kurang dari 75 (C20&lt;75)!</t>
        </is>
      </c>
    </row>
    <row r="20">
      <c r="B20" s="18" t="inlineStr">
        <is>
          <t>Cabang Jakarta</t>
        </is>
      </c>
      <c r="C20" s="18" t="n">
        <v>80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NOT(C20&lt;75)</f>
        <v/>
      </c>
      <c r="H21" s="29" t="inlineStr">
        <is>
          <t>Ketik: =NOT(C20&lt;75)</t>
        </is>
      </c>
    </row>
    <row r="22">
      <c r="B22" s="18" t="inlineStr">
        <is>
          <t>Cabang Surabaya</t>
        </is>
      </c>
      <c r="C22" s="18" t="n">
        <v>90</v>
      </c>
    </row>
    <row r="23">
      <c r="B23" s="18" t="inlineStr">
        <is>
          <t>Cabang Medan</t>
        </is>
      </c>
      <c r="C23" s="18" t="n">
        <v>70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Peserta</t>
        </is>
      </c>
      <c r="C27" s="12" t="inlineStr">
        <is>
          <t>Skor Uji</t>
        </is>
      </c>
      <c r="E27" s="25" t="inlineStr">
        <is>
          <t>Persoalan #2: Gunakan rumus NOT untuk membalik logika apakah nilai di C28 kurang dari 75 (C28&lt;75)!</t>
        </is>
      </c>
    </row>
    <row r="28">
      <c r="B28" s="18" t="inlineStr">
        <is>
          <t>Budi Santoso</t>
        </is>
      </c>
      <c r="C28" s="18" t="n">
        <v>80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NOT(C28&lt;75)</f>
        <v/>
      </c>
      <c r="H29" s="29" t="inlineStr">
        <is>
          <t>Ketik: =NOT(C28&lt;75)</t>
        </is>
      </c>
    </row>
    <row r="30">
      <c r="B30" s="18" t="inlineStr">
        <is>
          <t>Andi Pratama</t>
        </is>
      </c>
      <c r="C30" s="18" t="n">
        <v>90</v>
      </c>
    </row>
    <row r="31">
      <c r="B31" s="18" t="inlineStr">
        <is>
          <t>Rina Wijaya</t>
        </is>
      </c>
      <c r="C31" s="18" t="n">
        <v>70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Peserta</t>
        </is>
      </c>
      <c r="C35" s="12" t="inlineStr">
        <is>
          <t>Skor Uji</t>
        </is>
      </c>
      <c r="E35" s="25" t="inlineStr">
        <is>
          <t>Persoalan #3: Gunakan rumus NOT untuk membalik logika apakah nilai di C36 kurang dari 75 (C36&lt;75)!</t>
        </is>
      </c>
    </row>
    <row r="36">
      <c r="B36" s="18" t="inlineStr">
        <is>
          <t>Gudang Blok A</t>
        </is>
      </c>
      <c r="C36" s="18" t="n">
        <v>80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NOT(C36&lt;75)</f>
        <v/>
      </c>
      <c r="H37" s="29" t="inlineStr">
        <is>
          <t>Ketik: =NOT(C36&lt;75)</t>
        </is>
      </c>
    </row>
    <row r="38">
      <c r="B38" s="18" t="inlineStr">
        <is>
          <t>Gudang Blok C</t>
        </is>
      </c>
      <c r="C38" s="18" t="n">
        <v>90</v>
      </c>
    </row>
    <row r="39">
      <c r="B39" s="18" t="inlineStr">
        <is>
          <t>Gudang Blok D</t>
        </is>
      </c>
      <c r="C39" s="18" t="n">
        <v>70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Peserta</t>
        </is>
      </c>
      <c r="C43" s="12" t="inlineStr">
        <is>
          <t>Skor Uji</t>
        </is>
      </c>
      <c r="E43" s="25" t="inlineStr">
        <is>
          <t>Persoalan #4: Gunakan rumus NOT untuk membalik logika apakah nilai di C44 kurang dari 75 (C44&lt;75)!</t>
        </is>
      </c>
    </row>
    <row r="44">
      <c r="B44" s="18" t="inlineStr">
        <is>
          <t>Toko Elektronik</t>
        </is>
      </c>
      <c r="C44" s="18" t="n">
        <v>80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NOT(C44&lt;75)</f>
        <v/>
      </c>
      <c r="H45" s="29" t="inlineStr">
        <is>
          <t>Ketik: =NOT(C44&lt;75)</t>
        </is>
      </c>
    </row>
    <row r="46">
      <c r="B46" s="18" t="inlineStr">
        <is>
          <t>Toko Aksesoris</t>
        </is>
      </c>
      <c r="C46" s="18" t="n">
        <v>90</v>
      </c>
    </row>
    <row r="47">
      <c r="B47" s="18" t="inlineStr">
        <is>
          <t>Toko Servis</t>
        </is>
      </c>
      <c r="C47" s="18" t="n">
        <v>70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Peserta</t>
        </is>
      </c>
      <c r="C51" s="12" t="inlineStr">
        <is>
          <t>Skor Uji</t>
        </is>
      </c>
      <c r="E51" s="25" t="inlineStr">
        <is>
          <t>Persoalan #5: Gunakan rumus NOT untuk membalik logika apakah nilai di C52 kurang dari 75 (C52&lt;75)!</t>
        </is>
      </c>
    </row>
    <row r="52">
      <c r="B52" s="18" t="inlineStr">
        <is>
          <t>Kelas 10 IPA</t>
        </is>
      </c>
      <c r="C52" s="18" t="n">
        <v>80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NOT(C52&lt;75)</f>
        <v/>
      </c>
      <c r="H53" s="29" t="inlineStr">
        <is>
          <t>Ketik: =NOT(C52&lt;75)</t>
        </is>
      </c>
    </row>
    <row r="54">
      <c r="B54" s="18" t="inlineStr">
        <is>
          <t>Kelas 12 IPA</t>
        </is>
      </c>
      <c r="C54" s="18" t="n">
        <v>90</v>
      </c>
    </row>
    <row r="55">
      <c r="B55" s="18" t="inlineStr">
        <is>
          <t>Kelas Unggulan</t>
        </is>
      </c>
      <c r="C55" s="18" t="n">
        <v>70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#034 — RUMUS EXCEL: XOR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(XOR)</t>
        </is>
      </c>
    </row>
    <row r="5" ht="21" customHeight="1">
      <c r="B5" s="12" t="inlineStr">
        <is>
          <t>Nama Rumus Excel</t>
        </is>
      </c>
      <c r="C5" s="13">
        <f>XOR(...)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XOR(logika1, logika2)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Logika Eksklusif OR: menghasilkan TRUE jika tepat salah satu syarat benar, tapi FALSE jika keduanya sama-sama benar atau sama-sama salah.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XOR)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XOR!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'=XOR(B11&gt;=75,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XOR(B11&gt;=75,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XOR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XOR!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XOR(B20&gt;=75, C20&gt;=75)</f>
        <v/>
      </c>
      <c r="H21" s="29" t="inlineStr">
        <is>
          <t>Ketik: =XOR(B20&gt;=75,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XOR!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XOR(B28&gt;=75, C28&gt;=75)</f>
        <v/>
      </c>
      <c r="H29" s="29" t="inlineStr">
        <is>
          <t>Ketik: =XOR(B28&gt;=75,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XOR!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XOR(B36&gt;=75, C36&gt;=75)</f>
        <v/>
      </c>
      <c r="H37" s="29" t="inlineStr">
        <is>
          <t>Ketik: =XOR(B36&gt;=75,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XOR!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XOR(B44&gt;=75, C44&gt;=75)</f>
        <v/>
      </c>
      <c r="H45" s="29" t="inlineStr">
        <is>
          <t>Ketik: =XOR(B44&gt;=75,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XOR!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XOR(B52&gt;=75, C52&gt;=75)</f>
        <v/>
      </c>
      <c r="H53" s="29" t="inlineStr">
        <is>
          <t>Ketik: =XOR(B52&gt;=75,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#035 — RUMUS EXCEL: IFERROR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(IFERROR)</t>
        </is>
      </c>
    </row>
    <row r="5" ht="21" customHeight="1">
      <c r="B5" s="12" t="inlineStr">
        <is>
          <t>Nama Rumus Excel</t>
        </is>
      </c>
      <c r="C5" s="13">
        <f>IFERROR(...)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IFERROR(rumus_utama, nilai_jika_error)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Sabuk pengaman rumus: jika rumus utama menghasilkan pesan error (#N/A, #DIV/0!), otomatis diganti dengan teks rapi seperti 'Data Tidak Ditemukan' atau angka 0.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IFERROR)</t>
        </is>
      </c>
    </row>
    <row r="10">
      <c r="B10" s="16" t="inlineStr">
        <is>
          <t>Item Data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IFERROR untuk menghitung C11/2, dan jika error tampilkan angka 0!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'=IFERROR(C11/2, 0)</t>
        </is>
      </c>
    </row>
    <row r="13">
      <c r="B13" s="18" t="inlineStr">
        <is>
          <t>Cabang Surabaya</t>
        </is>
      </c>
      <c r="C13" s="18" t="n">
        <v>300</v>
      </c>
      <c r="E13" s="19" t="inlineStr">
        <is>
          <t>Hasil Otomatis Excel:</t>
        </is>
      </c>
      <c r="F13" s="22">
        <f>IFERROR(C11/2, 0)</f>
        <v/>
      </c>
    </row>
    <row r="14">
      <c r="B14" s="18" t="inlineStr">
        <is>
          <t>Cabang Medan</t>
        </is>
      </c>
      <c r="C14" s="18" t="n">
        <v>400</v>
      </c>
    </row>
    <row r="16" ht="26" customHeight="1">
      <c r="B16" s="23" t="inlineStr">
        <is>
          <t>3️⃣ 5 PERSOALAN DUNIA NYATA (KETIK RUMUS IFERROR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Data</t>
        </is>
      </c>
      <c r="C19" s="12" t="inlineStr">
        <is>
          <t>Nilai Input</t>
        </is>
      </c>
      <c r="E19" s="25" t="inlineStr">
        <is>
          <t>Persoalan #1: Gunakan IFERROR untuk menghitung C20/2, dan jika error tampilkan angka 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IFERROR(C20/2, 0)</f>
        <v/>
      </c>
      <c r="H21" s="29" t="inlineStr">
        <is>
          <t>Ketik: =IFERROR(C20/2, 0)</t>
        </is>
      </c>
    </row>
    <row r="22">
      <c r="B22" s="18" t="inlineStr">
        <is>
          <t>Cabang Surabaya</t>
        </is>
      </c>
      <c r="C22" s="18" t="n">
        <v>300</v>
      </c>
    </row>
    <row r="23">
      <c r="B23" s="18" t="inlineStr">
        <is>
          <t>Cabang Medan</t>
        </is>
      </c>
      <c r="C23" s="18" t="n">
        <v>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Data</t>
        </is>
      </c>
      <c r="C27" s="12" t="inlineStr">
        <is>
          <t>Nilai Input</t>
        </is>
      </c>
      <c r="E27" s="25" t="inlineStr">
        <is>
          <t>Persoalan #2: Gunakan IFERROR untuk menghitung C28/2, dan jika error tampilkan angka 0!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200</v>
      </c>
      <c r="E29" s="26" t="n"/>
      <c r="F29" s="27">
        <f>IF(ISBLANK(E29), "⏳ Ketik rumus di sel kuning E29", IF(E29=G29, "✅ BENAR! LUAR BIASA!", "❌ Belum Tepat, Cek Kunci"))</f>
        <v/>
      </c>
      <c r="G29" s="28">
        <f>IFERROR(C28/2, 0)</f>
        <v/>
      </c>
      <c r="H29" s="29" t="inlineStr">
        <is>
          <t>Ketik: =IFERROR(C28/2, 0)</t>
        </is>
      </c>
    </row>
    <row r="30">
      <c r="B30" s="18" t="inlineStr">
        <is>
          <t>Andi Pratama</t>
        </is>
      </c>
      <c r="C30" s="18" t="n">
        <v>300</v>
      </c>
    </row>
    <row r="31">
      <c r="B31" s="18" t="inlineStr">
        <is>
          <t>Rina Wijaya</t>
        </is>
      </c>
      <c r="C31" s="18" t="n">
        <v>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Data</t>
        </is>
      </c>
      <c r="C35" s="12" t="inlineStr">
        <is>
          <t>Nilai Input</t>
        </is>
      </c>
      <c r="E35" s="25" t="inlineStr">
        <is>
          <t>Persoalan #3: Gunakan IFERROR untuk menghitung C36/2, dan jika error tampilkan angka 0!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200</v>
      </c>
      <c r="E37" s="26" t="n"/>
      <c r="F37" s="27">
        <f>IF(ISBLANK(E37), "⏳ Ketik rumus di sel kuning E37", IF(E37=G37, "✅ BENAR! LUAR BIASA!", "❌ Belum Tepat, Cek Kunci"))</f>
        <v/>
      </c>
      <c r="G37" s="28">
        <f>IFERROR(C36/2, 0)</f>
        <v/>
      </c>
      <c r="H37" s="29" t="inlineStr">
        <is>
          <t>Ketik: =IFERROR(C36/2, 0)</t>
        </is>
      </c>
    </row>
    <row r="38">
      <c r="B38" s="18" t="inlineStr">
        <is>
          <t>Gudang Blok C</t>
        </is>
      </c>
      <c r="C38" s="18" t="n">
        <v>300</v>
      </c>
    </row>
    <row r="39">
      <c r="B39" s="18" t="inlineStr">
        <is>
          <t>Gudang Blok D</t>
        </is>
      </c>
      <c r="C39" s="18" t="n">
        <v>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Data</t>
        </is>
      </c>
      <c r="C43" s="12" t="inlineStr">
        <is>
          <t>Nilai Input</t>
        </is>
      </c>
      <c r="E43" s="25" t="inlineStr">
        <is>
          <t>Persoalan #4: Gunakan IFERROR untuk menghitung C44/2, dan jika error tampilkan angka 0!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</v>
      </c>
      <c r="E45" s="26" t="n"/>
      <c r="F45" s="27">
        <f>IF(ISBLANK(E45), "⏳ Ketik rumus di sel kuning E45", IF(E45=G45, "✅ BENAR! LUAR BIASA!", "❌ Belum Tepat, Cek Kunci"))</f>
        <v/>
      </c>
      <c r="G45" s="28">
        <f>IFERROR(C44/2, 0)</f>
        <v/>
      </c>
      <c r="H45" s="29" t="inlineStr">
        <is>
          <t>Ketik: =IFERROR(C44/2, 0)</t>
        </is>
      </c>
    </row>
    <row r="46">
      <c r="B46" s="18" t="inlineStr">
        <is>
          <t>Toko Aksesoris</t>
        </is>
      </c>
      <c r="C46" s="18" t="n">
        <v>300</v>
      </c>
    </row>
    <row r="47">
      <c r="B47" s="18" t="inlineStr">
        <is>
          <t>Toko Servis</t>
        </is>
      </c>
      <c r="C47" s="18" t="n">
        <v>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Data</t>
        </is>
      </c>
      <c r="C51" s="12" t="inlineStr">
        <is>
          <t>Nilai Input</t>
        </is>
      </c>
      <c r="E51" s="25" t="inlineStr">
        <is>
          <t>Persoalan #5: Gunakan IFERROR untuk menghitung C52/2, dan jika error tampilkan angka 0!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200</v>
      </c>
      <c r="E53" s="26" t="n"/>
      <c r="F53" s="27">
        <f>IF(ISBLANK(E53), "⏳ Ketik rumus di sel kuning E53", IF(E53=G53, "✅ BENAR! LUAR BIASA!", "❌ Belum Tepat, Cek Kunci"))</f>
        <v/>
      </c>
      <c r="G53" s="28">
        <f>IFERROR(C52/2, 0)</f>
        <v/>
      </c>
      <c r="H53" s="29" t="inlineStr">
        <is>
          <t>Ketik: =IFERROR(C52/2, 0)</t>
        </is>
      </c>
    </row>
    <row r="54">
      <c r="B54" s="18" t="inlineStr">
        <is>
          <t>Kelas 12 IPA</t>
        </is>
      </c>
      <c r="C54" s="18" t="n">
        <v>300</v>
      </c>
    </row>
    <row r="55">
      <c r="B55" s="18" t="inlineStr">
        <is>
          <t>Kelas Unggulan</t>
        </is>
      </c>
      <c r="C55" s="18" t="n">
        <v>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#036 — RUMUS EXCEL: IFNA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(IFNA)</t>
        </is>
      </c>
    </row>
    <row r="5" ht="21" customHeight="1">
      <c r="B5" s="12" t="inlineStr">
        <is>
          <t>Nama Rumus Excel</t>
        </is>
      </c>
      <c r="C5" s="13">
        <f>IFNA(...)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IFNA(nilai, nilai_jika_na)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Khusus menangkap error #N/A pada rumus pencarian VLOOKUP/MATCH agar tampil sopan jika kode barang tidak ditemukan.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IFNA)</t>
        </is>
      </c>
    </row>
    <row r="10">
      <c r="B10" s="16" t="inlineStr">
        <is>
          <t>Item Data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IFNA untuk menghitung C11/2, dan jika error tampilkan angka 0!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'=IFNA(C11/2, 0)</t>
        </is>
      </c>
    </row>
    <row r="13">
      <c r="B13" s="18" t="inlineStr">
        <is>
          <t>Cabang Surabaya</t>
        </is>
      </c>
      <c r="C13" s="18" t="n">
        <v>300</v>
      </c>
      <c r="E13" s="19" t="inlineStr">
        <is>
          <t>Hasil Otomatis Excel:</t>
        </is>
      </c>
      <c r="F13" s="22">
        <f>IFNA(C11/2, 0)</f>
        <v/>
      </c>
    </row>
    <row r="14">
      <c r="B14" s="18" t="inlineStr">
        <is>
          <t>Cabang Medan</t>
        </is>
      </c>
      <c r="C14" s="18" t="n">
        <v>400</v>
      </c>
    </row>
    <row r="16" ht="26" customHeight="1">
      <c r="B16" s="23" t="inlineStr">
        <is>
          <t>3️⃣ 5 PERSOALAN DUNIA NYATA (KETIK RUMUS IFNA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Data</t>
        </is>
      </c>
      <c r="C19" s="12" t="inlineStr">
        <is>
          <t>Nilai Input</t>
        </is>
      </c>
      <c r="E19" s="25" t="inlineStr">
        <is>
          <t>Persoalan #1: Gunakan IFNA untuk menghitung C20/2, dan jika error tampilkan angka 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IFNA(C20/2, 0)</f>
        <v/>
      </c>
      <c r="H21" s="29" t="inlineStr">
        <is>
          <t>Ketik: =IFNA(C20/2, 0)</t>
        </is>
      </c>
    </row>
    <row r="22">
      <c r="B22" s="18" t="inlineStr">
        <is>
          <t>Cabang Surabaya</t>
        </is>
      </c>
      <c r="C22" s="18" t="n">
        <v>300</v>
      </c>
    </row>
    <row r="23">
      <c r="B23" s="18" t="inlineStr">
        <is>
          <t>Cabang Medan</t>
        </is>
      </c>
      <c r="C23" s="18" t="n">
        <v>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Data</t>
        </is>
      </c>
      <c r="C27" s="12" t="inlineStr">
        <is>
          <t>Nilai Input</t>
        </is>
      </c>
      <c r="E27" s="25" t="inlineStr">
        <is>
          <t>Persoalan #2: Gunakan IFNA untuk menghitung C28/2, dan jika error tampilkan angka 0!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200</v>
      </c>
      <c r="E29" s="26" t="n"/>
      <c r="F29" s="27">
        <f>IF(ISBLANK(E29), "⏳ Ketik rumus di sel kuning E29", IF(E29=G29, "✅ BENAR! LUAR BIASA!", "❌ Belum Tepat, Cek Kunci"))</f>
        <v/>
      </c>
      <c r="G29" s="28">
        <f>IFNA(C28/2, 0)</f>
        <v/>
      </c>
      <c r="H29" s="29" t="inlineStr">
        <is>
          <t>Ketik: =IFNA(C28/2, 0)</t>
        </is>
      </c>
    </row>
    <row r="30">
      <c r="B30" s="18" t="inlineStr">
        <is>
          <t>Andi Pratama</t>
        </is>
      </c>
      <c r="C30" s="18" t="n">
        <v>300</v>
      </c>
    </row>
    <row r="31">
      <c r="B31" s="18" t="inlineStr">
        <is>
          <t>Rina Wijaya</t>
        </is>
      </c>
      <c r="C31" s="18" t="n">
        <v>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Data</t>
        </is>
      </c>
      <c r="C35" s="12" t="inlineStr">
        <is>
          <t>Nilai Input</t>
        </is>
      </c>
      <c r="E35" s="25" t="inlineStr">
        <is>
          <t>Persoalan #3: Gunakan IFNA untuk menghitung C36/2, dan jika error tampilkan angka 0!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200</v>
      </c>
      <c r="E37" s="26" t="n"/>
      <c r="F37" s="27">
        <f>IF(ISBLANK(E37), "⏳ Ketik rumus di sel kuning E37", IF(E37=G37, "✅ BENAR! LUAR BIASA!", "❌ Belum Tepat, Cek Kunci"))</f>
        <v/>
      </c>
      <c r="G37" s="28">
        <f>IFNA(C36/2, 0)</f>
        <v/>
      </c>
      <c r="H37" s="29" t="inlineStr">
        <is>
          <t>Ketik: =IFNA(C36/2, 0)</t>
        </is>
      </c>
    </row>
    <row r="38">
      <c r="B38" s="18" t="inlineStr">
        <is>
          <t>Gudang Blok C</t>
        </is>
      </c>
      <c r="C38" s="18" t="n">
        <v>300</v>
      </c>
    </row>
    <row r="39">
      <c r="B39" s="18" t="inlineStr">
        <is>
          <t>Gudang Blok D</t>
        </is>
      </c>
      <c r="C39" s="18" t="n">
        <v>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Data</t>
        </is>
      </c>
      <c r="C43" s="12" t="inlineStr">
        <is>
          <t>Nilai Input</t>
        </is>
      </c>
      <c r="E43" s="25" t="inlineStr">
        <is>
          <t>Persoalan #4: Gunakan IFNA untuk menghitung C44/2, dan jika error tampilkan angka 0!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</v>
      </c>
      <c r="E45" s="26" t="n"/>
      <c r="F45" s="27">
        <f>IF(ISBLANK(E45), "⏳ Ketik rumus di sel kuning E45", IF(E45=G45, "✅ BENAR! LUAR BIASA!", "❌ Belum Tepat, Cek Kunci"))</f>
        <v/>
      </c>
      <c r="G45" s="28">
        <f>IFNA(C44/2, 0)</f>
        <v/>
      </c>
      <c r="H45" s="29" t="inlineStr">
        <is>
          <t>Ketik: =IFNA(C44/2, 0)</t>
        </is>
      </c>
    </row>
    <row r="46">
      <c r="B46" s="18" t="inlineStr">
        <is>
          <t>Toko Aksesoris</t>
        </is>
      </c>
      <c r="C46" s="18" t="n">
        <v>300</v>
      </c>
    </row>
    <row r="47">
      <c r="B47" s="18" t="inlineStr">
        <is>
          <t>Toko Servis</t>
        </is>
      </c>
      <c r="C47" s="18" t="n">
        <v>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Data</t>
        </is>
      </c>
      <c r="C51" s="12" t="inlineStr">
        <is>
          <t>Nilai Input</t>
        </is>
      </c>
      <c r="E51" s="25" t="inlineStr">
        <is>
          <t>Persoalan #5: Gunakan IFNA untuk menghitung C52/2, dan jika error tampilkan angka 0!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200</v>
      </c>
      <c r="E53" s="26" t="n"/>
      <c r="F53" s="27">
        <f>IF(ISBLANK(E53), "⏳ Ketik rumus di sel kuning E53", IF(E53=G53, "✅ BENAR! LUAR BIASA!", "❌ Belum Tepat, Cek Kunci"))</f>
        <v/>
      </c>
      <c r="G53" s="28">
        <f>IFNA(C52/2, 0)</f>
        <v/>
      </c>
      <c r="H53" s="29" t="inlineStr">
        <is>
          <t>Ketik: =IFNA(C52/2, 0)</t>
        </is>
      </c>
    </row>
    <row r="54">
      <c r="B54" s="18" t="inlineStr">
        <is>
          <t>Kelas 12 IPA</t>
        </is>
      </c>
      <c r="C54" s="18" t="n">
        <v>300</v>
      </c>
    </row>
    <row r="55">
      <c r="B55" s="18" t="inlineStr">
        <is>
          <t>Kelas Unggulan</t>
        </is>
      </c>
      <c r="C55" s="18" t="n">
        <v>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#037 — RUMUS EXCEL: TRUE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(TRUE)</t>
        </is>
      </c>
    </row>
    <row r="5" ht="21" customHeight="1">
      <c r="B5" s="12" t="inlineStr">
        <is>
          <t>Nama Rumus Excel</t>
        </is>
      </c>
      <c r="C5" s="13">
        <f>TRUE(...)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TRUE()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nilai logika benar (TRUE) untuk pengujian kondisi.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TRUE)</t>
        </is>
      </c>
    </row>
    <row r="10">
      <c r="B10" s="16" t="inlineStr">
        <is>
          <t>Item</t>
        </is>
      </c>
      <c r="C10" s="16" t="inlineStr">
        <is>
          <t>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Ketikkan fungsi logika TRUE() secara langsung di sel kuning!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'=TRUE()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TRUE()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TRUE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</t>
        </is>
      </c>
      <c r="C19" s="12" t="inlineStr">
        <is>
          <t>Nilai</t>
        </is>
      </c>
      <c r="E19" s="25" t="inlineStr">
        <is>
          <t>Persoalan #1: Ketikkan fungsi logika TRUE() secara langsung di sel kuning!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TRUE()</f>
        <v/>
      </c>
      <c r="H21" s="29" t="inlineStr">
        <is>
          <t>Ketik: =TRUE()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</t>
        </is>
      </c>
      <c r="C27" s="12" t="inlineStr">
        <is>
          <t>Nilai</t>
        </is>
      </c>
      <c r="E27" s="25" t="inlineStr">
        <is>
          <t>Persoalan #2: Ketikkan fungsi logika TRUE() secara langsung di sel kuning!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TRUE()</f>
        <v/>
      </c>
      <c r="H29" s="29" t="inlineStr">
        <is>
          <t>Ketik: =TRUE()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</t>
        </is>
      </c>
      <c r="C35" s="12" t="inlineStr">
        <is>
          <t>Nilai</t>
        </is>
      </c>
      <c r="E35" s="25" t="inlineStr">
        <is>
          <t>Persoalan #3: Ketikkan fungsi logika TRUE() secara langsung di sel kuning!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TRUE()</f>
        <v/>
      </c>
      <c r="H37" s="29" t="inlineStr">
        <is>
          <t>Ketik: =TRUE()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</t>
        </is>
      </c>
      <c r="C43" s="12" t="inlineStr">
        <is>
          <t>Nilai</t>
        </is>
      </c>
      <c r="E43" s="25" t="inlineStr">
        <is>
          <t>Persoalan #4: Ketikkan fungsi logika TRUE() secara langsung di sel kuning!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TRUE()</f>
        <v/>
      </c>
      <c r="H45" s="29" t="inlineStr">
        <is>
          <t>Ketik: =TRUE()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</t>
        </is>
      </c>
      <c r="C51" s="12" t="inlineStr">
        <is>
          <t>Nilai</t>
        </is>
      </c>
      <c r="E51" s="25" t="inlineStr">
        <is>
          <t>Persoalan #5: Ketikkan fungsi logika TRUE() secara langsung di sel kuning!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TRUE()</f>
        <v/>
      </c>
      <c r="H53" s="29" t="inlineStr">
        <is>
          <t>Ketik: =TRUE()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#038 — RUMUS EXCEL: FALSE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(FALSE)</t>
        </is>
      </c>
    </row>
    <row r="5" ht="21" customHeight="1">
      <c r="B5" s="12" t="inlineStr">
        <is>
          <t>Nama Rumus Excel</t>
        </is>
      </c>
      <c r="C5" s="13">
        <f>FALSE(...)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FALSE()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nilai logika salah (FALSE) untuk pengujian kondisi.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FALSE)</t>
        </is>
      </c>
    </row>
    <row r="10">
      <c r="B10" s="16" t="inlineStr">
        <is>
          <t>Item</t>
        </is>
      </c>
      <c r="C10" s="16" t="inlineStr">
        <is>
          <t>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Ketikkan fungsi logika FALSE() secara langsung di sel kuning!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'=FALSE()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FALSE()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FALSE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</t>
        </is>
      </c>
      <c r="C19" s="12" t="inlineStr">
        <is>
          <t>Nilai</t>
        </is>
      </c>
      <c r="E19" s="25" t="inlineStr">
        <is>
          <t>Persoalan #1: Ketikkan fungsi logika FALSE() secara langsung di sel kuning!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FALSE()</f>
        <v/>
      </c>
      <c r="H21" s="29" t="inlineStr">
        <is>
          <t>Ketik: =FALSE()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</t>
        </is>
      </c>
      <c r="C27" s="12" t="inlineStr">
        <is>
          <t>Nilai</t>
        </is>
      </c>
      <c r="E27" s="25" t="inlineStr">
        <is>
          <t>Persoalan #2: Ketikkan fungsi logika FALSE() secara langsung di sel kuning!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FALSE()</f>
        <v/>
      </c>
      <c r="H29" s="29" t="inlineStr">
        <is>
          <t>Ketik: =FALSE()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</t>
        </is>
      </c>
      <c r="C35" s="12" t="inlineStr">
        <is>
          <t>Nilai</t>
        </is>
      </c>
      <c r="E35" s="25" t="inlineStr">
        <is>
          <t>Persoalan #3: Ketikkan fungsi logika FALSE() secara langsung di sel kuning!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FALSE()</f>
        <v/>
      </c>
      <c r="H37" s="29" t="inlineStr">
        <is>
          <t>Ketik: =FALSE()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</t>
        </is>
      </c>
      <c r="C43" s="12" t="inlineStr">
        <is>
          <t>Nilai</t>
        </is>
      </c>
      <c r="E43" s="25" t="inlineStr">
        <is>
          <t>Persoalan #4: Ketikkan fungsi logika FALSE() secara langsung di sel kuning!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FALSE()</f>
        <v/>
      </c>
      <c r="H45" s="29" t="inlineStr">
        <is>
          <t>Ketik: =FALSE()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</t>
        </is>
      </c>
      <c r="C51" s="12" t="inlineStr">
        <is>
          <t>Nilai</t>
        </is>
      </c>
      <c r="E51" s="25" t="inlineStr">
        <is>
          <t>Persoalan #5: Ketikkan fungsi logika FALSE() secara langsung di sel kuning!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FALSE()</f>
        <v/>
      </c>
      <c r="H53" s="29" t="inlineStr">
        <is>
          <t>Ketik: =FALSE()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#039 — RUMUS EXCEL: VLOOKUP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(VLOOKUP)</t>
        </is>
      </c>
    </row>
    <row r="5" ht="21" customHeight="1">
      <c r="B5" s="12" t="inlineStr">
        <is>
          <t>Nama Rumus Excel</t>
        </is>
      </c>
      <c r="C5" s="13">
        <f>VLOOKUP(...)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VLOOKUP(nilai_dicari, tabel_referensi, nomor_kolom, FALSE)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data secara VERTIKAL (dari atas ke bawah) di kolom paling kiri tabel, lalu mengambil data di sebelah kanannya (Misal: ketik NIP, otomatis muncul Nama &amp; Gaji!).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VLOOKUP)</t>
        </is>
      </c>
    </row>
    <row r="10">
      <c r="B10" s="16" t="inlineStr">
        <is>
          <t>Kode Barang (Kol 1)</t>
        </is>
      </c>
      <c r="C10" s="16" t="inlineStr">
        <is>
          <t>Harga Barang (Kol 2)</t>
        </is>
      </c>
      <c r="E10" s="17" t="inlineStr">
        <is>
          <t>💡 CONTOH RUMUS YANG SUDAH TERPASANG AKTIF:</t>
        </is>
      </c>
    </row>
    <row r="11">
      <c r="B11" s="18" t="inlineStr">
        <is>
          <t>K01</t>
        </is>
      </c>
      <c r="C11" s="18" t="n">
        <v>1250000</v>
      </c>
      <c r="E11" s="19" t="inlineStr">
        <is>
          <t>Kasus Contoh:</t>
        </is>
      </c>
      <c r="F11" s="20" t="inlineStr">
        <is>
          <t>Gunakan VLOOKUP untuk mencari kode "K01" pada tabel B11:C14, ambil kolom ke-2, dengan FALSE (exact match)!</t>
        </is>
      </c>
    </row>
    <row r="12">
      <c r="B12" s="18" t="inlineStr">
        <is>
          <t>K02</t>
        </is>
      </c>
      <c r="C12" s="18" t="n">
        <v>1850000</v>
      </c>
      <c r="E12" s="19" t="inlineStr">
        <is>
          <t>Rumus yang Diketik:</t>
        </is>
      </c>
      <c r="F12" s="21" t="inlineStr">
        <is>
          <t>'=VLOOKUP("K01", B11:C14, 2, FALSE)</t>
        </is>
      </c>
    </row>
    <row r="13">
      <c r="B13" s="18" t="inlineStr">
        <is>
          <t>K03</t>
        </is>
      </c>
      <c r="C13" s="18" t="n">
        <v>2100000</v>
      </c>
      <c r="E13" s="19" t="inlineStr">
        <is>
          <t>Hasil Otomatis Excel:</t>
        </is>
      </c>
      <c r="F13" s="22">
        <f>VLOOKUP("K01", B11:C14, 2, FALSE)</f>
        <v/>
      </c>
    </row>
    <row r="14">
      <c r="B14" s="18" t="inlineStr">
        <is>
          <t>K04</t>
        </is>
      </c>
      <c r="C14" s="18" t="n">
        <v>1600000</v>
      </c>
    </row>
    <row r="16" ht="26" customHeight="1">
      <c r="B16" s="23" t="inlineStr">
        <is>
          <t>3️⃣ 5 PERSOALAN DUNIA NYATA (KETIK RUMUS VLOOKUP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Kode Barang (Kol 1)</t>
        </is>
      </c>
      <c r="C19" s="12" t="inlineStr">
        <is>
          <t>Harga Barang (Kol 2)</t>
        </is>
      </c>
      <c r="E19" s="25" t="inlineStr">
        <is>
          <t>Persoalan #1: Gunakan VLOOKUP untuk mencari kode "K01" pada tabel B20:C23, ambil kolom ke-2, dengan FALSE (exact match)!</t>
        </is>
      </c>
    </row>
    <row r="20">
      <c r="B20" s="18" t="inlineStr">
        <is>
          <t>K01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K02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VLOOKUP("K01", B20:C23, 2, FALSE)</f>
        <v/>
      </c>
      <c r="H21" s="29" t="inlineStr">
        <is>
          <t>Ketik: =VLOOKUP("K01", B20:C23, 2, FALSE)</t>
        </is>
      </c>
    </row>
    <row r="22">
      <c r="B22" s="18" t="inlineStr">
        <is>
          <t>K03</t>
        </is>
      </c>
      <c r="C22" s="18" t="n">
        <v>2100000</v>
      </c>
    </row>
    <row r="23">
      <c r="B23" s="18" t="inlineStr">
        <is>
          <t>K04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Kode Barang (Kol 1)</t>
        </is>
      </c>
      <c r="C27" s="12" t="inlineStr">
        <is>
          <t>Harga Barang (Kol 2)</t>
        </is>
      </c>
      <c r="E27" s="25" t="inlineStr">
        <is>
          <t>Persoalan #2: Gunakan VLOOKUP untuk mencari kode "K02" pada tabel B28:C31, ambil kolom ke-2, dengan FALSE (exact match)!</t>
        </is>
      </c>
    </row>
    <row r="28">
      <c r="B28" s="18" t="inlineStr">
        <is>
          <t>K01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K02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VLOOKUP("K02", B28:C31, 2, FALSE)</f>
        <v/>
      </c>
      <c r="H29" s="29" t="inlineStr">
        <is>
          <t>Ketik: =VLOOKUP("K02", B28:C31, 2, FALSE)</t>
        </is>
      </c>
    </row>
    <row r="30">
      <c r="B30" s="18" t="inlineStr">
        <is>
          <t>K03</t>
        </is>
      </c>
      <c r="C30" s="18" t="n">
        <v>4800000</v>
      </c>
    </row>
    <row r="31">
      <c r="B31" s="18" t="inlineStr">
        <is>
          <t>K04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Kode Barang (Kol 1)</t>
        </is>
      </c>
      <c r="C35" s="12" t="inlineStr">
        <is>
          <t>Harga Barang (Kol 2)</t>
        </is>
      </c>
      <c r="E35" s="25" t="inlineStr">
        <is>
          <t>Persoalan #3: Gunakan VLOOKUP untuk mencari kode "K03" pada tabel B36:C39, ambil kolom ke-2, dengan FALSE (exact match)!</t>
        </is>
      </c>
    </row>
    <row r="36">
      <c r="B36" s="18" t="inlineStr">
        <is>
          <t>K01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K02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VLOOKUP("K03", B36:C39, 2, FALSE)</f>
        <v/>
      </c>
      <c r="H37" s="29" t="inlineStr">
        <is>
          <t>Ketik: =VLOOKUP("K03", B36:C39, 2, FALSE)</t>
        </is>
      </c>
    </row>
    <row r="38">
      <c r="B38" s="18" t="inlineStr">
        <is>
          <t>K03</t>
        </is>
      </c>
      <c r="C38" s="18" t="n">
        <v>195</v>
      </c>
    </row>
    <row r="39">
      <c r="B39" s="18" t="inlineStr">
        <is>
          <t>K04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Kode Barang (Kol 1)</t>
        </is>
      </c>
      <c r="C43" s="12" t="inlineStr">
        <is>
          <t>Harga Barang (Kol 2)</t>
        </is>
      </c>
      <c r="E43" s="25" t="inlineStr">
        <is>
          <t>Persoalan #4: Gunakan VLOOKUP untuk mencari kode "K04" pada tabel B44:C47, ambil kolom ke-2, dengan FALSE (exact match)!</t>
        </is>
      </c>
    </row>
    <row r="44">
      <c r="B44" s="18" t="inlineStr">
        <is>
          <t>K01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K02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VLOOKUP("K04", B44:C47, 2, FALSE)</f>
        <v/>
      </c>
      <c r="H45" s="29" t="inlineStr">
        <is>
          <t>Ketik: =VLOOKUP("K04", B44:C47, 2, FALSE)</t>
        </is>
      </c>
    </row>
    <row r="46">
      <c r="B46" s="18" t="inlineStr">
        <is>
          <t>K03</t>
        </is>
      </c>
      <c r="C46" s="18" t="n">
        <v>78</v>
      </c>
    </row>
    <row r="47">
      <c r="B47" s="18" t="inlineStr">
        <is>
          <t>K04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Kode Barang (Kol 1)</t>
        </is>
      </c>
      <c r="C51" s="12" t="inlineStr">
        <is>
          <t>Harga Barang (Kol 2)</t>
        </is>
      </c>
      <c r="E51" s="25" t="inlineStr">
        <is>
          <t>Persoalan #5: Gunakan VLOOKUP untuk mencari kode "K01" pada tabel B52:C55, ambil kolom ke-2, dengan FALSE (exact match)!</t>
        </is>
      </c>
    </row>
    <row r="52">
      <c r="B52" s="18" t="inlineStr">
        <is>
          <t>K01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K02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VLOOKUP("K01", B52:C55, 2, FALSE)</f>
        <v/>
      </c>
      <c r="H53" s="29" t="inlineStr">
        <is>
          <t>Ketik: =VLOOKUP("K01", B52:C55, 2, FALSE)</t>
        </is>
      </c>
    </row>
    <row r="54">
      <c r="B54" s="18" t="inlineStr">
        <is>
          <t>K03</t>
        </is>
      </c>
      <c r="C54" s="18" t="n">
        <v>91</v>
      </c>
    </row>
    <row r="55">
      <c r="B55" s="18" t="inlineStr">
        <is>
          <t>K04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#040 — RUMUS EXCEL: HLOOKUP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(HLOOKUP)</t>
        </is>
      </c>
    </row>
    <row r="5" ht="21" customHeight="1">
      <c r="B5" s="12" t="inlineStr">
        <is>
          <t>Nama Rumus Excel</t>
        </is>
      </c>
      <c r="C5" s="13">
        <f>HLOOKUP(...)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HLOOKUP(nilai_dicari, tabel_referensi, nomor_baris, FALSE)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data secara HORIZONTAL (menyamping di baris paling atas), lalu mengambil data di baris bawahnya.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HLOOKUP)</t>
        </is>
      </c>
    </row>
    <row r="10">
      <c r="B10" s="16" t="inlineStr">
        <is>
          <t>Baris Data</t>
        </is>
      </c>
      <c r="C10" s="16" t="inlineStr">
        <is>
          <t>Nilai Tabel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HLOOKUP untuk mencari nilai C11 pada blok C11:C14 dan mengambil baris ke-2!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'=HLOOKUP(C11, C11:C14, 2, FALSE)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HLOOKUP(C11, C11:C14, 2, FALSE)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HLOOKUP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Baris Data</t>
        </is>
      </c>
      <c r="C19" s="12" t="inlineStr">
        <is>
          <t>Nilai Tabel</t>
        </is>
      </c>
      <c r="E19" s="25" t="inlineStr">
        <is>
          <t>Persoalan #1: Gunakan HLOOKUP untuk mencari nilai C20 pada blok C20:C23 dan mengambil baris ke-2!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HLOOKUP(C20, C20:C23, 2, FALSE)</f>
        <v/>
      </c>
      <c r="H21" s="29" t="inlineStr">
        <is>
          <t>Ketik: =HLOOKUP(C20, C20:C23, 2, FALSE)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Baris Data</t>
        </is>
      </c>
      <c r="C27" s="12" t="inlineStr">
        <is>
          <t>Nilai Tabel</t>
        </is>
      </c>
      <c r="E27" s="25" t="inlineStr">
        <is>
          <t>Persoalan #2: Gunakan HLOOKUP untuk mencari nilai C28 pada blok C28:C31 dan mengambil baris ke-2!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HLOOKUP(C28, C28:C31, 2, FALSE)</f>
        <v/>
      </c>
      <c r="H29" s="29" t="inlineStr">
        <is>
          <t>Ketik: =HLOOKUP(C28, C28:C31, 2, FALSE)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Baris Data</t>
        </is>
      </c>
      <c r="C35" s="12" t="inlineStr">
        <is>
          <t>Nilai Tabel</t>
        </is>
      </c>
      <c r="E35" s="25" t="inlineStr">
        <is>
          <t>Persoalan #3: Gunakan HLOOKUP untuk mencari nilai C36 pada blok C36:C39 dan mengambil baris ke-2!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HLOOKUP(C36, C36:C39, 2, FALSE)</f>
        <v/>
      </c>
      <c r="H37" s="29" t="inlineStr">
        <is>
          <t>Ketik: =HLOOKUP(C36, C36:C39, 2, FALSE)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Baris Data</t>
        </is>
      </c>
      <c r="C43" s="12" t="inlineStr">
        <is>
          <t>Nilai Tabel</t>
        </is>
      </c>
      <c r="E43" s="25" t="inlineStr">
        <is>
          <t>Persoalan #4: Gunakan HLOOKUP untuk mencari nilai C44 pada blok C44:C47 dan mengambil baris ke-2!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HLOOKUP(C44, C44:C47, 2, FALSE)</f>
        <v/>
      </c>
      <c r="H45" s="29" t="inlineStr">
        <is>
          <t>Ketik: =HLOOKUP(C44, C44:C47, 2, FALSE)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Baris Data</t>
        </is>
      </c>
      <c r="C51" s="12" t="inlineStr">
        <is>
          <t>Nilai Tabel</t>
        </is>
      </c>
      <c r="E51" s="25" t="inlineStr">
        <is>
          <t>Persoalan #5: Gunakan HLOOKUP untuk mencari nilai C52 pada blok C52:C55 dan mengambil baris ke-2!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HLOOKUP(C52, C52:C55, 2, FALSE)</f>
        <v/>
      </c>
      <c r="H53" s="29" t="inlineStr">
        <is>
          <t>Ketik: =HLOOKUP(C52, C52:C55, 2, FALSE)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#041 — RUMUS EXCEL: INDEX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(INDEX)</t>
        </is>
      </c>
    </row>
    <row r="5" ht="21" customHeight="1">
      <c r="B5" s="12" t="inlineStr">
        <is>
          <t>Nama Rumus Excel</t>
        </is>
      </c>
      <c r="C5" s="13">
        <f>INDEX(...)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INDEX(range_tabel, nomor_baris, [nomor_kolom])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isi sel berdasarkan koordinat nomor baris dan nomor kolom seperti menunjuk peta harta karun.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INDEX)</t>
        </is>
      </c>
    </row>
    <row r="10">
      <c r="B10" s="16" t="inlineStr">
        <is>
          <t>Nama Item</t>
        </is>
      </c>
      <c r="C10" s="16" t="inlineStr">
        <is>
          <t>Data 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INDEX untuk mengambil data urutan baris ke-1 dari rentang C11:C14!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'=INDEX(C11:C14, 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INDEX(C11:C14, 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INDEX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Item</t>
        </is>
      </c>
      <c r="C19" s="12" t="inlineStr">
        <is>
          <t>Data Nilai</t>
        </is>
      </c>
      <c r="E19" s="25" t="inlineStr">
        <is>
          <t>Persoalan #1: Gunakan rumus INDEX untuk mengambil data urutan baris ke-1 dari rentang C20:C23!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INDEX(C20:C23, 1)</f>
        <v/>
      </c>
      <c r="H21" s="29" t="inlineStr">
        <is>
          <t>Ketik: =INDEX(C20:C23, 1)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Item</t>
        </is>
      </c>
      <c r="C27" s="12" t="inlineStr">
        <is>
          <t>Data Nilai</t>
        </is>
      </c>
      <c r="E27" s="25" t="inlineStr">
        <is>
          <t>Persoalan #2: Gunakan rumus INDEX untuk mengambil data urutan baris ke-2 dari rentang C28:C31!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INDEX(C28:C31, 2)</f>
        <v/>
      </c>
      <c r="H29" s="29" t="inlineStr">
        <is>
          <t>Ketik: =INDEX(C28:C31, 2)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Item</t>
        </is>
      </c>
      <c r="C35" s="12" t="inlineStr">
        <is>
          <t>Data Nilai</t>
        </is>
      </c>
      <c r="E35" s="25" t="inlineStr">
        <is>
          <t>Persoalan #3: Gunakan rumus INDEX untuk mengambil data urutan baris ke-3 dari rentang C36:C39!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INDEX(C36:C39, 3)</f>
        <v/>
      </c>
      <c r="H37" s="29" t="inlineStr">
        <is>
          <t>Ketik: =INDEX(C36:C39, 3)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Item</t>
        </is>
      </c>
      <c r="C43" s="12" t="inlineStr">
        <is>
          <t>Data Nilai</t>
        </is>
      </c>
      <c r="E43" s="25" t="inlineStr">
        <is>
          <t>Persoalan #4: Gunakan rumus INDEX untuk mengambil data urutan baris ke-4 dari rentang C44:C47!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INDEX(C44:C47, 4)</f>
        <v/>
      </c>
      <c r="H45" s="29" t="inlineStr">
        <is>
          <t>Ketik: =INDEX(C44:C47, 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Item</t>
        </is>
      </c>
      <c r="C51" s="12" t="inlineStr">
        <is>
          <t>Data Nilai</t>
        </is>
      </c>
      <c r="E51" s="25" t="inlineStr">
        <is>
          <t>Persoalan #5: Gunakan rumus INDEX untuk mengambil data urutan baris ke-1 dari rentang C52:C55!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INDEX(C52:C55, 1)</f>
        <v/>
      </c>
      <c r="H53" s="29" t="inlineStr">
        <is>
          <t>Ketik: =INDEX(C52:C55, 1)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#042 — RUMUS EXCEL: MATCH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(MATCH)</t>
        </is>
      </c>
    </row>
    <row r="5" ht="21" customHeight="1">
      <c r="B5" s="12" t="inlineStr">
        <is>
          <t>Nama Rumus Excel</t>
        </is>
      </c>
      <c r="C5" s="13">
        <f>MATCH(...)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MATCH(nilai_dicari, range_satu_kolom, 0)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tahu suatu barang berada di urutan BARIS KE BERAPA di dalam daftar.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MATCH)</t>
        </is>
      </c>
    </row>
    <row r="10">
      <c r="B10" s="16" t="inlineStr">
        <is>
          <t>Daftar Nama</t>
        </is>
      </c>
      <c r="C10" s="16" t="inlineStr">
        <is>
          <t>Skor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MATCH untuk mencari posisi baris dari "Cabang Jakarta" di dalam rentang B11:B14 (tipe 0)!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'=MATCH("Cabang Jakarta", B11:B14, 0)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MATCH("Cabang Jakarta", B11:B14, 0)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MATCH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Daftar Nama</t>
        </is>
      </c>
      <c r="C19" s="12" t="inlineStr">
        <is>
          <t>Skor</t>
        </is>
      </c>
      <c r="E19" s="25" t="inlineStr">
        <is>
          <t>Persoalan #1: Gunakan rumus MATCH untuk mencari posisi baris dari "Cabang Jakarta" di dalam rentang B20:B23 (tipe 0)!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MATCH("Cabang Jakarta", B20:B23, 0)</f>
        <v/>
      </c>
      <c r="H21" s="29" t="inlineStr">
        <is>
          <t>Ketik: =MATCH("Cabang Jakarta", B20:B23, 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Daftar Nama</t>
        </is>
      </c>
      <c r="C27" s="12" t="inlineStr">
        <is>
          <t>Skor</t>
        </is>
      </c>
      <c r="E27" s="25" t="inlineStr">
        <is>
          <t>Persoalan #2: Gunakan rumus MATCH untuk mencari posisi baris dari "Siti Aminah" di dalam rentang B28:B31 (tipe 0)!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MATCH("Siti Aminah", B28:B31, 0)</f>
        <v/>
      </c>
      <c r="H29" s="29" t="inlineStr">
        <is>
          <t>Ketik: =MATCH("Siti Aminah", B28:B31, 0)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Daftar Nama</t>
        </is>
      </c>
      <c r="C35" s="12" t="inlineStr">
        <is>
          <t>Skor</t>
        </is>
      </c>
      <c r="E35" s="25" t="inlineStr">
        <is>
          <t>Persoalan #3: Gunakan rumus MATCH untuk mencari posisi baris dari "Gudang Blok C" di dalam rentang B36:B39 (tipe 0)!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MATCH("Gudang Blok C", B36:B39, 0)</f>
        <v/>
      </c>
      <c r="H37" s="29" t="inlineStr">
        <is>
          <t>Ketik: =MATCH("Gudang Blok C", B36:B39, 0)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Daftar Nama</t>
        </is>
      </c>
      <c r="C43" s="12" t="inlineStr">
        <is>
          <t>Skor</t>
        </is>
      </c>
      <c r="E43" s="25" t="inlineStr">
        <is>
          <t>Persoalan #4: Gunakan rumus MATCH untuk mencari posisi baris dari "Toko Servis" di dalam rentang B44:B47 (tipe 0)!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MATCH("Toko Servis", B44:B47, 0)</f>
        <v/>
      </c>
      <c r="H45" s="29" t="inlineStr">
        <is>
          <t>Ketik: =MATCH("Toko Servis", B44:B47, 0)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Daftar Nama</t>
        </is>
      </c>
      <c r="C51" s="12" t="inlineStr">
        <is>
          <t>Skor</t>
        </is>
      </c>
      <c r="E51" s="25" t="inlineStr">
        <is>
          <t>Persoalan #5: Gunakan rumus MATCH untuk mencari posisi baris dari "Kelas 10 IPA" di dalam rentang B52:B55 (tipe 0)!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MATCH("Kelas 10 IPA", B52:B55, 0)</f>
        <v/>
      </c>
      <c r="H53" s="29" t="inlineStr">
        <is>
          <t>Ketik: =MATCH("Kelas 10 IPA", B52:B55, 0)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#043 — RUMUS EXCEL: CHOOSE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(CHOOSE)</t>
        </is>
      </c>
    </row>
    <row r="5" ht="21" customHeight="1">
      <c r="B5" s="12" t="inlineStr">
        <is>
          <t>Nama Rumus Excel</t>
        </is>
      </c>
      <c r="C5" s="13">
        <f>CHOOSE(...)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CHOOSE(nomor_pilihan, nilai1, nilai2, nilai3,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Memilih hadiah/item dari daftar berdasarkan nomor urut yang ditunjuk (Jika pilih 1 keluar Emas, 2 Perak, 3 Perunggu).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CHOOSE)</t>
        </is>
      </c>
    </row>
    <row r="10">
      <c r="B10" s="16" t="inlineStr">
        <is>
          <t>Opsi Paket</t>
        </is>
      </c>
      <c r="C10" s="16" t="inlineStr">
        <is>
          <t>Nilai Paket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CHOOSE untuk memilih pilihan ke-1 dari daftar sel C11, C12, C13!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'=CHOOSE(1, C11, C12, C13)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CHOOSE(1, C11, C12, C13)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CHOOSE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Opsi Paket</t>
        </is>
      </c>
      <c r="C19" s="12" t="inlineStr">
        <is>
          <t>Nilai Paket</t>
        </is>
      </c>
      <c r="E19" s="25" t="inlineStr">
        <is>
          <t>Persoalan #1: Gunakan CHOOSE untuk memilih pilihan ke-1 dari daftar sel C20, C21, C22!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CHOOSE(1, C20, C21, C22)</f>
        <v/>
      </c>
      <c r="H21" s="29" t="inlineStr">
        <is>
          <t>Ketik: =CHOOSE(1, C20, C21, C22)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Opsi Paket</t>
        </is>
      </c>
      <c r="C27" s="12" t="inlineStr">
        <is>
          <t>Nilai Paket</t>
        </is>
      </c>
      <c r="E27" s="25" t="inlineStr">
        <is>
          <t>Persoalan #2: Gunakan CHOOSE untuk memilih pilihan ke-2 dari daftar sel C28, C29, C30!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CHOOSE(2, C28, C29, C30)</f>
        <v/>
      </c>
      <c r="H29" s="29" t="inlineStr">
        <is>
          <t>Ketik: =CHOOSE(2, C28, C29, C30)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Opsi Paket</t>
        </is>
      </c>
      <c r="C35" s="12" t="inlineStr">
        <is>
          <t>Nilai Paket</t>
        </is>
      </c>
      <c r="E35" s="25" t="inlineStr">
        <is>
          <t>Persoalan #3: Gunakan CHOOSE untuk memilih pilihan ke-3 dari daftar sel C36, C37, C38!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CHOOSE(3, C36, C37, C38)</f>
        <v/>
      </c>
      <c r="H37" s="29" t="inlineStr">
        <is>
          <t>Ketik: =CHOOSE(3, C36, C37, C38)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Opsi Paket</t>
        </is>
      </c>
      <c r="C43" s="12" t="inlineStr">
        <is>
          <t>Nilai Paket</t>
        </is>
      </c>
      <c r="E43" s="25" t="inlineStr">
        <is>
          <t>Persoalan #4: Gunakan CHOOSE untuk memilih pilihan ke-1 dari daftar sel C44, C45, C46!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CHOOSE(1, C44, C45, C46)</f>
        <v/>
      </c>
      <c r="H45" s="29" t="inlineStr">
        <is>
          <t>Ketik: =CHOOSE(1, C44, C45, C46)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Opsi Paket</t>
        </is>
      </c>
      <c r="C51" s="12" t="inlineStr">
        <is>
          <t>Nilai Paket</t>
        </is>
      </c>
      <c r="E51" s="25" t="inlineStr">
        <is>
          <t>Persoalan #5: Gunakan CHOOSE untuk memilih pilihan ke-2 dari daftar sel C52, C53, C54!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CHOOSE(2, C52, C53, C54)</f>
        <v/>
      </c>
      <c r="H53" s="29" t="inlineStr">
        <is>
          <t>Ketik: =CHOOSE(2, C52, C53, C54)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#044 — RUMUS EXCEL: ROW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(ROW)</t>
        </is>
      </c>
    </row>
    <row r="5" ht="21" customHeight="1">
      <c r="B5" s="12" t="inlineStr">
        <is>
          <t>Nama Rumus Excel</t>
        </is>
      </c>
      <c r="C5" s="13">
        <f>ROW(...)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ROW([referensi_sel])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Memberitahu nomor baris tempat sel tersebut berada (Misal: =ROW(B15) menghasilkan angka 15).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ROW)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ROW untuk mengecek nomor baris/kolom dari sel C11!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'=ROW(C11)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ROW(C11)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ROW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rumus ROW untuk mengecek nomor baris/kolom dari sel C20!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ROW(C20)</f>
        <v/>
      </c>
      <c r="H21" s="29" t="inlineStr">
        <is>
          <t>Ketik: =ROW(C20)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rumus ROW untuk mengecek nomor baris/kolom dari sel C28!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ROW(C28)</f>
        <v/>
      </c>
      <c r="H29" s="29" t="inlineStr">
        <is>
          <t>Ketik: =ROW(C28)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rumus ROW untuk mengecek nomor baris/kolom dari sel C36!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ROW(C36)</f>
        <v/>
      </c>
      <c r="H37" s="29" t="inlineStr">
        <is>
          <t>Ketik: =ROW(C36)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rumus ROW untuk mengecek nomor baris/kolom dari sel C44!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ROW(C44)</f>
        <v/>
      </c>
      <c r="H45" s="29" t="inlineStr">
        <is>
          <t>Ketik: =ROW(C44)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rumus ROW untuk mengecek nomor baris/kolom dari sel C52!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ROW(C52)</f>
        <v/>
      </c>
      <c r="H53" s="29" t="inlineStr">
        <is>
          <t>Ketik: =ROW(C52)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#045 — RUMUS EXCEL: ROWS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(ROWS)</t>
        </is>
      </c>
    </row>
    <row r="5" ht="21" customHeight="1">
      <c r="B5" s="12" t="inlineStr">
        <is>
          <t>Nama Rumus Excel</t>
        </is>
      </c>
      <c r="C5" s="13">
        <f>ROWS(...)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ROWS(range)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ada berapa total baris di dalam suatu blok tabel.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ROWS)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ROWS untuk menghitung jumlah baris/kolom pada tabel B11:C14!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'=ROWS(B11:C14)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ROWS(B11:C14)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ROWS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rumus ROWS untuk menghitung jumlah baris/kolom pada tabel B20:C23!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ROWS(B20:C23)</f>
        <v/>
      </c>
      <c r="H21" s="29" t="inlineStr">
        <is>
          <t>Ketik: =ROWS(B20:C23)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rumus ROWS untuk menghitung jumlah baris/kolom pada tabel B28:C31!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ROWS(B28:C31)</f>
        <v/>
      </c>
      <c r="H29" s="29" t="inlineStr">
        <is>
          <t>Ketik: =ROWS(B28:C31)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rumus ROWS untuk menghitung jumlah baris/kolom pada tabel B36:C39!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ROWS(B36:C39)</f>
        <v/>
      </c>
      <c r="H37" s="29" t="inlineStr">
        <is>
          <t>Ketik: =ROWS(B36:C39)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rumus ROWS untuk menghitung jumlah baris/kolom pada tabel B44:C47!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ROWS(B44:C47)</f>
        <v/>
      </c>
      <c r="H45" s="29" t="inlineStr">
        <is>
          <t>Ketik: =ROWS(B44:C47)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rumus ROWS untuk menghitung jumlah baris/kolom pada tabel B52:C55!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ROWS(B52:C55)</f>
        <v/>
      </c>
      <c r="H53" s="29" t="inlineStr">
        <is>
          <t>Ketik: =ROWS(B52:C55)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#046 — RUMUS EXCEL: COLUMN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(COLUMN)</t>
        </is>
      </c>
    </row>
    <row r="5" ht="21" customHeight="1">
      <c r="B5" s="12" t="inlineStr">
        <is>
          <t>Nama Rumus Excel</t>
        </is>
      </c>
      <c r="C5" s="13">
        <f>COLUMN(...)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COLUMN([referensi_sel])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Memberitahu nomor urut kolom suatu sel (Kolom A=1, B=2, C=3, dst.).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COLUMN)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COLUMN untuk mengecek nomor baris/kolom dari sel C11!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'=COLUMN(C11)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COLUMN(C11)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COLUMN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rumus COLUMN untuk mengecek nomor baris/kolom dari sel C20!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COLUMN(C20)</f>
        <v/>
      </c>
      <c r="H21" s="29" t="inlineStr">
        <is>
          <t>Ketik: =COLUMN(C20)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rumus COLUMN untuk mengecek nomor baris/kolom dari sel C28!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COLUMN(C28)</f>
        <v/>
      </c>
      <c r="H29" s="29" t="inlineStr">
        <is>
          <t>Ketik: =COLUMN(C28)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rumus COLUMN untuk mengecek nomor baris/kolom dari sel C36!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COLUMN(C36)</f>
        <v/>
      </c>
      <c r="H37" s="29" t="inlineStr">
        <is>
          <t>Ketik: =COLUMN(C36)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rumus COLUMN untuk mengecek nomor baris/kolom dari sel C44!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COLUMN(C44)</f>
        <v/>
      </c>
      <c r="H45" s="29" t="inlineStr">
        <is>
          <t>Ketik: =COLUMN(C44)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rumus COLUMN untuk mengecek nomor baris/kolom dari sel C52!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COLUMN(C52)</f>
        <v/>
      </c>
      <c r="H53" s="29" t="inlineStr">
        <is>
          <t>Ketik: =COLUMN(C52)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#047 — RUMUS EXCEL: COLUMNS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(COLUMNS)</t>
        </is>
      </c>
    </row>
    <row r="5" ht="21" customHeight="1">
      <c r="B5" s="12" t="inlineStr">
        <is>
          <t>Nama Rumus Excel</t>
        </is>
      </c>
      <c r="C5" s="13">
        <f>COLUMNS(...)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COLUMNS(range)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ada berapa total kolom menyamping di dalam suatu blok tabel.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COLUMNS)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COLUMNS untuk menghitung jumlah baris/kolom pada tabel B11:C14!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'=COLUMNS(B11:C14)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COLUMNS(B11:C14)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COLUMNS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rumus COLUMNS untuk menghitung jumlah baris/kolom pada tabel B20:C23!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COLUMNS(B20:C23)</f>
        <v/>
      </c>
      <c r="H21" s="29" t="inlineStr">
        <is>
          <t>Ketik: =COLUMNS(B20:C23)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rumus COLUMNS untuk menghitung jumlah baris/kolom pada tabel B28:C31!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COLUMNS(B28:C31)</f>
        <v/>
      </c>
      <c r="H29" s="29" t="inlineStr">
        <is>
          <t>Ketik: =COLUMNS(B28:C31)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rumus COLUMNS untuk menghitung jumlah baris/kolom pada tabel B36:C39!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COLUMNS(B36:C39)</f>
        <v/>
      </c>
      <c r="H37" s="29" t="inlineStr">
        <is>
          <t>Ketik: =COLUMNS(B36:C39)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rumus COLUMNS untuk menghitung jumlah baris/kolom pada tabel B44:C47!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COLUMNS(B44:C47)</f>
        <v/>
      </c>
      <c r="H45" s="29" t="inlineStr">
        <is>
          <t>Ketik: =COLUMNS(B44:C47)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rumus COLUMNS untuk menghitung jumlah baris/kolom pada tabel B52:C55!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COLUMNS(B52:C55)</f>
        <v/>
      </c>
      <c r="H53" s="29" t="inlineStr">
        <is>
          <t>Ketik: =COLUMNS(B52:C55)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#048 — RUMUS EXCEL: ADDRESS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(ADDRESS)</t>
        </is>
      </c>
    </row>
    <row r="5" ht="21" customHeight="1">
      <c r="B5" s="12" t="inlineStr">
        <is>
          <t>Nama Rumus Excel</t>
        </is>
      </c>
      <c r="C5" s="13">
        <f>ADDRESS(...)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ADDRESS(nomor_baris, nomor_kolom)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Membuat teks alamat sel dari nomor baris dan kolom (Misal: baris 5 kolom 2 menjadi '$B$5').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ADDRESS)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ADDRESS untuk membuat alamat sel pada baris 11 dan kolom 3!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'=ADDRESS(11, 3)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ADDRESS(11, 3)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ADDRESS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rumus ADDRESS untuk membuat alamat sel pada baris 20 dan kolom 3!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ADDRESS(20, 3)</f>
        <v/>
      </c>
      <c r="H21" s="29" t="inlineStr">
        <is>
          <t>Ketik: =ADDRESS(20, 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rumus ADDRESS untuk membuat alamat sel pada baris 28 dan kolom 3!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ADDRESS(28, 3)</f>
        <v/>
      </c>
      <c r="H29" s="29" t="inlineStr">
        <is>
          <t>Ketik: =ADDRESS(28, 3)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rumus ADDRESS untuk membuat alamat sel pada baris 36 dan kolom 3!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ADDRESS(36, 3)</f>
        <v/>
      </c>
      <c r="H37" s="29" t="inlineStr">
        <is>
          <t>Ketik: =ADDRESS(36, 3)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rumus ADDRESS untuk membuat alamat sel pada baris 44 dan kolom 3!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ADDRESS(44, 3)</f>
        <v/>
      </c>
      <c r="H45" s="29" t="inlineStr">
        <is>
          <t>Ketik: =ADDRESS(44, 3)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rumus ADDRESS untuk membuat alamat sel pada baris 52 dan kolom 3!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ADDRESS(52, 3)</f>
        <v/>
      </c>
      <c r="H53" s="29" t="inlineStr">
        <is>
          <t>Ketik: =ADDRESS(52, 3)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#049 — RUMUS EXCEL: OFFSET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(OFFSET)</t>
        </is>
      </c>
    </row>
    <row r="5" ht="21" customHeight="1">
      <c r="B5" s="12" t="inlineStr">
        <is>
          <t>Nama Rumus Excel</t>
        </is>
      </c>
      <c r="C5" s="13">
        <f>OFFSET(...)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OFFSET(sel_awal, geser_baris, geser_kolom)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nilai dari sel lain dengan cara melompat/bergeser sekian baris dan sekian kolom dari titik awal.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OFFSET)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OFFSET dari sel awal C11, bergeser 1 baris ke bawah dan 0 kolom ke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'=OFFSET(C11, 1, 0)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OFFSET(C11, 1, 0)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OFFSET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OFFSET dari sel awal C20, bergeser 1 baris ke bawah dan 0 kolom ke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OFFSET(C20, 1, 0)</f>
        <v/>
      </c>
      <c r="H21" s="29" t="inlineStr">
        <is>
          <t>Ketik: =OFFSET(C20, 1, 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OFFSET dari sel awal C28, bergeser 1 baris ke bawah dan 0 kolom ke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OFFSET(C28, 1, 0)</f>
        <v/>
      </c>
      <c r="H29" s="29" t="inlineStr">
        <is>
          <t>Ketik: =OFFSET(C28, 1, 0)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OFFSET dari sel awal C36, bergeser 1 baris ke bawah dan 0 kolom ke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OFFSET(C36, 1, 0)</f>
        <v/>
      </c>
      <c r="H37" s="29" t="inlineStr">
        <is>
          <t>Ketik: =OFFSET(C36, 1, 0)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OFFSET dari sel awal C44, bergeser 1 baris ke bawah dan 0 kolom ke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OFFSET(C44, 1, 0)</f>
        <v/>
      </c>
      <c r="H45" s="29" t="inlineStr">
        <is>
          <t>Ketik: =OFFSET(C44, 1, 0)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OFFSET dari sel awal C52, bergeser 1 baris ke bawah dan 0 kolom ke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OFFSET(C52, 1, 0)</f>
        <v/>
      </c>
      <c r="H53" s="29" t="inlineStr">
        <is>
          <t>Ketik: =OFFSET(C52, 1, 0)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#050 — RUMUS EXCEL: INDIRECT   |   Kategori: 3. Lookup &amp; Referensi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(INDIRECT)</t>
        </is>
      </c>
    </row>
    <row r="5" ht="21" customHeight="1">
      <c r="B5" s="12" t="inlineStr">
        <is>
          <t>Nama Rumus Excel</t>
        </is>
      </c>
      <c r="C5" s="13">
        <f>INDIRECT(...)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INDIRECT(teks_alamat_sel)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teks biasa (seperti tulisan 'B10') menjadi referensi sel hidup yang diambil isinya oleh Excel.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INDIRECT)</t>
        </is>
      </c>
    </row>
    <row r="10">
      <c r="B10" s="16" t="inlineStr">
        <is>
          <t>Label</t>
        </is>
      </c>
      <c r="C10" s="16" t="inlineStr">
        <is>
          <t>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INDIRECT untuk mengambil isi sel dari teks alamat "C11"!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'=INDIRECT("C11")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INDIRECT("C11")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INDIRECT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Label</t>
        </is>
      </c>
      <c r="C19" s="12" t="inlineStr">
        <is>
          <t>Data</t>
        </is>
      </c>
      <c r="E19" s="25" t="inlineStr">
        <is>
          <t>Persoalan #1: Gunakan INDIRECT untuk mengambil isi sel dari teks alamat "C20"!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INDIRECT("C20")</f>
        <v/>
      </c>
      <c r="H21" s="29" t="inlineStr">
        <is>
          <t>Ketik: =INDIRECT("C20")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Label</t>
        </is>
      </c>
      <c r="C27" s="12" t="inlineStr">
        <is>
          <t>Data</t>
        </is>
      </c>
      <c r="E27" s="25" t="inlineStr">
        <is>
          <t>Persoalan #2: Gunakan INDIRECT untuk mengambil isi sel dari teks alamat "C28"!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INDIRECT("C28")</f>
        <v/>
      </c>
      <c r="H29" s="29" t="inlineStr">
        <is>
          <t>Ketik: =INDIRECT("C28")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Label</t>
        </is>
      </c>
      <c r="C35" s="12" t="inlineStr">
        <is>
          <t>Data</t>
        </is>
      </c>
      <c r="E35" s="25" t="inlineStr">
        <is>
          <t>Persoalan #3: Gunakan INDIRECT untuk mengambil isi sel dari teks alamat "C36"!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INDIRECT("C36")</f>
        <v/>
      </c>
      <c r="H37" s="29" t="inlineStr">
        <is>
          <t>Ketik: =INDIRECT("C36")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Label</t>
        </is>
      </c>
      <c r="C43" s="12" t="inlineStr">
        <is>
          <t>Data</t>
        </is>
      </c>
      <c r="E43" s="25" t="inlineStr">
        <is>
          <t>Persoalan #4: Gunakan INDIRECT untuk mengambil isi sel dari teks alamat "C44"!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INDIRECT("C44")</f>
        <v/>
      </c>
      <c r="H45" s="29" t="inlineStr">
        <is>
          <t>Ketik: =INDIRECT("C44")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Label</t>
        </is>
      </c>
      <c r="C51" s="12" t="inlineStr">
        <is>
          <t>Data</t>
        </is>
      </c>
      <c r="E51" s="25" t="inlineStr">
        <is>
          <t>Persoalan #5: Gunakan INDIRECT untuk mengambil isi sel dari teks alamat "C52"!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INDIRECT("C52")</f>
        <v/>
      </c>
      <c r="H53" s="29" t="inlineStr">
        <is>
          <t>Ketik: =INDIRECT("C52")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#051 — RUMUS EXCEL: LEFT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(LEFT)</t>
        </is>
      </c>
    </row>
    <row r="5" ht="21" customHeight="1">
      <c r="B5" s="12" t="inlineStr">
        <is>
          <t>Nama Rumus Excel</t>
        </is>
      </c>
      <c r="C5" s="13">
        <f>LEFT(...)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LEFT(teks, jumlah_huruf)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Memotong dan mengambil sejumlah huruf dari sebelah KIRI (awal) kata. Cocok untuk mengambil kode cabang di awal SKU barang!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LEFT)</t>
        </is>
      </c>
    </row>
    <row r="10">
      <c r="B10" s="16" t="inlineStr">
        <is>
          <t>Nama Gudang</t>
        </is>
      </c>
      <c r="C10" s="16" t="inlineStr">
        <is>
          <t>Kode SKU Barang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JKT-100-A</t>
        </is>
      </c>
      <c r="E11" s="19" t="inlineStr">
        <is>
          <t>Kasus Contoh:</t>
        </is>
      </c>
      <c r="F11" s="20" t="inlineStr">
        <is>
          <t>Gunakan rumus LEFT untuk mengambil 3 karakter dari sel C11 ("JKT-100-A")!</t>
        </is>
      </c>
    </row>
    <row r="12">
      <c r="B12" s="18" t="inlineStr">
        <is>
          <t>Cabang Bandung</t>
        </is>
      </c>
      <c r="C12" s="18" t="inlineStr">
        <is>
          <t>BDG-205-B</t>
        </is>
      </c>
      <c r="E12" s="19" t="inlineStr">
        <is>
          <t>Rumus yang Diketik:</t>
        </is>
      </c>
      <c r="F12" s="21" t="inlineStr">
        <is>
          <t>'=LEFT(C11, 3)</t>
        </is>
      </c>
    </row>
    <row r="13">
      <c r="B13" s="18" t="inlineStr">
        <is>
          <t>Cabang Surabaya</t>
        </is>
      </c>
      <c r="C13" s="18" t="inlineStr">
        <is>
          <t>SBY-310-C</t>
        </is>
      </c>
      <c r="E13" s="19" t="inlineStr">
        <is>
          <t>Hasil Otomatis Excel:</t>
        </is>
      </c>
      <c r="F13" s="22">
        <f>LEFT(C11, 3)</f>
        <v/>
      </c>
    </row>
    <row r="14">
      <c r="B14" s="18" t="inlineStr">
        <is>
          <t>Cabang Medan</t>
        </is>
      </c>
      <c r="C14" s="18" t="inlineStr">
        <is>
          <t>MDN-415-D</t>
        </is>
      </c>
    </row>
    <row r="16" ht="26" customHeight="1">
      <c r="B16" s="23" t="inlineStr">
        <is>
          <t>3️⃣ 5 PERSOALAN DUNIA NYATA (KETIK RUMUS LEFT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Gudang</t>
        </is>
      </c>
      <c r="C19" s="12" t="inlineStr">
        <is>
          <t>Kode SKU Barang</t>
        </is>
      </c>
      <c r="E19" s="25" t="inlineStr">
        <is>
          <t>Persoalan #1: Gunakan rumus LEFT untuk mengambil 3 karakter dari sel C20 ("JKT-100-A")!</t>
        </is>
      </c>
    </row>
    <row r="20">
      <c r="B20" s="18" t="inlineStr">
        <is>
          <t>Cabang Jakarta</t>
        </is>
      </c>
      <c r="C20" s="18" t="inlineStr">
        <is>
          <t>JKT-100-A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BDG-205-B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LEFT(C20, 3)</f>
        <v/>
      </c>
      <c r="H21" s="29" t="inlineStr">
        <is>
          <t>Ketik: =LEFT(C20, 3)</t>
        </is>
      </c>
    </row>
    <row r="22">
      <c r="B22" s="18" t="inlineStr">
        <is>
          <t>Cabang Surabaya</t>
        </is>
      </c>
      <c r="C22" s="18" t="inlineStr">
        <is>
          <t>SBY-310-C</t>
        </is>
      </c>
    </row>
    <row r="23">
      <c r="B23" s="18" t="inlineStr">
        <is>
          <t>Cabang Medan</t>
        </is>
      </c>
      <c r="C23" s="18" t="inlineStr">
        <is>
          <t>MDN-415-D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Gudang</t>
        </is>
      </c>
      <c r="C27" s="12" t="inlineStr">
        <is>
          <t>Kode SKU Barang</t>
        </is>
      </c>
      <c r="E27" s="25" t="inlineStr">
        <is>
          <t>Persoalan #2: Gunakan rumus LEFT untuk mengambil 3 karakter dari sel C28 ("JKT-101-A")!</t>
        </is>
      </c>
    </row>
    <row r="28">
      <c r="B28" s="18" t="inlineStr">
        <is>
          <t>Budi Santoso</t>
        </is>
      </c>
      <c r="C28" s="18" t="inlineStr">
        <is>
          <t>JKT-101-A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BDG-205-B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LEFT(C28, 3)</f>
        <v/>
      </c>
      <c r="H29" s="29" t="inlineStr">
        <is>
          <t>Ketik: =LEFT(C28, 3)</t>
        </is>
      </c>
    </row>
    <row r="30">
      <c r="B30" s="18" t="inlineStr">
        <is>
          <t>Andi Pratama</t>
        </is>
      </c>
      <c r="C30" s="18" t="inlineStr">
        <is>
          <t>SBY-310-C</t>
        </is>
      </c>
    </row>
    <row r="31">
      <c r="B31" s="18" t="inlineStr">
        <is>
          <t>Rina Wijaya</t>
        </is>
      </c>
      <c r="C31" s="18" t="inlineStr">
        <is>
          <t>MDN-415-D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Gudang</t>
        </is>
      </c>
      <c r="C35" s="12" t="inlineStr">
        <is>
          <t>Kode SKU Barang</t>
        </is>
      </c>
      <c r="E35" s="25" t="inlineStr">
        <is>
          <t>Persoalan #3: Gunakan rumus LEFT untuk mengambil 3 karakter dari sel C36 ("JKT-102-A")!</t>
        </is>
      </c>
    </row>
    <row r="36">
      <c r="B36" s="18" t="inlineStr">
        <is>
          <t>Gudang Blok A</t>
        </is>
      </c>
      <c r="C36" s="18" t="inlineStr">
        <is>
          <t>JKT-102-A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BDG-205-B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LEFT(C36, 3)</f>
        <v/>
      </c>
      <c r="H37" s="29" t="inlineStr">
        <is>
          <t>Ketik: =LEFT(C36, 3)</t>
        </is>
      </c>
    </row>
    <row r="38">
      <c r="B38" s="18" t="inlineStr">
        <is>
          <t>Gudang Blok C</t>
        </is>
      </c>
      <c r="C38" s="18" t="inlineStr">
        <is>
          <t>SBY-310-C</t>
        </is>
      </c>
    </row>
    <row r="39">
      <c r="B39" s="18" t="inlineStr">
        <is>
          <t>Gudang Blok D</t>
        </is>
      </c>
      <c r="C39" s="18" t="inlineStr">
        <is>
          <t>MDN-415-D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Gudang</t>
        </is>
      </c>
      <c r="C43" s="12" t="inlineStr">
        <is>
          <t>Kode SKU Barang</t>
        </is>
      </c>
      <c r="E43" s="25" t="inlineStr">
        <is>
          <t>Persoalan #4: Gunakan rumus LEFT untuk mengambil 3 karakter dari sel C44 ("JKT-103-A")!</t>
        </is>
      </c>
    </row>
    <row r="44">
      <c r="B44" s="18" t="inlineStr">
        <is>
          <t>Toko Elektronik</t>
        </is>
      </c>
      <c r="C44" s="18" t="inlineStr">
        <is>
          <t>JKT-103-A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BDG-205-B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LEFT(C44, 3)</f>
        <v/>
      </c>
      <c r="H45" s="29" t="inlineStr">
        <is>
          <t>Ketik: =LEFT(C44, 3)</t>
        </is>
      </c>
    </row>
    <row r="46">
      <c r="B46" s="18" t="inlineStr">
        <is>
          <t>Toko Aksesoris</t>
        </is>
      </c>
      <c r="C46" s="18" t="inlineStr">
        <is>
          <t>SBY-310-C</t>
        </is>
      </c>
    </row>
    <row r="47">
      <c r="B47" s="18" t="inlineStr">
        <is>
          <t>Toko Servis</t>
        </is>
      </c>
      <c r="C47" s="18" t="inlineStr">
        <is>
          <t>MDN-415-D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Gudang</t>
        </is>
      </c>
      <c r="C51" s="12" t="inlineStr">
        <is>
          <t>Kode SKU Barang</t>
        </is>
      </c>
      <c r="E51" s="25" t="inlineStr">
        <is>
          <t>Persoalan #5: Gunakan rumus LEFT untuk mengambil 3 karakter dari sel C52 ("JKT-104-A")!</t>
        </is>
      </c>
    </row>
    <row r="52">
      <c r="B52" s="18" t="inlineStr">
        <is>
          <t>Kelas 10 IPA</t>
        </is>
      </c>
      <c r="C52" s="18" t="inlineStr">
        <is>
          <t>JKT-104-A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BDG-205-B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LEFT(C52, 3)</f>
        <v/>
      </c>
      <c r="H53" s="29" t="inlineStr">
        <is>
          <t>Ketik: =LEFT(C52, 3)</t>
        </is>
      </c>
    </row>
    <row r="54">
      <c r="B54" s="18" t="inlineStr">
        <is>
          <t>Kelas 12 IPA</t>
        </is>
      </c>
      <c r="C54" s="18" t="inlineStr">
        <is>
          <t>SBY-310-C</t>
        </is>
      </c>
    </row>
    <row r="55">
      <c r="B55" s="18" t="inlineStr">
        <is>
          <t>Kelas Unggulan</t>
        </is>
      </c>
      <c r="C55" s="18" t="inlineStr">
        <is>
          <t>MDN-415-D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#052 — RUMUS EXCEL: RIGHT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(RIGHT)</t>
        </is>
      </c>
    </row>
    <row r="5" ht="21" customHeight="1">
      <c r="B5" s="12" t="inlineStr">
        <is>
          <t>Nama Rumus Excel</t>
        </is>
      </c>
      <c r="C5" s="13">
        <f>RIGHT(...)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RIGHT(teks, jumlah_huruf)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Memotong dan mengambil sejumlah huruf dari sebelah KANAN (akhir) kata. Cocok untuk mengambil kode tahun di ujung nomor surat!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RIGHT)</t>
        </is>
      </c>
    </row>
    <row r="10">
      <c r="B10" s="16" t="inlineStr">
        <is>
          <t>Nama Gudang</t>
        </is>
      </c>
      <c r="C10" s="16" t="inlineStr">
        <is>
          <t>Kode SKU Barang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JKT-100-A</t>
        </is>
      </c>
      <c r="E11" s="19" t="inlineStr">
        <is>
          <t>Kasus Contoh:</t>
        </is>
      </c>
      <c r="F11" s="20" t="inlineStr">
        <is>
          <t>Gunakan rumus RIGHT untuk mengambil 3 karakter dari sel C11 ("JKT-100-A")!</t>
        </is>
      </c>
    </row>
    <row r="12">
      <c r="B12" s="18" t="inlineStr">
        <is>
          <t>Cabang Bandung</t>
        </is>
      </c>
      <c r="C12" s="18" t="inlineStr">
        <is>
          <t>BDG-205-B</t>
        </is>
      </c>
      <c r="E12" s="19" t="inlineStr">
        <is>
          <t>Rumus yang Diketik:</t>
        </is>
      </c>
      <c r="F12" s="21" t="inlineStr">
        <is>
          <t>'=RIGHT(C11, 3)</t>
        </is>
      </c>
    </row>
    <row r="13">
      <c r="B13" s="18" t="inlineStr">
        <is>
          <t>Cabang Surabaya</t>
        </is>
      </c>
      <c r="C13" s="18" t="inlineStr">
        <is>
          <t>SBY-310-C</t>
        </is>
      </c>
      <c r="E13" s="19" t="inlineStr">
        <is>
          <t>Hasil Otomatis Excel:</t>
        </is>
      </c>
      <c r="F13" s="22">
        <f>RIGHT(C11, 3)</f>
        <v/>
      </c>
    </row>
    <row r="14">
      <c r="B14" s="18" t="inlineStr">
        <is>
          <t>Cabang Medan</t>
        </is>
      </c>
      <c r="C14" s="18" t="inlineStr">
        <is>
          <t>MDN-415-D</t>
        </is>
      </c>
    </row>
    <row r="16" ht="26" customHeight="1">
      <c r="B16" s="23" t="inlineStr">
        <is>
          <t>3️⃣ 5 PERSOALAN DUNIA NYATA (KETIK RUMUS RIGHT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Gudang</t>
        </is>
      </c>
      <c r="C19" s="12" t="inlineStr">
        <is>
          <t>Kode SKU Barang</t>
        </is>
      </c>
      <c r="E19" s="25" t="inlineStr">
        <is>
          <t>Persoalan #1: Gunakan rumus RIGHT untuk mengambil 3 karakter dari sel C20 ("JKT-100-A")!</t>
        </is>
      </c>
    </row>
    <row r="20">
      <c r="B20" s="18" t="inlineStr">
        <is>
          <t>Cabang Jakarta</t>
        </is>
      </c>
      <c r="C20" s="18" t="inlineStr">
        <is>
          <t>JKT-100-A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BDG-205-B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RIGHT(C20, 3)</f>
        <v/>
      </c>
      <c r="H21" s="29" t="inlineStr">
        <is>
          <t>Ketik: =RIGHT(C20, 3)</t>
        </is>
      </c>
    </row>
    <row r="22">
      <c r="B22" s="18" t="inlineStr">
        <is>
          <t>Cabang Surabaya</t>
        </is>
      </c>
      <c r="C22" s="18" t="inlineStr">
        <is>
          <t>SBY-310-C</t>
        </is>
      </c>
    </row>
    <row r="23">
      <c r="B23" s="18" t="inlineStr">
        <is>
          <t>Cabang Medan</t>
        </is>
      </c>
      <c r="C23" s="18" t="inlineStr">
        <is>
          <t>MDN-415-D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Gudang</t>
        </is>
      </c>
      <c r="C27" s="12" t="inlineStr">
        <is>
          <t>Kode SKU Barang</t>
        </is>
      </c>
      <c r="E27" s="25" t="inlineStr">
        <is>
          <t>Persoalan #2: Gunakan rumus RIGHT untuk mengambil 3 karakter dari sel C28 ("JKT-101-A")!</t>
        </is>
      </c>
    </row>
    <row r="28">
      <c r="B28" s="18" t="inlineStr">
        <is>
          <t>Budi Santoso</t>
        </is>
      </c>
      <c r="C28" s="18" t="inlineStr">
        <is>
          <t>JKT-101-A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BDG-205-B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RIGHT(C28, 3)</f>
        <v/>
      </c>
      <c r="H29" s="29" t="inlineStr">
        <is>
          <t>Ketik: =RIGHT(C28, 3)</t>
        </is>
      </c>
    </row>
    <row r="30">
      <c r="B30" s="18" t="inlineStr">
        <is>
          <t>Andi Pratama</t>
        </is>
      </c>
      <c r="C30" s="18" t="inlineStr">
        <is>
          <t>SBY-310-C</t>
        </is>
      </c>
    </row>
    <row r="31">
      <c r="B31" s="18" t="inlineStr">
        <is>
          <t>Rina Wijaya</t>
        </is>
      </c>
      <c r="C31" s="18" t="inlineStr">
        <is>
          <t>MDN-415-D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Gudang</t>
        </is>
      </c>
      <c r="C35" s="12" t="inlineStr">
        <is>
          <t>Kode SKU Barang</t>
        </is>
      </c>
      <c r="E35" s="25" t="inlineStr">
        <is>
          <t>Persoalan #3: Gunakan rumus RIGHT untuk mengambil 3 karakter dari sel C36 ("JKT-102-A")!</t>
        </is>
      </c>
    </row>
    <row r="36">
      <c r="B36" s="18" t="inlineStr">
        <is>
          <t>Gudang Blok A</t>
        </is>
      </c>
      <c r="C36" s="18" t="inlineStr">
        <is>
          <t>JKT-102-A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BDG-205-B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RIGHT(C36, 3)</f>
        <v/>
      </c>
      <c r="H37" s="29" t="inlineStr">
        <is>
          <t>Ketik: =RIGHT(C36, 3)</t>
        </is>
      </c>
    </row>
    <row r="38">
      <c r="B38" s="18" t="inlineStr">
        <is>
          <t>Gudang Blok C</t>
        </is>
      </c>
      <c r="C38" s="18" t="inlineStr">
        <is>
          <t>SBY-310-C</t>
        </is>
      </c>
    </row>
    <row r="39">
      <c r="B39" s="18" t="inlineStr">
        <is>
          <t>Gudang Blok D</t>
        </is>
      </c>
      <c r="C39" s="18" t="inlineStr">
        <is>
          <t>MDN-415-D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Gudang</t>
        </is>
      </c>
      <c r="C43" s="12" t="inlineStr">
        <is>
          <t>Kode SKU Barang</t>
        </is>
      </c>
      <c r="E43" s="25" t="inlineStr">
        <is>
          <t>Persoalan #4: Gunakan rumus RIGHT untuk mengambil 3 karakter dari sel C44 ("JKT-103-A")!</t>
        </is>
      </c>
    </row>
    <row r="44">
      <c r="B44" s="18" t="inlineStr">
        <is>
          <t>Toko Elektronik</t>
        </is>
      </c>
      <c r="C44" s="18" t="inlineStr">
        <is>
          <t>JKT-103-A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BDG-205-B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RIGHT(C44, 3)</f>
        <v/>
      </c>
      <c r="H45" s="29" t="inlineStr">
        <is>
          <t>Ketik: =RIGHT(C44, 3)</t>
        </is>
      </c>
    </row>
    <row r="46">
      <c r="B46" s="18" t="inlineStr">
        <is>
          <t>Toko Aksesoris</t>
        </is>
      </c>
      <c r="C46" s="18" t="inlineStr">
        <is>
          <t>SBY-310-C</t>
        </is>
      </c>
    </row>
    <row r="47">
      <c r="B47" s="18" t="inlineStr">
        <is>
          <t>Toko Servis</t>
        </is>
      </c>
      <c r="C47" s="18" t="inlineStr">
        <is>
          <t>MDN-415-D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Gudang</t>
        </is>
      </c>
      <c r="C51" s="12" t="inlineStr">
        <is>
          <t>Kode SKU Barang</t>
        </is>
      </c>
      <c r="E51" s="25" t="inlineStr">
        <is>
          <t>Persoalan #5: Gunakan rumus RIGHT untuk mengambil 3 karakter dari sel C52 ("JKT-104-A")!</t>
        </is>
      </c>
    </row>
    <row r="52">
      <c r="B52" s="18" t="inlineStr">
        <is>
          <t>Kelas 10 IPA</t>
        </is>
      </c>
      <c r="C52" s="18" t="inlineStr">
        <is>
          <t>JKT-104-A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BDG-205-B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RIGHT(C52, 3)</f>
        <v/>
      </c>
      <c r="H53" s="29" t="inlineStr">
        <is>
          <t>Ketik: =RIGHT(C52, 3)</t>
        </is>
      </c>
    </row>
    <row r="54">
      <c r="B54" s="18" t="inlineStr">
        <is>
          <t>Kelas 12 IPA</t>
        </is>
      </c>
      <c r="C54" s="18" t="inlineStr">
        <is>
          <t>SBY-310-C</t>
        </is>
      </c>
    </row>
    <row r="55">
      <c r="B55" s="18" t="inlineStr">
        <is>
          <t>Kelas Unggulan</t>
        </is>
      </c>
      <c r="C55" s="18" t="inlineStr">
        <is>
          <t>MDN-415-D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#053 — RUMUS EXCEL: MID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(MID)</t>
        </is>
      </c>
    </row>
    <row r="5" ht="21" customHeight="1">
      <c r="B5" s="12" t="inlineStr">
        <is>
          <t>Nama Rumus Excel</t>
        </is>
      </c>
      <c r="C5" s="13">
        <f>MID(...)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MID(teks, mulai_huruf_ke, jumlah_huruf)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huruf dari bagian TENGAH kata (Misal: mengambil kode tanggal lahir dari tengah-tengah 16 digit NIK KTP!).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MID)</t>
        </is>
      </c>
    </row>
    <row r="10">
      <c r="B10" s="16" t="inlineStr">
        <is>
          <t>Transaksi</t>
        </is>
      </c>
      <c r="C10" s="16" t="inlineStr">
        <is>
          <t>Nomor Invoice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INV-2026-01</t>
        </is>
      </c>
      <c r="E11" s="19" t="inlineStr">
        <is>
          <t>Kasus Contoh:</t>
        </is>
      </c>
      <c r="F11" s="20" t="inlineStr">
        <is>
          <t>Gunakan rumus MID pada sel C11 ("INV-2026-01") mulai karakter ke-5 sebanyak 4 karakter (untuk mengambil tahun)!</t>
        </is>
      </c>
    </row>
    <row r="12">
      <c r="B12" s="18" t="inlineStr">
        <is>
          <t>Cabang Bandung</t>
        </is>
      </c>
      <c r="C12" s="18" t="inlineStr">
        <is>
          <t>INV-2025-09</t>
        </is>
      </c>
      <c r="E12" s="19" t="inlineStr">
        <is>
          <t>Rumus yang Diketik:</t>
        </is>
      </c>
      <c r="F12" s="21" t="inlineStr">
        <is>
          <t>'=MID(C11, 5, 4)</t>
        </is>
      </c>
    </row>
    <row r="13">
      <c r="B13" s="18" t="inlineStr">
        <is>
          <t>Cabang Surabaya</t>
        </is>
      </c>
      <c r="C13" s="18" t="inlineStr">
        <is>
          <t>INV-2024-11</t>
        </is>
      </c>
      <c r="E13" s="19" t="inlineStr">
        <is>
          <t>Hasil Otomatis Excel:</t>
        </is>
      </c>
      <c r="F13" s="22">
        <f>MID(C11, 5, 4)</f>
        <v/>
      </c>
    </row>
    <row r="14">
      <c r="B14" s="18" t="inlineStr">
        <is>
          <t>Cabang Medan</t>
        </is>
      </c>
      <c r="C14" s="18" t="inlineStr">
        <is>
          <t>INV-2026-12</t>
        </is>
      </c>
    </row>
    <row r="16" ht="26" customHeight="1">
      <c r="B16" s="23" t="inlineStr">
        <is>
          <t>3️⃣ 5 PERSOALAN DUNIA NYATA (KETIK RUMUS MID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Transaksi</t>
        </is>
      </c>
      <c r="C19" s="12" t="inlineStr">
        <is>
          <t>Nomor Invoice</t>
        </is>
      </c>
      <c r="E19" s="25" t="inlineStr">
        <is>
          <t>Persoalan #1: Gunakan rumus MID pada sel C20 ("INV-2026-01") mulai karakter ke-5 sebanyak 4 karakter (untuk mengambil tahun)!</t>
        </is>
      </c>
    </row>
    <row r="20">
      <c r="B20" s="18" t="inlineStr">
        <is>
          <t>Cabang Jakarta</t>
        </is>
      </c>
      <c r="C20" s="18" t="inlineStr">
        <is>
          <t>INV-2026-01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INV-2025-09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MID(C20, 5, 4)</f>
        <v/>
      </c>
      <c r="H21" s="29" t="inlineStr">
        <is>
          <t>Ketik: =MID(C20, 5, 4)</t>
        </is>
      </c>
    </row>
    <row r="22">
      <c r="B22" s="18" t="inlineStr">
        <is>
          <t>Cabang Surabaya</t>
        </is>
      </c>
      <c r="C22" s="18" t="inlineStr">
        <is>
          <t>INV-2024-11</t>
        </is>
      </c>
    </row>
    <row r="23">
      <c r="B23" s="18" t="inlineStr">
        <is>
          <t>Cabang Medan</t>
        </is>
      </c>
      <c r="C23" s="18" t="inlineStr">
        <is>
          <t>INV-2026-12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Transaksi</t>
        </is>
      </c>
      <c r="C27" s="12" t="inlineStr">
        <is>
          <t>Nomor Invoice</t>
        </is>
      </c>
      <c r="E27" s="25" t="inlineStr">
        <is>
          <t>Persoalan #2: Gunakan rumus MID pada sel C28 ("INV-2026-02") mulai karakter ke-5 sebanyak 4 karakter (untuk mengambil tahun)!</t>
        </is>
      </c>
    </row>
    <row r="28">
      <c r="B28" s="18" t="inlineStr">
        <is>
          <t>Budi Santoso</t>
        </is>
      </c>
      <c r="C28" s="18" t="inlineStr">
        <is>
          <t>INV-2026-02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INV-2025-09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MID(C28, 5, 4)</f>
        <v/>
      </c>
      <c r="H29" s="29" t="inlineStr">
        <is>
          <t>Ketik: =MID(C28, 5, 4)</t>
        </is>
      </c>
    </row>
    <row r="30">
      <c r="B30" s="18" t="inlineStr">
        <is>
          <t>Andi Pratama</t>
        </is>
      </c>
      <c r="C30" s="18" t="inlineStr">
        <is>
          <t>INV-2024-11</t>
        </is>
      </c>
    </row>
    <row r="31">
      <c r="B31" s="18" t="inlineStr">
        <is>
          <t>Rina Wijaya</t>
        </is>
      </c>
      <c r="C31" s="18" t="inlineStr">
        <is>
          <t>INV-2026-12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Transaksi</t>
        </is>
      </c>
      <c r="C35" s="12" t="inlineStr">
        <is>
          <t>Nomor Invoice</t>
        </is>
      </c>
      <c r="E35" s="25" t="inlineStr">
        <is>
          <t>Persoalan #3: Gunakan rumus MID pada sel C36 ("INV-2026-03") mulai karakter ke-5 sebanyak 4 karakter (untuk mengambil tahun)!</t>
        </is>
      </c>
    </row>
    <row r="36">
      <c r="B36" s="18" t="inlineStr">
        <is>
          <t>Gudang Blok A</t>
        </is>
      </c>
      <c r="C36" s="18" t="inlineStr">
        <is>
          <t>INV-2026-03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INV-2025-09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MID(C36, 5, 4)</f>
        <v/>
      </c>
      <c r="H37" s="29" t="inlineStr">
        <is>
          <t>Ketik: =MID(C36, 5, 4)</t>
        </is>
      </c>
    </row>
    <row r="38">
      <c r="B38" s="18" t="inlineStr">
        <is>
          <t>Gudang Blok C</t>
        </is>
      </c>
      <c r="C38" s="18" t="inlineStr">
        <is>
          <t>INV-2024-11</t>
        </is>
      </c>
    </row>
    <row r="39">
      <c r="B39" s="18" t="inlineStr">
        <is>
          <t>Gudang Blok D</t>
        </is>
      </c>
      <c r="C39" s="18" t="inlineStr">
        <is>
          <t>INV-2026-12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Transaksi</t>
        </is>
      </c>
      <c r="C43" s="12" t="inlineStr">
        <is>
          <t>Nomor Invoice</t>
        </is>
      </c>
      <c r="E43" s="25" t="inlineStr">
        <is>
          <t>Persoalan #4: Gunakan rumus MID pada sel C44 ("INV-2026-04") mulai karakter ke-5 sebanyak 4 karakter (untuk mengambil tahun)!</t>
        </is>
      </c>
    </row>
    <row r="44">
      <c r="B44" s="18" t="inlineStr">
        <is>
          <t>Toko Elektronik</t>
        </is>
      </c>
      <c r="C44" s="18" t="inlineStr">
        <is>
          <t>INV-2026-04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INV-2025-09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MID(C44, 5, 4)</f>
        <v/>
      </c>
      <c r="H45" s="29" t="inlineStr">
        <is>
          <t>Ketik: =MID(C44, 5, 4)</t>
        </is>
      </c>
    </row>
    <row r="46">
      <c r="B46" s="18" t="inlineStr">
        <is>
          <t>Toko Aksesoris</t>
        </is>
      </c>
      <c r="C46" s="18" t="inlineStr">
        <is>
          <t>INV-2024-11</t>
        </is>
      </c>
    </row>
    <row r="47">
      <c r="B47" s="18" t="inlineStr">
        <is>
          <t>Toko Servis</t>
        </is>
      </c>
      <c r="C47" s="18" t="inlineStr">
        <is>
          <t>INV-2026-12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Transaksi</t>
        </is>
      </c>
      <c r="C51" s="12" t="inlineStr">
        <is>
          <t>Nomor Invoice</t>
        </is>
      </c>
      <c r="E51" s="25" t="inlineStr">
        <is>
          <t>Persoalan #5: Gunakan rumus MID pada sel C52 ("INV-2026-05") mulai karakter ke-5 sebanyak 4 karakter (untuk mengambil tahun)!</t>
        </is>
      </c>
    </row>
    <row r="52">
      <c r="B52" s="18" t="inlineStr">
        <is>
          <t>Kelas 10 IPA</t>
        </is>
      </c>
      <c r="C52" s="18" t="inlineStr">
        <is>
          <t>INV-2026-05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INV-2025-09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MID(C52, 5, 4)</f>
        <v/>
      </c>
      <c r="H53" s="29" t="inlineStr">
        <is>
          <t>Ketik: =MID(C52, 5, 4)</t>
        </is>
      </c>
    </row>
    <row r="54">
      <c r="B54" s="18" t="inlineStr">
        <is>
          <t>Kelas 12 IPA</t>
        </is>
      </c>
      <c r="C54" s="18" t="inlineStr">
        <is>
          <t>INV-2024-11</t>
        </is>
      </c>
    </row>
    <row r="55">
      <c r="B55" s="18" t="inlineStr">
        <is>
          <t>Kelas Unggulan</t>
        </is>
      </c>
      <c r="C55" s="18" t="inlineStr">
        <is>
          <t>INV-2026-12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#054 — RUMUS EXCEL: LEN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(LEN)</t>
        </is>
      </c>
    </row>
    <row r="5" ht="21" customHeight="1">
      <c r="B5" s="12" t="inlineStr">
        <is>
          <t>Nama Rumus Excel</t>
        </is>
      </c>
      <c r="C5" s="13">
        <f>LEN(...)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LEN(teks)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jumlah total karakter/huruf (termasuk spasi) di dalam sebuah sel. Penting untuk validasi digit NIK atau Nomor HP!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LEN)</t>
        </is>
      </c>
    </row>
    <row r="10">
      <c r="B10" s="16" t="inlineStr">
        <is>
          <t>Data Asal</t>
        </is>
      </c>
      <c r="C10" s="16" t="inlineStr">
        <is>
          <t>Teks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budi santoso</t>
        </is>
      </c>
      <c r="E11" s="19" t="inlineStr">
        <is>
          <t>Kasus Contoh:</t>
        </is>
      </c>
      <c r="F11" s="20" t="inlineStr">
        <is>
          <t>Terapkan rumus teks LEN pada teks di sel C11 ("budi santoso")!</t>
        </is>
      </c>
    </row>
    <row r="12">
      <c r="B12" s="18" t="inlineStr">
        <is>
          <t>Cabang Bandung</t>
        </is>
      </c>
      <c r="C12" s="18" t="inlineStr">
        <is>
          <t>jakarta pusat</t>
        </is>
      </c>
      <c r="E12" s="19" t="inlineStr">
        <is>
          <t>Rumus yang Diketik:</t>
        </is>
      </c>
      <c r="F12" s="21" t="inlineStr">
        <is>
          <t>'=LEN(C11)</t>
        </is>
      </c>
    </row>
    <row r="13">
      <c r="B13" s="18" t="inlineStr">
        <is>
          <t>Cabang Surabaya</t>
        </is>
      </c>
      <c r="C13" s="18" t="inlineStr">
        <is>
          <t>surabaya timur</t>
        </is>
      </c>
      <c r="E13" s="19" t="inlineStr">
        <is>
          <t>Hasil Otomatis Excel:</t>
        </is>
      </c>
      <c r="F13" s="22">
        <f>LEN(C11)</f>
        <v/>
      </c>
    </row>
    <row r="14">
      <c r="B14" s="18" t="inlineStr">
        <is>
          <t>Cabang Medan</t>
        </is>
      </c>
      <c r="C14" s="18" t="inlineStr">
        <is>
          <t>medan kota</t>
        </is>
      </c>
    </row>
    <row r="16" ht="26" customHeight="1">
      <c r="B16" s="23" t="inlineStr">
        <is>
          <t>3️⃣ 5 PERSOALAN DUNIA NYATA (KETIK RUMUS LEN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Asal</t>
        </is>
      </c>
      <c r="C19" s="12" t="inlineStr">
        <is>
          <t>Teks Input</t>
        </is>
      </c>
      <c r="E19" s="25" t="inlineStr">
        <is>
          <t>Persoalan #1: Terapkan rumus teks LEN pada teks di sel C20 ("budi santoso")!</t>
        </is>
      </c>
    </row>
    <row r="20">
      <c r="B20" s="18" t="inlineStr">
        <is>
          <t>Cabang Jakarta</t>
        </is>
      </c>
      <c r="C20" s="18" t="inlineStr">
        <is>
          <t>budi santoso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jakarta pusat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LEN(C20)</f>
        <v/>
      </c>
      <c r="H21" s="29" t="inlineStr">
        <is>
          <t>Ketik: =LEN(C20)</t>
        </is>
      </c>
    </row>
    <row r="22">
      <c r="B22" s="18" t="inlineStr">
        <is>
          <t>Cabang Surabaya</t>
        </is>
      </c>
      <c r="C22" s="18" t="inlineStr">
        <is>
          <t>surabaya timur</t>
        </is>
      </c>
    </row>
    <row r="23">
      <c r="B23" s="18" t="inlineStr">
        <is>
          <t>Cabang Medan</t>
        </is>
      </c>
      <c r="C23" s="18" t="inlineStr">
        <is>
          <t>medan kota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Asal</t>
        </is>
      </c>
      <c r="C27" s="12" t="inlineStr">
        <is>
          <t>Teks Input</t>
        </is>
      </c>
      <c r="E27" s="25" t="inlineStr">
        <is>
          <t>Persoalan #2: Terapkan rumus teks LEN pada teks di sel C28 ("siti aminah")!</t>
        </is>
      </c>
    </row>
    <row r="28">
      <c r="B28" s="18" t="inlineStr">
        <is>
          <t>Budi Santoso</t>
        </is>
      </c>
      <c r="C28" s="18" t="inlineStr">
        <is>
          <t>siti aminah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jakarta pusat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LEN(C28)</f>
        <v/>
      </c>
      <c r="H29" s="29" t="inlineStr">
        <is>
          <t>Ketik: =LEN(C28)</t>
        </is>
      </c>
    </row>
    <row r="30">
      <c r="B30" s="18" t="inlineStr">
        <is>
          <t>Andi Pratama</t>
        </is>
      </c>
      <c r="C30" s="18" t="inlineStr">
        <is>
          <t>surabaya timur</t>
        </is>
      </c>
    </row>
    <row r="31">
      <c r="B31" s="18" t="inlineStr">
        <is>
          <t>Rina Wijaya</t>
        </is>
      </c>
      <c r="C31" s="18" t="inlineStr">
        <is>
          <t>medan kota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Asal</t>
        </is>
      </c>
      <c r="C35" s="12" t="inlineStr">
        <is>
          <t>Teks Input</t>
        </is>
      </c>
      <c r="E35" s="25" t="inlineStr">
        <is>
          <t>Persoalan #3: Terapkan rumus teks LEN pada teks di sel C36 ("andi pratama")!</t>
        </is>
      </c>
    </row>
    <row r="36">
      <c r="B36" s="18" t="inlineStr">
        <is>
          <t>Gudang Blok A</t>
        </is>
      </c>
      <c r="C36" s="18" t="inlineStr">
        <is>
          <t>andi pratama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jakarta pusat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LEN(C36)</f>
        <v/>
      </c>
      <c r="H37" s="29" t="inlineStr">
        <is>
          <t>Ketik: =LEN(C36)</t>
        </is>
      </c>
    </row>
    <row r="38">
      <c r="B38" s="18" t="inlineStr">
        <is>
          <t>Gudang Blok C</t>
        </is>
      </c>
      <c r="C38" s="18" t="inlineStr">
        <is>
          <t>surabaya timur</t>
        </is>
      </c>
    </row>
    <row r="39">
      <c r="B39" s="18" t="inlineStr">
        <is>
          <t>Gudang Blok D</t>
        </is>
      </c>
      <c r="C39" s="18" t="inlineStr">
        <is>
          <t>medan kota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Asal</t>
        </is>
      </c>
      <c r="C43" s="12" t="inlineStr">
        <is>
          <t>Teks Input</t>
        </is>
      </c>
      <c r="E43" s="25" t="inlineStr">
        <is>
          <t>Persoalan #4: Terapkan rumus teks LEN pada teks di sel C44 ("rina wijaya")!</t>
        </is>
      </c>
    </row>
    <row r="44">
      <c r="B44" s="18" t="inlineStr">
        <is>
          <t>Toko Elektronik</t>
        </is>
      </c>
      <c r="C44" s="18" t="inlineStr">
        <is>
          <t>rina wijaya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jakarta pusat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LEN(C44)</f>
        <v/>
      </c>
      <c r="H45" s="29" t="inlineStr">
        <is>
          <t>Ketik: =LEN(C44)</t>
        </is>
      </c>
    </row>
    <row r="46">
      <c r="B46" s="18" t="inlineStr">
        <is>
          <t>Toko Aksesoris</t>
        </is>
      </c>
      <c r="C46" s="18" t="inlineStr">
        <is>
          <t>surabaya timur</t>
        </is>
      </c>
    </row>
    <row r="47">
      <c r="B47" s="18" t="inlineStr">
        <is>
          <t>Toko Servis</t>
        </is>
      </c>
      <c r="C47" s="18" t="inlineStr">
        <is>
          <t>medan kota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Asal</t>
        </is>
      </c>
      <c r="C51" s="12" t="inlineStr">
        <is>
          <t>Teks Input</t>
        </is>
      </c>
      <c r="E51" s="25" t="inlineStr">
        <is>
          <t>Persoalan #5: Terapkan rumus teks LEN pada teks di sel C52 ("budi santoso")!</t>
        </is>
      </c>
    </row>
    <row r="52">
      <c r="B52" s="18" t="inlineStr">
        <is>
          <t>Kelas 10 IPA</t>
        </is>
      </c>
      <c r="C52" s="18" t="inlineStr">
        <is>
          <t>budi santoso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jakarta pusat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LEN(C52)</f>
        <v/>
      </c>
      <c r="H53" s="29" t="inlineStr">
        <is>
          <t>Ketik: =LEN(C52)</t>
        </is>
      </c>
    </row>
    <row r="54">
      <c r="B54" s="18" t="inlineStr">
        <is>
          <t>Kelas 12 IPA</t>
        </is>
      </c>
      <c r="C54" s="18" t="inlineStr">
        <is>
          <t>surabaya timur</t>
        </is>
      </c>
    </row>
    <row r="55">
      <c r="B55" s="18" t="inlineStr">
        <is>
          <t>Kelas Unggulan</t>
        </is>
      </c>
      <c r="C55" s="18" t="inlineStr">
        <is>
          <t>medan kota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#055 — RUMUS EXCEL: TRIM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(TRIM)</t>
        </is>
      </c>
    </row>
    <row r="5" ht="21" customHeight="1">
      <c r="B5" s="12" t="inlineStr">
        <is>
          <t>Nama Rumus Excel</t>
        </is>
      </c>
      <c r="C5" s="13">
        <f>TRIM(...)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TRIM(teks)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Sapu bersih spasi berlebih! Menghapus spasi ganda yang tidak sengaja terketik di awal, tengah, atau akhir nama.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TRIM)</t>
        </is>
      </c>
    </row>
    <row r="10">
      <c r="B10" s="16" t="inlineStr">
        <is>
          <t>Data Kotor</t>
        </is>
      </c>
      <c r="C10" s="16" t="inlineStr">
        <is>
          <t>Teks Berantakan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 xml:space="preserve">  Budi   Santoso  </t>
        </is>
      </c>
      <c r="E11" s="19" t="inlineStr">
        <is>
          <t>Kasus Contoh:</t>
        </is>
      </c>
      <c r="F11" s="20" t="inlineStr">
        <is>
          <t>Bersihkan spasi berlebih pada teks di sel C11 menggunakan rumus TRIM!</t>
        </is>
      </c>
    </row>
    <row r="12">
      <c r="B12" s="18" t="inlineStr">
        <is>
          <t>Cabang Bandung</t>
        </is>
      </c>
      <c r="C12" s="18" t="inlineStr">
        <is>
          <t xml:space="preserve">  Siti  Aminah </t>
        </is>
      </c>
      <c r="E12" s="19" t="inlineStr">
        <is>
          <t>Rumus yang Diketik:</t>
        </is>
      </c>
      <c r="F12" s="21" t="inlineStr">
        <is>
          <t>'=TRIM(C11)</t>
        </is>
      </c>
    </row>
    <row r="13">
      <c r="B13" s="18" t="inlineStr">
        <is>
          <t>Cabang Surabaya</t>
        </is>
      </c>
      <c r="C13" s="18" t="inlineStr">
        <is>
          <t xml:space="preserve"> Andi   Pratama </t>
        </is>
      </c>
      <c r="E13" s="19" t="inlineStr">
        <is>
          <t>Hasil Otomatis Excel:</t>
        </is>
      </c>
      <c r="F13" s="22">
        <f>TRIM(C11)</f>
        <v/>
      </c>
    </row>
    <row r="14">
      <c r="B14" s="18" t="inlineStr">
        <is>
          <t>Cabang Medan</t>
        </is>
      </c>
      <c r="C14" s="18" t="inlineStr">
        <is>
          <t xml:space="preserve"> Rina  Wijaya </t>
        </is>
      </c>
    </row>
    <row r="16" ht="26" customHeight="1">
      <c r="B16" s="23" t="inlineStr">
        <is>
          <t>3️⃣ 5 PERSOALAN DUNIA NYATA (KETIK RUMUS TRIM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Kotor</t>
        </is>
      </c>
      <c r="C19" s="12" t="inlineStr">
        <is>
          <t>Teks Berantakan</t>
        </is>
      </c>
      <c r="E19" s="25" t="inlineStr">
        <is>
          <t>Persoalan #1: Bersihkan spasi berlebih pada teks di sel C20 menggunakan rumus TRIM!</t>
        </is>
      </c>
    </row>
    <row r="20">
      <c r="B20" s="18" t="inlineStr">
        <is>
          <t>Cabang Jakarta</t>
        </is>
      </c>
      <c r="C20" s="18" t="inlineStr">
        <is>
          <t xml:space="preserve">  Budi   Santoso  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 xml:space="preserve">  Siti  Aminah 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TRIM(C20)</f>
        <v/>
      </c>
      <c r="H21" s="29" t="inlineStr">
        <is>
          <t>Ketik: =TRIM(C20)</t>
        </is>
      </c>
    </row>
    <row r="22">
      <c r="B22" s="18" t="inlineStr">
        <is>
          <t>Cabang Surabaya</t>
        </is>
      </c>
      <c r="C22" s="18" t="inlineStr">
        <is>
          <t xml:space="preserve"> Andi   Pratama </t>
        </is>
      </c>
    </row>
    <row r="23">
      <c r="B23" s="18" t="inlineStr">
        <is>
          <t>Cabang Medan</t>
        </is>
      </c>
      <c r="C23" s="18" t="inlineStr">
        <is>
          <t xml:space="preserve"> Rina  Wijaya 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Kotor</t>
        </is>
      </c>
      <c r="C27" s="12" t="inlineStr">
        <is>
          <t>Teks Berantakan</t>
        </is>
      </c>
      <c r="E27" s="25" t="inlineStr">
        <is>
          <t>Persoalan #2: Bersihkan spasi berlebih pada teks di sel C28 menggunakan rumus TRIM!</t>
        </is>
      </c>
    </row>
    <row r="28">
      <c r="B28" s="18" t="inlineStr">
        <is>
          <t>Budi Santoso</t>
        </is>
      </c>
      <c r="C28" s="18" t="inlineStr">
        <is>
          <t xml:space="preserve">  Budi   Santoso  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 xml:space="preserve">  Siti  Aminah 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TRIM(C28)</f>
        <v/>
      </c>
      <c r="H29" s="29" t="inlineStr">
        <is>
          <t>Ketik: =TRIM(C28)</t>
        </is>
      </c>
    </row>
    <row r="30">
      <c r="B30" s="18" t="inlineStr">
        <is>
          <t>Andi Pratama</t>
        </is>
      </c>
      <c r="C30" s="18" t="inlineStr">
        <is>
          <t xml:space="preserve"> Andi   Pratama </t>
        </is>
      </c>
    </row>
    <row r="31">
      <c r="B31" s="18" t="inlineStr">
        <is>
          <t>Rina Wijaya</t>
        </is>
      </c>
      <c r="C31" s="18" t="inlineStr">
        <is>
          <t xml:space="preserve"> Rina  Wijaya 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Kotor</t>
        </is>
      </c>
      <c r="C35" s="12" t="inlineStr">
        <is>
          <t>Teks Berantakan</t>
        </is>
      </c>
      <c r="E35" s="25" t="inlineStr">
        <is>
          <t>Persoalan #3: Bersihkan spasi berlebih pada teks di sel C36 menggunakan rumus TRIM!</t>
        </is>
      </c>
    </row>
    <row r="36">
      <c r="B36" s="18" t="inlineStr">
        <is>
          <t>Gudang Blok A</t>
        </is>
      </c>
      <c r="C36" s="18" t="inlineStr">
        <is>
          <t xml:space="preserve">  Budi   Santoso  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 xml:space="preserve">  Siti  Aminah 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TRIM(C36)</f>
        <v/>
      </c>
      <c r="H37" s="29" t="inlineStr">
        <is>
          <t>Ketik: =TRIM(C36)</t>
        </is>
      </c>
    </row>
    <row r="38">
      <c r="B38" s="18" t="inlineStr">
        <is>
          <t>Gudang Blok C</t>
        </is>
      </c>
      <c r="C38" s="18" t="inlineStr">
        <is>
          <t xml:space="preserve"> Andi   Pratama </t>
        </is>
      </c>
    </row>
    <row r="39">
      <c r="B39" s="18" t="inlineStr">
        <is>
          <t>Gudang Blok D</t>
        </is>
      </c>
      <c r="C39" s="18" t="inlineStr">
        <is>
          <t xml:space="preserve"> Rina  Wijaya 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Kotor</t>
        </is>
      </c>
      <c r="C43" s="12" t="inlineStr">
        <is>
          <t>Teks Berantakan</t>
        </is>
      </c>
      <c r="E43" s="25" t="inlineStr">
        <is>
          <t>Persoalan #4: Bersihkan spasi berlebih pada teks di sel C44 menggunakan rumus TRIM!</t>
        </is>
      </c>
    </row>
    <row r="44">
      <c r="B44" s="18" t="inlineStr">
        <is>
          <t>Toko Elektronik</t>
        </is>
      </c>
      <c r="C44" s="18" t="inlineStr">
        <is>
          <t xml:space="preserve">  Budi   Santoso  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 xml:space="preserve">  Siti  Aminah 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TRIM(C44)</f>
        <v/>
      </c>
      <c r="H45" s="29" t="inlineStr">
        <is>
          <t>Ketik: =TRIM(C44)</t>
        </is>
      </c>
    </row>
    <row r="46">
      <c r="B46" s="18" t="inlineStr">
        <is>
          <t>Toko Aksesoris</t>
        </is>
      </c>
      <c r="C46" s="18" t="inlineStr">
        <is>
          <t xml:space="preserve"> Andi   Pratama </t>
        </is>
      </c>
    </row>
    <row r="47">
      <c r="B47" s="18" t="inlineStr">
        <is>
          <t>Toko Servis</t>
        </is>
      </c>
      <c r="C47" s="18" t="inlineStr">
        <is>
          <t xml:space="preserve"> Rina  Wijaya 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Kotor</t>
        </is>
      </c>
      <c r="C51" s="12" t="inlineStr">
        <is>
          <t>Teks Berantakan</t>
        </is>
      </c>
      <c r="E51" s="25" t="inlineStr">
        <is>
          <t>Persoalan #5: Bersihkan spasi berlebih pada teks di sel C52 menggunakan rumus TRIM!</t>
        </is>
      </c>
    </row>
    <row r="52">
      <c r="B52" s="18" t="inlineStr">
        <is>
          <t>Kelas 10 IPA</t>
        </is>
      </c>
      <c r="C52" s="18" t="inlineStr">
        <is>
          <t xml:space="preserve">  Budi   Santoso  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 xml:space="preserve">  Siti  Aminah 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TRIM(C52)</f>
        <v/>
      </c>
      <c r="H53" s="29" t="inlineStr">
        <is>
          <t>Ketik: =TRIM(C52)</t>
        </is>
      </c>
    </row>
    <row r="54">
      <c r="B54" s="18" t="inlineStr">
        <is>
          <t>Kelas 12 IPA</t>
        </is>
      </c>
      <c r="C54" s="18" t="inlineStr">
        <is>
          <t xml:space="preserve"> Andi   Pratama </t>
        </is>
      </c>
    </row>
    <row r="55">
      <c r="B55" s="18" t="inlineStr">
        <is>
          <t>Kelas Unggulan</t>
        </is>
      </c>
      <c r="C55" s="18" t="inlineStr">
        <is>
          <t xml:space="preserve"> Rina  Wijaya 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#056 — RUMUS EXCEL: CLEAN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(CLEAN)</t>
        </is>
      </c>
    </row>
    <row r="5" ht="21" customHeight="1">
      <c r="B5" s="12" t="inlineStr">
        <is>
          <t>Nama Rumus Excel</t>
        </is>
      </c>
      <c r="C5" s="13">
        <f>CLEAN(...)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CLEAN(teks)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Membersihkan karakter aneh/tak terlihat hasil copy-paste dari web atau sistem lain.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CLEAN)</t>
        </is>
      </c>
    </row>
    <row r="10">
      <c r="B10" s="16" t="inlineStr">
        <is>
          <t>Data Asal</t>
        </is>
      </c>
      <c r="C10" s="16" t="inlineStr">
        <is>
          <t>Teks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budi santoso</t>
        </is>
      </c>
      <c r="E11" s="19" t="inlineStr">
        <is>
          <t>Kasus Contoh:</t>
        </is>
      </c>
      <c r="F11" s="20" t="inlineStr">
        <is>
          <t>Terapkan rumus teks CLEAN pada teks di sel C11 ("budi santoso")!</t>
        </is>
      </c>
    </row>
    <row r="12">
      <c r="B12" s="18" t="inlineStr">
        <is>
          <t>Cabang Bandung</t>
        </is>
      </c>
      <c r="C12" s="18" t="inlineStr">
        <is>
          <t>jakarta pusat</t>
        </is>
      </c>
      <c r="E12" s="19" t="inlineStr">
        <is>
          <t>Rumus yang Diketik:</t>
        </is>
      </c>
      <c r="F12" s="21" t="inlineStr">
        <is>
          <t>'=CLEAN(C11)</t>
        </is>
      </c>
    </row>
    <row r="13">
      <c r="B13" s="18" t="inlineStr">
        <is>
          <t>Cabang Surabaya</t>
        </is>
      </c>
      <c r="C13" s="18" t="inlineStr">
        <is>
          <t>surabaya timur</t>
        </is>
      </c>
      <c r="E13" s="19" t="inlineStr">
        <is>
          <t>Hasil Otomatis Excel:</t>
        </is>
      </c>
      <c r="F13" s="22">
        <f>CLEAN(C11)</f>
        <v/>
      </c>
    </row>
    <row r="14">
      <c r="B14" s="18" t="inlineStr">
        <is>
          <t>Cabang Medan</t>
        </is>
      </c>
      <c r="C14" s="18" t="inlineStr">
        <is>
          <t>medan kota</t>
        </is>
      </c>
    </row>
    <row r="16" ht="26" customHeight="1">
      <c r="B16" s="23" t="inlineStr">
        <is>
          <t>3️⃣ 5 PERSOALAN DUNIA NYATA (KETIK RUMUS CLEAN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Asal</t>
        </is>
      </c>
      <c r="C19" s="12" t="inlineStr">
        <is>
          <t>Teks Input</t>
        </is>
      </c>
      <c r="E19" s="25" t="inlineStr">
        <is>
          <t>Persoalan #1: Terapkan rumus teks CLEAN pada teks di sel C20 ("budi santoso")!</t>
        </is>
      </c>
    </row>
    <row r="20">
      <c r="B20" s="18" t="inlineStr">
        <is>
          <t>Cabang Jakarta</t>
        </is>
      </c>
      <c r="C20" s="18" t="inlineStr">
        <is>
          <t>budi santoso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jakarta pusat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CLEAN(C20)</f>
        <v/>
      </c>
      <c r="H21" s="29" t="inlineStr">
        <is>
          <t>Ketik: =CLEAN(C20)</t>
        </is>
      </c>
    </row>
    <row r="22">
      <c r="B22" s="18" t="inlineStr">
        <is>
          <t>Cabang Surabaya</t>
        </is>
      </c>
      <c r="C22" s="18" t="inlineStr">
        <is>
          <t>surabaya timur</t>
        </is>
      </c>
    </row>
    <row r="23">
      <c r="B23" s="18" t="inlineStr">
        <is>
          <t>Cabang Medan</t>
        </is>
      </c>
      <c r="C23" s="18" t="inlineStr">
        <is>
          <t>medan kota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Asal</t>
        </is>
      </c>
      <c r="C27" s="12" t="inlineStr">
        <is>
          <t>Teks Input</t>
        </is>
      </c>
      <c r="E27" s="25" t="inlineStr">
        <is>
          <t>Persoalan #2: Terapkan rumus teks CLEAN pada teks di sel C28 ("siti aminah")!</t>
        </is>
      </c>
    </row>
    <row r="28">
      <c r="B28" s="18" t="inlineStr">
        <is>
          <t>Budi Santoso</t>
        </is>
      </c>
      <c r="C28" s="18" t="inlineStr">
        <is>
          <t>siti aminah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jakarta pusat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CLEAN(C28)</f>
        <v/>
      </c>
      <c r="H29" s="29" t="inlineStr">
        <is>
          <t>Ketik: =CLEAN(C28)</t>
        </is>
      </c>
    </row>
    <row r="30">
      <c r="B30" s="18" t="inlineStr">
        <is>
          <t>Andi Pratama</t>
        </is>
      </c>
      <c r="C30" s="18" t="inlineStr">
        <is>
          <t>surabaya timur</t>
        </is>
      </c>
    </row>
    <row r="31">
      <c r="B31" s="18" t="inlineStr">
        <is>
          <t>Rina Wijaya</t>
        </is>
      </c>
      <c r="C31" s="18" t="inlineStr">
        <is>
          <t>medan kota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Asal</t>
        </is>
      </c>
      <c r="C35" s="12" t="inlineStr">
        <is>
          <t>Teks Input</t>
        </is>
      </c>
      <c r="E35" s="25" t="inlineStr">
        <is>
          <t>Persoalan #3: Terapkan rumus teks CLEAN pada teks di sel C36 ("andi pratama")!</t>
        </is>
      </c>
    </row>
    <row r="36">
      <c r="B36" s="18" t="inlineStr">
        <is>
          <t>Gudang Blok A</t>
        </is>
      </c>
      <c r="C36" s="18" t="inlineStr">
        <is>
          <t>andi pratama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jakarta pusat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CLEAN(C36)</f>
        <v/>
      </c>
      <c r="H37" s="29" t="inlineStr">
        <is>
          <t>Ketik: =CLEAN(C36)</t>
        </is>
      </c>
    </row>
    <row r="38">
      <c r="B38" s="18" t="inlineStr">
        <is>
          <t>Gudang Blok C</t>
        </is>
      </c>
      <c r="C38" s="18" t="inlineStr">
        <is>
          <t>surabaya timur</t>
        </is>
      </c>
    </row>
    <row r="39">
      <c r="B39" s="18" t="inlineStr">
        <is>
          <t>Gudang Blok D</t>
        </is>
      </c>
      <c r="C39" s="18" t="inlineStr">
        <is>
          <t>medan kota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Asal</t>
        </is>
      </c>
      <c r="C43" s="12" t="inlineStr">
        <is>
          <t>Teks Input</t>
        </is>
      </c>
      <c r="E43" s="25" t="inlineStr">
        <is>
          <t>Persoalan #4: Terapkan rumus teks CLEAN pada teks di sel C44 ("rina wijaya")!</t>
        </is>
      </c>
    </row>
    <row r="44">
      <c r="B44" s="18" t="inlineStr">
        <is>
          <t>Toko Elektronik</t>
        </is>
      </c>
      <c r="C44" s="18" t="inlineStr">
        <is>
          <t>rina wijaya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jakarta pusat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CLEAN(C44)</f>
        <v/>
      </c>
      <c r="H45" s="29" t="inlineStr">
        <is>
          <t>Ketik: =CLEAN(C44)</t>
        </is>
      </c>
    </row>
    <row r="46">
      <c r="B46" s="18" t="inlineStr">
        <is>
          <t>Toko Aksesoris</t>
        </is>
      </c>
      <c r="C46" s="18" t="inlineStr">
        <is>
          <t>surabaya timur</t>
        </is>
      </c>
    </row>
    <row r="47">
      <c r="B47" s="18" t="inlineStr">
        <is>
          <t>Toko Servis</t>
        </is>
      </c>
      <c r="C47" s="18" t="inlineStr">
        <is>
          <t>medan kota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Asal</t>
        </is>
      </c>
      <c r="C51" s="12" t="inlineStr">
        <is>
          <t>Teks Input</t>
        </is>
      </c>
      <c r="E51" s="25" t="inlineStr">
        <is>
          <t>Persoalan #5: Terapkan rumus teks CLEAN pada teks di sel C52 ("budi santoso")!</t>
        </is>
      </c>
    </row>
    <row r="52">
      <c r="B52" s="18" t="inlineStr">
        <is>
          <t>Kelas 10 IPA</t>
        </is>
      </c>
      <c r="C52" s="18" t="inlineStr">
        <is>
          <t>budi santoso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jakarta pusat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CLEAN(C52)</f>
        <v/>
      </c>
      <c r="H53" s="29" t="inlineStr">
        <is>
          <t>Ketik: =CLEAN(C52)</t>
        </is>
      </c>
    </row>
    <row r="54">
      <c r="B54" s="18" t="inlineStr">
        <is>
          <t>Kelas 12 IPA</t>
        </is>
      </c>
      <c r="C54" s="18" t="inlineStr">
        <is>
          <t>surabaya timur</t>
        </is>
      </c>
    </row>
    <row r="55">
      <c r="B55" s="18" t="inlineStr">
        <is>
          <t>Kelas Unggulan</t>
        </is>
      </c>
      <c r="C55" s="18" t="inlineStr">
        <is>
          <t>medan kota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#057 — RUMUS EXCEL: UPPER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(UPPER)</t>
        </is>
      </c>
    </row>
    <row r="5" ht="21" customHeight="1">
      <c r="B5" s="12" t="inlineStr">
        <is>
          <t>Nama Rumus Excel</t>
        </is>
      </c>
      <c r="C5" s="13">
        <f>UPPER(...)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UPPER(teks)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SEMUA huruf menjadi HURUF BESAR (KAPITAL) semua.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UPPER)</t>
        </is>
      </c>
    </row>
    <row r="10">
      <c r="B10" s="16" t="inlineStr">
        <is>
          <t>Data Asal</t>
        </is>
      </c>
      <c r="C10" s="16" t="inlineStr">
        <is>
          <t>Teks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budi santoso</t>
        </is>
      </c>
      <c r="E11" s="19" t="inlineStr">
        <is>
          <t>Kasus Contoh:</t>
        </is>
      </c>
      <c r="F11" s="20" t="inlineStr">
        <is>
          <t>Terapkan rumus teks UPPER pada teks di sel C11 ("budi santoso")!</t>
        </is>
      </c>
    </row>
    <row r="12">
      <c r="B12" s="18" t="inlineStr">
        <is>
          <t>Cabang Bandung</t>
        </is>
      </c>
      <c r="C12" s="18" t="inlineStr">
        <is>
          <t>jakarta pusat</t>
        </is>
      </c>
      <c r="E12" s="19" t="inlineStr">
        <is>
          <t>Rumus yang Diketik:</t>
        </is>
      </c>
      <c r="F12" s="21" t="inlineStr">
        <is>
          <t>'=UPPER(C11)</t>
        </is>
      </c>
    </row>
    <row r="13">
      <c r="B13" s="18" t="inlineStr">
        <is>
          <t>Cabang Surabaya</t>
        </is>
      </c>
      <c r="C13" s="18" t="inlineStr">
        <is>
          <t>surabaya timur</t>
        </is>
      </c>
      <c r="E13" s="19" t="inlineStr">
        <is>
          <t>Hasil Otomatis Excel:</t>
        </is>
      </c>
      <c r="F13" s="22">
        <f>UPPER(C11)</f>
        <v/>
      </c>
    </row>
    <row r="14">
      <c r="B14" s="18" t="inlineStr">
        <is>
          <t>Cabang Medan</t>
        </is>
      </c>
      <c r="C14" s="18" t="inlineStr">
        <is>
          <t>medan kota</t>
        </is>
      </c>
    </row>
    <row r="16" ht="26" customHeight="1">
      <c r="B16" s="23" t="inlineStr">
        <is>
          <t>3️⃣ 5 PERSOALAN DUNIA NYATA (KETIK RUMUS UPPER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Asal</t>
        </is>
      </c>
      <c r="C19" s="12" t="inlineStr">
        <is>
          <t>Teks Input</t>
        </is>
      </c>
      <c r="E19" s="25" t="inlineStr">
        <is>
          <t>Persoalan #1: Terapkan rumus teks UPPER pada teks di sel C20 ("budi santoso")!</t>
        </is>
      </c>
    </row>
    <row r="20">
      <c r="B20" s="18" t="inlineStr">
        <is>
          <t>Cabang Jakarta</t>
        </is>
      </c>
      <c r="C20" s="18" t="inlineStr">
        <is>
          <t>budi santoso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jakarta pusat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UPPER(C20)</f>
        <v/>
      </c>
      <c r="H21" s="29" t="inlineStr">
        <is>
          <t>Ketik: =UPPER(C20)</t>
        </is>
      </c>
    </row>
    <row r="22">
      <c r="B22" s="18" t="inlineStr">
        <is>
          <t>Cabang Surabaya</t>
        </is>
      </c>
      <c r="C22" s="18" t="inlineStr">
        <is>
          <t>surabaya timur</t>
        </is>
      </c>
    </row>
    <row r="23">
      <c r="B23" s="18" t="inlineStr">
        <is>
          <t>Cabang Medan</t>
        </is>
      </c>
      <c r="C23" s="18" t="inlineStr">
        <is>
          <t>medan kota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Asal</t>
        </is>
      </c>
      <c r="C27" s="12" t="inlineStr">
        <is>
          <t>Teks Input</t>
        </is>
      </c>
      <c r="E27" s="25" t="inlineStr">
        <is>
          <t>Persoalan #2: Terapkan rumus teks UPPER pada teks di sel C28 ("siti aminah")!</t>
        </is>
      </c>
    </row>
    <row r="28">
      <c r="B28" s="18" t="inlineStr">
        <is>
          <t>Budi Santoso</t>
        </is>
      </c>
      <c r="C28" s="18" t="inlineStr">
        <is>
          <t>siti aminah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jakarta pusat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UPPER(C28)</f>
        <v/>
      </c>
      <c r="H29" s="29" t="inlineStr">
        <is>
          <t>Ketik: =UPPER(C28)</t>
        </is>
      </c>
    </row>
    <row r="30">
      <c r="B30" s="18" t="inlineStr">
        <is>
          <t>Andi Pratama</t>
        </is>
      </c>
      <c r="C30" s="18" t="inlineStr">
        <is>
          <t>surabaya timur</t>
        </is>
      </c>
    </row>
    <row r="31">
      <c r="B31" s="18" t="inlineStr">
        <is>
          <t>Rina Wijaya</t>
        </is>
      </c>
      <c r="C31" s="18" t="inlineStr">
        <is>
          <t>medan kota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Asal</t>
        </is>
      </c>
      <c r="C35" s="12" t="inlineStr">
        <is>
          <t>Teks Input</t>
        </is>
      </c>
      <c r="E35" s="25" t="inlineStr">
        <is>
          <t>Persoalan #3: Terapkan rumus teks UPPER pada teks di sel C36 ("andi pratama")!</t>
        </is>
      </c>
    </row>
    <row r="36">
      <c r="B36" s="18" t="inlineStr">
        <is>
          <t>Gudang Blok A</t>
        </is>
      </c>
      <c r="C36" s="18" t="inlineStr">
        <is>
          <t>andi pratama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jakarta pusat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UPPER(C36)</f>
        <v/>
      </c>
      <c r="H37" s="29" t="inlineStr">
        <is>
          <t>Ketik: =UPPER(C36)</t>
        </is>
      </c>
    </row>
    <row r="38">
      <c r="B38" s="18" t="inlineStr">
        <is>
          <t>Gudang Blok C</t>
        </is>
      </c>
      <c r="C38" s="18" t="inlineStr">
        <is>
          <t>surabaya timur</t>
        </is>
      </c>
    </row>
    <row r="39">
      <c r="B39" s="18" t="inlineStr">
        <is>
          <t>Gudang Blok D</t>
        </is>
      </c>
      <c r="C39" s="18" t="inlineStr">
        <is>
          <t>medan kota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Asal</t>
        </is>
      </c>
      <c r="C43" s="12" t="inlineStr">
        <is>
          <t>Teks Input</t>
        </is>
      </c>
      <c r="E43" s="25" t="inlineStr">
        <is>
          <t>Persoalan #4: Terapkan rumus teks UPPER pada teks di sel C44 ("rina wijaya")!</t>
        </is>
      </c>
    </row>
    <row r="44">
      <c r="B44" s="18" t="inlineStr">
        <is>
          <t>Toko Elektronik</t>
        </is>
      </c>
      <c r="C44" s="18" t="inlineStr">
        <is>
          <t>rina wijaya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jakarta pusat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UPPER(C44)</f>
        <v/>
      </c>
      <c r="H45" s="29" t="inlineStr">
        <is>
          <t>Ketik: =UPPER(C44)</t>
        </is>
      </c>
    </row>
    <row r="46">
      <c r="B46" s="18" t="inlineStr">
        <is>
          <t>Toko Aksesoris</t>
        </is>
      </c>
      <c r="C46" s="18" t="inlineStr">
        <is>
          <t>surabaya timur</t>
        </is>
      </c>
    </row>
    <row r="47">
      <c r="B47" s="18" t="inlineStr">
        <is>
          <t>Toko Servis</t>
        </is>
      </c>
      <c r="C47" s="18" t="inlineStr">
        <is>
          <t>medan kota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Asal</t>
        </is>
      </c>
      <c r="C51" s="12" t="inlineStr">
        <is>
          <t>Teks Input</t>
        </is>
      </c>
      <c r="E51" s="25" t="inlineStr">
        <is>
          <t>Persoalan #5: Terapkan rumus teks UPPER pada teks di sel C52 ("budi santoso")!</t>
        </is>
      </c>
    </row>
    <row r="52">
      <c r="B52" s="18" t="inlineStr">
        <is>
          <t>Kelas 10 IPA</t>
        </is>
      </c>
      <c r="C52" s="18" t="inlineStr">
        <is>
          <t>budi santoso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jakarta pusat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UPPER(C52)</f>
        <v/>
      </c>
      <c r="H53" s="29" t="inlineStr">
        <is>
          <t>Ketik: =UPPER(C52)</t>
        </is>
      </c>
    </row>
    <row r="54">
      <c r="B54" s="18" t="inlineStr">
        <is>
          <t>Kelas 12 IPA</t>
        </is>
      </c>
      <c r="C54" s="18" t="inlineStr">
        <is>
          <t>surabaya timur</t>
        </is>
      </c>
    </row>
    <row r="55">
      <c r="B55" s="18" t="inlineStr">
        <is>
          <t>Kelas Unggulan</t>
        </is>
      </c>
      <c r="C55" s="18" t="inlineStr">
        <is>
          <t>medan kota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#058 — RUMUS EXCEL: LOWER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(LOWER)</t>
        </is>
      </c>
    </row>
    <row r="5" ht="21" customHeight="1">
      <c r="B5" s="12" t="inlineStr">
        <is>
          <t>Nama Rumus Excel</t>
        </is>
      </c>
      <c r="C5" s="13">
        <f>LOWER(...)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LOWER(teks)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semua huruf menjadi huruf kecil semua (cocok untuk merapikan alamat email).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LOWER)</t>
        </is>
      </c>
    </row>
    <row r="10">
      <c r="B10" s="16" t="inlineStr">
        <is>
          <t>Data Asal</t>
        </is>
      </c>
      <c r="C10" s="16" t="inlineStr">
        <is>
          <t>Teks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budi santoso</t>
        </is>
      </c>
      <c r="E11" s="19" t="inlineStr">
        <is>
          <t>Kasus Contoh:</t>
        </is>
      </c>
      <c r="F11" s="20" t="inlineStr">
        <is>
          <t>Terapkan rumus teks LOWER pada teks di sel C11 ("budi santoso")!</t>
        </is>
      </c>
    </row>
    <row r="12">
      <c r="B12" s="18" t="inlineStr">
        <is>
          <t>Cabang Bandung</t>
        </is>
      </c>
      <c r="C12" s="18" t="inlineStr">
        <is>
          <t>jakarta pusat</t>
        </is>
      </c>
      <c r="E12" s="19" t="inlineStr">
        <is>
          <t>Rumus yang Diketik:</t>
        </is>
      </c>
      <c r="F12" s="21" t="inlineStr">
        <is>
          <t>'=LOWER(C11)</t>
        </is>
      </c>
    </row>
    <row r="13">
      <c r="B13" s="18" t="inlineStr">
        <is>
          <t>Cabang Surabaya</t>
        </is>
      </c>
      <c r="C13" s="18" t="inlineStr">
        <is>
          <t>surabaya timur</t>
        </is>
      </c>
      <c r="E13" s="19" t="inlineStr">
        <is>
          <t>Hasil Otomatis Excel:</t>
        </is>
      </c>
      <c r="F13" s="22">
        <f>LOWER(C11)</f>
        <v/>
      </c>
    </row>
    <row r="14">
      <c r="B14" s="18" t="inlineStr">
        <is>
          <t>Cabang Medan</t>
        </is>
      </c>
      <c r="C14" s="18" t="inlineStr">
        <is>
          <t>medan kota</t>
        </is>
      </c>
    </row>
    <row r="16" ht="26" customHeight="1">
      <c r="B16" s="23" t="inlineStr">
        <is>
          <t>3️⃣ 5 PERSOALAN DUNIA NYATA (KETIK RUMUS LOWER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Asal</t>
        </is>
      </c>
      <c r="C19" s="12" t="inlineStr">
        <is>
          <t>Teks Input</t>
        </is>
      </c>
      <c r="E19" s="25" t="inlineStr">
        <is>
          <t>Persoalan #1: Terapkan rumus teks LOWER pada teks di sel C20 ("budi santoso")!</t>
        </is>
      </c>
    </row>
    <row r="20">
      <c r="B20" s="18" t="inlineStr">
        <is>
          <t>Cabang Jakarta</t>
        </is>
      </c>
      <c r="C20" s="18" t="inlineStr">
        <is>
          <t>budi santoso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jakarta pusat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LOWER(C20)</f>
        <v/>
      </c>
      <c r="H21" s="29" t="inlineStr">
        <is>
          <t>Ketik: =LOWER(C20)</t>
        </is>
      </c>
    </row>
    <row r="22">
      <c r="B22" s="18" t="inlineStr">
        <is>
          <t>Cabang Surabaya</t>
        </is>
      </c>
      <c r="C22" s="18" t="inlineStr">
        <is>
          <t>surabaya timur</t>
        </is>
      </c>
    </row>
    <row r="23">
      <c r="B23" s="18" t="inlineStr">
        <is>
          <t>Cabang Medan</t>
        </is>
      </c>
      <c r="C23" s="18" t="inlineStr">
        <is>
          <t>medan kota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Asal</t>
        </is>
      </c>
      <c r="C27" s="12" t="inlineStr">
        <is>
          <t>Teks Input</t>
        </is>
      </c>
      <c r="E27" s="25" t="inlineStr">
        <is>
          <t>Persoalan #2: Terapkan rumus teks LOWER pada teks di sel C28 ("siti aminah")!</t>
        </is>
      </c>
    </row>
    <row r="28">
      <c r="B28" s="18" t="inlineStr">
        <is>
          <t>Budi Santoso</t>
        </is>
      </c>
      <c r="C28" s="18" t="inlineStr">
        <is>
          <t>siti aminah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jakarta pusat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LOWER(C28)</f>
        <v/>
      </c>
      <c r="H29" s="29" t="inlineStr">
        <is>
          <t>Ketik: =LOWER(C28)</t>
        </is>
      </c>
    </row>
    <row r="30">
      <c r="B30" s="18" t="inlineStr">
        <is>
          <t>Andi Pratama</t>
        </is>
      </c>
      <c r="C30" s="18" t="inlineStr">
        <is>
          <t>surabaya timur</t>
        </is>
      </c>
    </row>
    <row r="31">
      <c r="B31" s="18" t="inlineStr">
        <is>
          <t>Rina Wijaya</t>
        </is>
      </c>
      <c r="C31" s="18" t="inlineStr">
        <is>
          <t>medan kota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Asal</t>
        </is>
      </c>
      <c r="C35" s="12" t="inlineStr">
        <is>
          <t>Teks Input</t>
        </is>
      </c>
      <c r="E35" s="25" t="inlineStr">
        <is>
          <t>Persoalan #3: Terapkan rumus teks LOWER pada teks di sel C36 ("andi pratama")!</t>
        </is>
      </c>
    </row>
    <row r="36">
      <c r="B36" s="18" t="inlineStr">
        <is>
          <t>Gudang Blok A</t>
        </is>
      </c>
      <c r="C36" s="18" t="inlineStr">
        <is>
          <t>andi pratama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jakarta pusat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LOWER(C36)</f>
        <v/>
      </c>
      <c r="H37" s="29" t="inlineStr">
        <is>
          <t>Ketik: =LOWER(C36)</t>
        </is>
      </c>
    </row>
    <row r="38">
      <c r="B38" s="18" t="inlineStr">
        <is>
          <t>Gudang Blok C</t>
        </is>
      </c>
      <c r="C38" s="18" t="inlineStr">
        <is>
          <t>surabaya timur</t>
        </is>
      </c>
    </row>
    <row r="39">
      <c r="B39" s="18" t="inlineStr">
        <is>
          <t>Gudang Blok D</t>
        </is>
      </c>
      <c r="C39" s="18" t="inlineStr">
        <is>
          <t>medan kota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Asal</t>
        </is>
      </c>
      <c r="C43" s="12" t="inlineStr">
        <is>
          <t>Teks Input</t>
        </is>
      </c>
      <c r="E43" s="25" t="inlineStr">
        <is>
          <t>Persoalan #4: Terapkan rumus teks LOWER pada teks di sel C44 ("rina wijaya")!</t>
        </is>
      </c>
    </row>
    <row r="44">
      <c r="B44" s="18" t="inlineStr">
        <is>
          <t>Toko Elektronik</t>
        </is>
      </c>
      <c r="C44" s="18" t="inlineStr">
        <is>
          <t>rina wijaya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jakarta pusat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LOWER(C44)</f>
        <v/>
      </c>
      <c r="H45" s="29" t="inlineStr">
        <is>
          <t>Ketik: =LOWER(C44)</t>
        </is>
      </c>
    </row>
    <row r="46">
      <c r="B46" s="18" t="inlineStr">
        <is>
          <t>Toko Aksesoris</t>
        </is>
      </c>
      <c r="C46" s="18" t="inlineStr">
        <is>
          <t>surabaya timur</t>
        </is>
      </c>
    </row>
    <row r="47">
      <c r="B47" s="18" t="inlineStr">
        <is>
          <t>Toko Servis</t>
        </is>
      </c>
      <c r="C47" s="18" t="inlineStr">
        <is>
          <t>medan kota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Asal</t>
        </is>
      </c>
      <c r="C51" s="12" t="inlineStr">
        <is>
          <t>Teks Input</t>
        </is>
      </c>
      <c r="E51" s="25" t="inlineStr">
        <is>
          <t>Persoalan #5: Terapkan rumus teks LOWER pada teks di sel C52 ("budi santoso")!</t>
        </is>
      </c>
    </row>
    <row r="52">
      <c r="B52" s="18" t="inlineStr">
        <is>
          <t>Kelas 10 IPA</t>
        </is>
      </c>
      <c r="C52" s="18" t="inlineStr">
        <is>
          <t>budi santoso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jakarta pusat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LOWER(C52)</f>
        <v/>
      </c>
      <c r="H53" s="29" t="inlineStr">
        <is>
          <t>Ketik: =LOWER(C52)</t>
        </is>
      </c>
    </row>
    <row r="54">
      <c r="B54" s="18" t="inlineStr">
        <is>
          <t>Kelas 12 IPA</t>
        </is>
      </c>
      <c r="C54" s="18" t="inlineStr">
        <is>
          <t>surabaya timur</t>
        </is>
      </c>
    </row>
    <row r="55">
      <c r="B55" s="18" t="inlineStr">
        <is>
          <t>Kelas Unggulan</t>
        </is>
      </c>
      <c r="C55" s="18" t="inlineStr">
        <is>
          <t>medan kota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#059 — RUMUS EXCEL: PROPER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(PROPER)</t>
        </is>
      </c>
    </row>
    <row r="5" ht="21" customHeight="1">
      <c r="B5" s="12" t="inlineStr">
        <is>
          <t>Nama Rumus Excel</t>
        </is>
      </c>
      <c r="C5" s="13">
        <f>PROPER(...)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PROPER(teks)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Merapikan huruf awal setiap kata menjadi Kapital (Title Case), sangat cocok untuk merapikan daftar Nama Karyawan/Siswa!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PROPER)</t>
        </is>
      </c>
    </row>
    <row r="10">
      <c r="B10" s="16" t="inlineStr">
        <is>
          <t>Data Asal</t>
        </is>
      </c>
      <c r="C10" s="16" t="inlineStr">
        <is>
          <t>Teks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budi santoso</t>
        </is>
      </c>
      <c r="E11" s="19" t="inlineStr">
        <is>
          <t>Kasus Contoh:</t>
        </is>
      </c>
      <c r="F11" s="20" t="inlineStr">
        <is>
          <t>Terapkan rumus teks PROPER pada teks di sel C11 ("budi santoso")!</t>
        </is>
      </c>
    </row>
    <row r="12">
      <c r="B12" s="18" t="inlineStr">
        <is>
          <t>Cabang Bandung</t>
        </is>
      </c>
      <c r="C12" s="18" t="inlineStr">
        <is>
          <t>jakarta pusat</t>
        </is>
      </c>
      <c r="E12" s="19" t="inlineStr">
        <is>
          <t>Rumus yang Diketik:</t>
        </is>
      </c>
      <c r="F12" s="21" t="inlineStr">
        <is>
          <t>'=PROPER(C11)</t>
        </is>
      </c>
    </row>
    <row r="13">
      <c r="B13" s="18" t="inlineStr">
        <is>
          <t>Cabang Surabaya</t>
        </is>
      </c>
      <c r="C13" s="18" t="inlineStr">
        <is>
          <t>surabaya timur</t>
        </is>
      </c>
      <c r="E13" s="19" t="inlineStr">
        <is>
          <t>Hasil Otomatis Excel:</t>
        </is>
      </c>
      <c r="F13" s="22">
        <f>PROPER(C11)</f>
        <v/>
      </c>
    </row>
    <row r="14">
      <c r="B14" s="18" t="inlineStr">
        <is>
          <t>Cabang Medan</t>
        </is>
      </c>
      <c r="C14" s="18" t="inlineStr">
        <is>
          <t>medan kota</t>
        </is>
      </c>
    </row>
    <row r="16" ht="26" customHeight="1">
      <c r="B16" s="23" t="inlineStr">
        <is>
          <t>3️⃣ 5 PERSOALAN DUNIA NYATA (KETIK RUMUS PROPER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Data Asal</t>
        </is>
      </c>
      <c r="C19" s="12" t="inlineStr">
        <is>
          <t>Teks Input</t>
        </is>
      </c>
      <c r="E19" s="25" t="inlineStr">
        <is>
          <t>Persoalan #1: Terapkan rumus teks PROPER pada teks di sel C20 ("budi santoso")!</t>
        </is>
      </c>
    </row>
    <row r="20">
      <c r="B20" s="18" t="inlineStr">
        <is>
          <t>Cabang Jakarta</t>
        </is>
      </c>
      <c r="C20" s="18" t="inlineStr">
        <is>
          <t>budi santoso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jakarta pusat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PROPER(C20)</f>
        <v/>
      </c>
      <c r="H21" s="29" t="inlineStr">
        <is>
          <t>Ketik: =PROPER(C20)</t>
        </is>
      </c>
    </row>
    <row r="22">
      <c r="B22" s="18" t="inlineStr">
        <is>
          <t>Cabang Surabaya</t>
        </is>
      </c>
      <c r="C22" s="18" t="inlineStr">
        <is>
          <t>surabaya timur</t>
        </is>
      </c>
    </row>
    <row r="23">
      <c r="B23" s="18" t="inlineStr">
        <is>
          <t>Cabang Medan</t>
        </is>
      </c>
      <c r="C23" s="18" t="inlineStr">
        <is>
          <t>medan kota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Data Asal</t>
        </is>
      </c>
      <c r="C27" s="12" t="inlineStr">
        <is>
          <t>Teks Input</t>
        </is>
      </c>
      <c r="E27" s="25" t="inlineStr">
        <is>
          <t>Persoalan #2: Terapkan rumus teks PROPER pada teks di sel C28 ("siti aminah")!</t>
        </is>
      </c>
    </row>
    <row r="28">
      <c r="B28" s="18" t="inlineStr">
        <is>
          <t>Budi Santoso</t>
        </is>
      </c>
      <c r="C28" s="18" t="inlineStr">
        <is>
          <t>siti aminah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jakarta pusat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PROPER(C28)</f>
        <v/>
      </c>
      <c r="H29" s="29" t="inlineStr">
        <is>
          <t>Ketik: =PROPER(C28)</t>
        </is>
      </c>
    </row>
    <row r="30">
      <c r="B30" s="18" t="inlineStr">
        <is>
          <t>Andi Pratama</t>
        </is>
      </c>
      <c r="C30" s="18" t="inlineStr">
        <is>
          <t>surabaya timur</t>
        </is>
      </c>
    </row>
    <row r="31">
      <c r="B31" s="18" t="inlineStr">
        <is>
          <t>Rina Wijaya</t>
        </is>
      </c>
      <c r="C31" s="18" t="inlineStr">
        <is>
          <t>medan kota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Data Asal</t>
        </is>
      </c>
      <c r="C35" s="12" t="inlineStr">
        <is>
          <t>Teks Input</t>
        </is>
      </c>
      <c r="E35" s="25" t="inlineStr">
        <is>
          <t>Persoalan #3: Terapkan rumus teks PROPER pada teks di sel C36 ("andi pratama")!</t>
        </is>
      </c>
    </row>
    <row r="36">
      <c r="B36" s="18" t="inlineStr">
        <is>
          <t>Gudang Blok A</t>
        </is>
      </c>
      <c r="C36" s="18" t="inlineStr">
        <is>
          <t>andi pratama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jakarta pusat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PROPER(C36)</f>
        <v/>
      </c>
      <c r="H37" s="29" t="inlineStr">
        <is>
          <t>Ketik: =PROPER(C36)</t>
        </is>
      </c>
    </row>
    <row r="38">
      <c r="B38" s="18" t="inlineStr">
        <is>
          <t>Gudang Blok C</t>
        </is>
      </c>
      <c r="C38" s="18" t="inlineStr">
        <is>
          <t>surabaya timur</t>
        </is>
      </c>
    </row>
    <row r="39">
      <c r="B39" s="18" t="inlineStr">
        <is>
          <t>Gudang Blok D</t>
        </is>
      </c>
      <c r="C39" s="18" t="inlineStr">
        <is>
          <t>medan kota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Data Asal</t>
        </is>
      </c>
      <c r="C43" s="12" t="inlineStr">
        <is>
          <t>Teks Input</t>
        </is>
      </c>
      <c r="E43" s="25" t="inlineStr">
        <is>
          <t>Persoalan #4: Terapkan rumus teks PROPER pada teks di sel C44 ("rina wijaya")!</t>
        </is>
      </c>
    </row>
    <row r="44">
      <c r="B44" s="18" t="inlineStr">
        <is>
          <t>Toko Elektronik</t>
        </is>
      </c>
      <c r="C44" s="18" t="inlineStr">
        <is>
          <t>rina wijaya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jakarta pusat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PROPER(C44)</f>
        <v/>
      </c>
      <c r="H45" s="29" t="inlineStr">
        <is>
          <t>Ketik: =PROPER(C44)</t>
        </is>
      </c>
    </row>
    <row r="46">
      <c r="B46" s="18" t="inlineStr">
        <is>
          <t>Toko Aksesoris</t>
        </is>
      </c>
      <c r="C46" s="18" t="inlineStr">
        <is>
          <t>surabaya timur</t>
        </is>
      </c>
    </row>
    <row r="47">
      <c r="B47" s="18" t="inlineStr">
        <is>
          <t>Toko Servis</t>
        </is>
      </c>
      <c r="C47" s="18" t="inlineStr">
        <is>
          <t>medan kota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Data Asal</t>
        </is>
      </c>
      <c r="C51" s="12" t="inlineStr">
        <is>
          <t>Teks Input</t>
        </is>
      </c>
      <c r="E51" s="25" t="inlineStr">
        <is>
          <t>Persoalan #5: Terapkan rumus teks PROPER pada teks di sel C52 ("budi santoso")!</t>
        </is>
      </c>
    </row>
    <row r="52">
      <c r="B52" s="18" t="inlineStr">
        <is>
          <t>Kelas 10 IPA</t>
        </is>
      </c>
      <c r="C52" s="18" t="inlineStr">
        <is>
          <t>budi santoso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jakarta pusat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PROPER(C52)</f>
        <v/>
      </c>
      <c r="H53" s="29" t="inlineStr">
        <is>
          <t>Ketik: =PROPER(C52)</t>
        </is>
      </c>
    </row>
    <row r="54">
      <c r="B54" s="18" t="inlineStr">
        <is>
          <t>Kelas 12 IPA</t>
        </is>
      </c>
      <c r="C54" s="18" t="inlineStr">
        <is>
          <t>surabaya timur</t>
        </is>
      </c>
    </row>
    <row r="55">
      <c r="B55" s="18" t="inlineStr">
        <is>
          <t>Kelas Unggulan</t>
        </is>
      </c>
      <c r="C55" s="18" t="inlineStr">
        <is>
          <t>medan kota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#060 — RUMUS EXCEL: CONCATENATE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(CONCATENATE)</t>
        </is>
      </c>
    </row>
    <row r="5" ht="21" customHeight="1">
      <c r="B5" s="12" t="inlineStr">
        <is>
          <t>Nama Rumus Excel</t>
        </is>
      </c>
      <c r="C5" s="13">
        <f>CONCATENATE(...)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CONCATENATE(teks1, teks2,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Menggabungkan beberapa sel teks menjadi satu kalimat utuh (Misal: Nama Depan + Spasi + Nama Belakang).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CONCATENATE)</t>
        </is>
      </c>
    </row>
    <row r="10">
      <c r="B10" s="16" t="inlineStr">
        <is>
          <t>Teks Pertama (B)</t>
        </is>
      </c>
      <c r="C10" s="16" t="inlineStr">
        <is>
          <t>Teks Kedua (C)</t>
        </is>
      </c>
      <c r="E10" s="17" t="inlineStr">
        <is>
          <t>💡 CONTOH RUMUS YANG SUDAH TERPASANG AKTIF:</t>
        </is>
      </c>
    </row>
    <row r="11">
      <c r="B11" s="18" t="inlineStr">
        <is>
          <t>Budi</t>
        </is>
      </c>
      <c r="C11" s="18" t="inlineStr">
        <is>
          <t>Budi</t>
        </is>
      </c>
      <c r="E11" s="19" t="inlineStr">
        <is>
          <t>Kasus Contoh:</t>
        </is>
      </c>
      <c r="F11" s="20" t="inlineStr">
        <is>
          <t>Gabungkan teks di B11, tanda " - ", dan teks di C11 menggunakan CONCATENATE!</t>
        </is>
      </c>
    </row>
    <row r="12">
      <c r="B12" s="18" t="inlineStr">
        <is>
          <t>Siti</t>
        </is>
      </c>
      <c r="C12" s="18" t="inlineStr">
        <is>
          <t>Aminah</t>
        </is>
      </c>
      <c r="E12" s="19" t="inlineStr">
        <is>
          <t>Rumus yang Diketik:</t>
        </is>
      </c>
      <c r="F12" s="21" t="inlineStr">
        <is>
          <t>'=CONCATENATE(B11, " - ", C11)</t>
        </is>
      </c>
    </row>
    <row r="13">
      <c r="B13" s="18" t="inlineStr">
        <is>
          <t>Andi</t>
        </is>
      </c>
      <c r="C13" s="18" t="inlineStr">
        <is>
          <t>Pratama</t>
        </is>
      </c>
      <c r="E13" s="19" t="inlineStr">
        <is>
          <t>Hasil Otomatis Excel:</t>
        </is>
      </c>
      <c r="F13" s="22">
        <f>CONCATENATE(B11, " - ", C11)</f>
        <v/>
      </c>
    </row>
    <row r="14">
      <c r="B14" s="18" t="inlineStr">
        <is>
          <t>Rina</t>
        </is>
      </c>
      <c r="C14" s="18" t="inlineStr">
        <is>
          <t>Wijaya</t>
        </is>
      </c>
    </row>
    <row r="16" ht="26" customHeight="1">
      <c r="B16" s="23" t="inlineStr">
        <is>
          <t>3️⃣ 5 PERSOALAN DUNIA NYATA (KETIK RUMUS CONCATENATE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Teks Pertama (B)</t>
        </is>
      </c>
      <c r="C19" s="12" t="inlineStr">
        <is>
          <t>Teks Kedua (C)</t>
        </is>
      </c>
      <c r="E19" s="25" t="inlineStr">
        <is>
          <t>Persoalan #1: Gabungkan teks di B20, tanda " - ", dan teks di C20 menggunakan CONCATENATE!</t>
        </is>
      </c>
    </row>
    <row r="20">
      <c r="B20" s="18" t="inlineStr">
        <is>
          <t>Budi</t>
        </is>
      </c>
      <c r="C20" s="18" t="inlineStr">
        <is>
          <t>Budi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Siti</t>
        </is>
      </c>
      <c r="C21" s="18" t="inlineStr">
        <is>
          <t>Aminah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CONCATENATE(B20, " - ", C20)</f>
        <v/>
      </c>
      <c r="H21" s="29" t="inlineStr">
        <is>
          <t>Ketik: =CONCATENATE(B20, " - ", C20)</t>
        </is>
      </c>
    </row>
    <row r="22">
      <c r="B22" s="18" t="inlineStr">
        <is>
          <t>Andi</t>
        </is>
      </c>
      <c r="C22" s="18" t="inlineStr">
        <is>
          <t>Pratama</t>
        </is>
      </c>
    </row>
    <row r="23">
      <c r="B23" s="18" t="inlineStr">
        <is>
          <t>Rina</t>
        </is>
      </c>
      <c r="C23" s="18" t="inlineStr">
        <is>
          <t>Wijaya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Teks Pertama (B)</t>
        </is>
      </c>
      <c r="C27" s="12" t="inlineStr">
        <is>
          <t>Teks Kedua (C)</t>
        </is>
      </c>
      <c r="E27" s="25" t="inlineStr">
        <is>
          <t>Persoalan #2: Gabungkan teks di B28, tanda " - ", dan teks di C28 menggunakan CONCATENATE!</t>
        </is>
      </c>
    </row>
    <row r="28">
      <c r="B28" s="18" t="inlineStr">
        <is>
          <t>Budi</t>
        </is>
      </c>
      <c r="C28" s="18" t="inlineStr">
        <is>
          <t>Budi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</t>
        </is>
      </c>
      <c r="C29" s="18" t="inlineStr">
        <is>
          <t>Aminah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CONCATENATE(B28, " - ", C28)</f>
        <v/>
      </c>
      <c r="H29" s="29" t="inlineStr">
        <is>
          <t>Ketik: =CONCATENATE(B28, " - ", C28)</t>
        </is>
      </c>
    </row>
    <row r="30">
      <c r="B30" s="18" t="inlineStr">
        <is>
          <t>Andi</t>
        </is>
      </c>
      <c r="C30" s="18" t="inlineStr">
        <is>
          <t>Pratama</t>
        </is>
      </c>
    </row>
    <row r="31">
      <c r="B31" s="18" t="inlineStr">
        <is>
          <t>Rina</t>
        </is>
      </c>
      <c r="C31" s="18" t="inlineStr">
        <is>
          <t>Wijaya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Teks Pertama (B)</t>
        </is>
      </c>
      <c r="C35" s="12" t="inlineStr">
        <is>
          <t>Teks Kedua (C)</t>
        </is>
      </c>
      <c r="E35" s="25" t="inlineStr">
        <is>
          <t>Persoalan #3: Gabungkan teks di B36, tanda " - ", dan teks di C36 menggunakan CONCATENATE!</t>
        </is>
      </c>
    </row>
    <row r="36">
      <c r="B36" s="18" t="inlineStr">
        <is>
          <t>Budi</t>
        </is>
      </c>
      <c r="C36" s="18" t="inlineStr">
        <is>
          <t>Budi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Siti</t>
        </is>
      </c>
      <c r="C37" s="18" t="inlineStr">
        <is>
          <t>Aminah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CONCATENATE(B36, " - ", C36)</f>
        <v/>
      </c>
      <c r="H37" s="29" t="inlineStr">
        <is>
          <t>Ketik: =CONCATENATE(B36, " - ", C36)</t>
        </is>
      </c>
    </row>
    <row r="38">
      <c r="B38" s="18" t="inlineStr">
        <is>
          <t>Andi</t>
        </is>
      </c>
      <c r="C38" s="18" t="inlineStr">
        <is>
          <t>Pratama</t>
        </is>
      </c>
    </row>
    <row r="39">
      <c r="B39" s="18" t="inlineStr">
        <is>
          <t>Rina</t>
        </is>
      </c>
      <c r="C39" s="18" t="inlineStr">
        <is>
          <t>Wijaya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Teks Pertama (B)</t>
        </is>
      </c>
      <c r="C43" s="12" t="inlineStr">
        <is>
          <t>Teks Kedua (C)</t>
        </is>
      </c>
      <c r="E43" s="25" t="inlineStr">
        <is>
          <t>Persoalan #4: Gabungkan teks di B44, tanda " - ", dan teks di C44 menggunakan CONCATENATE!</t>
        </is>
      </c>
    </row>
    <row r="44">
      <c r="B44" s="18" t="inlineStr">
        <is>
          <t>Budi</t>
        </is>
      </c>
      <c r="C44" s="18" t="inlineStr">
        <is>
          <t>Budi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Siti</t>
        </is>
      </c>
      <c r="C45" s="18" t="inlineStr">
        <is>
          <t>Aminah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CONCATENATE(B44, " - ", C44)</f>
        <v/>
      </c>
      <c r="H45" s="29" t="inlineStr">
        <is>
          <t>Ketik: =CONCATENATE(B44, " - ", C44)</t>
        </is>
      </c>
    </row>
    <row r="46">
      <c r="B46" s="18" t="inlineStr">
        <is>
          <t>Andi</t>
        </is>
      </c>
      <c r="C46" s="18" t="inlineStr">
        <is>
          <t>Pratama</t>
        </is>
      </c>
    </row>
    <row r="47">
      <c r="B47" s="18" t="inlineStr">
        <is>
          <t>Rina</t>
        </is>
      </c>
      <c r="C47" s="18" t="inlineStr">
        <is>
          <t>Wijaya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Teks Pertama (B)</t>
        </is>
      </c>
      <c r="C51" s="12" t="inlineStr">
        <is>
          <t>Teks Kedua (C)</t>
        </is>
      </c>
      <c r="E51" s="25" t="inlineStr">
        <is>
          <t>Persoalan #5: Gabungkan teks di B52, tanda " - ", dan teks di C52 menggunakan CONCATENATE!</t>
        </is>
      </c>
    </row>
    <row r="52">
      <c r="B52" s="18" t="inlineStr">
        <is>
          <t>Budi</t>
        </is>
      </c>
      <c r="C52" s="18" t="inlineStr">
        <is>
          <t>Budi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Siti</t>
        </is>
      </c>
      <c r="C53" s="18" t="inlineStr">
        <is>
          <t>Aminah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CONCATENATE(B52, " - ", C52)</f>
        <v/>
      </c>
      <c r="H53" s="29" t="inlineStr">
        <is>
          <t>Ketik: =CONCATENATE(B52, " - ", C52)</t>
        </is>
      </c>
    </row>
    <row r="54">
      <c r="B54" s="18" t="inlineStr">
        <is>
          <t>Andi</t>
        </is>
      </c>
      <c r="C54" s="18" t="inlineStr">
        <is>
          <t>Pratama</t>
        </is>
      </c>
    </row>
    <row r="55">
      <c r="B55" s="18" t="inlineStr">
        <is>
          <t>Rina</t>
        </is>
      </c>
      <c r="C55" s="18" t="inlineStr">
        <is>
          <t>Wijaya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#061 — RUMUS EXCEL: EXACT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(EXACT)</t>
        </is>
      </c>
    </row>
    <row r="5" ht="21" customHeight="1">
      <c r="B5" s="12" t="inlineStr">
        <is>
          <t>Nama Rumus Excel</t>
        </is>
      </c>
      <c r="C5" s="13">
        <f>EXACT(...)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EXACT(teks1, teks2)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Membandingkan apakah dua teks SAMA PERSIS hingga ke huruf besar-kecilnya (Case-Sensitive).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EXACT)</t>
        </is>
      </c>
    </row>
    <row r="10">
      <c r="B10" s="16" t="inlineStr">
        <is>
          <t>Teks Pertama (B)</t>
        </is>
      </c>
      <c r="C10" s="16" t="inlineStr">
        <is>
          <t>Teks Kedua (C)</t>
        </is>
      </c>
      <c r="E10" s="17" t="inlineStr">
        <is>
          <t>💡 CONTOH RUMUS YANG SUDAH TERPASANG AKTIF:</t>
        </is>
      </c>
    </row>
    <row r="11">
      <c r="B11" s="18" t="inlineStr">
        <is>
          <t>Budi</t>
        </is>
      </c>
      <c r="C11" s="18" t="inlineStr">
        <is>
          <t>Budi</t>
        </is>
      </c>
      <c r="E11" s="19" t="inlineStr">
        <is>
          <t>Kasus Contoh:</t>
        </is>
      </c>
      <c r="F11" s="20" t="inlineStr">
        <is>
          <t>Bandingkan apakah teks di B11 dan C11 sama persis menggunakan rumus EXACT!</t>
        </is>
      </c>
    </row>
    <row r="12">
      <c r="B12" s="18" t="inlineStr">
        <is>
          <t>Siti</t>
        </is>
      </c>
      <c r="C12" s="18" t="inlineStr">
        <is>
          <t>Aminah</t>
        </is>
      </c>
      <c r="E12" s="19" t="inlineStr">
        <is>
          <t>Rumus yang Diketik:</t>
        </is>
      </c>
      <c r="F12" s="21" t="inlineStr">
        <is>
          <t>'=EXACT(B11, C11)</t>
        </is>
      </c>
    </row>
    <row r="13">
      <c r="B13" s="18" t="inlineStr">
        <is>
          <t>Andi</t>
        </is>
      </c>
      <c r="C13" s="18" t="inlineStr">
        <is>
          <t>Pratama</t>
        </is>
      </c>
      <c r="E13" s="19" t="inlineStr">
        <is>
          <t>Hasil Otomatis Excel:</t>
        </is>
      </c>
      <c r="F13" s="22">
        <f>EXACT(B11, C11)</f>
        <v/>
      </c>
    </row>
    <row r="14">
      <c r="B14" s="18" t="inlineStr">
        <is>
          <t>Rina</t>
        </is>
      </c>
      <c r="C14" s="18" t="inlineStr">
        <is>
          <t>Wijaya</t>
        </is>
      </c>
    </row>
    <row r="16" ht="26" customHeight="1">
      <c r="B16" s="23" t="inlineStr">
        <is>
          <t>3️⃣ 5 PERSOALAN DUNIA NYATA (KETIK RUMUS EXACT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Teks Pertama (B)</t>
        </is>
      </c>
      <c r="C19" s="12" t="inlineStr">
        <is>
          <t>Teks Kedua (C)</t>
        </is>
      </c>
      <c r="E19" s="25" t="inlineStr">
        <is>
          <t>Persoalan #1: Bandingkan apakah teks di B20 dan C20 sama persis menggunakan rumus EXACT!</t>
        </is>
      </c>
    </row>
    <row r="20">
      <c r="B20" s="18" t="inlineStr">
        <is>
          <t>Budi</t>
        </is>
      </c>
      <c r="C20" s="18" t="inlineStr">
        <is>
          <t>Budi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Siti</t>
        </is>
      </c>
      <c r="C21" s="18" t="inlineStr">
        <is>
          <t>Aminah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EXACT(B20, C20)</f>
        <v/>
      </c>
      <c r="H21" s="29" t="inlineStr">
        <is>
          <t>Ketik: =EXACT(B20, C20)</t>
        </is>
      </c>
    </row>
    <row r="22">
      <c r="B22" s="18" t="inlineStr">
        <is>
          <t>Andi</t>
        </is>
      </c>
      <c r="C22" s="18" t="inlineStr">
        <is>
          <t>Pratama</t>
        </is>
      </c>
    </row>
    <row r="23">
      <c r="B23" s="18" t="inlineStr">
        <is>
          <t>Rina</t>
        </is>
      </c>
      <c r="C23" s="18" t="inlineStr">
        <is>
          <t>Wijaya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Teks Pertama (B)</t>
        </is>
      </c>
      <c r="C27" s="12" t="inlineStr">
        <is>
          <t>Teks Kedua (C)</t>
        </is>
      </c>
      <c r="E27" s="25" t="inlineStr">
        <is>
          <t>Persoalan #2: Bandingkan apakah teks di B28 dan C28 sama persis menggunakan rumus EXACT!</t>
        </is>
      </c>
    </row>
    <row r="28">
      <c r="B28" s="18" t="inlineStr">
        <is>
          <t>Budi</t>
        </is>
      </c>
      <c r="C28" s="18" t="inlineStr">
        <is>
          <t>Budi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</t>
        </is>
      </c>
      <c r="C29" s="18" t="inlineStr">
        <is>
          <t>Aminah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EXACT(B28, C28)</f>
        <v/>
      </c>
      <c r="H29" s="29" t="inlineStr">
        <is>
          <t>Ketik: =EXACT(B28, C28)</t>
        </is>
      </c>
    </row>
    <row r="30">
      <c r="B30" s="18" t="inlineStr">
        <is>
          <t>Andi</t>
        </is>
      </c>
      <c r="C30" s="18" t="inlineStr">
        <is>
          <t>Pratama</t>
        </is>
      </c>
    </row>
    <row r="31">
      <c r="B31" s="18" t="inlineStr">
        <is>
          <t>Rina</t>
        </is>
      </c>
      <c r="C31" s="18" t="inlineStr">
        <is>
          <t>Wijaya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Teks Pertama (B)</t>
        </is>
      </c>
      <c r="C35" s="12" t="inlineStr">
        <is>
          <t>Teks Kedua (C)</t>
        </is>
      </c>
      <c r="E35" s="25" t="inlineStr">
        <is>
          <t>Persoalan #3: Bandingkan apakah teks di B36 dan C36 sama persis menggunakan rumus EXACT!</t>
        </is>
      </c>
    </row>
    <row r="36">
      <c r="B36" s="18" t="inlineStr">
        <is>
          <t>Budi</t>
        </is>
      </c>
      <c r="C36" s="18" t="inlineStr">
        <is>
          <t>Budi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Siti</t>
        </is>
      </c>
      <c r="C37" s="18" t="inlineStr">
        <is>
          <t>Aminah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EXACT(B36, C36)</f>
        <v/>
      </c>
      <c r="H37" s="29" t="inlineStr">
        <is>
          <t>Ketik: =EXACT(B36, C36)</t>
        </is>
      </c>
    </row>
    <row r="38">
      <c r="B38" s="18" t="inlineStr">
        <is>
          <t>Andi</t>
        </is>
      </c>
      <c r="C38" s="18" t="inlineStr">
        <is>
          <t>Pratama</t>
        </is>
      </c>
    </row>
    <row r="39">
      <c r="B39" s="18" t="inlineStr">
        <is>
          <t>Rina</t>
        </is>
      </c>
      <c r="C39" s="18" t="inlineStr">
        <is>
          <t>Wijaya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Teks Pertama (B)</t>
        </is>
      </c>
      <c r="C43" s="12" t="inlineStr">
        <is>
          <t>Teks Kedua (C)</t>
        </is>
      </c>
      <c r="E43" s="25" t="inlineStr">
        <is>
          <t>Persoalan #4: Bandingkan apakah teks di B44 dan C44 sama persis menggunakan rumus EXACT!</t>
        </is>
      </c>
    </row>
    <row r="44">
      <c r="B44" s="18" t="inlineStr">
        <is>
          <t>Budi</t>
        </is>
      </c>
      <c r="C44" s="18" t="inlineStr">
        <is>
          <t>Budi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Siti</t>
        </is>
      </c>
      <c r="C45" s="18" t="inlineStr">
        <is>
          <t>Aminah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EXACT(B44, C44)</f>
        <v/>
      </c>
      <c r="H45" s="29" t="inlineStr">
        <is>
          <t>Ketik: =EXACT(B44, C44)</t>
        </is>
      </c>
    </row>
    <row r="46">
      <c r="B46" s="18" t="inlineStr">
        <is>
          <t>Andi</t>
        </is>
      </c>
      <c r="C46" s="18" t="inlineStr">
        <is>
          <t>Pratama</t>
        </is>
      </c>
    </row>
    <row r="47">
      <c r="B47" s="18" t="inlineStr">
        <is>
          <t>Rina</t>
        </is>
      </c>
      <c r="C47" s="18" t="inlineStr">
        <is>
          <t>Wijaya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Teks Pertama (B)</t>
        </is>
      </c>
      <c r="C51" s="12" t="inlineStr">
        <is>
          <t>Teks Kedua (C)</t>
        </is>
      </c>
      <c r="E51" s="25" t="inlineStr">
        <is>
          <t>Persoalan #5: Bandingkan apakah teks di B52 dan C52 sama persis menggunakan rumus EXACT!</t>
        </is>
      </c>
    </row>
    <row r="52">
      <c r="B52" s="18" t="inlineStr">
        <is>
          <t>Budi</t>
        </is>
      </c>
      <c r="C52" s="18" t="inlineStr">
        <is>
          <t>Budi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Siti</t>
        </is>
      </c>
      <c r="C53" s="18" t="inlineStr">
        <is>
          <t>Aminah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EXACT(B52, C52)</f>
        <v/>
      </c>
      <c r="H53" s="29" t="inlineStr">
        <is>
          <t>Ketik: =EXACT(B52, C52)</t>
        </is>
      </c>
    </row>
    <row r="54">
      <c r="B54" s="18" t="inlineStr">
        <is>
          <t>Andi</t>
        </is>
      </c>
      <c r="C54" s="18" t="inlineStr">
        <is>
          <t>Pratama</t>
        </is>
      </c>
    </row>
    <row r="55">
      <c r="B55" s="18" t="inlineStr">
        <is>
          <t>Rina</t>
        </is>
      </c>
      <c r="C55" s="18" t="inlineStr">
        <is>
          <t>Wijaya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#062 — RUMUS EXCEL: FIND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(FIND)</t>
        </is>
      </c>
    </row>
    <row r="5" ht="21" customHeight="1">
      <c r="B5" s="12" t="inlineStr">
        <is>
          <t>Nama Rumus Excel</t>
        </is>
      </c>
      <c r="C5" s="13">
        <f>FIND(...)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FIND(huruf_dicari, di_dalam_teks)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posisi urutan karakter tertentu di dalam teks (membedakan huruf besar dan kecil).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FIND)</t>
        </is>
      </c>
    </row>
    <row r="10">
      <c r="B10" s="16" t="inlineStr">
        <is>
          <t>Cabang</t>
        </is>
      </c>
      <c r="C10" s="16" t="inlineStr">
        <is>
          <t>Kode Nomor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JKT-001</t>
        </is>
      </c>
      <c r="E11" s="19" t="inlineStr">
        <is>
          <t>Kasus Contoh:</t>
        </is>
      </c>
      <c r="F11" s="20" t="inlineStr">
        <is>
          <t>Cari posisi karakter "-" di dalam sel C11 menggunakan rumus FIND!</t>
        </is>
      </c>
    </row>
    <row r="12">
      <c r="B12" s="18" t="inlineStr">
        <is>
          <t>Cabang Bandung</t>
        </is>
      </c>
      <c r="C12" s="18" t="inlineStr">
        <is>
          <t>BDG-002</t>
        </is>
      </c>
      <c r="E12" s="19" t="inlineStr">
        <is>
          <t>Rumus yang Diketik:</t>
        </is>
      </c>
      <c r="F12" s="21" t="inlineStr">
        <is>
          <t>'=FIND("-", C11)</t>
        </is>
      </c>
    </row>
    <row r="13">
      <c r="B13" s="18" t="inlineStr">
        <is>
          <t>Cabang Surabaya</t>
        </is>
      </c>
      <c r="C13" s="18" t="inlineStr">
        <is>
          <t>SBY-003</t>
        </is>
      </c>
      <c r="E13" s="19" t="inlineStr">
        <is>
          <t>Hasil Otomatis Excel:</t>
        </is>
      </c>
      <c r="F13" s="22">
        <f>FIND("-", C11)</f>
        <v/>
      </c>
    </row>
    <row r="14">
      <c r="B14" s="18" t="inlineStr">
        <is>
          <t>Cabang Medan</t>
        </is>
      </c>
      <c r="C14" s="18" t="inlineStr">
        <is>
          <t>MDN-004</t>
        </is>
      </c>
    </row>
    <row r="16" ht="26" customHeight="1">
      <c r="B16" s="23" t="inlineStr">
        <is>
          <t>3️⃣ 5 PERSOALAN DUNIA NYATA (KETIK RUMUS FIND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Cabang</t>
        </is>
      </c>
      <c r="C19" s="12" t="inlineStr">
        <is>
          <t>Kode Nomor</t>
        </is>
      </c>
      <c r="E19" s="25" t="inlineStr">
        <is>
          <t>Persoalan #1: Cari posisi karakter "-" di dalam sel C20 menggunakan rumus FIND!</t>
        </is>
      </c>
    </row>
    <row r="20">
      <c r="B20" s="18" t="inlineStr">
        <is>
          <t>Cabang Jakarta</t>
        </is>
      </c>
      <c r="C20" s="18" t="inlineStr">
        <is>
          <t>JKT-001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BDG-002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FIND("-", C20)</f>
        <v/>
      </c>
      <c r="H21" s="29" t="inlineStr">
        <is>
          <t>Ketik: =FIND("-", C20)</t>
        </is>
      </c>
    </row>
    <row r="22">
      <c r="B22" s="18" t="inlineStr">
        <is>
          <t>Cabang Surabaya</t>
        </is>
      </c>
      <c r="C22" s="18" t="inlineStr">
        <is>
          <t>SBY-003</t>
        </is>
      </c>
    </row>
    <row r="23">
      <c r="B23" s="18" t="inlineStr">
        <is>
          <t>Cabang Medan</t>
        </is>
      </c>
      <c r="C23" s="18" t="inlineStr">
        <is>
          <t>MDN-004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Cabang</t>
        </is>
      </c>
      <c r="C27" s="12" t="inlineStr">
        <is>
          <t>Kode Nomor</t>
        </is>
      </c>
      <c r="E27" s="25" t="inlineStr">
        <is>
          <t>Persoalan #2: Cari posisi karakter "-" di dalam sel C28 menggunakan rumus FIND!</t>
        </is>
      </c>
    </row>
    <row r="28">
      <c r="B28" s="18" t="inlineStr">
        <is>
          <t>Budi Santoso</t>
        </is>
      </c>
      <c r="C28" s="18" t="inlineStr">
        <is>
          <t>JKT-001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BDG-002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FIND("-", C28)</f>
        <v/>
      </c>
      <c r="H29" s="29" t="inlineStr">
        <is>
          <t>Ketik: =FIND("-", C28)</t>
        </is>
      </c>
    </row>
    <row r="30">
      <c r="B30" s="18" t="inlineStr">
        <is>
          <t>Andi Pratama</t>
        </is>
      </c>
      <c r="C30" s="18" t="inlineStr">
        <is>
          <t>SBY-003</t>
        </is>
      </c>
    </row>
    <row r="31">
      <c r="B31" s="18" t="inlineStr">
        <is>
          <t>Rina Wijaya</t>
        </is>
      </c>
      <c r="C31" s="18" t="inlineStr">
        <is>
          <t>MDN-004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Cabang</t>
        </is>
      </c>
      <c r="C35" s="12" t="inlineStr">
        <is>
          <t>Kode Nomor</t>
        </is>
      </c>
      <c r="E35" s="25" t="inlineStr">
        <is>
          <t>Persoalan #3: Cari posisi karakter "-" di dalam sel C36 menggunakan rumus FIND!</t>
        </is>
      </c>
    </row>
    <row r="36">
      <c r="B36" s="18" t="inlineStr">
        <is>
          <t>Gudang Blok A</t>
        </is>
      </c>
      <c r="C36" s="18" t="inlineStr">
        <is>
          <t>JKT-001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BDG-002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FIND("-", C36)</f>
        <v/>
      </c>
      <c r="H37" s="29" t="inlineStr">
        <is>
          <t>Ketik: =FIND("-", C36)</t>
        </is>
      </c>
    </row>
    <row r="38">
      <c r="B38" s="18" t="inlineStr">
        <is>
          <t>Gudang Blok C</t>
        </is>
      </c>
      <c r="C38" s="18" t="inlineStr">
        <is>
          <t>SBY-003</t>
        </is>
      </c>
    </row>
    <row r="39">
      <c r="B39" s="18" t="inlineStr">
        <is>
          <t>Gudang Blok D</t>
        </is>
      </c>
      <c r="C39" s="18" t="inlineStr">
        <is>
          <t>MDN-004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Cabang</t>
        </is>
      </c>
      <c r="C43" s="12" t="inlineStr">
        <is>
          <t>Kode Nomor</t>
        </is>
      </c>
      <c r="E43" s="25" t="inlineStr">
        <is>
          <t>Persoalan #4: Cari posisi karakter "-" di dalam sel C44 menggunakan rumus FIND!</t>
        </is>
      </c>
    </row>
    <row r="44">
      <c r="B44" s="18" t="inlineStr">
        <is>
          <t>Toko Elektronik</t>
        </is>
      </c>
      <c r="C44" s="18" t="inlineStr">
        <is>
          <t>JKT-001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BDG-002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FIND("-", C44)</f>
        <v/>
      </c>
      <c r="H45" s="29" t="inlineStr">
        <is>
          <t>Ketik: =FIND("-", C44)</t>
        </is>
      </c>
    </row>
    <row r="46">
      <c r="B46" s="18" t="inlineStr">
        <is>
          <t>Toko Aksesoris</t>
        </is>
      </c>
      <c r="C46" s="18" t="inlineStr">
        <is>
          <t>SBY-003</t>
        </is>
      </c>
    </row>
    <row r="47">
      <c r="B47" s="18" t="inlineStr">
        <is>
          <t>Toko Servis</t>
        </is>
      </c>
      <c r="C47" s="18" t="inlineStr">
        <is>
          <t>MDN-004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Cabang</t>
        </is>
      </c>
      <c r="C51" s="12" t="inlineStr">
        <is>
          <t>Kode Nomor</t>
        </is>
      </c>
      <c r="E51" s="25" t="inlineStr">
        <is>
          <t>Persoalan #5: Cari posisi karakter "-" di dalam sel C52 menggunakan rumus FIND!</t>
        </is>
      </c>
    </row>
    <row r="52">
      <c r="B52" s="18" t="inlineStr">
        <is>
          <t>Kelas 10 IPA</t>
        </is>
      </c>
      <c r="C52" s="18" t="inlineStr">
        <is>
          <t>JKT-001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BDG-002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FIND("-", C52)</f>
        <v/>
      </c>
      <c r="H53" s="29" t="inlineStr">
        <is>
          <t>Ketik: =FIND("-", C52)</t>
        </is>
      </c>
    </row>
    <row r="54">
      <c r="B54" s="18" t="inlineStr">
        <is>
          <t>Kelas 12 IPA</t>
        </is>
      </c>
      <c r="C54" s="18" t="inlineStr">
        <is>
          <t>SBY-003</t>
        </is>
      </c>
    </row>
    <row r="55">
      <c r="B55" s="18" t="inlineStr">
        <is>
          <t>Kelas Unggulan</t>
        </is>
      </c>
      <c r="C55" s="18" t="inlineStr">
        <is>
          <t>MDN-004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#063 — RUMUS EXCEL: SEARCH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(SEARCH)</t>
        </is>
      </c>
    </row>
    <row r="5" ht="21" customHeight="1">
      <c r="B5" s="12" t="inlineStr">
        <is>
          <t>Nama Rumus Excel</t>
        </is>
      </c>
      <c r="C5" s="13">
        <f>SEARCH(...)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SEARCH(huruf_dicari, di_dalam_teks)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posisi urutan karakter di dalam teks tanpa mempermasalahkan huruf besar/kecil.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SEARCH)</t>
        </is>
      </c>
    </row>
    <row r="10">
      <c r="B10" s="16" t="inlineStr">
        <is>
          <t>Cabang</t>
        </is>
      </c>
      <c r="C10" s="16" t="inlineStr">
        <is>
          <t>Kode Nomor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JKT-001</t>
        </is>
      </c>
      <c r="E11" s="19" t="inlineStr">
        <is>
          <t>Kasus Contoh:</t>
        </is>
      </c>
      <c r="F11" s="20" t="inlineStr">
        <is>
          <t>Cari posisi karakter "-" di dalam sel C11 menggunakan rumus SEARCH!</t>
        </is>
      </c>
    </row>
    <row r="12">
      <c r="B12" s="18" t="inlineStr">
        <is>
          <t>Cabang Bandung</t>
        </is>
      </c>
      <c r="C12" s="18" t="inlineStr">
        <is>
          <t>BDG-002</t>
        </is>
      </c>
      <c r="E12" s="19" t="inlineStr">
        <is>
          <t>Rumus yang Diketik:</t>
        </is>
      </c>
      <c r="F12" s="21" t="inlineStr">
        <is>
          <t>'=SEARCH("-", C11)</t>
        </is>
      </c>
    </row>
    <row r="13">
      <c r="B13" s="18" t="inlineStr">
        <is>
          <t>Cabang Surabaya</t>
        </is>
      </c>
      <c r="C13" s="18" t="inlineStr">
        <is>
          <t>SBY-003</t>
        </is>
      </c>
      <c r="E13" s="19" t="inlineStr">
        <is>
          <t>Hasil Otomatis Excel:</t>
        </is>
      </c>
      <c r="F13" s="22">
        <f>SEARCH("-", C11)</f>
        <v/>
      </c>
    </row>
    <row r="14">
      <c r="B14" s="18" t="inlineStr">
        <is>
          <t>Cabang Medan</t>
        </is>
      </c>
      <c r="C14" s="18" t="inlineStr">
        <is>
          <t>MDN-004</t>
        </is>
      </c>
    </row>
    <row r="16" ht="26" customHeight="1">
      <c r="B16" s="23" t="inlineStr">
        <is>
          <t>3️⃣ 5 PERSOALAN DUNIA NYATA (KETIK RUMUS SEARCH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Cabang</t>
        </is>
      </c>
      <c r="C19" s="12" t="inlineStr">
        <is>
          <t>Kode Nomor</t>
        </is>
      </c>
      <c r="E19" s="25" t="inlineStr">
        <is>
          <t>Persoalan #1: Cari posisi karakter "-" di dalam sel C20 menggunakan rumus SEARCH!</t>
        </is>
      </c>
    </row>
    <row r="20">
      <c r="B20" s="18" t="inlineStr">
        <is>
          <t>Cabang Jakarta</t>
        </is>
      </c>
      <c r="C20" s="18" t="inlineStr">
        <is>
          <t>JKT-001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BDG-002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SEARCH("-", C20)</f>
        <v/>
      </c>
      <c r="H21" s="29" t="inlineStr">
        <is>
          <t>Ketik: =SEARCH("-", C20)</t>
        </is>
      </c>
    </row>
    <row r="22">
      <c r="B22" s="18" t="inlineStr">
        <is>
          <t>Cabang Surabaya</t>
        </is>
      </c>
      <c r="C22" s="18" t="inlineStr">
        <is>
          <t>SBY-003</t>
        </is>
      </c>
    </row>
    <row r="23">
      <c r="B23" s="18" t="inlineStr">
        <is>
          <t>Cabang Medan</t>
        </is>
      </c>
      <c r="C23" s="18" t="inlineStr">
        <is>
          <t>MDN-004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Cabang</t>
        </is>
      </c>
      <c r="C27" s="12" t="inlineStr">
        <is>
          <t>Kode Nomor</t>
        </is>
      </c>
      <c r="E27" s="25" t="inlineStr">
        <is>
          <t>Persoalan #2: Cari posisi karakter "-" di dalam sel C28 menggunakan rumus SEARCH!</t>
        </is>
      </c>
    </row>
    <row r="28">
      <c r="B28" s="18" t="inlineStr">
        <is>
          <t>Budi Santoso</t>
        </is>
      </c>
      <c r="C28" s="18" t="inlineStr">
        <is>
          <t>JKT-001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BDG-002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SEARCH("-", C28)</f>
        <v/>
      </c>
      <c r="H29" s="29" t="inlineStr">
        <is>
          <t>Ketik: =SEARCH("-", C28)</t>
        </is>
      </c>
    </row>
    <row r="30">
      <c r="B30" s="18" t="inlineStr">
        <is>
          <t>Andi Pratama</t>
        </is>
      </c>
      <c r="C30" s="18" t="inlineStr">
        <is>
          <t>SBY-003</t>
        </is>
      </c>
    </row>
    <row r="31">
      <c r="B31" s="18" t="inlineStr">
        <is>
          <t>Rina Wijaya</t>
        </is>
      </c>
      <c r="C31" s="18" t="inlineStr">
        <is>
          <t>MDN-004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Cabang</t>
        </is>
      </c>
      <c r="C35" s="12" t="inlineStr">
        <is>
          <t>Kode Nomor</t>
        </is>
      </c>
      <c r="E35" s="25" t="inlineStr">
        <is>
          <t>Persoalan #3: Cari posisi karakter "-" di dalam sel C36 menggunakan rumus SEARCH!</t>
        </is>
      </c>
    </row>
    <row r="36">
      <c r="B36" s="18" t="inlineStr">
        <is>
          <t>Gudang Blok A</t>
        </is>
      </c>
      <c r="C36" s="18" t="inlineStr">
        <is>
          <t>JKT-001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BDG-002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SEARCH("-", C36)</f>
        <v/>
      </c>
      <c r="H37" s="29" t="inlineStr">
        <is>
          <t>Ketik: =SEARCH("-", C36)</t>
        </is>
      </c>
    </row>
    <row r="38">
      <c r="B38" s="18" t="inlineStr">
        <is>
          <t>Gudang Blok C</t>
        </is>
      </c>
      <c r="C38" s="18" t="inlineStr">
        <is>
          <t>SBY-003</t>
        </is>
      </c>
    </row>
    <row r="39">
      <c r="B39" s="18" t="inlineStr">
        <is>
          <t>Gudang Blok D</t>
        </is>
      </c>
      <c r="C39" s="18" t="inlineStr">
        <is>
          <t>MDN-004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Cabang</t>
        </is>
      </c>
      <c r="C43" s="12" t="inlineStr">
        <is>
          <t>Kode Nomor</t>
        </is>
      </c>
      <c r="E43" s="25" t="inlineStr">
        <is>
          <t>Persoalan #4: Cari posisi karakter "-" di dalam sel C44 menggunakan rumus SEARCH!</t>
        </is>
      </c>
    </row>
    <row r="44">
      <c r="B44" s="18" t="inlineStr">
        <is>
          <t>Toko Elektronik</t>
        </is>
      </c>
      <c r="C44" s="18" t="inlineStr">
        <is>
          <t>JKT-001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BDG-002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SEARCH("-", C44)</f>
        <v/>
      </c>
      <c r="H45" s="29" t="inlineStr">
        <is>
          <t>Ketik: =SEARCH("-", C44)</t>
        </is>
      </c>
    </row>
    <row r="46">
      <c r="B46" s="18" t="inlineStr">
        <is>
          <t>Toko Aksesoris</t>
        </is>
      </c>
      <c r="C46" s="18" t="inlineStr">
        <is>
          <t>SBY-003</t>
        </is>
      </c>
    </row>
    <row r="47">
      <c r="B47" s="18" t="inlineStr">
        <is>
          <t>Toko Servis</t>
        </is>
      </c>
      <c r="C47" s="18" t="inlineStr">
        <is>
          <t>MDN-004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Cabang</t>
        </is>
      </c>
      <c r="C51" s="12" t="inlineStr">
        <is>
          <t>Kode Nomor</t>
        </is>
      </c>
      <c r="E51" s="25" t="inlineStr">
        <is>
          <t>Persoalan #5: Cari posisi karakter "-" di dalam sel C52 menggunakan rumus SEARCH!</t>
        </is>
      </c>
    </row>
    <row r="52">
      <c r="B52" s="18" t="inlineStr">
        <is>
          <t>Kelas 10 IPA</t>
        </is>
      </c>
      <c r="C52" s="18" t="inlineStr">
        <is>
          <t>JKT-001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BDG-002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SEARCH("-", C52)</f>
        <v/>
      </c>
      <c r="H53" s="29" t="inlineStr">
        <is>
          <t>Ketik: =SEARCH("-", C52)</t>
        </is>
      </c>
    </row>
    <row r="54">
      <c r="B54" s="18" t="inlineStr">
        <is>
          <t>Kelas 12 IPA</t>
        </is>
      </c>
      <c r="C54" s="18" t="inlineStr">
        <is>
          <t>SBY-003</t>
        </is>
      </c>
    </row>
    <row r="55">
      <c r="B55" s="18" t="inlineStr">
        <is>
          <t>Kelas Unggulan</t>
        </is>
      </c>
      <c r="C55" s="18" t="inlineStr">
        <is>
          <t>MDN-004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#064 — RUMUS EXCEL: SUBSTITUTE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(SUBSTITUTE)</t>
        </is>
      </c>
    </row>
    <row r="5" ht="21" customHeight="1">
      <c r="B5" s="12" t="inlineStr">
        <is>
          <t>Nama Rumus Excel</t>
        </is>
      </c>
      <c r="C5" s="13">
        <f>SUBSTITUTE(...)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SUBSTITUTE(teks, teks_lama, teks_baru)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Mengganti kata/simbol tertentu dengan kata/simbol baru secara otomatis (Misal: ganti tanda '-' menjadi '/').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SUBSTITUTE)</t>
        </is>
      </c>
    </row>
    <row r="10">
      <c r="B10" s="16" t="inlineStr">
        <is>
          <t>Dokumen</t>
        </is>
      </c>
      <c r="C10" s="16" t="inlineStr">
        <is>
          <t>Tanggal Teks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2026-10-12</t>
        </is>
      </c>
      <c r="E11" s="19" t="inlineStr">
        <is>
          <t>Kasus Contoh:</t>
        </is>
      </c>
      <c r="F11" s="20" t="inlineStr">
        <is>
          <t>Ganti semua tanda "-" menjadi "/" pada sel C11 menggunakan rumus SUBSTITUTE!</t>
        </is>
      </c>
    </row>
    <row r="12">
      <c r="B12" s="18" t="inlineStr">
        <is>
          <t>Cabang Bandung</t>
        </is>
      </c>
      <c r="C12" s="18" t="inlineStr">
        <is>
          <t>2026-11-01</t>
        </is>
      </c>
      <c r="E12" s="19" t="inlineStr">
        <is>
          <t>Rumus yang Diketik:</t>
        </is>
      </c>
      <c r="F12" s="21" t="inlineStr">
        <is>
          <t>'=SUBSTITUTE(C11, "-", "/")</t>
        </is>
      </c>
    </row>
    <row r="13">
      <c r="B13" s="18" t="inlineStr">
        <is>
          <t>Cabang Surabaya</t>
        </is>
      </c>
      <c r="C13" s="18" t="inlineStr">
        <is>
          <t>2026-12-15</t>
        </is>
      </c>
      <c r="E13" s="19" t="inlineStr">
        <is>
          <t>Hasil Otomatis Excel:</t>
        </is>
      </c>
      <c r="F13" s="22">
        <f>SUBSTITUTE(C11, "-", "/")</f>
        <v/>
      </c>
    </row>
    <row r="14">
      <c r="B14" s="18" t="inlineStr">
        <is>
          <t>Cabang Medan</t>
        </is>
      </c>
      <c r="C14" s="18" t="inlineStr">
        <is>
          <t>2026-08-17</t>
        </is>
      </c>
    </row>
    <row r="16" ht="26" customHeight="1">
      <c r="B16" s="23" t="inlineStr">
        <is>
          <t>3️⃣ 5 PERSOALAN DUNIA NYATA (KETIK RUMUS SUBSTITUTE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Dokumen</t>
        </is>
      </c>
      <c r="C19" s="12" t="inlineStr">
        <is>
          <t>Tanggal Teks</t>
        </is>
      </c>
      <c r="E19" s="25" t="inlineStr">
        <is>
          <t>Persoalan #1: Ganti semua tanda "-" menjadi "/" pada sel C20 menggunakan rumus SUBSTITUTE!</t>
        </is>
      </c>
    </row>
    <row r="20">
      <c r="B20" s="18" t="inlineStr">
        <is>
          <t>Cabang Jakarta</t>
        </is>
      </c>
      <c r="C20" s="18" t="inlineStr">
        <is>
          <t>2026-10-12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2026-11-01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SUBSTITUTE(C20, "-", "/")</f>
        <v/>
      </c>
      <c r="H21" s="29" t="inlineStr">
        <is>
          <t>Ketik: =SUBSTITUTE(C20, "-", "/")</t>
        </is>
      </c>
    </row>
    <row r="22">
      <c r="B22" s="18" t="inlineStr">
        <is>
          <t>Cabang Surabaya</t>
        </is>
      </c>
      <c r="C22" s="18" t="inlineStr">
        <is>
          <t>2026-12-15</t>
        </is>
      </c>
    </row>
    <row r="23">
      <c r="B23" s="18" t="inlineStr">
        <is>
          <t>Cabang Medan</t>
        </is>
      </c>
      <c r="C23" s="18" t="inlineStr">
        <is>
          <t>2026-08-17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Dokumen</t>
        </is>
      </c>
      <c r="C27" s="12" t="inlineStr">
        <is>
          <t>Tanggal Teks</t>
        </is>
      </c>
      <c r="E27" s="25" t="inlineStr">
        <is>
          <t>Persoalan #2: Ganti semua tanda "-" menjadi "/" pada sel C28 menggunakan rumus SUBSTITUTE!</t>
        </is>
      </c>
    </row>
    <row r="28">
      <c r="B28" s="18" t="inlineStr">
        <is>
          <t>Budi Santoso</t>
        </is>
      </c>
      <c r="C28" s="18" t="inlineStr">
        <is>
          <t>2026-10-12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2026-11-01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SUBSTITUTE(C28, "-", "/")</f>
        <v/>
      </c>
      <c r="H29" s="29" t="inlineStr">
        <is>
          <t>Ketik: =SUBSTITUTE(C28, "-", "/")</t>
        </is>
      </c>
    </row>
    <row r="30">
      <c r="B30" s="18" t="inlineStr">
        <is>
          <t>Andi Pratama</t>
        </is>
      </c>
      <c r="C30" s="18" t="inlineStr">
        <is>
          <t>2026-12-15</t>
        </is>
      </c>
    </row>
    <row r="31">
      <c r="B31" s="18" t="inlineStr">
        <is>
          <t>Rina Wijaya</t>
        </is>
      </c>
      <c r="C31" s="18" t="inlineStr">
        <is>
          <t>2026-08-17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Dokumen</t>
        </is>
      </c>
      <c r="C35" s="12" t="inlineStr">
        <is>
          <t>Tanggal Teks</t>
        </is>
      </c>
      <c r="E35" s="25" t="inlineStr">
        <is>
          <t>Persoalan #3: Ganti semua tanda "-" menjadi "/" pada sel C36 menggunakan rumus SUBSTITUTE!</t>
        </is>
      </c>
    </row>
    <row r="36">
      <c r="B36" s="18" t="inlineStr">
        <is>
          <t>Gudang Blok A</t>
        </is>
      </c>
      <c r="C36" s="18" t="inlineStr">
        <is>
          <t>2026-10-12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2026-11-01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SUBSTITUTE(C36, "-", "/")</f>
        <v/>
      </c>
      <c r="H37" s="29" t="inlineStr">
        <is>
          <t>Ketik: =SUBSTITUTE(C36, "-", "/")</t>
        </is>
      </c>
    </row>
    <row r="38">
      <c r="B38" s="18" t="inlineStr">
        <is>
          <t>Gudang Blok C</t>
        </is>
      </c>
      <c r="C38" s="18" t="inlineStr">
        <is>
          <t>2026-12-15</t>
        </is>
      </c>
    </row>
    <row r="39">
      <c r="B39" s="18" t="inlineStr">
        <is>
          <t>Gudang Blok D</t>
        </is>
      </c>
      <c r="C39" s="18" t="inlineStr">
        <is>
          <t>2026-08-17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Dokumen</t>
        </is>
      </c>
      <c r="C43" s="12" t="inlineStr">
        <is>
          <t>Tanggal Teks</t>
        </is>
      </c>
      <c r="E43" s="25" t="inlineStr">
        <is>
          <t>Persoalan #4: Ganti semua tanda "-" menjadi "/" pada sel C44 menggunakan rumus SUBSTITUTE!</t>
        </is>
      </c>
    </row>
    <row r="44">
      <c r="B44" s="18" t="inlineStr">
        <is>
          <t>Toko Elektronik</t>
        </is>
      </c>
      <c r="C44" s="18" t="inlineStr">
        <is>
          <t>2026-10-12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2026-11-01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SUBSTITUTE(C44, "-", "/")</f>
        <v/>
      </c>
      <c r="H45" s="29" t="inlineStr">
        <is>
          <t>Ketik: =SUBSTITUTE(C44, "-", "/")</t>
        </is>
      </c>
    </row>
    <row r="46">
      <c r="B46" s="18" t="inlineStr">
        <is>
          <t>Toko Aksesoris</t>
        </is>
      </c>
      <c r="C46" s="18" t="inlineStr">
        <is>
          <t>2026-12-15</t>
        </is>
      </c>
    </row>
    <row r="47">
      <c r="B47" s="18" t="inlineStr">
        <is>
          <t>Toko Servis</t>
        </is>
      </c>
      <c r="C47" s="18" t="inlineStr">
        <is>
          <t>2026-08-17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Dokumen</t>
        </is>
      </c>
      <c r="C51" s="12" t="inlineStr">
        <is>
          <t>Tanggal Teks</t>
        </is>
      </c>
      <c r="E51" s="25" t="inlineStr">
        <is>
          <t>Persoalan #5: Ganti semua tanda "-" menjadi "/" pada sel C52 menggunakan rumus SUBSTITUTE!</t>
        </is>
      </c>
    </row>
    <row r="52">
      <c r="B52" s="18" t="inlineStr">
        <is>
          <t>Kelas 10 IPA</t>
        </is>
      </c>
      <c r="C52" s="18" t="inlineStr">
        <is>
          <t>2026-10-12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2026-11-01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SUBSTITUTE(C52, "-", "/")</f>
        <v/>
      </c>
      <c r="H53" s="29" t="inlineStr">
        <is>
          <t>Ketik: =SUBSTITUTE(C52, "-", "/")</t>
        </is>
      </c>
    </row>
    <row r="54">
      <c r="B54" s="18" t="inlineStr">
        <is>
          <t>Kelas 12 IPA</t>
        </is>
      </c>
      <c r="C54" s="18" t="inlineStr">
        <is>
          <t>2026-12-15</t>
        </is>
      </c>
    </row>
    <row r="55">
      <c r="B55" s="18" t="inlineStr">
        <is>
          <t>Kelas Unggulan</t>
        </is>
      </c>
      <c r="C55" s="18" t="inlineStr">
        <is>
          <t>2026-08-17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#065 — RUMUS EXCEL: REPLACE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(REPLACE)</t>
        </is>
      </c>
    </row>
    <row r="5" ht="21" customHeight="1">
      <c r="B5" s="12" t="inlineStr">
        <is>
          <t>Nama Rumus Excel</t>
        </is>
      </c>
      <c r="C5" s="13">
        <f>REPLACE(...)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REPLACE(teks_lama, mulai_ke, jumlah_diganti, teks_baru)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Mengganti sebagian karakter berdasarkan posisi urutannya (Misal: menyensor 4 angka tengah nomor kartu).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REPLACE)</t>
        </is>
      </c>
    </row>
    <row r="10">
      <c r="B10" s="16" t="inlineStr">
        <is>
          <t>Wilayah</t>
        </is>
      </c>
      <c r="C10" s="16" t="inlineStr">
        <is>
          <t>Kode Lama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ID-12345</t>
        </is>
      </c>
      <c r="E11" s="19" t="inlineStr">
        <is>
          <t>Kasus Contoh:</t>
        </is>
      </c>
      <c r="F11" s="20" t="inlineStr">
        <is>
          <t>Ganti 2 huruf pertama mulai posisi ke-1 pada C11 menjadi "INA" memakai rumus REPLACE!</t>
        </is>
      </c>
    </row>
    <row r="12">
      <c r="B12" s="18" t="inlineStr">
        <is>
          <t>Cabang Bandung</t>
        </is>
      </c>
      <c r="C12" s="18" t="inlineStr">
        <is>
          <t>ID-67890</t>
        </is>
      </c>
      <c r="E12" s="19" t="inlineStr">
        <is>
          <t>Rumus yang Diketik:</t>
        </is>
      </c>
      <c r="F12" s="21" t="inlineStr">
        <is>
          <t>'=REPLACE(C11, 1, 2, "INA")</t>
        </is>
      </c>
    </row>
    <row r="13">
      <c r="B13" s="18" t="inlineStr">
        <is>
          <t>Cabang Surabaya</t>
        </is>
      </c>
      <c r="C13" s="18" t="inlineStr">
        <is>
          <t>ID-54321</t>
        </is>
      </c>
      <c r="E13" s="19" t="inlineStr">
        <is>
          <t>Hasil Otomatis Excel:</t>
        </is>
      </c>
      <c r="F13" s="22">
        <f>REPLACE(C11, 1, 2, "INA")</f>
        <v/>
      </c>
    </row>
    <row r="14">
      <c r="B14" s="18" t="inlineStr">
        <is>
          <t>Cabang Medan</t>
        </is>
      </c>
      <c r="C14" s="18" t="inlineStr">
        <is>
          <t>ID-98765</t>
        </is>
      </c>
    </row>
    <row r="16" ht="26" customHeight="1">
      <c r="B16" s="23" t="inlineStr">
        <is>
          <t>3️⃣ 5 PERSOALAN DUNIA NYATA (KETIK RUMUS REPLACE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Wilayah</t>
        </is>
      </c>
      <c r="C19" s="12" t="inlineStr">
        <is>
          <t>Kode Lama</t>
        </is>
      </c>
      <c r="E19" s="25" t="inlineStr">
        <is>
          <t>Persoalan #1: Ganti 2 huruf pertama mulai posisi ke-1 pada C20 menjadi "INA" memakai rumus REPLACE!</t>
        </is>
      </c>
    </row>
    <row r="20">
      <c r="B20" s="18" t="inlineStr">
        <is>
          <t>Cabang Jakarta</t>
        </is>
      </c>
      <c r="C20" s="18" t="inlineStr">
        <is>
          <t>ID-12345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ID-67890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REPLACE(C20, 1, 2, "INA")</f>
        <v/>
      </c>
      <c r="H21" s="29" t="inlineStr">
        <is>
          <t>Ketik: =REPLACE(C20, 1, 2, "INA")</t>
        </is>
      </c>
    </row>
    <row r="22">
      <c r="B22" s="18" t="inlineStr">
        <is>
          <t>Cabang Surabaya</t>
        </is>
      </c>
      <c r="C22" s="18" t="inlineStr">
        <is>
          <t>ID-54321</t>
        </is>
      </c>
    </row>
    <row r="23">
      <c r="B23" s="18" t="inlineStr">
        <is>
          <t>Cabang Medan</t>
        </is>
      </c>
      <c r="C23" s="18" t="inlineStr">
        <is>
          <t>ID-98765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Wilayah</t>
        </is>
      </c>
      <c r="C27" s="12" t="inlineStr">
        <is>
          <t>Kode Lama</t>
        </is>
      </c>
      <c r="E27" s="25" t="inlineStr">
        <is>
          <t>Persoalan #2: Ganti 2 huruf pertama mulai posisi ke-1 pada C28 menjadi "INA" memakai rumus REPLACE!</t>
        </is>
      </c>
    </row>
    <row r="28">
      <c r="B28" s="18" t="inlineStr">
        <is>
          <t>Budi Santoso</t>
        </is>
      </c>
      <c r="C28" s="18" t="inlineStr">
        <is>
          <t>ID-12345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ID-67890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REPLACE(C28, 1, 2, "INA")</f>
        <v/>
      </c>
      <c r="H29" s="29" t="inlineStr">
        <is>
          <t>Ketik: =REPLACE(C28, 1, 2, "INA")</t>
        </is>
      </c>
    </row>
    <row r="30">
      <c r="B30" s="18" t="inlineStr">
        <is>
          <t>Andi Pratama</t>
        </is>
      </c>
      <c r="C30" s="18" t="inlineStr">
        <is>
          <t>ID-54321</t>
        </is>
      </c>
    </row>
    <row r="31">
      <c r="B31" s="18" t="inlineStr">
        <is>
          <t>Rina Wijaya</t>
        </is>
      </c>
      <c r="C31" s="18" t="inlineStr">
        <is>
          <t>ID-98765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Wilayah</t>
        </is>
      </c>
      <c r="C35" s="12" t="inlineStr">
        <is>
          <t>Kode Lama</t>
        </is>
      </c>
      <c r="E35" s="25" t="inlineStr">
        <is>
          <t>Persoalan #3: Ganti 2 huruf pertama mulai posisi ke-1 pada C36 menjadi "INA" memakai rumus REPLACE!</t>
        </is>
      </c>
    </row>
    <row r="36">
      <c r="B36" s="18" t="inlineStr">
        <is>
          <t>Gudang Blok A</t>
        </is>
      </c>
      <c r="C36" s="18" t="inlineStr">
        <is>
          <t>ID-12345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ID-67890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REPLACE(C36, 1, 2, "INA")</f>
        <v/>
      </c>
      <c r="H37" s="29" t="inlineStr">
        <is>
          <t>Ketik: =REPLACE(C36, 1, 2, "INA")</t>
        </is>
      </c>
    </row>
    <row r="38">
      <c r="B38" s="18" t="inlineStr">
        <is>
          <t>Gudang Blok C</t>
        </is>
      </c>
      <c r="C38" s="18" t="inlineStr">
        <is>
          <t>ID-54321</t>
        </is>
      </c>
    </row>
    <row r="39">
      <c r="B39" s="18" t="inlineStr">
        <is>
          <t>Gudang Blok D</t>
        </is>
      </c>
      <c r="C39" s="18" t="inlineStr">
        <is>
          <t>ID-98765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Wilayah</t>
        </is>
      </c>
      <c r="C43" s="12" t="inlineStr">
        <is>
          <t>Kode Lama</t>
        </is>
      </c>
      <c r="E43" s="25" t="inlineStr">
        <is>
          <t>Persoalan #4: Ganti 2 huruf pertama mulai posisi ke-1 pada C44 menjadi "INA" memakai rumus REPLACE!</t>
        </is>
      </c>
    </row>
    <row r="44">
      <c r="B44" s="18" t="inlineStr">
        <is>
          <t>Toko Elektronik</t>
        </is>
      </c>
      <c r="C44" s="18" t="inlineStr">
        <is>
          <t>ID-12345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ID-67890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REPLACE(C44, 1, 2, "INA")</f>
        <v/>
      </c>
      <c r="H45" s="29" t="inlineStr">
        <is>
          <t>Ketik: =REPLACE(C44, 1, 2, "INA")</t>
        </is>
      </c>
    </row>
    <row r="46">
      <c r="B46" s="18" t="inlineStr">
        <is>
          <t>Toko Aksesoris</t>
        </is>
      </c>
      <c r="C46" s="18" t="inlineStr">
        <is>
          <t>ID-54321</t>
        </is>
      </c>
    </row>
    <row r="47">
      <c r="B47" s="18" t="inlineStr">
        <is>
          <t>Toko Servis</t>
        </is>
      </c>
      <c r="C47" s="18" t="inlineStr">
        <is>
          <t>ID-98765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Wilayah</t>
        </is>
      </c>
      <c r="C51" s="12" t="inlineStr">
        <is>
          <t>Kode Lama</t>
        </is>
      </c>
      <c r="E51" s="25" t="inlineStr">
        <is>
          <t>Persoalan #5: Ganti 2 huruf pertama mulai posisi ke-1 pada C52 menjadi "INA" memakai rumus REPLACE!</t>
        </is>
      </c>
    </row>
    <row r="52">
      <c r="B52" s="18" t="inlineStr">
        <is>
          <t>Kelas 10 IPA</t>
        </is>
      </c>
      <c r="C52" s="18" t="inlineStr">
        <is>
          <t>ID-12345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ID-67890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REPLACE(C52, 1, 2, "INA")</f>
        <v/>
      </c>
      <c r="H53" s="29" t="inlineStr">
        <is>
          <t>Ketik: =REPLACE(C52, 1, 2, "INA")</t>
        </is>
      </c>
    </row>
    <row r="54">
      <c r="B54" s="18" t="inlineStr">
        <is>
          <t>Kelas 12 IPA</t>
        </is>
      </c>
      <c r="C54" s="18" t="inlineStr">
        <is>
          <t>ID-54321</t>
        </is>
      </c>
    </row>
    <row r="55">
      <c r="B55" s="18" t="inlineStr">
        <is>
          <t>Kelas Unggulan</t>
        </is>
      </c>
      <c r="C55" s="18" t="inlineStr">
        <is>
          <t>ID-98765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#066 — RUMUS EXCEL: REPT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(REPT)</t>
        </is>
      </c>
    </row>
    <row r="5" ht="21" customHeight="1">
      <c r="B5" s="12" t="inlineStr">
        <is>
          <t>Nama Rumus Excel</t>
        </is>
      </c>
      <c r="C5" s="13">
        <f>REPT(...)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REPT(teks, jumlah_ulang)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Mengulang teks atau simbol berkali-kali (Sering dipakai membuat grafik bintang '⭐⭐⭐⭐⭐' langsung di dalam sel!).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REPT)</t>
        </is>
      </c>
    </row>
    <row r="10">
      <c r="B10" s="16" t="inlineStr">
        <is>
          <t>Karyawan</t>
        </is>
      </c>
      <c r="C10" s="16" t="inlineStr">
        <is>
          <t>Rating Bintang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3</v>
      </c>
      <c r="E11" s="19" t="inlineStr">
        <is>
          <t>Kasus Contoh:</t>
        </is>
      </c>
      <c r="F11" s="20" t="inlineStr">
        <is>
          <t>Ulang karakter bintang "*" sebanyak angka di sel C11 (3) menggunakan rumus REPT!</t>
        </is>
      </c>
    </row>
    <row r="12">
      <c r="B12" s="18" t="inlineStr">
        <is>
          <t>Cabang Bandung</t>
        </is>
      </c>
      <c r="C12" s="18" t="n">
        <v>4</v>
      </c>
      <c r="E12" s="19" t="inlineStr">
        <is>
          <t>Rumus yang Diketik:</t>
        </is>
      </c>
      <c r="F12" s="21" t="inlineStr">
        <is>
          <t>'=REPT("*", C11)</t>
        </is>
      </c>
    </row>
    <row r="13">
      <c r="B13" s="18" t="inlineStr">
        <is>
          <t>Cabang Surabaya</t>
        </is>
      </c>
      <c r="C13" s="18" t="n">
        <v>5</v>
      </c>
      <c r="E13" s="19" t="inlineStr">
        <is>
          <t>Hasil Otomatis Excel:</t>
        </is>
      </c>
      <c r="F13" s="22">
        <f>REPT("*", C11)</f>
        <v/>
      </c>
    </row>
    <row r="14">
      <c r="B14" s="18" t="inlineStr">
        <is>
          <t>Cabang Medan</t>
        </is>
      </c>
      <c r="C14" s="18" t="n">
        <v>2</v>
      </c>
    </row>
    <row r="16" ht="26" customHeight="1">
      <c r="B16" s="23" t="inlineStr">
        <is>
          <t>3️⃣ 5 PERSOALAN DUNIA NYATA (KETIK RUMUS REPT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Karyawan</t>
        </is>
      </c>
      <c r="C19" s="12" t="inlineStr">
        <is>
          <t>Rating Bintang</t>
        </is>
      </c>
      <c r="E19" s="25" t="inlineStr">
        <is>
          <t>Persoalan #1: Ulang karakter bintang "*" sebanyak angka di sel C20 (3) menggunakan rumus REPT!</t>
        </is>
      </c>
    </row>
    <row r="20">
      <c r="B20" s="18" t="inlineStr">
        <is>
          <t>Cabang Jakarta</t>
        </is>
      </c>
      <c r="C20" s="18" t="n">
        <v>3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4</v>
      </c>
      <c r="E21" s="26" t="n"/>
      <c r="F21" s="27">
        <f>IF(ISBLANK(E21), "⏳ Ketik rumus di sel kuning E21", IF(E21=G21, "✅ BENAR! LUAR BIASA!", "❌ Belum Tepat, Cek Kunci"))</f>
        <v/>
      </c>
      <c r="G21" s="28">
        <f>REPT("*", C20)</f>
        <v/>
      </c>
      <c r="H21" s="29" t="inlineStr">
        <is>
          <t>Ketik: =REPT("*", C20)</t>
        </is>
      </c>
    </row>
    <row r="22">
      <c r="B22" s="18" t="inlineStr">
        <is>
          <t>Cabang Surabaya</t>
        </is>
      </c>
      <c r="C22" s="18" t="n">
        <v>5</v>
      </c>
    </row>
    <row r="23">
      <c r="B23" s="18" t="inlineStr">
        <is>
          <t>Cabang Medan</t>
        </is>
      </c>
      <c r="C23" s="18" t="n">
        <v>2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Karyawan</t>
        </is>
      </c>
      <c r="C27" s="12" t="inlineStr">
        <is>
          <t>Rating Bintang</t>
        </is>
      </c>
      <c r="E27" s="25" t="inlineStr">
        <is>
          <t>Persoalan #2: Ulang karakter bintang "*" sebanyak angka di sel C28 (4) menggunakan rumus REPT!</t>
        </is>
      </c>
    </row>
    <row r="28">
      <c r="B28" s="18" t="inlineStr">
        <is>
          <t>Budi Santoso</t>
        </is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4</v>
      </c>
      <c r="E29" s="26" t="n"/>
      <c r="F29" s="27">
        <f>IF(ISBLANK(E29), "⏳ Ketik rumus di sel kuning E29", IF(E29=G29, "✅ BENAR! LUAR BIASA!", "❌ Belum Tepat, Cek Kunci"))</f>
        <v/>
      </c>
      <c r="G29" s="28">
        <f>REPT("*", C28)</f>
        <v/>
      </c>
      <c r="H29" s="29" t="inlineStr">
        <is>
          <t>Ketik: =REPT("*", C28)</t>
        </is>
      </c>
    </row>
    <row r="30">
      <c r="B30" s="18" t="inlineStr">
        <is>
          <t>Andi Pratama</t>
        </is>
      </c>
      <c r="C30" s="18" t="n">
        <v>5</v>
      </c>
    </row>
    <row r="31">
      <c r="B31" s="18" t="inlineStr">
        <is>
          <t>Rina Wijaya</t>
        </is>
      </c>
      <c r="C31" s="18" t="n">
        <v>2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Karyawan</t>
        </is>
      </c>
      <c r="C35" s="12" t="inlineStr">
        <is>
          <t>Rating Bintang</t>
        </is>
      </c>
      <c r="E35" s="25" t="inlineStr">
        <is>
          <t>Persoalan #3: Ulang karakter bintang "*" sebanyak angka di sel C36 (5) menggunakan rumus REPT!</t>
        </is>
      </c>
    </row>
    <row r="36">
      <c r="B36" s="18" t="inlineStr">
        <is>
          <t>Gudang Blok A</t>
        </is>
      </c>
      <c r="C36" s="18" t="n">
        <v>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4</v>
      </c>
      <c r="E37" s="26" t="n"/>
      <c r="F37" s="27">
        <f>IF(ISBLANK(E37), "⏳ Ketik rumus di sel kuning E37", IF(E37=G37, "✅ BENAR! LUAR BIASA!", "❌ Belum Tepat, Cek Kunci"))</f>
        <v/>
      </c>
      <c r="G37" s="28">
        <f>REPT("*", C36)</f>
        <v/>
      </c>
      <c r="H37" s="29" t="inlineStr">
        <is>
          <t>Ketik: =REPT("*", C36)</t>
        </is>
      </c>
    </row>
    <row r="38">
      <c r="B38" s="18" t="inlineStr">
        <is>
          <t>Gudang Blok C</t>
        </is>
      </c>
      <c r="C38" s="18" t="n">
        <v>5</v>
      </c>
    </row>
    <row r="39">
      <c r="B39" s="18" t="inlineStr">
        <is>
          <t>Gudang Blok D</t>
        </is>
      </c>
      <c r="C39" s="18" t="n">
        <v>2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Karyawan</t>
        </is>
      </c>
      <c r="C43" s="12" t="inlineStr">
        <is>
          <t>Rating Bintang</t>
        </is>
      </c>
      <c r="E43" s="25" t="inlineStr">
        <is>
          <t>Persoalan #4: Ulang karakter bintang "*" sebanyak angka di sel C44 (3) menggunakan rumus REPT!</t>
        </is>
      </c>
    </row>
    <row r="44">
      <c r="B44" s="18" t="inlineStr">
        <is>
          <t>Toko Elektronik</t>
        </is>
      </c>
      <c r="C44" s="18" t="n">
        <v>3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4</v>
      </c>
      <c r="E45" s="26" t="n"/>
      <c r="F45" s="27">
        <f>IF(ISBLANK(E45), "⏳ Ketik rumus di sel kuning E45", IF(E45=G45, "✅ BENAR! LUAR BIASA!", "❌ Belum Tepat, Cek Kunci"))</f>
        <v/>
      </c>
      <c r="G45" s="28">
        <f>REPT("*", C44)</f>
        <v/>
      </c>
      <c r="H45" s="29" t="inlineStr">
        <is>
          <t>Ketik: =REPT("*", C44)</t>
        </is>
      </c>
    </row>
    <row r="46">
      <c r="B46" s="18" t="inlineStr">
        <is>
          <t>Toko Aksesoris</t>
        </is>
      </c>
      <c r="C46" s="18" t="n">
        <v>5</v>
      </c>
    </row>
    <row r="47">
      <c r="B47" s="18" t="inlineStr">
        <is>
          <t>Toko Servis</t>
        </is>
      </c>
      <c r="C47" s="18" t="n">
        <v>2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Karyawan</t>
        </is>
      </c>
      <c r="C51" s="12" t="inlineStr">
        <is>
          <t>Rating Bintang</t>
        </is>
      </c>
      <c r="E51" s="25" t="inlineStr">
        <is>
          <t>Persoalan #5: Ulang karakter bintang "*" sebanyak angka di sel C52 (4) menggunakan rumus REPT!</t>
        </is>
      </c>
    </row>
    <row r="52">
      <c r="B52" s="18" t="inlineStr">
        <is>
          <t>Kelas 10 IPA</t>
        </is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4</v>
      </c>
      <c r="E53" s="26" t="n"/>
      <c r="F53" s="27">
        <f>IF(ISBLANK(E53), "⏳ Ketik rumus di sel kuning E53", IF(E53=G53, "✅ BENAR! LUAR BIASA!", "❌ Belum Tepat, Cek Kunci"))</f>
        <v/>
      </c>
      <c r="G53" s="28">
        <f>REPT("*", C52)</f>
        <v/>
      </c>
      <c r="H53" s="29" t="inlineStr">
        <is>
          <t>Ketik: =REPT("*", C52)</t>
        </is>
      </c>
    </row>
    <row r="54">
      <c r="B54" s="18" t="inlineStr">
        <is>
          <t>Kelas 12 IPA</t>
        </is>
      </c>
      <c r="C54" s="18" t="n">
        <v>5</v>
      </c>
    </row>
    <row r="55">
      <c r="B55" s="18" t="inlineStr">
        <is>
          <t>Kelas Unggulan</t>
        </is>
      </c>
      <c r="C55" s="18" t="n">
        <v>2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#067 — RUMUS EXCEL: VALUE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(VALUE)</t>
        </is>
      </c>
    </row>
    <row r="5" ht="21" customHeight="1">
      <c r="B5" s="12" t="inlineStr">
        <is>
          <t>Nama Rumus Excel</t>
        </is>
      </c>
      <c r="C5" s="13">
        <f>VALUE(...)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VALUE(teks_angka)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yang berformat Teks (biasanya hasil impor sistem) menjadi Angka Murni agar bisa dijumlahkan.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VALUE)</t>
        </is>
      </c>
    </row>
    <row r="10">
      <c r="B10" s="16" t="inlineStr">
        <is>
          <t>Item</t>
        </is>
      </c>
      <c r="C10" s="16" t="inlineStr">
        <is>
          <t>Teks Angka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1500</t>
        </is>
      </c>
      <c r="E11" s="19" t="inlineStr">
        <is>
          <t>Kasus Contoh:</t>
        </is>
      </c>
      <c r="F11" s="20" t="inlineStr">
        <is>
          <t>Ubah teks angka di sel C11 menjadi angka murni menggunakan rumus VALUE!</t>
        </is>
      </c>
    </row>
    <row r="12">
      <c r="B12" s="18" t="inlineStr">
        <is>
          <t>Cabang Bandung</t>
        </is>
      </c>
      <c r="C12" s="18" t="inlineStr">
        <is>
          <t>2500</t>
        </is>
      </c>
      <c r="E12" s="19" t="inlineStr">
        <is>
          <t>Rumus yang Diketik:</t>
        </is>
      </c>
      <c r="F12" s="21" t="inlineStr">
        <is>
          <t>'=VALUE(C11)</t>
        </is>
      </c>
    </row>
    <row r="13">
      <c r="B13" s="18" t="inlineStr">
        <is>
          <t>Cabang Surabaya</t>
        </is>
      </c>
      <c r="C13" s="18" t="inlineStr">
        <is>
          <t>3500</t>
        </is>
      </c>
      <c r="E13" s="19" t="inlineStr">
        <is>
          <t>Hasil Otomatis Excel:</t>
        </is>
      </c>
      <c r="F13" s="22">
        <f>VALUE(C11)</f>
        <v/>
      </c>
    </row>
    <row r="14">
      <c r="B14" s="18" t="inlineStr">
        <is>
          <t>Cabang Medan</t>
        </is>
      </c>
      <c r="C14" s="18" t="inlineStr">
        <is>
          <t>4500</t>
        </is>
      </c>
    </row>
    <row r="16" ht="26" customHeight="1">
      <c r="B16" s="23" t="inlineStr">
        <is>
          <t>3️⃣ 5 PERSOALAN DUNIA NYATA (KETIK RUMUS VALUE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</t>
        </is>
      </c>
      <c r="C19" s="12" t="inlineStr">
        <is>
          <t>Teks Angka</t>
        </is>
      </c>
      <c r="E19" s="25" t="inlineStr">
        <is>
          <t>Persoalan #1: Ubah teks angka di sel C20 menjadi angka murni menggunakan rumus VALUE!</t>
        </is>
      </c>
    </row>
    <row r="20">
      <c r="B20" s="18" t="inlineStr">
        <is>
          <t>Cabang Jakarta</t>
        </is>
      </c>
      <c r="C20" s="18" t="inlineStr">
        <is>
          <t>1500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2500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VALUE(C20)</f>
        <v/>
      </c>
      <c r="H21" s="29" t="inlineStr">
        <is>
          <t>Ketik: =VALUE(C20)</t>
        </is>
      </c>
    </row>
    <row r="22">
      <c r="B22" s="18" t="inlineStr">
        <is>
          <t>Cabang Surabaya</t>
        </is>
      </c>
      <c r="C22" s="18" t="inlineStr">
        <is>
          <t>3500</t>
        </is>
      </c>
    </row>
    <row r="23">
      <c r="B23" s="18" t="inlineStr">
        <is>
          <t>Cabang Medan</t>
        </is>
      </c>
      <c r="C23" s="18" t="inlineStr">
        <is>
          <t>4500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</t>
        </is>
      </c>
      <c r="C27" s="12" t="inlineStr">
        <is>
          <t>Teks Angka</t>
        </is>
      </c>
      <c r="E27" s="25" t="inlineStr">
        <is>
          <t>Persoalan #2: Ubah teks angka di sel C28 menjadi angka murni menggunakan rumus VALUE!</t>
        </is>
      </c>
    </row>
    <row r="28">
      <c r="B28" s="18" t="inlineStr">
        <is>
          <t>Budi Santoso</t>
        </is>
      </c>
      <c r="C28" s="18" t="inlineStr">
        <is>
          <t>1750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2500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VALUE(C28)</f>
        <v/>
      </c>
      <c r="H29" s="29" t="inlineStr">
        <is>
          <t>Ketik: =VALUE(C28)</t>
        </is>
      </c>
    </row>
    <row r="30">
      <c r="B30" s="18" t="inlineStr">
        <is>
          <t>Andi Pratama</t>
        </is>
      </c>
      <c r="C30" s="18" t="inlineStr">
        <is>
          <t>3500</t>
        </is>
      </c>
    </row>
    <row r="31">
      <c r="B31" s="18" t="inlineStr">
        <is>
          <t>Rina Wijaya</t>
        </is>
      </c>
      <c r="C31" s="18" t="inlineStr">
        <is>
          <t>4500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</t>
        </is>
      </c>
      <c r="C35" s="12" t="inlineStr">
        <is>
          <t>Teks Angka</t>
        </is>
      </c>
      <c r="E35" s="25" t="inlineStr">
        <is>
          <t>Persoalan #3: Ubah teks angka di sel C36 menjadi angka murni menggunakan rumus VALUE!</t>
        </is>
      </c>
    </row>
    <row r="36">
      <c r="B36" s="18" t="inlineStr">
        <is>
          <t>Gudang Blok A</t>
        </is>
      </c>
      <c r="C36" s="18" t="inlineStr">
        <is>
          <t>2000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2500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VALUE(C36)</f>
        <v/>
      </c>
      <c r="H37" s="29" t="inlineStr">
        <is>
          <t>Ketik: =VALUE(C36)</t>
        </is>
      </c>
    </row>
    <row r="38">
      <c r="B38" s="18" t="inlineStr">
        <is>
          <t>Gudang Blok C</t>
        </is>
      </c>
      <c r="C38" s="18" t="inlineStr">
        <is>
          <t>3500</t>
        </is>
      </c>
    </row>
    <row r="39">
      <c r="B39" s="18" t="inlineStr">
        <is>
          <t>Gudang Blok D</t>
        </is>
      </c>
      <c r="C39" s="18" t="inlineStr">
        <is>
          <t>4500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</t>
        </is>
      </c>
      <c r="C43" s="12" t="inlineStr">
        <is>
          <t>Teks Angka</t>
        </is>
      </c>
      <c r="E43" s="25" t="inlineStr">
        <is>
          <t>Persoalan #4: Ubah teks angka di sel C44 menjadi angka murni menggunakan rumus VALUE!</t>
        </is>
      </c>
    </row>
    <row r="44">
      <c r="B44" s="18" t="inlineStr">
        <is>
          <t>Toko Elektronik</t>
        </is>
      </c>
      <c r="C44" s="18" t="inlineStr">
        <is>
          <t>2250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2500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VALUE(C44)</f>
        <v/>
      </c>
      <c r="H45" s="29" t="inlineStr">
        <is>
          <t>Ketik: =VALUE(C44)</t>
        </is>
      </c>
    </row>
    <row r="46">
      <c r="B46" s="18" t="inlineStr">
        <is>
          <t>Toko Aksesoris</t>
        </is>
      </c>
      <c r="C46" s="18" t="inlineStr">
        <is>
          <t>3500</t>
        </is>
      </c>
    </row>
    <row r="47">
      <c r="B47" s="18" t="inlineStr">
        <is>
          <t>Toko Servis</t>
        </is>
      </c>
      <c r="C47" s="18" t="inlineStr">
        <is>
          <t>4500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</t>
        </is>
      </c>
      <c r="C51" s="12" t="inlineStr">
        <is>
          <t>Teks Angka</t>
        </is>
      </c>
      <c r="E51" s="25" t="inlineStr">
        <is>
          <t>Persoalan #5: Ubah teks angka di sel C52 menjadi angka murni menggunakan rumus VALUE!</t>
        </is>
      </c>
    </row>
    <row r="52">
      <c r="B52" s="18" t="inlineStr">
        <is>
          <t>Kelas 10 IPA</t>
        </is>
      </c>
      <c r="C52" s="18" t="inlineStr">
        <is>
          <t>2500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2500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VALUE(C52)</f>
        <v/>
      </c>
      <c r="H53" s="29" t="inlineStr">
        <is>
          <t>Ketik: =VALUE(C52)</t>
        </is>
      </c>
    </row>
    <row r="54">
      <c r="B54" s="18" t="inlineStr">
        <is>
          <t>Kelas 12 IPA</t>
        </is>
      </c>
      <c r="C54" s="18" t="inlineStr">
        <is>
          <t>3500</t>
        </is>
      </c>
    </row>
    <row r="55">
      <c r="B55" s="18" t="inlineStr">
        <is>
          <t>Kelas Unggulan</t>
        </is>
      </c>
      <c r="C55" s="18" t="inlineStr">
        <is>
          <t>4500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#068 — RUMUS EXCEL: TEXT   |   Kategori: 4. Pengolahan Teks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(TEXT)</t>
        </is>
      </c>
    </row>
    <row r="5" ht="21" customHeight="1">
      <c r="B5" s="12" t="inlineStr">
        <is>
          <t>Nama Rumus Excel</t>
        </is>
      </c>
      <c r="C5" s="13">
        <f>TEXT(...)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TEXT(nilai, format_teks)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atau tanggal menjadi teks dengan format tampilan cantik seperti 'Rp 1.500.000' atau 'Senin, 12 Okt'.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TEXT)</t>
        </is>
      </c>
    </row>
    <row r="10">
      <c r="B10" s="16" t="inlineStr">
        <is>
          <t>Pegawai</t>
        </is>
      </c>
      <c r="C10" s="16" t="inlineStr">
        <is>
          <t>Gaji Pokok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1500000</v>
      </c>
      <c r="E11" s="19" t="inlineStr">
        <is>
          <t>Kasus Contoh:</t>
        </is>
      </c>
      <c r="F11" s="20" t="inlineStr">
        <is>
          <t>Format angka di sel C11 menjadi teks ribuan "#,##0" menggunakan rumus TEXT!</t>
        </is>
      </c>
    </row>
    <row r="12">
      <c r="B12" s="18" t="inlineStr">
        <is>
          <t>Cabang Bandung</t>
        </is>
      </c>
      <c r="C12" s="18" t="n">
        <v>2500000</v>
      </c>
      <c r="E12" s="19" t="inlineStr">
        <is>
          <t>Rumus yang Diketik:</t>
        </is>
      </c>
      <c r="F12" s="21" t="inlineStr">
        <is>
          <t>'=TEXT(C11, "#,##0")</t>
        </is>
      </c>
    </row>
    <row r="13">
      <c r="B13" s="18" t="inlineStr">
        <is>
          <t>Cabang Surabaya</t>
        </is>
      </c>
      <c r="C13" s="18" t="n">
        <v>3200000</v>
      </c>
      <c r="E13" s="19" t="inlineStr">
        <is>
          <t>Hasil Otomatis Excel:</t>
        </is>
      </c>
      <c r="F13" s="22">
        <f>TEXT(C11, "#,##0")</f>
        <v/>
      </c>
    </row>
    <row r="14">
      <c r="B14" s="18" t="inlineStr">
        <is>
          <t>Cabang Medan</t>
        </is>
      </c>
      <c r="C14" s="18" t="n">
        <v>4100000</v>
      </c>
    </row>
    <row r="16" ht="26" customHeight="1">
      <c r="B16" s="23" t="inlineStr">
        <is>
          <t>3️⃣ 5 PERSOALAN DUNIA NYATA (KETIK RUMUS TEXT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Pegawai</t>
        </is>
      </c>
      <c r="C19" s="12" t="inlineStr">
        <is>
          <t>Gaji Pokok</t>
        </is>
      </c>
      <c r="E19" s="25" t="inlineStr">
        <is>
          <t>Persoalan #1: Format angka di sel C20 menjadi teks ribuan "#,##0" menggunakan rumus TEXT!</t>
        </is>
      </c>
    </row>
    <row r="20">
      <c r="B20" s="18" t="inlineStr">
        <is>
          <t>Cabang Jakarta</t>
        </is>
      </c>
      <c r="C20" s="18" t="n">
        <v>1500000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2500000</v>
      </c>
      <c r="E21" s="26" t="n"/>
      <c r="F21" s="27">
        <f>IF(ISBLANK(E21), "⏳ Ketik rumus di sel kuning E21", IF(E21=G21, "✅ BENAR! LUAR BIASA!", "❌ Belum Tepat, Cek Kunci"))</f>
        <v/>
      </c>
      <c r="G21" s="28">
        <f>TEXT(C20, "#,##0")</f>
        <v/>
      </c>
      <c r="H21" s="29" t="inlineStr">
        <is>
          <t>Ketik: =TEXT(C20, "#,##0")</t>
        </is>
      </c>
    </row>
    <row r="22">
      <c r="B22" s="18" t="inlineStr">
        <is>
          <t>Cabang Surabaya</t>
        </is>
      </c>
      <c r="C22" s="18" t="n">
        <v>3200000</v>
      </c>
    </row>
    <row r="23">
      <c r="B23" s="18" t="inlineStr">
        <is>
          <t>Cabang Medan</t>
        </is>
      </c>
      <c r="C23" s="18" t="n">
        <v>4100000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Pegawai</t>
        </is>
      </c>
      <c r="C27" s="12" t="inlineStr">
        <is>
          <t>Gaji Pokok</t>
        </is>
      </c>
      <c r="E27" s="25" t="inlineStr">
        <is>
          <t>Persoalan #2: Format angka di sel C28 menjadi teks ribuan "#,##0" menggunakan rumus TEXT!</t>
        </is>
      </c>
    </row>
    <row r="28">
      <c r="B28" s="18" t="inlineStr">
        <is>
          <t>Budi Santoso</t>
        </is>
      </c>
      <c r="C28" s="18" t="n">
        <v>1600000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2500000</v>
      </c>
      <c r="E29" s="26" t="n"/>
      <c r="F29" s="27">
        <f>IF(ISBLANK(E29), "⏳ Ketik rumus di sel kuning E29", IF(E29=G29, "✅ BENAR! LUAR BIASA!", "❌ Belum Tepat, Cek Kunci"))</f>
        <v/>
      </c>
      <c r="G29" s="28">
        <f>TEXT(C28, "#,##0")</f>
        <v/>
      </c>
      <c r="H29" s="29" t="inlineStr">
        <is>
          <t>Ketik: =TEXT(C28, "#,##0")</t>
        </is>
      </c>
    </row>
    <row r="30">
      <c r="B30" s="18" t="inlineStr">
        <is>
          <t>Andi Pratama</t>
        </is>
      </c>
      <c r="C30" s="18" t="n">
        <v>3200000</v>
      </c>
    </row>
    <row r="31">
      <c r="B31" s="18" t="inlineStr">
        <is>
          <t>Rina Wijaya</t>
        </is>
      </c>
      <c r="C31" s="18" t="n">
        <v>4100000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Pegawai</t>
        </is>
      </c>
      <c r="C35" s="12" t="inlineStr">
        <is>
          <t>Gaji Pokok</t>
        </is>
      </c>
      <c r="E35" s="25" t="inlineStr">
        <is>
          <t>Persoalan #3: Format angka di sel C36 menjadi teks ribuan "#,##0" menggunakan rumus TEXT!</t>
        </is>
      </c>
    </row>
    <row r="36">
      <c r="B36" s="18" t="inlineStr">
        <is>
          <t>Gudang Blok A</t>
        </is>
      </c>
      <c r="C36" s="18" t="n">
        <v>1700000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2500000</v>
      </c>
      <c r="E37" s="26" t="n"/>
      <c r="F37" s="27">
        <f>IF(ISBLANK(E37), "⏳ Ketik rumus di sel kuning E37", IF(E37=G37, "✅ BENAR! LUAR BIASA!", "❌ Belum Tepat, Cek Kunci"))</f>
        <v/>
      </c>
      <c r="G37" s="28">
        <f>TEXT(C36, "#,##0")</f>
        <v/>
      </c>
      <c r="H37" s="29" t="inlineStr">
        <is>
          <t>Ketik: =TEXT(C36, "#,##0")</t>
        </is>
      </c>
    </row>
    <row r="38">
      <c r="B38" s="18" t="inlineStr">
        <is>
          <t>Gudang Blok C</t>
        </is>
      </c>
      <c r="C38" s="18" t="n">
        <v>3200000</v>
      </c>
    </row>
    <row r="39">
      <c r="B39" s="18" t="inlineStr">
        <is>
          <t>Gudang Blok D</t>
        </is>
      </c>
      <c r="C39" s="18" t="n">
        <v>4100000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Pegawai</t>
        </is>
      </c>
      <c r="C43" s="12" t="inlineStr">
        <is>
          <t>Gaji Pokok</t>
        </is>
      </c>
      <c r="E43" s="25" t="inlineStr">
        <is>
          <t>Persoalan #4: Format angka di sel C44 menjadi teks ribuan "#,##0" menggunakan rumus TEXT!</t>
        </is>
      </c>
    </row>
    <row r="44">
      <c r="B44" s="18" t="inlineStr">
        <is>
          <t>Toko Elektronik</t>
        </is>
      </c>
      <c r="C44" s="18" t="n">
        <v>1800000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2500000</v>
      </c>
      <c r="E45" s="26" t="n"/>
      <c r="F45" s="27">
        <f>IF(ISBLANK(E45), "⏳ Ketik rumus di sel kuning E45", IF(E45=G45, "✅ BENAR! LUAR BIASA!", "❌ Belum Tepat, Cek Kunci"))</f>
        <v/>
      </c>
      <c r="G45" s="28">
        <f>TEXT(C44, "#,##0")</f>
        <v/>
      </c>
      <c r="H45" s="29" t="inlineStr">
        <is>
          <t>Ketik: =TEXT(C44, "#,##0")</t>
        </is>
      </c>
    </row>
    <row r="46">
      <c r="B46" s="18" t="inlineStr">
        <is>
          <t>Toko Aksesoris</t>
        </is>
      </c>
      <c r="C46" s="18" t="n">
        <v>3200000</v>
      </c>
    </row>
    <row r="47">
      <c r="B47" s="18" t="inlineStr">
        <is>
          <t>Toko Servis</t>
        </is>
      </c>
      <c r="C47" s="18" t="n">
        <v>4100000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Pegawai</t>
        </is>
      </c>
      <c r="C51" s="12" t="inlineStr">
        <is>
          <t>Gaji Pokok</t>
        </is>
      </c>
      <c r="E51" s="25" t="inlineStr">
        <is>
          <t>Persoalan #5: Format angka di sel C52 menjadi teks ribuan "#,##0" menggunakan rumus TEXT!</t>
        </is>
      </c>
    </row>
    <row r="52">
      <c r="B52" s="18" t="inlineStr">
        <is>
          <t>Kelas 10 IPA</t>
        </is>
      </c>
      <c r="C52" s="18" t="n">
        <v>1900000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2500000</v>
      </c>
      <c r="E53" s="26" t="n"/>
      <c r="F53" s="27">
        <f>IF(ISBLANK(E53), "⏳ Ketik rumus di sel kuning E53", IF(E53=G53, "✅ BENAR! LUAR BIASA!", "❌ Belum Tepat, Cek Kunci"))</f>
        <v/>
      </c>
      <c r="G53" s="28">
        <f>TEXT(C52, "#,##0")</f>
        <v/>
      </c>
      <c r="H53" s="29" t="inlineStr">
        <is>
          <t>Ketik: =TEXT(C52, "#,##0")</t>
        </is>
      </c>
    </row>
    <row r="54">
      <c r="B54" s="18" t="inlineStr">
        <is>
          <t>Kelas 12 IPA</t>
        </is>
      </c>
      <c r="C54" s="18" t="n">
        <v>3200000</v>
      </c>
    </row>
    <row r="55">
      <c r="B55" s="18" t="inlineStr">
        <is>
          <t>Kelas Unggulan</t>
        </is>
      </c>
      <c r="C55" s="18" t="n">
        <v>4100000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#069 — RUMUS EXCEL: DATE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(DATE)</t>
        </is>
      </c>
    </row>
    <row r="5" ht="21" customHeight="1">
      <c r="B5" s="12" t="inlineStr">
        <is>
          <t>Nama Rumus Excel</t>
        </is>
      </c>
      <c r="C5" s="13">
        <f>DATE(...)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DATE(tahun, bulan, 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Merakit angka Tahun, Bulan, dan Tanggal yang terpisah menjadi satu Tanggal Resmi Excel.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DATE)</t>
        </is>
      </c>
    </row>
    <row r="10">
      <c r="B10" s="16" t="inlineStr">
        <is>
          <t>Tahun (B)</t>
        </is>
      </c>
      <c r="C10" s="16" t="inlineStr">
        <is>
          <t>Bulan (C)</t>
        </is>
      </c>
      <c r="E10" s="17" t="inlineStr">
        <is>
          <t>💡 CONTOH RUMUS YANG SUDAH TERPASANG AKTIF:</t>
        </is>
      </c>
    </row>
    <row r="11">
      <c r="B11" s="18" t="n">
        <v>2026</v>
      </c>
      <c r="C11" s="18" t="n">
        <v>1</v>
      </c>
      <c r="E11" s="19" t="inlineStr">
        <is>
          <t>Kasus Contoh:</t>
        </is>
      </c>
      <c r="F11" s="20" t="inlineStr">
        <is>
          <t>Rakit tanggal resmi dari Tahun di B11, Bulan di C11, dan Tanggal 15 menggunakan rumus DATE!</t>
        </is>
      </c>
    </row>
    <row r="12">
      <c r="B12" s="18" t="n">
        <v>2025</v>
      </c>
      <c r="C12" s="18" t="n">
        <v>6</v>
      </c>
      <c r="E12" s="19" t="inlineStr">
        <is>
          <t>Rumus yang Diketik:</t>
        </is>
      </c>
      <c r="F12" s="21" t="inlineStr">
        <is>
          <t>'=DATE(B11, C11, 15)</t>
        </is>
      </c>
    </row>
    <row r="13">
      <c r="B13" s="18" t="n">
        <v>2024</v>
      </c>
      <c r="C13" s="18" t="n">
        <v>8</v>
      </c>
      <c r="E13" s="19" t="inlineStr">
        <is>
          <t>Hasil Otomatis Excel:</t>
        </is>
      </c>
      <c r="F13" s="22">
        <f>DATE(B11, C11, 15)</f>
        <v/>
      </c>
    </row>
    <row r="14">
      <c r="B14" s="18" t="n">
        <v>2023</v>
      </c>
      <c r="C14" s="18" t="n">
        <v>12</v>
      </c>
    </row>
    <row r="16" ht="26" customHeight="1">
      <c r="B16" s="23" t="inlineStr">
        <is>
          <t>3️⃣ 5 PERSOALAN DUNIA NYATA (KETIK RUMUS DATE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Tahun (B)</t>
        </is>
      </c>
      <c r="C19" s="12" t="inlineStr">
        <is>
          <t>Bulan (C)</t>
        </is>
      </c>
      <c r="E19" s="25" t="inlineStr">
        <is>
          <t>Persoalan #1: Rakit tanggal resmi dari Tahun di B20, Bulan di C20, dan Tanggal 15 menggunakan rumus DATE!</t>
        </is>
      </c>
    </row>
    <row r="20">
      <c r="B20" s="18" t="n">
        <v>2026</v>
      </c>
      <c r="C20" s="18" t="n">
        <v>1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2025</v>
      </c>
      <c r="C21" s="18" t="n">
        <v>6</v>
      </c>
      <c r="E21" s="26" t="n"/>
      <c r="F21" s="27">
        <f>IF(ISBLANK(E21), "⏳ Ketik rumus di sel kuning E21", IF(E21=G21, "✅ BENAR! LUAR BIASA!", "❌ Belum Tepat, Cek Kunci"))</f>
        <v/>
      </c>
      <c r="G21" s="28">
        <f>DATE(B20, C20, 15)</f>
        <v/>
      </c>
      <c r="H21" s="29" t="inlineStr">
        <is>
          <t>Ketik: =DATE(B20, C20, 15)</t>
        </is>
      </c>
    </row>
    <row r="22">
      <c r="B22" s="18" t="n">
        <v>2024</v>
      </c>
      <c r="C22" s="18" t="n">
        <v>8</v>
      </c>
    </row>
    <row r="23">
      <c r="B23" s="18" t="n">
        <v>2023</v>
      </c>
      <c r="C23" s="18" t="n">
        <v>12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Tahun (B)</t>
        </is>
      </c>
      <c r="C27" s="12" t="inlineStr">
        <is>
          <t>Bulan (C)</t>
        </is>
      </c>
      <c r="E27" s="25" t="inlineStr">
        <is>
          <t>Persoalan #2: Rakit tanggal resmi dari Tahun di B28, Bulan di C28, dan Tanggal 15 menggunakan rumus DATE!</t>
        </is>
      </c>
    </row>
    <row r="28">
      <c r="B28" s="18" t="n">
        <v>2026</v>
      </c>
      <c r="C28" s="18" t="n">
        <v>2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2025</v>
      </c>
      <c r="C29" s="18" t="n">
        <v>6</v>
      </c>
      <c r="E29" s="26" t="n"/>
      <c r="F29" s="27">
        <f>IF(ISBLANK(E29), "⏳ Ketik rumus di sel kuning E29", IF(E29=G29, "✅ BENAR! LUAR BIASA!", "❌ Belum Tepat, Cek Kunci"))</f>
        <v/>
      </c>
      <c r="G29" s="28">
        <f>DATE(B28, C28, 15)</f>
        <v/>
      </c>
      <c r="H29" s="29" t="inlineStr">
        <is>
          <t>Ketik: =DATE(B28, C28, 15)</t>
        </is>
      </c>
    </row>
    <row r="30">
      <c r="B30" s="18" t="n">
        <v>2024</v>
      </c>
      <c r="C30" s="18" t="n">
        <v>8</v>
      </c>
    </row>
    <row r="31">
      <c r="B31" s="18" t="n">
        <v>2023</v>
      </c>
      <c r="C31" s="18" t="n">
        <v>12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Tahun (B)</t>
        </is>
      </c>
      <c r="C35" s="12" t="inlineStr">
        <is>
          <t>Bulan (C)</t>
        </is>
      </c>
      <c r="E35" s="25" t="inlineStr">
        <is>
          <t>Persoalan #3: Rakit tanggal resmi dari Tahun di B36, Bulan di C36, dan Tanggal 15 menggunakan rumus DATE!</t>
        </is>
      </c>
    </row>
    <row r="36">
      <c r="B36" s="18" t="n">
        <v>2026</v>
      </c>
      <c r="C36" s="18" t="n">
        <v>3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2025</v>
      </c>
      <c r="C37" s="18" t="n">
        <v>6</v>
      </c>
      <c r="E37" s="26" t="n"/>
      <c r="F37" s="27">
        <f>IF(ISBLANK(E37), "⏳ Ketik rumus di sel kuning E37", IF(E37=G37, "✅ BENAR! LUAR BIASA!", "❌ Belum Tepat, Cek Kunci"))</f>
        <v/>
      </c>
      <c r="G37" s="28">
        <f>DATE(B36, C36, 15)</f>
        <v/>
      </c>
      <c r="H37" s="29" t="inlineStr">
        <is>
          <t>Ketik: =DATE(B36, C36, 15)</t>
        </is>
      </c>
    </row>
    <row r="38">
      <c r="B38" s="18" t="n">
        <v>2024</v>
      </c>
      <c r="C38" s="18" t="n">
        <v>8</v>
      </c>
    </row>
    <row r="39">
      <c r="B39" s="18" t="n">
        <v>2023</v>
      </c>
      <c r="C39" s="18" t="n">
        <v>12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Tahun (B)</t>
        </is>
      </c>
      <c r="C43" s="12" t="inlineStr">
        <is>
          <t>Bulan (C)</t>
        </is>
      </c>
      <c r="E43" s="25" t="inlineStr">
        <is>
          <t>Persoalan #4: Rakit tanggal resmi dari Tahun di B44, Bulan di C44, dan Tanggal 15 menggunakan rumus DATE!</t>
        </is>
      </c>
    </row>
    <row r="44">
      <c r="B44" s="18" t="n">
        <v>2026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2025</v>
      </c>
      <c r="C45" s="18" t="n">
        <v>6</v>
      </c>
      <c r="E45" s="26" t="n"/>
      <c r="F45" s="27">
        <f>IF(ISBLANK(E45), "⏳ Ketik rumus di sel kuning E45", IF(E45=G45, "✅ BENAR! LUAR BIASA!", "❌ Belum Tepat, Cek Kunci"))</f>
        <v/>
      </c>
      <c r="G45" s="28">
        <f>DATE(B44, C44, 15)</f>
        <v/>
      </c>
      <c r="H45" s="29" t="inlineStr">
        <is>
          <t>Ketik: =DATE(B44, C44, 15)</t>
        </is>
      </c>
    </row>
    <row r="46">
      <c r="B46" s="18" t="n">
        <v>2024</v>
      </c>
      <c r="C46" s="18" t="n">
        <v>8</v>
      </c>
    </row>
    <row r="47">
      <c r="B47" s="18" t="n">
        <v>2023</v>
      </c>
      <c r="C47" s="18" t="n">
        <v>12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Tahun (B)</t>
        </is>
      </c>
      <c r="C51" s="12" t="inlineStr">
        <is>
          <t>Bulan (C)</t>
        </is>
      </c>
      <c r="E51" s="25" t="inlineStr">
        <is>
          <t>Persoalan #5: Rakit tanggal resmi dari Tahun di B52, Bulan di C52, dan Tanggal 15 menggunakan rumus DATE!</t>
        </is>
      </c>
    </row>
    <row r="52">
      <c r="B52" s="18" t="n">
        <v>2026</v>
      </c>
      <c r="C52" s="18" t="n">
        <v>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2025</v>
      </c>
      <c r="C53" s="18" t="n">
        <v>6</v>
      </c>
      <c r="E53" s="26" t="n"/>
      <c r="F53" s="27">
        <f>IF(ISBLANK(E53), "⏳ Ketik rumus di sel kuning E53", IF(E53=G53, "✅ BENAR! LUAR BIASA!", "❌ Belum Tepat, Cek Kunci"))</f>
        <v/>
      </c>
      <c r="G53" s="28">
        <f>DATE(B52, C52, 15)</f>
        <v/>
      </c>
      <c r="H53" s="29" t="inlineStr">
        <is>
          <t>Ketik: =DATE(B52, C52, 15)</t>
        </is>
      </c>
    </row>
    <row r="54">
      <c r="B54" s="18" t="n">
        <v>2024</v>
      </c>
      <c r="C54" s="18" t="n">
        <v>8</v>
      </c>
    </row>
    <row r="55">
      <c r="B55" s="18" t="n">
        <v>2023</v>
      </c>
      <c r="C55" s="18" t="n">
        <v>12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#070 — RUMUS EXCEL: YEAR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(YEAR)</t>
        </is>
      </c>
    </row>
    <row r="5" ht="21" customHeight="1">
      <c r="B5" s="12" t="inlineStr">
        <is>
          <t>Nama Rumus Excel</t>
        </is>
      </c>
      <c r="C5" s="13">
        <f>YEAR(...)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YEAR(tanggal)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TAHUN saja (misal 2026) dari sebuah sel tanggal.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YEAR)</t>
        </is>
      </c>
    </row>
    <row r="10">
      <c r="B10" s="16" t="inlineStr">
        <is>
          <t>Agenda Kantor</t>
        </is>
      </c>
      <c r="C10" s="16" t="inlineStr">
        <is>
          <t>Tanggal Kegiatan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Ekstrak komponen YEAR dari tanggal di sel C11 menggunakan rumus YEAR!</t>
        </is>
      </c>
    </row>
    <row r="12">
      <c r="B12" s="18" t="inlineStr">
        <is>
          <t>Cabang Bandung</t>
        </is>
      </c>
      <c r="C12" s="30" t="n">
        <v>46193</v>
      </c>
      <c r="E12" s="19" t="inlineStr">
        <is>
          <t>Rumus yang Diketik:</t>
        </is>
      </c>
      <c r="F12" s="21" t="inlineStr">
        <is>
          <t>'=YEAR(C11)</t>
        </is>
      </c>
    </row>
    <row r="13">
      <c r="B13" s="18" t="inlineStr">
        <is>
          <t>Cabang Surabaya</t>
        </is>
      </c>
      <c r="C13" s="30" t="n">
        <v>46251</v>
      </c>
      <c r="E13" s="19" t="inlineStr">
        <is>
          <t>Hasil Otomatis Excel:</t>
        </is>
      </c>
      <c r="F13" s="22">
        <f>YEAR(C11)</f>
        <v/>
      </c>
    </row>
    <row r="14">
      <c r="B14" s="18" t="inlineStr">
        <is>
          <t>Cabang Medan</t>
        </is>
      </c>
      <c r="C14" s="30" t="n">
        <v>46381</v>
      </c>
    </row>
    <row r="16" ht="26" customHeight="1">
      <c r="B16" s="23" t="inlineStr">
        <is>
          <t>3️⃣ 5 PERSOALAN DUNIA NYATA (KETIK RUMUS YEAR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Agenda Kantor</t>
        </is>
      </c>
      <c r="C19" s="12" t="inlineStr">
        <is>
          <t>Tanggal Kegiatan</t>
        </is>
      </c>
      <c r="E19" s="25" t="inlineStr">
        <is>
          <t>Persoalan #1: Ekstrak komponen YEAR dari tanggal di sel C20 menggunakan rumus YEAR!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46193</v>
      </c>
      <c r="E21" s="26" t="n"/>
      <c r="F21" s="27">
        <f>IF(ISBLANK(E21), "⏳ Ketik rumus di sel kuning E21", IF(E21=G21, "✅ BENAR! LUAR BIASA!", "❌ Belum Tepat, Cek Kunci"))</f>
        <v/>
      </c>
      <c r="G21" s="28">
        <f>YEAR(C20)</f>
        <v/>
      </c>
      <c r="H21" s="29" t="inlineStr">
        <is>
          <t>Ketik: =YEAR(C20)</t>
        </is>
      </c>
    </row>
    <row r="22">
      <c r="B22" s="18" t="inlineStr">
        <is>
          <t>Cabang Surabaya</t>
        </is>
      </c>
      <c r="C22" s="30" t="n">
        <v>46251</v>
      </c>
    </row>
    <row r="23">
      <c r="B23" s="18" t="inlineStr">
        <is>
          <t>Cabang Medan</t>
        </is>
      </c>
      <c r="C23" s="30" t="n">
        <v>46381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Agenda Kantor</t>
        </is>
      </c>
      <c r="C27" s="12" t="inlineStr">
        <is>
          <t>Tanggal Kegiatan</t>
        </is>
      </c>
      <c r="E27" s="25" t="inlineStr">
        <is>
          <t>Persoalan #2: Ekstrak komponen YEAR dari tanggal di sel C28 menggunakan rumus YEAR!</t>
        </is>
      </c>
    </row>
    <row r="28">
      <c r="B28" s="18" t="inlineStr">
        <is>
          <t>Budi Santoso</t>
        </is>
      </c>
      <c r="C28" s="30" t="n">
        <v>46068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46193</v>
      </c>
      <c r="E29" s="26" t="n"/>
      <c r="F29" s="27">
        <f>IF(ISBLANK(E29), "⏳ Ketik rumus di sel kuning E29", IF(E29=G29, "✅ BENAR! LUAR BIASA!", "❌ Belum Tepat, Cek Kunci"))</f>
        <v/>
      </c>
      <c r="G29" s="28">
        <f>YEAR(C28)</f>
        <v/>
      </c>
      <c r="H29" s="29" t="inlineStr">
        <is>
          <t>Ketik: =YEAR(C28)</t>
        </is>
      </c>
    </row>
    <row r="30">
      <c r="B30" s="18" t="inlineStr">
        <is>
          <t>Andi Pratama</t>
        </is>
      </c>
      <c r="C30" s="30" t="n">
        <v>46251</v>
      </c>
    </row>
    <row r="31">
      <c r="B31" s="18" t="inlineStr">
        <is>
          <t>Rina Wijaya</t>
        </is>
      </c>
      <c r="C31" s="30" t="n">
        <v>46381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Agenda Kantor</t>
        </is>
      </c>
      <c r="C35" s="12" t="inlineStr">
        <is>
          <t>Tanggal Kegiatan</t>
        </is>
      </c>
      <c r="E35" s="25" t="inlineStr">
        <is>
          <t>Persoalan #3: Ekstrak komponen YEAR dari tanggal di sel C36 menggunakan rumus YEAR!</t>
        </is>
      </c>
    </row>
    <row r="36">
      <c r="B36" s="18" t="inlineStr">
        <is>
          <t>Gudang Blok A</t>
        </is>
      </c>
      <c r="C36" s="30" t="n">
        <v>46096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46193</v>
      </c>
      <c r="E37" s="26" t="n"/>
      <c r="F37" s="27">
        <f>IF(ISBLANK(E37), "⏳ Ketik rumus di sel kuning E37", IF(E37=G37, "✅ BENAR! LUAR BIASA!", "❌ Belum Tepat, Cek Kunci"))</f>
        <v/>
      </c>
      <c r="G37" s="28">
        <f>YEAR(C36)</f>
        <v/>
      </c>
      <c r="H37" s="29" t="inlineStr">
        <is>
          <t>Ketik: =YEAR(C36)</t>
        </is>
      </c>
    </row>
    <row r="38">
      <c r="B38" s="18" t="inlineStr">
        <is>
          <t>Gudang Blok C</t>
        </is>
      </c>
      <c r="C38" s="30" t="n">
        <v>46251</v>
      </c>
    </row>
    <row r="39">
      <c r="B39" s="18" t="inlineStr">
        <is>
          <t>Gudang Blok D</t>
        </is>
      </c>
      <c r="C39" s="30" t="n">
        <v>46381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Agenda Kantor</t>
        </is>
      </c>
      <c r="C43" s="12" t="inlineStr">
        <is>
          <t>Tanggal Kegiatan</t>
        </is>
      </c>
      <c r="E43" s="25" t="inlineStr">
        <is>
          <t>Persoalan #4: Ekstrak komponen YEAR dari tanggal di sel C44 menggunakan rumus YEAR!</t>
        </is>
      </c>
    </row>
    <row r="44">
      <c r="B44" s="18" t="inlineStr">
        <is>
          <t>Toko Elektronik</t>
        </is>
      </c>
      <c r="C44" s="30" t="n">
        <v>46127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46193</v>
      </c>
      <c r="E45" s="26" t="n"/>
      <c r="F45" s="27">
        <f>IF(ISBLANK(E45), "⏳ Ketik rumus di sel kuning E45", IF(E45=G45, "✅ BENAR! LUAR BIASA!", "❌ Belum Tepat, Cek Kunci"))</f>
        <v/>
      </c>
      <c r="G45" s="28">
        <f>YEAR(C44)</f>
        <v/>
      </c>
      <c r="H45" s="29" t="inlineStr">
        <is>
          <t>Ketik: =YEAR(C44)</t>
        </is>
      </c>
    </row>
    <row r="46">
      <c r="B46" s="18" t="inlineStr">
        <is>
          <t>Toko Aksesoris</t>
        </is>
      </c>
      <c r="C46" s="30" t="n">
        <v>46251</v>
      </c>
    </row>
    <row r="47">
      <c r="B47" s="18" t="inlineStr">
        <is>
          <t>Toko Servis</t>
        </is>
      </c>
      <c r="C47" s="30" t="n">
        <v>46381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Agenda Kantor</t>
        </is>
      </c>
      <c r="C51" s="12" t="inlineStr">
        <is>
          <t>Tanggal Kegiatan</t>
        </is>
      </c>
      <c r="E51" s="25" t="inlineStr">
        <is>
          <t>Persoalan #5: Ekstrak komponen YEAR dari tanggal di sel C52 menggunakan rumus YEAR!</t>
        </is>
      </c>
    </row>
    <row r="52">
      <c r="B52" s="18" t="inlineStr">
        <is>
          <t>Kelas 10 IPA</t>
        </is>
      </c>
      <c r="C52" s="30" t="n">
        <v>46157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46193</v>
      </c>
      <c r="E53" s="26" t="n"/>
      <c r="F53" s="27">
        <f>IF(ISBLANK(E53), "⏳ Ketik rumus di sel kuning E53", IF(E53=G53, "✅ BENAR! LUAR BIASA!", "❌ Belum Tepat, Cek Kunci"))</f>
        <v/>
      </c>
      <c r="G53" s="28">
        <f>YEAR(C52)</f>
        <v/>
      </c>
      <c r="H53" s="29" t="inlineStr">
        <is>
          <t>Ketik: =YEAR(C52)</t>
        </is>
      </c>
    </row>
    <row r="54">
      <c r="B54" s="18" t="inlineStr">
        <is>
          <t>Kelas 12 IPA</t>
        </is>
      </c>
      <c r="C54" s="30" t="n">
        <v>46251</v>
      </c>
    </row>
    <row r="55">
      <c r="B55" s="18" t="inlineStr">
        <is>
          <t>Kelas Unggulan</t>
        </is>
      </c>
      <c r="C55" s="30" t="n">
        <v>46381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#071 — RUMUS EXCEL: MONTH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(MONTH)</t>
        </is>
      </c>
    </row>
    <row r="5" ht="21" customHeight="1">
      <c r="B5" s="12" t="inlineStr">
        <is>
          <t>Nama Rumus Excel</t>
        </is>
      </c>
      <c r="C5" s="13">
        <f>MONTH(...)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MONTH(tanggal)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BULAN saja (1 sampai 12) dari sebuah sel tanggal.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MONTH)</t>
        </is>
      </c>
    </row>
    <row r="10">
      <c r="B10" s="16" t="inlineStr">
        <is>
          <t>Agenda Kantor</t>
        </is>
      </c>
      <c r="C10" s="16" t="inlineStr">
        <is>
          <t>Tanggal Kegiatan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Ekstrak komponen MONTH dari tanggal di sel C11 menggunakan rumus MONTH!</t>
        </is>
      </c>
    </row>
    <row r="12">
      <c r="B12" s="18" t="inlineStr">
        <is>
          <t>Cabang Bandung</t>
        </is>
      </c>
      <c r="C12" s="30" t="n">
        <v>46193</v>
      </c>
      <c r="E12" s="19" t="inlineStr">
        <is>
          <t>Rumus yang Diketik:</t>
        </is>
      </c>
      <c r="F12" s="21" t="inlineStr">
        <is>
          <t>'=MONTH(C11)</t>
        </is>
      </c>
    </row>
    <row r="13">
      <c r="B13" s="18" t="inlineStr">
        <is>
          <t>Cabang Surabaya</t>
        </is>
      </c>
      <c r="C13" s="30" t="n">
        <v>46251</v>
      </c>
      <c r="E13" s="19" t="inlineStr">
        <is>
          <t>Hasil Otomatis Excel:</t>
        </is>
      </c>
      <c r="F13" s="22">
        <f>MONTH(C11)</f>
        <v/>
      </c>
    </row>
    <row r="14">
      <c r="B14" s="18" t="inlineStr">
        <is>
          <t>Cabang Medan</t>
        </is>
      </c>
      <c r="C14" s="30" t="n">
        <v>46381</v>
      </c>
    </row>
    <row r="16" ht="26" customHeight="1">
      <c r="B16" s="23" t="inlineStr">
        <is>
          <t>3️⃣ 5 PERSOALAN DUNIA NYATA (KETIK RUMUS MONTH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Agenda Kantor</t>
        </is>
      </c>
      <c r="C19" s="12" t="inlineStr">
        <is>
          <t>Tanggal Kegiatan</t>
        </is>
      </c>
      <c r="E19" s="25" t="inlineStr">
        <is>
          <t>Persoalan #1: Ekstrak komponen MONTH dari tanggal di sel C20 menggunakan rumus MONTH!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46193</v>
      </c>
      <c r="E21" s="26" t="n"/>
      <c r="F21" s="27">
        <f>IF(ISBLANK(E21), "⏳ Ketik rumus di sel kuning E21", IF(E21=G21, "✅ BENAR! LUAR BIASA!", "❌ Belum Tepat, Cek Kunci"))</f>
        <v/>
      </c>
      <c r="G21" s="28">
        <f>MONTH(C20)</f>
        <v/>
      </c>
      <c r="H21" s="29" t="inlineStr">
        <is>
          <t>Ketik: =MONTH(C20)</t>
        </is>
      </c>
    </row>
    <row r="22">
      <c r="B22" s="18" t="inlineStr">
        <is>
          <t>Cabang Surabaya</t>
        </is>
      </c>
      <c r="C22" s="30" t="n">
        <v>46251</v>
      </c>
    </row>
    <row r="23">
      <c r="B23" s="18" t="inlineStr">
        <is>
          <t>Cabang Medan</t>
        </is>
      </c>
      <c r="C23" s="30" t="n">
        <v>46381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Agenda Kantor</t>
        </is>
      </c>
      <c r="C27" s="12" t="inlineStr">
        <is>
          <t>Tanggal Kegiatan</t>
        </is>
      </c>
      <c r="E27" s="25" t="inlineStr">
        <is>
          <t>Persoalan #2: Ekstrak komponen MONTH dari tanggal di sel C28 menggunakan rumus MONTH!</t>
        </is>
      </c>
    </row>
    <row r="28">
      <c r="B28" s="18" t="inlineStr">
        <is>
          <t>Budi Santoso</t>
        </is>
      </c>
      <c r="C28" s="30" t="n">
        <v>46068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46193</v>
      </c>
      <c r="E29" s="26" t="n"/>
      <c r="F29" s="27">
        <f>IF(ISBLANK(E29), "⏳ Ketik rumus di sel kuning E29", IF(E29=G29, "✅ BENAR! LUAR BIASA!", "❌ Belum Tepat, Cek Kunci"))</f>
        <v/>
      </c>
      <c r="G29" s="28">
        <f>MONTH(C28)</f>
        <v/>
      </c>
      <c r="H29" s="29" t="inlineStr">
        <is>
          <t>Ketik: =MONTH(C28)</t>
        </is>
      </c>
    </row>
    <row r="30">
      <c r="B30" s="18" t="inlineStr">
        <is>
          <t>Andi Pratama</t>
        </is>
      </c>
      <c r="C30" s="30" t="n">
        <v>46251</v>
      </c>
    </row>
    <row r="31">
      <c r="B31" s="18" t="inlineStr">
        <is>
          <t>Rina Wijaya</t>
        </is>
      </c>
      <c r="C31" s="30" t="n">
        <v>46381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Agenda Kantor</t>
        </is>
      </c>
      <c r="C35" s="12" t="inlineStr">
        <is>
          <t>Tanggal Kegiatan</t>
        </is>
      </c>
      <c r="E35" s="25" t="inlineStr">
        <is>
          <t>Persoalan #3: Ekstrak komponen MONTH dari tanggal di sel C36 menggunakan rumus MONTH!</t>
        </is>
      </c>
    </row>
    <row r="36">
      <c r="B36" s="18" t="inlineStr">
        <is>
          <t>Gudang Blok A</t>
        </is>
      </c>
      <c r="C36" s="30" t="n">
        <v>46096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46193</v>
      </c>
      <c r="E37" s="26" t="n"/>
      <c r="F37" s="27">
        <f>IF(ISBLANK(E37), "⏳ Ketik rumus di sel kuning E37", IF(E37=G37, "✅ BENAR! LUAR BIASA!", "❌ Belum Tepat, Cek Kunci"))</f>
        <v/>
      </c>
      <c r="G37" s="28">
        <f>MONTH(C36)</f>
        <v/>
      </c>
      <c r="H37" s="29" t="inlineStr">
        <is>
          <t>Ketik: =MONTH(C36)</t>
        </is>
      </c>
    </row>
    <row r="38">
      <c r="B38" s="18" t="inlineStr">
        <is>
          <t>Gudang Blok C</t>
        </is>
      </c>
      <c r="C38" s="30" t="n">
        <v>46251</v>
      </c>
    </row>
    <row r="39">
      <c r="B39" s="18" t="inlineStr">
        <is>
          <t>Gudang Blok D</t>
        </is>
      </c>
      <c r="C39" s="30" t="n">
        <v>46381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Agenda Kantor</t>
        </is>
      </c>
      <c r="C43" s="12" t="inlineStr">
        <is>
          <t>Tanggal Kegiatan</t>
        </is>
      </c>
      <c r="E43" s="25" t="inlineStr">
        <is>
          <t>Persoalan #4: Ekstrak komponen MONTH dari tanggal di sel C44 menggunakan rumus MONTH!</t>
        </is>
      </c>
    </row>
    <row r="44">
      <c r="B44" s="18" t="inlineStr">
        <is>
          <t>Toko Elektronik</t>
        </is>
      </c>
      <c r="C44" s="30" t="n">
        <v>46127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46193</v>
      </c>
      <c r="E45" s="26" t="n"/>
      <c r="F45" s="27">
        <f>IF(ISBLANK(E45), "⏳ Ketik rumus di sel kuning E45", IF(E45=G45, "✅ BENAR! LUAR BIASA!", "❌ Belum Tepat, Cek Kunci"))</f>
        <v/>
      </c>
      <c r="G45" s="28">
        <f>MONTH(C44)</f>
        <v/>
      </c>
      <c r="H45" s="29" t="inlineStr">
        <is>
          <t>Ketik: =MONTH(C44)</t>
        </is>
      </c>
    </row>
    <row r="46">
      <c r="B46" s="18" t="inlineStr">
        <is>
          <t>Toko Aksesoris</t>
        </is>
      </c>
      <c r="C46" s="30" t="n">
        <v>46251</v>
      </c>
    </row>
    <row r="47">
      <c r="B47" s="18" t="inlineStr">
        <is>
          <t>Toko Servis</t>
        </is>
      </c>
      <c r="C47" s="30" t="n">
        <v>46381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Agenda Kantor</t>
        </is>
      </c>
      <c r="C51" s="12" t="inlineStr">
        <is>
          <t>Tanggal Kegiatan</t>
        </is>
      </c>
      <c r="E51" s="25" t="inlineStr">
        <is>
          <t>Persoalan #5: Ekstrak komponen MONTH dari tanggal di sel C52 menggunakan rumus MONTH!</t>
        </is>
      </c>
    </row>
    <row r="52">
      <c r="B52" s="18" t="inlineStr">
        <is>
          <t>Kelas 10 IPA</t>
        </is>
      </c>
      <c r="C52" s="30" t="n">
        <v>46157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46193</v>
      </c>
      <c r="E53" s="26" t="n"/>
      <c r="F53" s="27">
        <f>IF(ISBLANK(E53), "⏳ Ketik rumus di sel kuning E53", IF(E53=G53, "✅ BENAR! LUAR BIASA!", "❌ Belum Tepat, Cek Kunci"))</f>
        <v/>
      </c>
      <c r="G53" s="28">
        <f>MONTH(C52)</f>
        <v/>
      </c>
      <c r="H53" s="29" t="inlineStr">
        <is>
          <t>Ketik: =MONTH(C52)</t>
        </is>
      </c>
    </row>
    <row r="54">
      <c r="B54" s="18" t="inlineStr">
        <is>
          <t>Kelas 12 IPA</t>
        </is>
      </c>
      <c r="C54" s="30" t="n">
        <v>46251</v>
      </c>
    </row>
    <row r="55">
      <c r="B55" s="18" t="inlineStr">
        <is>
          <t>Kelas Unggulan</t>
        </is>
      </c>
      <c r="C55" s="30" t="n">
        <v>46381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#072 — RUMUS EXCEL: DAY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(DAY)</t>
        </is>
      </c>
    </row>
    <row r="5" ht="21" customHeight="1">
      <c r="B5" s="12" t="inlineStr">
        <is>
          <t>Nama Rumus Excel</t>
        </is>
      </c>
      <c r="C5" s="13">
        <f>DAY(...)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DAY(tanggal)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HARI/TANGGAL saja (1 sampai 31) dari sebuah sel tanggal.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DAY)</t>
        </is>
      </c>
    </row>
    <row r="10">
      <c r="B10" s="16" t="inlineStr">
        <is>
          <t>Agenda Kantor</t>
        </is>
      </c>
      <c r="C10" s="16" t="inlineStr">
        <is>
          <t>Tanggal Kegiatan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Ekstrak komponen DAY dari tanggal di sel C11 menggunakan rumus DAY!</t>
        </is>
      </c>
    </row>
    <row r="12">
      <c r="B12" s="18" t="inlineStr">
        <is>
          <t>Cabang Bandung</t>
        </is>
      </c>
      <c r="C12" s="30" t="n">
        <v>46193</v>
      </c>
      <c r="E12" s="19" t="inlineStr">
        <is>
          <t>Rumus yang Diketik:</t>
        </is>
      </c>
      <c r="F12" s="21" t="inlineStr">
        <is>
          <t>'=DAY(C11)</t>
        </is>
      </c>
    </row>
    <row r="13">
      <c r="B13" s="18" t="inlineStr">
        <is>
          <t>Cabang Surabaya</t>
        </is>
      </c>
      <c r="C13" s="30" t="n">
        <v>46251</v>
      </c>
      <c r="E13" s="19" t="inlineStr">
        <is>
          <t>Hasil Otomatis Excel:</t>
        </is>
      </c>
      <c r="F13" s="22">
        <f>DAY(C11)</f>
        <v/>
      </c>
    </row>
    <row r="14">
      <c r="B14" s="18" t="inlineStr">
        <is>
          <t>Cabang Medan</t>
        </is>
      </c>
      <c r="C14" s="30" t="n">
        <v>46381</v>
      </c>
    </row>
    <row r="16" ht="26" customHeight="1">
      <c r="B16" s="23" t="inlineStr">
        <is>
          <t>3️⃣ 5 PERSOALAN DUNIA NYATA (KETIK RUMUS DAY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Agenda Kantor</t>
        </is>
      </c>
      <c r="C19" s="12" t="inlineStr">
        <is>
          <t>Tanggal Kegiatan</t>
        </is>
      </c>
      <c r="E19" s="25" t="inlineStr">
        <is>
          <t>Persoalan #1: Ekstrak komponen DAY dari tanggal di sel C20 menggunakan rumus DAY!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46193</v>
      </c>
      <c r="E21" s="26" t="n"/>
      <c r="F21" s="27">
        <f>IF(ISBLANK(E21), "⏳ Ketik rumus di sel kuning E21", IF(E21=G21, "✅ BENAR! LUAR BIASA!", "❌ Belum Tepat, Cek Kunci"))</f>
        <v/>
      </c>
      <c r="G21" s="28">
        <f>DAY(C20)</f>
        <v/>
      </c>
      <c r="H21" s="29" t="inlineStr">
        <is>
          <t>Ketik: =DAY(C20)</t>
        </is>
      </c>
    </row>
    <row r="22">
      <c r="B22" s="18" t="inlineStr">
        <is>
          <t>Cabang Surabaya</t>
        </is>
      </c>
      <c r="C22" s="30" t="n">
        <v>46251</v>
      </c>
    </row>
    <row r="23">
      <c r="B23" s="18" t="inlineStr">
        <is>
          <t>Cabang Medan</t>
        </is>
      </c>
      <c r="C23" s="30" t="n">
        <v>46381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Agenda Kantor</t>
        </is>
      </c>
      <c r="C27" s="12" t="inlineStr">
        <is>
          <t>Tanggal Kegiatan</t>
        </is>
      </c>
      <c r="E27" s="25" t="inlineStr">
        <is>
          <t>Persoalan #2: Ekstrak komponen DAY dari tanggal di sel C28 menggunakan rumus DAY!</t>
        </is>
      </c>
    </row>
    <row r="28">
      <c r="B28" s="18" t="inlineStr">
        <is>
          <t>Budi Santoso</t>
        </is>
      </c>
      <c r="C28" s="30" t="n">
        <v>46068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46193</v>
      </c>
      <c r="E29" s="26" t="n"/>
      <c r="F29" s="27">
        <f>IF(ISBLANK(E29), "⏳ Ketik rumus di sel kuning E29", IF(E29=G29, "✅ BENAR! LUAR BIASA!", "❌ Belum Tepat, Cek Kunci"))</f>
        <v/>
      </c>
      <c r="G29" s="28">
        <f>DAY(C28)</f>
        <v/>
      </c>
      <c r="H29" s="29" t="inlineStr">
        <is>
          <t>Ketik: =DAY(C28)</t>
        </is>
      </c>
    </row>
    <row r="30">
      <c r="B30" s="18" t="inlineStr">
        <is>
          <t>Andi Pratama</t>
        </is>
      </c>
      <c r="C30" s="30" t="n">
        <v>46251</v>
      </c>
    </row>
    <row r="31">
      <c r="B31" s="18" t="inlineStr">
        <is>
          <t>Rina Wijaya</t>
        </is>
      </c>
      <c r="C31" s="30" t="n">
        <v>46381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Agenda Kantor</t>
        </is>
      </c>
      <c r="C35" s="12" t="inlineStr">
        <is>
          <t>Tanggal Kegiatan</t>
        </is>
      </c>
      <c r="E35" s="25" t="inlineStr">
        <is>
          <t>Persoalan #3: Ekstrak komponen DAY dari tanggal di sel C36 menggunakan rumus DAY!</t>
        </is>
      </c>
    </row>
    <row r="36">
      <c r="B36" s="18" t="inlineStr">
        <is>
          <t>Gudang Blok A</t>
        </is>
      </c>
      <c r="C36" s="30" t="n">
        <v>46096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46193</v>
      </c>
      <c r="E37" s="26" t="n"/>
      <c r="F37" s="27">
        <f>IF(ISBLANK(E37), "⏳ Ketik rumus di sel kuning E37", IF(E37=G37, "✅ BENAR! LUAR BIASA!", "❌ Belum Tepat, Cek Kunci"))</f>
        <v/>
      </c>
      <c r="G37" s="28">
        <f>DAY(C36)</f>
        <v/>
      </c>
      <c r="H37" s="29" t="inlineStr">
        <is>
          <t>Ketik: =DAY(C36)</t>
        </is>
      </c>
    </row>
    <row r="38">
      <c r="B38" s="18" t="inlineStr">
        <is>
          <t>Gudang Blok C</t>
        </is>
      </c>
      <c r="C38" s="30" t="n">
        <v>46251</v>
      </c>
    </row>
    <row r="39">
      <c r="B39" s="18" t="inlineStr">
        <is>
          <t>Gudang Blok D</t>
        </is>
      </c>
      <c r="C39" s="30" t="n">
        <v>46381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Agenda Kantor</t>
        </is>
      </c>
      <c r="C43" s="12" t="inlineStr">
        <is>
          <t>Tanggal Kegiatan</t>
        </is>
      </c>
      <c r="E43" s="25" t="inlineStr">
        <is>
          <t>Persoalan #4: Ekstrak komponen DAY dari tanggal di sel C44 menggunakan rumus DAY!</t>
        </is>
      </c>
    </row>
    <row r="44">
      <c r="B44" s="18" t="inlineStr">
        <is>
          <t>Toko Elektronik</t>
        </is>
      </c>
      <c r="C44" s="30" t="n">
        <v>46127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46193</v>
      </c>
      <c r="E45" s="26" t="n"/>
      <c r="F45" s="27">
        <f>IF(ISBLANK(E45), "⏳ Ketik rumus di sel kuning E45", IF(E45=G45, "✅ BENAR! LUAR BIASA!", "❌ Belum Tepat, Cek Kunci"))</f>
        <v/>
      </c>
      <c r="G45" s="28">
        <f>DAY(C44)</f>
        <v/>
      </c>
      <c r="H45" s="29" t="inlineStr">
        <is>
          <t>Ketik: =DAY(C44)</t>
        </is>
      </c>
    </row>
    <row r="46">
      <c r="B46" s="18" t="inlineStr">
        <is>
          <t>Toko Aksesoris</t>
        </is>
      </c>
      <c r="C46" s="30" t="n">
        <v>46251</v>
      </c>
    </row>
    <row r="47">
      <c r="B47" s="18" t="inlineStr">
        <is>
          <t>Toko Servis</t>
        </is>
      </c>
      <c r="C47" s="30" t="n">
        <v>46381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Agenda Kantor</t>
        </is>
      </c>
      <c r="C51" s="12" t="inlineStr">
        <is>
          <t>Tanggal Kegiatan</t>
        </is>
      </c>
      <c r="E51" s="25" t="inlineStr">
        <is>
          <t>Persoalan #5: Ekstrak komponen DAY dari tanggal di sel C52 menggunakan rumus DAY!</t>
        </is>
      </c>
    </row>
    <row r="52">
      <c r="B52" s="18" t="inlineStr">
        <is>
          <t>Kelas 10 IPA</t>
        </is>
      </c>
      <c r="C52" s="30" t="n">
        <v>46157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46193</v>
      </c>
      <c r="E53" s="26" t="n"/>
      <c r="F53" s="27">
        <f>IF(ISBLANK(E53), "⏳ Ketik rumus di sel kuning E53", IF(E53=G53, "✅ BENAR! LUAR BIASA!", "❌ Belum Tepat, Cek Kunci"))</f>
        <v/>
      </c>
      <c r="G53" s="28">
        <f>DAY(C52)</f>
        <v/>
      </c>
      <c r="H53" s="29" t="inlineStr">
        <is>
          <t>Ketik: =DAY(C52)</t>
        </is>
      </c>
    </row>
    <row r="54">
      <c r="B54" s="18" t="inlineStr">
        <is>
          <t>Kelas 12 IPA</t>
        </is>
      </c>
      <c r="C54" s="30" t="n">
        <v>46251</v>
      </c>
    </row>
    <row r="55">
      <c r="B55" s="18" t="inlineStr">
        <is>
          <t>Kelas Unggulan</t>
        </is>
      </c>
      <c r="C55" s="30" t="n">
        <v>46381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#073 — RUMUS EXCEL: DAYS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(DAYS)</t>
        </is>
      </c>
    </row>
    <row r="5" ht="21" customHeight="1">
      <c r="B5" s="12" t="inlineStr">
        <is>
          <t>Nama Rumus Excel</t>
        </is>
      </c>
      <c r="C5" s="13">
        <f>DAYS(...)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DAYS(tanggal_akhir, tanggal_awal)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jumlah selisih hari antara dua tanggal (Misal: lama hari pinjam buku atau jatuh tempo invoice).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DAYS)</t>
        </is>
      </c>
    </row>
    <row r="10">
      <c r="B10" s="16" t="inlineStr">
        <is>
          <t>Tanggal Awal (B)</t>
        </is>
      </c>
      <c r="C10" s="16" t="inlineStr">
        <is>
          <t>Tanggal Akhir (C)</t>
        </is>
      </c>
      <c r="E10" s="17" t="inlineStr">
        <is>
          <t>💡 CONTOH RUMUS YANG SUDAH TERPASANG AKTIF:</t>
        </is>
      </c>
    </row>
    <row r="11">
      <c r="B11" s="30" t="n">
        <v>46032</v>
      </c>
      <c r="C11" s="30" t="n">
        <v>46078</v>
      </c>
      <c r="E11" s="19" t="inlineStr">
        <is>
          <t>Kasus Contoh:</t>
        </is>
      </c>
      <c r="F11" s="20" t="inlineStr">
        <is>
          <t>Hitung selisih hari antara Tanggal Akhir (C11) dan Tanggal Awal (B11) memakai DAYS!</t>
        </is>
      </c>
    </row>
    <row r="12">
      <c r="B12" s="30" t="n">
        <v>46054</v>
      </c>
      <c r="C12" s="30" t="n">
        <v>46096</v>
      </c>
      <c r="E12" s="19" t="inlineStr">
        <is>
          <t>Rumus yang Diketik:</t>
        </is>
      </c>
      <c r="F12" s="21" t="inlineStr">
        <is>
          <t>'=DAYS(C11, B11)</t>
        </is>
      </c>
    </row>
    <row r="13">
      <c r="B13" s="30" t="n">
        <v>46113</v>
      </c>
      <c r="C13" s="30" t="n">
        <v>46162</v>
      </c>
      <c r="E13" s="19" t="inlineStr">
        <is>
          <t>Hasil Otomatis Excel:</t>
        </is>
      </c>
      <c r="F13" s="22">
        <f>DAYS(C11, B11)</f>
        <v/>
      </c>
    </row>
    <row r="14">
      <c r="B14" s="30" t="n">
        <v>46174</v>
      </c>
      <c r="C14" s="30" t="n">
        <v>46244</v>
      </c>
    </row>
    <row r="16" ht="26" customHeight="1">
      <c r="B16" s="23" t="inlineStr">
        <is>
          <t>3️⃣ 5 PERSOALAN DUNIA NYATA (KETIK RUMUS DAYS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Tanggal Awal (B)</t>
        </is>
      </c>
      <c r="C19" s="12" t="inlineStr">
        <is>
          <t>Tanggal Akhir (C)</t>
        </is>
      </c>
      <c r="E19" s="25" t="inlineStr">
        <is>
          <t>Persoalan #1: Hitung selisih hari antara Tanggal Akhir (C20) dan Tanggal Awal (B20) memakai DAYS!</t>
        </is>
      </c>
    </row>
    <row r="20">
      <c r="B20" s="30" t="n">
        <v>46032</v>
      </c>
      <c r="C20" s="30" t="n">
        <v>46078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30" t="n">
        <v>46054</v>
      </c>
      <c r="C21" s="30" t="n">
        <v>46096</v>
      </c>
      <c r="E21" s="26" t="n"/>
      <c r="F21" s="27">
        <f>IF(ISBLANK(E21), "⏳ Ketik rumus di sel kuning E21", IF(E21=G21, "✅ BENAR! LUAR BIASA!", "❌ Belum Tepat, Cek Kunci"))</f>
        <v/>
      </c>
      <c r="G21" s="28">
        <f>DAYS(C20, B20)</f>
        <v/>
      </c>
      <c r="H21" s="29" t="inlineStr">
        <is>
          <t>Ketik: =DAYS(C20, B20)</t>
        </is>
      </c>
    </row>
    <row r="22">
      <c r="B22" s="30" t="n">
        <v>46113</v>
      </c>
      <c r="C22" s="30" t="n">
        <v>46162</v>
      </c>
    </row>
    <row r="23">
      <c r="B23" s="30" t="n">
        <v>46174</v>
      </c>
      <c r="C23" s="30" t="n">
        <v>46244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Tanggal Awal (B)</t>
        </is>
      </c>
      <c r="C27" s="12" t="inlineStr">
        <is>
          <t>Tanggal Akhir (C)</t>
        </is>
      </c>
      <c r="E27" s="25" t="inlineStr">
        <is>
          <t>Persoalan #2: Hitung selisih hari antara Tanggal Akhir (C28) dan Tanggal Awal (B28) memakai DAYS!</t>
        </is>
      </c>
    </row>
    <row r="28">
      <c r="B28" s="30" t="n">
        <v>46032</v>
      </c>
      <c r="C28" s="30" t="n">
        <v>46106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30" t="n">
        <v>46054</v>
      </c>
      <c r="C29" s="30" t="n">
        <v>46096</v>
      </c>
      <c r="E29" s="26" t="n"/>
      <c r="F29" s="27">
        <f>IF(ISBLANK(E29), "⏳ Ketik rumus di sel kuning E29", IF(E29=G29, "✅ BENAR! LUAR BIASA!", "❌ Belum Tepat, Cek Kunci"))</f>
        <v/>
      </c>
      <c r="G29" s="28">
        <f>DAYS(C28, B28)</f>
        <v/>
      </c>
      <c r="H29" s="29" t="inlineStr">
        <is>
          <t>Ketik: =DAYS(C28, B28)</t>
        </is>
      </c>
    </row>
    <row r="30">
      <c r="B30" s="30" t="n">
        <v>46113</v>
      </c>
      <c r="C30" s="30" t="n">
        <v>46162</v>
      </c>
    </row>
    <row r="31">
      <c r="B31" s="30" t="n">
        <v>46174</v>
      </c>
      <c r="C31" s="30" t="n">
        <v>46244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Tanggal Awal (B)</t>
        </is>
      </c>
      <c r="C35" s="12" t="inlineStr">
        <is>
          <t>Tanggal Akhir (C)</t>
        </is>
      </c>
      <c r="E35" s="25" t="inlineStr">
        <is>
          <t>Persoalan #3: Hitung selisih hari antara Tanggal Akhir (C36) dan Tanggal Awal (B36) memakai DAYS!</t>
        </is>
      </c>
    </row>
    <row r="36">
      <c r="B36" s="30" t="n">
        <v>46032</v>
      </c>
      <c r="C36" s="30" t="n">
        <v>46137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30" t="n">
        <v>46054</v>
      </c>
      <c r="C37" s="30" t="n">
        <v>46096</v>
      </c>
      <c r="E37" s="26" t="n"/>
      <c r="F37" s="27">
        <f>IF(ISBLANK(E37), "⏳ Ketik rumus di sel kuning E37", IF(E37=G37, "✅ BENAR! LUAR BIASA!", "❌ Belum Tepat, Cek Kunci"))</f>
        <v/>
      </c>
      <c r="G37" s="28">
        <f>DAYS(C36, B36)</f>
        <v/>
      </c>
      <c r="H37" s="29" t="inlineStr">
        <is>
          <t>Ketik: =DAYS(C36, B36)</t>
        </is>
      </c>
    </row>
    <row r="38">
      <c r="B38" s="30" t="n">
        <v>46113</v>
      </c>
      <c r="C38" s="30" t="n">
        <v>46162</v>
      </c>
    </row>
    <row r="39">
      <c r="B39" s="30" t="n">
        <v>46174</v>
      </c>
      <c r="C39" s="30" t="n">
        <v>46244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Tanggal Awal (B)</t>
        </is>
      </c>
      <c r="C43" s="12" t="inlineStr">
        <is>
          <t>Tanggal Akhir (C)</t>
        </is>
      </c>
      <c r="E43" s="25" t="inlineStr">
        <is>
          <t>Persoalan #4: Hitung selisih hari antara Tanggal Akhir (C44) dan Tanggal Awal (B44) memakai DAYS!</t>
        </is>
      </c>
    </row>
    <row r="44">
      <c r="B44" s="30" t="n">
        <v>46032</v>
      </c>
      <c r="C44" s="30" t="n">
        <v>46167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30" t="n">
        <v>46054</v>
      </c>
      <c r="C45" s="30" t="n">
        <v>46096</v>
      </c>
      <c r="E45" s="26" t="n"/>
      <c r="F45" s="27">
        <f>IF(ISBLANK(E45), "⏳ Ketik rumus di sel kuning E45", IF(E45=G45, "✅ BENAR! LUAR BIASA!", "❌ Belum Tepat, Cek Kunci"))</f>
        <v/>
      </c>
      <c r="G45" s="28">
        <f>DAYS(C44, B44)</f>
        <v/>
      </c>
      <c r="H45" s="29" t="inlineStr">
        <is>
          <t>Ketik: =DAYS(C44, B44)</t>
        </is>
      </c>
    </row>
    <row r="46">
      <c r="B46" s="30" t="n">
        <v>46113</v>
      </c>
      <c r="C46" s="30" t="n">
        <v>46162</v>
      </c>
    </row>
    <row r="47">
      <c r="B47" s="30" t="n">
        <v>46174</v>
      </c>
      <c r="C47" s="30" t="n">
        <v>46244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Tanggal Awal (B)</t>
        </is>
      </c>
      <c r="C51" s="12" t="inlineStr">
        <is>
          <t>Tanggal Akhir (C)</t>
        </is>
      </c>
      <c r="E51" s="25" t="inlineStr">
        <is>
          <t>Persoalan #5: Hitung selisih hari antara Tanggal Akhir (C52) dan Tanggal Awal (B52) memakai DAYS!</t>
        </is>
      </c>
    </row>
    <row r="52">
      <c r="B52" s="30" t="n">
        <v>46032</v>
      </c>
      <c r="C52" s="30" t="n">
        <v>46198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30" t="n">
        <v>46054</v>
      </c>
      <c r="C53" s="30" t="n">
        <v>46096</v>
      </c>
      <c r="E53" s="26" t="n"/>
      <c r="F53" s="27">
        <f>IF(ISBLANK(E53), "⏳ Ketik rumus di sel kuning E53", IF(E53=G53, "✅ BENAR! LUAR BIASA!", "❌ Belum Tepat, Cek Kunci"))</f>
        <v/>
      </c>
      <c r="G53" s="28">
        <f>DAYS(C52, B52)</f>
        <v/>
      </c>
      <c r="H53" s="29" t="inlineStr">
        <is>
          <t>Ketik: =DAYS(C52, B52)</t>
        </is>
      </c>
    </row>
    <row r="54">
      <c r="B54" s="30" t="n">
        <v>46113</v>
      </c>
      <c r="C54" s="30" t="n">
        <v>46162</v>
      </c>
    </row>
    <row r="55">
      <c r="B55" s="30" t="n">
        <v>46174</v>
      </c>
      <c r="C55" s="30" t="n">
        <v>46244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#074 — RUMUS EXCEL: DATEDIF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(DATEDIF)</t>
        </is>
      </c>
    </row>
    <row r="5" ht="21" customHeight="1">
      <c r="B5" s="12" t="inlineStr">
        <is>
          <t>Nama Rumus Excel</t>
        </is>
      </c>
      <c r="C5" s="13">
        <f>DATEDIF(...)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DATEDIF(tgl_awal, tgl_akhir, "Y")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Rumus rahasia HRD untuk menghitung Umur Karyawan atau Masa Kerja dalam Tahun ('Y'), Bulan ('M'), atau Hari ('D').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DATEDIF)</t>
        </is>
      </c>
    </row>
    <row r="10">
      <c r="B10" s="16" t="inlineStr">
        <is>
          <t>Tanggal Awal (B)</t>
        </is>
      </c>
      <c r="C10" s="16" t="inlineStr">
        <is>
          <t>Tanggal Akhir (C)</t>
        </is>
      </c>
      <c r="E10" s="17" t="inlineStr">
        <is>
          <t>💡 CONTOH RUMUS YANG SUDAH TERPASANG AKTIF:</t>
        </is>
      </c>
    </row>
    <row r="11">
      <c r="B11" s="30" t="n">
        <v>46032</v>
      </c>
      <c r="C11" s="30" t="n">
        <v>46078</v>
      </c>
      <c r="E11" s="19" t="inlineStr">
        <is>
          <t>Kasus Contoh:</t>
        </is>
      </c>
      <c r="F11" s="20" t="inlineStr">
        <is>
          <t>Hitung selisih hari ("D") dari Tanggal Awal B11 ke Tanggal Akhir C11 memakai DATEDIF!</t>
        </is>
      </c>
    </row>
    <row r="12">
      <c r="B12" s="30" t="n">
        <v>46054</v>
      </c>
      <c r="C12" s="30" t="n">
        <v>46096</v>
      </c>
      <c r="E12" s="19" t="inlineStr">
        <is>
          <t>Rumus yang Diketik:</t>
        </is>
      </c>
      <c r="F12" s="21" t="inlineStr">
        <is>
          <t>'=DATEDIF(B11, C11, "D")</t>
        </is>
      </c>
    </row>
    <row r="13">
      <c r="B13" s="30" t="n">
        <v>46113</v>
      </c>
      <c r="C13" s="30" t="n">
        <v>46162</v>
      </c>
      <c r="E13" s="19" t="inlineStr">
        <is>
          <t>Hasil Otomatis Excel:</t>
        </is>
      </c>
      <c r="F13" s="22">
        <f>DATEDIF(B11, C11, "D")</f>
        <v/>
      </c>
    </row>
    <row r="14">
      <c r="B14" s="30" t="n">
        <v>46174</v>
      </c>
      <c r="C14" s="30" t="n">
        <v>46244</v>
      </c>
    </row>
    <row r="16" ht="26" customHeight="1">
      <c r="B16" s="23" t="inlineStr">
        <is>
          <t>3️⃣ 5 PERSOALAN DUNIA NYATA (KETIK RUMUS DATEDIF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Tanggal Awal (B)</t>
        </is>
      </c>
      <c r="C19" s="12" t="inlineStr">
        <is>
          <t>Tanggal Akhir (C)</t>
        </is>
      </c>
      <c r="E19" s="25" t="inlineStr">
        <is>
          <t>Persoalan #1: Hitung selisih hari ("D") dari Tanggal Awal B20 ke Tanggal Akhir C20 memakai DATEDIF!</t>
        </is>
      </c>
    </row>
    <row r="20">
      <c r="B20" s="30" t="n">
        <v>46032</v>
      </c>
      <c r="C20" s="30" t="n">
        <v>46078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30" t="n">
        <v>46054</v>
      </c>
      <c r="C21" s="30" t="n">
        <v>46096</v>
      </c>
      <c r="E21" s="26" t="n"/>
      <c r="F21" s="27">
        <f>IF(ISBLANK(E21), "⏳ Ketik rumus di sel kuning E21", IF(E21=G21, "✅ BENAR! LUAR BIASA!", "❌ Belum Tepat, Cek Kunci"))</f>
        <v/>
      </c>
      <c r="G21" s="28">
        <f>DATEDIF(B20, C20, "D")</f>
        <v/>
      </c>
      <c r="H21" s="29" t="inlineStr">
        <is>
          <t>Ketik: =DATEDIF(B20, C20, "D")</t>
        </is>
      </c>
    </row>
    <row r="22">
      <c r="B22" s="30" t="n">
        <v>46113</v>
      </c>
      <c r="C22" s="30" t="n">
        <v>46162</v>
      </c>
    </row>
    <row r="23">
      <c r="B23" s="30" t="n">
        <v>46174</v>
      </c>
      <c r="C23" s="30" t="n">
        <v>46244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Tanggal Awal (B)</t>
        </is>
      </c>
      <c r="C27" s="12" t="inlineStr">
        <is>
          <t>Tanggal Akhir (C)</t>
        </is>
      </c>
      <c r="E27" s="25" t="inlineStr">
        <is>
          <t>Persoalan #2: Hitung selisih hari ("D") dari Tanggal Awal B28 ke Tanggal Akhir C28 memakai DATEDIF!</t>
        </is>
      </c>
    </row>
    <row r="28">
      <c r="B28" s="30" t="n">
        <v>46032</v>
      </c>
      <c r="C28" s="30" t="n">
        <v>46106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30" t="n">
        <v>46054</v>
      </c>
      <c r="C29" s="30" t="n">
        <v>46096</v>
      </c>
      <c r="E29" s="26" t="n"/>
      <c r="F29" s="27">
        <f>IF(ISBLANK(E29), "⏳ Ketik rumus di sel kuning E29", IF(E29=G29, "✅ BENAR! LUAR BIASA!", "❌ Belum Tepat, Cek Kunci"))</f>
        <v/>
      </c>
      <c r="G29" s="28">
        <f>DATEDIF(B28, C28, "D")</f>
        <v/>
      </c>
      <c r="H29" s="29" t="inlineStr">
        <is>
          <t>Ketik: =DATEDIF(B28, C28, "D")</t>
        </is>
      </c>
    </row>
    <row r="30">
      <c r="B30" s="30" t="n">
        <v>46113</v>
      </c>
      <c r="C30" s="30" t="n">
        <v>46162</v>
      </c>
    </row>
    <row r="31">
      <c r="B31" s="30" t="n">
        <v>46174</v>
      </c>
      <c r="C31" s="30" t="n">
        <v>46244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Tanggal Awal (B)</t>
        </is>
      </c>
      <c r="C35" s="12" t="inlineStr">
        <is>
          <t>Tanggal Akhir (C)</t>
        </is>
      </c>
      <c r="E35" s="25" t="inlineStr">
        <is>
          <t>Persoalan #3: Hitung selisih hari ("D") dari Tanggal Awal B36 ke Tanggal Akhir C36 memakai DATEDIF!</t>
        </is>
      </c>
    </row>
    <row r="36">
      <c r="B36" s="30" t="n">
        <v>46032</v>
      </c>
      <c r="C36" s="30" t="n">
        <v>46137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30" t="n">
        <v>46054</v>
      </c>
      <c r="C37" s="30" t="n">
        <v>46096</v>
      </c>
      <c r="E37" s="26" t="n"/>
      <c r="F37" s="27">
        <f>IF(ISBLANK(E37), "⏳ Ketik rumus di sel kuning E37", IF(E37=G37, "✅ BENAR! LUAR BIASA!", "❌ Belum Tepat, Cek Kunci"))</f>
        <v/>
      </c>
      <c r="G37" s="28">
        <f>DATEDIF(B36, C36, "D")</f>
        <v/>
      </c>
      <c r="H37" s="29" t="inlineStr">
        <is>
          <t>Ketik: =DATEDIF(B36, C36, "D")</t>
        </is>
      </c>
    </row>
    <row r="38">
      <c r="B38" s="30" t="n">
        <v>46113</v>
      </c>
      <c r="C38" s="30" t="n">
        <v>46162</v>
      </c>
    </row>
    <row r="39">
      <c r="B39" s="30" t="n">
        <v>46174</v>
      </c>
      <c r="C39" s="30" t="n">
        <v>46244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Tanggal Awal (B)</t>
        </is>
      </c>
      <c r="C43" s="12" t="inlineStr">
        <is>
          <t>Tanggal Akhir (C)</t>
        </is>
      </c>
      <c r="E43" s="25" t="inlineStr">
        <is>
          <t>Persoalan #4: Hitung selisih hari ("D") dari Tanggal Awal B44 ke Tanggal Akhir C44 memakai DATEDIF!</t>
        </is>
      </c>
    </row>
    <row r="44">
      <c r="B44" s="30" t="n">
        <v>46032</v>
      </c>
      <c r="C44" s="30" t="n">
        <v>46167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30" t="n">
        <v>46054</v>
      </c>
      <c r="C45" s="30" t="n">
        <v>46096</v>
      </c>
      <c r="E45" s="26" t="n"/>
      <c r="F45" s="27">
        <f>IF(ISBLANK(E45), "⏳ Ketik rumus di sel kuning E45", IF(E45=G45, "✅ BENAR! LUAR BIASA!", "❌ Belum Tepat, Cek Kunci"))</f>
        <v/>
      </c>
      <c r="G45" s="28">
        <f>DATEDIF(B44, C44, "D")</f>
        <v/>
      </c>
      <c r="H45" s="29" t="inlineStr">
        <is>
          <t>Ketik: =DATEDIF(B44, C44, "D")</t>
        </is>
      </c>
    </row>
    <row r="46">
      <c r="B46" s="30" t="n">
        <v>46113</v>
      </c>
      <c r="C46" s="30" t="n">
        <v>46162</v>
      </c>
    </row>
    <row r="47">
      <c r="B47" s="30" t="n">
        <v>46174</v>
      </c>
      <c r="C47" s="30" t="n">
        <v>46244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Tanggal Awal (B)</t>
        </is>
      </c>
      <c r="C51" s="12" t="inlineStr">
        <is>
          <t>Tanggal Akhir (C)</t>
        </is>
      </c>
      <c r="E51" s="25" t="inlineStr">
        <is>
          <t>Persoalan #5: Hitung selisih hari ("D") dari Tanggal Awal B52 ke Tanggal Akhir C52 memakai DATEDIF!</t>
        </is>
      </c>
    </row>
    <row r="52">
      <c r="B52" s="30" t="n">
        <v>46032</v>
      </c>
      <c r="C52" s="30" t="n">
        <v>46198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30" t="n">
        <v>46054</v>
      </c>
      <c r="C53" s="30" t="n">
        <v>46096</v>
      </c>
      <c r="E53" s="26" t="n"/>
      <c r="F53" s="27">
        <f>IF(ISBLANK(E53), "⏳ Ketik rumus di sel kuning E53", IF(E53=G53, "✅ BENAR! LUAR BIASA!", "❌ Belum Tepat, Cek Kunci"))</f>
        <v/>
      </c>
      <c r="G53" s="28">
        <f>DATEDIF(B52, C52, "D")</f>
        <v/>
      </c>
      <c r="H53" s="29" t="inlineStr">
        <is>
          <t>Ketik: =DATEDIF(B52, C52, "D")</t>
        </is>
      </c>
    </row>
    <row r="54">
      <c r="B54" s="30" t="n">
        <v>46113</v>
      </c>
      <c r="C54" s="30" t="n">
        <v>46162</v>
      </c>
    </row>
    <row r="55">
      <c r="B55" s="30" t="n">
        <v>46174</v>
      </c>
      <c r="C55" s="30" t="n">
        <v>46244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#075 — RUMUS EXCEL: EDATE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(EDATE)</t>
        </is>
      </c>
    </row>
    <row r="5" ht="21" customHeight="1">
      <c r="B5" s="12" t="inlineStr">
        <is>
          <t>Nama Rumus Excel</t>
        </is>
      </c>
      <c r="C5" s="13">
        <f>EDATE(...)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EDATE(tanggal_awal, jumlah_bulan)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tanggal jatuh tempo persis sekian bulan ke depan atau ke belakang (Misal: masa habis kontrak 6 bulan lagi).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EDATE)</t>
        </is>
      </c>
    </row>
    <row r="10">
      <c r="B10" s="16" t="inlineStr">
        <is>
          <t>Kontrak Proyek</t>
        </is>
      </c>
      <c r="C10" s="16" t="inlineStr">
        <is>
          <t>Tanggal Mulai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Gunakan rumus EDATE dari tanggal awal di C11 dengan penambahan 3 periode!</t>
        </is>
      </c>
    </row>
    <row r="12">
      <c r="B12" s="18" t="inlineStr">
        <is>
          <t>Cabang Bandung</t>
        </is>
      </c>
      <c r="C12" s="30" t="n">
        <v>46091</v>
      </c>
      <c r="E12" s="19" t="inlineStr">
        <is>
          <t>Rumus yang Diketik:</t>
        </is>
      </c>
      <c r="F12" s="21" t="inlineStr">
        <is>
          <t>'=EDATE(C11, 3)</t>
        </is>
      </c>
    </row>
    <row r="13">
      <c r="B13" s="18" t="inlineStr">
        <is>
          <t>Cabang Surabaya</t>
        </is>
      </c>
      <c r="C13" s="30" t="n">
        <v>46162</v>
      </c>
      <c r="E13" s="19" t="inlineStr">
        <is>
          <t>Hasil Otomatis Excel:</t>
        </is>
      </c>
      <c r="F13" s="22">
        <f>EDATE(C11, 3)</f>
        <v/>
      </c>
    </row>
    <row r="14">
      <c r="B14" s="18" t="inlineStr">
        <is>
          <t>Cabang Medan</t>
        </is>
      </c>
      <c r="C14" s="30" t="n">
        <v>46208</v>
      </c>
    </row>
    <row r="16" ht="26" customHeight="1">
      <c r="B16" s="23" t="inlineStr">
        <is>
          <t>3️⃣ 5 PERSOALAN DUNIA NYATA (KETIK RUMUS EDATE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Kontrak Proyek</t>
        </is>
      </c>
      <c r="C19" s="12" t="inlineStr">
        <is>
          <t>Tanggal Mulai</t>
        </is>
      </c>
      <c r="E19" s="25" t="inlineStr">
        <is>
          <t>Persoalan #1: Gunakan rumus EDATE dari tanggal awal di C20 dengan penambahan 3 periode!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46091</v>
      </c>
      <c r="E21" s="26" t="n"/>
      <c r="F21" s="27">
        <f>IF(ISBLANK(E21), "⏳ Ketik rumus di sel kuning E21", IF(E21=G21, "✅ BENAR! LUAR BIASA!", "❌ Belum Tepat, Cek Kunci"))</f>
        <v/>
      </c>
      <c r="G21" s="28">
        <f>EDATE(C20, 3)</f>
        <v/>
      </c>
      <c r="H21" s="29" t="inlineStr">
        <is>
          <t>Ketik: =EDATE(C20, 3)</t>
        </is>
      </c>
    </row>
    <row r="22">
      <c r="B22" s="18" t="inlineStr">
        <is>
          <t>Cabang Surabaya</t>
        </is>
      </c>
      <c r="C22" s="30" t="n">
        <v>46162</v>
      </c>
    </row>
    <row r="23">
      <c r="B23" s="18" t="inlineStr">
        <is>
          <t>Cabang Medan</t>
        </is>
      </c>
      <c r="C23" s="30" t="n">
        <v>46208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Kontrak Proyek</t>
        </is>
      </c>
      <c r="C27" s="12" t="inlineStr">
        <is>
          <t>Tanggal Mulai</t>
        </is>
      </c>
      <c r="E27" s="25" t="inlineStr">
        <is>
          <t>Persoalan #2: Gunakan rumus EDATE dari tanggal awal di C28 dengan penambahan 4 periode!</t>
        </is>
      </c>
    </row>
    <row r="28">
      <c r="B28" s="18" t="inlineStr">
        <is>
          <t>Budi Santoso</t>
        </is>
      </c>
      <c r="C28" s="30" t="n">
        <v>46037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46091</v>
      </c>
      <c r="E29" s="26" t="n"/>
      <c r="F29" s="27">
        <f>IF(ISBLANK(E29), "⏳ Ketik rumus di sel kuning E29", IF(E29=G29, "✅ BENAR! LUAR BIASA!", "❌ Belum Tepat, Cek Kunci"))</f>
        <v/>
      </c>
      <c r="G29" s="28">
        <f>EDATE(C28, 4)</f>
        <v/>
      </c>
      <c r="H29" s="29" t="inlineStr">
        <is>
          <t>Ketik: =EDATE(C28, 4)</t>
        </is>
      </c>
    </row>
    <row r="30">
      <c r="B30" s="18" t="inlineStr">
        <is>
          <t>Andi Pratama</t>
        </is>
      </c>
      <c r="C30" s="30" t="n">
        <v>46162</v>
      </c>
    </row>
    <row r="31">
      <c r="B31" s="18" t="inlineStr">
        <is>
          <t>Rina Wijaya</t>
        </is>
      </c>
      <c r="C31" s="30" t="n">
        <v>46208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Kontrak Proyek</t>
        </is>
      </c>
      <c r="C35" s="12" t="inlineStr">
        <is>
          <t>Tanggal Mulai</t>
        </is>
      </c>
      <c r="E35" s="25" t="inlineStr">
        <is>
          <t>Persoalan #3: Gunakan rumus EDATE dari tanggal awal di C36 dengan penambahan 5 periode!</t>
        </is>
      </c>
    </row>
    <row r="36">
      <c r="B36" s="18" t="inlineStr">
        <is>
          <t>Gudang Blok A</t>
        </is>
      </c>
      <c r="C36" s="30" t="n">
        <v>46037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46091</v>
      </c>
      <c r="E37" s="26" t="n"/>
      <c r="F37" s="27">
        <f>IF(ISBLANK(E37), "⏳ Ketik rumus di sel kuning E37", IF(E37=G37, "✅ BENAR! LUAR BIASA!", "❌ Belum Tepat, Cek Kunci"))</f>
        <v/>
      </c>
      <c r="G37" s="28">
        <f>EDATE(C36, 5)</f>
        <v/>
      </c>
      <c r="H37" s="29" t="inlineStr">
        <is>
          <t>Ketik: =EDATE(C36, 5)</t>
        </is>
      </c>
    </row>
    <row r="38">
      <c r="B38" s="18" t="inlineStr">
        <is>
          <t>Gudang Blok C</t>
        </is>
      </c>
      <c r="C38" s="30" t="n">
        <v>46162</v>
      </c>
    </row>
    <row r="39">
      <c r="B39" s="18" t="inlineStr">
        <is>
          <t>Gudang Blok D</t>
        </is>
      </c>
      <c r="C39" s="30" t="n">
        <v>46208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Kontrak Proyek</t>
        </is>
      </c>
      <c r="C43" s="12" t="inlineStr">
        <is>
          <t>Tanggal Mulai</t>
        </is>
      </c>
      <c r="E43" s="25" t="inlineStr">
        <is>
          <t>Persoalan #4: Gunakan rumus EDATE dari tanggal awal di C44 dengan penambahan 6 periode!</t>
        </is>
      </c>
    </row>
    <row r="44">
      <c r="B44" s="18" t="inlineStr">
        <is>
          <t>Toko Elektronik</t>
        </is>
      </c>
      <c r="C44" s="30" t="n">
        <v>46037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46091</v>
      </c>
      <c r="E45" s="26" t="n"/>
      <c r="F45" s="27">
        <f>IF(ISBLANK(E45), "⏳ Ketik rumus di sel kuning E45", IF(E45=G45, "✅ BENAR! LUAR BIASA!", "❌ Belum Tepat, Cek Kunci"))</f>
        <v/>
      </c>
      <c r="G45" s="28">
        <f>EDATE(C44, 6)</f>
        <v/>
      </c>
      <c r="H45" s="29" t="inlineStr">
        <is>
          <t>Ketik: =EDATE(C44, 6)</t>
        </is>
      </c>
    </row>
    <row r="46">
      <c r="B46" s="18" t="inlineStr">
        <is>
          <t>Toko Aksesoris</t>
        </is>
      </c>
      <c r="C46" s="30" t="n">
        <v>46162</v>
      </c>
    </row>
    <row r="47">
      <c r="B47" s="18" t="inlineStr">
        <is>
          <t>Toko Servis</t>
        </is>
      </c>
      <c r="C47" s="30" t="n">
        <v>46208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Kontrak Proyek</t>
        </is>
      </c>
      <c r="C51" s="12" t="inlineStr">
        <is>
          <t>Tanggal Mulai</t>
        </is>
      </c>
      <c r="E51" s="25" t="inlineStr">
        <is>
          <t>Persoalan #5: Gunakan rumus EDATE dari tanggal awal di C52 dengan penambahan 7 periode!</t>
        </is>
      </c>
    </row>
    <row r="52">
      <c r="B52" s="18" t="inlineStr">
        <is>
          <t>Kelas 10 IPA</t>
        </is>
      </c>
      <c r="C52" s="30" t="n">
        <v>46037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46091</v>
      </c>
      <c r="E53" s="26" t="n"/>
      <c r="F53" s="27">
        <f>IF(ISBLANK(E53), "⏳ Ketik rumus di sel kuning E53", IF(E53=G53, "✅ BENAR! LUAR BIASA!", "❌ Belum Tepat, Cek Kunci"))</f>
        <v/>
      </c>
      <c r="G53" s="28">
        <f>EDATE(C52, 7)</f>
        <v/>
      </c>
      <c r="H53" s="29" t="inlineStr">
        <is>
          <t>Ketik: =EDATE(C52, 7)</t>
        </is>
      </c>
    </row>
    <row r="54">
      <c r="B54" s="18" t="inlineStr">
        <is>
          <t>Kelas 12 IPA</t>
        </is>
      </c>
      <c r="C54" s="30" t="n">
        <v>46162</v>
      </c>
    </row>
    <row r="55">
      <c r="B55" s="18" t="inlineStr">
        <is>
          <t>Kelas Unggulan</t>
        </is>
      </c>
      <c r="C55" s="30" t="n">
        <v>46208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#076 — RUMUS EXCEL: EOMONTH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(EOMONTH)</t>
        </is>
      </c>
    </row>
    <row r="5" ht="21" customHeight="1">
      <c r="B5" s="12" t="inlineStr">
        <is>
          <t>Nama Rumus Excel</t>
        </is>
      </c>
      <c r="C5" s="13">
        <f>EOMONTH(...)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EOMONTH(tanggal_awal, jumlah_bulan)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tanggal AKHIR BULAN (End of Month) untuk tutup buku akuntansi atau tanggal gajian akhir bulan.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EOMONTH)</t>
        </is>
      </c>
    </row>
    <row r="10">
      <c r="B10" s="16" t="inlineStr">
        <is>
          <t>Kontrak Proyek</t>
        </is>
      </c>
      <c r="C10" s="16" t="inlineStr">
        <is>
          <t>Tanggal Mulai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Gunakan rumus EOMONTH dari tanggal awal di C11 dengan penambahan 3 periode!</t>
        </is>
      </c>
    </row>
    <row r="12">
      <c r="B12" s="18" t="inlineStr">
        <is>
          <t>Cabang Bandung</t>
        </is>
      </c>
      <c r="C12" s="30" t="n">
        <v>46091</v>
      </c>
      <c r="E12" s="19" t="inlineStr">
        <is>
          <t>Rumus yang Diketik:</t>
        </is>
      </c>
      <c r="F12" s="21" t="inlineStr">
        <is>
          <t>'=EOMONTH(C11, 3)</t>
        </is>
      </c>
    </row>
    <row r="13">
      <c r="B13" s="18" t="inlineStr">
        <is>
          <t>Cabang Surabaya</t>
        </is>
      </c>
      <c r="C13" s="30" t="n">
        <v>46162</v>
      </c>
      <c r="E13" s="19" t="inlineStr">
        <is>
          <t>Hasil Otomatis Excel:</t>
        </is>
      </c>
      <c r="F13" s="22">
        <f>EOMONTH(C11, 3)</f>
        <v/>
      </c>
    </row>
    <row r="14">
      <c r="B14" s="18" t="inlineStr">
        <is>
          <t>Cabang Medan</t>
        </is>
      </c>
      <c r="C14" s="30" t="n">
        <v>46208</v>
      </c>
    </row>
    <row r="16" ht="26" customHeight="1">
      <c r="B16" s="23" t="inlineStr">
        <is>
          <t>3️⃣ 5 PERSOALAN DUNIA NYATA (KETIK RUMUS EOMONTH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Kontrak Proyek</t>
        </is>
      </c>
      <c r="C19" s="12" t="inlineStr">
        <is>
          <t>Tanggal Mulai</t>
        </is>
      </c>
      <c r="E19" s="25" t="inlineStr">
        <is>
          <t>Persoalan #1: Gunakan rumus EOMONTH dari tanggal awal di C20 dengan penambahan 3 periode!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46091</v>
      </c>
      <c r="E21" s="26" t="n"/>
      <c r="F21" s="27">
        <f>IF(ISBLANK(E21), "⏳ Ketik rumus di sel kuning E21", IF(E21=G21, "✅ BENAR! LUAR BIASA!", "❌ Belum Tepat, Cek Kunci"))</f>
        <v/>
      </c>
      <c r="G21" s="28">
        <f>EOMONTH(C20, 3)</f>
        <v/>
      </c>
      <c r="H21" s="29" t="inlineStr">
        <is>
          <t>Ketik: =EOMONTH(C20, 3)</t>
        </is>
      </c>
    </row>
    <row r="22">
      <c r="B22" s="18" t="inlineStr">
        <is>
          <t>Cabang Surabaya</t>
        </is>
      </c>
      <c r="C22" s="30" t="n">
        <v>46162</v>
      </c>
    </row>
    <row r="23">
      <c r="B23" s="18" t="inlineStr">
        <is>
          <t>Cabang Medan</t>
        </is>
      </c>
      <c r="C23" s="30" t="n">
        <v>46208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Kontrak Proyek</t>
        </is>
      </c>
      <c r="C27" s="12" t="inlineStr">
        <is>
          <t>Tanggal Mulai</t>
        </is>
      </c>
      <c r="E27" s="25" t="inlineStr">
        <is>
          <t>Persoalan #2: Gunakan rumus EOMONTH dari tanggal awal di C28 dengan penambahan 4 periode!</t>
        </is>
      </c>
    </row>
    <row r="28">
      <c r="B28" s="18" t="inlineStr">
        <is>
          <t>Budi Santoso</t>
        </is>
      </c>
      <c r="C28" s="30" t="n">
        <v>46037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46091</v>
      </c>
      <c r="E29" s="26" t="n"/>
      <c r="F29" s="27">
        <f>IF(ISBLANK(E29), "⏳ Ketik rumus di sel kuning E29", IF(E29=G29, "✅ BENAR! LUAR BIASA!", "❌ Belum Tepat, Cek Kunci"))</f>
        <v/>
      </c>
      <c r="G29" s="28">
        <f>EOMONTH(C28, 4)</f>
        <v/>
      </c>
      <c r="H29" s="29" t="inlineStr">
        <is>
          <t>Ketik: =EOMONTH(C28, 4)</t>
        </is>
      </c>
    </row>
    <row r="30">
      <c r="B30" s="18" t="inlineStr">
        <is>
          <t>Andi Pratama</t>
        </is>
      </c>
      <c r="C30" s="30" t="n">
        <v>46162</v>
      </c>
    </row>
    <row r="31">
      <c r="B31" s="18" t="inlineStr">
        <is>
          <t>Rina Wijaya</t>
        </is>
      </c>
      <c r="C31" s="30" t="n">
        <v>46208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Kontrak Proyek</t>
        </is>
      </c>
      <c r="C35" s="12" t="inlineStr">
        <is>
          <t>Tanggal Mulai</t>
        </is>
      </c>
      <c r="E35" s="25" t="inlineStr">
        <is>
          <t>Persoalan #3: Gunakan rumus EOMONTH dari tanggal awal di C36 dengan penambahan 5 periode!</t>
        </is>
      </c>
    </row>
    <row r="36">
      <c r="B36" s="18" t="inlineStr">
        <is>
          <t>Gudang Blok A</t>
        </is>
      </c>
      <c r="C36" s="30" t="n">
        <v>46037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46091</v>
      </c>
      <c r="E37" s="26" t="n"/>
      <c r="F37" s="27">
        <f>IF(ISBLANK(E37), "⏳ Ketik rumus di sel kuning E37", IF(E37=G37, "✅ BENAR! LUAR BIASA!", "❌ Belum Tepat, Cek Kunci"))</f>
        <v/>
      </c>
      <c r="G37" s="28">
        <f>EOMONTH(C36, 5)</f>
        <v/>
      </c>
      <c r="H37" s="29" t="inlineStr">
        <is>
          <t>Ketik: =EOMONTH(C36, 5)</t>
        </is>
      </c>
    </row>
    <row r="38">
      <c r="B38" s="18" t="inlineStr">
        <is>
          <t>Gudang Blok C</t>
        </is>
      </c>
      <c r="C38" s="30" t="n">
        <v>46162</v>
      </c>
    </row>
    <row r="39">
      <c r="B39" s="18" t="inlineStr">
        <is>
          <t>Gudang Blok D</t>
        </is>
      </c>
      <c r="C39" s="30" t="n">
        <v>46208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Kontrak Proyek</t>
        </is>
      </c>
      <c r="C43" s="12" t="inlineStr">
        <is>
          <t>Tanggal Mulai</t>
        </is>
      </c>
      <c r="E43" s="25" t="inlineStr">
        <is>
          <t>Persoalan #4: Gunakan rumus EOMONTH dari tanggal awal di C44 dengan penambahan 6 periode!</t>
        </is>
      </c>
    </row>
    <row r="44">
      <c r="B44" s="18" t="inlineStr">
        <is>
          <t>Toko Elektronik</t>
        </is>
      </c>
      <c r="C44" s="30" t="n">
        <v>46037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46091</v>
      </c>
      <c r="E45" s="26" t="n"/>
      <c r="F45" s="27">
        <f>IF(ISBLANK(E45), "⏳ Ketik rumus di sel kuning E45", IF(E45=G45, "✅ BENAR! LUAR BIASA!", "❌ Belum Tepat, Cek Kunci"))</f>
        <v/>
      </c>
      <c r="G45" s="28">
        <f>EOMONTH(C44, 6)</f>
        <v/>
      </c>
      <c r="H45" s="29" t="inlineStr">
        <is>
          <t>Ketik: =EOMONTH(C44, 6)</t>
        </is>
      </c>
    </row>
    <row r="46">
      <c r="B46" s="18" t="inlineStr">
        <is>
          <t>Toko Aksesoris</t>
        </is>
      </c>
      <c r="C46" s="30" t="n">
        <v>46162</v>
      </c>
    </row>
    <row r="47">
      <c r="B47" s="18" t="inlineStr">
        <is>
          <t>Toko Servis</t>
        </is>
      </c>
      <c r="C47" s="30" t="n">
        <v>46208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Kontrak Proyek</t>
        </is>
      </c>
      <c r="C51" s="12" t="inlineStr">
        <is>
          <t>Tanggal Mulai</t>
        </is>
      </c>
      <c r="E51" s="25" t="inlineStr">
        <is>
          <t>Persoalan #5: Gunakan rumus EOMONTH dari tanggal awal di C52 dengan penambahan 7 periode!</t>
        </is>
      </c>
    </row>
    <row r="52">
      <c r="B52" s="18" t="inlineStr">
        <is>
          <t>Kelas 10 IPA</t>
        </is>
      </c>
      <c r="C52" s="30" t="n">
        <v>46037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46091</v>
      </c>
      <c r="E53" s="26" t="n"/>
      <c r="F53" s="27">
        <f>IF(ISBLANK(E53), "⏳ Ketik rumus di sel kuning E53", IF(E53=G53, "✅ BENAR! LUAR BIASA!", "❌ Belum Tepat, Cek Kunci"))</f>
        <v/>
      </c>
      <c r="G53" s="28">
        <f>EOMONTH(C52, 7)</f>
        <v/>
      </c>
      <c r="H53" s="29" t="inlineStr">
        <is>
          <t>Ketik: =EOMONTH(C52, 7)</t>
        </is>
      </c>
    </row>
    <row r="54">
      <c r="B54" s="18" t="inlineStr">
        <is>
          <t>Kelas 12 IPA</t>
        </is>
      </c>
      <c r="C54" s="30" t="n">
        <v>46162</v>
      </c>
    </row>
    <row r="55">
      <c r="B55" s="18" t="inlineStr">
        <is>
          <t>Kelas Unggulan</t>
        </is>
      </c>
      <c r="C55" s="30" t="n">
        <v>46208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#077 — RUMUS EXCEL: NETWORKDAYS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(NETWORKDAYS)</t>
        </is>
      </c>
    </row>
    <row r="5" ht="21" customHeight="1">
      <c r="B5" s="12" t="inlineStr">
        <is>
          <t>Nama Rumus Excel</t>
        </is>
      </c>
      <c r="C5" s="13">
        <f>NETWORKDAYS(...)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NETWORKDAYS(tgl_awal, tgl_akhir)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jumlah HARI KERJA EFEKTIF (otomatis memotong hari Sabtu dan Minggu!). Sangat krusial untuk absensi &amp; gaji.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NETWORKDAYS)</t>
        </is>
      </c>
    </row>
    <row r="10">
      <c r="B10" s="16" t="inlineStr">
        <is>
          <t>Tanggal Awal (B)</t>
        </is>
      </c>
      <c r="C10" s="16" t="inlineStr">
        <is>
          <t>Tanggal Akhir (C)</t>
        </is>
      </c>
      <c r="E10" s="17" t="inlineStr">
        <is>
          <t>💡 CONTOH RUMUS YANG SUDAH TERPASANG AKTIF:</t>
        </is>
      </c>
    </row>
    <row r="11">
      <c r="B11" s="30" t="n">
        <v>46032</v>
      </c>
      <c r="C11" s="30" t="n">
        <v>46078</v>
      </c>
      <c r="E11" s="19" t="inlineStr">
        <is>
          <t>Kasus Contoh:</t>
        </is>
      </c>
      <c r="F11" s="20" t="inlineStr">
        <is>
          <t>Hitung jumlah hari kerja efektif dari Tanggal Awal B11 sampai C11 memakai NETWORKDAYS!</t>
        </is>
      </c>
    </row>
    <row r="12">
      <c r="B12" s="30" t="n">
        <v>46054</v>
      </c>
      <c r="C12" s="30" t="n">
        <v>46096</v>
      </c>
      <c r="E12" s="19" t="inlineStr">
        <is>
          <t>Rumus yang Diketik:</t>
        </is>
      </c>
      <c r="F12" s="21" t="inlineStr">
        <is>
          <t>'=NETWORKDAYS(B11, C11)</t>
        </is>
      </c>
    </row>
    <row r="13">
      <c r="B13" s="30" t="n">
        <v>46113</v>
      </c>
      <c r="C13" s="30" t="n">
        <v>46162</v>
      </c>
      <c r="E13" s="19" t="inlineStr">
        <is>
          <t>Hasil Otomatis Excel:</t>
        </is>
      </c>
      <c r="F13" s="22">
        <f>NETWORKDAYS(B11, C11)</f>
        <v/>
      </c>
    </row>
    <row r="14">
      <c r="B14" s="30" t="n">
        <v>46174</v>
      </c>
      <c r="C14" s="30" t="n">
        <v>46244</v>
      </c>
    </row>
    <row r="16" ht="26" customHeight="1">
      <c r="B16" s="23" t="inlineStr">
        <is>
          <t>3️⃣ 5 PERSOALAN DUNIA NYATA (KETIK RUMUS NETWORKDAYS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Tanggal Awal (B)</t>
        </is>
      </c>
      <c r="C19" s="12" t="inlineStr">
        <is>
          <t>Tanggal Akhir (C)</t>
        </is>
      </c>
      <c r="E19" s="25" t="inlineStr">
        <is>
          <t>Persoalan #1: Hitung jumlah hari kerja efektif dari Tanggal Awal B20 sampai C20 memakai NETWORKDAYS!</t>
        </is>
      </c>
    </row>
    <row r="20">
      <c r="B20" s="30" t="n">
        <v>46032</v>
      </c>
      <c r="C20" s="30" t="n">
        <v>46078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30" t="n">
        <v>46054</v>
      </c>
      <c r="C21" s="30" t="n">
        <v>46096</v>
      </c>
      <c r="E21" s="26" t="n"/>
      <c r="F21" s="27">
        <f>IF(ISBLANK(E21), "⏳ Ketik rumus di sel kuning E21", IF(E21=G21, "✅ BENAR! LUAR BIASA!", "❌ Belum Tepat, Cek Kunci"))</f>
        <v/>
      </c>
      <c r="G21" s="28">
        <f>NETWORKDAYS(B20, C20)</f>
        <v/>
      </c>
      <c r="H21" s="29" t="inlineStr">
        <is>
          <t>Ketik: =NETWORKDAYS(B20, C20)</t>
        </is>
      </c>
    </row>
    <row r="22">
      <c r="B22" s="30" t="n">
        <v>46113</v>
      </c>
      <c r="C22" s="30" t="n">
        <v>46162</v>
      </c>
    </row>
    <row r="23">
      <c r="B23" s="30" t="n">
        <v>46174</v>
      </c>
      <c r="C23" s="30" t="n">
        <v>46244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Tanggal Awal (B)</t>
        </is>
      </c>
      <c r="C27" s="12" t="inlineStr">
        <is>
          <t>Tanggal Akhir (C)</t>
        </is>
      </c>
      <c r="E27" s="25" t="inlineStr">
        <is>
          <t>Persoalan #2: Hitung jumlah hari kerja efektif dari Tanggal Awal B28 sampai C28 memakai NETWORKDAYS!</t>
        </is>
      </c>
    </row>
    <row r="28">
      <c r="B28" s="30" t="n">
        <v>46032</v>
      </c>
      <c r="C28" s="30" t="n">
        <v>46106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30" t="n">
        <v>46054</v>
      </c>
      <c r="C29" s="30" t="n">
        <v>46096</v>
      </c>
      <c r="E29" s="26" t="n"/>
      <c r="F29" s="27">
        <f>IF(ISBLANK(E29), "⏳ Ketik rumus di sel kuning E29", IF(E29=G29, "✅ BENAR! LUAR BIASA!", "❌ Belum Tepat, Cek Kunci"))</f>
        <v/>
      </c>
      <c r="G29" s="28">
        <f>NETWORKDAYS(B28, C28)</f>
        <v/>
      </c>
      <c r="H29" s="29" t="inlineStr">
        <is>
          <t>Ketik: =NETWORKDAYS(B28, C28)</t>
        </is>
      </c>
    </row>
    <row r="30">
      <c r="B30" s="30" t="n">
        <v>46113</v>
      </c>
      <c r="C30" s="30" t="n">
        <v>46162</v>
      </c>
    </row>
    <row r="31">
      <c r="B31" s="30" t="n">
        <v>46174</v>
      </c>
      <c r="C31" s="30" t="n">
        <v>46244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Tanggal Awal (B)</t>
        </is>
      </c>
      <c r="C35" s="12" t="inlineStr">
        <is>
          <t>Tanggal Akhir (C)</t>
        </is>
      </c>
      <c r="E35" s="25" t="inlineStr">
        <is>
          <t>Persoalan #3: Hitung jumlah hari kerja efektif dari Tanggal Awal B36 sampai C36 memakai NETWORKDAYS!</t>
        </is>
      </c>
    </row>
    <row r="36">
      <c r="B36" s="30" t="n">
        <v>46032</v>
      </c>
      <c r="C36" s="30" t="n">
        <v>46137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30" t="n">
        <v>46054</v>
      </c>
      <c r="C37" s="30" t="n">
        <v>46096</v>
      </c>
      <c r="E37" s="26" t="n"/>
      <c r="F37" s="27">
        <f>IF(ISBLANK(E37), "⏳ Ketik rumus di sel kuning E37", IF(E37=G37, "✅ BENAR! LUAR BIASA!", "❌ Belum Tepat, Cek Kunci"))</f>
        <v/>
      </c>
      <c r="G37" s="28">
        <f>NETWORKDAYS(B36, C36)</f>
        <v/>
      </c>
      <c r="H37" s="29" t="inlineStr">
        <is>
          <t>Ketik: =NETWORKDAYS(B36, C36)</t>
        </is>
      </c>
    </row>
    <row r="38">
      <c r="B38" s="30" t="n">
        <v>46113</v>
      </c>
      <c r="C38" s="30" t="n">
        <v>46162</v>
      </c>
    </row>
    <row r="39">
      <c r="B39" s="30" t="n">
        <v>46174</v>
      </c>
      <c r="C39" s="30" t="n">
        <v>46244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Tanggal Awal (B)</t>
        </is>
      </c>
      <c r="C43" s="12" t="inlineStr">
        <is>
          <t>Tanggal Akhir (C)</t>
        </is>
      </c>
      <c r="E43" s="25" t="inlineStr">
        <is>
          <t>Persoalan #4: Hitung jumlah hari kerja efektif dari Tanggal Awal B44 sampai C44 memakai NETWORKDAYS!</t>
        </is>
      </c>
    </row>
    <row r="44">
      <c r="B44" s="30" t="n">
        <v>46032</v>
      </c>
      <c r="C44" s="30" t="n">
        <v>46167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30" t="n">
        <v>46054</v>
      </c>
      <c r="C45" s="30" t="n">
        <v>46096</v>
      </c>
      <c r="E45" s="26" t="n"/>
      <c r="F45" s="27">
        <f>IF(ISBLANK(E45), "⏳ Ketik rumus di sel kuning E45", IF(E45=G45, "✅ BENAR! LUAR BIASA!", "❌ Belum Tepat, Cek Kunci"))</f>
        <v/>
      </c>
      <c r="G45" s="28">
        <f>NETWORKDAYS(B44, C44)</f>
        <v/>
      </c>
      <c r="H45" s="29" t="inlineStr">
        <is>
          <t>Ketik: =NETWORKDAYS(B44, C44)</t>
        </is>
      </c>
    </row>
    <row r="46">
      <c r="B46" s="30" t="n">
        <v>46113</v>
      </c>
      <c r="C46" s="30" t="n">
        <v>46162</v>
      </c>
    </row>
    <row r="47">
      <c r="B47" s="30" t="n">
        <v>46174</v>
      </c>
      <c r="C47" s="30" t="n">
        <v>46244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Tanggal Awal (B)</t>
        </is>
      </c>
      <c r="C51" s="12" t="inlineStr">
        <is>
          <t>Tanggal Akhir (C)</t>
        </is>
      </c>
      <c r="E51" s="25" t="inlineStr">
        <is>
          <t>Persoalan #5: Hitung jumlah hari kerja efektif dari Tanggal Awal B52 sampai C52 memakai NETWORKDAYS!</t>
        </is>
      </c>
    </row>
    <row r="52">
      <c r="B52" s="30" t="n">
        <v>46032</v>
      </c>
      <c r="C52" s="30" t="n">
        <v>46198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30" t="n">
        <v>46054</v>
      </c>
      <c r="C53" s="30" t="n">
        <v>46096</v>
      </c>
      <c r="E53" s="26" t="n"/>
      <c r="F53" s="27">
        <f>IF(ISBLANK(E53), "⏳ Ketik rumus di sel kuning E53", IF(E53=G53, "✅ BENAR! LUAR BIASA!", "❌ Belum Tepat, Cek Kunci"))</f>
        <v/>
      </c>
      <c r="G53" s="28">
        <f>NETWORKDAYS(B52, C52)</f>
        <v/>
      </c>
      <c r="H53" s="29" t="inlineStr">
        <is>
          <t>Ketik: =NETWORKDAYS(B52, C52)</t>
        </is>
      </c>
    </row>
    <row r="54">
      <c r="B54" s="30" t="n">
        <v>46113</v>
      </c>
      <c r="C54" s="30" t="n">
        <v>46162</v>
      </c>
    </row>
    <row r="55">
      <c r="B55" s="30" t="n">
        <v>46174</v>
      </c>
      <c r="C55" s="30" t="n">
        <v>46244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#078 — RUMUS EXCEL: WORKDAY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(WORKDAY)</t>
        </is>
      </c>
    </row>
    <row r="5" ht="21" customHeight="1">
      <c r="B5" s="12" t="inlineStr">
        <is>
          <t>Nama Rumus Excel</t>
        </is>
      </c>
      <c r="C5" s="13">
        <f>WORKDAY(...)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WORKDAY(tgl_awal, jumlah_hari_kerja)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Menentukan tanggal selesai proyek jika dikerjakan selama N hari kerja (otomatis melompati Sabtu-Minggu).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WORKDAY)</t>
        </is>
      </c>
    </row>
    <row r="10">
      <c r="B10" s="16" t="inlineStr">
        <is>
          <t>Kontrak Proyek</t>
        </is>
      </c>
      <c r="C10" s="16" t="inlineStr">
        <is>
          <t>Tanggal Mulai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Gunakan rumus WORKDAY dari tanggal awal di C11 dengan penambahan 3 periode!</t>
        </is>
      </c>
    </row>
    <row r="12">
      <c r="B12" s="18" t="inlineStr">
        <is>
          <t>Cabang Bandung</t>
        </is>
      </c>
      <c r="C12" s="30" t="n">
        <v>46091</v>
      </c>
      <c r="E12" s="19" t="inlineStr">
        <is>
          <t>Rumus yang Diketik:</t>
        </is>
      </c>
      <c r="F12" s="21" t="inlineStr">
        <is>
          <t>'=WORKDAY(C11, 3)</t>
        </is>
      </c>
    </row>
    <row r="13">
      <c r="B13" s="18" t="inlineStr">
        <is>
          <t>Cabang Surabaya</t>
        </is>
      </c>
      <c r="C13" s="30" t="n">
        <v>46162</v>
      </c>
      <c r="E13" s="19" t="inlineStr">
        <is>
          <t>Hasil Otomatis Excel:</t>
        </is>
      </c>
      <c r="F13" s="22">
        <f>WORKDAY(C11, 3)</f>
        <v/>
      </c>
    </row>
    <row r="14">
      <c r="B14" s="18" t="inlineStr">
        <is>
          <t>Cabang Medan</t>
        </is>
      </c>
      <c r="C14" s="30" t="n">
        <v>46208</v>
      </c>
    </row>
    <row r="16" ht="26" customHeight="1">
      <c r="B16" s="23" t="inlineStr">
        <is>
          <t>3️⃣ 5 PERSOALAN DUNIA NYATA (KETIK RUMUS WORKDAY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Kontrak Proyek</t>
        </is>
      </c>
      <c r="C19" s="12" t="inlineStr">
        <is>
          <t>Tanggal Mulai</t>
        </is>
      </c>
      <c r="E19" s="25" t="inlineStr">
        <is>
          <t>Persoalan #1: Gunakan rumus WORKDAY dari tanggal awal di C20 dengan penambahan 3 periode!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46091</v>
      </c>
      <c r="E21" s="26" t="n"/>
      <c r="F21" s="27">
        <f>IF(ISBLANK(E21), "⏳ Ketik rumus di sel kuning E21", IF(E21=G21, "✅ BENAR! LUAR BIASA!", "❌ Belum Tepat, Cek Kunci"))</f>
        <v/>
      </c>
      <c r="G21" s="28">
        <f>WORKDAY(C20, 3)</f>
        <v/>
      </c>
      <c r="H21" s="29" t="inlineStr">
        <is>
          <t>Ketik: =WORKDAY(C20, 3)</t>
        </is>
      </c>
    </row>
    <row r="22">
      <c r="B22" s="18" t="inlineStr">
        <is>
          <t>Cabang Surabaya</t>
        </is>
      </c>
      <c r="C22" s="30" t="n">
        <v>46162</v>
      </c>
    </row>
    <row r="23">
      <c r="B23" s="18" t="inlineStr">
        <is>
          <t>Cabang Medan</t>
        </is>
      </c>
      <c r="C23" s="30" t="n">
        <v>46208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Kontrak Proyek</t>
        </is>
      </c>
      <c r="C27" s="12" t="inlineStr">
        <is>
          <t>Tanggal Mulai</t>
        </is>
      </c>
      <c r="E27" s="25" t="inlineStr">
        <is>
          <t>Persoalan #2: Gunakan rumus WORKDAY dari tanggal awal di C28 dengan penambahan 4 periode!</t>
        </is>
      </c>
    </row>
    <row r="28">
      <c r="B28" s="18" t="inlineStr">
        <is>
          <t>Budi Santoso</t>
        </is>
      </c>
      <c r="C28" s="30" t="n">
        <v>46037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46091</v>
      </c>
      <c r="E29" s="26" t="n"/>
      <c r="F29" s="27">
        <f>IF(ISBLANK(E29), "⏳ Ketik rumus di sel kuning E29", IF(E29=G29, "✅ BENAR! LUAR BIASA!", "❌ Belum Tepat, Cek Kunci"))</f>
        <v/>
      </c>
      <c r="G29" s="28">
        <f>WORKDAY(C28, 4)</f>
        <v/>
      </c>
      <c r="H29" s="29" t="inlineStr">
        <is>
          <t>Ketik: =WORKDAY(C28, 4)</t>
        </is>
      </c>
    </row>
    <row r="30">
      <c r="B30" s="18" t="inlineStr">
        <is>
          <t>Andi Pratama</t>
        </is>
      </c>
      <c r="C30" s="30" t="n">
        <v>46162</v>
      </c>
    </row>
    <row r="31">
      <c r="B31" s="18" t="inlineStr">
        <is>
          <t>Rina Wijaya</t>
        </is>
      </c>
      <c r="C31" s="30" t="n">
        <v>46208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Kontrak Proyek</t>
        </is>
      </c>
      <c r="C35" s="12" t="inlineStr">
        <is>
          <t>Tanggal Mulai</t>
        </is>
      </c>
      <c r="E35" s="25" t="inlineStr">
        <is>
          <t>Persoalan #3: Gunakan rumus WORKDAY dari tanggal awal di C36 dengan penambahan 5 periode!</t>
        </is>
      </c>
    </row>
    <row r="36">
      <c r="B36" s="18" t="inlineStr">
        <is>
          <t>Gudang Blok A</t>
        </is>
      </c>
      <c r="C36" s="30" t="n">
        <v>46037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46091</v>
      </c>
      <c r="E37" s="26" t="n"/>
      <c r="F37" s="27">
        <f>IF(ISBLANK(E37), "⏳ Ketik rumus di sel kuning E37", IF(E37=G37, "✅ BENAR! LUAR BIASA!", "❌ Belum Tepat, Cek Kunci"))</f>
        <v/>
      </c>
      <c r="G37" s="28">
        <f>WORKDAY(C36, 5)</f>
        <v/>
      </c>
      <c r="H37" s="29" t="inlineStr">
        <is>
          <t>Ketik: =WORKDAY(C36, 5)</t>
        </is>
      </c>
    </row>
    <row r="38">
      <c r="B38" s="18" t="inlineStr">
        <is>
          <t>Gudang Blok C</t>
        </is>
      </c>
      <c r="C38" s="30" t="n">
        <v>46162</v>
      </c>
    </row>
    <row r="39">
      <c r="B39" s="18" t="inlineStr">
        <is>
          <t>Gudang Blok D</t>
        </is>
      </c>
      <c r="C39" s="30" t="n">
        <v>46208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Kontrak Proyek</t>
        </is>
      </c>
      <c r="C43" s="12" t="inlineStr">
        <is>
          <t>Tanggal Mulai</t>
        </is>
      </c>
      <c r="E43" s="25" t="inlineStr">
        <is>
          <t>Persoalan #4: Gunakan rumus WORKDAY dari tanggal awal di C44 dengan penambahan 6 periode!</t>
        </is>
      </c>
    </row>
    <row r="44">
      <c r="B44" s="18" t="inlineStr">
        <is>
          <t>Toko Elektronik</t>
        </is>
      </c>
      <c r="C44" s="30" t="n">
        <v>46037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46091</v>
      </c>
      <c r="E45" s="26" t="n"/>
      <c r="F45" s="27">
        <f>IF(ISBLANK(E45), "⏳ Ketik rumus di sel kuning E45", IF(E45=G45, "✅ BENAR! LUAR BIASA!", "❌ Belum Tepat, Cek Kunci"))</f>
        <v/>
      </c>
      <c r="G45" s="28">
        <f>WORKDAY(C44, 6)</f>
        <v/>
      </c>
      <c r="H45" s="29" t="inlineStr">
        <is>
          <t>Ketik: =WORKDAY(C44, 6)</t>
        </is>
      </c>
    </row>
    <row r="46">
      <c r="B46" s="18" t="inlineStr">
        <is>
          <t>Toko Aksesoris</t>
        </is>
      </c>
      <c r="C46" s="30" t="n">
        <v>46162</v>
      </c>
    </row>
    <row r="47">
      <c r="B47" s="18" t="inlineStr">
        <is>
          <t>Toko Servis</t>
        </is>
      </c>
      <c r="C47" s="30" t="n">
        <v>46208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Kontrak Proyek</t>
        </is>
      </c>
      <c r="C51" s="12" t="inlineStr">
        <is>
          <t>Tanggal Mulai</t>
        </is>
      </c>
      <c r="E51" s="25" t="inlineStr">
        <is>
          <t>Persoalan #5: Gunakan rumus WORKDAY dari tanggal awal di C52 dengan penambahan 7 periode!</t>
        </is>
      </c>
    </row>
    <row r="52">
      <c r="B52" s="18" t="inlineStr">
        <is>
          <t>Kelas 10 IPA</t>
        </is>
      </c>
      <c r="C52" s="30" t="n">
        <v>46037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46091</v>
      </c>
      <c r="E53" s="26" t="n"/>
      <c r="F53" s="27">
        <f>IF(ISBLANK(E53), "⏳ Ketik rumus di sel kuning E53", IF(E53=G53, "✅ BENAR! LUAR BIASA!", "❌ Belum Tepat, Cek Kunci"))</f>
        <v/>
      </c>
      <c r="G53" s="28">
        <f>WORKDAY(C52, 7)</f>
        <v/>
      </c>
      <c r="H53" s="29" t="inlineStr">
        <is>
          <t>Ketik: =WORKDAY(C52, 7)</t>
        </is>
      </c>
    </row>
    <row r="54">
      <c r="B54" s="18" t="inlineStr">
        <is>
          <t>Kelas 12 IPA</t>
        </is>
      </c>
      <c r="C54" s="30" t="n">
        <v>46162</v>
      </c>
    </row>
    <row r="55">
      <c r="B55" s="18" t="inlineStr">
        <is>
          <t>Kelas Unggulan</t>
        </is>
      </c>
      <c r="C55" s="30" t="n">
        <v>46208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#079 — RUMUS EXCEL: WEEKDAY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(WEEKDAY)</t>
        </is>
      </c>
    </row>
    <row r="5" ht="21" customHeight="1">
      <c r="B5" s="12" t="inlineStr">
        <is>
          <t>Nama Rumus Excel</t>
        </is>
      </c>
      <c r="C5" s="13">
        <f>WEEKDAY(...)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WEEKDAY(tanggal)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hari ke berapa dalam seminggu (1=Minggu s/d 7=Sabtu) untuk menentukan tarif lembur akhir pekan.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WEEKDAY)</t>
        </is>
      </c>
    </row>
    <row r="10">
      <c r="B10" s="16" t="inlineStr">
        <is>
          <t>Agenda Kantor</t>
        </is>
      </c>
      <c r="C10" s="16" t="inlineStr">
        <is>
          <t>Tanggal Kegiatan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Ekstrak komponen WEEKDAY dari tanggal di sel C11 menggunakan rumus WEEKDAY!</t>
        </is>
      </c>
    </row>
    <row r="12">
      <c r="B12" s="18" t="inlineStr">
        <is>
          <t>Cabang Bandung</t>
        </is>
      </c>
      <c r="C12" s="30" t="n">
        <v>46193</v>
      </c>
      <c r="E12" s="19" t="inlineStr">
        <is>
          <t>Rumus yang Diketik:</t>
        </is>
      </c>
      <c r="F12" s="21" t="inlineStr">
        <is>
          <t>'=WEEKDAY(C11)</t>
        </is>
      </c>
    </row>
    <row r="13">
      <c r="B13" s="18" t="inlineStr">
        <is>
          <t>Cabang Surabaya</t>
        </is>
      </c>
      <c r="C13" s="30" t="n">
        <v>46251</v>
      </c>
      <c r="E13" s="19" t="inlineStr">
        <is>
          <t>Hasil Otomatis Excel:</t>
        </is>
      </c>
      <c r="F13" s="22">
        <f>WEEKDAY(C11)</f>
        <v/>
      </c>
    </row>
    <row r="14">
      <c r="B14" s="18" t="inlineStr">
        <is>
          <t>Cabang Medan</t>
        </is>
      </c>
      <c r="C14" s="30" t="n">
        <v>46381</v>
      </c>
    </row>
    <row r="16" ht="26" customHeight="1">
      <c r="B16" s="23" t="inlineStr">
        <is>
          <t>3️⃣ 5 PERSOALAN DUNIA NYATA (KETIK RUMUS WEEKDAY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Agenda Kantor</t>
        </is>
      </c>
      <c r="C19" s="12" t="inlineStr">
        <is>
          <t>Tanggal Kegiatan</t>
        </is>
      </c>
      <c r="E19" s="25" t="inlineStr">
        <is>
          <t>Persoalan #1: Ekstrak komponen WEEKDAY dari tanggal di sel C20 menggunakan rumus WEEKDAY!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46193</v>
      </c>
      <c r="E21" s="26" t="n"/>
      <c r="F21" s="27">
        <f>IF(ISBLANK(E21), "⏳ Ketik rumus di sel kuning E21", IF(E21=G21, "✅ BENAR! LUAR BIASA!", "❌ Belum Tepat, Cek Kunci"))</f>
        <v/>
      </c>
      <c r="G21" s="28">
        <f>WEEKDAY(C20)</f>
        <v/>
      </c>
      <c r="H21" s="29" t="inlineStr">
        <is>
          <t>Ketik: =WEEKDAY(C20)</t>
        </is>
      </c>
    </row>
    <row r="22">
      <c r="B22" s="18" t="inlineStr">
        <is>
          <t>Cabang Surabaya</t>
        </is>
      </c>
      <c r="C22" s="30" t="n">
        <v>46251</v>
      </c>
    </row>
    <row r="23">
      <c r="B23" s="18" t="inlineStr">
        <is>
          <t>Cabang Medan</t>
        </is>
      </c>
      <c r="C23" s="30" t="n">
        <v>46381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Agenda Kantor</t>
        </is>
      </c>
      <c r="C27" s="12" t="inlineStr">
        <is>
          <t>Tanggal Kegiatan</t>
        </is>
      </c>
      <c r="E27" s="25" t="inlineStr">
        <is>
          <t>Persoalan #2: Ekstrak komponen WEEKDAY dari tanggal di sel C28 menggunakan rumus WEEKDAY!</t>
        </is>
      </c>
    </row>
    <row r="28">
      <c r="B28" s="18" t="inlineStr">
        <is>
          <t>Budi Santoso</t>
        </is>
      </c>
      <c r="C28" s="30" t="n">
        <v>46068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46193</v>
      </c>
      <c r="E29" s="26" t="n"/>
      <c r="F29" s="27">
        <f>IF(ISBLANK(E29), "⏳ Ketik rumus di sel kuning E29", IF(E29=G29, "✅ BENAR! LUAR BIASA!", "❌ Belum Tepat, Cek Kunci"))</f>
        <v/>
      </c>
      <c r="G29" s="28">
        <f>WEEKDAY(C28)</f>
        <v/>
      </c>
      <c r="H29" s="29" t="inlineStr">
        <is>
          <t>Ketik: =WEEKDAY(C28)</t>
        </is>
      </c>
    </row>
    <row r="30">
      <c r="B30" s="18" t="inlineStr">
        <is>
          <t>Andi Pratama</t>
        </is>
      </c>
      <c r="C30" s="30" t="n">
        <v>46251</v>
      </c>
    </row>
    <row r="31">
      <c r="B31" s="18" t="inlineStr">
        <is>
          <t>Rina Wijaya</t>
        </is>
      </c>
      <c r="C31" s="30" t="n">
        <v>46381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Agenda Kantor</t>
        </is>
      </c>
      <c r="C35" s="12" t="inlineStr">
        <is>
          <t>Tanggal Kegiatan</t>
        </is>
      </c>
      <c r="E35" s="25" t="inlineStr">
        <is>
          <t>Persoalan #3: Ekstrak komponen WEEKDAY dari tanggal di sel C36 menggunakan rumus WEEKDAY!</t>
        </is>
      </c>
    </row>
    <row r="36">
      <c r="B36" s="18" t="inlineStr">
        <is>
          <t>Gudang Blok A</t>
        </is>
      </c>
      <c r="C36" s="30" t="n">
        <v>46096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46193</v>
      </c>
      <c r="E37" s="26" t="n"/>
      <c r="F37" s="27">
        <f>IF(ISBLANK(E37), "⏳ Ketik rumus di sel kuning E37", IF(E37=G37, "✅ BENAR! LUAR BIASA!", "❌ Belum Tepat, Cek Kunci"))</f>
        <v/>
      </c>
      <c r="G37" s="28">
        <f>WEEKDAY(C36)</f>
        <v/>
      </c>
      <c r="H37" s="29" t="inlineStr">
        <is>
          <t>Ketik: =WEEKDAY(C36)</t>
        </is>
      </c>
    </row>
    <row r="38">
      <c r="B38" s="18" t="inlineStr">
        <is>
          <t>Gudang Blok C</t>
        </is>
      </c>
      <c r="C38" s="30" t="n">
        <v>46251</v>
      </c>
    </row>
    <row r="39">
      <c r="B39" s="18" t="inlineStr">
        <is>
          <t>Gudang Blok D</t>
        </is>
      </c>
      <c r="C39" s="30" t="n">
        <v>46381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Agenda Kantor</t>
        </is>
      </c>
      <c r="C43" s="12" t="inlineStr">
        <is>
          <t>Tanggal Kegiatan</t>
        </is>
      </c>
      <c r="E43" s="25" t="inlineStr">
        <is>
          <t>Persoalan #4: Ekstrak komponen WEEKDAY dari tanggal di sel C44 menggunakan rumus WEEKDAY!</t>
        </is>
      </c>
    </row>
    <row r="44">
      <c r="B44" s="18" t="inlineStr">
        <is>
          <t>Toko Elektronik</t>
        </is>
      </c>
      <c r="C44" s="30" t="n">
        <v>46127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46193</v>
      </c>
      <c r="E45" s="26" t="n"/>
      <c r="F45" s="27">
        <f>IF(ISBLANK(E45), "⏳ Ketik rumus di sel kuning E45", IF(E45=G45, "✅ BENAR! LUAR BIASA!", "❌ Belum Tepat, Cek Kunci"))</f>
        <v/>
      </c>
      <c r="G45" s="28">
        <f>WEEKDAY(C44)</f>
        <v/>
      </c>
      <c r="H45" s="29" t="inlineStr">
        <is>
          <t>Ketik: =WEEKDAY(C44)</t>
        </is>
      </c>
    </row>
    <row r="46">
      <c r="B46" s="18" t="inlineStr">
        <is>
          <t>Toko Aksesoris</t>
        </is>
      </c>
      <c r="C46" s="30" t="n">
        <v>46251</v>
      </c>
    </row>
    <row r="47">
      <c r="B47" s="18" t="inlineStr">
        <is>
          <t>Toko Servis</t>
        </is>
      </c>
      <c r="C47" s="30" t="n">
        <v>46381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Agenda Kantor</t>
        </is>
      </c>
      <c r="C51" s="12" t="inlineStr">
        <is>
          <t>Tanggal Kegiatan</t>
        </is>
      </c>
      <c r="E51" s="25" t="inlineStr">
        <is>
          <t>Persoalan #5: Ekstrak komponen WEEKDAY dari tanggal di sel C52 menggunakan rumus WEEKDAY!</t>
        </is>
      </c>
    </row>
    <row r="52">
      <c r="B52" s="18" t="inlineStr">
        <is>
          <t>Kelas 10 IPA</t>
        </is>
      </c>
      <c r="C52" s="30" t="n">
        <v>46157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46193</v>
      </c>
      <c r="E53" s="26" t="n"/>
      <c r="F53" s="27">
        <f>IF(ISBLANK(E53), "⏳ Ketik rumus di sel kuning E53", IF(E53=G53, "✅ BENAR! LUAR BIASA!", "❌ Belum Tepat, Cek Kunci"))</f>
        <v/>
      </c>
      <c r="G53" s="28">
        <f>WEEKDAY(C52)</f>
        <v/>
      </c>
      <c r="H53" s="29" t="inlineStr">
        <is>
          <t>Ketik: =WEEKDAY(C52)</t>
        </is>
      </c>
    </row>
    <row r="54">
      <c r="B54" s="18" t="inlineStr">
        <is>
          <t>Kelas 12 IPA</t>
        </is>
      </c>
      <c r="C54" s="30" t="n">
        <v>46251</v>
      </c>
    </row>
    <row r="55">
      <c r="B55" s="18" t="inlineStr">
        <is>
          <t>Kelas Unggulan</t>
        </is>
      </c>
      <c r="C55" s="30" t="n">
        <v>46381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#080 — RUMUS EXCEL: WEEKNUM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(WEEKNUM)</t>
        </is>
      </c>
    </row>
    <row r="5" ht="21" customHeight="1">
      <c r="B5" s="12" t="inlineStr">
        <is>
          <t>Nama Rumus Excel</t>
        </is>
      </c>
      <c r="C5" s="13">
        <f>WEEKNUM(...)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WEEKNUM(tanggal)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tanggal tersebut jatuh pada minggu ke berapa dalam 1 tahun (Minggu ke-1 s/d ke-52).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WEEKNUM)</t>
        </is>
      </c>
    </row>
    <row r="10">
      <c r="B10" s="16" t="inlineStr">
        <is>
          <t>Agenda Kantor</t>
        </is>
      </c>
      <c r="C10" s="16" t="inlineStr">
        <is>
          <t>Tanggal Kegiatan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0" t="n">
        <v>46037</v>
      </c>
      <c r="E11" s="19" t="inlineStr">
        <is>
          <t>Kasus Contoh:</t>
        </is>
      </c>
      <c r="F11" s="20" t="inlineStr">
        <is>
          <t>Ekstrak komponen WEEKNUM dari tanggal di sel C11 menggunakan rumus WEEKNUM!</t>
        </is>
      </c>
    </row>
    <row r="12">
      <c r="B12" s="18" t="inlineStr">
        <is>
          <t>Cabang Bandung</t>
        </is>
      </c>
      <c r="C12" s="30" t="n">
        <v>46193</v>
      </c>
      <c r="E12" s="19" t="inlineStr">
        <is>
          <t>Rumus yang Diketik:</t>
        </is>
      </c>
      <c r="F12" s="21" t="inlineStr">
        <is>
          <t>'=WEEKNUM(C11)</t>
        </is>
      </c>
    </row>
    <row r="13">
      <c r="B13" s="18" t="inlineStr">
        <is>
          <t>Cabang Surabaya</t>
        </is>
      </c>
      <c r="C13" s="30" t="n">
        <v>46251</v>
      </c>
      <c r="E13" s="19" t="inlineStr">
        <is>
          <t>Hasil Otomatis Excel:</t>
        </is>
      </c>
      <c r="F13" s="22">
        <f>WEEKNUM(C11)</f>
        <v/>
      </c>
    </row>
    <row r="14">
      <c r="B14" s="18" t="inlineStr">
        <is>
          <t>Cabang Medan</t>
        </is>
      </c>
      <c r="C14" s="30" t="n">
        <v>46381</v>
      </c>
    </row>
    <row r="16" ht="26" customHeight="1">
      <c r="B16" s="23" t="inlineStr">
        <is>
          <t>3️⃣ 5 PERSOALAN DUNIA NYATA (KETIK RUMUS WEEKNUM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Agenda Kantor</t>
        </is>
      </c>
      <c r="C19" s="12" t="inlineStr">
        <is>
          <t>Tanggal Kegiatan</t>
        </is>
      </c>
      <c r="E19" s="25" t="inlineStr">
        <is>
          <t>Persoalan #1: Ekstrak komponen WEEKNUM dari tanggal di sel C20 menggunakan rumus WEEKNUM!</t>
        </is>
      </c>
    </row>
    <row r="20">
      <c r="B20" s="18" t="inlineStr">
        <is>
          <t>Cabang Jakarta</t>
        </is>
      </c>
      <c r="C20" s="30" t="n">
        <v>46037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0" t="n">
        <v>46193</v>
      </c>
      <c r="E21" s="26" t="n"/>
      <c r="F21" s="27">
        <f>IF(ISBLANK(E21), "⏳ Ketik rumus di sel kuning E21", IF(E21=G21, "✅ BENAR! LUAR BIASA!", "❌ Belum Tepat, Cek Kunci"))</f>
        <v/>
      </c>
      <c r="G21" s="28">
        <f>WEEKNUM(C20)</f>
        <v/>
      </c>
      <c r="H21" s="29" t="inlineStr">
        <is>
          <t>Ketik: =WEEKNUM(C20)</t>
        </is>
      </c>
    </row>
    <row r="22">
      <c r="B22" s="18" t="inlineStr">
        <is>
          <t>Cabang Surabaya</t>
        </is>
      </c>
      <c r="C22" s="30" t="n">
        <v>46251</v>
      </c>
    </row>
    <row r="23">
      <c r="B23" s="18" t="inlineStr">
        <is>
          <t>Cabang Medan</t>
        </is>
      </c>
      <c r="C23" s="30" t="n">
        <v>46381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Agenda Kantor</t>
        </is>
      </c>
      <c r="C27" s="12" t="inlineStr">
        <is>
          <t>Tanggal Kegiatan</t>
        </is>
      </c>
      <c r="E27" s="25" t="inlineStr">
        <is>
          <t>Persoalan #2: Ekstrak komponen WEEKNUM dari tanggal di sel C28 menggunakan rumus WEEKNUM!</t>
        </is>
      </c>
    </row>
    <row r="28">
      <c r="B28" s="18" t="inlineStr">
        <is>
          <t>Budi Santoso</t>
        </is>
      </c>
      <c r="C28" s="30" t="n">
        <v>46068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0" t="n">
        <v>46193</v>
      </c>
      <c r="E29" s="26" t="n"/>
      <c r="F29" s="27">
        <f>IF(ISBLANK(E29), "⏳ Ketik rumus di sel kuning E29", IF(E29=G29, "✅ BENAR! LUAR BIASA!", "❌ Belum Tepat, Cek Kunci"))</f>
        <v/>
      </c>
      <c r="G29" s="28">
        <f>WEEKNUM(C28)</f>
        <v/>
      </c>
      <c r="H29" s="29" t="inlineStr">
        <is>
          <t>Ketik: =WEEKNUM(C28)</t>
        </is>
      </c>
    </row>
    <row r="30">
      <c r="B30" s="18" t="inlineStr">
        <is>
          <t>Andi Pratama</t>
        </is>
      </c>
      <c r="C30" s="30" t="n">
        <v>46251</v>
      </c>
    </row>
    <row r="31">
      <c r="B31" s="18" t="inlineStr">
        <is>
          <t>Rina Wijaya</t>
        </is>
      </c>
      <c r="C31" s="30" t="n">
        <v>46381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Agenda Kantor</t>
        </is>
      </c>
      <c r="C35" s="12" t="inlineStr">
        <is>
          <t>Tanggal Kegiatan</t>
        </is>
      </c>
      <c r="E35" s="25" t="inlineStr">
        <is>
          <t>Persoalan #3: Ekstrak komponen WEEKNUM dari tanggal di sel C36 menggunakan rumus WEEKNUM!</t>
        </is>
      </c>
    </row>
    <row r="36">
      <c r="B36" s="18" t="inlineStr">
        <is>
          <t>Gudang Blok A</t>
        </is>
      </c>
      <c r="C36" s="30" t="n">
        <v>46096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0" t="n">
        <v>46193</v>
      </c>
      <c r="E37" s="26" t="n"/>
      <c r="F37" s="27">
        <f>IF(ISBLANK(E37), "⏳ Ketik rumus di sel kuning E37", IF(E37=G37, "✅ BENAR! LUAR BIASA!", "❌ Belum Tepat, Cek Kunci"))</f>
        <v/>
      </c>
      <c r="G37" s="28">
        <f>WEEKNUM(C36)</f>
        <v/>
      </c>
      <c r="H37" s="29" t="inlineStr">
        <is>
          <t>Ketik: =WEEKNUM(C36)</t>
        </is>
      </c>
    </row>
    <row r="38">
      <c r="B38" s="18" t="inlineStr">
        <is>
          <t>Gudang Blok C</t>
        </is>
      </c>
      <c r="C38" s="30" t="n">
        <v>46251</v>
      </c>
    </row>
    <row r="39">
      <c r="B39" s="18" t="inlineStr">
        <is>
          <t>Gudang Blok D</t>
        </is>
      </c>
      <c r="C39" s="30" t="n">
        <v>46381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Agenda Kantor</t>
        </is>
      </c>
      <c r="C43" s="12" t="inlineStr">
        <is>
          <t>Tanggal Kegiatan</t>
        </is>
      </c>
      <c r="E43" s="25" t="inlineStr">
        <is>
          <t>Persoalan #4: Ekstrak komponen WEEKNUM dari tanggal di sel C44 menggunakan rumus WEEKNUM!</t>
        </is>
      </c>
    </row>
    <row r="44">
      <c r="B44" s="18" t="inlineStr">
        <is>
          <t>Toko Elektronik</t>
        </is>
      </c>
      <c r="C44" s="30" t="n">
        <v>46127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0" t="n">
        <v>46193</v>
      </c>
      <c r="E45" s="26" t="n"/>
      <c r="F45" s="27">
        <f>IF(ISBLANK(E45), "⏳ Ketik rumus di sel kuning E45", IF(E45=G45, "✅ BENAR! LUAR BIASA!", "❌ Belum Tepat, Cek Kunci"))</f>
        <v/>
      </c>
      <c r="G45" s="28">
        <f>WEEKNUM(C44)</f>
        <v/>
      </c>
      <c r="H45" s="29" t="inlineStr">
        <is>
          <t>Ketik: =WEEKNUM(C44)</t>
        </is>
      </c>
    </row>
    <row r="46">
      <c r="B46" s="18" t="inlineStr">
        <is>
          <t>Toko Aksesoris</t>
        </is>
      </c>
      <c r="C46" s="30" t="n">
        <v>46251</v>
      </c>
    </row>
    <row r="47">
      <c r="B47" s="18" t="inlineStr">
        <is>
          <t>Toko Servis</t>
        </is>
      </c>
      <c r="C47" s="30" t="n">
        <v>46381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Agenda Kantor</t>
        </is>
      </c>
      <c r="C51" s="12" t="inlineStr">
        <is>
          <t>Tanggal Kegiatan</t>
        </is>
      </c>
      <c r="E51" s="25" t="inlineStr">
        <is>
          <t>Persoalan #5: Ekstrak komponen WEEKNUM dari tanggal di sel C52 menggunakan rumus WEEKNUM!</t>
        </is>
      </c>
    </row>
    <row r="52">
      <c r="B52" s="18" t="inlineStr">
        <is>
          <t>Kelas 10 IPA</t>
        </is>
      </c>
      <c r="C52" s="30" t="n">
        <v>46157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0" t="n">
        <v>46193</v>
      </c>
      <c r="E53" s="26" t="n"/>
      <c r="F53" s="27">
        <f>IF(ISBLANK(E53), "⏳ Ketik rumus di sel kuning E53", IF(E53=G53, "✅ BENAR! LUAR BIASA!", "❌ Belum Tepat, Cek Kunci"))</f>
        <v/>
      </c>
      <c r="G53" s="28">
        <f>WEEKNUM(C52)</f>
        <v/>
      </c>
      <c r="H53" s="29" t="inlineStr">
        <is>
          <t>Ketik: =WEEKNUM(C52)</t>
        </is>
      </c>
    </row>
    <row r="54">
      <c r="B54" s="18" t="inlineStr">
        <is>
          <t>Kelas 12 IPA</t>
        </is>
      </c>
      <c r="C54" s="30" t="n">
        <v>46251</v>
      </c>
    </row>
    <row r="55">
      <c r="B55" s="18" t="inlineStr">
        <is>
          <t>Kelas Unggulan</t>
        </is>
      </c>
      <c r="C55" s="30" t="n">
        <v>46381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#081 — RUMUS EXCEL: HOUR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(HOUR)</t>
        </is>
      </c>
    </row>
    <row r="5" ht="21" customHeight="1">
      <c r="B5" s="12" t="inlineStr">
        <is>
          <t>Nama Rumus Excel</t>
        </is>
      </c>
      <c r="C5" s="13">
        <f>HOUR(...)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HOUR(waktu)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JAM (0–23) dari data waktu absensi finger-print.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HOUR)</t>
        </is>
      </c>
    </row>
    <row r="10">
      <c r="B10" s="16" t="inlineStr">
        <is>
          <t>Nama Pegawai</t>
        </is>
      </c>
      <c r="C10" s="16" t="inlineStr">
        <is>
          <t>Waktu Absensi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1" t="n">
        <v>0.3440972222222222</v>
      </c>
      <c r="E11" s="19" t="inlineStr">
        <is>
          <t>Kasus Contoh:</t>
        </is>
      </c>
      <c r="F11" s="20" t="inlineStr">
        <is>
          <t>Ambil nilai HOUR dari jam absensi di sel C11 menggunakan rumus HOUR!</t>
        </is>
      </c>
    </row>
    <row r="12">
      <c r="B12" s="18" t="inlineStr">
        <is>
          <t>Cabang Bandung</t>
        </is>
      </c>
      <c r="C12" s="31" t="n">
        <v>0.4063657407407407</v>
      </c>
      <c r="E12" s="19" t="inlineStr">
        <is>
          <t>Rumus yang Diketik:</t>
        </is>
      </c>
      <c r="F12" s="21" t="inlineStr">
        <is>
          <t>'=HOUR(C11)</t>
        </is>
      </c>
    </row>
    <row r="13">
      <c r="B13" s="18" t="inlineStr">
        <is>
          <t>Cabang Surabaya</t>
        </is>
      </c>
      <c r="C13" s="31" t="n">
        <v>0.5560763888888889</v>
      </c>
      <c r="E13" s="19" t="inlineStr">
        <is>
          <t>Hasil Otomatis Excel:</t>
        </is>
      </c>
      <c r="F13" s="22">
        <f>HOUR(C11)</f>
        <v/>
      </c>
    </row>
    <row r="14">
      <c r="B14" s="18" t="inlineStr">
        <is>
          <t>Cabang Medan</t>
        </is>
      </c>
      <c r="C14" s="31" t="n">
        <v>0.7118055555555556</v>
      </c>
    </row>
    <row r="16" ht="26" customHeight="1">
      <c r="B16" s="23" t="inlineStr">
        <is>
          <t>3️⃣ 5 PERSOALAN DUNIA NYATA (KETIK RUMUS HOUR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Pegawai</t>
        </is>
      </c>
      <c r="C19" s="12" t="inlineStr">
        <is>
          <t>Waktu Absensi</t>
        </is>
      </c>
      <c r="E19" s="25" t="inlineStr">
        <is>
          <t>Persoalan #1: Ambil nilai HOUR dari jam absensi di sel C20 menggunakan rumus HOUR!</t>
        </is>
      </c>
    </row>
    <row r="20">
      <c r="B20" s="18" t="inlineStr">
        <is>
          <t>Cabang Jakarta</t>
        </is>
      </c>
      <c r="C20" s="31" t="n">
        <v>0.3440972222222222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1" t="n">
        <v>0.4063657407407407</v>
      </c>
      <c r="E21" s="26" t="n"/>
      <c r="F21" s="27">
        <f>IF(ISBLANK(E21), "⏳ Ketik rumus di sel kuning E21", IF(E21=G21, "✅ BENAR! LUAR BIASA!", "❌ Belum Tepat, Cek Kunci"))</f>
        <v/>
      </c>
      <c r="G21" s="28">
        <f>HOUR(C20)</f>
        <v/>
      </c>
      <c r="H21" s="29" t="inlineStr">
        <is>
          <t>Ketik: =HOUR(C20)</t>
        </is>
      </c>
    </row>
    <row r="22">
      <c r="B22" s="18" t="inlineStr">
        <is>
          <t>Cabang Surabaya</t>
        </is>
      </c>
      <c r="C22" s="31" t="n">
        <v>0.5560763888888889</v>
      </c>
    </row>
    <row r="23">
      <c r="B23" s="18" t="inlineStr">
        <is>
          <t>Cabang Medan</t>
        </is>
      </c>
      <c r="C23" s="31" t="n">
        <v>0.7118055555555556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Pegawai</t>
        </is>
      </c>
      <c r="C27" s="12" t="inlineStr">
        <is>
          <t>Waktu Absensi</t>
        </is>
      </c>
      <c r="E27" s="25" t="inlineStr">
        <is>
          <t>Persoalan #2: Ambil nilai HOUR dari jam absensi di sel C28 menggunakan rumus HOUR!</t>
        </is>
      </c>
    </row>
    <row r="28">
      <c r="B28" s="18" t="inlineStr">
        <is>
          <t>Budi Santoso</t>
        </is>
      </c>
      <c r="C28" s="31" t="n">
        <v>0.3892361111111111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1" t="n">
        <v>0.4063657407407407</v>
      </c>
      <c r="E29" s="26" t="n"/>
      <c r="F29" s="27">
        <f>IF(ISBLANK(E29), "⏳ Ketik rumus di sel kuning E29", IF(E29=G29, "✅ BENAR! LUAR BIASA!", "❌ Belum Tepat, Cek Kunci"))</f>
        <v/>
      </c>
      <c r="G29" s="28">
        <f>HOUR(C28)</f>
        <v/>
      </c>
      <c r="H29" s="29" t="inlineStr">
        <is>
          <t>Ketik: =HOUR(C28)</t>
        </is>
      </c>
    </row>
    <row r="30">
      <c r="B30" s="18" t="inlineStr">
        <is>
          <t>Andi Pratama</t>
        </is>
      </c>
      <c r="C30" s="31" t="n">
        <v>0.5560763888888889</v>
      </c>
    </row>
    <row r="31">
      <c r="B31" s="18" t="inlineStr">
        <is>
          <t>Rina Wijaya</t>
        </is>
      </c>
      <c r="C31" s="31" t="n">
        <v>0.7118055555555556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Pegawai</t>
        </is>
      </c>
      <c r="C35" s="12" t="inlineStr">
        <is>
          <t>Waktu Absensi</t>
        </is>
      </c>
      <c r="E35" s="25" t="inlineStr">
        <is>
          <t>Persoalan #3: Ambil nilai HOUR dari jam absensi di sel C36 menggunakan rumus HOUR!</t>
        </is>
      </c>
    </row>
    <row r="36">
      <c r="B36" s="18" t="inlineStr">
        <is>
          <t>Gudang Blok A</t>
        </is>
      </c>
      <c r="C36" s="31" t="n">
        <v>0.434375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1" t="n">
        <v>0.4063657407407407</v>
      </c>
      <c r="E37" s="26" t="n"/>
      <c r="F37" s="27">
        <f>IF(ISBLANK(E37), "⏳ Ketik rumus di sel kuning E37", IF(E37=G37, "✅ BENAR! LUAR BIASA!", "❌ Belum Tepat, Cek Kunci"))</f>
        <v/>
      </c>
      <c r="G37" s="28">
        <f>HOUR(C36)</f>
        <v/>
      </c>
      <c r="H37" s="29" t="inlineStr">
        <is>
          <t>Ketik: =HOUR(C36)</t>
        </is>
      </c>
    </row>
    <row r="38">
      <c r="B38" s="18" t="inlineStr">
        <is>
          <t>Gudang Blok C</t>
        </is>
      </c>
      <c r="C38" s="31" t="n">
        <v>0.5560763888888889</v>
      </c>
    </row>
    <row r="39">
      <c r="B39" s="18" t="inlineStr">
        <is>
          <t>Gudang Blok D</t>
        </is>
      </c>
      <c r="C39" s="31" t="n">
        <v>0.7118055555555556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Pegawai</t>
        </is>
      </c>
      <c r="C43" s="12" t="inlineStr">
        <is>
          <t>Waktu Absensi</t>
        </is>
      </c>
      <c r="E43" s="25" t="inlineStr">
        <is>
          <t>Persoalan #4: Ambil nilai HOUR dari jam absensi di sel C44 menggunakan rumus HOUR!</t>
        </is>
      </c>
    </row>
    <row r="44">
      <c r="B44" s="18" t="inlineStr">
        <is>
          <t>Toko Elektronik</t>
        </is>
      </c>
      <c r="C44" s="31" t="n">
        <v>0.4795138888888889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1" t="n">
        <v>0.4063657407407407</v>
      </c>
      <c r="E45" s="26" t="n"/>
      <c r="F45" s="27">
        <f>IF(ISBLANK(E45), "⏳ Ketik rumus di sel kuning E45", IF(E45=G45, "✅ BENAR! LUAR BIASA!", "❌ Belum Tepat, Cek Kunci"))</f>
        <v/>
      </c>
      <c r="G45" s="28">
        <f>HOUR(C44)</f>
        <v/>
      </c>
      <c r="H45" s="29" t="inlineStr">
        <is>
          <t>Ketik: =HOUR(C44)</t>
        </is>
      </c>
    </row>
    <row r="46">
      <c r="B46" s="18" t="inlineStr">
        <is>
          <t>Toko Aksesoris</t>
        </is>
      </c>
      <c r="C46" s="31" t="n">
        <v>0.5560763888888889</v>
      </c>
    </row>
    <row r="47">
      <c r="B47" s="18" t="inlineStr">
        <is>
          <t>Toko Servis</t>
        </is>
      </c>
      <c r="C47" s="31" t="n">
        <v>0.7118055555555556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Pegawai</t>
        </is>
      </c>
      <c r="C51" s="12" t="inlineStr">
        <is>
          <t>Waktu Absensi</t>
        </is>
      </c>
      <c r="E51" s="25" t="inlineStr">
        <is>
          <t>Persoalan #5: Ambil nilai HOUR dari jam absensi di sel C52 menggunakan rumus HOUR!</t>
        </is>
      </c>
    </row>
    <row r="52">
      <c r="B52" s="18" t="inlineStr">
        <is>
          <t>Kelas 10 IPA</t>
        </is>
      </c>
      <c r="C52" s="31" t="n">
        <v>0.5246527777777777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1" t="n">
        <v>0.4063657407407407</v>
      </c>
      <c r="E53" s="26" t="n"/>
      <c r="F53" s="27">
        <f>IF(ISBLANK(E53), "⏳ Ketik rumus di sel kuning E53", IF(E53=G53, "✅ BENAR! LUAR BIASA!", "❌ Belum Tepat, Cek Kunci"))</f>
        <v/>
      </c>
      <c r="G53" s="28">
        <f>HOUR(C52)</f>
        <v/>
      </c>
      <c r="H53" s="29" t="inlineStr">
        <is>
          <t>Ketik: =HOUR(C52)</t>
        </is>
      </c>
    </row>
    <row r="54">
      <c r="B54" s="18" t="inlineStr">
        <is>
          <t>Kelas 12 IPA</t>
        </is>
      </c>
      <c r="C54" s="31" t="n">
        <v>0.5560763888888889</v>
      </c>
    </row>
    <row r="55">
      <c r="B55" s="18" t="inlineStr">
        <is>
          <t>Kelas Unggulan</t>
        </is>
      </c>
      <c r="C55" s="31" t="n">
        <v>0.7118055555555556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#082 — RUMUS EXCEL: MINUTE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(MINUTE)</t>
        </is>
      </c>
    </row>
    <row r="5" ht="21" customHeight="1">
      <c r="B5" s="12" t="inlineStr">
        <is>
          <t>Nama Rumus Excel</t>
        </is>
      </c>
      <c r="C5" s="13">
        <f>MINUTE(...)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MINUTE(waktu)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MENIT (0–59) dari data waktu untuk menghitung keterlambatan masuk kantor.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MINUTE)</t>
        </is>
      </c>
    </row>
    <row r="10">
      <c r="B10" s="16" t="inlineStr">
        <is>
          <t>Nama Pegawai</t>
        </is>
      </c>
      <c r="C10" s="16" t="inlineStr">
        <is>
          <t>Waktu Absensi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1" t="n">
        <v>0.3440972222222222</v>
      </c>
      <c r="E11" s="19" t="inlineStr">
        <is>
          <t>Kasus Contoh:</t>
        </is>
      </c>
      <c r="F11" s="20" t="inlineStr">
        <is>
          <t>Ambil nilai MINUTE dari jam absensi di sel C11 menggunakan rumus MINUTE!</t>
        </is>
      </c>
    </row>
    <row r="12">
      <c r="B12" s="18" t="inlineStr">
        <is>
          <t>Cabang Bandung</t>
        </is>
      </c>
      <c r="C12" s="31" t="n">
        <v>0.4063657407407407</v>
      </c>
      <c r="E12" s="19" t="inlineStr">
        <is>
          <t>Rumus yang Diketik:</t>
        </is>
      </c>
      <c r="F12" s="21" t="inlineStr">
        <is>
          <t>'=MINUTE(C11)</t>
        </is>
      </c>
    </row>
    <row r="13">
      <c r="B13" s="18" t="inlineStr">
        <is>
          <t>Cabang Surabaya</t>
        </is>
      </c>
      <c r="C13" s="31" t="n">
        <v>0.5560763888888889</v>
      </c>
      <c r="E13" s="19" t="inlineStr">
        <is>
          <t>Hasil Otomatis Excel:</t>
        </is>
      </c>
      <c r="F13" s="22">
        <f>MINUTE(C11)</f>
        <v/>
      </c>
    </row>
    <row r="14">
      <c r="B14" s="18" t="inlineStr">
        <is>
          <t>Cabang Medan</t>
        </is>
      </c>
      <c r="C14" s="31" t="n">
        <v>0.7118055555555556</v>
      </c>
    </row>
    <row r="16" ht="26" customHeight="1">
      <c r="B16" s="23" t="inlineStr">
        <is>
          <t>3️⃣ 5 PERSOALAN DUNIA NYATA (KETIK RUMUS MINUTE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Pegawai</t>
        </is>
      </c>
      <c r="C19" s="12" t="inlineStr">
        <is>
          <t>Waktu Absensi</t>
        </is>
      </c>
      <c r="E19" s="25" t="inlineStr">
        <is>
          <t>Persoalan #1: Ambil nilai MINUTE dari jam absensi di sel C20 menggunakan rumus MINUTE!</t>
        </is>
      </c>
    </row>
    <row r="20">
      <c r="B20" s="18" t="inlineStr">
        <is>
          <t>Cabang Jakarta</t>
        </is>
      </c>
      <c r="C20" s="31" t="n">
        <v>0.3440972222222222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1" t="n">
        <v>0.4063657407407407</v>
      </c>
      <c r="E21" s="26" t="n"/>
      <c r="F21" s="27">
        <f>IF(ISBLANK(E21), "⏳ Ketik rumus di sel kuning E21", IF(E21=G21, "✅ BENAR! LUAR BIASA!", "❌ Belum Tepat, Cek Kunci"))</f>
        <v/>
      </c>
      <c r="G21" s="28">
        <f>MINUTE(C20)</f>
        <v/>
      </c>
      <c r="H21" s="29" t="inlineStr">
        <is>
          <t>Ketik: =MINUTE(C20)</t>
        </is>
      </c>
    </row>
    <row r="22">
      <c r="B22" s="18" t="inlineStr">
        <is>
          <t>Cabang Surabaya</t>
        </is>
      </c>
      <c r="C22" s="31" t="n">
        <v>0.5560763888888889</v>
      </c>
    </row>
    <row r="23">
      <c r="B23" s="18" t="inlineStr">
        <is>
          <t>Cabang Medan</t>
        </is>
      </c>
      <c r="C23" s="31" t="n">
        <v>0.7118055555555556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Pegawai</t>
        </is>
      </c>
      <c r="C27" s="12" t="inlineStr">
        <is>
          <t>Waktu Absensi</t>
        </is>
      </c>
      <c r="E27" s="25" t="inlineStr">
        <is>
          <t>Persoalan #2: Ambil nilai MINUTE dari jam absensi di sel C28 menggunakan rumus MINUTE!</t>
        </is>
      </c>
    </row>
    <row r="28">
      <c r="B28" s="18" t="inlineStr">
        <is>
          <t>Budi Santoso</t>
        </is>
      </c>
      <c r="C28" s="31" t="n">
        <v>0.3892361111111111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1" t="n">
        <v>0.4063657407407407</v>
      </c>
      <c r="E29" s="26" t="n"/>
      <c r="F29" s="27">
        <f>IF(ISBLANK(E29), "⏳ Ketik rumus di sel kuning E29", IF(E29=G29, "✅ BENAR! LUAR BIASA!", "❌ Belum Tepat, Cek Kunci"))</f>
        <v/>
      </c>
      <c r="G29" s="28">
        <f>MINUTE(C28)</f>
        <v/>
      </c>
      <c r="H29" s="29" t="inlineStr">
        <is>
          <t>Ketik: =MINUTE(C28)</t>
        </is>
      </c>
    </row>
    <row r="30">
      <c r="B30" s="18" t="inlineStr">
        <is>
          <t>Andi Pratama</t>
        </is>
      </c>
      <c r="C30" s="31" t="n">
        <v>0.5560763888888889</v>
      </c>
    </row>
    <row r="31">
      <c r="B31" s="18" t="inlineStr">
        <is>
          <t>Rina Wijaya</t>
        </is>
      </c>
      <c r="C31" s="31" t="n">
        <v>0.7118055555555556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Pegawai</t>
        </is>
      </c>
      <c r="C35" s="12" t="inlineStr">
        <is>
          <t>Waktu Absensi</t>
        </is>
      </c>
      <c r="E35" s="25" t="inlineStr">
        <is>
          <t>Persoalan #3: Ambil nilai MINUTE dari jam absensi di sel C36 menggunakan rumus MINUTE!</t>
        </is>
      </c>
    </row>
    <row r="36">
      <c r="B36" s="18" t="inlineStr">
        <is>
          <t>Gudang Blok A</t>
        </is>
      </c>
      <c r="C36" s="31" t="n">
        <v>0.434375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1" t="n">
        <v>0.4063657407407407</v>
      </c>
      <c r="E37" s="26" t="n"/>
      <c r="F37" s="27">
        <f>IF(ISBLANK(E37), "⏳ Ketik rumus di sel kuning E37", IF(E37=G37, "✅ BENAR! LUAR BIASA!", "❌ Belum Tepat, Cek Kunci"))</f>
        <v/>
      </c>
      <c r="G37" s="28">
        <f>MINUTE(C36)</f>
        <v/>
      </c>
      <c r="H37" s="29" t="inlineStr">
        <is>
          <t>Ketik: =MINUTE(C36)</t>
        </is>
      </c>
    </row>
    <row r="38">
      <c r="B38" s="18" t="inlineStr">
        <is>
          <t>Gudang Blok C</t>
        </is>
      </c>
      <c r="C38" s="31" t="n">
        <v>0.5560763888888889</v>
      </c>
    </row>
    <row r="39">
      <c r="B39" s="18" t="inlineStr">
        <is>
          <t>Gudang Blok D</t>
        </is>
      </c>
      <c r="C39" s="31" t="n">
        <v>0.7118055555555556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Pegawai</t>
        </is>
      </c>
      <c r="C43" s="12" t="inlineStr">
        <is>
          <t>Waktu Absensi</t>
        </is>
      </c>
      <c r="E43" s="25" t="inlineStr">
        <is>
          <t>Persoalan #4: Ambil nilai MINUTE dari jam absensi di sel C44 menggunakan rumus MINUTE!</t>
        </is>
      </c>
    </row>
    <row r="44">
      <c r="B44" s="18" t="inlineStr">
        <is>
          <t>Toko Elektronik</t>
        </is>
      </c>
      <c r="C44" s="31" t="n">
        <v>0.4795138888888889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1" t="n">
        <v>0.4063657407407407</v>
      </c>
      <c r="E45" s="26" t="n"/>
      <c r="F45" s="27">
        <f>IF(ISBLANK(E45), "⏳ Ketik rumus di sel kuning E45", IF(E45=G45, "✅ BENAR! LUAR BIASA!", "❌ Belum Tepat, Cek Kunci"))</f>
        <v/>
      </c>
      <c r="G45" s="28">
        <f>MINUTE(C44)</f>
        <v/>
      </c>
      <c r="H45" s="29" t="inlineStr">
        <is>
          <t>Ketik: =MINUTE(C44)</t>
        </is>
      </c>
    </row>
    <row r="46">
      <c r="B46" s="18" t="inlineStr">
        <is>
          <t>Toko Aksesoris</t>
        </is>
      </c>
      <c r="C46" s="31" t="n">
        <v>0.5560763888888889</v>
      </c>
    </row>
    <row r="47">
      <c r="B47" s="18" t="inlineStr">
        <is>
          <t>Toko Servis</t>
        </is>
      </c>
      <c r="C47" s="31" t="n">
        <v>0.7118055555555556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Pegawai</t>
        </is>
      </c>
      <c r="C51" s="12" t="inlineStr">
        <is>
          <t>Waktu Absensi</t>
        </is>
      </c>
      <c r="E51" s="25" t="inlineStr">
        <is>
          <t>Persoalan #5: Ambil nilai MINUTE dari jam absensi di sel C52 menggunakan rumus MINUTE!</t>
        </is>
      </c>
    </row>
    <row r="52">
      <c r="B52" s="18" t="inlineStr">
        <is>
          <t>Kelas 10 IPA</t>
        </is>
      </c>
      <c r="C52" s="31" t="n">
        <v>0.5246527777777777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1" t="n">
        <v>0.4063657407407407</v>
      </c>
      <c r="E53" s="26" t="n"/>
      <c r="F53" s="27">
        <f>IF(ISBLANK(E53), "⏳ Ketik rumus di sel kuning E53", IF(E53=G53, "✅ BENAR! LUAR BIASA!", "❌ Belum Tepat, Cek Kunci"))</f>
        <v/>
      </c>
      <c r="G53" s="28">
        <f>MINUTE(C52)</f>
        <v/>
      </c>
      <c r="H53" s="29" t="inlineStr">
        <is>
          <t>Ketik: =MINUTE(C52)</t>
        </is>
      </c>
    </row>
    <row r="54">
      <c r="B54" s="18" t="inlineStr">
        <is>
          <t>Kelas 12 IPA</t>
        </is>
      </c>
      <c r="C54" s="31" t="n">
        <v>0.5560763888888889</v>
      </c>
    </row>
    <row r="55">
      <c r="B55" s="18" t="inlineStr">
        <is>
          <t>Kelas Unggulan</t>
        </is>
      </c>
      <c r="C55" s="31" t="n">
        <v>0.7118055555555556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#083 — RUMUS EXCEL: SECOND   |   Kategori: 5. Tanggal &amp; Waktu HRD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(SECOND)</t>
        </is>
      </c>
    </row>
    <row r="5" ht="21" customHeight="1">
      <c r="B5" s="12" t="inlineStr">
        <is>
          <t>Nama Rumus Excel</t>
        </is>
      </c>
      <c r="C5" s="13">
        <f>SECOND(...)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SECOND(waktu)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DETIK (0–59) dari catatan waktu.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SECOND)</t>
        </is>
      </c>
    </row>
    <row r="10">
      <c r="B10" s="16" t="inlineStr">
        <is>
          <t>Nama Pegawai</t>
        </is>
      </c>
      <c r="C10" s="16" t="inlineStr">
        <is>
          <t>Waktu Absensi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31" t="n">
        <v>0.3440972222222222</v>
      </c>
      <c r="E11" s="19" t="inlineStr">
        <is>
          <t>Kasus Contoh:</t>
        </is>
      </c>
      <c r="F11" s="20" t="inlineStr">
        <is>
          <t>Ambil nilai SECOND dari jam absensi di sel C11 menggunakan rumus SECOND!</t>
        </is>
      </c>
    </row>
    <row r="12">
      <c r="B12" s="18" t="inlineStr">
        <is>
          <t>Cabang Bandung</t>
        </is>
      </c>
      <c r="C12" s="31" t="n">
        <v>0.4063657407407407</v>
      </c>
      <c r="E12" s="19" t="inlineStr">
        <is>
          <t>Rumus yang Diketik:</t>
        </is>
      </c>
      <c r="F12" s="21" t="inlineStr">
        <is>
          <t>'=SECOND(C11)</t>
        </is>
      </c>
    </row>
    <row r="13">
      <c r="B13" s="18" t="inlineStr">
        <is>
          <t>Cabang Surabaya</t>
        </is>
      </c>
      <c r="C13" s="31" t="n">
        <v>0.5560763888888889</v>
      </c>
      <c r="E13" s="19" t="inlineStr">
        <is>
          <t>Hasil Otomatis Excel:</t>
        </is>
      </c>
      <c r="F13" s="22">
        <f>SECOND(C11)</f>
        <v/>
      </c>
    </row>
    <row r="14">
      <c r="B14" s="18" t="inlineStr">
        <is>
          <t>Cabang Medan</t>
        </is>
      </c>
      <c r="C14" s="31" t="n">
        <v>0.7118055555555556</v>
      </c>
    </row>
    <row r="16" ht="26" customHeight="1">
      <c r="B16" s="23" t="inlineStr">
        <is>
          <t>3️⃣ 5 PERSOALAN DUNIA NYATA (KETIK RUMUS SECOND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Pegawai</t>
        </is>
      </c>
      <c r="C19" s="12" t="inlineStr">
        <is>
          <t>Waktu Absensi</t>
        </is>
      </c>
      <c r="E19" s="25" t="inlineStr">
        <is>
          <t>Persoalan #1: Ambil nilai SECOND dari jam absensi di sel C20 menggunakan rumus SECOND!</t>
        </is>
      </c>
    </row>
    <row r="20">
      <c r="B20" s="18" t="inlineStr">
        <is>
          <t>Cabang Jakarta</t>
        </is>
      </c>
      <c r="C20" s="31" t="n">
        <v>0.3440972222222222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31" t="n">
        <v>0.4063657407407407</v>
      </c>
      <c r="E21" s="26" t="n"/>
      <c r="F21" s="27">
        <f>IF(ISBLANK(E21), "⏳ Ketik rumus di sel kuning E21", IF(E21=G21, "✅ BENAR! LUAR BIASA!", "❌ Belum Tepat, Cek Kunci"))</f>
        <v/>
      </c>
      <c r="G21" s="28">
        <f>SECOND(C20)</f>
        <v/>
      </c>
      <c r="H21" s="29" t="inlineStr">
        <is>
          <t>Ketik: =SECOND(C20)</t>
        </is>
      </c>
    </row>
    <row r="22">
      <c r="B22" s="18" t="inlineStr">
        <is>
          <t>Cabang Surabaya</t>
        </is>
      </c>
      <c r="C22" s="31" t="n">
        <v>0.5560763888888889</v>
      </c>
    </row>
    <row r="23">
      <c r="B23" s="18" t="inlineStr">
        <is>
          <t>Cabang Medan</t>
        </is>
      </c>
      <c r="C23" s="31" t="n">
        <v>0.7118055555555556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Pegawai</t>
        </is>
      </c>
      <c r="C27" s="12" t="inlineStr">
        <is>
          <t>Waktu Absensi</t>
        </is>
      </c>
      <c r="E27" s="25" t="inlineStr">
        <is>
          <t>Persoalan #2: Ambil nilai SECOND dari jam absensi di sel C28 menggunakan rumus SECOND!</t>
        </is>
      </c>
    </row>
    <row r="28">
      <c r="B28" s="18" t="inlineStr">
        <is>
          <t>Budi Santoso</t>
        </is>
      </c>
      <c r="C28" s="31" t="n">
        <v>0.3892361111111111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31" t="n">
        <v>0.4063657407407407</v>
      </c>
      <c r="E29" s="26" t="n"/>
      <c r="F29" s="27">
        <f>IF(ISBLANK(E29), "⏳ Ketik rumus di sel kuning E29", IF(E29=G29, "✅ BENAR! LUAR BIASA!", "❌ Belum Tepat, Cek Kunci"))</f>
        <v/>
      </c>
      <c r="G29" s="28">
        <f>SECOND(C28)</f>
        <v/>
      </c>
      <c r="H29" s="29" t="inlineStr">
        <is>
          <t>Ketik: =SECOND(C28)</t>
        </is>
      </c>
    </row>
    <row r="30">
      <c r="B30" s="18" t="inlineStr">
        <is>
          <t>Andi Pratama</t>
        </is>
      </c>
      <c r="C30" s="31" t="n">
        <v>0.5560763888888889</v>
      </c>
    </row>
    <row r="31">
      <c r="B31" s="18" t="inlineStr">
        <is>
          <t>Rina Wijaya</t>
        </is>
      </c>
      <c r="C31" s="31" t="n">
        <v>0.7118055555555556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Pegawai</t>
        </is>
      </c>
      <c r="C35" s="12" t="inlineStr">
        <is>
          <t>Waktu Absensi</t>
        </is>
      </c>
      <c r="E35" s="25" t="inlineStr">
        <is>
          <t>Persoalan #3: Ambil nilai SECOND dari jam absensi di sel C36 menggunakan rumus SECOND!</t>
        </is>
      </c>
    </row>
    <row r="36">
      <c r="B36" s="18" t="inlineStr">
        <is>
          <t>Gudang Blok A</t>
        </is>
      </c>
      <c r="C36" s="31" t="n">
        <v>0.434375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31" t="n">
        <v>0.4063657407407407</v>
      </c>
      <c r="E37" s="26" t="n"/>
      <c r="F37" s="27">
        <f>IF(ISBLANK(E37), "⏳ Ketik rumus di sel kuning E37", IF(E37=G37, "✅ BENAR! LUAR BIASA!", "❌ Belum Tepat, Cek Kunci"))</f>
        <v/>
      </c>
      <c r="G37" s="28">
        <f>SECOND(C36)</f>
        <v/>
      </c>
      <c r="H37" s="29" t="inlineStr">
        <is>
          <t>Ketik: =SECOND(C36)</t>
        </is>
      </c>
    </row>
    <row r="38">
      <c r="B38" s="18" t="inlineStr">
        <is>
          <t>Gudang Blok C</t>
        </is>
      </c>
      <c r="C38" s="31" t="n">
        <v>0.5560763888888889</v>
      </c>
    </row>
    <row r="39">
      <c r="B39" s="18" t="inlineStr">
        <is>
          <t>Gudang Blok D</t>
        </is>
      </c>
      <c r="C39" s="31" t="n">
        <v>0.7118055555555556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Pegawai</t>
        </is>
      </c>
      <c r="C43" s="12" t="inlineStr">
        <is>
          <t>Waktu Absensi</t>
        </is>
      </c>
      <c r="E43" s="25" t="inlineStr">
        <is>
          <t>Persoalan #4: Ambil nilai SECOND dari jam absensi di sel C44 menggunakan rumus SECOND!</t>
        </is>
      </c>
    </row>
    <row r="44">
      <c r="B44" s="18" t="inlineStr">
        <is>
          <t>Toko Elektronik</t>
        </is>
      </c>
      <c r="C44" s="31" t="n">
        <v>0.4795138888888889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31" t="n">
        <v>0.4063657407407407</v>
      </c>
      <c r="E45" s="26" t="n"/>
      <c r="F45" s="27">
        <f>IF(ISBLANK(E45), "⏳ Ketik rumus di sel kuning E45", IF(E45=G45, "✅ BENAR! LUAR BIASA!", "❌ Belum Tepat, Cek Kunci"))</f>
        <v/>
      </c>
      <c r="G45" s="28">
        <f>SECOND(C44)</f>
        <v/>
      </c>
      <c r="H45" s="29" t="inlineStr">
        <is>
          <t>Ketik: =SECOND(C44)</t>
        </is>
      </c>
    </row>
    <row r="46">
      <c r="B46" s="18" t="inlineStr">
        <is>
          <t>Toko Aksesoris</t>
        </is>
      </c>
      <c r="C46" s="31" t="n">
        <v>0.5560763888888889</v>
      </c>
    </row>
    <row r="47">
      <c r="B47" s="18" t="inlineStr">
        <is>
          <t>Toko Servis</t>
        </is>
      </c>
      <c r="C47" s="31" t="n">
        <v>0.7118055555555556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Pegawai</t>
        </is>
      </c>
      <c r="C51" s="12" t="inlineStr">
        <is>
          <t>Waktu Absensi</t>
        </is>
      </c>
      <c r="E51" s="25" t="inlineStr">
        <is>
          <t>Persoalan #5: Ambil nilai SECOND dari jam absensi di sel C52 menggunakan rumus SECOND!</t>
        </is>
      </c>
    </row>
    <row r="52">
      <c r="B52" s="18" t="inlineStr">
        <is>
          <t>Kelas 10 IPA</t>
        </is>
      </c>
      <c r="C52" s="31" t="n">
        <v>0.5246527777777777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31" t="n">
        <v>0.4063657407407407</v>
      </c>
      <c r="E53" s="26" t="n"/>
      <c r="F53" s="27">
        <f>IF(ISBLANK(E53), "⏳ Ketik rumus di sel kuning E53", IF(E53=G53, "✅ BENAR! LUAR BIASA!", "❌ Belum Tepat, Cek Kunci"))</f>
        <v/>
      </c>
      <c r="G53" s="28">
        <f>SECOND(C52)</f>
        <v/>
      </c>
      <c r="H53" s="29" t="inlineStr">
        <is>
          <t>Ketik: =SECOND(C52)</t>
        </is>
      </c>
    </row>
    <row r="54">
      <c r="B54" s="18" t="inlineStr">
        <is>
          <t>Kelas 12 IPA</t>
        </is>
      </c>
      <c r="C54" s="31" t="n">
        <v>0.5560763888888889</v>
      </c>
    </row>
    <row r="55">
      <c r="B55" s="18" t="inlineStr">
        <is>
          <t>Kelas Unggulan</t>
        </is>
      </c>
      <c r="C55" s="31" t="n">
        <v>0.7118055555555556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#084 — RUMUS EXCEL: PMT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(PMT)</t>
        </is>
      </c>
    </row>
    <row r="5" ht="21" customHeight="1">
      <c r="B5" s="12" t="inlineStr">
        <is>
          <t>Nama Rumus Excel</t>
        </is>
      </c>
      <c r="C5" s="13">
        <f>PMT(...)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PMT(bunga_per_periode, jumlah_periode, nilai_pinjaman)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cicilan bulanan tetap (KPR Rumah / Kredit Mobil / Pinjaman Bank) lengkap pokok + bunga.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PMT)</t>
        </is>
      </c>
    </row>
    <row r="10">
      <c r="B10" s="16" t="inlineStr">
        <is>
          <t>Program Kredit</t>
        </is>
      </c>
      <c r="C10" s="16" t="inlineStr">
        <is>
          <t>Nilai Pokok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12000000</v>
      </c>
      <c r="E11" s="19" t="inlineStr">
        <is>
          <t>Kasus Contoh:</t>
        </is>
      </c>
      <c r="F11" s="20" t="inlineStr">
        <is>
          <t>Gunakan rumus PMT dengan bunga 1% (0.01), tenor 12 periode, dan nilai -C11!</t>
        </is>
      </c>
    </row>
    <row r="12">
      <c r="B12" s="18" t="inlineStr">
        <is>
          <t>Cabang Bandung</t>
        </is>
      </c>
      <c r="C12" s="18" t="n">
        <v>24000000</v>
      </c>
      <c r="E12" s="19" t="inlineStr">
        <is>
          <t>Rumus yang Diketik:</t>
        </is>
      </c>
      <c r="F12" s="21" t="inlineStr">
        <is>
          <t>'=PMT(0.01, 12, -C11)</t>
        </is>
      </c>
    </row>
    <row r="13">
      <c r="B13" s="18" t="inlineStr">
        <is>
          <t>Cabang Surabaya</t>
        </is>
      </c>
      <c r="C13" s="18" t="n">
        <v>36000000</v>
      </c>
      <c r="E13" s="19" t="inlineStr">
        <is>
          <t>Hasil Otomatis Excel:</t>
        </is>
      </c>
      <c r="F13" s="22">
        <f>PMT(0.01, 12, -C11)</f>
        <v/>
      </c>
    </row>
    <row r="14">
      <c r="B14" s="18" t="inlineStr">
        <is>
          <t>Cabang Medan</t>
        </is>
      </c>
      <c r="C14" s="18" t="n">
        <v>50000000</v>
      </c>
    </row>
    <row r="16" ht="26" customHeight="1">
      <c r="B16" s="23" t="inlineStr">
        <is>
          <t>3️⃣ 5 PERSOALAN DUNIA NYATA (KETIK RUMUS PMT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Program Kredit</t>
        </is>
      </c>
      <c r="C19" s="12" t="inlineStr">
        <is>
          <t>Nilai Pokok (Rp)</t>
        </is>
      </c>
      <c r="E19" s="25" t="inlineStr">
        <is>
          <t>Persoalan #1: Gunakan rumus PMT dengan bunga 1% (0.01), tenor 12 periode, dan nilai -C20!</t>
        </is>
      </c>
    </row>
    <row r="20">
      <c r="B20" s="18" t="inlineStr">
        <is>
          <t>Cabang Jakarta</t>
        </is>
      </c>
      <c r="C20" s="18" t="n">
        <v>12000000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24000000</v>
      </c>
      <c r="E21" s="26" t="n"/>
      <c r="F21" s="27">
        <f>IF(ISBLANK(E21), "⏳ Ketik rumus di sel kuning E21", IF(E21=G21, "✅ BENAR! LUAR BIASA!", "❌ Belum Tepat, Cek Kunci"))</f>
        <v/>
      </c>
      <c r="G21" s="28">
        <f>PMT(0.01, 12, -C20)</f>
        <v/>
      </c>
      <c r="H21" s="29" t="inlineStr">
        <is>
          <t>Ketik: =PMT(0.01, 12, -C20)</t>
        </is>
      </c>
    </row>
    <row r="22">
      <c r="B22" s="18" t="inlineStr">
        <is>
          <t>Cabang Surabaya</t>
        </is>
      </c>
      <c r="C22" s="18" t="n">
        <v>36000000</v>
      </c>
    </row>
    <row r="23">
      <c r="B23" s="18" t="inlineStr">
        <is>
          <t>Cabang Medan</t>
        </is>
      </c>
      <c r="C23" s="18" t="n">
        <v>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Program Kredit</t>
        </is>
      </c>
      <c r="C27" s="12" t="inlineStr">
        <is>
          <t>Nilai Pokok (Rp)</t>
        </is>
      </c>
      <c r="E27" s="25" t="inlineStr">
        <is>
          <t>Persoalan #2: Gunakan rumus PMT dengan bunga 1% (0.01), tenor 12 periode, dan nilai -C28!</t>
        </is>
      </c>
    </row>
    <row r="28">
      <c r="B28" s="18" t="inlineStr">
        <is>
          <t>Budi Santoso</t>
        </is>
      </c>
      <c r="C28" s="18" t="n">
        <v>24000000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24000000</v>
      </c>
      <c r="E29" s="26" t="n"/>
      <c r="F29" s="27">
        <f>IF(ISBLANK(E29), "⏳ Ketik rumus di sel kuning E29", IF(E29=G29, "✅ BENAR! LUAR BIASA!", "❌ Belum Tepat, Cek Kunci"))</f>
        <v/>
      </c>
      <c r="G29" s="28">
        <f>PMT(0.01, 12, -C28)</f>
        <v/>
      </c>
      <c r="H29" s="29" t="inlineStr">
        <is>
          <t>Ketik: =PMT(0.01, 12, -C28)</t>
        </is>
      </c>
    </row>
    <row r="30">
      <c r="B30" s="18" t="inlineStr">
        <is>
          <t>Andi Pratama</t>
        </is>
      </c>
      <c r="C30" s="18" t="n">
        <v>36000000</v>
      </c>
    </row>
    <row r="31">
      <c r="B31" s="18" t="inlineStr">
        <is>
          <t>Rina Wijaya</t>
        </is>
      </c>
      <c r="C31" s="18" t="n">
        <v>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Program Kredit</t>
        </is>
      </c>
      <c r="C35" s="12" t="inlineStr">
        <is>
          <t>Nilai Pokok (Rp)</t>
        </is>
      </c>
      <c r="E35" s="25" t="inlineStr">
        <is>
          <t>Persoalan #3: Gunakan rumus PMT dengan bunga 1% (0.01), tenor 12 periode, dan nilai -C36!</t>
        </is>
      </c>
    </row>
    <row r="36">
      <c r="B36" s="18" t="inlineStr">
        <is>
          <t>Gudang Blok A</t>
        </is>
      </c>
      <c r="C36" s="18" t="n">
        <v>36000000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24000000</v>
      </c>
      <c r="E37" s="26" t="n"/>
      <c r="F37" s="27">
        <f>IF(ISBLANK(E37), "⏳ Ketik rumus di sel kuning E37", IF(E37=G37, "✅ BENAR! LUAR BIASA!", "❌ Belum Tepat, Cek Kunci"))</f>
        <v/>
      </c>
      <c r="G37" s="28">
        <f>PMT(0.01, 12, -C36)</f>
        <v/>
      </c>
      <c r="H37" s="29" t="inlineStr">
        <is>
          <t>Ketik: =PMT(0.01, 12, -C36)</t>
        </is>
      </c>
    </row>
    <row r="38">
      <c r="B38" s="18" t="inlineStr">
        <is>
          <t>Gudang Blok C</t>
        </is>
      </c>
      <c r="C38" s="18" t="n">
        <v>36000000</v>
      </c>
    </row>
    <row r="39">
      <c r="B39" s="18" t="inlineStr">
        <is>
          <t>Gudang Blok D</t>
        </is>
      </c>
      <c r="C39" s="18" t="n">
        <v>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Program Kredit</t>
        </is>
      </c>
      <c r="C43" s="12" t="inlineStr">
        <is>
          <t>Nilai Pokok (Rp)</t>
        </is>
      </c>
      <c r="E43" s="25" t="inlineStr">
        <is>
          <t>Persoalan #4: Gunakan rumus PMT dengan bunga 1% (0.01), tenor 12 periode, dan nilai -C44!</t>
        </is>
      </c>
    </row>
    <row r="44">
      <c r="B44" s="18" t="inlineStr">
        <is>
          <t>Toko Elektronik</t>
        </is>
      </c>
      <c r="C44" s="18" t="n">
        <v>48000000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24000000</v>
      </c>
      <c r="E45" s="26" t="n"/>
      <c r="F45" s="27">
        <f>IF(ISBLANK(E45), "⏳ Ketik rumus di sel kuning E45", IF(E45=G45, "✅ BENAR! LUAR BIASA!", "❌ Belum Tepat, Cek Kunci"))</f>
        <v/>
      </c>
      <c r="G45" s="28">
        <f>PMT(0.01, 12, -C44)</f>
        <v/>
      </c>
      <c r="H45" s="29" t="inlineStr">
        <is>
          <t>Ketik: =PMT(0.01, 12, -C44)</t>
        </is>
      </c>
    </row>
    <row r="46">
      <c r="B46" s="18" t="inlineStr">
        <is>
          <t>Toko Aksesoris</t>
        </is>
      </c>
      <c r="C46" s="18" t="n">
        <v>36000000</v>
      </c>
    </row>
    <row r="47">
      <c r="B47" s="18" t="inlineStr">
        <is>
          <t>Toko Servis</t>
        </is>
      </c>
      <c r="C47" s="18" t="n">
        <v>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Program Kredit</t>
        </is>
      </c>
      <c r="C51" s="12" t="inlineStr">
        <is>
          <t>Nilai Pokok (Rp)</t>
        </is>
      </c>
      <c r="E51" s="25" t="inlineStr">
        <is>
          <t>Persoalan #5: Gunakan rumus PMT dengan bunga 1% (0.01), tenor 12 periode, dan nilai -C52!</t>
        </is>
      </c>
    </row>
    <row r="52">
      <c r="B52" s="18" t="inlineStr">
        <is>
          <t>Kelas 10 IPA</t>
        </is>
      </c>
      <c r="C52" s="18" t="n">
        <v>60000000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24000000</v>
      </c>
      <c r="E53" s="26" t="n"/>
      <c r="F53" s="27">
        <f>IF(ISBLANK(E53), "⏳ Ketik rumus di sel kuning E53", IF(E53=G53, "✅ BENAR! LUAR BIASA!", "❌ Belum Tepat, Cek Kunci"))</f>
        <v/>
      </c>
      <c r="G53" s="28">
        <f>PMT(0.01, 12, -C52)</f>
        <v/>
      </c>
      <c r="H53" s="29" t="inlineStr">
        <is>
          <t>Ketik: =PMT(0.01, 12, -C52)</t>
        </is>
      </c>
    </row>
    <row r="54">
      <c r="B54" s="18" t="inlineStr">
        <is>
          <t>Kelas 12 IPA</t>
        </is>
      </c>
      <c r="C54" s="18" t="n">
        <v>36000000</v>
      </c>
    </row>
    <row r="55">
      <c r="B55" s="18" t="inlineStr">
        <is>
          <t>Kelas Unggulan</t>
        </is>
      </c>
      <c r="C55" s="18" t="n">
        <v>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#085 — RUMUS EXCEL: IPMT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(IPMT)</t>
        </is>
      </c>
    </row>
    <row r="5" ht="21" customHeight="1">
      <c r="B5" s="12" t="inlineStr">
        <is>
          <t>Nama Rumus Excel</t>
        </is>
      </c>
      <c r="C5" s="13">
        <f>IPMT(...)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IPMT(bunga, periode_ke, total_periode, nilai_pinjaman)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porsi BUNGA saja yang dibayar pada cicilan bulan tertentu.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IPMT)</t>
        </is>
      </c>
    </row>
    <row r="10">
      <c r="B10" s="16" t="inlineStr">
        <is>
          <t>Program Kredit</t>
        </is>
      </c>
      <c r="C10" s="16" t="inlineStr">
        <is>
          <t>Nilai Pokok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12000000</v>
      </c>
      <c r="E11" s="19" t="inlineStr">
        <is>
          <t>Kasus Contoh:</t>
        </is>
      </c>
      <c r="F11" s="20" t="inlineStr">
        <is>
          <t>Hitung IPMT dengan bunga 1% (0.01), periode ke-1, total 12 bulan, untuk pokok -C11!</t>
        </is>
      </c>
    </row>
    <row r="12">
      <c r="B12" s="18" t="inlineStr">
        <is>
          <t>Cabang Bandung</t>
        </is>
      </c>
      <c r="C12" s="18" t="n">
        <v>24000000</v>
      </c>
      <c r="E12" s="19" t="inlineStr">
        <is>
          <t>Rumus yang Diketik:</t>
        </is>
      </c>
      <c r="F12" s="21" t="inlineStr">
        <is>
          <t>'=IPMT(0.01, 1, 12, -C11)</t>
        </is>
      </c>
    </row>
    <row r="13">
      <c r="B13" s="18" t="inlineStr">
        <is>
          <t>Cabang Surabaya</t>
        </is>
      </c>
      <c r="C13" s="18" t="n">
        <v>36000000</v>
      </c>
      <c r="E13" s="19" t="inlineStr">
        <is>
          <t>Hasil Otomatis Excel:</t>
        </is>
      </c>
      <c r="F13" s="22">
        <f>IPMT(0.01, 1, 12, -C11)</f>
        <v/>
      </c>
    </row>
    <row r="14">
      <c r="B14" s="18" t="inlineStr">
        <is>
          <t>Cabang Medan</t>
        </is>
      </c>
      <c r="C14" s="18" t="n">
        <v>50000000</v>
      </c>
    </row>
    <row r="16" ht="26" customHeight="1">
      <c r="B16" s="23" t="inlineStr">
        <is>
          <t>3️⃣ 5 PERSOALAN DUNIA NYATA (KETIK RUMUS IPMT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Program Kredit</t>
        </is>
      </c>
      <c r="C19" s="12" t="inlineStr">
        <is>
          <t>Nilai Pokok (Rp)</t>
        </is>
      </c>
      <c r="E19" s="25" t="inlineStr">
        <is>
          <t>Persoalan #1: Hitung IPMT dengan bunga 1% (0.01), periode ke-1, total 12 bulan, untuk pokok -C20!</t>
        </is>
      </c>
    </row>
    <row r="20">
      <c r="B20" s="18" t="inlineStr">
        <is>
          <t>Cabang Jakarta</t>
        </is>
      </c>
      <c r="C20" s="18" t="n">
        <v>12000000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24000000</v>
      </c>
      <c r="E21" s="26" t="n"/>
      <c r="F21" s="27">
        <f>IF(ISBLANK(E21), "⏳ Ketik rumus di sel kuning E21", IF(E21=G21, "✅ BENAR! LUAR BIASA!", "❌ Belum Tepat, Cek Kunci"))</f>
        <v/>
      </c>
      <c r="G21" s="28">
        <f>IPMT(0.01, 1, 12, -C20)</f>
        <v/>
      </c>
      <c r="H21" s="29" t="inlineStr">
        <is>
          <t>Ketik: =IPMT(0.01, 1, 12, -C20)</t>
        </is>
      </c>
    </row>
    <row r="22">
      <c r="B22" s="18" t="inlineStr">
        <is>
          <t>Cabang Surabaya</t>
        </is>
      </c>
      <c r="C22" s="18" t="n">
        <v>36000000</v>
      </c>
    </row>
    <row r="23">
      <c r="B23" s="18" t="inlineStr">
        <is>
          <t>Cabang Medan</t>
        </is>
      </c>
      <c r="C23" s="18" t="n">
        <v>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Program Kredit</t>
        </is>
      </c>
      <c r="C27" s="12" t="inlineStr">
        <is>
          <t>Nilai Pokok (Rp)</t>
        </is>
      </c>
      <c r="E27" s="25" t="inlineStr">
        <is>
          <t>Persoalan #2: Hitung IPMT dengan bunga 1% (0.01), periode ke-1, total 12 bulan, untuk pokok -C28!</t>
        </is>
      </c>
    </row>
    <row r="28">
      <c r="B28" s="18" t="inlineStr">
        <is>
          <t>Budi Santoso</t>
        </is>
      </c>
      <c r="C28" s="18" t="n">
        <v>24000000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24000000</v>
      </c>
      <c r="E29" s="26" t="n"/>
      <c r="F29" s="27">
        <f>IF(ISBLANK(E29), "⏳ Ketik rumus di sel kuning E29", IF(E29=G29, "✅ BENAR! LUAR BIASA!", "❌ Belum Tepat, Cek Kunci"))</f>
        <v/>
      </c>
      <c r="G29" s="28">
        <f>IPMT(0.01, 1, 12, -C28)</f>
        <v/>
      </c>
      <c r="H29" s="29" t="inlineStr">
        <is>
          <t>Ketik: =IPMT(0.01, 1, 12, -C28)</t>
        </is>
      </c>
    </row>
    <row r="30">
      <c r="B30" s="18" t="inlineStr">
        <is>
          <t>Andi Pratama</t>
        </is>
      </c>
      <c r="C30" s="18" t="n">
        <v>36000000</v>
      </c>
    </row>
    <row r="31">
      <c r="B31" s="18" t="inlineStr">
        <is>
          <t>Rina Wijaya</t>
        </is>
      </c>
      <c r="C31" s="18" t="n">
        <v>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Program Kredit</t>
        </is>
      </c>
      <c r="C35" s="12" t="inlineStr">
        <is>
          <t>Nilai Pokok (Rp)</t>
        </is>
      </c>
      <c r="E35" s="25" t="inlineStr">
        <is>
          <t>Persoalan #3: Hitung IPMT dengan bunga 1% (0.01), periode ke-1, total 12 bulan, untuk pokok -C36!</t>
        </is>
      </c>
    </row>
    <row r="36">
      <c r="B36" s="18" t="inlineStr">
        <is>
          <t>Gudang Blok A</t>
        </is>
      </c>
      <c r="C36" s="18" t="n">
        <v>36000000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24000000</v>
      </c>
      <c r="E37" s="26" t="n"/>
      <c r="F37" s="27">
        <f>IF(ISBLANK(E37), "⏳ Ketik rumus di sel kuning E37", IF(E37=G37, "✅ BENAR! LUAR BIASA!", "❌ Belum Tepat, Cek Kunci"))</f>
        <v/>
      </c>
      <c r="G37" s="28">
        <f>IPMT(0.01, 1, 12, -C36)</f>
        <v/>
      </c>
      <c r="H37" s="29" t="inlineStr">
        <is>
          <t>Ketik: =IPMT(0.01, 1, 12, -C36)</t>
        </is>
      </c>
    </row>
    <row r="38">
      <c r="B38" s="18" t="inlineStr">
        <is>
          <t>Gudang Blok C</t>
        </is>
      </c>
      <c r="C38" s="18" t="n">
        <v>36000000</v>
      </c>
    </row>
    <row r="39">
      <c r="B39" s="18" t="inlineStr">
        <is>
          <t>Gudang Blok D</t>
        </is>
      </c>
      <c r="C39" s="18" t="n">
        <v>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Program Kredit</t>
        </is>
      </c>
      <c r="C43" s="12" t="inlineStr">
        <is>
          <t>Nilai Pokok (Rp)</t>
        </is>
      </c>
      <c r="E43" s="25" t="inlineStr">
        <is>
          <t>Persoalan #4: Hitung IPMT dengan bunga 1% (0.01), periode ke-1, total 12 bulan, untuk pokok -C44!</t>
        </is>
      </c>
    </row>
    <row r="44">
      <c r="B44" s="18" t="inlineStr">
        <is>
          <t>Toko Elektronik</t>
        </is>
      </c>
      <c r="C44" s="18" t="n">
        <v>48000000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24000000</v>
      </c>
      <c r="E45" s="26" t="n"/>
      <c r="F45" s="27">
        <f>IF(ISBLANK(E45), "⏳ Ketik rumus di sel kuning E45", IF(E45=G45, "✅ BENAR! LUAR BIASA!", "❌ Belum Tepat, Cek Kunci"))</f>
        <v/>
      </c>
      <c r="G45" s="28">
        <f>IPMT(0.01, 1, 12, -C44)</f>
        <v/>
      </c>
      <c r="H45" s="29" t="inlineStr">
        <is>
          <t>Ketik: =IPMT(0.01, 1, 12, -C44)</t>
        </is>
      </c>
    </row>
    <row r="46">
      <c r="B46" s="18" t="inlineStr">
        <is>
          <t>Toko Aksesoris</t>
        </is>
      </c>
      <c r="C46" s="18" t="n">
        <v>36000000</v>
      </c>
    </row>
    <row r="47">
      <c r="B47" s="18" t="inlineStr">
        <is>
          <t>Toko Servis</t>
        </is>
      </c>
      <c r="C47" s="18" t="n">
        <v>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Program Kredit</t>
        </is>
      </c>
      <c r="C51" s="12" t="inlineStr">
        <is>
          <t>Nilai Pokok (Rp)</t>
        </is>
      </c>
      <c r="E51" s="25" t="inlineStr">
        <is>
          <t>Persoalan #5: Hitung IPMT dengan bunga 1% (0.01), periode ke-1, total 12 bulan, untuk pokok -C52!</t>
        </is>
      </c>
    </row>
    <row r="52">
      <c r="B52" s="18" t="inlineStr">
        <is>
          <t>Kelas 10 IPA</t>
        </is>
      </c>
      <c r="C52" s="18" t="n">
        <v>60000000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24000000</v>
      </c>
      <c r="E53" s="26" t="n"/>
      <c r="F53" s="27">
        <f>IF(ISBLANK(E53), "⏳ Ketik rumus di sel kuning E53", IF(E53=G53, "✅ BENAR! LUAR BIASA!", "❌ Belum Tepat, Cek Kunci"))</f>
        <v/>
      </c>
      <c r="G53" s="28">
        <f>IPMT(0.01, 1, 12, -C52)</f>
        <v/>
      </c>
      <c r="H53" s="29" t="inlineStr">
        <is>
          <t>Ketik: =IPMT(0.01, 1, 12, -C52)</t>
        </is>
      </c>
    </row>
    <row r="54">
      <c r="B54" s="18" t="inlineStr">
        <is>
          <t>Kelas 12 IPA</t>
        </is>
      </c>
      <c r="C54" s="18" t="n">
        <v>36000000</v>
      </c>
    </row>
    <row r="55">
      <c r="B55" s="18" t="inlineStr">
        <is>
          <t>Kelas Unggulan</t>
        </is>
      </c>
      <c r="C55" s="18" t="n">
        <v>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#086 — RUMUS EXCEL: PPMT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(PPMT)</t>
        </is>
      </c>
    </row>
    <row r="5" ht="21" customHeight="1">
      <c r="B5" s="12" t="inlineStr">
        <is>
          <t>Nama Rumus Excel</t>
        </is>
      </c>
      <c r="C5" s="13">
        <f>PPMT(...)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PPMT(bunga, periode_ke, total_periode, nilai_pinjaman)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porsi POKOK PINJAMAN saja yang berkurang pada cicilan bulan tertentu.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PPMT)</t>
        </is>
      </c>
    </row>
    <row r="10">
      <c r="B10" s="16" t="inlineStr">
        <is>
          <t>Program Kredit</t>
        </is>
      </c>
      <c r="C10" s="16" t="inlineStr">
        <is>
          <t>Nilai Pokok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12000000</v>
      </c>
      <c r="E11" s="19" t="inlineStr">
        <is>
          <t>Kasus Contoh:</t>
        </is>
      </c>
      <c r="F11" s="20" t="inlineStr">
        <is>
          <t>Hitung PPMT dengan bunga 1% (0.01), periode ke-1, total 12 bulan, untuk pokok -C11!</t>
        </is>
      </c>
    </row>
    <row r="12">
      <c r="B12" s="18" t="inlineStr">
        <is>
          <t>Cabang Bandung</t>
        </is>
      </c>
      <c r="C12" s="18" t="n">
        <v>24000000</v>
      </c>
      <c r="E12" s="19" t="inlineStr">
        <is>
          <t>Rumus yang Diketik:</t>
        </is>
      </c>
      <c r="F12" s="21" t="inlineStr">
        <is>
          <t>'=PPMT(0.01, 1, 12, -C11)</t>
        </is>
      </c>
    </row>
    <row r="13">
      <c r="B13" s="18" t="inlineStr">
        <is>
          <t>Cabang Surabaya</t>
        </is>
      </c>
      <c r="C13" s="18" t="n">
        <v>36000000</v>
      </c>
      <c r="E13" s="19" t="inlineStr">
        <is>
          <t>Hasil Otomatis Excel:</t>
        </is>
      </c>
      <c r="F13" s="22">
        <f>PPMT(0.01, 1, 12, -C11)</f>
        <v/>
      </c>
    </row>
    <row r="14">
      <c r="B14" s="18" t="inlineStr">
        <is>
          <t>Cabang Medan</t>
        </is>
      </c>
      <c r="C14" s="18" t="n">
        <v>50000000</v>
      </c>
    </row>
    <row r="16" ht="26" customHeight="1">
      <c r="B16" s="23" t="inlineStr">
        <is>
          <t>3️⃣ 5 PERSOALAN DUNIA NYATA (KETIK RUMUS PPMT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Program Kredit</t>
        </is>
      </c>
      <c r="C19" s="12" t="inlineStr">
        <is>
          <t>Nilai Pokok (Rp)</t>
        </is>
      </c>
      <c r="E19" s="25" t="inlineStr">
        <is>
          <t>Persoalan #1: Hitung PPMT dengan bunga 1% (0.01), periode ke-1, total 12 bulan, untuk pokok -C20!</t>
        </is>
      </c>
    </row>
    <row r="20">
      <c r="B20" s="18" t="inlineStr">
        <is>
          <t>Cabang Jakarta</t>
        </is>
      </c>
      <c r="C20" s="18" t="n">
        <v>12000000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24000000</v>
      </c>
      <c r="E21" s="26" t="n"/>
      <c r="F21" s="27">
        <f>IF(ISBLANK(E21), "⏳ Ketik rumus di sel kuning E21", IF(E21=G21, "✅ BENAR! LUAR BIASA!", "❌ Belum Tepat, Cek Kunci"))</f>
        <v/>
      </c>
      <c r="G21" s="28">
        <f>PPMT(0.01, 1, 12, -C20)</f>
        <v/>
      </c>
      <c r="H21" s="29" t="inlineStr">
        <is>
          <t>Ketik: =PPMT(0.01, 1, 12, -C20)</t>
        </is>
      </c>
    </row>
    <row r="22">
      <c r="B22" s="18" t="inlineStr">
        <is>
          <t>Cabang Surabaya</t>
        </is>
      </c>
      <c r="C22" s="18" t="n">
        <v>36000000</v>
      </c>
    </row>
    <row r="23">
      <c r="B23" s="18" t="inlineStr">
        <is>
          <t>Cabang Medan</t>
        </is>
      </c>
      <c r="C23" s="18" t="n">
        <v>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Program Kredit</t>
        </is>
      </c>
      <c r="C27" s="12" t="inlineStr">
        <is>
          <t>Nilai Pokok (Rp)</t>
        </is>
      </c>
      <c r="E27" s="25" t="inlineStr">
        <is>
          <t>Persoalan #2: Hitung PPMT dengan bunga 1% (0.01), periode ke-1, total 12 bulan, untuk pokok -C28!</t>
        </is>
      </c>
    </row>
    <row r="28">
      <c r="B28" s="18" t="inlineStr">
        <is>
          <t>Budi Santoso</t>
        </is>
      </c>
      <c r="C28" s="18" t="n">
        <v>24000000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24000000</v>
      </c>
      <c r="E29" s="26" t="n"/>
      <c r="F29" s="27">
        <f>IF(ISBLANK(E29), "⏳ Ketik rumus di sel kuning E29", IF(E29=G29, "✅ BENAR! LUAR BIASA!", "❌ Belum Tepat, Cek Kunci"))</f>
        <v/>
      </c>
      <c r="G29" s="28">
        <f>PPMT(0.01, 1, 12, -C28)</f>
        <v/>
      </c>
      <c r="H29" s="29" t="inlineStr">
        <is>
          <t>Ketik: =PPMT(0.01, 1, 12, -C28)</t>
        </is>
      </c>
    </row>
    <row r="30">
      <c r="B30" s="18" t="inlineStr">
        <is>
          <t>Andi Pratama</t>
        </is>
      </c>
      <c r="C30" s="18" t="n">
        <v>36000000</v>
      </c>
    </row>
    <row r="31">
      <c r="B31" s="18" t="inlineStr">
        <is>
          <t>Rina Wijaya</t>
        </is>
      </c>
      <c r="C31" s="18" t="n">
        <v>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Program Kredit</t>
        </is>
      </c>
      <c r="C35" s="12" t="inlineStr">
        <is>
          <t>Nilai Pokok (Rp)</t>
        </is>
      </c>
      <c r="E35" s="25" t="inlineStr">
        <is>
          <t>Persoalan #3: Hitung PPMT dengan bunga 1% (0.01), periode ke-1, total 12 bulan, untuk pokok -C36!</t>
        </is>
      </c>
    </row>
    <row r="36">
      <c r="B36" s="18" t="inlineStr">
        <is>
          <t>Gudang Blok A</t>
        </is>
      </c>
      <c r="C36" s="18" t="n">
        <v>36000000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24000000</v>
      </c>
      <c r="E37" s="26" t="n"/>
      <c r="F37" s="27">
        <f>IF(ISBLANK(E37), "⏳ Ketik rumus di sel kuning E37", IF(E37=G37, "✅ BENAR! LUAR BIASA!", "❌ Belum Tepat, Cek Kunci"))</f>
        <v/>
      </c>
      <c r="G37" s="28">
        <f>PPMT(0.01, 1, 12, -C36)</f>
        <v/>
      </c>
      <c r="H37" s="29" t="inlineStr">
        <is>
          <t>Ketik: =PPMT(0.01, 1, 12, -C36)</t>
        </is>
      </c>
    </row>
    <row r="38">
      <c r="B38" s="18" t="inlineStr">
        <is>
          <t>Gudang Blok C</t>
        </is>
      </c>
      <c r="C38" s="18" t="n">
        <v>36000000</v>
      </c>
    </row>
    <row r="39">
      <c r="B39" s="18" t="inlineStr">
        <is>
          <t>Gudang Blok D</t>
        </is>
      </c>
      <c r="C39" s="18" t="n">
        <v>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Program Kredit</t>
        </is>
      </c>
      <c r="C43" s="12" t="inlineStr">
        <is>
          <t>Nilai Pokok (Rp)</t>
        </is>
      </c>
      <c r="E43" s="25" t="inlineStr">
        <is>
          <t>Persoalan #4: Hitung PPMT dengan bunga 1% (0.01), periode ke-1, total 12 bulan, untuk pokok -C44!</t>
        </is>
      </c>
    </row>
    <row r="44">
      <c r="B44" s="18" t="inlineStr">
        <is>
          <t>Toko Elektronik</t>
        </is>
      </c>
      <c r="C44" s="18" t="n">
        <v>48000000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24000000</v>
      </c>
      <c r="E45" s="26" t="n"/>
      <c r="F45" s="27">
        <f>IF(ISBLANK(E45), "⏳ Ketik rumus di sel kuning E45", IF(E45=G45, "✅ BENAR! LUAR BIASA!", "❌ Belum Tepat, Cek Kunci"))</f>
        <v/>
      </c>
      <c r="G45" s="28">
        <f>PPMT(0.01, 1, 12, -C44)</f>
        <v/>
      </c>
      <c r="H45" s="29" t="inlineStr">
        <is>
          <t>Ketik: =PPMT(0.01, 1, 12, -C44)</t>
        </is>
      </c>
    </row>
    <row r="46">
      <c r="B46" s="18" t="inlineStr">
        <is>
          <t>Toko Aksesoris</t>
        </is>
      </c>
      <c r="C46" s="18" t="n">
        <v>36000000</v>
      </c>
    </row>
    <row r="47">
      <c r="B47" s="18" t="inlineStr">
        <is>
          <t>Toko Servis</t>
        </is>
      </c>
      <c r="C47" s="18" t="n">
        <v>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Program Kredit</t>
        </is>
      </c>
      <c r="C51" s="12" t="inlineStr">
        <is>
          <t>Nilai Pokok (Rp)</t>
        </is>
      </c>
      <c r="E51" s="25" t="inlineStr">
        <is>
          <t>Persoalan #5: Hitung PPMT dengan bunga 1% (0.01), periode ke-1, total 12 bulan, untuk pokok -C52!</t>
        </is>
      </c>
    </row>
    <row r="52">
      <c r="B52" s="18" t="inlineStr">
        <is>
          <t>Kelas 10 IPA</t>
        </is>
      </c>
      <c r="C52" s="18" t="n">
        <v>60000000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24000000</v>
      </c>
      <c r="E53" s="26" t="n"/>
      <c r="F53" s="27">
        <f>IF(ISBLANK(E53), "⏳ Ketik rumus di sel kuning E53", IF(E53=G53, "✅ BENAR! LUAR BIASA!", "❌ Belum Tepat, Cek Kunci"))</f>
        <v/>
      </c>
      <c r="G53" s="28">
        <f>PPMT(0.01, 1, 12, -C52)</f>
        <v/>
      </c>
      <c r="H53" s="29" t="inlineStr">
        <is>
          <t>Ketik: =PPMT(0.01, 1, 12, -C52)</t>
        </is>
      </c>
    </row>
    <row r="54">
      <c r="B54" s="18" t="inlineStr">
        <is>
          <t>Kelas 12 IPA</t>
        </is>
      </c>
      <c r="C54" s="18" t="n">
        <v>36000000</v>
      </c>
    </row>
    <row r="55">
      <c r="B55" s="18" t="inlineStr">
        <is>
          <t>Kelas Unggulan</t>
        </is>
      </c>
      <c r="C55" s="18" t="n">
        <v>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#087 — RUMUS EXCEL: FV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(FV)</t>
        </is>
      </c>
    </row>
    <row r="5" ht="21" customHeight="1">
      <c r="B5" s="12" t="inlineStr">
        <is>
          <t>Nama Rumus Excel</t>
        </is>
      </c>
      <c r="C5" s="13">
        <f>FV(...)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FV(bunga, jumlah_periode, setoran_rutin, [nilai_awal])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Future Value: Menghitung total uang tabungan/deposito di masa depan jika rutin menabung tiap periode.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FV)</t>
        </is>
      </c>
    </row>
    <row r="10">
      <c r="B10" s="16" t="inlineStr">
        <is>
          <t>Program Kredit</t>
        </is>
      </c>
      <c r="C10" s="16" t="inlineStr">
        <is>
          <t>Nilai Pokok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12000000</v>
      </c>
      <c r="E11" s="19" t="inlineStr">
        <is>
          <t>Kasus Contoh:</t>
        </is>
      </c>
      <c r="F11" s="20" t="inlineStr">
        <is>
          <t>Gunakan rumus FV dengan bunga 1% (0.01), tenor 12 periode, dan nilai -C11!</t>
        </is>
      </c>
    </row>
    <row r="12">
      <c r="B12" s="18" t="inlineStr">
        <is>
          <t>Cabang Bandung</t>
        </is>
      </c>
      <c r="C12" s="18" t="n">
        <v>24000000</v>
      </c>
      <c r="E12" s="19" t="inlineStr">
        <is>
          <t>Rumus yang Diketik:</t>
        </is>
      </c>
      <c r="F12" s="21" t="inlineStr">
        <is>
          <t>'=FV(0.01, 12, -C11)</t>
        </is>
      </c>
    </row>
    <row r="13">
      <c r="B13" s="18" t="inlineStr">
        <is>
          <t>Cabang Surabaya</t>
        </is>
      </c>
      <c r="C13" s="18" t="n">
        <v>36000000</v>
      </c>
      <c r="E13" s="19" t="inlineStr">
        <is>
          <t>Hasil Otomatis Excel:</t>
        </is>
      </c>
      <c r="F13" s="22">
        <f>FV(0.01, 12, -C11)</f>
        <v/>
      </c>
    </row>
    <row r="14">
      <c r="B14" s="18" t="inlineStr">
        <is>
          <t>Cabang Medan</t>
        </is>
      </c>
      <c r="C14" s="18" t="n">
        <v>50000000</v>
      </c>
    </row>
    <row r="16" ht="26" customHeight="1">
      <c r="B16" s="23" t="inlineStr">
        <is>
          <t>3️⃣ 5 PERSOALAN DUNIA NYATA (KETIK RUMUS FV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Program Kredit</t>
        </is>
      </c>
      <c r="C19" s="12" t="inlineStr">
        <is>
          <t>Nilai Pokok (Rp)</t>
        </is>
      </c>
      <c r="E19" s="25" t="inlineStr">
        <is>
          <t>Persoalan #1: Gunakan rumus FV dengan bunga 1% (0.01), tenor 12 periode, dan nilai -C20!</t>
        </is>
      </c>
    </row>
    <row r="20">
      <c r="B20" s="18" t="inlineStr">
        <is>
          <t>Cabang Jakarta</t>
        </is>
      </c>
      <c r="C20" s="18" t="n">
        <v>12000000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24000000</v>
      </c>
      <c r="E21" s="26" t="n"/>
      <c r="F21" s="27">
        <f>IF(ISBLANK(E21), "⏳ Ketik rumus di sel kuning E21", IF(E21=G21, "✅ BENAR! LUAR BIASA!", "❌ Belum Tepat, Cek Kunci"))</f>
        <v/>
      </c>
      <c r="G21" s="28">
        <f>FV(0.01, 12, -C20)</f>
        <v/>
      </c>
      <c r="H21" s="29" t="inlineStr">
        <is>
          <t>Ketik: =FV(0.01, 12, -C20)</t>
        </is>
      </c>
    </row>
    <row r="22">
      <c r="B22" s="18" t="inlineStr">
        <is>
          <t>Cabang Surabaya</t>
        </is>
      </c>
      <c r="C22" s="18" t="n">
        <v>36000000</v>
      </c>
    </row>
    <row r="23">
      <c r="B23" s="18" t="inlineStr">
        <is>
          <t>Cabang Medan</t>
        </is>
      </c>
      <c r="C23" s="18" t="n">
        <v>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Program Kredit</t>
        </is>
      </c>
      <c r="C27" s="12" t="inlineStr">
        <is>
          <t>Nilai Pokok (Rp)</t>
        </is>
      </c>
      <c r="E27" s="25" t="inlineStr">
        <is>
          <t>Persoalan #2: Gunakan rumus FV dengan bunga 1% (0.01), tenor 12 periode, dan nilai -C28!</t>
        </is>
      </c>
    </row>
    <row r="28">
      <c r="B28" s="18" t="inlineStr">
        <is>
          <t>Budi Santoso</t>
        </is>
      </c>
      <c r="C28" s="18" t="n">
        <v>24000000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24000000</v>
      </c>
      <c r="E29" s="26" t="n"/>
      <c r="F29" s="27">
        <f>IF(ISBLANK(E29), "⏳ Ketik rumus di sel kuning E29", IF(E29=G29, "✅ BENAR! LUAR BIASA!", "❌ Belum Tepat, Cek Kunci"))</f>
        <v/>
      </c>
      <c r="G29" s="28">
        <f>FV(0.01, 12, -C28)</f>
        <v/>
      </c>
      <c r="H29" s="29" t="inlineStr">
        <is>
          <t>Ketik: =FV(0.01, 12, -C28)</t>
        </is>
      </c>
    </row>
    <row r="30">
      <c r="B30" s="18" t="inlineStr">
        <is>
          <t>Andi Pratama</t>
        </is>
      </c>
      <c r="C30" s="18" t="n">
        <v>36000000</v>
      </c>
    </row>
    <row r="31">
      <c r="B31" s="18" t="inlineStr">
        <is>
          <t>Rina Wijaya</t>
        </is>
      </c>
      <c r="C31" s="18" t="n">
        <v>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Program Kredit</t>
        </is>
      </c>
      <c r="C35" s="12" t="inlineStr">
        <is>
          <t>Nilai Pokok (Rp)</t>
        </is>
      </c>
      <c r="E35" s="25" t="inlineStr">
        <is>
          <t>Persoalan #3: Gunakan rumus FV dengan bunga 1% (0.01), tenor 12 periode, dan nilai -C36!</t>
        </is>
      </c>
    </row>
    <row r="36">
      <c r="B36" s="18" t="inlineStr">
        <is>
          <t>Gudang Blok A</t>
        </is>
      </c>
      <c r="C36" s="18" t="n">
        <v>36000000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24000000</v>
      </c>
      <c r="E37" s="26" t="n"/>
      <c r="F37" s="27">
        <f>IF(ISBLANK(E37), "⏳ Ketik rumus di sel kuning E37", IF(E37=G37, "✅ BENAR! LUAR BIASA!", "❌ Belum Tepat, Cek Kunci"))</f>
        <v/>
      </c>
      <c r="G37" s="28">
        <f>FV(0.01, 12, -C36)</f>
        <v/>
      </c>
      <c r="H37" s="29" t="inlineStr">
        <is>
          <t>Ketik: =FV(0.01, 12, -C36)</t>
        </is>
      </c>
    </row>
    <row r="38">
      <c r="B38" s="18" t="inlineStr">
        <is>
          <t>Gudang Blok C</t>
        </is>
      </c>
      <c r="C38" s="18" t="n">
        <v>36000000</v>
      </c>
    </row>
    <row r="39">
      <c r="B39" s="18" t="inlineStr">
        <is>
          <t>Gudang Blok D</t>
        </is>
      </c>
      <c r="C39" s="18" t="n">
        <v>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Program Kredit</t>
        </is>
      </c>
      <c r="C43" s="12" t="inlineStr">
        <is>
          <t>Nilai Pokok (Rp)</t>
        </is>
      </c>
      <c r="E43" s="25" t="inlineStr">
        <is>
          <t>Persoalan #4: Gunakan rumus FV dengan bunga 1% (0.01), tenor 12 periode, dan nilai -C44!</t>
        </is>
      </c>
    </row>
    <row r="44">
      <c r="B44" s="18" t="inlineStr">
        <is>
          <t>Toko Elektronik</t>
        </is>
      </c>
      <c r="C44" s="18" t="n">
        <v>48000000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24000000</v>
      </c>
      <c r="E45" s="26" t="n"/>
      <c r="F45" s="27">
        <f>IF(ISBLANK(E45), "⏳ Ketik rumus di sel kuning E45", IF(E45=G45, "✅ BENAR! LUAR BIASA!", "❌ Belum Tepat, Cek Kunci"))</f>
        <v/>
      </c>
      <c r="G45" s="28">
        <f>FV(0.01, 12, -C44)</f>
        <v/>
      </c>
      <c r="H45" s="29" t="inlineStr">
        <is>
          <t>Ketik: =FV(0.01, 12, -C44)</t>
        </is>
      </c>
    </row>
    <row r="46">
      <c r="B46" s="18" t="inlineStr">
        <is>
          <t>Toko Aksesoris</t>
        </is>
      </c>
      <c r="C46" s="18" t="n">
        <v>36000000</v>
      </c>
    </row>
    <row r="47">
      <c r="B47" s="18" t="inlineStr">
        <is>
          <t>Toko Servis</t>
        </is>
      </c>
      <c r="C47" s="18" t="n">
        <v>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Program Kredit</t>
        </is>
      </c>
      <c r="C51" s="12" t="inlineStr">
        <is>
          <t>Nilai Pokok (Rp)</t>
        </is>
      </c>
      <c r="E51" s="25" t="inlineStr">
        <is>
          <t>Persoalan #5: Gunakan rumus FV dengan bunga 1% (0.01), tenor 12 periode, dan nilai -C52!</t>
        </is>
      </c>
    </row>
    <row r="52">
      <c r="B52" s="18" t="inlineStr">
        <is>
          <t>Kelas 10 IPA</t>
        </is>
      </c>
      <c r="C52" s="18" t="n">
        <v>60000000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24000000</v>
      </c>
      <c r="E53" s="26" t="n"/>
      <c r="F53" s="27">
        <f>IF(ISBLANK(E53), "⏳ Ketik rumus di sel kuning E53", IF(E53=G53, "✅ BENAR! LUAR BIASA!", "❌ Belum Tepat, Cek Kunci"))</f>
        <v/>
      </c>
      <c r="G53" s="28">
        <f>FV(0.01, 12, -C52)</f>
        <v/>
      </c>
      <c r="H53" s="29" t="inlineStr">
        <is>
          <t>Ketik: =FV(0.01, 12, -C52)</t>
        </is>
      </c>
    </row>
    <row r="54">
      <c r="B54" s="18" t="inlineStr">
        <is>
          <t>Kelas 12 IPA</t>
        </is>
      </c>
      <c r="C54" s="18" t="n">
        <v>36000000</v>
      </c>
    </row>
    <row r="55">
      <c r="B55" s="18" t="inlineStr">
        <is>
          <t>Kelas Unggulan</t>
        </is>
      </c>
      <c r="C55" s="18" t="n">
        <v>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#088 — RUMUS EXCEL: PV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(PV)</t>
        </is>
      </c>
    </row>
    <row r="5" ht="21" customHeight="1">
      <c r="B5" s="12" t="inlineStr">
        <is>
          <t>Nama Rumus Excel</t>
        </is>
      </c>
      <c r="C5" s="13">
        <f>PV(...)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PV(bunga, jumlah_periode, hasil_rutin)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Present Value: Menghitung berapa nilai uang saat ini dari rangkaian arus kas masa depan.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PV)</t>
        </is>
      </c>
    </row>
    <row r="10">
      <c r="B10" s="16" t="inlineStr">
        <is>
          <t>Program Kredit</t>
        </is>
      </c>
      <c r="C10" s="16" t="inlineStr">
        <is>
          <t>Nilai Pokok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12000000</v>
      </c>
      <c r="E11" s="19" t="inlineStr">
        <is>
          <t>Kasus Contoh:</t>
        </is>
      </c>
      <c r="F11" s="20" t="inlineStr">
        <is>
          <t>Gunakan rumus PV dengan bunga 1% (0.01), tenor 12 periode, dan nilai -C11!</t>
        </is>
      </c>
    </row>
    <row r="12">
      <c r="B12" s="18" t="inlineStr">
        <is>
          <t>Cabang Bandung</t>
        </is>
      </c>
      <c r="C12" s="18" t="n">
        <v>24000000</v>
      </c>
      <c r="E12" s="19" t="inlineStr">
        <is>
          <t>Rumus yang Diketik:</t>
        </is>
      </c>
      <c r="F12" s="21" t="inlineStr">
        <is>
          <t>'=PV(0.01, 12, -C11)</t>
        </is>
      </c>
    </row>
    <row r="13">
      <c r="B13" s="18" t="inlineStr">
        <is>
          <t>Cabang Surabaya</t>
        </is>
      </c>
      <c r="C13" s="18" t="n">
        <v>36000000</v>
      </c>
      <c r="E13" s="19" t="inlineStr">
        <is>
          <t>Hasil Otomatis Excel:</t>
        </is>
      </c>
      <c r="F13" s="22">
        <f>PV(0.01, 12, -C11)</f>
        <v/>
      </c>
    </row>
    <row r="14">
      <c r="B14" s="18" t="inlineStr">
        <is>
          <t>Cabang Medan</t>
        </is>
      </c>
      <c r="C14" s="18" t="n">
        <v>50000000</v>
      </c>
    </row>
    <row r="16" ht="26" customHeight="1">
      <c r="B16" s="23" t="inlineStr">
        <is>
          <t>3️⃣ 5 PERSOALAN DUNIA NYATA (KETIK RUMUS PV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Program Kredit</t>
        </is>
      </c>
      <c r="C19" s="12" t="inlineStr">
        <is>
          <t>Nilai Pokok (Rp)</t>
        </is>
      </c>
      <c r="E19" s="25" t="inlineStr">
        <is>
          <t>Persoalan #1: Gunakan rumus PV dengan bunga 1% (0.01), tenor 12 periode, dan nilai -C20!</t>
        </is>
      </c>
    </row>
    <row r="20">
      <c r="B20" s="18" t="inlineStr">
        <is>
          <t>Cabang Jakarta</t>
        </is>
      </c>
      <c r="C20" s="18" t="n">
        <v>12000000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24000000</v>
      </c>
      <c r="E21" s="26" t="n"/>
      <c r="F21" s="27">
        <f>IF(ISBLANK(E21), "⏳ Ketik rumus di sel kuning E21", IF(E21=G21, "✅ BENAR! LUAR BIASA!", "❌ Belum Tepat, Cek Kunci"))</f>
        <v/>
      </c>
      <c r="G21" s="28">
        <f>PV(0.01, 12, -C20)</f>
        <v/>
      </c>
      <c r="H21" s="29" t="inlineStr">
        <is>
          <t>Ketik: =PV(0.01, 12, -C20)</t>
        </is>
      </c>
    </row>
    <row r="22">
      <c r="B22" s="18" t="inlineStr">
        <is>
          <t>Cabang Surabaya</t>
        </is>
      </c>
      <c r="C22" s="18" t="n">
        <v>36000000</v>
      </c>
    </row>
    <row r="23">
      <c r="B23" s="18" t="inlineStr">
        <is>
          <t>Cabang Medan</t>
        </is>
      </c>
      <c r="C23" s="18" t="n">
        <v>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Program Kredit</t>
        </is>
      </c>
      <c r="C27" s="12" t="inlineStr">
        <is>
          <t>Nilai Pokok (Rp)</t>
        </is>
      </c>
      <c r="E27" s="25" t="inlineStr">
        <is>
          <t>Persoalan #2: Gunakan rumus PV dengan bunga 1% (0.01), tenor 12 periode, dan nilai -C28!</t>
        </is>
      </c>
    </row>
    <row r="28">
      <c r="B28" s="18" t="inlineStr">
        <is>
          <t>Budi Santoso</t>
        </is>
      </c>
      <c r="C28" s="18" t="n">
        <v>24000000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24000000</v>
      </c>
      <c r="E29" s="26" t="n"/>
      <c r="F29" s="27">
        <f>IF(ISBLANK(E29), "⏳ Ketik rumus di sel kuning E29", IF(E29=G29, "✅ BENAR! LUAR BIASA!", "❌ Belum Tepat, Cek Kunci"))</f>
        <v/>
      </c>
      <c r="G29" s="28">
        <f>PV(0.01, 12, -C28)</f>
        <v/>
      </c>
      <c r="H29" s="29" t="inlineStr">
        <is>
          <t>Ketik: =PV(0.01, 12, -C28)</t>
        </is>
      </c>
    </row>
    <row r="30">
      <c r="B30" s="18" t="inlineStr">
        <is>
          <t>Andi Pratama</t>
        </is>
      </c>
      <c r="C30" s="18" t="n">
        <v>36000000</v>
      </c>
    </row>
    <row r="31">
      <c r="B31" s="18" t="inlineStr">
        <is>
          <t>Rina Wijaya</t>
        </is>
      </c>
      <c r="C31" s="18" t="n">
        <v>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Program Kredit</t>
        </is>
      </c>
      <c r="C35" s="12" t="inlineStr">
        <is>
          <t>Nilai Pokok (Rp)</t>
        </is>
      </c>
      <c r="E35" s="25" t="inlineStr">
        <is>
          <t>Persoalan #3: Gunakan rumus PV dengan bunga 1% (0.01), tenor 12 periode, dan nilai -C36!</t>
        </is>
      </c>
    </row>
    <row r="36">
      <c r="B36" s="18" t="inlineStr">
        <is>
          <t>Gudang Blok A</t>
        </is>
      </c>
      <c r="C36" s="18" t="n">
        <v>36000000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24000000</v>
      </c>
      <c r="E37" s="26" t="n"/>
      <c r="F37" s="27">
        <f>IF(ISBLANK(E37), "⏳ Ketik rumus di sel kuning E37", IF(E37=G37, "✅ BENAR! LUAR BIASA!", "❌ Belum Tepat, Cek Kunci"))</f>
        <v/>
      </c>
      <c r="G37" s="28">
        <f>PV(0.01, 12, -C36)</f>
        <v/>
      </c>
      <c r="H37" s="29" t="inlineStr">
        <is>
          <t>Ketik: =PV(0.01, 12, -C36)</t>
        </is>
      </c>
    </row>
    <row r="38">
      <c r="B38" s="18" t="inlineStr">
        <is>
          <t>Gudang Blok C</t>
        </is>
      </c>
      <c r="C38" s="18" t="n">
        <v>36000000</v>
      </c>
    </row>
    <row r="39">
      <c r="B39" s="18" t="inlineStr">
        <is>
          <t>Gudang Blok D</t>
        </is>
      </c>
      <c r="C39" s="18" t="n">
        <v>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Program Kredit</t>
        </is>
      </c>
      <c r="C43" s="12" t="inlineStr">
        <is>
          <t>Nilai Pokok (Rp)</t>
        </is>
      </c>
      <c r="E43" s="25" t="inlineStr">
        <is>
          <t>Persoalan #4: Gunakan rumus PV dengan bunga 1% (0.01), tenor 12 periode, dan nilai -C44!</t>
        </is>
      </c>
    </row>
    <row r="44">
      <c r="B44" s="18" t="inlineStr">
        <is>
          <t>Toko Elektronik</t>
        </is>
      </c>
      <c r="C44" s="18" t="n">
        <v>48000000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24000000</v>
      </c>
      <c r="E45" s="26" t="n"/>
      <c r="F45" s="27">
        <f>IF(ISBLANK(E45), "⏳ Ketik rumus di sel kuning E45", IF(E45=G45, "✅ BENAR! LUAR BIASA!", "❌ Belum Tepat, Cek Kunci"))</f>
        <v/>
      </c>
      <c r="G45" s="28">
        <f>PV(0.01, 12, -C44)</f>
        <v/>
      </c>
      <c r="H45" s="29" t="inlineStr">
        <is>
          <t>Ketik: =PV(0.01, 12, -C44)</t>
        </is>
      </c>
    </row>
    <row r="46">
      <c r="B46" s="18" t="inlineStr">
        <is>
          <t>Toko Aksesoris</t>
        </is>
      </c>
      <c r="C46" s="18" t="n">
        <v>36000000</v>
      </c>
    </row>
    <row r="47">
      <c r="B47" s="18" t="inlineStr">
        <is>
          <t>Toko Servis</t>
        </is>
      </c>
      <c r="C47" s="18" t="n">
        <v>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Program Kredit</t>
        </is>
      </c>
      <c r="C51" s="12" t="inlineStr">
        <is>
          <t>Nilai Pokok (Rp)</t>
        </is>
      </c>
      <c r="E51" s="25" t="inlineStr">
        <is>
          <t>Persoalan #5: Gunakan rumus PV dengan bunga 1% (0.01), tenor 12 periode, dan nilai -C52!</t>
        </is>
      </c>
    </row>
    <row r="52">
      <c r="B52" s="18" t="inlineStr">
        <is>
          <t>Kelas 10 IPA</t>
        </is>
      </c>
      <c r="C52" s="18" t="n">
        <v>60000000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24000000</v>
      </c>
      <c r="E53" s="26" t="n"/>
      <c r="F53" s="27">
        <f>IF(ISBLANK(E53), "⏳ Ketik rumus di sel kuning E53", IF(E53=G53, "✅ BENAR! LUAR BIASA!", "❌ Belum Tepat, Cek Kunci"))</f>
        <v/>
      </c>
      <c r="G53" s="28">
        <f>PV(0.01, 12, -C52)</f>
        <v/>
      </c>
      <c r="H53" s="29" t="inlineStr">
        <is>
          <t>Ketik: =PV(0.01, 12, -C52)</t>
        </is>
      </c>
    </row>
    <row r="54">
      <c r="B54" s="18" t="inlineStr">
        <is>
          <t>Kelas 12 IPA</t>
        </is>
      </c>
      <c r="C54" s="18" t="n">
        <v>36000000</v>
      </c>
    </row>
    <row r="55">
      <c r="B55" s="18" t="inlineStr">
        <is>
          <t>Kelas Unggulan</t>
        </is>
      </c>
      <c r="C55" s="18" t="n">
        <v>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#089 — RUMUS EXCEL: NPV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(NPV)</t>
        </is>
      </c>
    </row>
    <row r="5" ht="21" customHeight="1">
      <c r="B5" s="12" t="inlineStr">
        <is>
          <t>Nama Rumus Excel</t>
        </is>
      </c>
      <c r="C5" s="13">
        <f>NPV(...)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NPV(suku_diskonto, arus_kas1, arus_kas2,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Net Present Value: Mengukur apakah sebuah proyek investasi menguntungkan atau merugikan dibanding bunga bank.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NPV)</t>
        </is>
      </c>
    </row>
    <row r="10">
      <c r="B10" s="16" t="inlineStr">
        <is>
          <t>Periode Arus Kas</t>
        </is>
      </c>
      <c r="C10" s="16" t="inlineStr">
        <is>
          <t>Nilai Arus Kas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1000000</v>
      </c>
      <c r="E11" s="19" t="inlineStr">
        <is>
          <t>Kasus Contoh:</t>
        </is>
      </c>
      <c r="F11" s="20" t="inlineStr">
        <is>
          <t>Hitung Net Present Value (NPV) dengan bunga diskonto 10% (0.1) untuk arus kas di C11:C14 menggunakan rumus NPV!</t>
        </is>
      </c>
    </row>
    <row r="12">
      <c r="B12" s="18" t="inlineStr">
        <is>
          <t>Cabang Bandung</t>
        </is>
      </c>
      <c r="C12" s="18" t="n">
        <v>1500000</v>
      </c>
      <c r="E12" s="19" t="inlineStr">
        <is>
          <t>Rumus yang Diketik:</t>
        </is>
      </c>
      <c r="F12" s="21" t="inlineStr">
        <is>
          <t>'=NPV(0.1, C11:C14)</t>
        </is>
      </c>
    </row>
    <row r="13">
      <c r="B13" s="18" t="inlineStr">
        <is>
          <t>Cabang Surabaya</t>
        </is>
      </c>
      <c r="C13" s="18" t="n">
        <v>1800000</v>
      </c>
      <c r="E13" s="19" t="inlineStr">
        <is>
          <t>Hasil Otomatis Excel:</t>
        </is>
      </c>
      <c r="F13" s="22">
        <f>NPV(0.1, C11:C14)</f>
        <v/>
      </c>
    </row>
    <row r="14">
      <c r="B14" s="18" t="inlineStr">
        <is>
          <t>Cabang Medan</t>
        </is>
      </c>
      <c r="C14" s="18" t="n">
        <v>2200000</v>
      </c>
    </row>
    <row r="16" ht="26" customHeight="1">
      <c r="B16" s="23" t="inlineStr">
        <is>
          <t>3️⃣ 5 PERSOALAN DUNIA NYATA (KETIK RUMUS NPV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Periode Arus Kas</t>
        </is>
      </c>
      <c r="C19" s="12" t="inlineStr">
        <is>
          <t>Nilai Arus Kas</t>
        </is>
      </c>
      <c r="E19" s="25" t="inlineStr">
        <is>
          <t>Persoalan #1: Hitung Net Present Value (NPV) dengan bunga diskonto 10% (0.1) untuk arus kas di C20:C23 menggunakan rumus NPV!</t>
        </is>
      </c>
    </row>
    <row r="20">
      <c r="B20" s="18" t="inlineStr">
        <is>
          <t>Cabang Jakarta</t>
        </is>
      </c>
      <c r="C20" s="18" t="n">
        <v>1000000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1500000</v>
      </c>
      <c r="E21" s="26" t="n"/>
      <c r="F21" s="27">
        <f>IF(ISBLANK(E21), "⏳ Ketik rumus di sel kuning E21", IF(E21=G21, "✅ BENAR! LUAR BIASA!", "❌ Belum Tepat, Cek Kunci"))</f>
        <v/>
      </c>
      <c r="G21" s="28">
        <f>NPV(0.1, C20:C23)</f>
        <v/>
      </c>
      <c r="H21" s="29" t="inlineStr">
        <is>
          <t>Ketik: =NPV(0.1, C20:C23)</t>
        </is>
      </c>
    </row>
    <row r="22">
      <c r="B22" s="18" t="inlineStr">
        <is>
          <t>Cabang Surabaya</t>
        </is>
      </c>
      <c r="C22" s="18" t="n">
        <v>1800000</v>
      </c>
    </row>
    <row r="23">
      <c r="B23" s="18" t="inlineStr">
        <is>
          <t>Cabang Medan</t>
        </is>
      </c>
      <c r="C23" s="18" t="n">
        <v>2200000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Periode Arus Kas</t>
        </is>
      </c>
      <c r="C27" s="12" t="inlineStr">
        <is>
          <t>Nilai Arus Kas</t>
        </is>
      </c>
      <c r="E27" s="25" t="inlineStr">
        <is>
          <t>Persoalan #2: Hitung Net Present Value (NPV) dengan bunga diskonto 10% (0.1) untuk arus kas di C28:C31 menggunakan rumus NPV!</t>
        </is>
      </c>
    </row>
    <row r="28">
      <c r="B28" s="18" t="inlineStr">
        <is>
          <t>Budi Santoso</t>
        </is>
      </c>
      <c r="C28" s="18" t="n">
        <v>2000000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3000000</v>
      </c>
      <c r="E29" s="26" t="n"/>
      <c r="F29" s="27">
        <f>IF(ISBLANK(E29), "⏳ Ketik rumus di sel kuning E29", IF(E29=G29, "✅ BENAR! LUAR BIASA!", "❌ Belum Tepat, Cek Kunci"))</f>
        <v/>
      </c>
      <c r="G29" s="28">
        <f>NPV(0.1, C28:C31)</f>
        <v/>
      </c>
      <c r="H29" s="29" t="inlineStr">
        <is>
          <t>Ketik: =NPV(0.1, C28:C31)</t>
        </is>
      </c>
    </row>
    <row r="30">
      <c r="B30" s="18" t="inlineStr">
        <is>
          <t>Andi Pratama</t>
        </is>
      </c>
      <c r="C30" s="18" t="n">
        <v>3600000</v>
      </c>
    </row>
    <row r="31">
      <c r="B31" s="18" t="inlineStr">
        <is>
          <t>Rina Wijaya</t>
        </is>
      </c>
      <c r="C31" s="18" t="n">
        <v>4400000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Periode Arus Kas</t>
        </is>
      </c>
      <c r="C35" s="12" t="inlineStr">
        <is>
          <t>Nilai Arus Kas</t>
        </is>
      </c>
      <c r="E35" s="25" t="inlineStr">
        <is>
          <t>Persoalan #3: Hitung Net Present Value (NPV) dengan bunga diskonto 10% (0.1) untuk arus kas di C36:C39 menggunakan rumus NPV!</t>
        </is>
      </c>
    </row>
    <row r="36">
      <c r="B36" s="18" t="inlineStr">
        <is>
          <t>Gudang Blok A</t>
        </is>
      </c>
      <c r="C36" s="18" t="n">
        <v>3000000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4500000</v>
      </c>
      <c r="E37" s="26" t="n"/>
      <c r="F37" s="27">
        <f>IF(ISBLANK(E37), "⏳ Ketik rumus di sel kuning E37", IF(E37=G37, "✅ BENAR! LUAR BIASA!", "❌ Belum Tepat, Cek Kunci"))</f>
        <v/>
      </c>
      <c r="G37" s="28">
        <f>NPV(0.1, C36:C39)</f>
        <v/>
      </c>
      <c r="H37" s="29" t="inlineStr">
        <is>
          <t>Ketik: =NPV(0.1, C36:C39)</t>
        </is>
      </c>
    </row>
    <row r="38">
      <c r="B38" s="18" t="inlineStr">
        <is>
          <t>Gudang Blok C</t>
        </is>
      </c>
      <c r="C38" s="18" t="n">
        <v>5400000</v>
      </c>
    </row>
    <row r="39">
      <c r="B39" s="18" t="inlineStr">
        <is>
          <t>Gudang Blok D</t>
        </is>
      </c>
      <c r="C39" s="18" t="n">
        <v>6600000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Periode Arus Kas</t>
        </is>
      </c>
      <c r="C43" s="12" t="inlineStr">
        <is>
          <t>Nilai Arus Kas</t>
        </is>
      </c>
      <c r="E43" s="25" t="inlineStr">
        <is>
          <t>Persoalan #4: Hitung Net Present Value (NPV) dengan bunga diskonto 10% (0.1) untuk arus kas di C44:C47 menggunakan rumus NPV!</t>
        </is>
      </c>
    </row>
    <row r="44">
      <c r="B44" s="18" t="inlineStr">
        <is>
          <t>Toko Elektronik</t>
        </is>
      </c>
      <c r="C44" s="18" t="n">
        <v>4000000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6000000</v>
      </c>
      <c r="E45" s="26" t="n"/>
      <c r="F45" s="27">
        <f>IF(ISBLANK(E45), "⏳ Ketik rumus di sel kuning E45", IF(E45=G45, "✅ BENAR! LUAR BIASA!", "❌ Belum Tepat, Cek Kunci"))</f>
        <v/>
      </c>
      <c r="G45" s="28">
        <f>NPV(0.1, C44:C47)</f>
        <v/>
      </c>
      <c r="H45" s="29" t="inlineStr">
        <is>
          <t>Ketik: =NPV(0.1, C44:C47)</t>
        </is>
      </c>
    </row>
    <row r="46">
      <c r="B46" s="18" t="inlineStr">
        <is>
          <t>Toko Aksesoris</t>
        </is>
      </c>
      <c r="C46" s="18" t="n">
        <v>7200000</v>
      </c>
    </row>
    <row r="47">
      <c r="B47" s="18" t="inlineStr">
        <is>
          <t>Toko Servis</t>
        </is>
      </c>
      <c r="C47" s="18" t="n">
        <v>8800000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Periode Arus Kas</t>
        </is>
      </c>
      <c r="C51" s="12" t="inlineStr">
        <is>
          <t>Nilai Arus Kas</t>
        </is>
      </c>
      <c r="E51" s="25" t="inlineStr">
        <is>
          <t>Persoalan #5: Hitung Net Present Value (NPV) dengan bunga diskonto 10% (0.1) untuk arus kas di C52:C55 menggunakan rumus NPV!</t>
        </is>
      </c>
    </row>
    <row r="52">
      <c r="B52" s="18" t="inlineStr">
        <is>
          <t>Kelas 10 IPA</t>
        </is>
      </c>
      <c r="C52" s="18" t="n">
        <v>5000000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7500000</v>
      </c>
      <c r="E53" s="26" t="n"/>
      <c r="F53" s="27">
        <f>IF(ISBLANK(E53), "⏳ Ketik rumus di sel kuning E53", IF(E53=G53, "✅ BENAR! LUAR BIASA!", "❌ Belum Tepat, Cek Kunci"))</f>
        <v/>
      </c>
      <c r="G53" s="28">
        <f>NPV(0.1, C52:C55)</f>
        <v/>
      </c>
      <c r="H53" s="29" t="inlineStr">
        <is>
          <t>Ketik: =NPV(0.1, C52:C55)</t>
        </is>
      </c>
    </row>
    <row r="54">
      <c r="B54" s="18" t="inlineStr">
        <is>
          <t>Kelas 12 IPA</t>
        </is>
      </c>
      <c r="C54" s="18" t="n">
        <v>9000000</v>
      </c>
    </row>
    <row r="55">
      <c r="B55" s="18" t="inlineStr">
        <is>
          <t>Kelas Unggulan</t>
        </is>
      </c>
      <c r="C55" s="18" t="n">
        <v>11000000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#090 — RUMUS EXCEL: SLN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(SLN)</t>
        </is>
      </c>
    </row>
    <row r="5" ht="21" customHeight="1">
      <c r="B5" s="12" t="inlineStr">
        <is>
          <t>Nama Rumus Excel</t>
        </is>
      </c>
      <c r="C5" s="13">
        <f>SLN(...)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SLN(harga_beli, nilai_sisa, umur_ekonomis)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Straight-Line Depreciation: Menghitung biaya penyusutan aset kantor (mesin/kendaraan) metode garis lurus per tahun.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SLN)</t>
        </is>
      </c>
    </row>
    <row r="10">
      <c r="B10" s="16" t="inlineStr">
        <is>
          <t>Nama Aset Mesin</t>
        </is>
      </c>
      <c r="C10" s="16" t="inlineStr">
        <is>
          <t>Harga Perolehan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50000000</v>
      </c>
      <c r="E11" s="19" t="inlineStr">
        <is>
          <t>Kasus Contoh:</t>
        </is>
      </c>
      <c r="F11" s="20" t="inlineStr">
        <is>
          <t>Hitung penyusutan SLN dengan harga beli C11, nilai sisa 5000000, dan umur 5 tahun!</t>
        </is>
      </c>
    </row>
    <row r="12">
      <c r="B12" s="18" t="inlineStr">
        <is>
          <t>Cabang Bandung</t>
        </is>
      </c>
      <c r="C12" s="18" t="n">
        <v>80000000</v>
      </c>
      <c r="E12" s="19" t="inlineStr">
        <is>
          <t>Rumus yang Diketik:</t>
        </is>
      </c>
      <c r="F12" s="21" t="inlineStr">
        <is>
          <t>'=SLN(C11, 5000000, 5)</t>
        </is>
      </c>
    </row>
    <row r="13">
      <c r="B13" s="18" t="inlineStr">
        <is>
          <t>Cabang Surabaya</t>
        </is>
      </c>
      <c r="C13" s="18" t="n">
        <v>120000000</v>
      </c>
      <c r="E13" s="19" t="inlineStr">
        <is>
          <t>Hasil Otomatis Excel:</t>
        </is>
      </c>
      <c r="F13" s="22">
        <f>SLN(C11, 5000000, 5)</f>
        <v/>
      </c>
    </row>
    <row r="14">
      <c r="B14" s="18" t="inlineStr">
        <is>
          <t>Cabang Medan</t>
        </is>
      </c>
      <c r="C14" s="18" t="n">
        <v>150000000</v>
      </c>
    </row>
    <row r="16" ht="26" customHeight="1">
      <c r="B16" s="23" t="inlineStr">
        <is>
          <t>3️⃣ 5 PERSOALAN DUNIA NYATA (KETIK RUMUS SLN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Aset Mesin</t>
        </is>
      </c>
      <c r="C19" s="12" t="inlineStr">
        <is>
          <t>Harga Perolehan</t>
        </is>
      </c>
      <c r="E19" s="25" t="inlineStr">
        <is>
          <t>Persoalan #1: Hitung penyusutan SLN dengan harga beli C20, nilai sisa 5000000, dan umur 5 tahun!</t>
        </is>
      </c>
    </row>
    <row r="20">
      <c r="B20" s="18" t="inlineStr">
        <is>
          <t>Cabang Jakarta</t>
        </is>
      </c>
      <c r="C20" s="18" t="n">
        <v>50000000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80000000</v>
      </c>
      <c r="E21" s="26" t="n"/>
      <c r="F21" s="27">
        <f>IF(ISBLANK(E21), "⏳ Ketik rumus di sel kuning E21", IF(E21=G21, "✅ BENAR! LUAR BIASA!", "❌ Belum Tepat, Cek Kunci"))</f>
        <v/>
      </c>
      <c r="G21" s="28">
        <f>SLN(C20, 5000000, 5)</f>
        <v/>
      </c>
      <c r="H21" s="29" t="inlineStr">
        <is>
          <t>Ketik: =SLN(C20, 5000000, 5)</t>
        </is>
      </c>
    </row>
    <row r="22">
      <c r="B22" s="18" t="inlineStr">
        <is>
          <t>Cabang Surabaya</t>
        </is>
      </c>
      <c r="C22" s="18" t="n">
        <v>120000000</v>
      </c>
    </row>
    <row r="23">
      <c r="B23" s="18" t="inlineStr">
        <is>
          <t>Cabang Medan</t>
        </is>
      </c>
      <c r="C23" s="18" t="n">
        <v>150000000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Aset Mesin</t>
        </is>
      </c>
      <c r="C27" s="12" t="inlineStr">
        <is>
          <t>Harga Perolehan</t>
        </is>
      </c>
      <c r="E27" s="25" t="inlineStr">
        <is>
          <t>Persoalan #2: Hitung penyusutan SLN dengan harga beli C28, nilai sisa 5000000, dan umur 5 tahun!</t>
        </is>
      </c>
    </row>
    <row r="28">
      <c r="B28" s="18" t="inlineStr">
        <is>
          <t>Budi Santoso</t>
        </is>
      </c>
      <c r="C28" s="18" t="n">
        <v>100000000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80000000</v>
      </c>
      <c r="E29" s="26" t="n"/>
      <c r="F29" s="27">
        <f>IF(ISBLANK(E29), "⏳ Ketik rumus di sel kuning E29", IF(E29=G29, "✅ BENAR! LUAR BIASA!", "❌ Belum Tepat, Cek Kunci"))</f>
        <v/>
      </c>
      <c r="G29" s="28">
        <f>SLN(C28, 5000000, 5)</f>
        <v/>
      </c>
      <c r="H29" s="29" t="inlineStr">
        <is>
          <t>Ketik: =SLN(C28, 5000000, 5)</t>
        </is>
      </c>
    </row>
    <row r="30">
      <c r="B30" s="18" t="inlineStr">
        <is>
          <t>Andi Pratama</t>
        </is>
      </c>
      <c r="C30" s="18" t="n">
        <v>120000000</v>
      </c>
    </row>
    <row r="31">
      <c r="B31" s="18" t="inlineStr">
        <is>
          <t>Rina Wijaya</t>
        </is>
      </c>
      <c r="C31" s="18" t="n">
        <v>150000000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Aset Mesin</t>
        </is>
      </c>
      <c r="C35" s="12" t="inlineStr">
        <is>
          <t>Harga Perolehan</t>
        </is>
      </c>
      <c r="E35" s="25" t="inlineStr">
        <is>
          <t>Persoalan #3: Hitung penyusutan SLN dengan harga beli C36, nilai sisa 5000000, dan umur 5 tahun!</t>
        </is>
      </c>
    </row>
    <row r="36">
      <c r="B36" s="18" t="inlineStr">
        <is>
          <t>Gudang Blok A</t>
        </is>
      </c>
      <c r="C36" s="18" t="n">
        <v>150000000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80000000</v>
      </c>
      <c r="E37" s="26" t="n"/>
      <c r="F37" s="27">
        <f>IF(ISBLANK(E37), "⏳ Ketik rumus di sel kuning E37", IF(E37=G37, "✅ BENAR! LUAR BIASA!", "❌ Belum Tepat, Cek Kunci"))</f>
        <v/>
      </c>
      <c r="G37" s="28">
        <f>SLN(C36, 5000000, 5)</f>
        <v/>
      </c>
      <c r="H37" s="29" t="inlineStr">
        <is>
          <t>Ketik: =SLN(C36, 5000000, 5)</t>
        </is>
      </c>
    </row>
    <row r="38">
      <c r="B38" s="18" t="inlineStr">
        <is>
          <t>Gudang Blok C</t>
        </is>
      </c>
      <c r="C38" s="18" t="n">
        <v>120000000</v>
      </c>
    </row>
    <row r="39">
      <c r="B39" s="18" t="inlineStr">
        <is>
          <t>Gudang Blok D</t>
        </is>
      </c>
      <c r="C39" s="18" t="n">
        <v>150000000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Aset Mesin</t>
        </is>
      </c>
      <c r="C43" s="12" t="inlineStr">
        <is>
          <t>Harga Perolehan</t>
        </is>
      </c>
      <c r="E43" s="25" t="inlineStr">
        <is>
          <t>Persoalan #4: Hitung penyusutan SLN dengan harga beli C44, nilai sisa 5000000, dan umur 5 tahun!</t>
        </is>
      </c>
    </row>
    <row r="44">
      <c r="B44" s="18" t="inlineStr">
        <is>
          <t>Toko Elektronik</t>
        </is>
      </c>
      <c r="C44" s="18" t="n">
        <v>200000000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80000000</v>
      </c>
      <c r="E45" s="26" t="n"/>
      <c r="F45" s="27">
        <f>IF(ISBLANK(E45), "⏳ Ketik rumus di sel kuning E45", IF(E45=G45, "✅ BENAR! LUAR BIASA!", "❌ Belum Tepat, Cek Kunci"))</f>
        <v/>
      </c>
      <c r="G45" s="28">
        <f>SLN(C44, 5000000, 5)</f>
        <v/>
      </c>
      <c r="H45" s="29" t="inlineStr">
        <is>
          <t>Ketik: =SLN(C44, 5000000, 5)</t>
        </is>
      </c>
    </row>
    <row r="46">
      <c r="B46" s="18" t="inlineStr">
        <is>
          <t>Toko Aksesoris</t>
        </is>
      </c>
      <c r="C46" s="18" t="n">
        <v>120000000</v>
      </c>
    </row>
    <row r="47">
      <c r="B47" s="18" t="inlineStr">
        <is>
          <t>Toko Servis</t>
        </is>
      </c>
      <c r="C47" s="18" t="n">
        <v>150000000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Aset Mesin</t>
        </is>
      </c>
      <c r="C51" s="12" t="inlineStr">
        <is>
          <t>Harga Perolehan</t>
        </is>
      </c>
      <c r="E51" s="25" t="inlineStr">
        <is>
          <t>Persoalan #5: Hitung penyusutan SLN dengan harga beli C52, nilai sisa 5000000, dan umur 5 tahun!</t>
        </is>
      </c>
    </row>
    <row r="52">
      <c r="B52" s="18" t="inlineStr">
        <is>
          <t>Kelas 10 IPA</t>
        </is>
      </c>
      <c r="C52" s="18" t="n">
        <v>250000000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80000000</v>
      </c>
      <c r="E53" s="26" t="n"/>
      <c r="F53" s="27">
        <f>IF(ISBLANK(E53), "⏳ Ketik rumus di sel kuning E53", IF(E53=G53, "✅ BENAR! LUAR BIASA!", "❌ Belum Tepat, Cek Kunci"))</f>
        <v/>
      </c>
      <c r="G53" s="28">
        <f>SLN(C52, 5000000, 5)</f>
        <v/>
      </c>
      <c r="H53" s="29" t="inlineStr">
        <is>
          <t>Ketik: =SLN(C52, 5000000, 5)</t>
        </is>
      </c>
    </row>
    <row r="54">
      <c r="B54" s="18" t="inlineStr">
        <is>
          <t>Kelas 12 IPA</t>
        </is>
      </c>
      <c r="C54" s="18" t="n">
        <v>120000000</v>
      </c>
    </row>
    <row r="55">
      <c r="B55" s="18" t="inlineStr">
        <is>
          <t>Kelas Unggulan</t>
        </is>
      </c>
      <c r="C55" s="18" t="n">
        <v>150000000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#091 — RUMUS EXCEL: SYD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(SYD)</t>
        </is>
      </c>
    </row>
    <row r="5" ht="21" customHeight="1">
      <c r="B5" s="12" t="inlineStr">
        <is>
          <t>Nama Rumus Excel</t>
        </is>
      </c>
      <c r="C5" s="13">
        <f>SYD(...)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SYD(harga_beli, nilai_sisa, umur, periode)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penyusutan aset dengan metode jumlah angka tahun (Sum-of-Years' Digits).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SYD)</t>
        </is>
      </c>
    </row>
    <row r="10">
      <c r="B10" s="16" t="inlineStr">
        <is>
          <t>Nama Aset Mesin</t>
        </is>
      </c>
      <c r="C10" s="16" t="inlineStr">
        <is>
          <t>Harga Perolehan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50000000</v>
      </c>
      <c r="E11" s="19" t="inlineStr">
        <is>
          <t>Kasus Contoh:</t>
        </is>
      </c>
      <c r="F11" s="20" t="inlineStr">
        <is>
          <t>Hitung penyusutan SYD dengan harga beli C11, nilai sisa 5000000, umur 5 tahun, periode ke-1!</t>
        </is>
      </c>
    </row>
    <row r="12">
      <c r="B12" s="18" t="inlineStr">
        <is>
          <t>Cabang Bandung</t>
        </is>
      </c>
      <c r="C12" s="18" t="n">
        <v>80000000</v>
      </c>
      <c r="E12" s="19" t="inlineStr">
        <is>
          <t>Rumus yang Diketik:</t>
        </is>
      </c>
      <c r="F12" s="21" t="inlineStr">
        <is>
          <t>'=SYD(C11, 5000000, 5, 1)</t>
        </is>
      </c>
    </row>
    <row r="13">
      <c r="B13" s="18" t="inlineStr">
        <is>
          <t>Cabang Surabaya</t>
        </is>
      </c>
      <c r="C13" s="18" t="n">
        <v>120000000</v>
      </c>
      <c r="E13" s="19" t="inlineStr">
        <is>
          <t>Hasil Otomatis Excel:</t>
        </is>
      </c>
      <c r="F13" s="22">
        <f>SYD(C11, 5000000, 5, 1)</f>
        <v/>
      </c>
    </row>
    <row r="14">
      <c r="B14" s="18" t="inlineStr">
        <is>
          <t>Cabang Medan</t>
        </is>
      </c>
      <c r="C14" s="18" t="n">
        <v>150000000</v>
      </c>
    </row>
    <row r="16" ht="26" customHeight="1">
      <c r="B16" s="23" t="inlineStr">
        <is>
          <t>3️⃣ 5 PERSOALAN DUNIA NYATA (KETIK RUMUS SYD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Aset Mesin</t>
        </is>
      </c>
      <c r="C19" s="12" t="inlineStr">
        <is>
          <t>Harga Perolehan</t>
        </is>
      </c>
      <c r="E19" s="25" t="inlineStr">
        <is>
          <t>Persoalan #1: Hitung penyusutan SYD dengan harga beli C20, nilai sisa 5000000, umur 5 tahun, periode ke-1!</t>
        </is>
      </c>
    </row>
    <row r="20">
      <c r="B20" s="18" t="inlineStr">
        <is>
          <t>Cabang Jakarta</t>
        </is>
      </c>
      <c r="C20" s="18" t="n">
        <v>50000000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80000000</v>
      </c>
      <c r="E21" s="26" t="n"/>
      <c r="F21" s="27">
        <f>IF(ISBLANK(E21), "⏳ Ketik rumus di sel kuning E21", IF(E21=G21, "✅ BENAR! LUAR BIASA!", "❌ Belum Tepat, Cek Kunci"))</f>
        <v/>
      </c>
      <c r="G21" s="28">
        <f>SYD(C20, 5000000, 5, 1)</f>
        <v/>
      </c>
      <c r="H21" s="29" t="inlineStr">
        <is>
          <t>Ketik: =SYD(C20, 5000000, 5, 1)</t>
        </is>
      </c>
    </row>
    <row r="22">
      <c r="B22" s="18" t="inlineStr">
        <is>
          <t>Cabang Surabaya</t>
        </is>
      </c>
      <c r="C22" s="18" t="n">
        <v>120000000</v>
      </c>
    </row>
    <row r="23">
      <c r="B23" s="18" t="inlineStr">
        <is>
          <t>Cabang Medan</t>
        </is>
      </c>
      <c r="C23" s="18" t="n">
        <v>150000000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Aset Mesin</t>
        </is>
      </c>
      <c r="C27" s="12" t="inlineStr">
        <is>
          <t>Harga Perolehan</t>
        </is>
      </c>
      <c r="E27" s="25" t="inlineStr">
        <is>
          <t>Persoalan #2: Hitung penyusutan SYD dengan harga beli C28, nilai sisa 5000000, umur 5 tahun, periode ke-1!</t>
        </is>
      </c>
    </row>
    <row r="28">
      <c r="B28" s="18" t="inlineStr">
        <is>
          <t>Budi Santoso</t>
        </is>
      </c>
      <c r="C28" s="18" t="n">
        <v>100000000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80000000</v>
      </c>
      <c r="E29" s="26" t="n"/>
      <c r="F29" s="27">
        <f>IF(ISBLANK(E29), "⏳ Ketik rumus di sel kuning E29", IF(E29=G29, "✅ BENAR! LUAR BIASA!", "❌ Belum Tepat, Cek Kunci"))</f>
        <v/>
      </c>
      <c r="G29" s="28">
        <f>SYD(C28, 5000000, 5, 1)</f>
        <v/>
      </c>
      <c r="H29" s="29" t="inlineStr">
        <is>
          <t>Ketik: =SYD(C28, 5000000, 5, 1)</t>
        </is>
      </c>
    </row>
    <row r="30">
      <c r="B30" s="18" t="inlineStr">
        <is>
          <t>Andi Pratama</t>
        </is>
      </c>
      <c r="C30" s="18" t="n">
        <v>120000000</v>
      </c>
    </row>
    <row r="31">
      <c r="B31" s="18" t="inlineStr">
        <is>
          <t>Rina Wijaya</t>
        </is>
      </c>
      <c r="C31" s="18" t="n">
        <v>150000000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Aset Mesin</t>
        </is>
      </c>
      <c r="C35" s="12" t="inlineStr">
        <is>
          <t>Harga Perolehan</t>
        </is>
      </c>
      <c r="E35" s="25" t="inlineStr">
        <is>
          <t>Persoalan #3: Hitung penyusutan SYD dengan harga beli C36, nilai sisa 5000000, umur 5 tahun, periode ke-1!</t>
        </is>
      </c>
    </row>
    <row r="36">
      <c r="B36" s="18" t="inlineStr">
        <is>
          <t>Gudang Blok A</t>
        </is>
      </c>
      <c r="C36" s="18" t="n">
        <v>150000000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80000000</v>
      </c>
      <c r="E37" s="26" t="n"/>
      <c r="F37" s="27">
        <f>IF(ISBLANK(E37), "⏳ Ketik rumus di sel kuning E37", IF(E37=G37, "✅ BENAR! LUAR BIASA!", "❌ Belum Tepat, Cek Kunci"))</f>
        <v/>
      </c>
      <c r="G37" s="28">
        <f>SYD(C36, 5000000, 5, 1)</f>
        <v/>
      </c>
      <c r="H37" s="29" t="inlineStr">
        <is>
          <t>Ketik: =SYD(C36, 5000000, 5, 1)</t>
        </is>
      </c>
    </row>
    <row r="38">
      <c r="B38" s="18" t="inlineStr">
        <is>
          <t>Gudang Blok C</t>
        </is>
      </c>
      <c r="C38" s="18" t="n">
        <v>120000000</v>
      </c>
    </row>
    <row r="39">
      <c r="B39" s="18" t="inlineStr">
        <is>
          <t>Gudang Blok D</t>
        </is>
      </c>
      <c r="C39" s="18" t="n">
        <v>150000000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Aset Mesin</t>
        </is>
      </c>
      <c r="C43" s="12" t="inlineStr">
        <is>
          <t>Harga Perolehan</t>
        </is>
      </c>
      <c r="E43" s="25" t="inlineStr">
        <is>
          <t>Persoalan #4: Hitung penyusutan SYD dengan harga beli C44, nilai sisa 5000000, umur 5 tahun, periode ke-1!</t>
        </is>
      </c>
    </row>
    <row r="44">
      <c r="B44" s="18" t="inlineStr">
        <is>
          <t>Toko Elektronik</t>
        </is>
      </c>
      <c r="C44" s="18" t="n">
        <v>200000000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80000000</v>
      </c>
      <c r="E45" s="26" t="n"/>
      <c r="F45" s="27">
        <f>IF(ISBLANK(E45), "⏳ Ketik rumus di sel kuning E45", IF(E45=G45, "✅ BENAR! LUAR BIASA!", "❌ Belum Tepat, Cek Kunci"))</f>
        <v/>
      </c>
      <c r="G45" s="28">
        <f>SYD(C44, 5000000, 5, 1)</f>
        <v/>
      </c>
      <c r="H45" s="29" t="inlineStr">
        <is>
          <t>Ketik: =SYD(C44, 5000000, 5, 1)</t>
        </is>
      </c>
    </row>
    <row r="46">
      <c r="B46" s="18" t="inlineStr">
        <is>
          <t>Toko Aksesoris</t>
        </is>
      </c>
      <c r="C46" s="18" t="n">
        <v>120000000</v>
      </c>
    </row>
    <row r="47">
      <c r="B47" s="18" t="inlineStr">
        <is>
          <t>Toko Servis</t>
        </is>
      </c>
      <c r="C47" s="18" t="n">
        <v>150000000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Aset Mesin</t>
        </is>
      </c>
      <c r="C51" s="12" t="inlineStr">
        <is>
          <t>Harga Perolehan</t>
        </is>
      </c>
      <c r="E51" s="25" t="inlineStr">
        <is>
          <t>Persoalan #5: Hitung penyusutan SYD dengan harga beli C52, nilai sisa 5000000, umur 5 tahun, periode ke-1!</t>
        </is>
      </c>
    </row>
    <row r="52">
      <c r="B52" s="18" t="inlineStr">
        <is>
          <t>Kelas 10 IPA</t>
        </is>
      </c>
      <c r="C52" s="18" t="n">
        <v>250000000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80000000</v>
      </c>
      <c r="E53" s="26" t="n"/>
      <c r="F53" s="27">
        <f>IF(ISBLANK(E53), "⏳ Ketik rumus di sel kuning E53", IF(E53=G53, "✅ BENAR! LUAR BIASA!", "❌ Belum Tepat, Cek Kunci"))</f>
        <v/>
      </c>
      <c r="G53" s="28">
        <f>SYD(C52, 5000000, 5, 1)</f>
        <v/>
      </c>
      <c r="H53" s="29" t="inlineStr">
        <is>
          <t>Ketik: =SYD(C52, 5000000, 5, 1)</t>
        </is>
      </c>
    </row>
    <row r="54">
      <c r="B54" s="18" t="inlineStr">
        <is>
          <t>Kelas 12 IPA</t>
        </is>
      </c>
      <c r="C54" s="18" t="n">
        <v>120000000</v>
      </c>
    </row>
    <row r="55">
      <c r="B55" s="18" t="inlineStr">
        <is>
          <t>Kelas Unggulan</t>
        </is>
      </c>
      <c r="C55" s="18" t="n">
        <v>150000000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#092 — RUMUS EXCEL: DB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(DB)</t>
        </is>
      </c>
    </row>
    <row r="5" ht="21" customHeight="1">
      <c r="B5" s="12" t="inlineStr">
        <is>
          <t>Nama Rumus Excel</t>
        </is>
      </c>
      <c r="C5" s="13">
        <f>DB(...)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DB(harga_beli, nilai_sisa, umur, periode)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penyusutan aset dengan metode saldo menurun tetap (Fixed Declining Balance).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DB)</t>
        </is>
      </c>
    </row>
    <row r="10">
      <c r="B10" s="16" t="inlineStr">
        <is>
          <t>Nama Aset Mesin</t>
        </is>
      </c>
      <c r="C10" s="16" t="inlineStr">
        <is>
          <t>Harga Perolehan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50000000</v>
      </c>
      <c r="E11" s="19" t="inlineStr">
        <is>
          <t>Kasus Contoh:</t>
        </is>
      </c>
      <c r="F11" s="20" t="inlineStr">
        <is>
          <t>Hitung penyusutan DB dengan harga beli C11, nilai sisa 5000000, umur 5 tahun, periode ke-1!</t>
        </is>
      </c>
    </row>
    <row r="12">
      <c r="B12" s="18" t="inlineStr">
        <is>
          <t>Cabang Bandung</t>
        </is>
      </c>
      <c r="C12" s="18" t="n">
        <v>80000000</v>
      </c>
      <c r="E12" s="19" t="inlineStr">
        <is>
          <t>Rumus yang Diketik:</t>
        </is>
      </c>
      <c r="F12" s="21" t="inlineStr">
        <is>
          <t>'=DB(C11, 5000000, 5, 1)</t>
        </is>
      </c>
    </row>
    <row r="13">
      <c r="B13" s="18" t="inlineStr">
        <is>
          <t>Cabang Surabaya</t>
        </is>
      </c>
      <c r="C13" s="18" t="n">
        <v>120000000</v>
      </c>
      <c r="E13" s="19" t="inlineStr">
        <is>
          <t>Hasil Otomatis Excel:</t>
        </is>
      </c>
      <c r="F13" s="22">
        <f>DB(C11, 5000000, 5, 1)</f>
        <v/>
      </c>
    </row>
    <row r="14">
      <c r="B14" s="18" t="inlineStr">
        <is>
          <t>Cabang Medan</t>
        </is>
      </c>
      <c r="C14" s="18" t="n">
        <v>150000000</v>
      </c>
    </row>
    <row r="16" ht="26" customHeight="1">
      <c r="B16" s="23" t="inlineStr">
        <is>
          <t>3️⃣ 5 PERSOALAN DUNIA NYATA (KETIK RUMUS DB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Aset Mesin</t>
        </is>
      </c>
      <c r="C19" s="12" t="inlineStr">
        <is>
          <t>Harga Perolehan</t>
        </is>
      </c>
      <c r="E19" s="25" t="inlineStr">
        <is>
          <t>Persoalan #1: Hitung penyusutan DB dengan harga beli C20, nilai sisa 5000000, umur 5 tahun, periode ke-1!</t>
        </is>
      </c>
    </row>
    <row r="20">
      <c r="B20" s="18" t="inlineStr">
        <is>
          <t>Cabang Jakarta</t>
        </is>
      </c>
      <c r="C20" s="18" t="n">
        <v>50000000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80000000</v>
      </c>
      <c r="E21" s="26" t="n"/>
      <c r="F21" s="27">
        <f>IF(ISBLANK(E21), "⏳ Ketik rumus di sel kuning E21", IF(E21=G21, "✅ BENAR! LUAR BIASA!", "❌ Belum Tepat, Cek Kunci"))</f>
        <v/>
      </c>
      <c r="G21" s="28">
        <f>DB(C20, 5000000, 5, 1)</f>
        <v/>
      </c>
      <c r="H21" s="29" t="inlineStr">
        <is>
          <t>Ketik: =DB(C20, 5000000, 5, 1)</t>
        </is>
      </c>
    </row>
    <row r="22">
      <c r="B22" s="18" t="inlineStr">
        <is>
          <t>Cabang Surabaya</t>
        </is>
      </c>
      <c r="C22" s="18" t="n">
        <v>120000000</v>
      </c>
    </row>
    <row r="23">
      <c r="B23" s="18" t="inlineStr">
        <is>
          <t>Cabang Medan</t>
        </is>
      </c>
      <c r="C23" s="18" t="n">
        <v>150000000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Aset Mesin</t>
        </is>
      </c>
      <c r="C27" s="12" t="inlineStr">
        <is>
          <t>Harga Perolehan</t>
        </is>
      </c>
      <c r="E27" s="25" t="inlineStr">
        <is>
          <t>Persoalan #2: Hitung penyusutan DB dengan harga beli C28, nilai sisa 5000000, umur 5 tahun, periode ke-1!</t>
        </is>
      </c>
    </row>
    <row r="28">
      <c r="B28" s="18" t="inlineStr">
        <is>
          <t>Budi Santoso</t>
        </is>
      </c>
      <c r="C28" s="18" t="n">
        <v>100000000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80000000</v>
      </c>
      <c r="E29" s="26" t="n"/>
      <c r="F29" s="27">
        <f>IF(ISBLANK(E29), "⏳ Ketik rumus di sel kuning E29", IF(E29=G29, "✅ BENAR! LUAR BIASA!", "❌ Belum Tepat, Cek Kunci"))</f>
        <v/>
      </c>
      <c r="G29" s="28">
        <f>DB(C28, 5000000, 5, 1)</f>
        <v/>
      </c>
      <c r="H29" s="29" t="inlineStr">
        <is>
          <t>Ketik: =DB(C28, 5000000, 5, 1)</t>
        </is>
      </c>
    </row>
    <row r="30">
      <c r="B30" s="18" t="inlineStr">
        <is>
          <t>Andi Pratama</t>
        </is>
      </c>
      <c r="C30" s="18" t="n">
        <v>120000000</v>
      </c>
    </row>
    <row r="31">
      <c r="B31" s="18" t="inlineStr">
        <is>
          <t>Rina Wijaya</t>
        </is>
      </c>
      <c r="C31" s="18" t="n">
        <v>150000000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Aset Mesin</t>
        </is>
      </c>
      <c r="C35" s="12" t="inlineStr">
        <is>
          <t>Harga Perolehan</t>
        </is>
      </c>
      <c r="E35" s="25" t="inlineStr">
        <is>
          <t>Persoalan #3: Hitung penyusutan DB dengan harga beli C36, nilai sisa 5000000, umur 5 tahun, periode ke-1!</t>
        </is>
      </c>
    </row>
    <row r="36">
      <c r="B36" s="18" t="inlineStr">
        <is>
          <t>Gudang Blok A</t>
        </is>
      </c>
      <c r="C36" s="18" t="n">
        <v>150000000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80000000</v>
      </c>
      <c r="E37" s="26" t="n"/>
      <c r="F37" s="27">
        <f>IF(ISBLANK(E37), "⏳ Ketik rumus di sel kuning E37", IF(E37=G37, "✅ BENAR! LUAR BIASA!", "❌ Belum Tepat, Cek Kunci"))</f>
        <v/>
      </c>
      <c r="G37" s="28">
        <f>DB(C36, 5000000, 5, 1)</f>
        <v/>
      </c>
      <c r="H37" s="29" t="inlineStr">
        <is>
          <t>Ketik: =DB(C36, 5000000, 5, 1)</t>
        </is>
      </c>
    </row>
    <row r="38">
      <c r="B38" s="18" t="inlineStr">
        <is>
          <t>Gudang Blok C</t>
        </is>
      </c>
      <c r="C38" s="18" t="n">
        <v>120000000</v>
      </c>
    </row>
    <row r="39">
      <c r="B39" s="18" t="inlineStr">
        <is>
          <t>Gudang Blok D</t>
        </is>
      </c>
      <c r="C39" s="18" t="n">
        <v>150000000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Aset Mesin</t>
        </is>
      </c>
      <c r="C43" s="12" t="inlineStr">
        <is>
          <t>Harga Perolehan</t>
        </is>
      </c>
      <c r="E43" s="25" t="inlineStr">
        <is>
          <t>Persoalan #4: Hitung penyusutan DB dengan harga beli C44, nilai sisa 5000000, umur 5 tahun, periode ke-1!</t>
        </is>
      </c>
    </row>
    <row r="44">
      <c r="B44" s="18" t="inlineStr">
        <is>
          <t>Toko Elektronik</t>
        </is>
      </c>
      <c r="C44" s="18" t="n">
        <v>200000000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80000000</v>
      </c>
      <c r="E45" s="26" t="n"/>
      <c r="F45" s="27">
        <f>IF(ISBLANK(E45), "⏳ Ketik rumus di sel kuning E45", IF(E45=G45, "✅ BENAR! LUAR BIASA!", "❌ Belum Tepat, Cek Kunci"))</f>
        <v/>
      </c>
      <c r="G45" s="28">
        <f>DB(C44, 5000000, 5, 1)</f>
        <v/>
      </c>
      <c r="H45" s="29" t="inlineStr">
        <is>
          <t>Ketik: =DB(C44, 5000000, 5, 1)</t>
        </is>
      </c>
    </row>
    <row r="46">
      <c r="B46" s="18" t="inlineStr">
        <is>
          <t>Toko Aksesoris</t>
        </is>
      </c>
      <c r="C46" s="18" t="n">
        <v>120000000</v>
      </c>
    </row>
    <row r="47">
      <c r="B47" s="18" t="inlineStr">
        <is>
          <t>Toko Servis</t>
        </is>
      </c>
      <c r="C47" s="18" t="n">
        <v>150000000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Aset Mesin</t>
        </is>
      </c>
      <c r="C51" s="12" t="inlineStr">
        <is>
          <t>Harga Perolehan</t>
        </is>
      </c>
      <c r="E51" s="25" t="inlineStr">
        <is>
          <t>Persoalan #5: Hitung penyusutan DB dengan harga beli C52, nilai sisa 5000000, umur 5 tahun, periode ke-1!</t>
        </is>
      </c>
    </row>
    <row r="52">
      <c r="B52" s="18" t="inlineStr">
        <is>
          <t>Kelas 10 IPA</t>
        </is>
      </c>
      <c r="C52" s="18" t="n">
        <v>250000000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80000000</v>
      </c>
      <c r="E53" s="26" t="n"/>
      <c r="F53" s="27">
        <f>IF(ISBLANK(E53), "⏳ Ketik rumus di sel kuning E53", IF(E53=G53, "✅ BENAR! LUAR BIASA!", "❌ Belum Tepat, Cek Kunci"))</f>
        <v/>
      </c>
      <c r="G53" s="28">
        <f>DB(C52, 5000000, 5, 1)</f>
        <v/>
      </c>
      <c r="H53" s="29" t="inlineStr">
        <is>
          <t>Ketik: =DB(C52, 5000000, 5, 1)</t>
        </is>
      </c>
    </row>
    <row r="54">
      <c r="B54" s="18" t="inlineStr">
        <is>
          <t>Kelas 12 IPA</t>
        </is>
      </c>
      <c r="C54" s="18" t="n">
        <v>120000000</v>
      </c>
    </row>
    <row r="55">
      <c r="B55" s="18" t="inlineStr">
        <is>
          <t>Kelas Unggulan</t>
        </is>
      </c>
      <c r="C55" s="18" t="n">
        <v>150000000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#093 — RUMUS EXCEL: EFFECT   |   Kategori: 6. Keuangan &amp; Investasi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(EFFECT)</t>
        </is>
      </c>
    </row>
    <row r="5" ht="21" customHeight="1">
      <c r="B5" s="12" t="inlineStr">
        <is>
          <t>Nama Rumus Excel</t>
        </is>
      </c>
      <c r="C5" s="13">
        <f>EFFECT(...)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EFFECT(bunga_nominal_tahunan, frekuensi_majemuk_per_tahun)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suku bunga efektif tahunan yang sebenarnya jika bunga dimajemukkan tiap bulan/kuartal.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EFFECT)</t>
        </is>
      </c>
    </row>
    <row r="10">
      <c r="B10" s="16" t="inlineStr">
        <is>
          <t>Jenis Pinjaman</t>
        </is>
      </c>
      <c r="C10" s="16" t="inlineStr">
        <is>
          <t>Bunga Nominal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0.12</v>
      </c>
      <c r="E11" s="19" t="inlineStr">
        <is>
          <t>Kasus Contoh:</t>
        </is>
      </c>
      <c r="F11" s="20" t="inlineStr">
        <is>
          <t>Hitung bunga efektif tahunan dari bunga nominal C11 yang dimajemukkan 12 kali setahun memakai EFFECT!</t>
        </is>
      </c>
    </row>
    <row r="12">
      <c r="B12" s="18" t="inlineStr">
        <is>
          <t>Cabang Bandung</t>
        </is>
      </c>
      <c r="C12" s="18" t="n">
        <v>0.1</v>
      </c>
      <c r="E12" s="19" t="inlineStr">
        <is>
          <t>Rumus yang Diketik:</t>
        </is>
      </c>
      <c r="F12" s="21" t="inlineStr">
        <is>
          <t>'=EFFECT(C11, 12)</t>
        </is>
      </c>
    </row>
    <row r="13">
      <c r="B13" s="18" t="inlineStr">
        <is>
          <t>Cabang Surabaya</t>
        </is>
      </c>
      <c r="C13" s="18" t="n">
        <v>0.08</v>
      </c>
      <c r="E13" s="19" t="inlineStr">
        <is>
          <t>Hasil Otomatis Excel:</t>
        </is>
      </c>
      <c r="F13" s="22">
        <f>EFFECT(C11, 12)</f>
        <v/>
      </c>
    </row>
    <row r="14">
      <c r="B14" s="18" t="inlineStr">
        <is>
          <t>Cabang Medan</t>
        </is>
      </c>
      <c r="C14" s="18" t="n">
        <v>0.15</v>
      </c>
    </row>
    <row r="16" ht="26" customHeight="1">
      <c r="B16" s="23" t="inlineStr">
        <is>
          <t>3️⃣ 5 PERSOALAN DUNIA NYATA (KETIK RUMUS EFFECT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Jenis Pinjaman</t>
        </is>
      </c>
      <c r="C19" s="12" t="inlineStr">
        <is>
          <t>Bunga Nominal</t>
        </is>
      </c>
      <c r="E19" s="25" t="inlineStr">
        <is>
          <t>Persoalan #1: Hitung bunga efektif tahunan dari bunga nominal C20 yang dimajemukkan 12 kali setahun memakai EFFECT!</t>
        </is>
      </c>
    </row>
    <row r="20">
      <c r="B20" s="18" t="inlineStr">
        <is>
          <t>Cabang Jakarta</t>
        </is>
      </c>
      <c r="C20" s="18" t="n">
        <v>0.12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0.1</v>
      </c>
      <c r="E21" s="26" t="n"/>
      <c r="F21" s="27">
        <f>IF(ISBLANK(E21), "⏳ Ketik rumus di sel kuning E21", IF(E21=G21, "✅ BENAR! LUAR BIASA!", "❌ Belum Tepat, Cek Kunci"))</f>
        <v/>
      </c>
      <c r="G21" s="28">
        <f>EFFECT(C20, 12)</f>
        <v/>
      </c>
      <c r="H21" s="29" t="inlineStr">
        <is>
          <t>Ketik: =EFFECT(C20, 12)</t>
        </is>
      </c>
    </row>
    <row r="22">
      <c r="B22" s="18" t="inlineStr">
        <is>
          <t>Cabang Surabaya</t>
        </is>
      </c>
      <c r="C22" s="18" t="n">
        <v>0.08</v>
      </c>
    </row>
    <row r="23">
      <c r="B23" s="18" t="inlineStr">
        <is>
          <t>Cabang Medan</t>
        </is>
      </c>
      <c r="C23" s="18" t="n">
        <v>0.15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Jenis Pinjaman</t>
        </is>
      </c>
      <c r="C27" s="12" t="inlineStr">
        <is>
          <t>Bunga Nominal</t>
        </is>
      </c>
      <c r="E27" s="25" t="inlineStr">
        <is>
          <t>Persoalan #2: Hitung bunga efektif tahunan dari bunga nominal C28 yang dimajemukkan 12 kali setahun memakai EFFECT!</t>
        </is>
      </c>
    </row>
    <row r="28">
      <c r="B28" s="18" t="inlineStr">
        <is>
          <t>Budi Santoso</t>
        </is>
      </c>
      <c r="C28" s="18" t="n">
        <v>0.12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0.1</v>
      </c>
      <c r="E29" s="26" t="n"/>
      <c r="F29" s="27">
        <f>IF(ISBLANK(E29), "⏳ Ketik rumus di sel kuning E29", IF(E29=G29, "✅ BENAR! LUAR BIASA!", "❌ Belum Tepat, Cek Kunci"))</f>
        <v/>
      </c>
      <c r="G29" s="28">
        <f>EFFECT(C28, 12)</f>
        <v/>
      </c>
      <c r="H29" s="29" t="inlineStr">
        <is>
          <t>Ketik: =EFFECT(C28, 12)</t>
        </is>
      </c>
    </row>
    <row r="30">
      <c r="B30" s="18" t="inlineStr">
        <is>
          <t>Andi Pratama</t>
        </is>
      </c>
      <c r="C30" s="18" t="n">
        <v>0.08</v>
      </c>
    </row>
    <row r="31">
      <c r="B31" s="18" t="inlineStr">
        <is>
          <t>Rina Wijaya</t>
        </is>
      </c>
      <c r="C31" s="18" t="n">
        <v>0.15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Jenis Pinjaman</t>
        </is>
      </c>
      <c r="C35" s="12" t="inlineStr">
        <is>
          <t>Bunga Nominal</t>
        </is>
      </c>
      <c r="E35" s="25" t="inlineStr">
        <is>
          <t>Persoalan #3: Hitung bunga efektif tahunan dari bunga nominal C36 yang dimajemukkan 12 kali setahun memakai EFFECT!</t>
        </is>
      </c>
    </row>
    <row r="36">
      <c r="B36" s="18" t="inlineStr">
        <is>
          <t>Gudang Blok A</t>
        </is>
      </c>
      <c r="C36" s="18" t="n">
        <v>0.12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0.1</v>
      </c>
      <c r="E37" s="26" t="n"/>
      <c r="F37" s="27">
        <f>IF(ISBLANK(E37), "⏳ Ketik rumus di sel kuning E37", IF(E37=G37, "✅ BENAR! LUAR BIASA!", "❌ Belum Tepat, Cek Kunci"))</f>
        <v/>
      </c>
      <c r="G37" s="28">
        <f>EFFECT(C36, 12)</f>
        <v/>
      </c>
      <c r="H37" s="29" t="inlineStr">
        <is>
          <t>Ketik: =EFFECT(C36, 12)</t>
        </is>
      </c>
    </row>
    <row r="38">
      <c r="B38" s="18" t="inlineStr">
        <is>
          <t>Gudang Blok C</t>
        </is>
      </c>
      <c r="C38" s="18" t="n">
        <v>0.08</v>
      </c>
    </row>
    <row r="39">
      <c r="B39" s="18" t="inlineStr">
        <is>
          <t>Gudang Blok D</t>
        </is>
      </c>
      <c r="C39" s="18" t="n">
        <v>0.15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Jenis Pinjaman</t>
        </is>
      </c>
      <c r="C43" s="12" t="inlineStr">
        <is>
          <t>Bunga Nominal</t>
        </is>
      </c>
      <c r="E43" s="25" t="inlineStr">
        <is>
          <t>Persoalan #4: Hitung bunga efektif tahunan dari bunga nominal C44 yang dimajemukkan 12 kali setahun memakai EFFECT!</t>
        </is>
      </c>
    </row>
    <row r="44">
      <c r="B44" s="18" t="inlineStr">
        <is>
          <t>Toko Elektronik</t>
        </is>
      </c>
      <c r="C44" s="18" t="n">
        <v>0.12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0.1</v>
      </c>
      <c r="E45" s="26" t="n"/>
      <c r="F45" s="27">
        <f>IF(ISBLANK(E45), "⏳ Ketik rumus di sel kuning E45", IF(E45=G45, "✅ BENAR! LUAR BIASA!", "❌ Belum Tepat, Cek Kunci"))</f>
        <v/>
      </c>
      <c r="G45" s="28">
        <f>EFFECT(C44, 12)</f>
        <v/>
      </c>
      <c r="H45" s="29" t="inlineStr">
        <is>
          <t>Ketik: =EFFECT(C44, 12)</t>
        </is>
      </c>
    </row>
    <row r="46">
      <c r="B46" s="18" t="inlineStr">
        <is>
          <t>Toko Aksesoris</t>
        </is>
      </c>
      <c r="C46" s="18" t="n">
        <v>0.08</v>
      </c>
    </row>
    <row r="47">
      <c r="B47" s="18" t="inlineStr">
        <is>
          <t>Toko Servis</t>
        </is>
      </c>
      <c r="C47" s="18" t="n">
        <v>0.15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Jenis Pinjaman</t>
        </is>
      </c>
      <c r="C51" s="12" t="inlineStr">
        <is>
          <t>Bunga Nominal</t>
        </is>
      </c>
      <c r="E51" s="25" t="inlineStr">
        <is>
          <t>Persoalan #5: Hitung bunga efektif tahunan dari bunga nominal C52 yang dimajemukkan 12 kali setahun memakai EFFECT!</t>
        </is>
      </c>
    </row>
    <row r="52">
      <c r="B52" s="18" t="inlineStr">
        <is>
          <t>Kelas 10 IPA</t>
        </is>
      </c>
      <c r="C52" s="18" t="n">
        <v>0.12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0.1</v>
      </c>
      <c r="E53" s="26" t="n"/>
      <c r="F53" s="27">
        <f>IF(ISBLANK(E53), "⏳ Ketik rumus di sel kuning E53", IF(E53=G53, "✅ BENAR! LUAR BIASA!", "❌ Belum Tepat, Cek Kunci"))</f>
        <v/>
      </c>
      <c r="G53" s="28">
        <f>EFFECT(C52, 12)</f>
        <v/>
      </c>
      <c r="H53" s="29" t="inlineStr">
        <is>
          <t>Ketik: =EFFECT(C52, 12)</t>
        </is>
      </c>
    </row>
    <row r="54">
      <c r="B54" s="18" t="inlineStr">
        <is>
          <t>Kelas 12 IPA</t>
        </is>
      </c>
      <c r="C54" s="18" t="n">
        <v>0.08</v>
      </c>
    </row>
    <row r="55">
      <c r="B55" s="18" t="inlineStr">
        <is>
          <t>Kelas Unggulan</t>
        </is>
      </c>
      <c r="C55" s="18" t="n">
        <v>0.15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#094 — RUMUS EXCEL: ISBLANK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(ISBLANK)</t>
        </is>
      </c>
    </row>
    <row r="5" ht="21" customHeight="1">
      <c r="B5" s="12" t="inlineStr">
        <is>
          <t>Nama Rumus Excel</t>
        </is>
      </c>
      <c r="C5" s="13">
        <f>ISBLANK(...)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ISBLANK(sel)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apakah suatu sel KOSONG melompong (TRUE jika kosong, FALSE jika ada isinya).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ISBLANK)</t>
        </is>
      </c>
    </row>
    <row r="10">
      <c r="B10" s="16" t="inlineStr">
        <is>
          <t>Pos Pemeriksaan</t>
        </is>
      </c>
      <c r="C10" s="16" t="inlineStr">
        <is>
          <t>Isi Sel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Audit sel C11 menggunakan fungsi informasi ISBLANK!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'=ISBLANK(C11)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ISBLANK(C11)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ISBLANK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Pos Pemeriksaan</t>
        </is>
      </c>
      <c r="C19" s="12" t="inlineStr">
        <is>
          <t>Isi Sel Uji</t>
        </is>
      </c>
      <c r="E19" s="25" t="inlineStr">
        <is>
          <t>Persoalan #1: Audit sel C20 menggunakan fungsi informasi ISBLANK!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ISBLANK(C20)</f>
        <v/>
      </c>
      <c r="H21" s="29" t="inlineStr">
        <is>
          <t>Ketik: =ISBLANK(C20)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Pos Pemeriksaan</t>
        </is>
      </c>
      <c r="C27" s="12" t="inlineStr">
        <is>
          <t>Isi Sel Uji</t>
        </is>
      </c>
      <c r="E27" s="25" t="inlineStr">
        <is>
          <t>Persoalan #2: Audit sel C28 menggunakan fungsi informasi ISBLANK!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ISBLANK(C28)</f>
        <v/>
      </c>
      <c r="H29" s="29" t="inlineStr">
        <is>
          <t>Ketik: =ISBLANK(C28)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Pos Pemeriksaan</t>
        </is>
      </c>
      <c r="C35" s="12" t="inlineStr">
        <is>
          <t>Isi Sel Uji</t>
        </is>
      </c>
      <c r="E35" s="25" t="inlineStr">
        <is>
          <t>Persoalan #3: Audit sel C36 menggunakan fungsi informasi ISBLANK!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ISBLANK(C36)</f>
        <v/>
      </c>
      <c r="H37" s="29" t="inlineStr">
        <is>
          <t>Ketik: =ISBLANK(C36)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Pos Pemeriksaan</t>
        </is>
      </c>
      <c r="C43" s="12" t="inlineStr">
        <is>
          <t>Isi Sel Uji</t>
        </is>
      </c>
      <c r="E43" s="25" t="inlineStr">
        <is>
          <t>Persoalan #4: Audit sel C44 menggunakan fungsi informasi ISBLANK!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ISBLANK(C44)</f>
        <v/>
      </c>
      <c r="H45" s="29" t="inlineStr">
        <is>
          <t>Ketik: =ISBLANK(C44)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Pos Pemeriksaan</t>
        </is>
      </c>
      <c r="C51" s="12" t="inlineStr">
        <is>
          <t>Isi Sel Uji</t>
        </is>
      </c>
      <c r="E51" s="25" t="inlineStr">
        <is>
          <t>Persoalan #5: Audit sel C52 menggunakan fungsi informasi ISBLANK!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ISBLANK(C52)</f>
        <v/>
      </c>
      <c r="H53" s="29" t="inlineStr">
        <is>
          <t>Ketik: =ISBLANK(C52)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#095 — RUMUS EXCEL: ISNUMBER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(ISNUMBER)</t>
        </is>
      </c>
    </row>
    <row r="5" ht="21" customHeight="1">
      <c r="B5" s="12" t="inlineStr">
        <is>
          <t>Nama Rumus Excel</t>
        </is>
      </c>
      <c r="C5" s="13">
        <f>ISNUMBER(...)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ISNUMBER(sel)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apakah isi sel benar-benar berupa ANGKA murni.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ISNUMBER)</t>
        </is>
      </c>
    </row>
    <row r="10">
      <c r="B10" s="16" t="inlineStr">
        <is>
          <t>Pos Pemeriksaan</t>
        </is>
      </c>
      <c r="C10" s="16" t="inlineStr">
        <is>
          <t>Isi Sel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Audit sel C11 menggunakan fungsi informasi ISNUMBER!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'=ISNUMBER(C11)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ISNUMBER(C11)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ISNUMBER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Pos Pemeriksaan</t>
        </is>
      </c>
      <c r="C19" s="12" t="inlineStr">
        <is>
          <t>Isi Sel Uji</t>
        </is>
      </c>
      <c r="E19" s="25" t="inlineStr">
        <is>
          <t>Persoalan #1: Audit sel C20 menggunakan fungsi informasi ISNUMBER!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ISNUMBER(C20)</f>
        <v/>
      </c>
      <c r="H21" s="29" t="inlineStr">
        <is>
          <t>Ketik: =ISNUMBER(C20)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Pos Pemeriksaan</t>
        </is>
      </c>
      <c r="C27" s="12" t="inlineStr">
        <is>
          <t>Isi Sel Uji</t>
        </is>
      </c>
      <c r="E27" s="25" t="inlineStr">
        <is>
          <t>Persoalan #2: Audit sel C28 menggunakan fungsi informasi ISNUMBER!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ISNUMBER(C28)</f>
        <v/>
      </c>
      <c r="H29" s="29" t="inlineStr">
        <is>
          <t>Ketik: =ISNUMBER(C28)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Pos Pemeriksaan</t>
        </is>
      </c>
      <c r="C35" s="12" t="inlineStr">
        <is>
          <t>Isi Sel Uji</t>
        </is>
      </c>
      <c r="E35" s="25" t="inlineStr">
        <is>
          <t>Persoalan #3: Audit sel C36 menggunakan fungsi informasi ISNUMBER!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ISNUMBER(C36)</f>
        <v/>
      </c>
      <c r="H37" s="29" t="inlineStr">
        <is>
          <t>Ketik: =ISNUMBER(C36)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Pos Pemeriksaan</t>
        </is>
      </c>
      <c r="C43" s="12" t="inlineStr">
        <is>
          <t>Isi Sel Uji</t>
        </is>
      </c>
      <c r="E43" s="25" t="inlineStr">
        <is>
          <t>Persoalan #4: Audit sel C44 menggunakan fungsi informasi ISNUMBER!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ISNUMBER(C44)</f>
        <v/>
      </c>
      <c r="H45" s="29" t="inlineStr">
        <is>
          <t>Ketik: =ISNUMBER(C44)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Pos Pemeriksaan</t>
        </is>
      </c>
      <c r="C51" s="12" t="inlineStr">
        <is>
          <t>Isi Sel Uji</t>
        </is>
      </c>
      <c r="E51" s="25" t="inlineStr">
        <is>
          <t>Persoalan #5: Audit sel C52 menggunakan fungsi informasi ISNUMBER!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ISNUMBER(C52)</f>
        <v/>
      </c>
      <c r="H53" s="29" t="inlineStr">
        <is>
          <t>Ketik: =ISNUMBER(C52)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#096 — RUMUS EXCEL: ISTEXT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(ISTEXT)</t>
        </is>
      </c>
    </row>
    <row r="5" ht="21" customHeight="1">
      <c r="B5" s="12" t="inlineStr">
        <is>
          <t>Nama Rumus Excel</t>
        </is>
      </c>
      <c r="C5" s="13">
        <f>ISTEXT(...)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ISTEXT(sel)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apakah isi sel berupa TEKS / huruf.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ISTEXT)</t>
        </is>
      </c>
    </row>
    <row r="10">
      <c r="B10" s="16" t="inlineStr">
        <is>
          <t>Pos Pemeriksaan</t>
        </is>
      </c>
      <c r="C10" s="16" t="inlineStr">
        <is>
          <t>Isi Sel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Audit sel C11 menggunakan fungsi informasi ISTEXT!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'=ISTEXT(C11)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ISTEXT(C11)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ISTEXT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Pos Pemeriksaan</t>
        </is>
      </c>
      <c r="C19" s="12" t="inlineStr">
        <is>
          <t>Isi Sel Uji</t>
        </is>
      </c>
      <c r="E19" s="25" t="inlineStr">
        <is>
          <t>Persoalan #1: Audit sel C20 menggunakan fungsi informasi ISTEXT!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ISTEXT(C20)</f>
        <v/>
      </c>
      <c r="H21" s="29" t="inlineStr">
        <is>
          <t>Ketik: =ISTEXT(C20)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Pos Pemeriksaan</t>
        </is>
      </c>
      <c r="C27" s="12" t="inlineStr">
        <is>
          <t>Isi Sel Uji</t>
        </is>
      </c>
      <c r="E27" s="25" t="inlineStr">
        <is>
          <t>Persoalan #2: Audit sel C28 menggunakan fungsi informasi ISTEXT!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ISTEXT(C28)</f>
        <v/>
      </c>
      <c r="H29" s="29" t="inlineStr">
        <is>
          <t>Ketik: =ISTEXT(C28)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Pos Pemeriksaan</t>
        </is>
      </c>
      <c r="C35" s="12" t="inlineStr">
        <is>
          <t>Isi Sel Uji</t>
        </is>
      </c>
      <c r="E35" s="25" t="inlineStr">
        <is>
          <t>Persoalan #3: Audit sel C36 menggunakan fungsi informasi ISTEXT!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ISTEXT(C36)</f>
        <v/>
      </c>
      <c r="H37" s="29" t="inlineStr">
        <is>
          <t>Ketik: =ISTEXT(C36)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Pos Pemeriksaan</t>
        </is>
      </c>
      <c r="C43" s="12" t="inlineStr">
        <is>
          <t>Isi Sel Uji</t>
        </is>
      </c>
      <c r="E43" s="25" t="inlineStr">
        <is>
          <t>Persoalan #4: Audit sel C44 menggunakan fungsi informasi ISTEXT!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ISTEXT(C44)</f>
        <v/>
      </c>
      <c r="H45" s="29" t="inlineStr">
        <is>
          <t>Ketik: =ISTEXT(C44)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Pos Pemeriksaan</t>
        </is>
      </c>
      <c r="C51" s="12" t="inlineStr">
        <is>
          <t>Isi Sel Uji</t>
        </is>
      </c>
      <c r="E51" s="25" t="inlineStr">
        <is>
          <t>Persoalan #5: Audit sel C52 menggunakan fungsi informasi ISTEXT!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ISTEXT(C52)</f>
        <v/>
      </c>
      <c r="H53" s="29" t="inlineStr">
        <is>
          <t>Ketik: =ISTEXT(C52)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#097 — RUMUS EXCEL: ISERROR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(ISERROR)</t>
        </is>
      </c>
    </row>
    <row r="5" ht="21" customHeight="1">
      <c r="B5" s="12" t="inlineStr">
        <is>
          <t>Nama Rumus Excel</t>
        </is>
      </c>
      <c r="C5" s="13">
        <f>ISERROR(...)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ISERROR(sel)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Mendeteksi apakah suatu sel mengalami ERROR apa pun.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ISERROR)</t>
        </is>
      </c>
    </row>
    <row r="10">
      <c r="B10" s="16" t="inlineStr">
        <is>
          <t>Pos Pemeriksaan</t>
        </is>
      </c>
      <c r="C10" s="16" t="inlineStr">
        <is>
          <t>Isi Sel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Audit sel C11 menggunakan fungsi informasi ISERROR!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'=ISERROR(C11)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ISERROR(C11)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ISERROR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Pos Pemeriksaan</t>
        </is>
      </c>
      <c r="C19" s="12" t="inlineStr">
        <is>
          <t>Isi Sel Uji</t>
        </is>
      </c>
      <c r="E19" s="25" t="inlineStr">
        <is>
          <t>Persoalan #1: Audit sel C20 menggunakan fungsi informasi ISERROR!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ISERROR(C20)</f>
        <v/>
      </c>
      <c r="H21" s="29" t="inlineStr">
        <is>
          <t>Ketik: =ISERROR(C20)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Pos Pemeriksaan</t>
        </is>
      </c>
      <c r="C27" s="12" t="inlineStr">
        <is>
          <t>Isi Sel Uji</t>
        </is>
      </c>
      <c r="E27" s="25" t="inlineStr">
        <is>
          <t>Persoalan #2: Audit sel C28 menggunakan fungsi informasi ISERROR!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ISERROR(C28)</f>
        <v/>
      </c>
      <c r="H29" s="29" t="inlineStr">
        <is>
          <t>Ketik: =ISERROR(C28)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Pos Pemeriksaan</t>
        </is>
      </c>
      <c r="C35" s="12" t="inlineStr">
        <is>
          <t>Isi Sel Uji</t>
        </is>
      </c>
      <c r="E35" s="25" t="inlineStr">
        <is>
          <t>Persoalan #3: Audit sel C36 menggunakan fungsi informasi ISERROR!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ISERROR(C36)</f>
        <v/>
      </c>
      <c r="H37" s="29" t="inlineStr">
        <is>
          <t>Ketik: =ISERROR(C36)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Pos Pemeriksaan</t>
        </is>
      </c>
      <c r="C43" s="12" t="inlineStr">
        <is>
          <t>Isi Sel Uji</t>
        </is>
      </c>
      <c r="E43" s="25" t="inlineStr">
        <is>
          <t>Persoalan #4: Audit sel C44 menggunakan fungsi informasi ISERROR!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ISERROR(C44)</f>
        <v/>
      </c>
      <c r="H45" s="29" t="inlineStr">
        <is>
          <t>Ketik: =ISERROR(C44)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Pos Pemeriksaan</t>
        </is>
      </c>
      <c r="C51" s="12" t="inlineStr">
        <is>
          <t>Isi Sel Uji</t>
        </is>
      </c>
      <c r="E51" s="25" t="inlineStr">
        <is>
          <t>Persoalan #5: Audit sel C52 menggunakan fungsi informasi ISERROR!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ISERROR(C52)</f>
        <v/>
      </c>
      <c r="H53" s="29" t="inlineStr">
        <is>
          <t>Ketik: =ISERROR(C52)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#098 — RUMUS EXCEL: ISEVEN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(ISEVEN)</t>
        </is>
      </c>
    </row>
    <row r="5" ht="21" customHeight="1">
      <c r="B5" s="12" t="inlineStr">
        <is>
          <t>Nama Rumus Excel</t>
        </is>
      </c>
      <c r="C5" s="13">
        <f>ISEVEN(...)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ISEVEN(angka)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apakah suatu angka merupakan bilangan GENAP (Misal: aturan plat nomor genap-ganjil).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ISEVEN)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16</v>
      </c>
      <c r="E11" s="19" t="inlineStr">
        <is>
          <t>Kasus Contoh:</t>
        </is>
      </c>
      <c r="F11" s="20" t="inlineStr">
        <is>
          <t>Terapkan rumus ISEVEN pada nilai di sel C11 (16)!</t>
        </is>
      </c>
    </row>
    <row r="12">
      <c r="B12" s="18" t="inlineStr">
        <is>
          <t>Cabang Bandung</t>
        </is>
      </c>
      <c r="C12" s="18" t="n">
        <v>64</v>
      </c>
      <c r="E12" s="19" t="inlineStr">
        <is>
          <t>Rumus yang Diketik:</t>
        </is>
      </c>
      <c r="F12" s="21" t="inlineStr">
        <is>
          <t>'=ISEVEN(C11)</t>
        </is>
      </c>
    </row>
    <row r="13">
      <c r="B13" s="18" t="inlineStr">
        <is>
          <t>Cabang Surabaya</t>
        </is>
      </c>
      <c r="C13" s="18" t="n">
        <v>81</v>
      </c>
      <c r="E13" s="19" t="inlineStr">
        <is>
          <t>Hasil Otomatis Excel:</t>
        </is>
      </c>
      <c r="F13" s="22">
        <f>ISEVEN(C11)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ISEVEN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ISEVEN pada nilai di sel C20 (16)!</t>
        </is>
      </c>
    </row>
    <row r="20">
      <c r="B20" s="18" t="inlineStr">
        <is>
          <t>Cabang Jakarta</t>
        </is>
      </c>
      <c r="C20" s="18" t="n">
        <v>16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64</v>
      </c>
      <c r="E21" s="26" t="n"/>
      <c r="F21" s="27">
        <f>IF(ISBLANK(E21), "⏳ Ketik rumus di sel kuning E21", IF(E21=G21, "✅ BENAR! LUAR BIASA!", "❌ Belum Tepat, Cek Kunci"))</f>
        <v/>
      </c>
      <c r="G21" s="28">
        <f>ISEVEN(C20)</f>
        <v/>
      </c>
      <c r="H21" s="29" t="inlineStr">
        <is>
          <t>Ketik: =ISEVEN(C20)</t>
        </is>
      </c>
    </row>
    <row r="22">
      <c r="B22" s="18" t="inlineStr">
        <is>
          <t>Cabang Surabaya</t>
        </is>
      </c>
      <c r="C22" s="18" t="n">
        <v>81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ISEVEN pada nilai di sel C28 (25)!</t>
        </is>
      </c>
    </row>
    <row r="28">
      <c r="B28" s="18" t="inlineStr">
        <is>
          <t>Budi Santoso</t>
        </is>
      </c>
      <c r="C28" s="18" t="n">
        <v>25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64</v>
      </c>
      <c r="E29" s="26" t="n"/>
      <c r="F29" s="27">
        <f>IF(ISBLANK(E29), "⏳ Ketik rumus di sel kuning E29", IF(E29=G29, "✅ BENAR! LUAR BIASA!", "❌ Belum Tepat, Cek Kunci"))</f>
        <v/>
      </c>
      <c r="G29" s="28">
        <f>ISEVEN(C28)</f>
        <v/>
      </c>
      <c r="H29" s="29" t="inlineStr">
        <is>
          <t>Ketik: =ISEVEN(C28)</t>
        </is>
      </c>
    </row>
    <row r="30">
      <c r="B30" s="18" t="inlineStr">
        <is>
          <t>Andi Pratama</t>
        </is>
      </c>
      <c r="C30" s="18" t="n">
        <v>81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ISEVEN pada nilai di sel C36 (36)!</t>
        </is>
      </c>
    </row>
    <row r="36">
      <c r="B36" s="18" t="inlineStr">
        <is>
          <t>Gudang Blok A</t>
        </is>
      </c>
      <c r="C36" s="18" t="n">
        <v>36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64</v>
      </c>
      <c r="E37" s="26" t="n"/>
      <c r="F37" s="27">
        <f>IF(ISBLANK(E37), "⏳ Ketik rumus di sel kuning E37", IF(E37=G37, "✅ BENAR! LUAR BIASA!", "❌ Belum Tepat, Cek Kunci"))</f>
        <v/>
      </c>
      <c r="G37" s="28">
        <f>ISEVEN(C36)</f>
        <v/>
      </c>
      <c r="H37" s="29" t="inlineStr">
        <is>
          <t>Ketik: =ISEVEN(C36)</t>
        </is>
      </c>
    </row>
    <row r="38">
      <c r="B38" s="18" t="inlineStr">
        <is>
          <t>Gudang Blok C</t>
        </is>
      </c>
      <c r="C38" s="18" t="n">
        <v>81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ISEVEN pada nilai di sel C44 (49)!</t>
        </is>
      </c>
    </row>
    <row r="44">
      <c r="B44" s="18" t="inlineStr">
        <is>
          <t>Toko Elektronik</t>
        </is>
      </c>
      <c r="C44" s="18" t="n">
        <v>49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64</v>
      </c>
      <c r="E45" s="26" t="n"/>
      <c r="F45" s="27">
        <f>IF(ISBLANK(E45), "⏳ Ketik rumus di sel kuning E45", IF(E45=G45, "✅ BENAR! LUAR BIASA!", "❌ Belum Tepat, Cek Kunci"))</f>
        <v/>
      </c>
      <c r="G45" s="28">
        <f>ISEVEN(C44)</f>
        <v/>
      </c>
      <c r="H45" s="29" t="inlineStr">
        <is>
          <t>Ketik: =ISEVEN(C44)</t>
        </is>
      </c>
    </row>
    <row r="46">
      <c r="B46" s="18" t="inlineStr">
        <is>
          <t>Toko Aksesoris</t>
        </is>
      </c>
      <c r="C46" s="18" t="n">
        <v>81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ISEVEN pada nilai di sel C52 (64)!</t>
        </is>
      </c>
    </row>
    <row r="52">
      <c r="B52" s="18" t="inlineStr">
        <is>
          <t>Kelas 10 IPA</t>
        </is>
      </c>
      <c r="C52" s="18" t="n">
        <v>64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64</v>
      </c>
      <c r="E53" s="26" t="n"/>
      <c r="F53" s="27">
        <f>IF(ISBLANK(E53), "⏳ Ketik rumus di sel kuning E53", IF(E53=G53, "✅ BENAR! LUAR BIASA!", "❌ Belum Tepat, Cek Kunci"))</f>
        <v/>
      </c>
      <c r="G53" s="28">
        <f>ISEVEN(C52)</f>
        <v/>
      </c>
      <c r="H53" s="29" t="inlineStr">
        <is>
          <t>Ketik: =ISEVEN(C52)</t>
        </is>
      </c>
    </row>
    <row r="54">
      <c r="B54" s="18" t="inlineStr">
        <is>
          <t>Kelas 12 IPA</t>
        </is>
      </c>
      <c r="C54" s="18" t="n">
        <v>81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#099 — RUMUS EXCEL: ISODD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(ISODD)</t>
        </is>
      </c>
    </row>
    <row r="5" ht="21" customHeight="1">
      <c r="B5" s="12" t="inlineStr">
        <is>
          <t>Nama Rumus Excel</t>
        </is>
      </c>
      <c r="C5" s="13">
        <f>ISODD(...)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ISODD(angka)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apakah suatu angka merupakan bilangan GANJIL.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ISODD)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16</v>
      </c>
      <c r="E11" s="19" t="inlineStr">
        <is>
          <t>Kasus Contoh:</t>
        </is>
      </c>
      <c r="F11" s="20" t="inlineStr">
        <is>
          <t>Terapkan rumus ISODD pada nilai di sel C11 (16)!</t>
        </is>
      </c>
    </row>
    <row r="12">
      <c r="B12" s="18" t="inlineStr">
        <is>
          <t>Cabang Bandung</t>
        </is>
      </c>
      <c r="C12" s="18" t="n">
        <v>64</v>
      </c>
      <c r="E12" s="19" t="inlineStr">
        <is>
          <t>Rumus yang Diketik:</t>
        </is>
      </c>
      <c r="F12" s="21" t="inlineStr">
        <is>
          <t>'=ISODD(C11)</t>
        </is>
      </c>
    </row>
    <row r="13">
      <c r="B13" s="18" t="inlineStr">
        <is>
          <t>Cabang Surabaya</t>
        </is>
      </c>
      <c r="C13" s="18" t="n">
        <v>81</v>
      </c>
      <c r="E13" s="19" t="inlineStr">
        <is>
          <t>Hasil Otomatis Excel:</t>
        </is>
      </c>
      <c r="F13" s="22">
        <f>ISODD(C11)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ISODD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ISODD pada nilai di sel C20 (16)!</t>
        </is>
      </c>
    </row>
    <row r="20">
      <c r="B20" s="18" t="inlineStr">
        <is>
          <t>Cabang Jakarta</t>
        </is>
      </c>
      <c r="C20" s="18" t="n">
        <v>16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64</v>
      </c>
      <c r="E21" s="26" t="n"/>
      <c r="F21" s="27">
        <f>IF(ISBLANK(E21), "⏳ Ketik rumus di sel kuning E21", IF(E21=G21, "✅ BENAR! LUAR BIASA!", "❌ Belum Tepat, Cek Kunci"))</f>
        <v/>
      </c>
      <c r="G21" s="28">
        <f>ISODD(C20)</f>
        <v/>
      </c>
      <c r="H21" s="29" t="inlineStr">
        <is>
          <t>Ketik: =ISODD(C20)</t>
        </is>
      </c>
    </row>
    <row r="22">
      <c r="B22" s="18" t="inlineStr">
        <is>
          <t>Cabang Surabaya</t>
        </is>
      </c>
      <c r="C22" s="18" t="n">
        <v>81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ISODD pada nilai di sel C28 (25)!</t>
        </is>
      </c>
    </row>
    <row r="28">
      <c r="B28" s="18" t="inlineStr">
        <is>
          <t>Budi Santoso</t>
        </is>
      </c>
      <c r="C28" s="18" t="n">
        <v>25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64</v>
      </c>
      <c r="E29" s="26" t="n"/>
      <c r="F29" s="27">
        <f>IF(ISBLANK(E29), "⏳ Ketik rumus di sel kuning E29", IF(E29=G29, "✅ BENAR! LUAR BIASA!", "❌ Belum Tepat, Cek Kunci"))</f>
        <v/>
      </c>
      <c r="G29" s="28">
        <f>ISODD(C28)</f>
        <v/>
      </c>
      <c r="H29" s="29" t="inlineStr">
        <is>
          <t>Ketik: =ISODD(C28)</t>
        </is>
      </c>
    </row>
    <row r="30">
      <c r="B30" s="18" t="inlineStr">
        <is>
          <t>Andi Pratama</t>
        </is>
      </c>
      <c r="C30" s="18" t="n">
        <v>81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ISODD pada nilai di sel C36 (36)!</t>
        </is>
      </c>
    </row>
    <row r="36">
      <c r="B36" s="18" t="inlineStr">
        <is>
          <t>Gudang Blok A</t>
        </is>
      </c>
      <c r="C36" s="18" t="n">
        <v>36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64</v>
      </c>
      <c r="E37" s="26" t="n"/>
      <c r="F37" s="27">
        <f>IF(ISBLANK(E37), "⏳ Ketik rumus di sel kuning E37", IF(E37=G37, "✅ BENAR! LUAR BIASA!", "❌ Belum Tepat, Cek Kunci"))</f>
        <v/>
      </c>
      <c r="G37" s="28">
        <f>ISODD(C36)</f>
        <v/>
      </c>
      <c r="H37" s="29" t="inlineStr">
        <is>
          <t>Ketik: =ISODD(C36)</t>
        </is>
      </c>
    </row>
    <row r="38">
      <c r="B38" s="18" t="inlineStr">
        <is>
          <t>Gudang Blok C</t>
        </is>
      </c>
      <c r="C38" s="18" t="n">
        <v>81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ISODD pada nilai di sel C44 (49)!</t>
        </is>
      </c>
    </row>
    <row r="44">
      <c r="B44" s="18" t="inlineStr">
        <is>
          <t>Toko Elektronik</t>
        </is>
      </c>
      <c r="C44" s="18" t="n">
        <v>49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64</v>
      </c>
      <c r="E45" s="26" t="n"/>
      <c r="F45" s="27">
        <f>IF(ISBLANK(E45), "⏳ Ketik rumus di sel kuning E45", IF(E45=G45, "✅ BENAR! LUAR BIASA!", "❌ Belum Tepat, Cek Kunci"))</f>
        <v/>
      </c>
      <c r="G45" s="28">
        <f>ISODD(C44)</f>
        <v/>
      </c>
      <c r="H45" s="29" t="inlineStr">
        <is>
          <t>Ketik: =ISODD(C44)</t>
        </is>
      </c>
    </row>
    <row r="46">
      <c r="B46" s="18" t="inlineStr">
        <is>
          <t>Toko Aksesoris</t>
        </is>
      </c>
      <c r="C46" s="18" t="n">
        <v>81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ISODD pada nilai di sel C52 (64)!</t>
        </is>
      </c>
    </row>
    <row r="52">
      <c r="B52" s="18" t="inlineStr">
        <is>
          <t>Kelas 10 IPA</t>
        </is>
      </c>
      <c r="C52" s="18" t="n">
        <v>64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64</v>
      </c>
      <c r="E53" s="26" t="n"/>
      <c r="F53" s="27">
        <f>IF(ISBLANK(E53), "⏳ Ketik rumus di sel kuning E53", IF(E53=G53, "✅ BENAR! LUAR BIASA!", "❌ Belum Tepat, Cek Kunci"))</f>
        <v/>
      </c>
      <c r="G53" s="28">
        <f>ISODD(C52)</f>
        <v/>
      </c>
      <c r="H53" s="29" t="inlineStr">
        <is>
          <t>Ketik: =ISODD(C52)</t>
        </is>
      </c>
    </row>
    <row r="54">
      <c r="B54" s="18" t="inlineStr">
        <is>
          <t>Kelas 12 IPA</t>
        </is>
      </c>
      <c r="C54" s="18" t="n">
        <v>81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#100 — RUMUS EXCEL: N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(N)</t>
        </is>
      </c>
    </row>
    <row r="5" ht="21" customHeight="1">
      <c r="B5" s="12" t="inlineStr">
        <is>
          <t>Nama Rumus Excel</t>
        </is>
      </c>
      <c r="C5" s="13">
        <f>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N(nilai)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nilai logika menjadi angka (TRUE jadi 1, FALSE jadi 0, Teks jadi 0, Angka tetap Angka).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16</v>
      </c>
      <c r="E11" s="19" t="inlineStr">
        <is>
          <t>Kasus Contoh:</t>
        </is>
      </c>
      <c r="F11" s="20" t="inlineStr">
        <is>
          <t>Terapkan rumus N pada nilai di sel C11 (16)!</t>
        </is>
      </c>
    </row>
    <row r="12">
      <c r="B12" s="18" t="inlineStr">
        <is>
          <t>Cabang Bandung</t>
        </is>
      </c>
      <c r="C12" s="18" t="n">
        <v>64</v>
      </c>
      <c r="E12" s="19" t="inlineStr">
        <is>
          <t>Rumus yang Diketik:</t>
        </is>
      </c>
      <c r="F12" s="21" t="inlineStr">
        <is>
          <t>'=N(C11)</t>
        </is>
      </c>
    </row>
    <row r="13">
      <c r="B13" s="18" t="inlineStr">
        <is>
          <t>Cabang Surabaya</t>
        </is>
      </c>
      <c r="C13" s="18" t="n">
        <v>81</v>
      </c>
      <c r="E13" s="19" t="inlineStr">
        <is>
          <t>Hasil Otomatis Excel:</t>
        </is>
      </c>
      <c r="F13" s="22">
        <f>N(C11)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N pada nilai di sel C20 (16)!</t>
        </is>
      </c>
    </row>
    <row r="20">
      <c r="B20" s="18" t="inlineStr">
        <is>
          <t>Cabang Jakarta</t>
        </is>
      </c>
      <c r="C20" s="18" t="n">
        <v>16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64</v>
      </c>
      <c r="E21" s="26" t="n"/>
      <c r="F21" s="27">
        <f>IF(ISBLANK(E21), "⏳ Ketik rumus di sel kuning E21", IF(E21=G21, "✅ BENAR! LUAR BIASA!", "❌ Belum Tepat, Cek Kunci"))</f>
        <v/>
      </c>
      <c r="G21" s="28">
        <f>N(C20)</f>
        <v/>
      </c>
      <c r="H21" s="29" t="inlineStr">
        <is>
          <t>Ketik: =N(C20)</t>
        </is>
      </c>
    </row>
    <row r="22">
      <c r="B22" s="18" t="inlineStr">
        <is>
          <t>Cabang Surabaya</t>
        </is>
      </c>
      <c r="C22" s="18" t="n">
        <v>81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N pada nilai di sel C28 (25)!</t>
        </is>
      </c>
    </row>
    <row r="28">
      <c r="B28" s="18" t="inlineStr">
        <is>
          <t>Budi Santoso</t>
        </is>
      </c>
      <c r="C28" s="18" t="n">
        <v>25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64</v>
      </c>
      <c r="E29" s="26" t="n"/>
      <c r="F29" s="27">
        <f>IF(ISBLANK(E29), "⏳ Ketik rumus di sel kuning E29", IF(E29=G29, "✅ BENAR! LUAR BIASA!", "❌ Belum Tepat, Cek Kunci"))</f>
        <v/>
      </c>
      <c r="G29" s="28">
        <f>N(C28)</f>
        <v/>
      </c>
      <c r="H29" s="29" t="inlineStr">
        <is>
          <t>Ketik: =N(C28)</t>
        </is>
      </c>
    </row>
    <row r="30">
      <c r="B30" s="18" t="inlineStr">
        <is>
          <t>Andi Pratama</t>
        </is>
      </c>
      <c r="C30" s="18" t="n">
        <v>81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N pada nilai di sel C36 (36)!</t>
        </is>
      </c>
    </row>
    <row r="36">
      <c r="B36" s="18" t="inlineStr">
        <is>
          <t>Gudang Blok A</t>
        </is>
      </c>
      <c r="C36" s="18" t="n">
        <v>36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64</v>
      </c>
      <c r="E37" s="26" t="n"/>
      <c r="F37" s="27">
        <f>IF(ISBLANK(E37), "⏳ Ketik rumus di sel kuning E37", IF(E37=G37, "✅ BENAR! LUAR BIASA!", "❌ Belum Tepat, Cek Kunci"))</f>
        <v/>
      </c>
      <c r="G37" s="28">
        <f>N(C36)</f>
        <v/>
      </c>
      <c r="H37" s="29" t="inlineStr">
        <is>
          <t>Ketik: =N(C36)</t>
        </is>
      </c>
    </row>
    <row r="38">
      <c r="B38" s="18" t="inlineStr">
        <is>
          <t>Gudang Blok C</t>
        </is>
      </c>
      <c r="C38" s="18" t="n">
        <v>81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N pada nilai di sel C44 (49)!</t>
        </is>
      </c>
    </row>
    <row r="44">
      <c r="B44" s="18" t="inlineStr">
        <is>
          <t>Toko Elektronik</t>
        </is>
      </c>
      <c r="C44" s="18" t="n">
        <v>49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64</v>
      </c>
      <c r="E45" s="26" t="n"/>
      <c r="F45" s="27">
        <f>IF(ISBLANK(E45), "⏳ Ketik rumus di sel kuning E45", IF(E45=G45, "✅ BENAR! LUAR BIASA!", "❌ Belum Tepat, Cek Kunci"))</f>
        <v/>
      </c>
      <c r="G45" s="28">
        <f>N(C44)</f>
        <v/>
      </c>
      <c r="H45" s="29" t="inlineStr">
        <is>
          <t>Ketik: =N(C44)</t>
        </is>
      </c>
    </row>
    <row r="46">
      <c r="B46" s="18" t="inlineStr">
        <is>
          <t>Toko Aksesoris</t>
        </is>
      </c>
      <c r="C46" s="18" t="n">
        <v>81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N pada nilai di sel C52 (64)!</t>
        </is>
      </c>
    </row>
    <row r="52">
      <c r="B52" s="18" t="inlineStr">
        <is>
          <t>Kelas 10 IPA</t>
        </is>
      </c>
      <c r="C52" s="18" t="n">
        <v>64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64</v>
      </c>
      <c r="E53" s="26" t="n"/>
      <c r="F53" s="27">
        <f>IF(ISBLANK(E53), "⏳ Ketik rumus di sel kuning E53", IF(E53=G53, "✅ BENAR! LUAR BIASA!", "❌ Belum Tepat, Cek Kunci"))</f>
        <v/>
      </c>
      <c r="G53" s="28">
        <f>N(C52)</f>
        <v/>
      </c>
      <c r="H53" s="29" t="inlineStr">
        <is>
          <t>Ketik: =N(C52)</t>
        </is>
      </c>
    </row>
    <row r="54">
      <c r="B54" s="18" t="inlineStr">
        <is>
          <t>Kelas 12 IPA</t>
        </is>
      </c>
      <c r="C54" s="18" t="n">
        <v>81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#101 — RUMUS EXCEL: TYPE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(TYPE)</t>
        </is>
      </c>
    </row>
    <row r="5" ht="21" customHeight="1">
      <c r="B5" s="12" t="inlineStr">
        <is>
          <t>Nama Rumus Excel</t>
        </is>
      </c>
      <c r="C5" s="13">
        <f>TYPE(...)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TYPE(nilai)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Mendeteksi kode tipe data di dalam sel (1=Angka, 2=Teks, 4=Logika, 16=Error).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TYPE)</t>
        </is>
      </c>
    </row>
    <row r="10">
      <c r="B10" s="16" t="inlineStr">
        <is>
          <t>Pos Pemeriksaan</t>
        </is>
      </c>
      <c r="C10" s="16" t="inlineStr">
        <is>
          <t>Isi Sel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Audit sel C11 menggunakan fungsi informasi TYPE!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'=TYPE(C11)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TYPE(C11)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TYPE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Pos Pemeriksaan</t>
        </is>
      </c>
      <c r="C19" s="12" t="inlineStr">
        <is>
          <t>Isi Sel Uji</t>
        </is>
      </c>
      <c r="E19" s="25" t="inlineStr">
        <is>
          <t>Persoalan #1: Audit sel C20 menggunakan fungsi informasi TYPE!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TYPE(C20)</f>
        <v/>
      </c>
      <c r="H21" s="29" t="inlineStr">
        <is>
          <t>Ketik: =TYPE(C20)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Pos Pemeriksaan</t>
        </is>
      </c>
      <c r="C27" s="12" t="inlineStr">
        <is>
          <t>Isi Sel Uji</t>
        </is>
      </c>
      <c r="E27" s="25" t="inlineStr">
        <is>
          <t>Persoalan #2: Audit sel C28 menggunakan fungsi informasi TYPE!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TYPE(C28)</f>
        <v/>
      </c>
      <c r="H29" s="29" t="inlineStr">
        <is>
          <t>Ketik: =TYPE(C28)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Pos Pemeriksaan</t>
        </is>
      </c>
      <c r="C35" s="12" t="inlineStr">
        <is>
          <t>Isi Sel Uji</t>
        </is>
      </c>
      <c r="E35" s="25" t="inlineStr">
        <is>
          <t>Persoalan #3: Audit sel C36 menggunakan fungsi informasi TYPE!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TYPE(C36)</f>
        <v/>
      </c>
      <c r="H37" s="29" t="inlineStr">
        <is>
          <t>Ketik: =TYPE(C36)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Pos Pemeriksaan</t>
        </is>
      </c>
      <c r="C43" s="12" t="inlineStr">
        <is>
          <t>Isi Sel Uji</t>
        </is>
      </c>
      <c r="E43" s="25" t="inlineStr">
        <is>
          <t>Persoalan #4: Audit sel C44 menggunakan fungsi informasi TYPE!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TYPE(C44)</f>
        <v/>
      </c>
      <c r="H45" s="29" t="inlineStr">
        <is>
          <t>Ketik: =TYPE(C44)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Pos Pemeriksaan</t>
        </is>
      </c>
      <c r="C51" s="12" t="inlineStr">
        <is>
          <t>Isi Sel Uji</t>
        </is>
      </c>
      <c r="E51" s="25" t="inlineStr">
        <is>
          <t>Persoalan #5: Audit sel C52 menggunakan fungsi informasi TYPE!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TYPE(C52)</f>
        <v/>
      </c>
      <c r="H53" s="29" t="inlineStr">
        <is>
          <t>Ketik: =TYPE(C52)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#102 — RUMUS EXCEL: DELTA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(DELTA)</t>
        </is>
      </c>
    </row>
    <row r="5" ht="21" customHeight="1">
      <c r="B5" s="12" t="inlineStr">
        <is>
          <t>Nama Rumus Excel</t>
        </is>
      </c>
      <c r="C5" s="13">
        <f>DELTA(...)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DELTA(angka1, angka2)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Menguji apakah dua angka SAMA PERSIS: menghasilkan 1 jika sama, dan 0 jika berbeda (Sering dipakai untuk audit rekonsiliasi bank!).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DELTA)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DELTA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'=DELTA(B11,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DELTA(B11,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DELTA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DELTA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DELTA(B20, C20)</f>
        <v/>
      </c>
      <c r="H21" s="29" t="inlineStr">
        <is>
          <t>Ketik: =DELTA(B20,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DELTA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DELTA(B28, C28)</f>
        <v/>
      </c>
      <c r="H29" s="29" t="inlineStr">
        <is>
          <t>Ketik: =DELTA(B28,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DELTA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DELTA(B36, C36)</f>
        <v/>
      </c>
      <c r="H37" s="29" t="inlineStr">
        <is>
          <t>Ketik: =DELTA(B36,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DELTA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DELTA(B44, C44)</f>
        <v/>
      </c>
      <c r="H45" s="29" t="inlineStr">
        <is>
          <t>Ketik: =DELTA(B44,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DELTA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DELTA(B52, C52)</f>
        <v/>
      </c>
      <c r="H53" s="29" t="inlineStr">
        <is>
          <t>Ketik: =DELTA(B52,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#103 — RUMUS EXCEL: GESTEP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(GESTEP)</t>
        </is>
      </c>
    </row>
    <row r="5" ht="21" customHeight="1">
      <c r="B5" s="12" t="inlineStr">
        <is>
          <t>Nama Rumus Excel</t>
        </is>
      </c>
      <c r="C5" s="13">
        <f>GESTEP(...)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GESTEP(angka, batas_ambang)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Menguji apakah angka sudah mencapai target ambang batas (&gt;= batas): menghasilkan 1 jika tercapai, 0 jika belum.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GESTEP)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GESTEP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'=GESTEP(B11,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GESTEP(B11,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GESTEP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GESTEP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GESTEP(B20, C20)</f>
        <v/>
      </c>
      <c r="H21" s="29" t="inlineStr">
        <is>
          <t>Ketik: =GESTEP(B20,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GESTEP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GESTEP(B28, C28)</f>
        <v/>
      </c>
      <c r="H29" s="29" t="inlineStr">
        <is>
          <t>Ketik: =GESTEP(B28,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GESTEP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GESTEP(B36, C36)</f>
        <v/>
      </c>
      <c r="H37" s="29" t="inlineStr">
        <is>
          <t>Ketik: =GESTEP(B36,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GESTEP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GESTEP(B44, C44)</f>
        <v/>
      </c>
      <c r="H45" s="29" t="inlineStr">
        <is>
          <t>Ketik: =GESTEP(B44,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GESTEP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GESTEP(B52, C52)</f>
        <v/>
      </c>
      <c r="H53" s="29" t="inlineStr">
        <is>
          <t>Ketik: =GESTEP(B52,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#104 — RUMUS EXCEL: DEC2BIN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(DEC2BIN)</t>
        </is>
      </c>
    </row>
    <row r="5" ht="21" customHeight="1">
      <c r="B5" s="12" t="inlineStr">
        <is>
          <t>Nama Rumus Excel</t>
        </is>
      </c>
      <c r="C5" s="13">
        <f>DEC2BIN(...)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DEC2BIN(angka_desimal)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Mengonversi angka desimal biasa menjadi bilangan Biner (0 dan 1) untuk jaringan komputer/IT.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DEC2BIN)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4</v>
      </c>
      <c r="E11" s="19" t="inlineStr">
        <is>
          <t>Kasus Contoh:</t>
        </is>
      </c>
      <c r="F11" s="20" t="inlineStr">
        <is>
          <t>Terapkan rumus DEC2BIN pada nilai di sel C11 (4)!</t>
        </is>
      </c>
    </row>
    <row r="12">
      <c r="B12" s="18" t="inlineStr">
        <is>
          <t>Cabang Bandung</t>
        </is>
      </c>
      <c r="C12" s="18" t="n">
        <v>5</v>
      </c>
      <c r="E12" s="19" t="inlineStr">
        <is>
          <t>Rumus yang Diketik:</t>
        </is>
      </c>
      <c r="F12" s="21" t="inlineStr">
        <is>
          <t>'=DEC2BIN(C11)</t>
        </is>
      </c>
    </row>
    <row r="13">
      <c r="B13" s="18" t="inlineStr">
        <is>
          <t>Cabang Surabaya</t>
        </is>
      </c>
      <c r="C13" s="18" t="n">
        <v>6</v>
      </c>
      <c r="E13" s="19" t="inlineStr">
        <is>
          <t>Hasil Otomatis Excel:</t>
        </is>
      </c>
      <c r="F13" s="22">
        <f>DEC2BIN(C11)</f>
        <v/>
      </c>
    </row>
    <row r="14">
      <c r="B14" s="18" t="inlineStr">
        <is>
          <t>Cabang Medan</t>
        </is>
      </c>
      <c r="C14" s="18" t="n">
        <v>3</v>
      </c>
    </row>
    <row r="16" ht="26" customHeight="1">
      <c r="B16" s="23" t="inlineStr">
        <is>
          <t>3️⃣ 5 PERSOALAN DUNIA NYATA (KETIK RUMUS DEC2BIN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DEC2BIN pada nilai di sel C20 (4)!</t>
        </is>
      </c>
    </row>
    <row r="20">
      <c r="B20" s="18" t="inlineStr">
        <is>
          <t>Cabang Jakarta</t>
        </is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DEC2BIN(C20)</f>
        <v/>
      </c>
      <c r="H21" s="29" t="inlineStr">
        <is>
          <t>Ketik: =DEC2BIN(C20)</t>
        </is>
      </c>
    </row>
    <row r="22">
      <c r="B22" s="18" t="inlineStr">
        <is>
          <t>Cabang Surabaya</t>
        </is>
      </c>
      <c r="C22" s="18" t="n">
        <v>6</v>
      </c>
    </row>
    <row r="23">
      <c r="B23" s="18" t="inlineStr">
        <is>
          <t>Cabang Medan</t>
        </is>
      </c>
      <c r="C23" s="18" t="n">
        <v>3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DEC2BIN pada nilai di sel C28 (5)!</t>
        </is>
      </c>
    </row>
    <row r="28">
      <c r="B28" s="18" t="inlineStr">
        <is>
          <t>Budi Santoso</t>
        </is>
      </c>
      <c r="C28" s="18" t="n">
        <v>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DEC2BIN(C28)</f>
        <v/>
      </c>
      <c r="H29" s="29" t="inlineStr">
        <is>
          <t>Ketik: =DEC2BIN(C28)</t>
        </is>
      </c>
    </row>
    <row r="30">
      <c r="B30" s="18" t="inlineStr">
        <is>
          <t>Andi Pratama</t>
        </is>
      </c>
      <c r="C30" s="18" t="n">
        <v>6</v>
      </c>
    </row>
    <row r="31">
      <c r="B31" s="18" t="inlineStr">
        <is>
          <t>Rina Wijaya</t>
        </is>
      </c>
      <c r="C31" s="18" t="n">
        <v>3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DEC2BIN pada nilai di sel C36 (6)!</t>
        </is>
      </c>
    </row>
    <row r="36">
      <c r="B36" s="18" t="inlineStr">
        <is>
          <t>Gudang Blok A</t>
        </is>
      </c>
      <c r="C36" s="18" t="n">
        <v>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DEC2BIN(C36)</f>
        <v/>
      </c>
      <c r="H37" s="29" t="inlineStr">
        <is>
          <t>Ketik: =DEC2BIN(C36)</t>
        </is>
      </c>
    </row>
    <row r="38">
      <c r="B38" s="18" t="inlineStr">
        <is>
          <t>Gudang Blok C</t>
        </is>
      </c>
      <c r="C38" s="18" t="n">
        <v>6</v>
      </c>
    </row>
    <row r="39">
      <c r="B39" s="18" t="inlineStr">
        <is>
          <t>Gudang Blok D</t>
        </is>
      </c>
      <c r="C39" s="18" t="n">
        <v>3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DEC2BIN pada nilai di sel C44 (7)!</t>
        </is>
      </c>
    </row>
    <row r="44">
      <c r="B44" s="18" t="inlineStr">
        <is>
          <t>Toko Elektronik</t>
        </is>
      </c>
      <c r="C44" s="18" t="n">
        <v>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DEC2BIN(C44)</f>
        <v/>
      </c>
      <c r="H45" s="29" t="inlineStr">
        <is>
          <t>Ketik: =DEC2BIN(C44)</t>
        </is>
      </c>
    </row>
    <row r="46">
      <c r="B46" s="18" t="inlineStr">
        <is>
          <t>Toko Aksesoris</t>
        </is>
      </c>
      <c r="C46" s="18" t="n">
        <v>6</v>
      </c>
    </row>
    <row r="47">
      <c r="B47" s="18" t="inlineStr">
        <is>
          <t>Toko Servis</t>
        </is>
      </c>
      <c r="C47" s="18" t="n">
        <v>3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DEC2BIN pada nilai di sel C52 (4)!</t>
        </is>
      </c>
    </row>
    <row r="52">
      <c r="B52" s="18" t="inlineStr">
        <is>
          <t>Kelas 10 IPA</t>
        </is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DEC2BIN(C52)</f>
        <v/>
      </c>
      <c r="H53" s="29" t="inlineStr">
        <is>
          <t>Ketik: =DEC2BIN(C52)</t>
        </is>
      </c>
    </row>
    <row r="54">
      <c r="B54" s="18" t="inlineStr">
        <is>
          <t>Kelas 12 IPA</t>
        </is>
      </c>
      <c r="C54" s="18" t="n">
        <v>6</v>
      </c>
    </row>
    <row r="55">
      <c r="B55" s="18" t="inlineStr">
        <is>
          <t>Kelas Unggulan</t>
        </is>
      </c>
      <c r="C55" s="18" t="n">
        <v>3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#105 — RUMUS EXCEL: DEC2HEX   |   Kategori: 7. Informasi &amp; Audit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(DEC2HEX)</t>
        </is>
      </c>
    </row>
    <row r="5" ht="21" customHeight="1">
      <c r="B5" s="12" t="inlineStr">
        <is>
          <t>Nama Rumus Excel</t>
        </is>
      </c>
      <c r="C5" s="13">
        <f>DEC2HEX(...)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DEC2HEX(angka_desimal)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Mengonversi angka desimal menjadi bilangan Heksadesimal.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DEC2HEX)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</v>
      </c>
      <c r="E11" s="19" t="inlineStr">
        <is>
          <t>Kasus Contoh:</t>
        </is>
      </c>
      <c r="F11" s="20" t="inlineStr">
        <is>
          <t>Terapkan rumus DEC2HEX pada nilai di sel C11 (12)!</t>
        </is>
      </c>
    </row>
    <row r="12">
      <c r="B12" s="18" t="inlineStr">
        <is>
          <t>Cabang Bandung</t>
        </is>
      </c>
      <c r="C12" s="18" t="n">
        <v>25</v>
      </c>
      <c r="E12" s="19" t="inlineStr">
        <is>
          <t>Rumus yang Diketik:</t>
        </is>
      </c>
      <c r="F12" s="21" t="inlineStr">
        <is>
          <t>'=DEC2HEX(C11)</t>
        </is>
      </c>
    </row>
    <row r="13">
      <c r="B13" s="18" t="inlineStr">
        <is>
          <t>Cabang Surabaya</t>
        </is>
      </c>
      <c r="C13" s="18" t="n">
        <v>49</v>
      </c>
      <c r="E13" s="19" t="inlineStr">
        <is>
          <t>Hasil Otomatis Excel:</t>
        </is>
      </c>
      <c r="F13" s="22">
        <f>DEC2HEX(C11)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DEC2HEX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DEC2HEX pada nilai di sel C20 (12)!</t>
        </is>
      </c>
    </row>
    <row r="20">
      <c r="B20" s="18" t="inlineStr">
        <is>
          <t>Cabang Jakarta</t>
        </is>
      </c>
      <c r="C20" s="18" t="n">
        <v>12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25</v>
      </c>
      <c r="E21" s="26" t="n"/>
      <c r="F21" s="27">
        <f>IF(ISBLANK(E21), "⏳ Ketik rumus di sel kuning E21", IF(E21=G21, "✅ BENAR! LUAR BIASA!", "❌ Belum Tepat, Cek Kunci"))</f>
        <v/>
      </c>
      <c r="G21" s="28">
        <f>DEC2HEX(C20)</f>
        <v/>
      </c>
      <c r="H21" s="29" t="inlineStr">
        <is>
          <t>Ketik: =DEC2HEX(C20)</t>
        </is>
      </c>
    </row>
    <row r="22">
      <c r="B22" s="18" t="inlineStr">
        <is>
          <t>Cabang Surabaya</t>
        </is>
      </c>
      <c r="C22" s="18" t="n">
        <v>49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DEC2HEX pada nilai di sel C28 (17)!</t>
        </is>
      </c>
    </row>
    <row r="28">
      <c r="B28" s="18" t="inlineStr">
        <is>
          <t>Budi Santoso</t>
        </is>
      </c>
      <c r="C28" s="18" t="n">
        <v>17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25</v>
      </c>
      <c r="E29" s="26" t="n"/>
      <c r="F29" s="27">
        <f>IF(ISBLANK(E29), "⏳ Ketik rumus di sel kuning E29", IF(E29=G29, "✅ BENAR! LUAR BIASA!", "❌ Belum Tepat, Cek Kunci"))</f>
        <v/>
      </c>
      <c r="G29" s="28">
        <f>DEC2HEX(C28)</f>
        <v/>
      </c>
      <c r="H29" s="29" t="inlineStr">
        <is>
          <t>Ketik: =DEC2HEX(C28)</t>
        </is>
      </c>
    </row>
    <row r="30">
      <c r="B30" s="18" t="inlineStr">
        <is>
          <t>Andi Pratama</t>
        </is>
      </c>
      <c r="C30" s="18" t="n">
        <v>49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DEC2HEX pada nilai di sel C36 (22)!</t>
        </is>
      </c>
    </row>
    <row r="36">
      <c r="B36" s="18" t="inlineStr">
        <is>
          <t>Gudang Blok A</t>
        </is>
      </c>
      <c r="C36" s="18" t="n">
        <v>22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25</v>
      </c>
      <c r="E37" s="26" t="n"/>
      <c r="F37" s="27">
        <f>IF(ISBLANK(E37), "⏳ Ketik rumus di sel kuning E37", IF(E37=G37, "✅ BENAR! LUAR BIASA!", "❌ Belum Tepat, Cek Kunci"))</f>
        <v/>
      </c>
      <c r="G37" s="28">
        <f>DEC2HEX(C36)</f>
        <v/>
      </c>
      <c r="H37" s="29" t="inlineStr">
        <is>
          <t>Ketik: =DEC2HEX(C36)</t>
        </is>
      </c>
    </row>
    <row r="38">
      <c r="B38" s="18" t="inlineStr">
        <is>
          <t>Gudang Blok C</t>
        </is>
      </c>
      <c r="C38" s="18" t="n">
        <v>49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DEC2HEX pada nilai di sel C44 (27)!</t>
        </is>
      </c>
    </row>
    <row r="44">
      <c r="B44" s="18" t="inlineStr">
        <is>
          <t>Toko Elektronik</t>
        </is>
      </c>
      <c r="C44" s="18" t="n">
        <v>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25</v>
      </c>
      <c r="E45" s="26" t="n"/>
      <c r="F45" s="27">
        <f>IF(ISBLANK(E45), "⏳ Ketik rumus di sel kuning E45", IF(E45=G45, "✅ BENAR! LUAR BIASA!", "❌ Belum Tepat, Cek Kunci"))</f>
        <v/>
      </c>
      <c r="G45" s="28">
        <f>DEC2HEX(C44)</f>
        <v/>
      </c>
      <c r="H45" s="29" t="inlineStr">
        <is>
          <t>Ketik: =DEC2HEX(C44)</t>
        </is>
      </c>
    </row>
    <row r="46">
      <c r="B46" s="18" t="inlineStr">
        <is>
          <t>Toko Aksesoris</t>
        </is>
      </c>
      <c r="C46" s="18" t="n">
        <v>49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DEC2HEX pada nilai di sel C52 (32)!</t>
        </is>
      </c>
    </row>
    <row r="52">
      <c r="B52" s="18" t="inlineStr">
        <is>
          <t>Kelas 10 IPA</t>
        </is>
      </c>
      <c r="C52" s="18" t="n">
        <v>32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</v>
      </c>
      <c r="E53" s="26" t="n"/>
      <c r="F53" s="27">
        <f>IF(ISBLANK(E53), "⏳ Ketik rumus di sel kuning E53", IF(E53=G53, "✅ BENAR! LUAR BIASA!", "❌ Belum Tepat, Cek Kunci"))</f>
        <v/>
      </c>
      <c r="G53" s="28">
        <f>DEC2HEX(C52)</f>
        <v/>
      </c>
      <c r="H53" s="29" t="inlineStr">
        <is>
          <t>Ketik: =DEC2HEX(C52)</t>
        </is>
      </c>
    </row>
    <row r="54">
      <c r="B54" s="18" t="inlineStr">
        <is>
          <t>Kelas 12 IPA</t>
        </is>
      </c>
      <c r="C54" s="18" t="n">
        <v>49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#106 — RUMUS EXCEL: AVEDEV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(AVEDEV)</t>
        </is>
      </c>
    </row>
    <row r="5" ht="21" customHeight="1">
      <c r="B5" s="12" t="inlineStr">
        <is>
          <t>Nama Rumus Excel</t>
        </is>
      </c>
      <c r="C5" s="13">
        <f>AVEDEV(...)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AVEDEV(range_data)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Mengukur rata-rata simpangan mutlak data dari nilai rata-ratanya (seberapa jauh angka-angka menyebar dari rata-rata).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AVEDEV)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AVEDEV pada rentang sel C11:C14 untuk menghitung nilai AVEDEV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'=AVEDEV(C11:C14)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AVEDEV(C11:C14)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AVEDEV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AVEDEV pada rentang sel C20:C23 untuk menghitung nilai AVEDEV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AVEDEV(C20:C23)</f>
        <v/>
      </c>
      <c r="H21" s="29" t="inlineStr">
        <is>
          <t>Ketik: =AVEDEV(C20:C23)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AVEDEV pada rentang sel C28:C31 untuk menghitung nilai AVEDEV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AVEDEV(C28:C31)</f>
        <v/>
      </c>
      <c r="H29" s="29" t="inlineStr">
        <is>
          <t>Ketik: =AVEDEV(C28:C31)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AVEDEV pada rentang sel C36:C39 untuk menghitung nilai AVEDEV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AVEDEV(C36:C39)</f>
        <v/>
      </c>
      <c r="H37" s="29" t="inlineStr">
        <is>
          <t>Ketik: =AVEDEV(C36:C39)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AVEDEV pada rentang sel C44:C47 untuk menghitung nilai AVEDEV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AVEDEV(C44:C47)</f>
        <v/>
      </c>
      <c r="H45" s="29" t="inlineStr">
        <is>
          <t>Ketik: =AVEDEV(C44:C47)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AVEDEV pada rentang sel C52:C55 untuk menghitung nilai AVEDEV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AVEDEV(C52:C55)</f>
        <v/>
      </c>
      <c r="H53" s="29" t="inlineStr">
        <is>
          <t>Ketik: =AVEDEV(C52:C55)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#107 — RUMUS EXCEL: AVERAGE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(AVERAGE)</t>
        </is>
      </c>
    </row>
    <row r="5" ht="21" customHeight="1">
      <c r="B5" s="12" t="inlineStr">
        <is>
          <t>Nama Rumus Excel</t>
        </is>
      </c>
      <c r="C5" s="13">
        <f>AVERAGE(...)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AVERAGE(range_data)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nilai RATA-RATA (Mean) dari sekumpulan angka (Total dibagi banyaknya data).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AVERAGE)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AVERAGE pada rentang sel C11:C14 untuk menghitung nilai AVERAGE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AVERAGE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AVERAGE pada rentang sel C20:C23 untuk menghitung nilai AVERAGE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AVERAGE pada rentang sel C28:C31 untuk menghitung nilai AVERAGE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AVERAGE pada rentang sel C36:C39 untuk menghitung nilai AVERAGE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AVERAGE pada rentang sel C44:C47 untuk menghitung nilai AVERAGE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AVERAGE pada rentang sel C52:C55 untuk menghitung nilai AVERAGE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#108 — RUMUS EXCEL: AVERAGEA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(AVERAGEA)</t>
        </is>
      </c>
    </row>
    <row r="5" ht="21" customHeight="1">
      <c r="B5" s="12" t="inlineStr">
        <is>
          <t>Nama Rumus Excel</t>
        </is>
      </c>
      <c r="C5" s="13">
        <f>AVERAGEA(...)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AVERAGEA(range_data)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dengan mengikutsertakan sel teks (dianggap 0) dan logika TRUE (dianggap 1).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AVERAGEA)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AVERAGEA pada rentang sel C11:C14 untuk menghitung nilai AVERAGEA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'=AVERAGEA(C11:C14)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AVERAGEA(C11:C14)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AVERAGEA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AVERAGEA pada rentang sel C20:C23 untuk menghitung nilai AVERAGEA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AVERAGEA(C20:C23)</f>
        <v/>
      </c>
      <c r="H21" s="29" t="inlineStr">
        <is>
          <t>Ketik: =AVERAGEA(C20:C23)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AVERAGEA pada rentang sel C28:C31 untuk menghitung nilai AVERAGEA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AVERAGEA(C28:C31)</f>
        <v/>
      </c>
      <c r="H29" s="29" t="inlineStr">
        <is>
          <t>Ketik: =AVERAGEA(C28:C31)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AVERAGEA pada rentang sel C36:C39 untuk menghitung nilai AVERAGEA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AVERAGEA(C36:C39)</f>
        <v/>
      </c>
      <c r="H37" s="29" t="inlineStr">
        <is>
          <t>Ketik: =AVERAGEA(C36:C39)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AVERAGEA pada rentang sel C44:C47 untuk menghitung nilai AVERAGEA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AVERAGEA(C44:C47)</f>
        <v/>
      </c>
      <c r="H45" s="29" t="inlineStr">
        <is>
          <t>Ketik: =AVERAGEA(C44:C47)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AVERAGEA pada rentang sel C52:C55 untuk menghitung nilai AVERAGEA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AVERAGEA(C52:C55)</f>
        <v/>
      </c>
      <c r="H53" s="29" t="inlineStr">
        <is>
          <t>Ketik: =AVERAGEA(C52:C55)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#109 — RUMUS EXCEL: AVERAGEIF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(AVERAGEIF)</t>
        </is>
      </c>
    </row>
    <row r="5" ht="21" customHeight="1">
      <c r="B5" s="12" t="inlineStr">
        <is>
          <t>Nama Rumus Excel</t>
        </is>
      </c>
      <c r="C5" s="13">
        <f>AVERAGEIF(...)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AVERAGEIF(range_syarat, syarat, [range_rata2])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khusus untuk data yang memenuhi 1 syarat tertentu saja.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AVERAGEIF)</t>
        </is>
      </c>
    </row>
    <row r="10">
      <c r="B10" s="16" t="inlineStr">
        <is>
          <t>Kategori Lokasi</t>
        </is>
      </c>
      <c r="C10" s="16" t="inlineStr">
        <is>
          <t>Nilai Transaksi</t>
        </is>
      </c>
      <c r="E10" s="17" t="inlineStr">
        <is>
          <t>💡 CONTOH RUMUS YANG SUDAH TERPASANG AKTIF:</t>
        </is>
      </c>
    </row>
    <row r="11">
      <c r="B11" s="18" t="inlineStr">
        <is>
          <t>Pusat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AVERAGEIF untuk menghitung khusus kategori "Pusat" saja (Kolom syarat: B11:B14, Kolom nilai: C11:C14)!</t>
        </is>
      </c>
    </row>
    <row r="12">
      <c r="B12" s="18" t="inlineStr">
        <is>
          <t>Cabang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'=AVERAGEIF(B11:B14, "Pusat", C11:C14)</t>
        </is>
      </c>
    </row>
    <row r="13">
      <c r="B13" s="18" t="inlineStr">
        <is>
          <t>Pusat</t>
        </is>
      </c>
      <c r="C13" s="18" t="n">
        <v>2100000</v>
      </c>
      <c r="E13" s="19" t="inlineStr">
        <is>
          <t>Hasil Otomatis Excel:</t>
        </is>
      </c>
      <c r="F13" s="22">
        <f>AVERAGEIF(B11:B14, "Pusat", C11:C14)</f>
        <v/>
      </c>
    </row>
    <row r="14">
      <c r="B14" s="18" t="inlineStr">
        <is>
          <t>Cabang</t>
        </is>
      </c>
      <c r="C14" s="18" t="n">
        <v>1600000</v>
      </c>
    </row>
    <row r="16" ht="26" customHeight="1">
      <c r="B16" s="23" t="inlineStr">
        <is>
          <t>3️⃣ 5 PERSOALAN DUNIA NYATA (KETIK RUMUS AVERAGEIF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Kategori Lokasi</t>
        </is>
      </c>
      <c r="C19" s="12" t="inlineStr">
        <is>
          <t>Nilai Transaksi</t>
        </is>
      </c>
      <c r="E19" s="25" t="inlineStr">
        <is>
          <t>Persoalan #1: Gunakan rumus AVERAGEIF untuk menghitung khusus kategori "Pusat" saja (Kolom syarat: B20:B23, Kolom nilai: C20:C23)!</t>
        </is>
      </c>
    </row>
    <row r="20">
      <c r="B20" s="18" t="inlineStr">
        <is>
          <t>Pusat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AVERAGEIF(B20:B23, "Pusat", C20:C23)</f>
        <v/>
      </c>
      <c r="H21" s="29" t="inlineStr">
        <is>
          <t>Ketik: =AVERAGEIF(B20:B23, "Pusat", C20:C23)</t>
        </is>
      </c>
    </row>
    <row r="22">
      <c r="B22" s="18" t="inlineStr">
        <is>
          <t>Pusat</t>
        </is>
      </c>
      <c r="C22" s="18" t="n">
        <v>2100000</v>
      </c>
    </row>
    <row r="23">
      <c r="B23" s="18" t="inlineStr">
        <is>
          <t>Cabang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Kategori Lokasi</t>
        </is>
      </c>
      <c r="C27" s="12" t="inlineStr">
        <is>
          <t>Nilai Transaksi</t>
        </is>
      </c>
      <c r="E27" s="25" t="inlineStr">
        <is>
          <t>Persoalan #2: Gunakan rumus AVERAGEIF untuk menghitung khusus kategori "Pusat" saja (Kolom syarat: B28:B31, Kolom nilai: C28:C31)!</t>
        </is>
      </c>
    </row>
    <row r="28">
      <c r="B28" s="18" t="inlineStr">
        <is>
          <t>Pusat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Cabang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AVERAGEIF(B28:B31, "Pusat", C28:C31)</f>
        <v/>
      </c>
      <c r="H29" s="29" t="inlineStr">
        <is>
          <t>Ketik: =AVERAGEIF(B28:B31, "Pusat", C28:C31)</t>
        </is>
      </c>
    </row>
    <row r="30">
      <c r="B30" s="18" t="inlineStr">
        <is>
          <t>Pusat</t>
        </is>
      </c>
      <c r="C30" s="18" t="n">
        <v>4800000</v>
      </c>
    </row>
    <row r="31">
      <c r="B31" s="18" t="inlineStr">
        <is>
          <t>Cabang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Kategori Lokasi</t>
        </is>
      </c>
      <c r="C35" s="12" t="inlineStr">
        <is>
          <t>Nilai Transaksi</t>
        </is>
      </c>
      <c r="E35" s="25" t="inlineStr">
        <is>
          <t>Persoalan #3: Gunakan rumus AVERAGEIF untuk menghitung khusus kategori "Pusat" saja (Kolom syarat: B36:B39, Kolom nilai: C36:C39)!</t>
        </is>
      </c>
    </row>
    <row r="36">
      <c r="B36" s="18" t="inlineStr">
        <is>
          <t>Pusat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Cabang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AVERAGEIF(B36:B39, "Pusat", C36:C39)</f>
        <v/>
      </c>
      <c r="H37" s="29" t="inlineStr">
        <is>
          <t>Ketik: =AVERAGEIF(B36:B39, "Pusat", C36:C39)</t>
        </is>
      </c>
    </row>
    <row r="38">
      <c r="B38" s="18" t="inlineStr">
        <is>
          <t>Pusat</t>
        </is>
      </c>
      <c r="C38" s="18" t="n">
        <v>195</v>
      </c>
    </row>
    <row r="39">
      <c r="B39" s="18" t="inlineStr">
        <is>
          <t>Cabang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Kategori Lokasi</t>
        </is>
      </c>
      <c r="C43" s="12" t="inlineStr">
        <is>
          <t>Nilai Transaksi</t>
        </is>
      </c>
      <c r="E43" s="25" t="inlineStr">
        <is>
          <t>Persoalan #4: Gunakan rumus AVERAGEIF untuk menghitung khusus kategori "Pusat" saja (Kolom syarat: B44:B47, Kolom nilai: C44:C47)!</t>
        </is>
      </c>
    </row>
    <row r="44">
      <c r="B44" s="18" t="inlineStr">
        <is>
          <t>Pusat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Cabang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AVERAGEIF(B44:B47, "Pusat", C44:C47)</f>
        <v/>
      </c>
      <c r="H45" s="29" t="inlineStr">
        <is>
          <t>Ketik: =AVERAGEIF(B44:B47, "Pusat", C44:C47)</t>
        </is>
      </c>
    </row>
    <row r="46">
      <c r="B46" s="18" t="inlineStr">
        <is>
          <t>Pusat</t>
        </is>
      </c>
      <c r="C46" s="18" t="n">
        <v>78</v>
      </c>
    </row>
    <row r="47">
      <c r="B47" s="18" t="inlineStr">
        <is>
          <t>Cabang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Kategori Lokasi</t>
        </is>
      </c>
      <c r="C51" s="12" t="inlineStr">
        <is>
          <t>Nilai Transaksi</t>
        </is>
      </c>
      <c r="E51" s="25" t="inlineStr">
        <is>
          <t>Persoalan #5: Gunakan rumus AVERAGEIF untuk menghitung khusus kategori "Pusat" saja (Kolom syarat: B52:B55, Kolom nilai: C52:C55)!</t>
        </is>
      </c>
    </row>
    <row r="52">
      <c r="B52" s="18" t="inlineStr">
        <is>
          <t>Pusat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Cabang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AVERAGEIF(B52:B55, "Pusat", C52:C55)</f>
        <v/>
      </c>
      <c r="H53" s="29" t="inlineStr">
        <is>
          <t>Ketik: =AVERAGEIF(B52:B55, "Pusat", C52:C55)</t>
        </is>
      </c>
    </row>
    <row r="54">
      <c r="B54" s="18" t="inlineStr">
        <is>
          <t>Pusat</t>
        </is>
      </c>
      <c r="C54" s="18" t="n">
        <v>91</v>
      </c>
    </row>
    <row r="55">
      <c r="B55" s="18" t="inlineStr">
        <is>
          <t>Cabang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#110 — RUMUS EXCEL: AVERAGEIFS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(AVERAGEIFS)</t>
        </is>
      </c>
    </row>
    <row r="5" ht="21" customHeight="1">
      <c r="B5" s="12" t="inlineStr">
        <is>
          <t>Nama Rumus Excel</t>
        </is>
      </c>
      <c r="C5" s="13">
        <f>AVERAGEIFS(...)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AVERAGEIFS(range_rata2, range_syarat1, syarat1,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dengan banyak syarat sekaligus.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AVERAGEIFS)</t>
        </is>
      </c>
    </row>
    <row r="10">
      <c r="B10" s="16" t="inlineStr">
        <is>
          <t>Status Unit</t>
        </is>
      </c>
      <c r="C10" s="16" t="inlineStr">
        <is>
          <t>Nilai Realisasi</t>
        </is>
      </c>
      <c r="E10" s="17" t="inlineStr">
        <is>
          <t>💡 CONTOH RUMUS YANG SUDAH TERPASANG AKTIF:</t>
        </is>
      </c>
    </row>
    <row r="11">
      <c r="B11" s="18" t="inlineStr">
        <is>
          <t>Aktif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AVERAGEIFS untuk mengolah nilai di C11:C14 yang berstatus "Aktif" pada kolom B11:B14!</t>
        </is>
      </c>
    </row>
    <row r="12">
      <c r="B12" s="18" t="inlineStr">
        <is>
          <t>Aktif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'=AVERAGEIFS(C11:C14, B11:B14, "Aktif")</t>
        </is>
      </c>
    </row>
    <row r="13">
      <c r="B13" s="18" t="inlineStr">
        <is>
          <t>Nonaktif</t>
        </is>
      </c>
      <c r="C13" s="18" t="n">
        <v>2100000</v>
      </c>
      <c r="E13" s="19" t="inlineStr">
        <is>
          <t>Hasil Otomatis Excel:</t>
        </is>
      </c>
      <c r="F13" s="22">
        <f>AVERAGEIFS(C11:C14, B11:B14, "Aktif")</f>
        <v/>
      </c>
    </row>
    <row r="14">
      <c r="B14" s="18" t="inlineStr">
        <is>
          <t>Aktif</t>
        </is>
      </c>
      <c r="C14" s="18" t="n">
        <v>1600000</v>
      </c>
    </row>
    <row r="16" ht="26" customHeight="1">
      <c r="B16" s="23" t="inlineStr">
        <is>
          <t>3️⃣ 5 PERSOALAN DUNIA NYATA (KETIK RUMUS AVERAGEIFS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Status Unit</t>
        </is>
      </c>
      <c r="C19" s="12" t="inlineStr">
        <is>
          <t>Nilai Realisasi</t>
        </is>
      </c>
      <c r="E19" s="25" t="inlineStr">
        <is>
          <t>Persoalan #1: Gunakan rumus AVERAGEIFS untuk mengolah nilai di C20:C23 yang berstatus "Aktif" pada kolom B20:B23!</t>
        </is>
      </c>
    </row>
    <row r="20">
      <c r="B20" s="18" t="inlineStr">
        <is>
          <t>Aktif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Aktif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AVERAGEIFS(C20:C23, B20:B23, "Aktif")</f>
        <v/>
      </c>
      <c r="H21" s="29" t="inlineStr">
        <is>
          <t>Ketik: =AVERAGEIFS(C20:C23, B20:B23, "Aktif")</t>
        </is>
      </c>
    </row>
    <row r="22">
      <c r="B22" s="18" t="inlineStr">
        <is>
          <t>Nonaktif</t>
        </is>
      </c>
      <c r="C22" s="18" t="n">
        <v>2100000</v>
      </c>
    </row>
    <row r="23">
      <c r="B23" s="18" t="inlineStr">
        <is>
          <t>Aktif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Status Unit</t>
        </is>
      </c>
      <c r="C27" s="12" t="inlineStr">
        <is>
          <t>Nilai Realisasi</t>
        </is>
      </c>
      <c r="E27" s="25" t="inlineStr">
        <is>
          <t>Persoalan #2: Gunakan rumus AVERAGEIFS untuk mengolah nilai di C28:C31 yang berstatus "Aktif" pada kolom B28:B31!</t>
        </is>
      </c>
    </row>
    <row r="28">
      <c r="B28" s="18" t="inlineStr">
        <is>
          <t>Aktif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Aktif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AVERAGEIFS(C28:C31, B28:B31, "Aktif")</f>
        <v/>
      </c>
      <c r="H29" s="29" t="inlineStr">
        <is>
          <t>Ketik: =AVERAGEIFS(C28:C31, B28:B31, "Aktif")</t>
        </is>
      </c>
    </row>
    <row r="30">
      <c r="B30" s="18" t="inlineStr">
        <is>
          <t>Nonaktif</t>
        </is>
      </c>
      <c r="C30" s="18" t="n">
        <v>4800000</v>
      </c>
    </row>
    <row r="31">
      <c r="B31" s="18" t="inlineStr">
        <is>
          <t>Aktif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Status Unit</t>
        </is>
      </c>
      <c r="C35" s="12" t="inlineStr">
        <is>
          <t>Nilai Realisasi</t>
        </is>
      </c>
      <c r="E35" s="25" t="inlineStr">
        <is>
          <t>Persoalan #3: Gunakan rumus AVERAGEIFS untuk mengolah nilai di C36:C39 yang berstatus "Aktif" pada kolom B36:B39!</t>
        </is>
      </c>
    </row>
    <row r="36">
      <c r="B36" s="18" t="inlineStr">
        <is>
          <t>Aktif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Aktif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AVERAGEIFS(C36:C39, B36:B39, "Aktif")</f>
        <v/>
      </c>
      <c r="H37" s="29" t="inlineStr">
        <is>
          <t>Ketik: =AVERAGEIFS(C36:C39, B36:B39, "Aktif")</t>
        </is>
      </c>
    </row>
    <row r="38">
      <c r="B38" s="18" t="inlineStr">
        <is>
          <t>Nonaktif</t>
        </is>
      </c>
      <c r="C38" s="18" t="n">
        <v>195</v>
      </c>
    </row>
    <row r="39">
      <c r="B39" s="18" t="inlineStr">
        <is>
          <t>Aktif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Status Unit</t>
        </is>
      </c>
      <c r="C43" s="12" t="inlineStr">
        <is>
          <t>Nilai Realisasi</t>
        </is>
      </c>
      <c r="E43" s="25" t="inlineStr">
        <is>
          <t>Persoalan #4: Gunakan rumus AVERAGEIFS untuk mengolah nilai di C44:C47 yang berstatus "Aktif" pada kolom B44:B47!</t>
        </is>
      </c>
    </row>
    <row r="44">
      <c r="B44" s="18" t="inlineStr">
        <is>
          <t>Aktif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Aktif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AVERAGEIFS(C44:C47, B44:B47, "Aktif")</f>
        <v/>
      </c>
      <c r="H45" s="29" t="inlineStr">
        <is>
          <t>Ketik: =AVERAGEIFS(C44:C47, B44:B47, "Aktif")</t>
        </is>
      </c>
    </row>
    <row r="46">
      <c r="B46" s="18" t="inlineStr">
        <is>
          <t>Nonaktif</t>
        </is>
      </c>
      <c r="C46" s="18" t="n">
        <v>78</v>
      </c>
    </row>
    <row r="47">
      <c r="B47" s="18" t="inlineStr">
        <is>
          <t>Aktif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Status Unit</t>
        </is>
      </c>
      <c r="C51" s="12" t="inlineStr">
        <is>
          <t>Nilai Realisasi</t>
        </is>
      </c>
      <c r="E51" s="25" t="inlineStr">
        <is>
          <t>Persoalan #5: Gunakan rumus AVERAGEIFS untuk mengolah nilai di C52:C55 yang berstatus "Aktif" pada kolom B52:B55!</t>
        </is>
      </c>
    </row>
    <row r="52">
      <c r="B52" s="18" t="inlineStr">
        <is>
          <t>Aktif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Aktif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AVERAGEIFS(C52:C55, B52:B55, "Aktif")</f>
        <v/>
      </c>
      <c r="H53" s="29" t="inlineStr">
        <is>
          <t>Ketik: =AVERAGEIFS(C52:C55, B52:B55, "Aktif")</t>
        </is>
      </c>
    </row>
    <row r="54">
      <c r="B54" s="18" t="inlineStr">
        <is>
          <t>Nonaktif</t>
        </is>
      </c>
      <c r="C54" s="18" t="n">
        <v>91</v>
      </c>
    </row>
    <row r="55">
      <c r="B55" s="18" t="inlineStr">
        <is>
          <t>Aktif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#111 — RUMUS EXCEL: BETA.DIST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(BETA.DIST)</t>
        </is>
      </c>
    </row>
    <row r="5" ht="21" customHeight="1">
      <c r="B5" s="12" t="inlineStr">
        <is>
          <t>Nama Rumus Excel</t>
        </is>
      </c>
      <c r="C5" s="13">
        <f>BETA.DIST(...)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BETA.DIST(...)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(BETA.DIST)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BETA.DIST)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BETA.DIST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#112 — RUMUS EXCEL: BETA.INV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(BETA.INV)</t>
        </is>
      </c>
    </row>
    <row r="5" ht="21" customHeight="1">
      <c r="B5" s="12" t="inlineStr">
        <is>
          <t>Nama Rumus Excel</t>
        </is>
      </c>
      <c r="C5" s="13">
        <f>BETA.INV(...)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BETA.INV(...)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(BETA.INV)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BETA.INV)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BETA.INV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#113 — RUMUS EXCEL: BINOM.DIST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(BINOM.DIST)</t>
        </is>
      </c>
    </row>
    <row r="5" ht="21" customHeight="1">
      <c r="B5" s="12" t="inlineStr">
        <is>
          <t>Nama Rumus Excel</t>
        </is>
      </c>
      <c r="C5" s="13">
        <f>BINOM.DIST(...)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BINOM.DIST(...)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(BINOM.DIST)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BINOM.DIST)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BINOM.DIST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#114 — RUMUS EXCEL: BINOM.INV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(BINOM.INV)</t>
        </is>
      </c>
    </row>
    <row r="5" ht="21" customHeight="1">
      <c r="B5" s="12" t="inlineStr">
        <is>
          <t>Nama Rumus Excel</t>
        </is>
      </c>
      <c r="C5" s="13">
        <f>BINOM.INV(...)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BINOM.INV(...)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(BINOM.INV)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BINOM.INV)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BINOM.INV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#115 — RUMUS EXCEL: CHISQ.DIST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(CHISQ.DIST)</t>
        </is>
      </c>
    </row>
    <row r="5" ht="21" customHeight="1">
      <c r="B5" s="12" t="inlineStr">
        <is>
          <t>Nama Rumus Excel</t>
        </is>
      </c>
      <c r="C5" s="13">
        <f>CHISQ.DIST(...)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CHISQ.DIST(...)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(CHISQ.DIST)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CHISQ.DIST)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CHISQ.DIST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#116 — RUMUS EXCEL: CHISQ.DIST.RT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(CHISQ.DIST.RT)</t>
        </is>
      </c>
    </row>
    <row r="5" ht="21" customHeight="1">
      <c r="B5" s="12" t="inlineStr">
        <is>
          <t>Nama Rumus Excel</t>
        </is>
      </c>
      <c r="C5" s="13">
        <f>CHISQ.DIST.RT(...)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CHISQ.DIST.RT(...)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(CHISQ.DIST.RT)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CHISQ.DIST.RT)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CHISQ.DIST.RT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#117 — RUMUS EXCEL: CHISQ.INV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(CHISQ.INV)</t>
        </is>
      </c>
    </row>
    <row r="5" ht="21" customHeight="1">
      <c r="B5" s="12" t="inlineStr">
        <is>
          <t>Nama Rumus Excel</t>
        </is>
      </c>
      <c r="C5" s="13">
        <f>CHISQ.INV(...)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CHISQ.INV(...)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(CHISQ.INV)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CHISQ.INV)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CHISQ.INV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#118 — RUMUS EXCEL: CHISQ.RT.INV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(CHISQ.RT.INV)</t>
        </is>
      </c>
    </row>
    <row r="5" ht="21" customHeight="1">
      <c r="B5" s="12" t="inlineStr">
        <is>
          <t>Nama Rumus Excel</t>
        </is>
      </c>
      <c r="C5" s="13">
        <f>CHISQ.RT.INV(...)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CHISQ.RT.INV(...)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(CHISQ.RT.INV)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CHISQ.RT.INV)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CHISQ.RT.INV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#119 — RUMUS EXCEL: CHITEST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(CHITEST)</t>
        </is>
      </c>
    </row>
    <row r="5" ht="21" customHeight="1">
      <c r="B5" s="12" t="inlineStr">
        <is>
          <t>Nama Rumus Excel</t>
        </is>
      </c>
      <c r="C5" s="13">
        <f>CHITEST(...)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CHITEST(...)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(CHITEST)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CHITEST)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CHITEST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#120 — RUMUS EXCEL: CONFIDENCE.NORM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(CONFIDENCE.NORM)</t>
        </is>
      </c>
    </row>
    <row r="5" ht="21" customHeight="1">
      <c r="B5" s="12" t="inlineStr">
        <is>
          <t>Nama Rumus Excel</t>
        </is>
      </c>
      <c r="C5" s="13">
        <f>CONFIDENCE.NORM(...)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CONFIDENCE.NORM(...)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(CONFIDENCE.NORM)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CONFIDENCE.NORM)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CONFIDENCE.NORM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#121 — RUMUS EXCEL: CONFIDENCE.T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(CONFIDENCE.T)</t>
        </is>
      </c>
    </row>
    <row r="5" ht="21" customHeight="1">
      <c r="B5" s="12" t="inlineStr">
        <is>
          <t>Nama Rumus Excel</t>
        </is>
      </c>
      <c r="C5" s="13">
        <f>CONFIDENCE.T(...)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CONFIDENCE.T(...)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(CONFIDENCE.T)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CONFIDENCE.T)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CONFIDENCE.T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#122 — RUMUS EXCEL: CORREL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(CORREL)</t>
        </is>
      </c>
    </row>
    <row r="5" ht="21" customHeight="1">
      <c r="B5" s="12" t="inlineStr">
        <is>
          <t>Nama Rumus Excel</t>
        </is>
      </c>
      <c r="C5" s="13">
        <f>CORREL(...)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CORREL(range_x, range_y)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Mengukur seberapa kuat hubungan (korelasi -1 s/d +1) antara dua variabel (Misal: Biaya Iklan vs Omzet Penjualan).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CORREL)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CORREL!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'=CORREL(B11:B14,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CORREL(B11:B14,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CORREL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CORREL!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CORREL(B20:B23, C20:C23)</f>
        <v/>
      </c>
      <c r="H21" s="29" t="inlineStr">
        <is>
          <t>Ketik: =CORREL(B20:B23,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CORREL!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CORREL(B28:B31, C28:C31)</f>
        <v/>
      </c>
      <c r="H29" s="29" t="inlineStr">
        <is>
          <t>Ketik: =CORREL(B28:B31,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CORREL!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CORREL(B36:B39, C36:C39)</f>
        <v/>
      </c>
      <c r="H37" s="29" t="inlineStr">
        <is>
          <t>Ketik: =CORREL(B36:B39,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CORREL!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CORREL(B44:B47, C44:C47)</f>
        <v/>
      </c>
      <c r="H45" s="29" t="inlineStr">
        <is>
          <t>Ketik: =CORREL(B44:B47,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CORREL!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CORREL(B52:B55, C52:C55)</f>
        <v/>
      </c>
      <c r="H53" s="29" t="inlineStr">
        <is>
          <t>Ketik: =CORREL(B52:B55,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#123 — RUMUS EXCEL: COUNT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(COUNT)</t>
        </is>
      </c>
    </row>
    <row r="5" ht="21" customHeight="1">
      <c r="B5" s="12" t="inlineStr">
        <is>
          <t>Nama Rumus Excel</t>
        </is>
      </c>
      <c r="C5" s="13">
        <f>COUNT(...)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COUNT(range_data)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berapa banyak sel yang berisi ANGKA saja di dalam suatu tabel.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COUNT)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COUNT pada rentang sel C11:C14 untuk menghitung nilai COUNT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'=COUNT(C11:C14)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COUNT(C11:C14)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COUNT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COUNT pada rentang sel C20:C23 untuk menghitung nilai COUNT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COUNT(C20:C23)</f>
        <v/>
      </c>
      <c r="H21" s="29" t="inlineStr">
        <is>
          <t>Ketik: =COUNT(C20:C23)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COUNT pada rentang sel C28:C31 untuk menghitung nilai COUNT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COUNT(C28:C31)</f>
        <v/>
      </c>
      <c r="H29" s="29" t="inlineStr">
        <is>
          <t>Ketik: =COUNT(C28:C31)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COUNT pada rentang sel C36:C39 untuk menghitung nilai COUNT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COUNT(C36:C39)</f>
        <v/>
      </c>
      <c r="H37" s="29" t="inlineStr">
        <is>
          <t>Ketik: =COUNT(C36:C39)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COUNT pada rentang sel C44:C47 untuk menghitung nilai COUNT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COUNT(C44:C47)</f>
        <v/>
      </c>
      <c r="H45" s="29" t="inlineStr">
        <is>
          <t>Ketik: =COUNT(C44:C47)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COUNT pada rentang sel C52:C55 untuk menghitung nilai COUNT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COUNT(C52:C55)</f>
        <v/>
      </c>
      <c r="H53" s="29" t="inlineStr">
        <is>
          <t>Ketik: =COUNT(C52:C55)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#124 — RUMUS EXCEL: COUNTA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(COUNTA)</t>
        </is>
      </c>
    </row>
    <row r="5" ht="21" customHeight="1">
      <c r="B5" s="12" t="inlineStr">
        <is>
          <t>Nama Rumus Excel</t>
        </is>
      </c>
      <c r="C5" s="13">
        <f>COUNTA(...)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COUNTA(range_data)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berapa banyak sel yang TIDAK KOSONG (baik berisi angka maupun teks nama).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COUNTA)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COUNTA pada rentang sel C11:C14 untuk menghitung nilai COUNTA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'=COUNTA(C11:C14)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COUNTA(C11:C14)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COUNTA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COUNTA pada rentang sel C20:C23 untuk menghitung nilai COUNTA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COUNTA(C20:C23)</f>
        <v/>
      </c>
      <c r="H21" s="29" t="inlineStr">
        <is>
          <t>Ketik: =COUNTA(C20:C23)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COUNTA pada rentang sel C28:C31 untuk menghitung nilai COUNTA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COUNTA(C28:C31)</f>
        <v/>
      </c>
      <c r="H29" s="29" t="inlineStr">
        <is>
          <t>Ketik: =COUNTA(C28:C31)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COUNTA pada rentang sel C36:C39 untuk menghitung nilai COUNTA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COUNTA(C36:C39)</f>
        <v/>
      </c>
      <c r="H37" s="29" t="inlineStr">
        <is>
          <t>Ketik: =COUNTA(C36:C39)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COUNTA pada rentang sel C44:C47 untuk menghitung nilai COUNTA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COUNTA(C44:C47)</f>
        <v/>
      </c>
      <c r="H45" s="29" t="inlineStr">
        <is>
          <t>Ketik: =COUNTA(C44:C47)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COUNTA pada rentang sel C52:C55 untuk menghitung nilai COUNTA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COUNTA(C52:C55)</f>
        <v/>
      </c>
      <c r="H53" s="29" t="inlineStr">
        <is>
          <t>Ketik: =COUNTA(C52:C55)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#125 — RUMUS EXCEL: COUNTBLANK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(COUNTBLANK)</t>
        </is>
      </c>
    </row>
    <row r="5" ht="21" customHeight="1">
      <c r="B5" s="12" t="inlineStr">
        <is>
          <t>Nama Rumus Excel</t>
        </is>
      </c>
      <c r="C5" s="13">
        <f>COUNTBLANK(...)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COUNTBLANK(range_data)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berapa banyak sel yang masih KOSONG / belum diisi di dalam formulir/tabel.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COUNTBLANK)</t>
        </is>
      </c>
    </row>
    <row r="10">
      <c r="B10" s="16" t="inlineStr">
        <is>
          <t>Unit / Peserta</t>
        </is>
      </c>
      <c r="C10" s="16" t="inlineStr">
        <is>
          <t>Data Terisi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berapa banyak sel yang masih KOSONG pada kolom data C11:C14 menggunakan rumus COUNTBLANK!</t>
        </is>
      </c>
    </row>
    <row r="12">
      <c r="B12" s="18" t="inlineStr">
        <is>
          <t>Cabang Bandung</t>
        </is>
      </c>
      <c r="C12" s="18" t="inlineStr"/>
      <c r="E12" s="19" t="inlineStr">
        <is>
          <t>Rumus yang Diketik:</t>
        </is>
      </c>
      <c r="F12" s="21" t="inlineStr">
        <is>
          <t>'=COUNTBLANK(C11:C14)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COUNTBLANK(C11:C14)</f>
        <v/>
      </c>
    </row>
    <row r="14">
      <c r="B14" s="18" t="inlineStr">
        <is>
          <t>Cabang Medan</t>
        </is>
      </c>
      <c r="C14" s="18" t="inlineStr"/>
    </row>
    <row r="16" ht="26" customHeight="1">
      <c r="B16" s="23" t="inlineStr">
        <is>
          <t>3️⃣ 5 PERSOALAN DUNIA NYATA (KETIK RUMUS COUNTBLANK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Unit / Peserta</t>
        </is>
      </c>
      <c r="C19" s="12" t="inlineStr">
        <is>
          <t>Data Terisi</t>
        </is>
      </c>
      <c r="E19" s="25" t="inlineStr">
        <is>
          <t>Persoalan #1: Hitung berapa banyak sel yang masih KOSONG pada kolom data C20:C23 menggunakan rumus COUNTBLANK!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/>
      <c r="E21" s="26" t="n"/>
      <c r="F21" s="27">
        <f>IF(ISBLANK(E21), "⏳ Ketik rumus di sel kuning E21", IF(E21=G21, "✅ BENAR! LUAR BIASA!", "❌ Belum Tepat, Cek Kunci"))</f>
        <v/>
      </c>
      <c r="G21" s="28">
        <f>COUNTBLANK(C20:C23)</f>
        <v/>
      </c>
      <c r="H21" s="29" t="inlineStr">
        <is>
          <t>Ketik: =COUNTBLANK(C20:C23)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inlineStr"/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Unit / Peserta</t>
        </is>
      </c>
      <c r="C27" s="12" t="inlineStr">
        <is>
          <t>Data Terisi</t>
        </is>
      </c>
      <c r="E27" s="25" t="inlineStr">
        <is>
          <t>Persoalan #2: Hitung berapa banyak sel yang masih KOSONG pada kolom data C28:C31 menggunakan rumus COUNTBLANK!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/>
      <c r="E29" s="26" t="n"/>
      <c r="F29" s="27">
        <f>IF(ISBLANK(E29), "⏳ Ketik rumus di sel kuning E29", IF(E29=G29, "✅ BENAR! LUAR BIASA!", "❌ Belum Tepat, Cek Kunci"))</f>
        <v/>
      </c>
      <c r="G29" s="28">
        <f>COUNTBLANK(C28:C31)</f>
        <v/>
      </c>
      <c r="H29" s="29" t="inlineStr">
        <is>
          <t>Ketik: =COUNTBLANK(C28:C31)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inlineStr"/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Unit / Peserta</t>
        </is>
      </c>
      <c r="C35" s="12" t="inlineStr">
        <is>
          <t>Data Terisi</t>
        </is>
      </c>
      <c r="E35" s="25" t="inlineStr">
        <is>
          <t>Persoalan #3: Hitung berapa banyak sel yang masih KOSONG pada kolom data C36:C39 menggunakan rumus COUNTBLANK!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/>
      <c r="E37" s="26" t="n"/>
      <c r="F37" s="27">
        <f>IF(ISBLANK(E37), "⏳ Ketik rumus di sel kuning E37", IF(E37=G37, "✅ BENAR! LUAR BIASA!", "❌ Belum Tepat, Cek Kunci"))</f>
        <v/>
      </c>
      <c r="G37" s="28">
        <f>COUNTBLANK(C36:C39)</f>
        <v/>
      </c>
      <c r="H37" s="29" t="inlineStr">
        <is>
          <t>Ketik: =COUNTBLANK(C36:C39)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inlineStr"/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Unit / Peserta</t>
        </is>
      </c>
      <c r="C43" s="12" t="inlineStr">
        <is>
          <t>Data Terisi</t>
        </is>
      </c>
      <c r="E43" s="25" t="inlineStr">
        <is>
          <t>Persoalan #4: Hitung berapa banyak sel yang masih KOSONG pada kolom data C44:C47 menggunakan rumus COUNTBLANK!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/>
      <c r="E45" s="26" t="n"/>
      <c r="F45" s="27">
        <f>IF(ISBLANK(E45), "⏳ Ketik rumus di sel kuning E45", IF(E45=G45, "✅ BENAR! LUAR BIASA!", "❌ Belum Tepat, Cek Kunci"))</f>
        <v/>
      </c>
      <c r="G45" s="28">
        <f>COUNTBLANK(C44:C47)</f>
        <v/>
      </c>
      <c r="H45" s="29" t="inlineStr">
        <is>
          <t>Ketik: =COUNTBLANK(C44:C47)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inlineStr"/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Unit / Peserta</t>
        </is>
      </c>
      <c r="C51" s="12" t="inlineStr">
        <is>
          <t>Data Terisi</t>
        </is>
      </c>
      <c r="E51" s="25" t="inlineStr">
        <is>
          <t>Persoalan #5: Hitung berapa banyak sel yang masih KOSONG pada kolom data C52:C55 menggunakan rumus COUNTBLANK!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/>
      <c r="E53" s="26" t="n"/>
      <c r="F53" s="27">
        <f>IF(ISBLANK(E53), "⏳ Ketik rumus di sel kuning E53", IF(E53=G53, "✅ BENAR! LUAR BIASA!", "❌ Belum Tepat, Cek Kunci"))</f>
        <v/>
      </c>
      <c r="G53" s="28">
        <f>COUNTBLANK(C52:C55)</f>
        <v/>
      </c>
      <c r="H53" s="29" t="inlineStr">
        <is>
          <t>Ketik: =COUNTBLANK(C52:C55)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inlineStr"/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#126 — RUMUS EXCEL: COUNTIF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(COUNTIF)</t>
        </is>
      </c>
    </row>
    <row r="5" ht="21" customHeight="1">
      <c r="B5" s="12" t="inlineStr">
        <is>
          <t>Nama Rumus Excel</t>
        </is>
      </c>
      <c r="C5" s="13">
        <f>COUNTIF(...)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COUNTIF(range_data, syarat)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berapa banyak data yang memenuhi 1 syarat (Misal: hitung berapa orang yang hadir 'H').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COUNTIF)</t>
        </is>
      </c>
    </row>
    <row r="10">
      <c r="B10" s="16" t="inlineStr">
        <is>
          <t>Status Evaluasi</t>
        </is>
      </c>
      <c r="C10" s="16" t="inlineStr">
        <is>
          <t>Skor Nilai</t>
        </is>
      </c>
      <c r="E10" s="17" t="inlineStr">
        <is>
          <t>💡 CONTOH RUMUS YANG SUDAH TERPASANG AKTIF:</t>
        </is>
      </c>
    </row>
    <row r="11">
      <c r="B11" s="18" t="inlineStr">
        <is>
          <t>Lulus</t>
        </is>
      </c>
      <c r="C11" s="18" t="n">
        <v>85</v>
      </c>
      <c r="E11" s="19" t="inlineStr">
        <is>
          <t>Kasus Contoh:</t>
        </is>
      </c>
      <c r="F11" s="20" t="inlineStr">
        <is>
          <t>Hitung berapa banyak data yang berstatus "Lulus" pada rentang B11:B14 menggunakan COUNTIF!</t>
        </is>
      </c>
    </row>
    <row r="12">
      <c r="B12" s="18" t="inlineStr">
        <is>
          <t>Remedial</t>
        </is>
      </c>
      <c r="C12" s="18" t="n">
        <v>65</v>
      </c>
      <c r="E12" s="19" t="inlineStr">
        <is>
          <t>Rumus yang Diketik:</t>
        </is>
      </c>
      <c r="F12" s="21" t="inlineStr">
        <is>
          <t>'=COUNTIF(B11:B14, "Lulus")</t>
        </is>
      </c>
    </row>
    <row r="13">
      <c r="B13" s="18" t="inlineStr">
        <is>
          <t>Lulus</t>
        </is>
      </c>
      <c r="C13" s="18" t="n">
        <v>90</v>
      </c>
      <c r="E13" s="19" t="inlineStr">
        <is>
          <t>Hasil Otomatis Excel:</t>
        </is>
      </c>
      <c r="F13" s="22">
        <f>COUNTIF(B11:B14, "Lulus")</f>
        <v/>
      </c>
    </row>
    <row r="14">
      <c r="B14" s="18" t="inlineStr">
        <is>
          <t>Lulus</t>
        </is>
      </c>
      <c r="C14" s="18" t="n">
        <v>88</v>
      </c>
    </row>
    <row r="16" ht="26" customHeight="1">
      <c r="B16" s="23" t="inlineStr">
        <is>
          <t>3️⃣ 5 PERSOALAN DUNIA NYATA (KETIK RUMUS COUNTIF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Status Evaluasi</t>
        </is>
      </c>
      <c r="C19" s="12" t="inlineStr">
        <is>
          <t>Skor Nilai</t>
        </is>
      </c>
      <c r="E19" s="25" t="inlineStr">
        <is>
          <t>Persoalan #1: Hitung berapa banyak data yang berstatus "Lulus" pada rentang B20:B23 menggunakan COUNTIF!</t>
        </is>
      </c>
    </row>
    <row r="20">
      <c r="B20" s="18" t="inlineStr">
        <is>
          <t>Lulus</t>
        </is>
      </c>
      <c r="C20" s="18" t="n">
        <v>85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Remedial</t>
        </is>
      </c>
      <c r="C21" s="18" t="n">
        <v>65</v>
      </c>
      <c r="E21" s="26" t="n"/>
      <c r="F21" s="27">
        <f>IF(ISBLANK(E21), "⏳ Ketik rumus di sel kuning E21", IF(E21=G21, "✅ BENAR! LUAR BIASA!", "❌ Belum Tepat, Cek Kunci"))</f>
        <v/>
      </c>
      <c r="G21" s="28">
        <f>COUNTIF(B20:B23, "Lulus")</f>
        <v/>
      </c>
      <c r="H21" s="29" t="inlineStr">
        <is>
          <t>Ketik: =COUNTIF(B20:B23, "Lulus")</t>
        </is>
      </c>
    </row>
    <row r="22">
      <c r="B22" s="18" t="inlineStr">
        <is>
          <t>Lulus</t>
        </is>
      </c>
      <c r="C22" s="18" t="n">
        <v>90</v>
      </c>
    </row>
    <row r="23">
      <c r="B23" s="18" t="inlineStr">
        <is>
          <t>Lulus</t>
        </is>
      </c>
      <c r="C23" s="18" t="n">
        <v>88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Status Evaluasi</t>
        </is>
      </c>
      <c r="C27" s="12" t="inlineStr">
        <is>
          <t>Skor Nilai</t>
        </is>
      </c>
      <c r="E27" s="25" t="inlineStr">
        <is>
          <t>Persoalan #2: Hitung berapa banyak data yang berstatus "Lulus" pada rentang B28:B31 menggunakan COUNTIF!</t>
        </is>
      </c>
    </row>
    <row r="28">
      <c r="B28" s="18" t="inlineStr">
        <is>
          <t>Lulus</t>
        </is>
      </c>
      <c r="C28" s="18" t="n">
        <v>85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Remedial</t>
        </is>
      </c>
      <c r="C29" s="18" t="n">
        <v>65</v>
      </c>
      <c r="E29" s="26" t="n"/>
      <c r="F29" s="27">
        <f>IF(ISBLANK(E29), "⏳ Ketik rumus di sel kuning E29", IF(E29=G29, "✅ BENAR! LUAR BIASA!", "❌ Belum Tepat, Cek Kunci"))</f>
        <v/>
      </c>
      <c r="G29" s="28">
        <f>COUNTIF(B28:B31, "Lulus")</f>
        <v/>
      </c>
      <c r="H29" s="29" t="inlineStr">
        <is>
          <t>Ketik: =COUNTIF(B28:B31, "Lulus")</t>
        </is>
      </c>
    </row>
    <row r="30">
      <c r="B30" s="18" t="inlineStr">
        <is>
          <t>Lulus</t>
        </is>
      </c>
      <c r="C30" s="18" t="n">
        <v>90</v>
      </c>
    </row>
    <row r="31">
      <c r="B31" s="18" t="inlineStr">
        <is>
          <t>Lulus</t>
        </is>
      </c>
      <c r="C31" s="18" t="n">
        <v>88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Status Evaluasi</t>
        </is>
      </c>
      <c r="C35" s="12" t="inlineStr">
        <is>
          <t>Skor Nilai</t>
        </is>
      </c>
      <c r="E35" s="25" t="inlineStr">
        <is>
          <t>Persoalan #3: Hitung berapa banyak data yang berstatus "Lulus" pada rentang B36:B39 menggunakan COUNTIF!</t>
        </is>
      </c>
    </row>
    <row r="36">
      <c r="B36" s="18" t="inlineStr">
        <is>
          <t>Lulus</t>
        </is>
      </c>
      <c r="C36" s="18" t="n">
        <v>85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Remedial</t>
        </is>
      </c>
      <c r="C37" s="18" t="n">
        <v>65</v>
      </c>
      <c r="E37" s="26" t="n"/>
      <c r="F37" s="27">
        <f>IF(ISBLANK(E37), "⏳ Ketik rumus di sel kuning E37", IF(E37=G37, "✅ BENAR! LUAR BIASA!", "❌ Belum Tepat, Cek Kunci"))</f>
        <v/>
      </c>
      <c r="G37" s="28">
        <f>COUNTIF(B36:B39, "Lulus")</f>
        <v/>
      </c>
      <c r="H37" s="29" t="inlineStr">
        <is>
          <t>Ketik: =COUNTIF(B36:B39, "Lulus")</t>
        </is>
      </c>
    </row>
    <row r="38">
      <c r="B38" s="18" t="inlineStr">
        <is>
          <t>Lulus</t>
        </is>
      </c>
      <c r="C38" s="18" t="n">
        <v>90</v>
      </c>
    </row>
    <row r="39">
      <c r="B39" s="18" t="inlineStr">
        <is>
          <t>Lulus</t>
        </is>
      </c>
      <c r="C39" s="18" t="n">
        <v>88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Status Evaluasi</t>
        </is>
      </c>
      <c r="C43" s="12" t="inlineStr">
        <is>
          <t>Skor Nilai</t>
        </is>
      </c>
      <c r="E43" s="25" t="inlineStr">
        <is>
          <t>Persoalan #4: Hitung berapa banyak data yang berstatus "Lulus" pada rentang B44:B47 menggunakan COUNTIF!</t>
        </is>
      </c>
    </row>
    <row r="44">
      <c r="B44" s="18" t="inlineStr">
        <is>
          <t>Lulus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Remedial</t>
        </is>
      </c>
      <c r="C45" s="18" t="n">
        <v>65</v>
      </c>
      <c r="E45" s="26" t="n"/>
      <c r="F45" s="27">
        <f>IF(ISBLANK(E45), "⏳ Ketik rumus di sel kuning E45", IF(E45=G45, "✅ BENAR! LUAR BIASA!", "❌ Belum Tepat, Cek Kunci"))</f>
        <v/>
      </c>
      <c r="G45" s="28">
        <f>COUNTIF(B44:B47, "Lulus")</f>
        <v/>
      </c>
      <c r="H45" s="29" t="inlineStr">
        <is>
          <t>Ketik: =COUNTIF(B44:B47, "Lulus")</t>
        </is>
      </c>
    </row>
    <row r="46">
      <c r="B46" s="18" t="inlineStr">
        <is>
          <t>Lulus</t>
        </is>
      </c>
      <c r="C46" s="18" t="n">
        <v>90</v>
      </c>
    </row>
    <row r="47">
      <c r="B47" s="18" t="inlineStr">
        <is>
          <t>Lulus</t>
        </is>
      </c>
      <c r="C47" s="18" t="n">
        <v>88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Status Evaluasi</t>
        </is>
      </c>
      <c r="C51" s="12" t="inlineStr">
        <is>
          <t>Skor Nilai</t>
        </is>
      </c>
      <c r="E51" s="25" t="inlineStr">
        <is>
          <t>Persoalan #5: Hitung berapa banyak data yang berstatus "Lulus" pada rentang B52:B55 menggunakan COUNTIF!</t>
        </is>
      </c>
    </row>
    <row r="52">
      <c r="B52" s="18" t="inlineStr">
        <is>
          <t>Lulus</t>
        </is>
      </c>
      <c r="C52" s="18" t="n">
        <v>85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Remedial</t>
        </is>
      </c>
      <c r="C53" s="18" t="n">
        <v>65</v>
      </c>
      <c r="E53" s="26" t="n"/>
      <c r="F53" s="27">
        <f>IF(ISBLANK(E53), "⏳ Ketik rumus di sel kuning E53", IF(E53=G53, "✅ BENAR! LUAR BIASA!", "❌ Belum Tepat, Cek Kunci"))</f>
        <v/>
      </c>
      <c r="G53" s="28">
        <f>COUNTIF(B52:B55, "Lulus")</f>
        <v/>
      </c>
      <c r="H53" s="29" t="inlineStr">
        <is>
          <t>Ketik: =COUNTIF(B52:B55, "Lulus")</t>
        </is>
      </c>
    </row>
    <row r="54">
      <c r="B54" s="18" t="inlineStr">
        <is>
          <t>Lulus</t>
        </is>
      </c>
      <c r="C54" s="18" t="n">
        <v>90</v>
      </c>
    </row>
    <row r="55">
      <c r="B55" s="18" t="inlineStr">
        <is>
          <t>Lulus</t>
        </is>
      </c>
      <c r="C55" s="18" t="n">
        <v>88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#127 — RUMUS EXCEL: COUNTIFS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(COUNTIFS)</t>
        </is>
      </c>
    </row>
    <row r="5" ht="21" customHeight="1">
      <c r="B5" s="12" t="inlineStr">
        <is>
          <t>Nama Rumus Excel</t>
        </is>
      </c>
      <c r="C5" s="13">
        <f>COUNTIFS(...)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COUNTIFS(range1, syarat1, range2, syarat2)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berapa banyak data yang memenuhi banyak kriteria sekaligus.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COUNTIFS)</t>
        </is>
      </c>
    </row>
    <row r="10">
      <c r="B10" s="16" t="inlineStr">
        <is>
          <t>Status Evaluasi</t>
        </is>
      </c>
      <c r="C10" s="16" t="inlineStr">
        <is>
          <t>Skor Nilai</t>
        </is>
      </c>
      <c r="E10" s="17" t="inlineStr">
        <is>
          <t>💡 CONTOH RUMUS YANG SUDAH TERPASANG AKTIF:</t>
        </is>
      </c>
    </row>
    <row r="11">
      <c r="B11" s="18" t="inlineStr">
        <is>
          <t>Lulus</t>
        </is>
      </c>
      <c r="C11" s="18" t="n">
        <v>85</v>
      </c>
      <c r="E11" s="19" t="inlineStr">
        <is>
          <t>Kasus Contoh:</t>
        </is>
      </c>
      <c r="F11" s="20" t="inlineStr">
        <is>
          <t>Hitung berapa data yang berstatus "Lulus" di B11:B14 DAN nilainya &gt;=80 di C11:C14 menggunakan COUNTIFS!</t>
        </is>
      </c>
    </row>
    <row r="12">
      <c r="B12" s="18" t="inlineStr">
        <is>
          <t>Remedial</t>
        </is>
      </c>
      <c r="C12" s="18" t="n">
        <v>65</v>
      </c>
      <c r="E12" s="19" t="inlineStr">
        <is>
          <t>Rumus yang Diketik:</t>
        </is>
      </c>
      <c r="F12" s="21" t="inlineStr">
        <is>
          <t>'=COUNTIFS(B11:B14, "Lulus", C11:C14, "&gt;=80")</t>
        </is>
      </c>
    </row>
    <row r="13">
      <c r="B13" s="18" t="inlineStr">
        <is>
          <t>Lulus</t>
        </is>
      </c>
      <c r="C13" s="18" t="n">
        <v>90</v>
      </c>
      <c r="E13" s="19" t="inlineStr">
        <is>
          <t>Hasil Otomatis Excel:</t>
        </is>
      </c>
      <c r="F13" s="22">
        <f>COUNTIFS(B11:B14, "Lulus", C11:C14, "&gt;=80")</f>
        <v/>
      </c>
    </row>
    <row r="14">
      <c r="B14" s="18" t="inlineStr">
        <is>
          <t>Lulus</t>
        </is>
      </c>
      <c r="C14" s="18" t="n">
        <v>88</v>
      </c>
    </row>
    <row r="16" ht="26" customHeight="1">
      <c r="B16" s="23" t="inlineStr">
        <is>
          <t>3️⃣ 5 PERSOALAN DUNIA NYATA (KETIK RUMUS COUNTIFS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Status Evaluasi</t>
        </is>
      </c>
      <c r="C19" s="12" t="inlineStr">
        <is>
          <t>Skor Nilai</t>
        </is>
      </c>
      <c r="E19" s="25" t="inlineStr">
        <is>
          <t>Persoalan #1: Hitung berapa data yang berstatus "Lulus" di B20:B23 DAN nilainya &gt;=80 di C20:C23 menggunakan COUNTIFS!</t>
        </is>
      </c>
    </row>
    <row r="20">
      <c r="B20" s="18" t="inlineStr">
        <is>
          <t>Lulus</t>
        </is>
      </c>
      <c r="C20" s="18" t="n">
        <v>85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Remedial</t>
        </is>
      </c>
      <c r="C21" s="18" t="n">
        <v>65</v>
      </c>
      <c r="E21" s="26" t="n"/>
      <c r="F21" s="27">
        <f>IF(ISBLANK(E21), "⏳ Ketik rumus di sel kuning E21", IF(E21=G21, "✅ BENAR! LUAR BIASA!", "❌ Belum Tepat, Cek Kunci"))</f>
        <v/>
      </c>
      <c r="G21" s="28">
        <f>COUNTIFS(B20:B23, "Lulus", C20:C23, "&gt;=80")</f>
        <v/>
      </c>
      <c r="H21" s="29" t="inlineStr">
        <is>
          <t>Ketik: =COUNTIFS(B20:B23, "Lulus", C20:C23, "&gt;=80")</t>
        </is>
      </c>
    </row>
    <row r="22">
      <c r="B22" s="18" t="inlineStr">
        <is>
          <t>Lulus</t>
        </is>
      </c>
      <c r="C22" s="18" t="n">
        <v>90</v>
      </c>
    </row>
    <row r="23">
      <c r="B23" s="18" t="inlineStr">
        <is>
          <t>Lulus</t>
        </is>
      </c>
      <c r="C23" s="18" t="n">
        <v>88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Status Evaluasi</t>
        </is>
      </c>
      <c r="C27" s="12" t="inlineStr">
        <is>
          <t>Skor Nilai</t>
        </is>
      </c>
      <c r="E27" s="25" t="inlineStr">
        <is>
          <t>Persoalan #2: Hitung berapa data yang berstatus "Lulus" di B28:B31 DAN nilainya &gt;=80 di C28:C31 menggunakan COUNTIFS!</t>
        </is>
      </c>
    </row>
    <row r="28">
      <c r="B28" s="18" t="inlineStr">
        <is>
          <t>Lulus</t>
        </is>
      </c>
      <c r="C28" s="18" t="n">
        <v>85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Remedial</t>
        </is>
      </c>
      <c r="C29" s="18" t="n">
        <v>65</v>
      </c>
      <c r="E29" s="26" t="n"/>
      <c r="F29" s="27">
        <f>IF(ISBLANK(E29), "⏳ Ketik rumus di sel kuning E29", IF(E29=G29, "✅ BENAR! LUAR BIASA!", "❌ Belum Tepat, Cek Kunci"))</f>
        <v/>
      </c>
      <c r="G29" s="28">
        <f>COUNTIFS(B28:B31, "Lulus", C28:C31, "&gt;=80")</f>
        <v/>
      </c>
      <c r="H29" s="29" t="inlineStr">
        <is>
          <t>Ketik: =COUNTIFS(B28:B31, "Lulus", C28:C31, "&gt;=80")</t>
        </is>
      </c>
    </row>
    <row r="30">
      <c r="B30" s="18" t="inlineStr">
        <is>
          <t>Lulus</t>
        </is>
      </c>
      <c r="C30" s="18" t="n">
        <v>90</v>
      </c>
    </row>
    <row r="31">
      <c r="B31" s="18" t="inlineStr">
        <is>
          <t>Lulus</t>
        </is>
      </c>
      <c r="C31" s="18" t="n">
        <v>88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Status Evaluasi</t>
        </is>
      </c>
      <c r="C35" s="12" t="inlineStr">
        <is>
          <t>Skor Nilai</t>
        </is>
      </c>
      <c r="E35" s="25" t="inlineStr">
        <is>
          <t>Persoalan #3: Hitung berapa data yang berstatus "Lulus" di B36:B39 DAN nilainya &gt;=80 di C36:C39 menggunakan COUNTIFS!</t>
        </is>
      </c>
    </row>
    <row r="36">
      <c r="B36" s="18" t="inlineStr">
        <is>
          <t>Lulus</t>
        </is>
      </c>
      <c r="C36" s="18" t="n">
        <v>85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Remedial</t>
        </is>
      </c>
      <c r="C37" s="18" t="n">
        <v>65</v>
      </c>
      <c r="E37" s="26" t="n"/>
      <c r="F37" s="27">
        <f>IF(ISBLANK(E37), "⏳ Ketik rumus di sel kuning E37", IF(E37=G37, "✅ BENAR! LUAR BIASA!", "❌ Belum Tepat, Cek Kunci"))</f>
        <v/>
      </c>
      <c r="G37" s="28">
        <f>COUNTIFS(B36:B39, "Lulus", C36:C39, "&gt;=80")</f>
        <v/>
      </c>
      <c r="H37" s="29" t="inlineStr">
        <is>
          <t>Ketik: =COUNTIFS(B36:B39, "Lulus", C36:C39, "&gt;=80")</t>
        </is>
      </c>
    </row>
    <row r="38">
      <c r="B38" s="18" t="inlineStr">
        <is>
          <t>Lulus</t>
        </is>
      </c>
      <c r="C38" s="18" t="n">
        <v>90</v>
      </c>
    </row>
    <row r="39">
      <c r="B39" s="18" t="inlineStr">
        <is>
          <t>Lulus</t>
        </is>
      </c>
      <c r="C39" s="18" t="n">
        <v>88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Status Evaluasi</t>
        </is>
      </c>
      <c r="C43" s="12" t="inlineStr">
        <is>
          <t>Skor Nilai</t>
        </is>
      </c>
      <c r="E43" s="25" t="inlineStr">
        <is>
          <t>Persoalan #4: Hitung berapa data yang berstatus "Lulus" di B44:B47 DAN nilainya &gt;=80 di C44:C47 menggunakan COUNTIFS!</t>
        </is>
      </c>
    </row>
    <row r="44">
      <c r="B44" s="18" t="inlineStr">
        <is>
          <t>Lulus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Remedial</t>
        </is>
      </c>
      <c r="C45" s="18" t="n">
        <v>65</v>
      </c>
      <c r="E45" s="26" t="n"/>
      <c r="F45" s="27">
        <f>IF(ISBLANK(E45), "⏳ Ketik rumus di sel kuning E45", IF(E45=G45, "✅ BENAR! LUAR BIASA!", "❌ Belum Tepat, Cek Kunci"))</f>
        <v/>
      </c>
      <c r="G45" s="28">
        <f>COUNTIFS(B44:B47, "Lulus", C44:C47, "&gt;=80")</f>
        <v/>
      </c>
      <c r="H45" s="29" t="inlineStr">
        <is>
          <t>Ketik: =COUNTIFS(B44:B47, "Lulus", C44:C47, "&gt;=80")</t>
        </is>
      </c>
    </row>
    <row r="46">
      <c r="B46" s="18" t="inlineStr">
        <is>
          <t>Lulus</t>
        </is>
      </c>
      <c r="C46" s="18" t="n">
        <v>90</v>
      </c>
    </row>
    <row r="47">
      <c r="B47" s="18" t="inlineStr">
        <is>
          <t>Lulus</t>
        </is>
      </c>
      <c r="C47" s="18" t="n">
        <v>88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Status Evaluasi</t>
        </is>
      </c>
      <c r="C51" s="12" t="inlineStr">
        <is>
          <t>Skor Nilai</t>
        </is>
      </c>
      <c r="E51" s="25" t="inlineStr">
        <is>
          <t>Persoalan #5: Hitung berapa data yang berstatus "Lulus" di B52:B55 DAN nilainya &gt;=80 di C52:C55 menggunakan COUNTIFS!</t>
        </is>
      </c>
    </row>
    <row r="52">
      <c r="B52" s="18" t="inlineStr">
        <is>
          <t>Lulus</t>
        </is>
      </c>
      <c r="C52" s="18" t="n">
        <v>85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Remedial</t>
        </is>
      </c>
      <c r="C53" s="18" t="n">
        <v>65</v>
      </c>
      <c r="E53" s="26" t="n"/>
      <c r="F53" s="27">
        <f>IF(ISBLANK(E53), "⏳ Ketik rumus di sel kuning E53", IF(E53=G53, "✅ BENAR! LUAR BIASA!", "❌ Belum Tepat, Cek Kunci"))</f>
        <v/>
      </c>
      <c r="G53" s="28">
        <f>COUNTIFS(B52:B55, "Lulus", C52:C55, "&gt;=80")</f>
        <v/>
      </c>
      <c r="H53" s="29" t="inlineStr">
        <is>
          <t>Ketik: =COUNTIFS(B52:B55, "Lulus", C52:C55, "&gt;=80")</t>
        </is>
      </c>
    </row>
    <row r="54">
      <c r="B54" s="18" t="inlineStr">
        <is>
          <t>Lulus</t>
        </is>
      </c>
      <c r="C54" s="18" t="n">
        <v>90</v>
      </c>
    </row>
    <row r="55">
      <c r="B55" s="18" t="inlineStr">
        <is>
          <t>Lulus</t>
        </is>
      </c>
      <c r="C55" s="18" t="n">
        <v>88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#128 — RUMUS EXCEL: COVARIANCE.P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(COVARIANCE.P)</t>
        </is>
      </c>
    </row>
    <row r="5" ht="21" customHeight="1">
      <c r="B5" s="12" t="inlineStr">
        <is>
          <t>Nama Rumus Excel</t>
        </is>
      </c>
      <c r="C5" s="13">
        <f>COVARIANCE.P(...)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COVARIANCE.P(range_x, range_y)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kovarians populasi antara dua kumpulan data.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COVARIANCE.P)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COVARIANCE.P!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'=COVARIANCE.P(B11:B14,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COVARIANCE.P(B11:B14,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COVARIANCE.P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COVARIANCE.P!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COVARIANCE.P(B20:B23, C20:C23)</f>
        <v/>
      </c>
      <c r="H21" s="29" t="inlineStr">
        <is>
          <t>Ketik: =COVARIANCE.P(B20:B23,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COVARIANCE.P!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COVARIANCE.P(B28:B31, C28:C31)</f>
        <v/>
      </c>
      <c r="H29" s="29" t="inlineStr">
        <is>
          <t>Ketik: =COVARIANCE.P(B28:B31,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COVARIANCE.P!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COVARIANCE.P(B36:B39, C36:C39)</f>
        <v/>
      </c>
      <c r="H37" s="29" t="inlineStr">
        <is>
          <t>Ketik: =COVARIANCE.P(B36:B39,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COVARIANCE.P!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COVARIANCE.P(B44:B47, C44:C47)</f>
        <v/>
      </c>
      <c r="H45" s="29" t="inlineStr">
        <is>
          <t>Ketik: =COVARIANCE.P(B44:B47,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COVARIANCE.P!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COVARIANCE.P(B52:B55, C52:C55)</f>
        <v/>
      </c>
      <c r="H53" s="29" t="inlineStr">
        <is>
          <t>Ketik: =COVARIANCE.P(B52:B55,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#129 — RUMUS EXCEL: COVARIANCE.T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(COVARIANCE.T)</t>
        </is>
      </c>
    </row>
    <row r="5" ht="21" customHeight="1">
      <c r="B5" s="12" t="inlineStr">
        <is>
          <t>Nama Rumus Excel</t>
        </is>
      </c>
      <c r="C5" s="13">
        <f>COVARIANCE.T(...)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COVARIANCE.T(...)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(COVARIANCE.T)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COVARIANCE.T)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COVARIANCE.T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#130 — RUMUS EXCEL: CRITBINOM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(CRITBINOM)</t>
        </is>
      </c>
    </row>
    <row r="5" ht="21" customHeight="1">
      <c r="B5" s="12" t="inlineStr">
        <is>
          <t>Nama Rumus Excel</t>
        </is>
      </c>
      <c r="C5" s="13">
        <f>CRITBINOM(...)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CRITBINOM(...)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(CRITBINOM)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CRITBINOM)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CRITBINOM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#131 — RUMUS EXCEL: DEVSQ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(DEVSQ)</t>
        </is>
      </c>
    </row>
    <row r="5" ht="21" customHeight="1">
      <c r="B5" s="12" t="inlineStr">
        <is>
          <t>Nama Rumus Excel</t>
        </is>
      </c>
      <c r="C5" s="13">
        <f>DEVSQ(...)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DEVSQ(range_data)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jumlah kuadrat simpangan data dari rata-ratanya.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DEVSQ)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DEVSQ pada rentang sel C11:C14 untuk menghitung nilai DEVSQ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'=DEVSQ(C11:C14)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DEVSQ(C11:C14)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DEVSQ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DEVSQ pada rentang sel C20:C23 untuk menghitung nilai DEVSQ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DEVSQ(C20:C23)</f>
        <v/>
      </c>
      <c r="H21" s="29" t="inlineStr">
        <is>
          <t>Ketik: =DEVSQ(C20:C23)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DEVSQ pada rentang sel C28:C31 untuk menghitung nilai DEVSQ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DEVSQ(C28:C31)</f>
        <v/>
      </c>
      <c r="H29" s="29" t="inlineStr">
        <is>
          <t>Ketik: =DEVSQ(C28:C31)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DEVSQ pada rentang sel C36:C39 untuk menghitung nilai DEVSQ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DEVSQ(C36:C39)</f>
        <v/>
      </c>
      <c r="H37" s="29" t="inlineStr">
        <is>
          <t>Ketik: =DEVSQ(C36:C39)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DEVSQ pada rentang sel C44:C47 untuk menghitung nilai DEVSQ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DEVSQ(C44:C47)</f>
        <v/>
      </c>
      <c r="H45" s="29" t="inlineStr">
        <is>
          <t>Ketik: =DEVSQ(C44:C47)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DEVSQ pada rentang sel C52:C55 untuk menghitung nilai DEVSQ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DEVSQ(C52:C55)</f>
        <v/>
      </c>
      <c r="H53" s="29" t="inlineStr">
        <is>
          <t>Ketik: =DEVSQ(C52:C55)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#132 — RUMUS EXCEL: EXPON.DIST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(EXPON.DIST)</t>
        </is>
      </c>
    </row>
    <row r="5" ht="21" customHeight="1">
      <c r="B5" s="12" t="inlineStr">
        <is>
          <t>Nama Rumus Excel</t>
        </is>
      </c>
      <c r="C5" s="13">
        <f>EXPON.DIST(...)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EXPON.DIST(...)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(EXPON.DIST)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EXPON.DIST)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EXPON.DIST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#133 — RUMUS EXCEL: F.DIST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(F.DIST)</t>
        </is>
      </c>
    </row>
    <row r="5" ht="21" customHeight="1">
      <c r="B5" s="12" t="inlineStr">
        <is>
          <t>Nama Rumus Excel</t>
        </is>
      </c>
      <c r="C5" s="13">
        <f>F.DIST(...)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#134 — RUMUS EXCEL: F.DIST.RT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(F.DIST.RT)</t>
        </is>
      </c>
    </row>
    <row r="5" ht="21" customHeight="1">
      <c r="B5" s="12" t="inlineStr">
        <is>
          <t>Nama Rumus Excel</t>
        </is>
      </c>
      <c r="C5" s="13">
        <f>F.DIST.RT(...)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F.DIST.RT(...)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(F.DIST.RT)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F.DIST.RT)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F.DIST.RT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#135 — RUMUS EXCEL: F.INV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(F.INV)</t>
        </is>
      </c>
    </row>
    <row r="5" ht="21" customHeight="1">
      <c r="B5" s="12" t="inlineStr">
        <is>
          <t>Nama Rumus Excel</t>
        </is>
      </c>
      <c r="C5" s="13">
        <f>F.INV(...)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#136 — RUMUS EXCEL: F.INV.RT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(F.INV.RT)</t>
        </is>
      </c>
    </row>
    <row r="5" ht="21" customHeight="1">
      <c r="B5" s="12" t="inlineStr">
        <is>
          <t>Nama Rumus Excel</t>
        </is>
      </c>
      <c r="C5" s="13">
        <f>F.INV.RT(...)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F.INV.RT(...)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(F.INV.RT)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F.INV.RT)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F.INV.RT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#137 — RUMUS EXCEL: FTEST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(FTEST)</t>
        </is>
      </c>
    </row>
    <row r="5" ht="21" customHeight="1">
      <c r="B5" s="12" t="inlineStr">
        <is>
          <t>Nama Rumus Excel</t>
        </is>
      </c>
      <c r="C5" s="13">
        <f>FTEST(...)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FTEST(...)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(FTEST)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FTEST)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FTEST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#138 — RUMUS EXCEL: FISHER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(FISHER)</t>
        </is>
      </c>
    </row>
    <row r="5" ht="21" customHeight="1">
      <c r="B5" s="12" t="inlineStr">
        <is>
          <t>Nama Rumus Excel</t>
        </is>
      </c>
      <c r="C5" s="13">
        <f>FISHER(...)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FISHER(...)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(FISHER)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FISHER)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FISHER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#139 — RUMUS EXCEL: FISHER.INV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(FISHER.INV)</t>
        </is>
      </c>
    </row>
    <row r="5" ht="21" customHeight="1">
      <c r="B5" s="12" t="inlineStr">
        <is>
          <t>Nama Rumus Excel</t>
        </is>
      </c>
      <c r="C5" s="13">
        <f>FISHER.INV(...)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FISHER.INV(...)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(FISHER.INV)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FISHER.INV)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FISHER.INV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#140 — RUMUS EXCEL: FORECAST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(FORECAST)</t>
        </is>
      </c>
    </row>
    <row r="5" ht="21" customHeight="1">
      <c r="B5" s="12" t="inlineStr">
        <is>
          <t>Nama Rumus Excel</t>
        </is>
      </c>
      <c r="C5" s="13">
        <f>FORECAST(...)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FORECAST(target_x, range_y, range_x)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Meramal angka masa depan (Misal: memprediksi omzet bulan ke-6 berdasarkan tren bulan 1 s/d 5)!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FORECAST)</t>
        </is>
      </c>
    </row>
    <row r="10">
      <c r="B10" s="16" t="inlineStr">
        <is>
          <t>Periode Bulan (X)</t>
        </is>
      </c>
      <c r="C10" s="16" t="inlineStr">
        <is>
          <t>Omzet Juta (Y)</t>
        </is>
      </c>
      <c r="E10" s="17" t="inlineStr">
        <is>
          <t>💡 CONTOH RUMUS YANG SUDAH TERPASANG AKTIF:</t>
        </is>
      </c>
    </row>
    <row r="11">
      <c r="B11" s="18" t="n">
        <v>1</v>
      </c>
      <c r="C11" s="18" t="n">
        <v>100</v>
      </c>
      <c r="E11" s="19" t="inlineStr">
        <is>
          <t>Kasus Contoh:</t>
        </is>
      </c>
      <c r="F11" s="20" t="inlineStr">
        <is>
          <t>Ramal nilai periode ke-5 berdasarkan data hasil (C11:C14) dan periode (B11:B14) menggunakan FORECAST!</t>
        </is>
      </c>
    </row>
    <row r="12">
      <c r="B12" s="18" t="n">
        <v>2</v>
      </c>
      <c r="C12" s="18" t="n">
        <v>130</v>
      </c>
      <c r="E12" s="19" t="inlineStr">
        <is>
          <t>Rumus yang Diketik:</t>
        </is>
      </c>
      <c r="F12" s="21" t="inlineStr">
        <is>
          <t>'=FORECAST(5, C11:C14, B11:B14)</t>
        </is>
      </c>
    </row>
    <row r="13">
      <c r="B13" s="18" t="n">
        <v>3</v>
      </c>
      <c r="C13" s="18" t="n">
        <v>160</v>
      </c>
      <c r="E13" s="19" t="inlineStr">
        <is>
          <t>Hasil Otomatis Excel:</t>
        </is>
      </c>
      <c r="F13" s="22">
        <f>FORECAST(5, C11:C14, B11:B14)</f>
        <v/>
      </c>
    </row>
    <row r="14">
      <c r="B14" s="18" t="n">
        <v>4</v>
      </c>
      <c r="C14" s="18" t="n">
        <v>190</v>
      </c>
    </row>
    <row r="16" ht="26" customHeight="1">
      <c r="B16" s="23" t="inlineStr">
        <is>
          <t>3️⃣ 5 PERSOALAN DUNIA NYATA (KETIK RUMUS FORECAST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Periode Bulan (X)</t>
        </is>
      </c>
      <c r="C19" s="12" t="inlineStr">
        <is>
          <t>Omzet Juta (Y)</t>
        </is>
      </c>
      <c r="E19" s="25" t="inlineStr">
        <is>
          <t>Persoalan #1: Ramal nilai periode ke-5 berdasarkan data hasil (C20:C23) dan periode (B20:B23) menggunakan FORECAST!</t>
        </is>
      </c>
    </row>
    <row r="20">
      <c r="B20" s="18" t="n">
        <v>1</v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</v>
      </c>
      <c r="C21" s="18" t="n">
        <v>130</v>
      </c>
      <c r="E21" s="26" t="n"/>
      <c r="F21" s="27">
        <f>IF(ISBLANK(E21), "⏳ Ketik rumus di sel kuning E21", IF(E21=G21, "✅ BENAR! LUAR BIASA!", "❌ Belum Tepat, Cek Kunci"))</f>
        <v/>
      </c>
      <c r="G21" s="28">
        <f>FORECAST(5, C20:C23, B20:B23)</f>
        <v/>
      </c>
      <c r="H21" s="29" t="inlineStr">
        <is>
          <t>Ketik: =FORECAST(5, C20:C23, B20:B23)</t>
        </is>
      </c>
    </row>
    <row r="22">
      <c r="B22" s="18" t="n">
        <v>3</v>
      </c>
      <c r="C22" s="18" t="n">
        <v>160</v>
      </c>
    </row>
    <row r="23">
      <c r="B23" s="18" t="n">
        <v>4</v>
      </c>
      <c r="C23" s="18" t="n">
        <v>190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Periode Bulan (X)</t>
        </is>
      </c>
      <c r="C27" s="12" t="inlineStr">
        <is>
          <t>Omzet Juta (Y)</t>
        </is>
      </c>
      <c r="E27" s="25" t="inlineStr">
        <is>
          <t>Persoalan #2: Ramal nilai periode ke-5 berdasarkan data hasil (C28:C31) dan periode (B28:B31) menggunakan FORECAST!</t>
        </is>
      </c>
    </row>
    <row r="28">
      <c r="B28" s="18" t="n">
        <v>1</v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2</v>
      </c>
      <c r="C29" s="18" t="n">
        <v>260</v>
      </c>
      <c r="E29" s="26" t="n"/>
      <c r="F29" s="27">
        <f>IF(ISBLANK(E29), "⏳ Ketik rumus di sel kuning E29", IF(E29=G29, "✅ BENAR! LUAR BIASA!", "❌ Belum Tepat, Cek Kunci"))</f>
        <v/>
      </c>
      <c r="G29" s="28">
        <f>FORECAST(5, C28:C31, B28:B31)</f>
        <v/>
      </c>
      <c r="H29" s="29" t="inlineStr">
        <is>
          <t>Ketik: =FORECAST(5, C28:C31, B28:B31)</t>
        </is>
      </c>
    </row>
    <row r="30">
      <c r="B30" s="18" t="n">
        <v>3</v>
      </c>
      <c r="C30" s="18" t="n">
        <v>320</v>
      </c>
    </row>
    <row r="31">
      <c r="B31" s="18" t="n">
        <v>4</v>
      </c>
      <c r="C31" s="18" t="n">
        <v>380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Periode Bulan (X)</t>
        </is>
      </c>
      <c r="C35" s="12" t="inlineStr">
        <is>
          <t>Omzet Juta (Y)</t>
        </is>
      </c>
      <c r="E35" s="25" t="inlineStr">
        <is>
          <t>Persoalan #3: Ramal nilai periode ke-5 berdasarkan data hasil (C36:C39) dan periode (B36:B39) menggunakan FORECAST!</t>
        </is>
      </c>
    </row>
    <row r="36">
      <c r="B36" s="18" t="n">
        <v>1</v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2</v>
      </c>
      <c r="C37" s="18" t="n">
        <v>390</v>
      </c>
      <c r="E37" s="26" t="n"/>
      <c r="F37" s="27">
        <f>IF(ISBLANK(E37), "⏳ Ketik rumus di sel kuning E37", IF(E37=G37, "✅ BENAR! LUAR BIASA!", "❌ Belum Tepat, Cek Kunci"))</f>
        <v/>
      </c>
      <c r="G37" s="28">
        <f>FORECAST(5, C36:C39, B36:B39)</f>
        <v/>
      </c>
      <c r="H37" s="29" t="inlineStr">
        <is>
          <t>Ketik: =FORECAST(5, C36:C39, B36:B39)</t>
        </is>
      </c>
    </row>
    <row r="38">
      <c r="B38" s="18" t="n">
        <v>3</v>
      </c>
      <c r="C38" s="18" t="n">
        <v>480</v>
      </c>
    </row>
    <row r="39">
      <c r="B39" s="18" t="n">
        <v>4</v>
      </c>
      <c r="C39" s="18" t="n">
        <v>570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Periode Bulan (X)</t>
        </is>
      </c>
      <c r="C43" s="12" t="inlineStr">
        <is>
          <t>Omzet Juta (Y)</t>
        </is>
      </c>
      <c r="E43" s="25" t="inlineStr">
        <is>
          <t>Persoalan #4: Ramal nilai periode ke-5 berdasarkan data hasil (C44:C47) dan periode (B44:B47) menggunakan FORECAST!</t>
        </is>
      </c>
    </row>
    <row r="44">
      <c r="B44" s="18" t="n">
        <v>1</v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2</v>
      </c>
      <c r="C45" s="18" t="n">
        <v>520</v>
      </c>
      <c r="E45" s="26" t="n"/>
      <c r="F45" s="27">
        <f>IF(ISBLANK(E45), "⏳ Ketik rumus di sel kuning E45", IF(E45=G45, "✅ BENAR! LUAR BIASA!", "❌ Belum Tepat, Cek Kunci"))</f>
        <v/>
      </c>
      <c r="G45" s="28">
        <f>FORECAST(5, C44:C47, B44:B47)</f>
        <v/>
      </c>
      <c r="H45" s="29" t="inlineStr">
        <is>
          <t>Ketik: =FORECAST(5, C44:C47, B44:B47)</t>
        </is>
      </c>
    </row>
    <row r="46">
      <c r="B46" s="18" t="n">
        <v>3</v>
      </c>
      <c r="C46" s="18" t="n">
        <v>640</v>
      </c>
    </row>
    <row r="47">
      <c r="B47" s="18" t="n">
        <v>4</v>
      </c>
      <c r="C47" s="18" t="n">
        <v>760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Periode Bulan (X)</t>
        </is>
      </c>
      <c r="C51" s="12" t="inlineStr">
        <is>
          <t>Omzet Juta (Y)</t>
        </is>
      </c>
      <c r="E51" s="25" t="inlineStr">
        <is>
          <t>Persoalan #5: Ramal nilai periode ke-5 berdasarkan data hasil (C52:C55) dan periode (B52:B55) menggunakan FORECAST!</t>
        </is>
      </c>
    </row>
    <row r="52">
      <c r="B52" s="18" t="n">
        <v>1</v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2</v>
      </c>
      <c r="C53" s="18" t="n">
        <v>650</v>
      </c>
      <c r="E53" s="26" t="n"/>
      <c r="F53" s="27">
        <f>IF(ISBLANK(E53), "⏳ Ketik rumus di sel kuning E53", IF(E53=G53, "✅ BENAR! LUAR BIASA!", "❌ Belum Tepat, Cek Kunci"))</f>
        <v/>
      </c>
      <c r="G53" s="28">
        <f>FORECAST(5, C52:C55, B52:B55)</f>
        <v/>
      </c>
      <c r="H53" s="29" t="inlineStr">
        <is>
          <t>Ketik: =FORECAST(5, C52:C55, B52:B55)</t>
        </is>
      </c>
    </row>
    <row r="54">
      <c r="B54" s="18" t="n">
        <v>3</v>
      </c>
      <c r="C54" s="18" t="n">
        <v>800</v>
      </c>
    </row>
    <row r="55">
      <c r="B55" s="18" t="n">
        <v>4</v>
      </c>
      <c r="C55" s="18" t="n">
        <v>950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#141 — RUMUS EXCEL: FREQUENCY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(FREQUENCY)</t>
        </is>
      </c>
    </row>
    <row r="5" ht="21" customHeight="1">
      <c r="B5" s="12" t="inlineStr">
        <is>
          <t>Nama Rumus Excel</t>
        </is>
      </c>
      <c r="C5" s="13">
        <f>FREQUENCY(...)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FREQUENCY(...)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(FREQUENCY)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FREQUENCY)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FREQUENCY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#142 — RUMUS EXCEL: GAMMADIST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(GAMMADIST)</t>
        </is>
      </c>
    </row>
    <row r="5" ht="21" customHeight="1">
      <c r="B5" s="12" t="inlineStr">
        <is>
          <t>Nama Rumus Excel</t>
        </is>
      </c>
      <c r="C5" s="13">
        <f>GAMMADIST(...)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GAMMADIST(...)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(GAMMADIST)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GAMMADIST)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GAMMADIST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#143 — RUMUS EXCEL: GAMMAINV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(GAMMAINV)</t>
        </is>
      </c>
    </row>
    <row r="5" ht="21" customHeight="1">
      <c r="B5" s="12" t="inlineStr">
        <is>
          <t>Nama Rumus Excel</t>
        </is>
      </c>
      <c r="C5" s="13">
        <f>GAMMAINV(...)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GAMMAINV(...)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(GAMMAINV)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GAMMAINV)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GAMMAINV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#144 — RUMUS EXCEL: GAMMALN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(GAMMALN)</t>
        </is>
      </c>
    </row>
    <row r="5" ht="21" customHeight="1">
      <c r="B5" s="12" t="inlineStr">
        <is>
          <t>Nama Rumus Excel</t>
        </is>
      </c>
      <c r="C5" s="13">
        <f>GAMMALN(...)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GAMMALN(...)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(GAMMALN)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GAMMALN)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GAMMALN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#145 — RUMUS EXCEL: GEOMEAN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(GEOMEAN)</t>
        </is>
      </c>
    </row>
    <row r="5" ht="21" customHeight="1">
      <c r="B5" s="12" t="inlineStr">
        <is>
          <t>Nama Rumus Excel</t>
        </is>
      </c>
      <c r="C5" s="13">
        <f>GEOMEAN(...)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GEOMEAN(range_data)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Geometrik (sangat penting untuk menghitung rata-rata pertumbuhan investasi tahunan).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GEOMEAN)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GEOMEAN pada rentang sel C11:C14 untuk menghitung nilai GEOMEAN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'=GEOMEAN(C11:C14)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GEOMEAN(C11:C14)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GEOMEAN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GEOMEAN pada rentang sel C20:C23 untuk menghitung nilai GEOMEAN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GEOMEAN(C20:C23)</f>
        <v/>
      </c>
      <c r="H21" s="29" t="inlineStr">
        <is>
          <t>Ketik: =GEOMEAN(C20:C23)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GEOMEAN pada rentang sel C28:C31 untuk menghitung nilai GEOMEAN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GEOMEAN(C28:C31)</f>
        <v/>
      </c>
      <c r="H29" s="29" t="inlineStr">
        <is>
          <t>Ketik: =GEOMEAN(C28:C31)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GEOMEAN pada rentang sel C36:C39 untuk menghitung nilai GEOMEAN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GEOMEAN(C36:C39)</f>
        <v/>
      </c>
      <c r="H37" s="29" t="inlineStr">
        <is>
          <t>Ketik: =GEOMEAN(C36:C39)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GEOMEAN pada rentang sel C44:C47 untuk menghitung nilai GEOMEAN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GEOMEAN(C44:C47)</f>
        <v/>
      </c>
      <c r="H45" s="29" t="inlineStr">
        <is>
          <t>Ketik: =GEOMEAN(C44:C47)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GEOMEAN pada rentang sel C52:C55 untuk menghitung nilai GEOMEAN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GEOMEAN(C52:C55)</f>
        <v/>
      </c>
      <c r="H53" s="29" t="inlineStr">
        <is>
          <t>Ketik: =GEOMEAN(C52:C55)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#146 — RUMUS EXCEL: GROWTH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(GROWTH)</t>
        </is>
      </c>
    </row>
    <row r="5" ht="21" customHeight="1">
      <c r="B5" s="12" t="inlineStr">
        <is>
          <t>Nama Rumus Excel</t>
        </is>
      </c>
      <c r="C5" s="13">
        <f>GROWTH(...)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GROWTH(...)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(GROWTH)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GROWTH)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GROWTH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#147 — RUMUS EXCEL: HARMEAN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(HARMEAN)</t>
        </is>
      </c>
    </row>
    <row r="5" ht="21" customHeight="1">
      <c r="B5" s="12" t="inlineStr">
        <is>
          <t>Nama Rumus Excel</t>
        </is>
      </c>
      <c r="C5" s="13">
        <f>HARMEAN(...)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HARMEAN(range_data)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Harmonik (cocok untuk menghitung rata-rata kecepatan perjalanan pulang-pergi).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HARMEAN)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HARMEAN pada rentang sel C11:C14 untuk menghitung nilai HARMEAN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'=HARMEAN(C11:C14)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HARMEAN(C11:C14)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HARMEAN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HARMEAN pada rentang sel C20:C23 untuk menghitung nilai HARMEAN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HARMEAN(C20:C23)</f>
        <v/>
      </c>
      <c r="H21" s="29" t="inlineStr">
        <is>
          <t>Ketik: =HARMEAN(C20:C23)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HARMEAN pada rentang sel C28:C31 untuk menghitung nilai HARMEAN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HARMEAN(C28:C31)</f>
        <v/>
      </c>
      <c r="H29" s="29" t="inlineStr">
        <is>
          <t>Ketik: =HARMEAN(C28:C31)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HARMEAN pada rentang sel C36:C39 untuk menghitung nilai HARMEAN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HARMEAN(C36:C39)</f>
        <v/>
      </c>
      <c r="H37" s="29" t="inlineStr">
        <is>
          <t>Ketik: =HARMEAN(C36:C39)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HARMEAN pada rentang sel C44:C47 untuk menghitung nilai HARMEAN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HARMEAN(C44:C47)</f>
        <v/>
      </c>
      <c r="H45" s="29" t="inlineStr">
        <is>
          <t>Ketik: =HARMEAN(C44:C47)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HARMEAN pada rentang sel C52:C55 untuk menghitung nilai HARMEAN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HARMEAN(C52:C55)</f>
        <v/>
      </c>
      <c r="H53" s="29" t="inlineStr">
        <is>
          <t>Ketik: =HARMEAN(C52:C55)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#148 — RUMUS EXCEL: HYPGEOMDIST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(HYPGEOMDIST)</t>
        </is>
      </c>
    </row>
    <row r="5" ht="21" customHeight="1">
      <c r="B5" s="12" t="inlineStr">
        <is>
          <t>Nama Rumus Excel</t>
        </is>
      </c>
      <c r="C5" s="13">
        <f>HYPGEOMDIST(...)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HYPGEOMDIST(...)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(HYPGEOMDIST)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HYPGEOMDIST)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HYPGEOMDIST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#149 — RUMUS EXCEL: INTERCEPT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(INTERCEPT)</t>
        </is>
      </c>
    </row>
    <row r="5" ht="21" customHeight="1">
      <c r="B5" s="12" t="inlineStr">
        <is>
          <t>Nama Rumus Excel</t>
        </is>
      </c>
      <c r="C5" s="13">
        <f>INTERCEPT(...)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INTERCEPT(range_y, range_x)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titik potong sumbu Y pada garis regresi linear (nilai dasar saat X = 0).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INTERCEPT)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INTERCEPT!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'=INTERCEPT(B11:B14,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INTERCEPT(B11:B14,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INTERCEPT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INTERCEPT!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INTERCEPT(B20:B23, C20:C23)</f>
        <v/>
      </c>
      <c r="H21" s="29" t="inlineStr">
        <is>
          <t>Ketik: =INTERCEPT(B20:B23,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INTERCEPT!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INTERCEPT(B28:B31, C28:C31)</f>
        <v/>
      </c>
      <c r="H29" s="29" t="inlineStr">
        <is>
          <t>Ketik: =INTERCEPT(B28:B31,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INTERCEPT!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INTERCEPT(B36:B39, C36:C39)</f>
        <v/>
      </c>
      <c r="H37" s="29" t="inlineStr">
        <is>
          <t>Ketik: =INTERCEPT(B36:B39,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INTERCEPT!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INTERCEPT(B44:B47, C44:C47)</f>
        <v/>
      </c>
      <c r="H45" s="29" t="inlineStr">
        <is>
          <t>Ketik: =INTERCEPT(B44:B47,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INTERCEPT!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INTERCEPT(B52:B55, C52:C55)</f>
        <v/>
      </c>
      <c r="H53" s="29" t="inlineStr">
        <is>
          <t>Ketik: =INTERCEPT(B52:B55,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#150 — RUMUS EXCEL: KURT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(KURT)</t>
        </is>
      </c>
    </row>
    <row r="5" ht="21" customHeight="1">
      <c r="B5" s="12" t="inlineStr">
        <is>
          <t>Nama Rumus Excel</t>
        </is>
      </c>
      <c r="C5" s="13">
        <f>KURT(...)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KURT(range_data)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Mengukur keruncingan (Kurtosis) distribusi data statistik.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KURT)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KURT pada rentang sel C11:C14 untuk menghitung nilai KURT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'=KURT(C11:C14)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KURT(C11:C14)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KURT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KURT pada rentang sel C20:C23 untuk menghitung nilai KURT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KURT(C20:C23)</f>
        <v/>
      </c>
      <c r="H21" s="29" t="inlineStr">
        <is>
          <t>Ketik: =KURT(C20:C23)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KURT pada rentang sel C28:C31 untuk menghitung nilai KURT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KURT(C28:C31)</f>
        <v/>
      </c>
      <c r="H29" s="29" t="inlineStr">
        <is>
          <t>Ketik: =KURT(C28:C31)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KURT pada rentang sel C36:C39 untuk menghitung nilai KURT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KURT(C36:C39)</f>
        <v/>
      </c>
      <c r="H37" s="29" t="inlineStr">
        <is>
          <t>Ketik: =KURT(C36:C39)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KURT pada rentang sel C44:C47 untuk menghitung nilai KURT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KURT(C44:C47)</f>
        <v/>
      </c>
      <c r="H45" s="29" t="inlineStr">
        <is>
          <t>Ketik: =KURT(C44:C47)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KURT pada rentang sel C52:C55 untuk menghitung nilai KURT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KURT(C52:C55)</f>
        <v/>
      </c>
      <c r="H53" s="29" t="inlineStr">
        <is>
          <t>Ketik: =KURT(C52:C55)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#151 — RUMUS EXCEL: LARGE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(LARGE)</t>
        </is>
      </c>
    </row>
    <row r="5" ht="21" customHeight="1">
      <c r="B5" s="12" t="inlineStr">
        <is>
          <t>Nama Rumus Excel</t>
        </is>
      </c>
      <c r="C5" s="13">
        <f>LARGE(...)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LARGE(range_data, k)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terbesar ke-k (Misal k=2 untuk mencari Juara 2, k=3 untuk Juara 3).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LARGE)</t>
        </is>
      </c>
    </row>
    <row r="10">
      <c r="B10" s="16" t="inlineStr">
        <is>
          <t>Peserta / Cabang</t>
        </is>
      </c>
      <c r="C10" s="16" t="inlineStr">
        <is>
          <t>Skor Capaian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Cari nilai urutan ke-1 dari rentang C11:C14 menggunakan rumus LARGE!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'=LARGE(C11:C14, 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LARGE(C11:C14, 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LARGE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Peserta / Cabang</t>
        </is>
      </c>
      <c r="C19" s="12" t="inlineStr">
        <is>
          <t>Skor Capaian</t>
        </is>
      </c>
      <c r="E19" s="25" t="inlineStr">
        <is>
          <t>Persoalan #1: Cari nilai urutan ke-1 dari rentang C20:C23 menggunakan rumus LARGE!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LARGE(C20:C23, 1)</f>
        <v/>
      </c>
      <c r="H21" s="29" t="inlineStr">
        <is>
          <t>Ketik: =LARGE(C20:C23, 1)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Peserta / Cabang</t>
        </is>
      </c>
      <c r="C27" s="12" t="inlineStr">
        <is>
          <t>Skor Capaian</t>
        </is>
      </c>
      <c r="E27" s="25" t="inlineStr">
        <is>
          <t>Persoalan #2: Cari nilai urutan ke-2 dari rentang C28:C31 menggunakan rumus LARGE!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LARGE(C28:C31, 2)</f>
        <v/>
      </c>
      <c r="H29" s="29" t="inlineStr">
        <is>
          <t>Ketik: =LARGE(C28:C31, 2)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Peserta / Cabang</t>
        </is>
      </c>
      <c r="C35" s="12" t="inlineStr">
        <is>
          <t>Skor Capaian</t>
        </is>
      </c>
      <c r="E35" s="25" t="inlineStr">
        <is>
          <t>Persoalan #3: Cari nilai urutan ke-3 dari rentang C36:C39 menggunakan rumus LARGE!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LARGE(C36:C39, 3)</f>
        <v/>
      </c>
      <c r="H37" s="29" t="inlineStr">
        <is>
          <t>Ketik: =LARGE(C36:C39, 3)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Peserta / Cabang</t>
        </is>
      </c>
      <c r="C43" s="12" t="inlineStr">
        <is>
          <t>Skor Capaian</t>
        </is>
      </c>
      <c r="E43" s="25" t="inlineStr">
        <is>
          <t>Persoalan #4: Cari nilai urutan ke-1 dari rentang C44:C47 menggunakan rumus LARGE!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LARGE(C44:C47, 1)</f>
        <v/>
      </c>
      <c r="H45" s="29" t="inlineStr">
        <is>
          <t>Ketik: =LARGE(C44:C47, 1)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Peserta / Cabang</t>
        </is>
      </c>
      <c r="C51" s="12" t="inlineStr">
        <is>
          <t>Skor Capaian</t>
        </is>
      </c>
      <c r="E51" s="25" t="inlineStr">
        <is>
          <t>Persoalan #5: Cari nilai urutan ke-2 dari rentang C52:C55 menggunakan rumus LARGE!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LARGE(C52:C55, 2)</f>
        <v/>
      </c>
      <c r="H53" s="29" t="inlineStr">
        <is>
          <t>Ketik: =LARGE(C52:C55, 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#152 — RUMUS EXCEL: LOGNORM.DIST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(LOGNORM.DIST)</t>
        </is>
      </c>
    </row>
    <row r="5" ht="21" customHeight="1">
      <c r="B5" s="12" t="inlineStr">
        <is>
          <t>Nama Rumus Excel</t>
        </is>
      </c>
      <c r="C5" s="13">
        <f>LOGNORM.DIST(...)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LOGNORM.DIST(...)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(LOGNORM.DIST)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LOGNORM.DIST)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LOGNORM.DIST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#153 — RUMUS EXCEL: LOGINV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(LOGINV)</t>
        </is>
      </c>
    </row>
    <row r="5" ht="21" customHeight="1">
      <c r="B5" s="12" t="inlineStr">
        <is>
          <t>Nama Rumus Excel</t>
        </is>
      </c>
      <c r="C5" s="13">
        <f>LOGINV(...)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LOGINV(...)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(LOGINV)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LOGINV)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LOGINV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#154 — RUMUS EXCEL: MAX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(MAX)</t>
        </is>
      </c>
    </row>
    <row r="5" ht="21" customHeight="1">
      <c r="B5" s="12" t="inlineStr">
        <is>
          <t>Nama Rumus Excel</t>
        </is>
      </c>
      <c r="C5" s="13">
        <f>MAX(...)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MAX(range_data)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PALING TINGGI (Juara 1 / Rekor Tertinggi) dari sekumpulan angka.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MAX)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MAX pada rentang sel C11:C14 untuk menghitung nilai MAX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'=MAX(C11:C14)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MAX(C11:C14)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MAX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MAX pada rentang sel C20:C23 untuk menghitung nilai MAX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MAX(C20:C23)</f>
        <v/>
      </c>
      <c r="H21" s="29" t="inlineStr">
        <is>
          <t>Ketik: =MAX(C20:C23)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MAX pada rentang sel C28:C31 untuk menghitung nilai MAX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MAX(C28:C31)</f>
        <v/>
      </c>
      <c r="H29" s="29" t="inlineStr">
        <is>
          <t>Ketik: =MAX(C28:C31)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MAX pada rentang sel C36:C39 untuk menghitung nilai MAX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MAX(C36:C39)</f>
        <v/>
      </c>
      <c r="H37" s="29" t="inlineStr">
        <is>
          <t>Ketik: =MAX(C36:C39)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MAX pada rentang sel C44:C47 untuk menghitung nilai MAX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MAX(C44:C47)</f>
        <v/>
      </c>
      <c r="H45" s="29" t="inlineStr">
        <is>
          <t>Ketik: =MAX(C44:C47)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MAX pada rentang sel C52:C55 untuk menghitung nilai MAX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MAX(C52:C55)</f>
        <v/>
      </c>
      <c r="H53" s="29" t="inlineStr">
        <is>
          <t>Ketik: =MAX(C52:C55)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#155 — RUMUS EXCEL: MAXA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(MAXA)</t>
        </is>
      </c>
    </row>
    <row r="5" ht="21" customHeight="1">
      <c r="B5" s="12" t="inlineStr">
        <is>
          <t>Nama Rumus Excel</t>
        </is>
      </c>
      <c r="C5" s="13">
        <f>MAXA(...)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MAXA(range_data)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tertinggi termasuk mengevaluasi nilai logika dan teks.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MAXA)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MAXA pada rentang sel C11:C14 untuk menghitung nilai MAXA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'=MAXA(C11:C14)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MAXA(C11:C14)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MAXA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MAXA pada rentang sel C20:C23 untuk menghitung nilai MAXA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MAXA(C20:C23)</f>
        <v/>
      </c>
      <c r="H21" s="29" t="inlineStr">
        <is>
          <t>Ketik: =MAXA(C20:C23)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MAXA pada rentang sel C28:C31 untuk menghitung nilai MAXA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MAXA(C28:C31)</f>
        <v/>
      </c>
      <c r="H29" s="29" t="inlineStr">
        <is>
          <t>Ketik: =MAXA(C28:C31)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MAXA pada rentang sel C36:C39 untuk menghitung nilai MAXA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MAXA(C36:C39)</f>
        <v/>
      </c>
      <c r="H37" s="29" t="inlineStr">
        <is>
          <t>Ketik: =MAXA(C36:C39)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MAXA pada rentang sel C44:C47 untuk menghitung nilai MAXA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MAXA(C44:C47)</f>
        <v/>
      </c>
      <c r="H45" s="29" t="inlineStr">
        <is>
          <t>Ketik: =MAXA(C44:C47)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MAXA pada rentang sel C52:C55 untuk menghitung nilai MAXA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MAXA(C52:C55)</f>
        <v/>
      </c>
      <c r="H53" s="29" t="inlineStr">
        <is>
          <t>Ketik: =MAXA(C52:C55)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#156 — RUMUS EXCEL: MEDIAN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(MEDIAN)</t>
        </is>
      </c>
    </row>
    <row r="5" ht="21" customHeight="1">
      <c r="B5" s="12" t="inlineStr">
        <is>
          <t>Nama Rumus Excel</t>
        </is>
      </c>
      <c r="C5" s="13">
        <f>MEDIAN(...)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MEDIAN(range_data)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TENGAH setelah data diurutkan dari terkecil ke terbesar (tidak terpengaruh angka ekstrem).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MEDIAN)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MEDIAN pada rentang sel C11:C14 untuk menghitung nilai MEDIAN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'=MEDIAN(C11:C14)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MEDIAN(C11:C14)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MEDIAN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MEDIAN pada rentang sel C20:C23 untuk menghitung nilai MEDIAN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MEDIAN(C20:C23)</f>
        <v/>
      </c>
      <c r="H21" s="29" t="inlineStr">
        <is>
          <t>Ketik: =MEDIAN(C20:C23)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MEDIAN pada rentang sel C28:C31 untuk menghitung nilai MEDIAN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MEDIAN(C28:C31)</f>
        <v/>
      </c>
      <c r="H29" s="29" t="inlineStr">
        <is>
          <t>Ketik: =MEDIAN(C28:C31)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MEDIAN pada rentang sel C36:C39 untuk menghitung nilai MEDIAN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MEDIAN(C36:C39)</f>
        <v/>
      </c>
      <c r="H37" s="29" t="inlineStr">
        <is>
          <t>Ketik: =MEDIAN(C36:C39)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MEDIAN pada rentang sel C44:C47 untuk menghitung nilai MEDIAN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MEDIAN(C44:C47)</f>
        <v/>
      </c>
      <c r="H45" s="29" t="inlineStr">
        <is>
          <t>Ketik: =MEDIAN(C44:C47)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MEDIAN pada rentang sel C52:C55 untuk menghitung nilai MEDIAN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MEDIAN(C52:C55)</f>
        <v/>
      </c>
      <c r="H53" s="29" t="inlineStr">
        <is>
          <t>Ketik: =MEDIAN(C52:C55)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#157 — RUMUS EXCEL: MIN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(MIN)</t>
        </is>
      </c>
    </row>
    <row r="5" ht="21" customHeight="1">
      <c r="B5" s="12" t="inlineStr">
        <is>
          <t>Nama Rumus Excel</t>
        </is>
      </c>
      <c r="C5" s="13">
        <f>MIN(...)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MIN(range_data)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PALING RENDAH / paling murah dari sekumpulan angka.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MIN)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MIN pada rentang sel C11:C14 untuk menghitung nilai MIN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'=MIN(C11:C14)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MIN(C11:C14)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MIN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MIN pada rentang sel C20:C23 untuk menghitung nilai MIN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MIN(C20:C23)</f>
        <v/>
      </c>
      <c r="H21" s="29" t="inlineStr">
        <is>
          <t>Ketik: =MIN(C20:C23)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MIN pada rentang sel C28:C31 untuk menghitung nilai MIN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MIN(C28:C31)</f>
        <v/>
      </c>
      <c r="H29" s="29" t="inlineStr">
        <is>
          <t>Ketik: =MIN(C28:C31)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MIN pada rentang sel C36:C39 untuk menghitung nilai MIN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MIN(C36:C39)</f>
        <v/>
      </c>
      <c r="H37" s="29" t="inlineStr">
        <is>
          <t>Ketik: =MIN(C36:C39)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MIN pada rentang sel C44:C47 untuk menghitung nilai MIN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MIN(C44:C47)</f>
        <v/>
      </c>
      <c r="H45" s="29" t="inlineStr">
        <is>
          <t>Ketik: =MIN(C44:C47)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MIN pada rentang sel C52:C55 untuk menghitung nilai MIN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MIN(C52:C55)</f>
        <v/>
      </c>
      <c r="H53" s="29" t="inlineStr">
        <is>
          <t>Ketik: =MIN(C52:C55)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#158 — RUMUS EXCEL: MINA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(MINA)</t>
        </is>
      </c>
    </row>
    <row r="5" ht="21" customHeight="1">
      <c r="B5" s="12" t="inlineStr">
        <is>
          <t>Nama Rumus Excel</t>
        </is>
      </c>
      <c r="C5" s="13">
        <f>MINA(...)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MINA(range_data)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terendah termasuk mengevaluasi nilai logika dan teks (0).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MINA)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MINA pada rentang sel C11:C14 untuk menghitung nilai MINA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'=MINA(C11:C14)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MINA(C11:C14)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MINA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MINA pada rentang sel C20:C23 untuk menghitung nilai MINA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MINA(C20:C23)</f>
        <v/>
      </c>
      <c r="H21" s="29" t="inlineStr">
        <is>
          <t>Ketik: =MINA(C20:C23)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MINA pada rentang sel C28:C31 untuk menghitung nilai MINA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MINA(C28:C31)</f>
        <v/>
      </c>
      <c r="H29" s="29" t="inlineStr">
        <is>
          <t>Ketik: =MINA(C28:C31)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MINA pada rentang sel C36:C39 untuk menghitung nilai MINA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MINA(C36:C39)</f>
        <v/>
      </c>
      <c r="H37" s="29" t="inlineStr">
        <is>
          <t>Ketik: =MINA(C36:C39)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MINA pada rentang sel C44:C47 untuk menghitung nilai MINA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MINA(C44:C47)</f>
        <v/>
      </c>
      <c r="H45" s="29" t="inlineStr">
        <is>
          <t>Ketik: =MINA(C44:C47)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MINA pada rentang sel C52:C55 untuk menghitung nilai MINA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MINA(C52:C55)</f>
        <v/>
      </c>
      <c r="H53" s="29" t="inlineStr">
        <is>
          <t>Ketik: =MINA(C52:C55)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#159 — RUMUS EXCEL: MODE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(MODE)</t>
        </is>
      </c>
    </row>
    <row r="5" ht="21" customHeight="1">
      <c r="B5" s="12" t="inlineStr">
        <is>
          <t>Nama Rumus Excel</t>
        </is>
      </c>
      <c r="C5" s="13">
        <f>MODE(...)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MODE(range_data)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angka yang PALING SERING MUNCUL (Modus / ukuran paling laris).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MODE)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MODE pada rentang sel C11:C14 untuk menghitung nilai MODE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'=MODE(C11:C14)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MODE(C11:C14)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MODE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MODE pada rentang sel C20:C23 untuk menghitung nilai MODE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MODE(C20:C23)</f>
        <v/>
      </c>
      <c r="H21" s="29" t="inlineStr">
        <is>
          <t>Ketik: =MODE(C20:C23)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MODE pada rentang sel C28:C31 untuk menghitung nilai MODE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MODE(C28:C31)</f>
        <v/>
      </c>
      <c r="H29" s="29" t="inlineStr">
        <is>
          <t>Ketik: =MODE(C28:C31)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MODE pada rentang sel C36:C39 untuk menghitung nilai MODE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MODE(C36:C39)</f>
        <v/>
      </c>
      <c r="H37" s="29" t="inlineStr">
        <is>
          <t>Ketik: =MODE(C36:C39)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MODE pada rentang sel C44:C47 untuk menghitung nilai MODE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MODE(C44:C47)</f>
        <v/>
      </c>
      <c r="H45" s="29" t="inlineStr">
        <is>
          <t>Ketik: =MODE(C44:C47)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MODE pada rentang sel C52:C55 untuk menghitung nilai MODE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MODE(C52:C55)</f>
        <v/>
      </c>
      <c r="H53" s="29" t="inlineStr">
        <is>
          <t>Ketik: =MODE(C52:C55)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#160 — RUMUS EXCEL: NEGBINOM.DIST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(NEGBINOM.DIST)</t>
        </is>
      </c>
    </row>
    <row r="5" ht="21" customHeight="1">
      <c r="B5" s="12" t="inlineStr">
        <is>
          <t>Nama Rumus Excel</t>
        </is>
      </c>
      <c r="C5" s="13">
        <f>NEGBINOM.DIST(...)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NEGBINOM.DIST(...)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(NEGBINOM.DIST)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NEGBINOM.DIST)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NEGBINOM.DIST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#161 — RUMUS EXCEL: NORM.DIST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(NORM.DIST)</t>
        </is>
      </c>
    </row>
    <row r="5" ht="21" customHeight="1">
      <c r="B5" s="12" t="inlineStr">
        <is>
          <t>Nama Rumus Excel</t>
        </is>
      </c>
      <c r="C5" s="13">
        <f>NORM.DIST(...)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NORM.DIST(...)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(NORM.DIST)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NORM.DIST)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NORM.DIST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#162 — RUMUS EXCEL: NORM.INV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(NORM.INV)</t>
        </is>
      </c>
    </row>
    <row r="5" ht="21" customHeight="1">
      <c r="B5" s="12" t="inlineStr">
        <is>
          <t>Nama Rumus Excel</t>
        </is>
      </c>
      <c r="C5" s="13">
        <f>NORM.INV(...)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NORM.INV(...)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(NORM.INV)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NORM.INV)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NORM.INV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#163 — RUMUS EXCEL: NORM.S.DIST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(NORM.S.DIST)</t>
        </is>
      </c>
    </row>
    <row r="5" ht="21" customHeight="1">
      <c r="B5" s="12" t="inlineStr">
        <is>
          <t>Nama Rumus Excel</t>
        </is>
      </c>
      <c r="C5" s="13">
        <f>NORM.S.DIST(...)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NORM.S.DIST(...)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(NORM.S.DIST)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NORM.S.DIST)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NORM.S.DIST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#164 — RUMUS EXCEL: NORM.S.INV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(NORM.S.INV)</t>
        </is>
      </c>
    </row>
    <row r="5" ht="21" customHeight="1">
      <c r="B5" s="12" t="inlineStr">
        <is>
          <t>Nama Rumus Excel</t>
        </is>
      </c>
      <c r="C5" s="13">
        <f>NORM.S.INV(...)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NORM.S.INV(...)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(NORM.S.INV)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NORM.S.INV)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NORM.S.INV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#165 — RUMUS EXCEL: PEARSON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(PEARSON)</t>
        </is>
      </c>
    </row>
    <row r="5" ht="21" customHeight="1">
      <c r="B5" s="12" t="inlineStr">
        <is>
          <t>Nama Rumus Excel</t>
        </is>
      </c>
      <c r="C5" s="13">
        <f>PEARSON(...)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PEARSON(range_x, range_y)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koefisien korelasi Pearson antara dua kumpulan data.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PEARSON)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PEARSON!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'=PEARSON(B11:B14,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PEARSON(B11:B14,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PEARSON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PEARSON!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PEARSON(B20:B23, C20:C23)</f>
        <v/>
      </c>
      <c r="H21" s="29" t="inlineStr">
        <is>
          <t>Ketik: =PEARSON(B20:B23,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PEARSON!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PEARSON(B28:B31, C28:C31)</f>
        <v/>
      </c>
      <c r="H29" s="29" t="inlineStr">
        <is>
          <t>Ketik: =PEARSON(B28:B31,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PEARSON!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PEARSON(B36:B39, C36:C39)</f>
        <v/>
      </c>
      <c r="H37" s="29" t="inlineStr">
        <is>
          <t>Ketik: =PEARSON(B36:B39,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PEARSON!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PEARSON(B44:B47, C44:C47)</f>
        <v/>
      </c>
      <c r="H45" s="29" t="inlineStr">
        <is>
          <t>Ketik: =PEARSON(B44:B47,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PEARSON!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PEARSON(B52:B55, C52:C55)</f>
        <v/>
      </c>
      <c r="H53" s="29" t="inlineStr">
        <is>
          <t>Ketik: =PEARSON(B52:B55,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#166 — RUMUS EXCEL: PERCENTILE.EXC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(PERCENTILE.EXC)</t>
        </is>
      </c>
    </row>
    <row r="5" ht="21" customHeight="1">
      <c r="B5" s="12" t="inlineStr">
        <is>
          <t>Nama Rumus Excel</t>
        </is>
      </c>
      <c r="C5" s="13">
        <f>PERCENTILE.EXC(...)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PERCENTILE.EXC(...)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(PERCENTILE.EXC)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PERCENTILE.EXC)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PERCENTILE.EXC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#167 — RUMUS EXCEL: PERCENTILE.INC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(PERCENTILE.INC)</t>
        </is>
      </c>
    </row>
    <row r="5" ht="21" customHeight="1">
      <c r="B5" s="12" t="inlineStr">
        <is>
          <t>Nama Rumus Excel</t>
        </is>
      </c>
      <c r="C5" s="13">
        <f>PERCENTILE.INC(...)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PERCENTILE.INC(...)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(PERCENTILE.INC)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PERCENTILE.INC)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PERCENTILE.INC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#168 — RUMUS EXCEL: PERCENTRANK.EXC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(PERCENTRANK.EXC)</t>
        </is>
      </c>
    </row>
    <row r="5" ht="21" customHeight="1">
      <c r="B5" s="12" t="inlineStr">
        <is>
          <t>Nama Rumus Excel</t>
        </is>
      </c>
      <c r="C5" s="13">
        <f>PERCENTRANK.EXC(...)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PERCENTRANK.EXC(...)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(PERCENTRANK.EXC)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PERCENTRANK.EXC)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PERCENTRANK.EXC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#169 — RUMUS EXCEL: PERCENTRANK.INC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(PERCENTRANK.INC)</t>
        </is>
      </c>
    </row>
    <row r="5" ht="21" customHeight="1">
      <c r="B5" s="12" t="inlineStr">
        <is>
          <t>Nama Rumus Excel</t>
        </is>
      </c>
      <c r="C5" s="13">
        <f>PERCENTRANK.INC(...)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PERCENTRANK.INC(...)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(PERCENTRANK.INC)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PERCENTRANK.INC)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PERCENTRANK.INC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#170 — RUMUS EXCEL: PERMUT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(PERMUT)</t>
        </is>
      </c>
    </row>
    <row r="5" ht="21" customHeight="1">
      <c r="B5" s="12" t="inlineStr">
        <is>
          <t>Nama Rumus Excel</t>
        </is>
      </c>
      <c r="C5" s="13">
        <f>PERMUT(...)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PERMUT(...)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(PERMUT)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PERMUT)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PERMUT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#171 — RUMUS EXCEL: POISSON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(POISSON)</t>
        </is>
      </c>
    </row>
    <row r="5" ht="21" customHeight="1">
      <c r="B5" s="12" t="inlineStr">
        <is>
          <t>Nama Rumus Excel</t>
        </is>
      </c>
      <c r="C5" s="13">
        <f>POISSON(...)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POISSON(...)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(POISSON)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POISSON)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POISSON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#172 — RUMUS EXCEL: PROB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(PROB)</t>
        </is>
      </c>
    </row>
    <row r="5" ht="21" customHeight="1">
      <c r="B5" s="12" t="inlineStr">
        <is>
          <t>Nama Rumus Excel</t>
        </is>
      </c>
      <c r="C5" s="13">
        <f>PROB(...)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PROB(...)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(PROB)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PROB)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PROB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#173 — RUMUS EXCEL: QUARTILE.EXC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(QUARTILE.EXC)</t>
        </is>
      </c>
    </row>
    <row r="5" ht="21" customHeight="1">
      <c r="B5" s="12" t="inlineStr">
        <is>
          <t>Nama Rumus Excel</t>
        </is>
      </c>
      <c r="C5" s="13">
        <f>QUARTILE.EXC(...)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QUARTILE.EXC(...)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(QUARTILE.EXC)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QUARTILE.EXC)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QUARTILE.EXC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#174 — RUMUS EXCEL: QUARTILE.INC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(QUARTILE.INC)</t>
        </is>
      </c>
    </row>
    <row r="5" ht="21" customHeight="1">
      <c r="B5" s="12" t="inlineStr">
        <is>
          <t>Nama Rumus Excel</t>
        </is>
      </c>
      <c r="C5" s="13">
        <f>QUARTILE.INC(...)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QUARTILE.INC(...)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(QUARTILE.INC)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QUARTILE.INC)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QUARTILE.INC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#175 — RUMUS EXCEL: RANK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(RANK)</t>
        </is>
      </c>
    </row>
    <row r="5" ht="21" customHeight="1">
      <c r="B5" s="12" t="inlineStr">
        <is>
          <t>Nama Rumus Excel</t>
        </is>
      </c>
      <c r="C5" s="13">
        <f>RANK(...)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RANK(angka, range_daftar)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Menentukan peringkat juara ke berapa suatu angka dibandingkan seluruh daftar.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RANK)</t>
        </is>
      </c>
    </row>
    <row r="10">
      <c r="B10" s="16" t="inlineStr">
        <is>
          <t>Nama Cabang</t>
        </is>
      </c>
      <c r="C10" s="16" t="inlineStr">
        <is>
          <t>Omzet Cabang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Cari peringkat sel C11 di antara daftar C11:C14 menggunakan rumus RANK!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'=RANK(C11, 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RANK(C11, 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RANK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Cabang</t>
        </is>
      </c>
      <c r="C19" s="12" t="inlineStr">
        <is>
          <t>Omzet Cabang</t>
        </is>
      </c>
      <c r="E19" s="25" t="inlineStr">
        <is>
          <t>Persoalan #1: Cari peringkat sel C20 di antara daftar C20:C23 menggunakan rumus RANK!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RANK(C20, C20:C23)</f>
        <v/>
      </c>
      <c r="H21" s="29" t="inlineStr">
        <is>
          <t>Ketik: =RANK(C20, 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Cabang</t>
        </is>
      </c>
      <c r="C27" s="12" t="inlineStr">
        <is>
          <t>Omzet Cabang</t>
        </is>
      </c>
      <c r="E27" s="25" t="inlineStr">
        <is>
          <t>Persoalan #2: Cari peringkat sel C28 di antara daftar C28:C31 menggunakan rumus RANK!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RANK(C28, C28:C31)</f>
        <v/>
      </c>
      <c r="H29" s="29" t="inlineStr">
        <is>
          <t>Ketik: =RANK(C28, 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Cabang</t>
        </is>
      </c>
      <c r="C35" s="12" t="inlineStr">
        <is>
          <t>Omzet Cabang</t>
        </is>
      </c>
      <c r="E35" s="25" t="inlineStr">
        <is>
          <t>Persoalan #3: Cari peringkat sel C36 di antara daftar C36:C39 menggunakan rumus RANK!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RANK(C36, C36:C39)</f>
        <v/>
      </c>
      <c r="H37" s="29" t="inlineStr">
        <is>
          <t>Ketik: =RANK(C36, 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Cabang</t>
        </is>
      </c>
      <c r="C43" s="12" t="inlineStr">
        <is>
          <t>Omzet Cabang</t>
        </is>
      </c>
      <c r="E43" s="25" t="inlineStr">
        <is>
          <t>Persoalan #4: Cari peringkat sel C44 di antara daftar C44:C47 menggunakan rumus RANK!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RANK(C44, C44:C47)</f>
        <v/>
      </c>
      <c r="H45" s="29" t="inlineStr">
        <is>
          <t>Ketik: =RANK(C44, 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Cabang</t>
        </is>
      </c>
      <c r="C51" s="12" t="inlineStr">
        <is>
          <t>Omzet Cabang</t>
        </is>
      </c>
      <c r="E51" s="25" t="inlineStr">
        <is>
          <t>Persoalan #5: Cari peringkat sel C52 di antara daftar C52:C55 menggunakan rumus RANK!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RANK(C52, C52:C55)</f>
        <v/>
      </c>
      <c r="H53" s="29" t="inlineStr">
        <is>
          <t>Ketik: =RANK(C52, 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#176 — RUMUS EXCEL: RSQ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(RSQ)</t>
        </is>
      </c>
    </row>
    <row r="5" ht="21" customHeight="1">
      <c r="B5" s="12" t="inlineStr">
        <is>
          <t>Nama Rumus Excel</t>
        </is>
      </c>
      <c r="C5" s="13">
        <f>RSQ(...)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RSQ(range_y, range_x)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nilai R-Squared (Koefisien Determinasi) untuk melihat seberapa akurat model prediksi.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RSQ)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RSQ!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'=RSQ(B11:B14,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RSQ(B11:B14,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RSQ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RSQ!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RSQ(B20:B23, C20:C23)</f>
        <v/>
      </c>
      <c r="H21" s="29" t="inlineStr">
        <is>
          <t>Ketik: =RSQ(B20:B23,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RSQ!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RSQ(B28:B31, C28:C31)</f>
        <v/>
      </c>
      <c r="H29" s="29" t="inlineStr">
        <is>
          <t>Ketik: =RSQ(B28:B31,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RSQ!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RSQ(B36:B39, C36:C39)</f>
        <v/>
      </c>
      <c r="H37" s="29" t="inlineStr">
        <is>
          <t>Ketik: =RSQ(B36:B39,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RSQ!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RSQ(B44:B47, C44:C47)</f>
        <v/>
      </c>
      <c r="H45" s="29" t="inlineStr">
        <is>
          <t>Ketik: =RSQ(B44:B47,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RSQ!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RSQ(B52:B55, C52:C55)</f>
        <v/>
      </c>
      <c r="H53" s="29" t="inlineStr">
        <is>
          <t>Ketik: =RSQ(B52:B55,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#177 — RUMUS EXCEL: SKEW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(SKEW)</t>
        </is>
      </c>
    </row>
    <row r="5" ht="21" customHeight="1">
      <c r="B5" s="12" t="inlineStr">
        <is>
          <t>Nama Rumus Excel</t>
        </is>
      </c>
      <c r="C5" s="13">
        <f>SKEW(...)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SKEW(range_data)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Mengukur kemencengan (Skewness) distribusi data.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SKEW)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SKEW pada rentang sel C11:C14 untuk menghitung nilai SKEW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'=SKEW(C11:C14)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SKEW(C11:C14)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SKEW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SKEW pada rentang sel C20:C23 untuk menghitung nilai SKEW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SKEW(C20:C23)</f>
        <v/>
      </c>
      <c r="H21" s="29" t="inlineStr">
        <is>
          <t>Ketik: =SKEW(C20:C23)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SKEW pada rentang sel C28:C31 untuk menghitung nilai SKEW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SKEW(C28:C31)</f>
        <v/>
      </c>
      <c r="H29" s="29" t="inlineStr">
        <is>
          <t>Ketik: =SKEW(C28:C31)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SKEW pada rentang sel C36:C39 untuk menghitung nilai SKEW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SKEW(C36:C39)</f>
        <v/>
      </c>
      <c r="H37" s="29" t="inlineStr">
        <is>
          <t>Ketik: =SKEW(C36:C39)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SKEW pada rentang sel C44:C47 untuk menghitung nilai SKEW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SKEW(C44:C47)</f>
        <v/>
      </c>
      <c r="H45" s="29" t="inlineStr">
        <is>
          <t>Ketik: =SKEW(C44:C47)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SKEW pada rentang sel C52:C55 untuk menghitung nilai SKEW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SKEW(C52:C55)</f>
        <v/>
      </c>
      <c r="H53" s="29" t="inlineStr">
        <is>
          <t>Ketik: =SKEW(C52:C55)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#178 — RUMUS EXCEL: SLOPE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(SLOPE)</t>
        </is>
      </c>
    </row>
    <row r="5" ht="21" customHeight="1">
      <c r="B5" s="12" t="inlineStr">
        <is>
          <t>Nama Rumus Excel</t>
        </is>
      </c>
      <c r="C5" s="13">
        <f>SLOPE(...)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SLOPE(range_y, range_x)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kemiringan garis tren regresi linear (seberapa besar kenaikan Y setiap X naik 1 unit).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SLOPE)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SLOPE!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'=SLOPE(B11:B14,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SLOPE(B11:B14,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SLOPE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SLOPE!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SLOPE(B20:B23, C20:C23)</f>
        <v/>
      </c>
      <c r="H21" s="29" t="inlineStr">
        <is>
          <t>Ketik: =SLOPE(B20:B23,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SLOPE!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SLOPE(B28:B31, C28:C31)</f>
        <v/>
      </c>
      <c r="H29" s="29" t="inlineStr">
        <is>
          <t>Ketik: =SLOPE(B28:B31,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SLOPE!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SLOPE(B36:B39, C36:C39)</f>
        <v/>
      </c>
      <c r="H37" s="29" t="inlineStr">
        <is>
          <t>Ketik: =SLOPE(B36:B39,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SLOPE!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SLOPE(B44:B47, C44:C47)</f>
        <v/>
      </c>
      <c r="H45" s="29" t="inlineStr">
        <is>
          <t>Ketik: =SLOPE(B44:B47,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SLOPE!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SLOPE(B52:B55, C52:C55)</f>
        <v/>
      </c>
      <c r="H53" s="29" t="inlineStr">
        <is>
          <t>Ketik: =SLOPE(B52:B55,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#179 — RUMUS EXCEL: SMALL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(SMALL)</t>
        </is>
      </c>
    </row>
    <row r="5" ht="21" customHeight="1">
      <c r="B5" s="12" t="inlineStr">
        <is>
          <t>Nama Rumus Excel</t>
        </is>
      </c>
      <c r="C5" s="13">
        <f>SMALL(...)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SMALL(range_data, k)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nilai terkecil ke-k (Misal mencari 3 cabang dengan biaya termurah).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SMALL)</t>
        </is>
      </c>
    </row>
    <row r="10">
      <c r="B10" s="16" t="inlineStr">
        <is>
          <t>Peserta / Cabang</t>
        </is>
      </c>
      <c r="C10" s="16" t="inlineStr">
        <is>
          <t>Skor Capaian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Cari nilai urutan ke-1 dari rentang C11:C14 menggunakan rumus SMALL!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'=SMALL(C11:C14, 1)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SMALL(C11:C14, 1)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SMALL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Peserta / Cabang</t>
        </is>
      </c>
      <c r="C19" s="12" t="inlineStr">
        <is>
          <t>Skor Capaian</t>
        </is>
      </c>
      <c r="E19" s="25" t="inlineStr">
        <is>
          <t>Persoalan #1: Cari nilai urutan ke-1 dari rentang C20:C23 menggunakan rumus SMALL!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SMALL(C20:C23, 1)</f>
        <v/>
      </c>
      <c r="H21" s="29" t="inlineStr">
        <is>
          <t>Ketik: =SMALL(C20:C23, 1)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Peserta / Cabang</t>
        </is>
      </c>
      <c r="C27" s="12" t="inlineStr">
        <is>
          <t>Skor Capaian</t>
        </is>
      </c>
      <c r="E27" s="25" t="inlineStr">
        <is>
          <t>Persoalan #2: Cari nilai urutan ke-2 dari rentang C28:C31 menggunakan rumus SMALL!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SMALL(C28:C31, 2)</f>
        <v/>
      </c>
      <c r="H29" s="29" t="inlineStr">
        <is>
          <t>Ketik: =SMALL(C28:C31, 2)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Peserta / Cabang</t>
        </is>
      </c>
      <c r="C35" s="12" t="inlineStr">
        <is>
          <t>Skor Capaian</t>
        </is>
      </c>
      <c r="E35" s="25" t="inlineStr">
        <is>
          <t>Persoalan #3: Cari nilai urutan ke-3 dari rentang C36:C39 menggunakan rumus SMALL!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SMALL(C36:C39, 3)</f>
        <v/>
      </c>
      <c r="H37" s="29" t="inlineStr">
        <is>
          <t>Ketik: =SMALL(C36:C39, 3)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Peserta / Cabang</t>
        </is>
      </c>
      <c r="C43" s="12" t="inlineStr">
        <is>
          <t>Skor Capaian</t>
        </is>
      </c>
      <c r="E43" s="25" t="inlineStr">
        <is>
          <t>Persoalan #4: Cari nilai urutan ke-1 dari rentang C44:C47 menggunakan rumus SMALL!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SMALL(C44:C47, 1)</f>
        <v/>
      </c>
      <c r="H45" s="29" t="inlineStr">
        <is>
          <t>Ketik: =SMALL(C44:C47, 1)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Peserta / Cabang</t>
        </is>
      </c>
      <c r="C51" s="12" t="inlineStr">
        <is>
          <t>Skor Capaian</t>
        </is>
      </c>
      <c r="E51" s="25" t="inlineStr">
        <is>
          <t>Persoalan #5: Cari nilai urutan ke-2 dari rentang C52:C55 menggunakan rumus SMALL!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SMALL(C52:C55, 2)</f>
        <v/>
      </c>
      <c r="H53" s="29" t="inlineStr">
        <is>
          <t>Ketik: =SMALL(C52:C55, 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#180 — RUMUS EXCEL: STANDARDIZE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(STANDARDIZE)</t>
        </is>
      </c>
    </row>
    <row r="5" ht="21" customHeight="1">
      <c r="B5" s="12" t="inlineStr">
        <is>
          <t>Nama Rumus Excel</t>
        </is>
      </c>
      <c r="C5" s="13">
        <f>STANDARDIZE(...)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STANDARDIZE(...)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(STANDARDIZE)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STANDARDIZE)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STANDARDIZE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#181 — RUMUS EXCEL: STDEV.P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(STDEV.P)</t>
        </is>
      </c>
    </row>
    <row r="5" ht="21" customHeight="1">
      <c r="B5" s="12" t="inlineStr">
        <is>
          <t>Nama Rumus Excel</t>
        </is>
      </c>
      <c r="C5" s="13">
        <f>STDEV.P(...)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STDEV.P(range_data)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Standar Deviasi untuk seluruh populasi data.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STDEV.P)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STDEV.P pada rentang sel C11:C14 untuk menghitung nilai STDEV.P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'=STDEV.P(C11:C14)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STDEV.P(C11:C14)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STDEV.P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STDEV.P pada rentang sel C20:C23 untuk menghitung nilai STDEV.P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STDEV.P(C20:C23)</f>
        <v/>
      </c>
      <c r="H21" s="29" t="inlineStr">
        <is>
          <t>Ketik: =STDEV.P(C20:C23)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STDEV.P pada rentang sel C28:C31 untuk menghitung nilai STDEV.P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STDEV.P(C28:C31)</f>
        <v/>
      </c>
      <c r="H29" s="29" t="inlineStr">
        <is>
          <t>Ketik: =STDEV.P(C28:C31)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STDEV.P pada rentang sel C36:C39 untuk menghitung nilai STDEV.P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STDEV.P(C36:C39)</f>
        <v/>
      </c>
      <c r="H37" s="29" t="inlineStr">
        <is>
          <t>Ketik: =STDEV.P(C36:C39)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STDEV.P pada rentang sel C44:C47 untuk menghitung nilai STDEV.P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STDEV.P(C44:C47)</f>
        <v/>
      </c>
      <c r="H45" s="29" t="inlineStr">
        <is>
          <t>Ketik: =STDEV.P(C44:C47)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STDEV.P pada rentang sel C52:C55 untuk menghitung nilai STDEV.P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STDEV.P(C52:C55)</f>
        <v/>
      </c>
      <c r="H53" s="29" t="inlineStr">
        <is>
          <t>Ketik: =STDEV.P(C52:C55)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#182 — RUMUS EXCEL: STDEV.S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(STDEV.S)</t>
        </is>
      </c>
    </row>
    <row r="5" ht="21" customHeight="1">
      <c r="B5" s="12" t="inlineStr">
        <is>
          <t>Nama Rumus Excel</t>
        </is>
      </c>
      <c r="C5" s="13">
        <f>STDEV.S(...)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STDEV.S(range_data)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Standar Deviasi sampel untuk melihat tingkat fluktuasi/ketidakstabilan data.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STDEV.S)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STDEV.S pada rentang sel C11:C14 untuk menghitung nilai STDEV.S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'=STDEV.S(C11:C14)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STDEV.S(C11:C14)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STDEV.S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STDEV.S pada rentang sel C20:C23 untuk menghitung nilai STDEV.S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STDEV.S(C20:C23)</f>
        <v/>
      </c>
      <c r="H21" s="29" t="inlineStr">
        <is>
          <t>Ketik: =STDEV.S(C20:C23)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STDEV.S pada rentang sel C28:C31 untuk menghitung nilai STDEV.S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STDEV.S(C28:C31)</f>
        <v/>
      </c>
      <c r="H29" s="29" t="inlineStr">
        <is>
          <t>Ketik: =STDEV.S(C28:C31)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STDEV.S pada rentang sel C36:C39 untuk menghitung nilai STDEV.S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STDEV.S(C36:C39)</f>
        <v/>
      </c>
      <c r="H37" s="29" t="inlineStr">
        <is>
          <t>Ketik: =STDEV.S(C36:C39)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STDEV.S pada rentang sel C44:C47 untuk menghitung nilai STDEV.S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STDEV.S(C44:C47)</f>
        <v/>
      </c>
      <c r="H45" s="29" t="inlineStr">
        <is>
          <t>Ketik: =STDEV.S(C44:C47)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STDEV.S pada rentang sel C52:C55 untuk menghitung nilai STDEV.S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STDEV.S(C52:C55)</f>
        <v/>
      </c>
      <c r="H53" s="29" t="inlineStr">
        <is>
          <t>Ketik: =STDEV.S(C52:C55)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#183 — RUMUS EXCEL: STDEVA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(STDEVA)</t>
        </is>
      </c>
    </row>
    <row r="5" ht="21" customHeight="1">
      <c r="B5" s="12" t="inlineStr">
        <is>
          <t>Nama Rumus Excel</t>
        </is>
      </c>
      <c r="C5" s="13">
        <f>STDEVA(...)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STDEVA(...)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(STDEVA)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STDEVA)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STDEVA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#184 — RUMUS EXCEL: STDEVP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(STDEVP)</t>
        </is>
      </c>
    </row>
    <row r="5" ht="21" customHeight="1">
      <c r="B5" s="12" t="inlineStr">
        <is>
          <t>Nama Rumus Excel</t>
        </is>
      </c>
      <c r="C5" s="13">
        <f>STDEVP(...)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STDEVP(...)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(STDEVP)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STDEVP)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STDEVP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#185 — RUMUS EXCEL: STDEVPA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(STDEVPA)</t>
        </is>
      </c>
    </row>
    <row r="5" ht="21" customHeight="1">
      <c r="B5" s="12" t="inlineStr">
        <is>
          <t>Nama Rumus Excel</t>
        </is>
      </c>
      <c r="C5" s="13">
        <f>STDEVPA(...)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STDEVPA(...)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(STDEVPA)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STDEVPA)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STDEVPA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#186 — RUMUS EXCEL: STEYX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(STEYX)</t>
        </is>
      </c>
    </row>
    <row r="5" ht="21" customHeight="1">
      <c r="B5" s="12" t="inlineStr">
        <is>
          <t>Nama Rumus Excel</t>
        </is>
      </c>
      <c r="C5" s="13">
        <f>STEYX(...)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STEYX(range_y, range_x)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standar error dari prediksi regresi Y terhadap X.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STEYX)</t>
        </is>
      </c>
    </row>
    <row r="10">
      <c r="B10" s="16" t="inlineStr">
        <is>
          <t>Variabel X (Biaya)</t>
        </is>
      </c>
      <c r="C10" s="16" t="inlineStr">
        <is>
          <t>Variabel Y (Hasil)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Analisis hubungan variabel X (B11:B14) dan variabel Y (C11:C14) menggunakan rumus STEYX!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'=STEYX(B11:B14,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STEYX(B11:B14,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STEYX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Variabel X (Biaya)</t>
        </is>
      </c>
      <c r="C19" s="12" t="inlineStr">
        <is>
          <t>Variabel Y (Hasil)</t>
        </is>
      </c>
      <c r="E19" s="25" t="inlineStr">
        <is>
          <t>Persoalan #1: Analisis hubungan variabel X (B20:B23) dan variabel Y (C20:C23) menggunakan rumus STEYX!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STEYX(B20:B23, C20:C23)</f>
        <v/>
      </c>
      <c r="H21" s="29" t="inlineStr">
        <is>
          <t>Ketik: =STEYX(B20:B23,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Variabel X (Biaya)</t>
        </is>
      </c>
      <c r="C27" s="12" t="inlineStr">
        <is>
          <t>Variabel Y (Hasil)</t>
        </is>
      </c>
      <c r="E27" s="25" t="inlineStr">
        <is>
          <t>Persoalan #2: Analisis hubungan variabel X (B28:B31) dan variabel Y (C28:C31) menggunakan rumus STEYX!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STEYX(B28:B31, C28:C31)</f>
        <v/>
      </c>
      <c r="H29" s="29" t="inlineStr">
        <is>
          <t>Ketik: =STEYX(B28:B31,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Variabel X (Biaya)</t>
        </is>
      </c>
      <c r="C35" s="12" t="inlineStr">
        <is>
          <t>Variabel Y (Hasil)</t>
        </is>
      </c>
      <c r="E35" s="25" t="inlineStr">
        <is>
          <t>Persoalan #3: Analisis hubungan variabel X (B36:B39) dan variabel Y (C36:C39) menggunakan rumus STEYX!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STEYX(B36:B39, C36:C39)</f>
        <v/>
      </c>
      <c r="H37" s="29" t="inlineStr">
        <is>
          <t>Ketik: =STEYX(B36:B39,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Variabel X (Biaya)</t>
        </is>
      </c>
      <c r="C43" s="12" t="inlineStr">
        <is>
          <t>Variabel Y (Hasil)</t>
        </is>
      </c>
      <c r="E43" s="25" t="inlineStr">
        <is>
          <t>Persoalan #4: Analisis hubungan variabel X (B44:B47) dan variabel Y (C44:C47) menggunakan rumus STEYX!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STEYX(B44:B47, C44:C47)</f>
        <v/>
      </c>
      <c r="H45" s="29" t="inlineStr">
        <is>
          <t>Ketik: =STEYX(B44:B47,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Variabel X (Biaya)</t>
        </is>
      </c>
      <c r="C51" s="12" t="inlineStr">
        <is>
          <t>Variabel Y (Hasil)</t>
        </is>
      </c>
      <c r="E51" s="25" t="inlineStr">
        <is>
          <t>Persoalan #5: Analisis hubungan variabel X (B52:B55) dan variabel Y (C52:C55) menggunakan rumus STEYX!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STEYX(B52:B55, C52:C55)</f>
        <v/>
      </c>
      <c r="H53" s="29" t="inlineStr">
        <is>
          <t>Ketik: =STEYX(B52:B55,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#187 — RUMUS EXCEL: T.DIST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(T.DIST)</t>
        </is>
      </c>
    </row>
    <row r="5" ht="21" customHeight="1">
      <c r="B5" s="12" t="inlineStr">
        <is>
          <t>Nama Rumus Excel</t>
        </is>
      </c>
      <c r="C5" s="13">
        <f>T.DIST(...)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T.DIST(...)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(T.DIST)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T.DIST)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T.DIST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#188 — RUMUS EXCEL: T.DIST.2T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(T.DIST.2T)</t>
        </is>
      </c>
    </row>
    <row r="5" ht="21" customHeight="1">
      <c r="B5" s="12" t="inlineStr">
        <is>
          <t>Nama Rumus Excel</t>
        </is>
      </c>
      <c r="C5" s="13">
        <f>T.DIST.2T(...)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T.DIST.2T(...)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(T.DIST.2T)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T.DIST.2T)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T.DIST.2T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#189 — RUMUS EXCEL: T.DIST.RT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(T.DIST.RT)</t>
        </is>
      </c>
    </row>
    <row r="5" ht="21" customHeight="1">
      <c r="B5" s="12" t="inlineStr">
        <is>
          <t>Nama Rumus Excel</t>
        </is>
      </c>
      <c r="C5" s="13">
        <f>T.DIST.RT(...)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T.DIST.RT(...)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(T.DIST.RT)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T.DIST.RT)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T.DIST.RT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#190 — RUMUS EXCEL: T.INV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(T.INV)</t>
        </is>
      </c>
    </row>
    <row r="5" ht="21" customHeight="1">
      <c r="B5" s="12" t="inlineStr">
        <is>
          <t>Nama Rumus Excel</t>
        </is>
      </c>
      <c r="C5" s="13">
        <f>T.INV(...)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T.INV(...)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(T.INV)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T.INV)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T.INV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#191 — RUMUS EXCEL: T.INV.2T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(T.INV.2T)</t>
        </is>
      </c>
    </row>
    <row r="5" ht="21" customHeight="1">
      <c r="B5" s="12" t="inlineStr">
        <is>
          <t>Nama Rumus Excel</t>
        </is>
      </c>
      <c r="C5" s="13">
        <f>T.INV.2T(...)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T.INV.2T(...)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(T.INV.2T)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T.INV.2T)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T.INV.2T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#192 — RUMUS EXCEL: TREND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(TREND)</t>
        </is>
      </c>
    </row>
    <row r="5" ht="21" customHeight="1">
      <c r="B5" s="12" t="inlineStr">
        <is>
          <t>Nama Rumus Excel</t>
        </is>
      </c>
      <c r="C5" s="13">
        <f>TREND(...)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TREND(...)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(TREND)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TREND)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TREND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#193 — RUMUS EXCEL: T.TEST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(T.TEST)</t>
        </is>
      </c>
    </row>
    <row r="5" ht="21" customHeight="1">
      <c r="B5" s="12" t="inlineStr">
        <is>
          <t>Nama Rumus Excel</t>
        </is>
      </c>
      <c r="C5" s="13">
        <f>T.TEST(...)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T.TEST(...)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(T.TEST)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T.TEST)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T.TEST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#194 — RUMUS EXCEL: TRIMMEAN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(TRIMMEAN)</t>
        </is>
      </c>
    </row>
    <row r="5" ht="21" customHeight="1">
      <c r="B5" s="12" t="inlineStr">
        <is>
          <t>Nama Rumus Excel</t>
        </is>
      </c>
      <c r="C5" s="13">
        <f>TRIMMEAN(...)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TRIMMEAN(range_data, persen_pangkas)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rata-rata adil dengan membuang nilai ekstrem tertinggi dan terendah terlebih dahulu (seperti nilai juri senam!).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TRIMMEAN)</t>
        </is>
      </c>
    </row>
    <row r="10">
      <c r="B10" s="16" t="inlineStr">
        <is>
          <t>Juri Penilai</t>
        </is>
      </c>
      <c r="C10" s="16" t="inlineStr">
        <is>
          <t>Skor Penilaian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rata-rata pangkas 20% (0.2) pada rentang C11:C14 menggunakan TRIMMEAN!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'=TRIMMEAN(C11:C14, 0.2)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TRIMMEAN(C11:C14, 0.2)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TRIMMEAN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Juri Penilai</t>
        </is>
      </c>
      <c r="C19" s="12" t="inlineStr">
        <is>
          <t>Skor Penilaian</t>
        </is>
      </c>
      <c r="E19" s="25" t="inlineStr">
        <is>
          <t>Persoalan #1: Hitung rata-rata pangkas 20% (0.2) pada rentang C20:C23 menggunakan TRIMMEAN!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TRIMMEAN(C20:C23, 0.2)</f>
        <v/>
      </c>
      <c r="H21" s="29" t="inlineStr">
        <is>
          <t>Ketik: =TRIMMEAN(C20:C23, 0.2)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Juri Penilai</t>
        </is>
      </c>
      <c r="C27" s="12" t="inlineStr">
        <is>
          <t>Skor Penilaian</t>
        </is>
      </c>
      <c r="E27" s="25" t="inlineStr">
        <is>
          <t>Persoalan #2: Hitung rata-rata pangkas 20% (0.2) pada rentang C28:C31 menggunakan TRIMMEAN!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TRIMMEAN(C28:C31, 0.2)</f>
        <v/>
      </c>
      <c r="H29" s="29" t="inlineStr">
        <is>
          <t>Ketik: =TRIMMEAN(C28:C31, 0.2)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Juri Penilai</t>
        </is>
      </c>
      <c r="C35" s="12" t="inlineStr">
        <is>
          <t>Skor Penilaian</t>
        </is>
      </c>
      <c r="E35" s="25" t="inlineStr">
        <is>
          <t>Persoalan #3: Hitung rata-rata pangkas 20% (0.2) pada rentang C36:C39 menggunakan TRIMMEAN!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TRIMMEAN(C36:C39, 0.2)</f>
        <v/>
      </c>
      <c r="H37" s="29" t="inlineStr">
        <is>
          <t>Ketik: =TRIMMEAN(C36:C39, 0.2)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Juri Penilai</t>
        </is>
      </c>
      <c r="C43" s="12" t="inlineStr">
        <is>
          <t>Skor Penilaian</t>
        </is>
      </c>
      <c r="E43" s="25" t="inlineStr">
        <is>
          <t>Persoalan #4: Hitung rata-rata pangkas 20% (0.2) pada rentang C44:C47 menggunakan TRIMMEAN!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TRIMMEAN(C44:C47, 0.2)</f>
        <v/>
      </c>
      <c r="H45" s="29" t="inlineStr">
        <is>
          <t>Ketik: =TRIMMEAN(C44:C47, 0.2)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Juri Penilai</t>
        </is>
      </c>
      <c r="C51" s="12" t="inlineStr">
        <is>
          <t>Skor Penilaian</t>
        </is>
      </c>
      <c r="E51" s="25" t="inlineStr">
        <is>
          <t>Persoalan #5: Hitung rata-rata pangkas 20% (0.2) pada rentang C52:C55 menggunakan TRIMMEAN!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TRIMMEAN(C52:C55, 0.2)</f>
        <v/>
      </c>
      <c r="H53" s="29" t="inlineStr">
        <is>
          <t>Ketik: =TRIMMEAN(C52:C55, 0.2)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#195 — RUMUS EXCEL: VAR.P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(VAR.P)</t>
        </is>
      </c>
    </row>
    <row r="5" ht="21" customHeight="1">
      <c r="B5" s="12" t="inlineStr">
        <is>
          <t>Nama Rumus Excel</t>
        </is>
      </c>
      <c r="C5" s="13">
        <f>VAR.P(...)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VAR.P(range_data)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Varians seluruh populasi.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VAR.P)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VAR.P pada rentang sel C11:C14 untuk menghitung nilai VAR.P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'=VAR.P(C11:C14)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VAR.P(C11:C14)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VAR.P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VAR.P pada rentang sel C20:C23 untuk menghitung nilai VAR.P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VAR.P(C20:C23)</f>
        <v/>
      </c>
      <c r="H21" s="29" t="inlineStr">
        <is>
          <t>Ketik: =VAR.P(C20:C23)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VAR.P pada rentang sel C28:C31 untuk menghitung nilai VAR.P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VAR.P(C28:C31)</f>
        <v/>
      </c>
      <c r="H29" s="29" t="inlineStr">
        <is>
          <t>Ketik: =VAR.P(C28:C31)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VAR.P pada rentang sel C36:C39 untuk menghitung nilai VAR.P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VAR.P(C36:C39)</f>
        <v/>
      </c>
      <c r="H37" s="29" t="inlineStr">
        <is>
          <t>Ketik: =VAR.P(C36:C39)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VAR.P pada rentang sel C44:C47 untuk menghitung nilai VAR.P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VAR.P(C44:C47)</f>
        <v/>
      </c>
      <c r="H45" s="29" t="inlineStr">
        <is>
          <t>Ketik: =VAR.P(C44:C47)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VAR.P pada rentang sel C52:C55 untuk menghitung nilai VAR.P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VAR.P(C52:C55)</f>
        <v/>
      </c>
      <c r="H53" s="29" t="inlineStr">
        <is>
          <t>Ketik: =VAR.P(C52:C55)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#196 — RUMUS EXCEL: VAR.S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(VAR.S)</t>
        </is>
      </c>
    </row>
    <row r="5" ht="21" customHeight="1">
      <c r="B5" s="12" t="inlineStr">
        <is>
          <t>Nama Rumus Excel</t>
        </is>
      </c>
      <c r="C5" s="13">
        <f>VAR.S(...)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VAR.S(range_data)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Varians sampel statistik.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VAR.S)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VAR.S pada rentang sel C11:C14 untuk menghitung nilai VAR.S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'=VAR.S(C11:C14)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VAR.S(C11:C14)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VAR.S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VAR.S pada rentang sel C20:C23 untuk menghitung nilai VAR.S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VAR.S(C20:C23)</f>
        <v/>
      </c>
      <c r="H21" s="29" t="inlineStr">
        <is>
          <t>Ketik: =VAR.S(C20:C23)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VAR.S pada rentang sel C28:C31 untuk menghitung nilai VAR.S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VAR.S(C28:C31)</f>
        <v/>
      </c>
      <c r="H29" s="29" t="inlineStr">
        <is>
          <t>Ketik: =VAR.S(C28:C31)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VAR.S pada rentang sel C36:C39 untuk menghitung nilai VAR.S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VAR.S(C36:C39)</f>
        <v/>
      </c>
      <c r="H37" s="29" t="inlineStr">
        <is>
          <t>Ketik: =VAR.S(C36:C39)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VAR.S pada rentang sel C44:C47 untuk menghitung nilai VAR.S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VAR.S(C44:C47)</f>
        <v/>
      </c>
      <c r="H45" s="29" t="inlineStr">
        <is>
          <t>Ketik: =VAR.S(C44:C47)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VAR.S pada rentang sel C52:C55 untuk menghitung nilai VAR.S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VAR.S(C52:C55)</f>
        <v/>
      </c>
      <c r="H53" s="29" t="inlineStr">
        <is>
          <t>Ketik: =VAR.S(C52:C55)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#197 — RUMUS EXCEL: VARA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(VARA)</t>
        </is>
      </c>
    </row>
    <row r="5" ht="21" customHeight="1">
      <c r="B5" s="12" t="inlineStr">
        <is>
          <t>Nama Rumus Excel</t>
        </is>
      </c>
      <c r="C5" s="13">
        <f>VARA(...)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VARA(...)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(VARA)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VARA)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VARA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#198 — RUMUS EXCEL: VARPA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(VARPA)</t>
        </is>
      </c>
    </row>
    <row r="5" ht="21" customHeight="1">
      <c r="B5" s="12" t="inlineStr">
        <is>
          <t>Nama Rumus Excel</t>
        </is>
      </c>
      <c r="C5" s="13">
        <f>VARPA(...)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VARPA(...)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(VARPA)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VARPA)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VARPA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#199 — RUMUS EXCEL: WEIBULL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(WEIBULL)</t>
        </is>
      </c>
    </row>
    <row r="5" ht="21" customHeight="1">
      <c r="B5" s="12" t="inlineStr">
        <is>
          <t>Nama Rumus Excel</t>
        </is>
      </c>
      <c r="C5" s="13">
        <f>WEIBULL(...)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WEIBULL(...)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(WEIBULL)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WEIBULL)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WEIBULL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#200 — RUMUS EXCEL: ZTEST   |   Kategori: 8. Statistik &amp; Analisis Data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(ZTEST)</t>
        </is>
      </c>
    </row>
    <row r="5" ht="21" customHeight="1">
      <c r="B5" s="12" t="inlineStr">
        <is>
          <t>Nama Rumus Excel</t>
        </is>
      </c>
      <c r="C5" s="13">
        <f>ZTEST(...)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ZTEST(...)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Fungsi Statistik &amp; Analisis Data Excel (ZTEST) untuk mengolah distribusi, peluang, standar deviasi, dan pengujian hipotesis data secara presisi.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ZTEST)</t>
        </is>
      </c>
    </row>
    <row r="10">
      <c r="B10" s="16" t="inlineStr">
        <is>
          <t>Sampel Observasi</t>
        </is>
      </c>
      <c r="C10" s="16" t="inlineStr">
        <is>
          <t>Nilai Pengukuran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fungsi analisis statistik pada rentang data C11:C14 (Contoh rumus: =AVERAGE(C11:C14))!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'=AVERAGE(C11:C14)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AVERAGE(C11:C14)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ZTEST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Sampel Observasi</t>
        </is>
      </c>
      <c r="C19" s="12" t="inlineStr">
        <is>
          <t>Nilai Pengukuran</t>
        </is>
      </c>
      <c r="E19" s="25" t="inlineStr">
        <is>
          <t>Persoalan #1: Gunakan fungsi analisis statistik pada rentang data C20:C23 (Contoh rumus: =AVERAGE(C20:C23))!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AVERAGE(C20:C23)</f>
        <v/>
      </c>
      <c r="H21" s="29" t="inlineStr">
        <is>
          <t>Ketik: =AVERAGE(C20:C23)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Sampel Observasi</t>
        </is>
      </c>
      <c r="C27" s="12" t="inlineStr">
        <is>
          <t>Nilai Pengukuran</t>
        </is>
      </c>
      <c r="E27" s="25" t="inlineStr">
        <is>
          <t>Persoalan #2: Gunakan fungsi analisis statistik pada rentang data C28:C31 (Contoh rumus: =AVERAGE(C28:C31))!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AVERAGE(C28:C31)</f>
        <v/>
      </c>
      <c r="H29" s="29" t="inlineStr">
        <is>
          <t>Ketik: =AVERAGE(C28:C31)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Sampel Observasi</t>
        </is>
      </c>
      <c r="C35" s="12" t="inlineStr">
        <is>
          <t>Nilai Pengukuran</t>
        </is>
      </c>
      <c r="E35" s="25" t="inlineStr">
        <is>
          <t>Persoalan #3: Gunakan fungsi analisis statistik pada rentang data C36:C39 (Contoh rumus: =AVERAGE(C36:C39))!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AVERAGE(C36:C39)</f>
        <v/>
      </c>
      <c r="H37" s="29" t="inlineStr">
        <is>
          <t>Ketik: =AVERAGE(C36:C39)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Sampel Observasi</t>
        </is>
      </c>
      <c r="C43" s="12" t="inlineStr">
        <is>
          <t>Nilai Pengukuran</t>
        </is>
      </c>
      <c r="E43" s="25" t="inlineStr">
        <is>
          <t>Persoalan #4: Gunakan fungsi analisis statistik pada rentang data C44:C47 (Contoh rumus: =AVERAGE(C44:C47))!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AVERAGE(C44:C47)</f>
        <v/>
      </c>
      <c r="H45" s="29" t="inlineStr">
        <is>
          <t>Ketik: =AVERAGE(C44:C47)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Sampel Observasi</t>
        </is>
      </c>
      <c r="C51" s="12" t="inlineStr">
        <is>
          <t>Nilai Pengukuran</t>
        </is>
      </c>
      <c r="E51" s="25" t="inlineStr">
        <is>
          <t>Persoalan #5: Gunakan fungsi analisis statistik pada rentang data C52:C55 (Contoh rumus: =AVERAGE(C52:C55))!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AVERAGE(C52:C55)</f>
        <v/>
      </c>
      <c r="H53" s="29" t="inlineStr">
        <is>
          <t>Ketik: =AVERAGE(C52:C55)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2026-10-13T03:18:24Z</dcterms:created>
  <dcterms:modified xmlns:dcterms="http://purl.org/dc/terms/" xmlns:xsi="http://www.w3.org/2001/XMLSchema-instance" xsi:type="dcterms:W3CDTF">2026-10-13T03:18:26Z</dcterms:modified>
</cp:coreProperties>
</file>