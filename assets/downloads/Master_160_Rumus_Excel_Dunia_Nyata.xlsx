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FTAR_ISI" sheetId="1" state="visible" r:id="rId1"/>
    <sheet xmlns:r="http://schemas.openxmlformats.org/officeDocument/2006/relationships" name="SUM" sheetId="2" state="visible" r:id="rId2"/>
    <sheet xmlns:r="http://schemas.openxmlformats.org/officeDocument/2006/relationships" name="SUMIF" sheetId="3" state="visible" r:id="rId3"/>
    <sheet xmlns:r="http://schemas.openxmlformats.org/officeDocument/2006/relationships" name="SUMIFS" sheetId="4" state="visible" r:id="rId4"/>
    <sheet xmlns:r="http://schemas.openxmlformats.org/officeDocument/2006/relationships" name="PRODUCT" sheetId="5" state="visible" r:id="rId5"/>
    <sheet xmlns:r="http://schemas.openxmlformats.org/officeDocument/2006/relationships" name="SUMPRODUCT" sheetId="6" state="visible" r:id="rId6"/>
    <sheet xmlns:r="http://schemas.openxmlformats.org/officeDocument/2006/relationships" name="ROUND" sheetId="7" state="visible" r:id="rId7"/>
    <sheet xmlns:r="http://schemas.openxmlformats.org/officeDocument/2006/relationships" name="ROUNDUP" sheetId="8" state="visible" r:id="rId8"/>
    <sheet xmlns:r="http://schemas.openxmlformats.org/officeDocument/2006/relationships" name="ROUNDDOWN" sheetId="9" state="visible" r:id="rId9"/>
    <sheet xmlns:r="http://schemas.openxmlformats.org/officeDocument/2006/relationships" name="MROUND" sheetId="10" state="visible" r:id="rId10"/>
    <sheet xmlns:r="http://schemas.openxmlformats.org/officeDocument/2006/relationships" name="CEILING" sheetId="11" state="visible" r:id="rId11"/>
    <sheet xmlns:r="http://schemas.openxmlformats.org/officeDocument/2006/relationships" name="FLOOR" sheetId="12" state="visible" r:id="rId12"/>
    <sheet xmlns:r="http://schemas.openxmlformats.org/officeDocument/2006/relationships" name="INT" sheetId="13" state="visible" r:id="rId13"/>
    <sheet xmlns:r="http://schemas.openxmlformats.org/officeDocument/2006/relationships" name="TRUNC" sheetId="14" state="visible" r:id="rId14"/>
    <sheet xmlns:r="http://schemas.openxmlformats.org/officeDocument/2006/relationships" name="MOD" sheetId="15" state="visible" r:id="rId15"/>
    <sheet xmlns:r="http://schemas.openxmlformats.org/officeDocument/2006/relationships" name="QUOTIENT" sheetId="16" state="visible" r:id="rId16"/>
    <sheet xmlns:r="http://schemas.openxmlformats.org/officeDocument/2006/relationships" name="ABS" sheetId="17" state="visible" r:id="rId17"/>
    <sheet xmlns:r="http://schemas.openxmlformats.org/officeDocument/2006/relationships" name="POWER" sheetId="18" state="visible" r:id="rId18"/>
    <sheet xmlns:r="http://schemas.openxmlformats.org/officeDocument/2006/relationships" name="SQRT" sheetId="19" state="visible" r:id="rId19"/>
    <sheet xmlns:r="http://schemas.openxmlformats.org/officeDocument/2006/relationships" name="SUBTOTAL" sheetId="20" state="visible" r:id="rId20"/>
    <sheet xmlns:r="http://schemas.openxmlformats.org/officeDocument/2006/relationships" name="AGGREGATE" sheetId="21" state="visible" r:id="rId21"/>
    <sheet xmlns:r="http://schemas.openxmlformats.org/officeDocument/2006/relationships" name="RANDBETWEEN" sheetId="22" state="visible" r:id="rId22"/>
    <sheet xmlns:r="http://schemas.openxmlformats.org/officeDocument/2006/relationships" name="SIGN" sheetId="23" state="visible" r:id="rId23"/>
    <sheet xmlns:r="http://schemas.openxmlformats.org/officeDocument/2006/relationships" name="EVEN" sheetId="24" state="visible" r:id="rId24"/>
    <sheet xmlns:r="http://schemas.openxmlformats.org/officeDocument/2006/relationships" name="ODD" sheetId="25" state="visible" r:id="rId25"/>
    <sheet xmlns:r="http://schemas.openxmlformats.org/officeDocument/2006/relationships" name="FACT" sheetId="26" state="visible" r:id="rId26"/>
    <sheet xmlns:r="http://schemas.openxmlformats.org/officeDocument/2006/relationships" name="GCD" sheetId="27" state="visible" r:id="rId27"/>
    <sheet xmlns:r="http://schemas.openxmlformats.org/officeDocument/2006/relationships" name="LCM" sheetId="28" state="visible" r:id="rId28"/>
    <sheet xmlns:r="http://schemas.openxmlformats.org/officeDocument/2006/relationships" name="ROMAN" sheetId="29" state="visible" r:id="rId29"/>
    <sheet xmlns:r="http://schemas.openxmlformats.org/officeDocument/2006/relationships" name="ARABIC" sheetId="30" state="visible" r:id="rId30"/>
    <sheet xmlns:r="http://schemas.openxmlformats.org/officeDocument/2006/relationships" name="IF" sheetId="31" state="visible" r:id="rId31"/>
    <sheet xmlns:r="http://schemas.openxmlformats.org/officeDocument/2006/relationships" name="IFS" sheetId="32" state="visible" r:id="rId32"/>
    <sheet xmlns:r="http://schemas.openxmlformats.org/officeDocument/2006/relationships" name="AND" sheetId="33" state="visible" r:id="rId33"/>
    <sheet xmlns:r="http://schemas.openxmlformats.org/officeDocument/2006/relationships" name="OR" sheetId="34" state="visible" r:id="rId34"/>
    <sheet xmlns:r="http://schemas.openxmlformats.org/officeDocument/2006/relationships" name="NOT" sheetId="35" state="visible" r:id="rId35"/>
    <sheet xmlns:r="http://schemas.openxmlformats.org/officeDocument/2006/relationships" name="XOR" sheetId="36" state="visible" r:id="rId36"/>
    <sheet xmlns:r="http://schemas.openxmlformats.org/officeDocument/2006/relationships" name="IFERROR" sheetId="37" state="visible" r:id="rId37"/>
    <sheet xmlns:r="http://schemas.openxmlformats.org/officeDocument/2006/relationships" name="IFNA" sheetId="38" state="visible" r:id="rId38"/>
    <sheet xmlns:r="http://schemas.openxmlformats.org/officeDocument/2006/relationships" name="TRUE" sheetId="39" state="visible" r:id="rId39"/>
    <sheet xmlns:r="http://schemas.openxmlformats.org/officeDocument/2006/relationships" name="FALSE" sheetId="40" state="visible" r:id="rId40"/>
    <sheet xmlns:r="http://schemas.openxmlformats.org/officeDocument/2006/relationships" name="VLOOKUP" sheetId="41" state="visible" r:id="rId41"/>
    <sheet xmlns:r="http://schemas.openxmlformats.org/officeDocument/2006/relationships" name="HLOOKUP" sheetId="42" state="visible" r:id="rId42"/>
    <sheet xmlns:r="http://schemas.openxmlformats.org/officeDocument/2006/relationships" name="INDEX" sheetId="43" state="visible" r:id="rId43"/>
    <sheet xmlns:r="http://schemas.openxmlformats.org/officeDocument/2006/relationships" name="MATCH" sheetId="44" state="visible" r:id="rId44"/>
    <sheet xmlns:r="http://schemas.openxmlformats.org/officeDocument/2006/relationships" name="CHOOSE" sheetId="45" state="visible" r:id="rId45"/>
    <sheet xmlns:r="http://schemas.openxmlformats.org/officeDocument/2006/relationships" name="ROW" sheetId="46" state="visible" r:id="rId46"/>
    <sheet xmlns:r="http://schemas.openxmlformats.org/officeDocument/2006/relationships" name="COLUMN" sheetId="47" state="visible" r:id="rId47"/>
    <sheet xmlns:r="http://schemas.openxmlformats.org/officeDocument/2006/relationships" name="ROWS" sheetId="48" state="visible" r:id="rId48"/>
    <sheet xmlns:r="http://schemas.openxmlformats.org/officeDocument/2006/relationships" name="COLUMNS" sheetId="49" state="visible" r:id="rId49"/>
    <sheet xmlns:r="http://schemas.openxmlformats.org/officeDocument/2006/relationships" name="ADDRESS" sheetId="50" state="visible" r:id="rId50"/>
    <sheet xmlns:r="http://schemas.openxmlformats.org/officeDocument/2006/relationships" name="OFFSET" sheetId="51" state="visible" r:id="rId51"/>
    <sheet xmlns:r="http://schemas.openxmlformats.org/officeDocument/2006/relationships" name="INDIRECT" sheetId="52" state="visible" r:id="rId52"/>
    <sheet xmlns:r="http://schemas.openxmlformats.org/officeDocument/2006/relationships" name="LEFT" sheetId="53" state="visible" r:id="rId53"/>
    <sheet xmlns:r="http://schemas.openxmlformats.org/officeDocument/2006/relationships" name="RIGHT" sheetId="54" state="visible" r:id="rId54"/>
    <sheet xmlns:r="http://schemas.openxmlformats.org/officeDocument/2006/relationships" name="MID" sheetId="55" state="visible" r:id="rId55"/>
    <sheet xmlns:r="http://schemas.openxmlformats.org/officeDocument/2006/relationships" name="LEN" sheetId="56" state="visible" r:id="rId56"/>
    <sheet xmlns:r="http://schemas.openxmlformats.org/officeDocument/2006/relationships" name="TRIM" sheetId="57" state="visible" r:id="rId57"/>
    <sheet xmlns:r="http://schemas.openxmlformats.org/officeDocument/2006/relationships" name="CLEAN" sheetId="58" state="visible" r:id="rId58"/>
    <sheet xmlns:r="http://schemas.openxmlformats.org/officeDocument/2006/relationships" name="UPPER" sheetId="59" state="visible" r:id="rId59"/>
    <sheet xmlns:r="http://schemas.openxmlformats.org/officeDocument/2006/relationships" name="LOWER" sheetId="60" state="visible" r:id="rId60"/>
    <sheet xmlns:r="http://schemas.openxmlformats.org/officeDocument/2006/relationships" name="PROPER" sheetId="61" state="visible" r:id="rId61"/>
    <sheet xmlns:r="http://schemas.openxmlformats.org/officeDocument/2006/relationships" name="CONCATENATE" sheetId="62" state="visible" r:id="rId62"/>
    <sheet xmlns:r="http://schemas.openxmlformats.org/officeDocument/2006/relationships" name="EXACT" sheetId="63" state="visible" r:id="rId63"/>
    <sheet xmlns:r="http://schemas.openxmlformats.org/officeDocument/2006/relationships" name="FIND" sheetId="64" state="visible" r:id="rId64"/>
    <sheet xmlns:r="http://schemas.openxmlformats.org/officeDocument/2006/relationships" name="SEARCH" sheetId="65" state="visible" r:id="rId65"/>
    <sheet xmlns:r="http://schemas.openxmlformats.org/officeDocument/2006/relationships" name="SUBSTITUTE" sheetId="66" state="visible" r:id="rId66"/>
    <sheet xmlns:r="http://schemas.openxmlformats.org/officeDocument/2006/relationships" name="REPLACE" sheetId="67" state="visible" r:id="rId67"/>
    <sheet xmlns:r="http://schemas.openxmlformats.org/officeDocument/2006/relationships" name="REPT" sheetId="68" state="visible" r:id="rId68"/>
    <sheet xmlns:r="http://schemas.openxmlformats.org/officeDocument/2006/relationships" name="VALUE" sheetId="69" state="visible" r:id="rId69"/>
    <sheet xmlns:r="http://schemas.openxmlformats.org/officeDocument/2006/relationships" name="TEXT" sheetId="70" state="visible" r:id="rId70"/>
    <sheet xmlns:r="http://schemas.openxmlformats.org/officeDocument/2006/relationships" name="DATE" sheetId="71" state="visible" r:id="rId71"/>
    <sheet xmlns:r="http://schemas.openxmlformats.org/officeDocument/2006/relationships" name="YEAR" sheetId="72" state="visible" r:id="rId72"/>
    <sheet xmlns:r="http://schemas.openxmlformats.org/officeDocument/2006/relationships" name="MONTH" sheetId="73" state="visible" r:id="rId73"/>
    <sheet xmlns:r="http://schemas.openxmlformats.org/officeDocument/2006/relationships" name="DAY" sheetId="74" state="visible" r:id="rId74"/>
    <sheet xmlns:r="http://schemas.openxmlformats.org/officeDocument/2006/relationships" name="DAYS" sheetId="75" state="visible" r:id="rId75"/>
    <sheet xmlns:r="http://schemas.openxmlformats.org/officeDocument/2006/relationships" name="DATEDIF" sheetId="76" state="visible" r:id="rId76"/>
    <sheet xmlns:r="http://schemas.openxmlformats.org/officeDocument/2006/relationships" name="EDATE" sheetId="77" state="visible" r:id="rId77"/>
    <sheet xmlns:r="http://schemas.openxmlformats.org/officeDocument/2006/relationships" name="EOMONTH" sheetId="78" state="visible" r:id="rId78"/>
    <sheet xmlns:r="http://schemas.openxmlformats.org/officeDocument/2006/relationships" name="NETWORKDAYS" sheetId="79" state="visible" r:id="rId79"/>
    <sheet xmlns:r="http://schemas.openxmlformats.org/officeDocument/2006/relationships" name="WORKDAY" sheetId="80" state="visible" r:id="rId80"/>
    <sheet xmlns:r="http://schemas.openxmlformats.org/officeDocument/2006/relationships" name="WEEKDAY" sheetId="81" state="visible" r:id="rId81"/>
    <sheet xmlns:r="http://schemas.openxmlformats.org/officeDocument/2006/relationships" name="WEEKNUM" sheetId="82" state="visible" r:id="rId82"/>
    <sheet xmlns:r="http://schemas.openxmlformats.org/officeDocument/2006/relationships" name="HOUR" sheetId="83" state="visible" r:id="rId83"/>
    <sheet xmlns:r="http://schemas.openxmlformats.org/officeDocument/2006/relationships" name="MINUTE" sheetId="84" state="visible" r:id="rId84"/>
    <sheet xmlns:r="http://schemas.openxmlformats.org/officeDocument/2006/relationships" name="SECOND" sheetId="85" state="visible" r:id="rId85"/>
    <sheet xmlns:r="http://schemas.openxmlformats.org/officeDocument/2006/relationships" name="PMT" sheetId="86" state="visible" r:id="rId86"/>
    <sheet xmlns:r="http://schemas.openxmlformats.org/officeDocument/2006/relationships" name="IPMT" sheetId="87" state="visible" r:id="rId87"/>
    <sheet xmlns:r="http://schemas.openxmlformats.org/officeDocument/2006/relationships" name="PPMT" sheetId="88" state="visible" r:id="rId88"/>
    <sheet xmlns:r="http://schemas.openxmlformats.org/officeDocument/2006/relationships" name="FV" sheetId="89" state="visible" r:id="rId89"/>
    <sheet xmlns:r="http://schemas.openxmlformats.org/officeDocument/2006/relationships" name="PV" sheetId="90" state="visible" r:id="rId90"/>
    <sheet xmlns:r="http://schemas.openxmlformats.org/officeDocument/2006/relationships" name="NPV" sheetId="91" state="visible" r:id="rId91"/>
    <sheet xmlns:r="http://schemas.openxmlformats.org/officeDocument/2006/relationships" name="IRR" sheetId="92" state="visible" r:id="rId92"/>
    <sheet xmlns:r="http://schemas.openxmlformats.org/officeDocument/2006/relationships" name="SLN" sheetId="93" state="visible" r:id="rId93"/>
    <sheet xmlns:r="http://schemas.openxmlformats.org/officeDocument/2006/relationships" name="DB" sheetId="94" state="visible" r:id="rId94"/>
    <sheet xmlns:r="http://schemas.openxmlformats.org/officeDocument/2006/relationships" name="SYD" sheetId="95" state="visible" r:id="rId95"/>
    <sheet xmlns:r="http://schemas.openxmlformats.org/officeDocument/2006/relationships" name="EFFECT" sheetId="96" state="visible" r:id="rId96"/>
    <sheet xmlns:r="http://schemas.openxmlformats.org/officeDocument/2006/relationships" name="ISBLANK" sheetId="97" state="visible" r:id="rId97"/>
    <sheet xmlns:r="http://schemas.openxmlformats.org/officeDocument/2006/relationships" name="ISNUMBER" sheetId="98" state="visible" r:id="rId98"/>
    <sheet xmlns:r="http://schemas.openxmlformats.org/officeDocument/2006/relationships" name="ISTEXT" sheetId="99" state="visible" r:id="rId99"/>
    <sheet xmlns:r="http://schemas.openxmlformats.org/officeDocument/2006/relationships" name="ISERROR" sheetId="100" state="visible" r:id="rId100"/>
    <sheet xmlns:r="http://schemas.openxmlformats.org/officeDocument/2006/relationships" name="ISNA" sheetId="101" state="visible" r:id="rId101"/>
    <sheet xmlns:r="http://schemas.openxmlformats.org/officeDocument/2006/relationships" name="ISEVEN" sheetId="102" state="visible" r:id="rId102"/>
    <sheet xmlns:r="http://schemas.openxmlformats.org/officeDocument/2006/relationships" name="ISODD" sheetId="103" state="visible" r:id="rId103"/>
    <sheet xmlns:r="http://schemas.openxmlformats.org/officeDocument/2006/relationships" name="ISLOGICAL" sheetId="104" state="visible" r:id="rId104"/>
    <sheet xmlns:r="http://schemas.openxmlformats.org/officeDocument/2006/relationships" name="N" sheetId="105" state="visible" r:id="rId105"/>
    <sheet xmlns:r="http://schemas.openxmlformats.org/officeDocument/2006/relationships" name="AVEDEV" sheetId="106" state="visible" r:id="rId106"/>
    <sheet xmlns:r="http://schemas.openxmlformats.org/officeDocument/2006/relationships" name="AVERAGE" sheetId="107" state="visible" r:id="rId107"/>
    <sheet xmlns:r="http://schemas.openxmlformats.org/officeDocument/2006/relationships" name="AVERAGEA" sheetId="108" state="visible" r:id="rId108"/>
    <sheet xmlns:r="http://schemas.openxmlformats.org/officeDocument/2006/relationships" name="AVERAGEIF" sheetId="109" state="visible" r:id="rId109"/>
    <sheet xmlns:r="http://schemas.openxmlformats.org/officeDocument/2006/relationships" name="AVERAGEIFS" sheetId="110" state="visible" r:id="rId110"/>
    <sheet xmlns:r="http://schemas.openxmlformats.org/officeDocument/2006/relationships" name="BETA.DIST" sheetId="111" state="visible" r:id="rId111"/>
    <sheet xmlns:r="http://schemas.openxmlformats.org/officeDocument/2006/relationships" name="BETA.INV" sheetId="112" state="visible" r:id="rId112"/>
    <sheet xmlns:r="http://schemas.openxmlformats.org/officeDocument/2006/relationships" name="BINOM.DIST" sheetId="113" state="visible" r:id="rId113"/>
    <sheet xmlns:r="http://schemas.openxmlformats.org/officeDocument/2006/relationships" name="BINOM.INV" sheetId="114" state="visible" r:id="rId114"/>
    <sheet xmlns:r="http://schemas.openxmlformats.org/officeDocument/2006/relationships" name="CHISQ.DIST" sheetId="115" state="visible" r:id="rId115"/>
    <sheet xmlns:r="http://schemas.openxmlformats.org/officeDocument/2006/relationships" name="CHISQ.DIST.RT" sheetId="116" state="visible" r:id="rId116"/>
    <sheet xmlns:r="http://schemas.openxmlformats.org/officeDocument/2006/relationships" name="CHISQ.INV" sheetId="117" state="visible" r:id="rId117"/>
    <sheet xmlns:r="http://schemas.openxmlformats.org/officeDocument/2006/relationships" name="CHISQ.RT.INV" sheetId="118" state="visible" r:id="rId118"/>
    <sheet xmlns:r="http://schemas.openxmlformats.org/officeDocument/2006/relationships" name="CHITEST" sheetId="119" state="visible" r:id="rId119"/>
    <sheet xmlns:r="http://schemas.openxmlformats.org/officeDocument/2006/relationships" name="CONFIDENCE.NORM" sheetId="120" state="visible" r:id="rId120"/>
    <sheet xmlns:r="http://schemas.openxmlformats.org/officeDocument/2006/relationships" name="CONFIDENCE.T" sheetId="121" state="visible" r:id="rId121"/>
    <sheet xmlns:r="http://schemas.openxmlformats.org/officeDocument/2006/relationships" name="CORREL" sheetId="122" state="visible" r:id="rId122"/>
    <sheet xmlns:r="http://schemas.openxmlformats.org/officeDocument/2006/relationships" name="COUNT" sheetId="123" state="visible" r:id="rId123"/>
    <sheet xmlns:r="http://schemas.openxmlformats.org/officeDocument/2006/relationships" name="COUNTA" sheetId="124" state="visible" r:id="rId124"/>
    <sheet xmlns:r="http://schemas.openxmlformats.org/officeDocument/2006/relationships" name="COUNTBLANK" sheetId="125" state="visible" r:id="rId125"/>
    <sheet xmlns:r="http://schemas.openxmlformats.org/officeDocument/2006/relationships" name="COUNTIF" sheetId="126" state="visible" r:id="rId126"/>
    <sheet xmlns:r="http://schemas.openxmlformats.org/officeDocument/2006/relationships" name="COUNTIFS" sheetId="127" state="visible" r:id="rId127"/>
    <sheet xmlns:r="http://schemas.openxmlformats.org/officeDocument/2006/relationships" name="COVARIANCE.P" sheetId="128" state="visible" r:id="rId128"/>
    <sheet xmlns:r="http://schemas.openxmlformats.org/officeDocument/2006/relationships" name="COVARIANCE.T" sheetId="129" state="visible" r:id="rId129"/>
    <sheet xmlns:r="http://schemas.openxmlformats.org/officeDocument/2006/relationships" name="CRITBINOM" sheetId="130" state="visible" r:id="rId130"/>
    <sheet xmlns:r="http://schemas.openxmlformats.org/officeDocument/2006/relationships" name="DEVSQ" sheetId="131" state="visible" r:id="rId131"/>
    <sheet xmlns:r="http://schemas.openxmlformats.org/officeDocument/2006/relationships" name="EXPON.DIST" sheetId="132" state="visible" r:id="rId132"/>
    <sheet xmlns:r="http://schemas.openxmlformats.org/officeDocument/2006/relationships" name="F.DIST" sheetId="133" state="visible" r:id="rId133"/>
    <sheet xmlns:r="http://schemas.openxmlformats.org/officeDocument/2006/relationships" name="F.DIST.RT" sheetId="134" state="visible" r:id="rId134"/>
    <sheet xmlns:r="http://schemas.openxmlformats.org/officeDocument/2006/relationships" name="F.INV" sheetId="135" state="visible" r:id="rId135"/>
    <sheet xmlns:r="http://schemas.openxmlformats.org/officeDocument/2006/relationships" name="F.INV.RT" sheetId="136" state="visible" r:id="rId136"/>
    <sheet xmlns:r="http://schemas.openxmlformats.org/officeDocument/2006/relationships" name="FTEST" sheetId="137" state="visible" r:id="rId137"/>
    <sheet xmlns:r="http://schemas.openxmlformats.org/officeDocument/2006/relationships" name="FISHER" sheetId="138" state="visible" r:id="rId138"/>
    <sheet xmlns:r="http://schemas.openxmlformats.org/officeDocument/2006/relationships" name="FISHER.INV" sheetId="139" state="visible" r:id="rId139"/>
    <sheet xmlns:r="http://schemas.openxmlformats.org/officeDocument/2006/relationships" name="FORECAST" sheetId="140" state="visible" r:id="rId140"/>
    <sheet xmlns:r="http://schemas.openxmlformats.org/officeDocument/2006/relationships" name="FREQUENCY" sheetId="141" state="visible" r:id="rId141"/>
    <sheet xmlns:r="http://schemas.openxmlformats.org/officeDocument/2006/relationships" name="GAMMADIST" sheetId="142" state="visible" r:id="rId142"/>
    <sheet xmlns:r="http://schemas.openxmlformats.org/officeDocument/2006/relationships" name="GAMMAINV" sheetId="143" state="visible" r:id="rId143"/>
    <sheet xmlns:r="http://schemas.openxmlformats.org/officeDocument/2006/relationships" name="GAMMALN" sheetId="144" state="visible" r:id="rId144"/>
    <sheet xmlns:r="http://schemas.openxmlformats.org/officeDocument/2006/relationships" name="GEOMEAN" sheetId="145" state="visible" r:id="rId145"/>
    <sheet xmlns:r="http://schemas.openxmlformats.org/officeDocument/2006/relationships" name="GROWTH" sheetId="146" state="visible" r:id="rId146"/>
    <sheet xmlns:r="http://schemas.openxmlformats.org/officeDocument/2006/relationships" name="HARMEAN" sheetId="147" state="visible" r:id="rId147"/>
    <sheet xmlns:r="http://schemas.openxmlformats.org/officeDocument/2006/relationships" name="HYPGEOMDIST" sheetId="148" state="visible" r:id="rId148"/>
    <sheet xmlns:r="http://schemas.openxmlformats.org/officeDocument/2006/relationships" name="INTERCEPT" sheetId="149" state="visible" r:id="rId149"/>
    <sheet xmlns:r="http://schemas.openxmlformats.org/officeDocument/2006/relationships" name="KURT" sheetId="150" state="visible" r:id="rId150"/>
    <sheet xmlns:r="http://schemas.openxmlformats.org/officeDocument/2006/relationships" name="LARGE" sheetId="151" state="visible" r:id="rId151"/>
    <sheet xmlns:r="http://schemas.openxmlformats.org/officeDocument/2006/relationships" name="LOGNORM.DIST" sheetId="152" state="visible" r:id="rId152"/>
    <sheet xmlns:r="http://schemas.openxmlformats.org/officeDocument/2006/relationships" name="LOGINV" sheetId="153" state="visible" r:id="rId153"/>
    <sheet xmlns:r="http://schemas.openxmlformats.org/officeDocument/2006/relationships" name="MAX" sheetId="154" state="visible" r:id="rId154"/>
    <sheet xmlns:r="http://schemas.openxmlformats.org/officeDocument/2006/relationships" name="MAXA" sheetId="155" state="visible" r:id="rId155"/>
    <sheet xmlns:r="http://schemas.openxmlformats.org/officeDocument/2006/relationships" name="MEDIAN" sheetId="156" state="visible" r:id="rId156"/>
    <sheet xmlns:r="http://schemas.openxmlformats.org/officeDocument/2006/relationships" name="MIN" sheetId="157" state="visible" r:id="rId157"/>
    <sheet xmlns:r="http://schemas.openxmlformats.org/officeDocument/2006/relationships" name="MINA" sheetId="158" state="visible" r:id="rId158"/>
    <sheet xmlns:r="http://schemas.openxmlformats.org/officeDocument/2006/relationships" name="MODE" sheetId="159" state="visible" r:id="rId159"/>
    <sheet xmlns:r="http://schemas.openxmlformats.org/officeDocument/2006/relationships" name="NEGBINOM.DIST" sheetId="160" state="visible" r:id="rId160"/>
    <sheet xmlns:r="http://schemas.openxmlformats.org/officeDocument/2006/relationships" name="NORM.DIST" sheetId="161" state="visible" r:id="rId161"/>
    <sheet xmlns:r="http://schemas.openxmlformats.org/officeDocument/2006/relationships" name="NORM.INV" sheetId="162" state="visible" r:id="rId162"/>
    <sheet xmlns:r="http://schemas.openxmlformats.org/officeDocument/2006/relationships" name="NORM.S.DIST" sheetId="163" state="visible" r:id="rId163"/>
    <sheet xmlns:r="http://schemas.openxmlformats.org/officeDocument/2006/relationships" name="NORM.S.INV" sheetId="164" state="visible" r:id="rId164"/>
    <sheet xmlns:r="http://schemas.openxmlformats.org/officeDocument/2006/relationships" name="PEARSON" sheetId="165" state="visible" r:id="rId165"/>
    <sheet xmlns:r="http://schemas.openxmlformats.org/officeDocument/2006/relationships" name="PERCENTILE.EXC" sheetId="166" state="visible" r:id="rId166"/>
    <sheet xmlns:r="http://schemas.openxmlformats.org/officeDocument/2006/relationships" name="PERCENTILE.INC" sheetId="167" state="visible" r:id="rId167"/>
    <sheet xmlns:r="http://schemas.openxmlformats.org/officeDocument/2006/relationships" name="PERCENTRANK.EXC" sheetId="168" state="visible" r:id="rId168"/>
    <sheet xmlns:r="http://schemas.openxmlformats.org/officeDocument/2006/relationships" name="PERCENTRANK.INC" sheetId="169" state="visible" r:id="rId169"/>
    <sheet xmlns:r="http://schemas.openxmlformats.org/officeDocument/2006/relationships" name="PERMUT" sheetId="170" state="visible" r:id="rId170"/>
    <sheet xmlns:r="http://schemas.openxmlformats.org/officeDocument/2006/relationships" name="POISSON" sheetId="171" state="visible" r:id="rId171"/>
    <sheet xmlns:r="http://schemas.openxmlformats.org/officeDocument/2006/relationships" name="PROB" sheetId="172" state="visible" r:id="rId172"/>
    <sheet xmlns:r="http://schemas.openxmlformats.org/officeDocument/2006/relationships" name="QUARTILE.EXC" sheetId="173" state="visible" r:id="rId173"/>
    <sheet xmlns:r="http://schemas.openxmlformats.org/officeDocument/2006/relationships" name="QUARTILE.INC" sheetId="174" state="visible" r:id="rId174"/>
    <sheet xmlns:r="http://schemas.openxmlformats.org/officeDocument/2006/relationships" name="RANK" sheetId="175" state="visible" r:id="rId175"/>
    <sheet xmlns:r="http://schemas.openxmlformats.org/officeDocument/2006/relationships" name="RSQ" sheetId="176" state="visible" r:id="rId176"/>
    <sheet xmlns:r="http://schemas.openxmlformats.org/officeDocument/2006/relationships" name="SKEW" sheetId="177" state="visible" r:id="rId177"/>
    <sheet xmlns:r="http://schemas.openxmlformats.org/officeDocument/2006/relationships" name="SLOPE" sheetId="178" state="visible" r:id="rId178"/>
    <sheet xmlns:r="http://schemas.openxmlformats.org/officeDocument/2006/relationships" name="SMALL" sheetId="179" state="visible" r:id="rId179"/>
    <sheet xmlns:r="http://schemas.openxmlformats.org/officeDocument/2006/relationships" name="STANDARDIZE" sheetId="180" state="visible" r:id="rId180"/>
    <sheet xmlns:r="http://schemas.openxmlformats.org/officeDocument/2006/relationships" name="STDEV.P" sheetId="181" state="visible" r:id="rId181"/>
    <sheet xmlns:r="http://schemas.openxmlformats.org/officeDocument/2006/relationships" name="STDEV.S" sheetId="182" state="visible" r:id="rId182"/>
    <sheet xmlns:r="http://schemas.openxmlformats.org/officeDocument/2006/relationships" name="STDEVA" sheetId="183" state="visible" r:id="rId183"/>
    <sheet xmlns:r="http://schemas.openxmlformats.org/officeDocument/2006/relationships" name="STDEVP" sheetId="184" state="visible" r:id="rId184"/>
    <sheet xmlns:r="http://schemas.openxmlformats.org/officeDocument/2006/relationships" name="STDEVPA" sheetId="185" state="visible" r:id="rId185"/>
    <sheet xmlns:r="http://schemas.openxmlformats.org/officeDocument/2006/relationships" name="STEYX" sheetId="186" state="visible" r:id="rId186"/>
    <sheet xmlns:r="http://schemas.openxmlformats.org/officeDocument/2006/relationships" name="T.DIST" sheetId="187" state="visible" r:id="rId187"/>
    <sheet xmlns:r="http://schemas.openxmlformats.org/officeDocument/2006/relationships" name="T.DIST.2T" sheetId="188" state="visible" r:id="rId188"/>
    <sheet xmlns:r="http://schemas.openxmlformats.org/officeDocument/2006/relationships" name="T.DIST.RT" sheetId="189" state="visible" r:id="rId189"/>
    <sheet xmlns:r="http://schemas.openxmlformats.org/officeDocument/2006/relationships" name="T.INV" sheetId="190" state="visible" r:id="rId190"/>
    <sheet xmlns:r="http://schemas.openxmlformats.org/officeDocument/2006/relationships" name="T.INV.2T" sheetId="191" state="visible" r:id="rId191"/>
    <sheet xmlns:r="http://schemas.openxmlformats.org/officeDocument/2006/relationships" name="TREND" sheetId="192" state="visible" r:id="rId192"/>
    <sheet xmlns:r="http://schemas.openxmlformats.org/officeDocument/2006/relationships" name="T.TEST" sheetId="193" state="visible" r:id="rId193"/>
    <sheet xmlns:r="http://schemas.openxmlformats.org/officeDocument/2006/relationships" name="TRIMMEAN" sheetId="194" state="visible" r:id="rId194"/>
    <sheet xmlns:r="http://schemas.openxmlformats.org/officeDocument/2006/relationships" name="VAR.P" sheetId="195" state="visible" r:id="rId195"/>
    <sheet xmlns:r="http://schemas.openxmlformats.org/officeDocument/2006/relationships" name="VAR.S" sheetId="196" state="visible" r:id="rId196"/>
    <sheet xmlns:r="http://schemas.openxmlformats.org/officeDocument/2006/relationships" name="VARA" sheetId="197" state="visible" r:id="rId197"/>
    <sheet xmlns:r="http://schemas.openxmlformats.org/officeDocument/2006/relationships" name="VARPA" sheetId="198" state="visible" r:id="rId198"/>
    <sheet xmlns:r="http://schemas.openxmlformats.org/officeDocument/2006/relationships" name="WEIBULL" sheetId="199" state="visible" r:id="rId199"/>
    <sheet xmlns:r="http://schemas.openxmlformats.org/officeDocument/2006/relationships" name="ZTEST" sheetId="200" state="visible" r:id="rId200"/>
    <sheet xmlns:r="http://schemas.openxmlformats.org/officeDocument/2006/relationships" name="99_KUNCI_JAWABAN" sheetId="201" state="visible" r:id="rId20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FDE047"/>
      <sz val="10"/>
      <u val="single"/>
    </font>
    <font>
      <name val="Segoe UI"/>
      <b val="1"/>
      <color rgb="00FFFFFF"/>
      <sz val="10"/>
    </font>
    <font>
      <name val="Segoe UI"/>
      <b val="1"/>
      <color rgb="0038BDF8"/>
      <sz val="10"/>
      <u val="single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Consolas"/>
      <b val="1"/>
      <color rgb="000369A1"/>
      <sz val="10"/>
    </font>
    <font>
      <name val="Segoe UI"/>
      <color rgb="001E293B"/>
      <sz val="10"/>
    </font>
    <font>
      <name val="Consolas"/>
      <b val="1"/>
      <color rgb="000F172A"/>
      <sz val="11"/>
    </font>
    <font>
      <name val="Segoe UI"/>
      <b val="1"/>
      <i val="1"/>
      <color rgb="007C2D12"/>
      <sz val="9"/>
    </font>
    <font>
      <name val="Segoe UI"/>
      <b val="1"/>
      <color rgb="00065F46"/>
      <sz val="10"/>
    </font>
    <font>
      <name val="Segoe UI"/>
      <b val="1"/>
      <color rgb="002563EB"/>
      <sz val="10"/>
      <u val="single"/>
    </font>
  </fonts>
  <fills count="1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E0F2FE"/>
        <bgColor rgb="00E0F2FE"/>
      </patternFill>
    </fill>
    <fill>
      <patternFill patternType="solid">
        <fgColor rgb="00F8FAFC"/>
        <bgColor rgb="00F8FAFC"/>
      </patternFill>
    </fill>
    <fill>
      <patternFill patternType="solid">
        <fgColor rgb="00059669"/>
        <bgColor rgb="00059669"/>
      </patternFill>
    </fill>
    <fill>
      <patternFill patternType="solid">
        <fgColor rgb="00DCFCE7"/>
        <bgColor rgb="00DCFCE7"/>
      </patternFill>
    </fill>
    <fill>
      <patternFill patternType="solid">
        <fgColor rgb="007C3AED"/>
        <bgColor rgb="007C3AED"/>
      </patternFill>
    </fill>
    <fill>
      <patternFill patternType="solid">
        <fgColor rgb="00FEF3C7"/>
        <bgColor rgb="00FEF3C7"/>
      </patternFill>
    </fill>
    <fill>
      <patternFill patternType="solid">
        <fgColor rgb="00D97706"/>
        <bgColor rgb="00D97706"/>
      </patternFill>
    </fill>
    <fill>
      <patternFill patternType="solid">
        <fgColor rgb="00FEF08A"/>
        <bgColor rgb="00FEF08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13" fillId="0" borderId="1" pivotButton="0" quotePrefix="0" xfId="0"/>
    <xf numFmtId="0" fontId="7" fillId="9" borderId="1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5" fillId="2" borderId="0" applyAlignment="1" pivotButton="0" quotePrefix="0" xfId="0">
      <alignment horizontal="center" vertical="center"/>
    </xf>
    <xf numFmtId="0" fontId="6" fillId="3" borderId="0" pivotButton="0" quotePrefix="0" xfId="0"/>
    <xf numFmtId="0" fontId="7" fillId="4" borderId="1" pivotButton="0" quotePrefix="0" xfId="0"/>
    <xf numFmtId="0" fontId="8" fillId="5" borderId="1" applyAlignment="1" pivotButton="0" quotePrefix="0" xfId="0">
      <alignment vertical="center" wrapText="1"/>
    </xf>
    <xf numFmtId="0" fontId="9" fillId="5" borderId="1" applyAlignment="1" pivotButton="0" quotePrefix="0" xfId="0">
      <alignment vertical="center" wrapText="1"/>
    </xf>
    <xf numFmtId="0" fontId="6" fillId="6" borderId="0" pivotButton="0" quotePrefix="0" xfId="0"/>
    <xf numFmtId="0" fontId="7" fillId="7" borderId="1" pivotButton="0" quotePrefix="0" xfId="0"/>
    <xf numFmtId="0" fontId="9" fillId="0" borderId="1" pivotButton="0" quotePrefix="0" xfId="0"/>
    <xf numFmtId="0" fontId="7" fillId="5" borderId="1" pivotButton="0" quotePrefix="0" xfId="0"/>
    <xf numFmtId="0" fontId="9" fillId="0" borderId="1" applyAlignment="1" pivotButton="0" quotePrefix="0" xfId="0">
      <alignment vertical="center" wrapText="1"/>
    </xf>
    <xf numFmtId="0" fontId="8" fillId="7" borderId="1" pivotButton="0" quotePrefix="0" xfId="0"/>
    <xf numFmtId="0" fontId="10" fillId="7" borderId="1" applyAlignment="1" pivotButton="0" quotePrefix="0" xfId="0">
      <alignment horizontal="left" vertical="center"/>
    </xf>
    <xf numFmtId="0" fontId="6" fillId="8" borderId="0" pivotButton="0" quotePrefix="0" xfId="0"/>
    <xf numFmtId="0" fontId="11" fillId="9" borderId="0" pivotButton="0" quotePrefix="0" xfId="0"/>
    <xf numFmtId="0" fontId="6" fillId="10" borderId="0" pivotButton="0" quotePrefix="0" xfId="0"/>
    <xf numFmtId="0" fontId="7" fillId="0" borderId="0" applyAlignment="1" pivotButton="0" quotePrefix="0" xfId="0">
      <alignment vertical="center" wrapText="1"/>
    </xf>
    <xf numFmtId="0" fontId="10" fillId="11" borderId="2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164" fontId="9" fillId="0" borderId="1" pivotButton="0" quotePrefix="0" xfId="0"/>
    <xf numFmtId="21" fontId="9" fillId="0" borderId="1" pivotButton="0" quotePrefix="0" xfId="0"/>
    <xf numFmtId="0" fontId="4" fillId="6" borderId="1" pivotButton="0" quotePrefix="0" xfId="0"/>
    <xf numFmtId="0" fontId="8" fillId="0" borderId="1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styles" Target="styles.xml" Id="rId202"/><Relationship Type="http://schemas.openxmlformats.org/officeDocument/2006/relationships/theme" Target="theme/theme1.xml" Id="rId20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99_KUNCI_JAWABAN'!A1" TargetMode="External" Id="rId1"/><Relationship Type="http://schemas.openxmlformats.org/officeDocument/2006/relationships/hyperlink" Target="#'SUM'!A1" TargetMode="External" Id="rId2"/><Relationship Type="http://schemas.openxmlformats.org/officeDocument/2006/relationships/hyperlink" Target="#'SUMIF'!A1" TargetMode="External" Id="rId3"/><Relationship Type="http://schemas.openxmlformats.org/officeDocument/2006/relationships/hyperlink" Target="#'SUMIFS'!A1" TargetMode="External" Id="rId4"/><Relationship Type="http://schemas.openxmlformats.org/officeDocument/2006/relationships/hyperlink" Target="#'PRODUCT'!A1" TargetMode="External" Id="rId5"/><Relationship Type="http://schemas.openxmlformats.org/officeDocument/2006/relationships/hyperlink" Target="#'SUMPRODUCT'!A1" TargetMode="External" Id="rId6"/><Relationship Type="http://schemas.openxmlformats.org/officeDocument/2006/relationships/hyperlink" Target="#'ROUND'!A1" TargetMode="External" Id="rId7"/><Relationship Type="http://schemas.openxmlformats.org/officeDocument/2006/relationships/hyperlink" Target="#'ROUNDUP'!A1" TargetMode="External" Id="rId8"/><Relationship Type="http://schemas.openxmlformats.org/officeDocument/2006/relationships/hyperlink" Target="#'ROUNDDOWN'!A1" TargetMode="External" Id="rId9"/><Relationship Type="http://schemas.openxmlformats.org/officeDocument/2006/relationships/hyperlink" Target="#'MROUND'!A1" TargetMode="External" Id="rId10"/><Relationship Type="http://schemas.openxmlformats.org/officeDocument/2006/relationships/hyperlink" Target="#'CEILING'!A1" TargetMode="External" Id="rId11"/><Relationship Type="http://schemas.openxmlformats.org/officeDocument/2006/relationships/hyperlink" Target="#'FLOOR'!A1" TargetMode="External" Id="rId12"/><Relationship Type="http://schemas.openxmlformats.org/officeDocument/2006/relationships/hyperlink" Target="#'INT'!A1" TargetMode="External" Id="rId13"/><Relationship Type="http://schemas.openxmlformats.org/officeDocument/2006/relationships/hyperlink" Target="#'TRUNC'!A1" TargetMode="External" Id="rId14"/><Relationship Type="http://schemas.openxmlformats.org/officeDocument/2006/relationships/hyperlink" Target="#'MOD'!A1" TargetMode="External" Id="rId15"/><Relationship Type="http://schemas.openxmlformats.org/officeDocument/2006/relationships/hyperlink" Target="#'QUOTIENT'!A1" TargetMode="External" Id="rId16"/><Relationship Type="http://schemas.openxmlformats.org/officeDocument/2006/relationships/hyperlink" Target="#'ABS'!A1" TargetMode="External" Id="rId17"/><Relationship Type="http://schemas.openxmlformats.org/officeDocument/2006/relationships/hyperlink" Target="#'POWER'!A1" TargetMode="External" Id="rId18"/><Relationship Type="http://schemas.openxmlformats.org/officeDocument/2006/relationships/hyperlink" Target="#'SQRT'!A1" TargetMode="External" Id="rId19"/><Relationship Type="http://schemas.openxmlformats.org/officeDocument/2006/relationships/hyperlink" Target="#'SUBTOTAL'!A1" TargetMode="External" Id="rId20"/><Relationship Type="http://schemas.openxmlformats.org/officeDocument/2006/relationships/hyperlink" Target="#'AGGREGATE'!A1" TargetMode="External" Id="rId21"/><Relationship Type="http://schemas.openxmlformats.org/officeDocument/2006/relationships/hyperlink" Target="#'RANDBETWEEN'!A1" TargetMode="External" Id="rId22"/><Relationship Type="http://schemas.openxmlformats.org/officeDocument/2006/relationships/hyperlink" Target="#'SIGN'!A1" TargetMode="External" Id="rId23"/><Relationship Type="http://schemas.openxmlformats.org/officeDocument/2006/relationships/hyperlink" Target="#'EVEN'!A1" TargetMode="External" Id="rId24"/><Relationship Type="http://schemas.openxmlformats.org/officeDocument/2006/relationships/hyperlink" Target="#'ODD'!A1" TargetMode="External" Id="rId25"/><Relationship Type="http://schemas.openxmlformats.org/officeDocument/2006/relationships/hyperlink" Target="#'FACT'!A1" TargetMode="External" Id="rId26"/><Relationship Type="http://schemas.openxmlformats.org/officeDocument/2006/relationships/hyperlink" Target="#'GCD'!A1" TargetMode="External" Id="rId27"/><Relationship Type="http://schemas.openxmlformats.org/officeDocument/2006/relationships/hyperlink" Target="#'LCM'!A1" TargetMode="External" Id="rId28"/><Relationship Type="http://schemas.openxmlformats.org/officeDocument/2006/relationships/hyperlink" Target="#'ROMAN'!A1" TargetMode="External" Id="rId29"/><Relationship Type="http://schemas.openxmlformats.org/officeDocument/2006/relationships/hyperlink" Target="#'ARABIC'!A1" TargetMode="External" Id="rId30"/><Relationship Type="http://schemas.openxmlformats.org/officeDocument/2006/relationships/hyperlink" Target="#'IF'!A1" TargetMode="External" Id="rId31"/><Relationship Type="http://schemas.openxmlformats.org/officeDocument/2006/relationships/hyperlink" Target="#'IFS'!A1" TargetMode="External" Id="rId32"/><Relationship Type="http://schemas.openxmlformats.org/officeDocument/2006/relationships/hyperlink" Target="#'AND'!A1" TargetMode="External" Id="rId33"/><Relationship Type="http://schemas.openxmlformats.org/officeDocument/2006/relationships/hyperlink" Target="#'OR'!A1" TargetMode="External" Id="rId34"/><Relationship Type="http://schemas.openxmlformats.org/officeDocument/2006/relationships/hyperlink" Target="#'NOT'!A1" TargetMode="External" Id="rId35"/><Relationship Type="http://schemas.openxmlformats.org/officeDocument/2006/relationships/hyperlink" Target="#'XOR'!A1" TargetMode="External" Id="rId36"/><Relationship Type="http://schemas.openxmlformats.org/officeDocument/2006/relationships/hyperlink" Target="#'IFERROR'!A1" TargetMode="External" Id="rId37"/><Relationship Type="http://schemas.openxmlformats.org/officeDocument/2006/relationships/hyperlink" Target="#'IFNA'!A1" TargetMode="External" Id="rId38"/><Relationship Type="http://schemas.openxmlformats.org/officeDocument/2006/relationships/hyperlink" Target="#'TRUE'!A1" TargetMode="External" Id="rId39"/><Relationship Type="http://schemas.openxmlformats.org/officeDocument/2006/relationships/hyperlink" Target="#'FALSE'!A1" TargetMode="External" Id="rId40"/><Relationship Type="http://schemas.openxmlformats.org/officeDocument/2006/relationships/hyperlink" Target="#'VLOOKUP'!A1" TargetMode="External" Id="rId41"/><Relationship Type="http://schemas.openxmlformats.org/officeDocument/2006/relationships/hyperlink" Target="#'HLOOKUP'!A1" TargetMode="External" Id="rId42"/><Relationship Type="http://schemas.openxmlformats.org/officeDocument/2006/relationships/hyperlink" Target="#'INDEX'!A1" TargetMode="External" Id="rId43"/><Relationship Type="http://schemas.openxmlformats.org/officeDocument/2006/relationships/hyperlink" Target="#'MATCH'!A1" TargetMode="External" Id="rId44"/><Relationship Type="http://schemas.openxmlformats.org/officeDocument/2006/relationships/hyperlink" Target="#'CHOOSE'!A1" TargetMode="External" Id="rId45"/><Relationship Type="http://schemas.openxmlformats.org/officeDocument/2006/relationships/hyperlink" Target="#'ROW'!A1" TargetMode="External" Id="rId46"/><Relationship Type="http://schemas.openxmlformats.org/officeDocument/2006/relationships/hyperlink" Target="#'COLUMN'!A1" TargetMode="External" Id="rId47"/><Relationship Type="http://schemas.openxmlformats.org/officeDocument/2006/relationships/hyperlink" Target="#'ROWS'!A1" TargetMode="External" Id="rId48"/><Relationship Type="http://schemas.openxmlformats.org/officeDocument/2006/relationships/hyperlink" Target="#'COLUMNS'!A1" TargetMode="External" Id="rId49"/><Relationship Type="http://schemas.openxmlformats.org/officeDocument/2006/relationships/hyperlink" Target="#'ADDRESS'!A1" TargetMode="External" Id="rId50"/><Relationship Type="http://schemas.openxmlformats.org/officeDocument/2006/relationships/hyperlink" Target="#'OFFSET'!A1" TargetMode="External" Id="rId51"/><Relationship Type="http://schemas.openxmlformats.org/officeDocument/2006/relationships/hyperlink" Target="#'INDIRECT'!A1" TargetMode="External" Id="rId52"/><Relationship Type="http://schemas.openxmlformats.org/officeDocument/2006/relationships/hyperlink" Target="#'LEFT'!A1" TargetMode="External" Id="rId53"/><Relationship Type="http://schemas.openxmlformats.org/officeDocument/2006/relationships/hyperlink" Target="#'RIGHT'!A1" TargetMode="External" Id="rId54"/><Relationship Type="http://schemas.openxmlformats.org/officeDocument/2006/relationships/hyperlink" Target="#'MID'!A1" TargetMode="External" Id="rId55"/><Relationship Type="http://schemas.openxmlformats.org/officeDocument/2006/relationships/hyperlink" Target="#'LEN'!A1" TargetMode="External" Id="rId56"/><Relationship Type="http://schemas.openxmlformats.org/officeDocument/2006/relationships/hyperlink" Target="#'TRIM'!A1" TargetMode="External" Id="rId57"/><Relationship Type="http://schemas.openxmlformats.org/officeDocument/2006/relationships/hyperlink" Target="#'CLEAN'!A1" TargetMode="External" Id="rId58"/><Relationship Type="http://schemas.openxmlformats.org/officeDocument/2006/relationships/hyperlink" Target="#'UPPER'!A1" TargetMode="External" Id="rId59"/><Relationship Type="http://schemas.openxmlformats.org/officeDocument/2006/relationships/hyperlink" Target="#'LOWER'!A1" TargetMode="External" Id="rId60"/><Relationship Type="http://schemas.openxmlformats.org/officeDocument/2006/relationships/hyperlink" Target="#'PROPER'!A1" TargetMode="External" Id="rId61"/><Relationship Type="http://schemas.openxmlformats.org/officeDocument/2006/relationships/hyperlink" Target="#'CONCATENATE'!A1" TargetMode="External" Id="rId62"/><Relationship Type="http://schemas.openxmlformats.org/officeDocument/2006/relationships/hyperlink" Target="#'EXACT'!A1" TargetMode="External" Id="rId63"/><Relationship Type="http://schemas.openxmlformats.org/officeDocument/2006/relationships/hyperlink" Target="#'FIND'!A1" TargetMode="External" Id="rId64"/><Relationship Type="http://schemas.openxmlformats.org/officeDocument/2006/relationships/hyperlink" Target="#'SEARCH'!A1" TargetMode="External" Id="rId65"/><Relationship Type="http://schemas.openxmlformats.org/officeDocument/2006/relationships/hyperlink" Target="#'SUBSTITUTE'!A1" TargetMode="External" Id="rId66"/><Relationship Type="http://schemas.openxmlformats.org/officeDocument/2006/relationships/hyperlink" Target="#'REPLACE'!A1" TargetMode="External" Id="rId67"/><Relationship Type="http://schemas.openxmlformats.org/officeDocument/2006/relationships/hyperlink" Target="#'REPT'!A1" TargetMode="External" Id="rId68"/><Relationship Type="http://schemas.openxmlformats.org/officeDocument/2006/relationships/hyperlink" Target="#'VALUE'!A1" TargetMode="External" Id="rId69"/><Relationship Type="http://schemas.openxmlformats.org/officeDocument/2006/relationships/hyperlink" Target="#'TEXT'!A1" TargetMode="External" Id="rId70"/><Relationship Type="http://schemas.openxmlformats.org/officeDocument/2006/relationships/hyperlink" Target="#'DATE'!A1" TargetMode="External" Id="rId71"/><Relationship Type="http://schemas.openxmlformats.org/officeDocument/2006/relationships/hyperlink" Target="#'YEAR'!A1" TargetMode="External" Id="rId72"/><Relationship Type="http://schemas.openxmlformats.org/officeDocument/2006/relationships/hyperlink" Target="#'MONTH'!A1" TargetMode="External" Id="rId73"/><Relationship Type="http://schemas.openxmlformats.org/officeDocument/2006/relationships/hyperlink" Target="#'DAY'!A1" TargetMode="External" Id="rId74"/><Relationship Type="http://schemas.openxmlformats.org/officeDocument/2006/relationships/hyperlink" Target="#'DAYS'!A1" TargetMode="External" Id="rId75"/><Relationship Type="http://schemas.openxmlformats.org/officeDocument/2006/relationships/hyperlink" Target="#'DATEDIF'!A1" TargetMode="External" Id="rId76"/><Relationship Type="http://schemas.openxmlformats.org/officeDocument/2006/relationships/hyperlink" Target="#'EDATE'!A1" TargetMode="External" Id="rId77"/><Relationship Type="http://schemas.openxmlformats.org/officeDocument/2006/relationships/hyperlink" Target="#'EOMONTH'!A1" TargetMode="External" Id="rId78"/><Relationship Type="http://schemas.openxmlformats.org/officeDocument/2006/relationships/hyperlink" Target="#'NETWORKDAYS'!A1" TargetMode="External" Id="rId79"/><Relationship Type="http://schemas.openxmlformats.org/officeDocument/2006/relationships/hyperlink" Target="#'WORKDAY'!A1" TargetMode="External" Id="rId80"/><Relationship Type="http://schemas.openxmlformats.org/officeDocument/2006/relationships/hyperlink" Target="#'WEEKDAY'!A1" TargetMode="External" Id="rId81"/><Relationship Type="http://schemas.openxmlformats.org/officeDocument/2006/relationships/hyperlink" Target="#'WEEKNUM'!A1" TargetMode="External" Id="rId82"/><Relationship Type="http://schemas.openxmlformats.org/officeDocument/2006/relationships/hyperlink" Target="#'HOUR'!A1" TargetMode="External" Id="rId83"/><Relationship Type="http://schemas.openxmlformats.org/officeDocument/2006/relationships/hyperlink" Target="#'MINUTE'!A1" TargetMode="External" Id="rId84"/><Relationship Type="http://schemas.openxmlformats.org/officeDocument/2006/relationships/hyperlink" Target="#'SECOND'!A1" TargetMode="External" Id="rId85"/><Relationship Type="http://schemas.openxmlformats.org/officeDocument/2006/relationships/hyperlink" Target="#'PMT'!A1" TargetMode="External" Id="rId86"/><Relationship Type="http://schemas.openxmlformats.org/officeDocument/2006/relationships/hyperlink" Target="#'IPMT'!A1" TargetMode="External" Id="rId87"/><Relationship Type="http://schemas.openxmlformats.org/officeDocument/2006/relationships/hyperlink" Target="#'PPMT'!A1" TargetMode="External" Id="rId88"/><Relationship Type="http://schemas.openxmlformats.org/officeDocument/2006/relationships/hyperlink" Target="#'FV'!A1" TargetMode="External" Id="rId89"/><Relationship Type="http://schemas.openxmlformats.org/officeDocument/2006/relationships/hyperlink" Target="#'PV'!A1" TargetMode="External" Id="rId90"/><Relationship Type="http://schemas.openxmlformats.org/officeDocument/2006/relationships/hyperlink" Target="#'NPV'!A1" TargetMode="External" Id="rId91"/><Relationship Type="http://schemas.openxmlformats.org/officeDocument/2006/relationships/hyperlink" Target="#'IRR'!A1" TargetMode="External" Id="rId92"/><Relationship Type="http://schemas.openxmlformats.org/officeDocument/2006/relationships/hyperlink" Target="#'SLN'!A1" TargetMode="External" Id="rId93"/><Relationship Type="http://schemas.openxmlformats.org/officeDocument/2006/relationships/hyperlink" Target="#'DB'!A1" TargetMode="External" Id="rId94"/><Relationship Type="http://schemas.openxmlformats.org/officeDocument/2006/relationships/hyperlink" Target="#'SYD'!A1" TargetMode="External" Id="rId95"/><Relationship Type="http://schemas.openxmlformats.org/officeDocument/2006/relationships/hyperlink" Target="#'EFFECT'!A1" TargetMode="External" Id="rId96"/><Relationship Type="http://schemas.openxmlformats.org/officeDocument/2006/relationships/hyperlink" Target="#'ISBLANK'!A1" TargetMode="External" Id="rId97"/><Relationship Type="http://schemas.openxmlformats.org/officeDocument/2006/relationships/hyperlink" Target="#'ISNUMBER'!A1" TargetMode="External" Id="rId98"/><Relationship Type="http://schemas.openxmlformats.org/officeDocument/2006/relationships/hyperlink" Target="#'ISTEXT'!A1" TargetMode="External" Id="rId99"/><Relationship Type="http://schemas.openxmlformats.org/officeDocument/2006/relationships/hyperlink" Target="#'ISERROR'!A1" TargetMode="External" Id="rId100"/><Relationship Type="http://schemas.openxmlformats.org/officeDocument/2006/relationships/hyperlink" Target="#'ISNA'!A1" TargetMode="External" Id="rId101"/><Relationship Type="http://schemas.openxmlformats.org/officeDocument/2006/relationships/hyperlink" Target="#'ISEVEN'!A1" TargetMode="External" Id="rId102"/><Relationship Type="http://schemas.openxmlformats.org/officeDocument/2006/relationships/hyperlink" Target="#'ISODD'!A1" TargetMode="External" Id="rId103"/><Relationship Type="http://schemas.openxmlformats.org/officeDocument/2006/relationships/hyperlink" Target="#'ISLOGICAL'!A1" TargetMode="External" Id="rId104"/><Relationship Type="http://schemas.openxmlformats.org/officeDocument/2006/relationships/hyperlink" Target="#'N'!A1" TargetMode="External" Id="rId105"/><Relationship Type="http://schemas.openxmlformats.org/officeDocument/2006/relationships/hyperlink" Target="#'AVEDEV'!A1" TargetMode="External" Id="rId106"/><Relationship Type="http://schemas.openxmlformats.org/officeDocument/2006/relationships/hyperlink" Target="#'AVERAGE'!A1" TargetMode="External" Id="rId107"/><Relationship Type="http://schemas.openxmlformats.org/officeDocument/2006/relationships/hyperlink" Target="#'AVERAGEA'!A1" TargetMode="External" Id="rId108"/><Relationship Type="http://schemas.openxmlformats.org/officeDocument/2006/relationships/hyperlink" Target="#'AVERAGEIF'!A1" TargetMode="External" Id="rId109"/><Relationship Type="http://schemas.openxmlformats.org/officeDocument/2006/relationships/hyperlink" Target="#'AVERAGEIFS'!A1" TargetMode="External" Id="rId110"/><Relationship Type="http://schemas.openxmlformats.org/officeDocument/2006/relationships/hyperlink" Target="#'BETA.DIST'!A1" TargetMode="External" Id="rId111"/><Relationship Type="http://schemas.openxmlformats.org/officeDocument/2006/relationships/hyperlink" Target="#'BETA.INV'!A1" TargetMode="External" Id="rId112"/><Relationship Type="http://schemas.openxmlformats.org/officeDocument/2006/relationships/hyperlink" Target="#'BINOM.DIST'!A1" TargetMode="External" Id="rId113"/><Relationship Type="http://schemas.openxmlformats.org/officeDocument/2006/relationships/hyperlink" Target="#'BINOM.INV'!A1" TargetMode="External" Id="rId114"/><Relationship Type="http://schemas.openxmlformats.org/officeDocument/2006/relationships/hyperlink" Target="#'CHISQ.DIST'!A1" TargetMode="External" Id="rId115"/><Relationship Type="http://schemas.openxmlformats.org/officeDocument/2006/relationships/hyperlink" Target="#'CHISQ.DIST.RT'!A1" TargetMode="External" Id="rId116"/><Relationship Type="http://schemas.openxmlformats.org/officeDocument/2006/relationships/hyperlink" Target="#'CHISQ.INV'!A1" TargetMode="External" Id="rId117"/><Relationship Type="http://schemas.openxmlformats.org/officeDocument/2006/relationships/hyperlink" Target="#'CHISQ.RT.INV'!A1" TargetMode="External" Id="rId118"/><Relationship Type="http://schemas.openxmlformats.org/officeDocument/2006/relationships/hyperlink" Target="#'CHITEST'!A1" TargetMode="External" Id="rId119"/><Relationship Type="http://schemas.openxmlformats.org/officeDocument/2006/relationships/hyperlink" Target="#'CONFIDENCE.NORM'!A1" TargetMode="External" Id="rId120"/><Relationship Type="http://schemas.openxmlformats.org/officeDocument/2006/relationships/hyperlink" Target="#'CONFIDENCE.T'!A1" TargetMode="External" Id="rId121"/><Relationship Type="http://schemas.openxmlformats.org/officeDocument/2006/relationships/hyperlink" Target="#'CORREL'!A1" TargetMode="External" Id="rId122"/><Relationship Type="http://schemas.openxmlformats.org/officeDocument/2006/relationships/hyperlink" Target="#'COUNT'!A1" TargetMode="External" Id="rId123"/><Relationship Type="http://schemas.openxmlformats.org/officeDocument/2006/relationships/hyperlink" Target="#'COUNTA'!A1" TargetMode="External" Id="rId124"/><Relationship Type="http://schemas.openxmlformats.org/officeDocument/2006/relationships/hyperlink" Target="#'COUNTBLANK'!A1" TargetMode="External" Id="rId125"/><Relationship Type="http://schemas.openxmlformats.org/officeDocument/2006/relationships/hyperlink" Target="#'COUNTIF'!A1" TargetMode="External" Id="rId126"/><Relationship Type="http://schemas.openxmlformats.org/officeDocument/2006/relationships/hyperlink" Target="#'COUNTIFS'!A1" TargetMode="External" Id="rId127"/><Relationship Type="http://schemas.openxmlformats.org/officeDocument/2006/relationships/hyperlink" Target="#'COVARIANCE.P'!A1" TargetMode="External" Id="rId128"/><Relationship Type="http://schemas.openxmlformats.org/officeDocument/2006/relationships/hyperlink" Target="#'COVARIANCE.T'!A1" TargetMode="External" Id="rId129"/><Relationship Type="http://schemas.openxmlformats.org/officeDocument/2006/relationships/hyperlink" Target="#'CRITBINOM'!A1" TargetMode="External" Id="rId130"/><Relationship Type="http://schemas.openxmlformats.org/officeDocument/2006/relationships/hyperlink" Target="#'DEVSQ'!A1" TargetMode="External" Id="rId131"/><Relationship Type="http://schemas.openxmlformats.org/officeDocument/2006/relationships/hyperlink" Target="#'EXPON.DIST'!A1" TargetMode="External" Id="rId132"/><Relationship Type="http://schemas.openxmlformats.org/officeDocument/2006/relationships/hyperlink" Target="#'F.DIST'!A1" TargetMode="External" Id="rId133"/><Relationship Type="http://schemas.openxmlformats.org/officeDocument/2006/relationships/hyperlink" Target="#'F.DIST.RT'!A1" TargetMode="External" Id="rId134"/><Relationship Type="http://schemas.openxmlformats.org/officeDocument/2006/relationships/hyperlink" Target="#'F.INV'!A1" TargetMode="External" Id="rId135"/><Relationship Type="http://schemas.openxmlformats.org/officeDocument/2006/relationships/hyperlink" Target="#'F.INV.RT'!A1" TargetMode="External" Id="rId136"/><Relationship Type="http://schemas.openxmlformats.org/officeDocument/2006/relationships/hyperlink" Target="#'FTEST'!A1" TargetMode="External" Id="rId137"/><Relationship Type="http://schemas.openxmlformats.org/officeDocument/2006/relationships/hyperlink" Target="#'FISHER'!A1" TargetMode="External" Id="rId138"/><Relationship Type="http://schemas.openxmlformats.org/officeDocument/2006/relationships/hyperlink" Target="#'FISHER.INV'!A1" TargetMode="External" Id="rId139"/><Relationship Type="http://schemas.openxmlformats.org/officeDocument/2006/relationships/hyperlink" Target="#'FORECAST'!A1" TargetMode="External" Id="rId140"/><Relationship Type="http://schemas.openxmlformats.org/officeDocument/2006/relationships/hyperlink" Target="#'FREQUENCY'!A1" TargetMode="External" Id="rId141"/><Relationship Type="http://schemas.openxmlformats.org/officeDocument/2006/relationships/hyperlink" Target="#'GAMMADIST'!A1" TargetMode="External" Id="rId142"/><Relationship Type="http://schemas.openxmlformats.org/officeDocument/2006/relationships/hyperlink" Target="#'GAMMAINV'!A1" TargetMode="External" Id="rId143"/><Relationship Type="http://schemas.openxmlformats.org/officeDocument/2006/relationships/hyperlink" Target="#'GAMMALN'!A1" TargetMode="External" Id="rId144"/><Relationship Type="http://schemas.openxmlformats.org/officeDocument/2006/relationships/hyperlink" Target="#'GEOMEAN'!A1" TargetMode="External" Id="rId145"/><Relationship Type="http://schemas.openxmlformats.org/officeDocument/2006/relationships/hyperlink" Target="#'GROWTH'!A1" TargetMode="External" Id="rId146"/><Relationship Type="http://schemas.openxmlformats.org/officeDocument/2006/relationships/hyperlink" Target="#'HARMEAN'!A1" TargetMode="External" Id="rId147"/><Relationship Type="http://schemas.openxmlformats.org/officeDocument/2006/relationships/hyperlink" Target="#'HYPGEOMDIST'!A1" TargetMode="External" Id="rId148"/><Relationship Type="http://schemas.openxmlformats.org/officeDocument/2006/relationships/hyperlink" Target="#'INTERCEPT'!A1" TargetMode="External" Id="rId149"/><Relationship Type="http://schemas.openxmlformats.org/officeDocument/2006/relationships/hyperlink" Target="#'KURT'!A1" TargetMode="External" Id="rId150"/><Relationship Type="http://schemas.openxmlformats.org/officeDocument/2006/relationships/hyperlink" Target="#'LARGE'!A1" TargetMode="External" Id="rId151"/><Relationship Type="http://schemas.openxmlformats.org/officeDocument/2006/relationships/hyperlink" Target="#'LOGNORM.DIST'!A1" TargetMode="External" Id="rId152"/><Relationship Type="http://schemas.openxmlformats.org/officeDocument/2006/relationships/hyperlink" Target="#'LOGINV'!A1" TargetMode="External" Id="rId153"/><Relationship Type="http://schemas.openxmlformats.org/officeDocument/2006/relationships/hyperlink" Target="#'MAX'!A1" TargetMode="External" Id="rId154"/><Relationship Type="http://schemas.openxmlformats.org/officeDocument/2006/relationships/hyperlink" Target="#'MAXA'!A1" TargetMode="External" Id="rId155"/><Relationship Type="http://schemas.openxmlformats.org/officeDocument/2006/relationships/hyperlink" Target="#'MEDIAN'!A1" TargetMode="External" Id="rId156"/><Relationship Type="http://schemas.openxmlformats.org/officeDocument/2006/relationships/hyperlink" Target="#'MIN'!A1" TargetMode="External" Id="rId157"/><Relationship Type="http://schemas.openxmlformats.org/officeDocument/2006/relationships/hyperlink" Target="#'MINA'!A1" TargetMode="External" Id="rId158"/><Relationship Type="http://schemas.openxmlformats.org/officeDocument/2006/relationships/hyperlink" Target="#'MODE'!A1" TargetMode="External" Id="rId159"/><Relationship Type="http://schemas.openxmlformats.org/officeDocument/2006/relationships/hyperlink" Target="#'NEGBINOM.DIST'!A1" TargetMode="External" Id="rId160"/><Relationship Type="http://schemas.openxmlformats.org/officeDocument/2006/relationships/hyperlink" Target="#'NORM.DIST'!A1" TargetMode="External" Id="rId161"/><Relationship Type="http://schemas.openxmlformats.org/officeDocument/2006/relationships/hyperlink" Target="#'NORM.INV'!A1" TargetMode="External" Id="rId162"/><Relationship Type="http://schemas.openxmlformats.org/officeDocument/2006/relationships/hyperlink" Target="#'NORM.S.DIST'!A1" TargetMode="External" Id="rId163"/><Relationship Type="http://schemas.openxmlformats.org/officeDocument/2006/relationships/hyperlink" Target="#'NORM.S.INV'!A1" TargetMode="External" Id="rId164"/><Relationship Type="http://schemas.openxmlformats.org/officeDocument/2006/relationships/hyperlink" Target="#'PEARSON'!A1" TargetMode="External" Id="rId165"/><Relationship Type="http://schemas.openxmlformats.org/officeDocument/2006/relationships/hyperlink" Target="#'PERCENTILE.EXC'!A1" TargetMode="External" Id="rId166"/><Relationship Type="http://schemas.openxmlformats.org/officeDocument/2006/relationships/hyperlink" Target="#'PERCENTILE.INC'!A1" TargetMode="External" Id="rId167"/><Relationship Type="http://schemas.openxmlformats.org/officeDocument/2006/relationships/hyperlink" Target="#'PERCENTRANK.EXC'!A1" TargetMode="External" Id="rId168"/><Relationship Type="http://schemas.openxmlformats.org/officeDocument/2006/relationships/hyperlink" Target="#'PERCENTRANK.INC'!A1" TargetMode="External" Id="rId169"/><Relationship Type="http://schemas.openxmlformats.org/officeDocument/2006/relationships/hyperlink" Target="#'PERMUT'!A1" TargetMode="External" Id="rId170"/><Relationship Type="http://schemas.openxmlformats.org/officeDocument/2006/relationships/hyperlink" Target="#'POISSON'!A1" TargetMode="External" Id="rId171"/><Relationship Type="http://schemas.openxmlformats.org/officeDocument/2006/relationships/hyperlink" Target="#'PROB'!A1" TargetMode="External" Id="rId172"/><Relationship Type="http://schemas.openxmlformats.org/officeDocument/2006/relationships/hyperlink" Target="#'QUARTILE.EXC'!A1" TargetMode="External" Id="rId173"/><Relationship Type="http://schemas.openxmlformats.org/officeDocument/2006/relationships/hyperlink" Target="#'QUARTILE.INC'!A1" TargetMode="External" Id="rId174"/><Relationship Type="http://schemas.openxmlformats.org/officeDocument/2006/relationships/hyperlink" Target="#'RANK'!A1" TargetMode="External" Id="rId175"/><Relationship Type="http://schemas.openxmlformats.org/officeDocument/2006/relationships/hyperlink" Target="#'RSQ'!A1" TargetMode="External" Id="rId176"/><Relationship Type="http://schemas.openxmlformats.org/officeDocument/2006/relationships/hyperlink" Target="#'SKEW'!A1" TargetMode="External" Id="rId177"/><Relationship Type="http://schemas.openxmlformats.org/officeDocument/2006/relationships/hyperlink" Target="#'SLOPE'!A1" TargetMode="External" Id="rId178"/><Relationship Type="http://schemas.openxmlformats.org/officeDocument/2006/relationships/hyperlink" Target="#'SMALL'!A1" TargetMode="External" Id="rId179"/><Relationship Type="http://schemas.openxmlformats.org/officeDocument/2006/relationships/hyperlink" Target="#'STANDARDIZE'!A1" TargetMode="External" Id="rId180"/><Relationship Type="http://schemas.openxmlformats.org/officeDocument/2006/relationships/hyperlink" Target="#'STDEV.P'!A1" TargetMode="External" Id="rId181"/><Relationship Type="http://schemas.openxmlformats.org/officeDocument/2006/relationships/hyperlink" Target="#'STDEV.S'!A1" TargetMode="External" Id="rId182"/><Relationship Type="http://schemas.openxmlformats.org/officeDocument/2006/relationships/hyperlink" Target="#'STDEVA'!A1" TargetMode="External" Id="rId183"/><Relationship Type="http://schemas.openxmlformats.org/officeDocument/2006/relationships/hyperlink" Target="#'STDEVP'!A1" TargetMode="External" Id="rId184"/><Relationship Type="http://schemas.openxmlformats.org/officeDocument/2006/relationships/hyperlink" Target="#'STDEVPA'!A1" TargetMode="External" Id="rId185"/><Relationship Type="http://schemas.openxmlformats.org/officeDocument/2006/relationships/hyperlink" Target="#'STEYX'!A1" TargetMode="External" Id="rId186"/><Relationship Type="http://schemas.openxmlformats.org/officeDocument/2006/relationships/hyperlink" Target="#'T.DIST'!A1" TargetMode="External" Id="rId187"/><Relationship Type="http://schemas.openxmlformats.org/officeDocument/2006/relationships/hyperlink" Target="#'T.DIST.2T'!A1" TargetMode="External" Id="rId188"/><Relationship Type="http://schemas.openxmlformats.org/officeDocument/2006/relationships/hyperlink" Target="#'T.DIST.RT'!A1" TargetMode="External" Id="rId189"/><Relationship Type="http://schemas.openxmlformats.org/officeDocument/2006/relationships/hyperlink" Target="#'T.INV'!A1" TargetMode="External" Id="rId190"/><Relationship Type="http://schemas.openxmlformats.org/officeDocument/2006/relationships/hyperlink" Target="#'T.INV.2T'!A1" TargetMode="External" Id="rId191"/><Relationship Type="http://schemas.openxmlformats.org/officeDocument/2006/relationships/hyperlink" Target="#'TREND'!A1" TargetMode="External" Id="rId192"/><Relationship Type="http://schemas.openxmlformats.org/officeDocument/2006/relationships/hyperlink" Target="#'T.TEST'!A1" TargetMode="External" Id="rId193"/><Relationship Type="http://schemas.openxmlformats.org/officeDocument/2006/relationships/hyperlink" Target="#'TRIMMEAN'!A1" TargetMode="External" Id="rId194"/><Relationship Type="http://schemas.openxmlformats.org/officeDocument/2006/relationships/hyperlink" Target="#'VAR.P'!A1" TargetMode="External" Id="rId195"/><Relationship Type="http://schemas.openxmlformats.org/officeDocument/2006/relationships/hyperlink" Target="#'VAR.S'!A1" TargetMode="External" Id="rId196"/><Relationship Type="http://schemas.openxmlformats.org/officeDocument/2006/relationships/hyperlink" Target="#'VARA'!A1" TargetMode="External" Id="rId197"/><Relationship Type="http://schemas.openxmlformats.org/officeDocument/2006/relationships/hyperlink" Target="#'VARPA'!A1" TargetMode="External" Id="rId198"/><Relationship Type="http://schemas.openxmlformats.org/officeDocument/2006/relationships/hyperlink" Target="#'WEIBULL'!A1" TargetMode="External" Id="rId199"/><Relationship Type="http://schemas.openxmlformats.org/officeDocument/2006/relationships/hyperlink" Target="#'ZTEST'!A1" TargetMode="External" Id="rId200"/><Relationship Type="http://schemas.openxmlformats.org/officeDocument/2006/relationships/hyperlink" Target="#'99_KUNCI_JAWABAN'!A1" TargetMode="External" Id="rId201"/></Relationships>
</file>

<file path=xl/worksheets/_rels/sheet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4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5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6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7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8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9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0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1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2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3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4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5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6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7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8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2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3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4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5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6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7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8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199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00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99_KUNCI_JAWABAN'!A1" TargetMode="External" Id="rId2"/></Relationships>
</file>

<file path=xl/worksheets/_rels/sheet201.xml.rels><Relationships xmlns="http://schemas.openxmlformats.org/package/2006/relationships"><Relationship Type="http://schemas.openxmlformats.org/officeDocument/2006/relationships/hyperlink" Target="#'00_DAFTAR_ISI'!A1" TargetMode="External" Id="rId1"/><Relationship Type="http://schemas.openxmlformats.org/officeDocument/2006/relationships/hyperlink" Target="#'SUM'!E22" TargetMode="External" Id="rId2"/><Relationship Type="http://schemas.openxmlformats.org/officeDocument/2006/relationships/hyperlink" Target="#'SUM'!E30" TargetMode="External" Id="rId3"/><Relationship Type="http://schemas.openxmlformats.org/officeDocument/2006/relationships/hyperlink" Target="#'SUM'!E38" TargetMode="External" Id="rId4"/><Relationship Type="http://schemas.openxmlformats.org/officeDocument/2006/relationships/hyperlink" Target="#'SUM'!E46" TargetMode="External" Id="rId5"/><Relationship Type="http://schemas.openxmlformats.org/officeDocument/2006/relationships/hyperlink" Target="#'SUM'!E54" TargetMode="External" Id="rId6"/><Relationship Type="http://schemas.openxmlformats.org/officeDocument/2006/relationships/hyperlink" Target="#'SUMIF'!E22" TargetMode="External" Id="rId7"/><Relationship Type="http://schemas.openxmlformats.org/officeDocument/2006/relationships/hyperlink" Target="#'SUMIF'!E30" TargetMode="External" Id="rId8"/><Relationship Type="http://schemas.openxmlformats.org/officeDocument/2006/relationships/hyperlink" Target="#'SUMIF'!E38" TargetMode="External" Id="rId9"/><Relationship Type="http://schemas.openxmlformats.org/officeDocument/2006/relationships/hyperlink" Target="#'SUMIF'!E46" TargetMode="External" Id="rId10"/><Relationship Type="http://schemas.openxmlformats.org/officeDocument/2006/relationships/hyperlink" Target="#'SUMIF'!E54" TargetMode="External" Id="rId11"/><Relationship Type="http://schemas.openxmlformats.org/officeDocument/2006/relationships/hyperlink" Target="#'SUMIFS'!E22" TargetMode="External" Id="rId12"/><Relationship Type="http://schemas.openxmlformats.org/officeDocument/2006/relationships/hyperlink" Target="#'SUMIFS'!E30" TargetMode="External" Id="rId13"/><Relationship Type="http://schemas.openxmlformats.org/officeDocument/2006/relationships/hyperlink" Target="#'SUMIFS'!E38" TargetMode="External" Id="rId14"/><Relationship Type="http://schemas.openxmlformats.org/officeDocument/2006/relationships/hyperlink" Target="#'SUMIFS'!E46" TargetMode="External" Id="rId15"/><Relationship Type="http://schemas.openxmlformats.org/officeDocument/2006/relationships/hyperlink" Target="#'SUMIFS'!E54" TargetMode="External" Id="rId16"/><Relationship Type="http://schemas.openxmlformats.org/officeDocument/2006/relationships/hyperlink" Target="#'PRODUCT'!E22" TargetMode="External" Id="rId17"/><Relationship Type="http://schemas.openxmlformats.org/officeDocument/2006/relationships/hyperlink" Target="#'PRODUCT'!E30" TargetMode="External" Id="rId18"/><Relationship Type="http://schemas.openxmlformats.org/officeDocument/2006/relationships/hyperlink" Target="#'PRODUCT'!E38" TargetMode="External" Id="rId19"/><Relationship Type="http://schemas.openxmlformats.org/officeDocument/2006/relationships/hyperlink" Target="#'PRODUCT'!E46" TargetMode="External" Id="rId20"/><Relationship Type="http://schemas.openxmlformats.org/officeDocument/2006/relationships/hyperlink" Target="#'PRODUCT'!E54" TargetMode="External" Id="rId21"/><Relationship Type="http://schemas.openxmlformats.org/officeDocument/2006/relationships/hyperlink" Target="#'SUMPRODUCT'!E22" TargetMode="External" Id="rId22"/><Relationship Type="http://schemas.openxmlformats.org/officeDocument/2006/relationships/hyperlink" Target="#'SUMPRODUCT'!E30" TargetMode="External" Id="rId23"/><Relationship Type="http://schemas.openxmlformats.org/officeDocument/2006/relationships/hyperlink" Target="#'SUMPRODUCT'!E38" TargetMode="External" Id="rId24"/><Relationship Type="http://schemas.openxmlformats.org/officeDocument/2006/relationships/hyperlink" Target="#'SUMPRODUCT'!E46" TargetMode="External" Id="rId25"/><Relationship Type="http://schemas.openxmlformats.org/officeDocument/2006/relationships/hyperlink" Target="#'SUMPRODUCT'!E54" TargetMode="External" Id="rId26"/><Relationship Type="http://schemas.openxmlformats.org/officeDocument/2006/relationships/hyperlink" Target="#'ROUND'!E22" TargetMode="External" Id="rId27"/><Relationship Type="http://schemas.openxmlformats.org/officeDocument/2006/relationships/hyperlink" Target="#'ROUND'!E30" TargetMode="External" Id="rId28"/><Relationship Type="http://schemas.openxmlformats.org/officeDocument/2006/relationships/hyperlink" Target="#'ROUND'!E38" TargetMode="External" Id="rId29"/><Relationship Type="http://schemas.openxmlformats.org/officeDocument/2006/relationships/hyperlink" Target="#'ROUND'!E46" TargetMode="External" Id="rId30"/><Relationship Type="http://schemas.openxmlformats.org/officeDocument/2006/relationships/hyperlink" Target="#'ROUND'!E54" TargetMode="External" Id="rId31"/><Relationship Type="http://schemas.openxmlformats.org/officeDocument/2006/relationships/hyperlink" Target="#'ROUNDUP'!E22" TargetMode="External" Id="rId32"/><Relationship Type="http://schemas.openxmlformats.org/officeDocument/2006/relationships/hyperlink" Target="#'ROUNDUP'!E30" TargetMode="External" Id="rId33"/><Relationship Type="http://schemas.openxmlformats.org/officeDocument/2006/relationships/hyperlink" Target="#'ROUNDUP'!E38" TargetMode="External" Id="rId34"/><Relationship Type="http://schemas.openxmlformats.org/officeDocument/2006/relationships/hyperlink" Target="#'ROUNDUP'!E46" TargetMode="External" Id="rId35"/><Relationship Type="http://schemas.openxmlformats.org/officeDocument/2006/relationships/hyperlink" Target="#'ROUNDUP'!E54" TargetMode="External" Id="rId36"/><Relationship Type="http://schemas.openxmlformats.org/officeDocument/2006/relationships/hyperlink" Target="#'ROUNDDOWN'!E22" TargetMode="External" Id="rId37"/><Relationship Type="http://schemas.openxmlformats.org/officeDocument/2006/relationships/hyperlink" Target="#'ROUNDDOWN'!E30" TargetMode="External" Id="rId38"/><Relationship Type="http://schemas.openxmlformats.org/officeDocument/2006/relationships/hyperlink" Target="#'ROUNDDOWN'!E38" TargetMode="External" Id="rId39"/><Relationship Type="http://schemas.openxmlformats.org/officeDocument/2006/relationships/hyperlink" Target="#'ROUNDDOWN'!E46" TargetMode="External" Id="rId40"/><Relationship Type="http://schemas.openxmlformats.org/officeDocument/2006/relationships/hyperlink" Target="#'ROUNDDOWN'!E54" TargetMode="External" Id="rId41"/><Relationship Type="http://schemas.openxmlformats.org/officeDocument/2006/relationships/hyperlink" Target="#'MROUND'!E22" TargetMode="External" Id="rId42"/><Relationship Type="http://schemas.openxmlformats.org/officeDocument/2006/relationships/hyperlink" Target="#'MROUND'!E30" TargetMode="External" Id="rId43"/><Relationship Type="http://schemas.openxmlformats.org/officeDocument/2006/relationships/hyperlink" Target="#'MROUND'!E38" TargetMode="External" Id="rId44"/><Relationship Type="http://schemas.openxmlformats.org/officeDocument/2006/relationships/hyperlink" Target="#'MROUND'!E46" TargetMode="External" Id="rId45"/><Relationship Type="http://schemas.openxmlformats.org/officeDocument/2006/relationships/hyperlink" Target="#'MROUND'!E54" TargetMode="External" Id="rId46"/><Relationship Type="http://schemas.openxmlformats.org/officeDocument/2006/relationships/hyperlink" Target="#'CEILING'!E22" TargetMode="External" Id="rId47"/><Relationship Type="http://schemas.openxmlformats.org/officeDocument/2006/relationships/hyperlink" Target="#'CEILING'!E30" TargetMode="External" Id="rId48"/><Relationship Type="http://schemas.openxmlformats.org/officeDocument/2006/relationships/hyperlink" Target="#'CEILING'!E38" TargetMode="External" Id="rId49"/><Relationship Type="http://schemas.openxmlformats.org/officeDocument/2006/relationships/hyperlink" Target="#'CEILING'!E46" TargetMode="External" Id="rId50"/><Relationship Type="http://schemas.openxmlformats.org/officeDocument/2006/relationships/hyperlink" Target="#'CEILING'!E54" TargetMode="External" Id="rId51"/><Relationship Type="http://schemas.openxmlformats.org/officeDocument/2006/relationships/hyperlink" Target="#'FLOOR'!E22" TargetMode="External" Id="rId52"/><Relationship Type="http://schemas.openxmlformats.org/officeDocument/2006/relationships/hyperlink" Target="#'FLOOR'!E30" TargetMode="External" Id="rId53"/><Relationship Type="http://schemas.openxmlformats.org/officeDocument/2006/relationships/hyperlink" Target="#'FLOOR'!E38" TargetMode="External" Id="rId54"/><Relationship Type="http://schemas.openxmlformats.org/officeDocument/2006/relationships/hyperlink" Target="#'FLOOR'!E46" TargetMode="External" Id="rId55"/><Relationship Type="http://schemas.openxmlformats.org/officeDocument/2006/relationships/hyperlink" Target="#'FLOOR'!E54" TargetMode="External" Id="rId56"/><Relationship Type="http://schemas.openxmlformats.org/officeDocument/2006/relationships/hyperlink" Target="#'INT'!E22" TargetMode="External" Id="rId57"/><Relationship Type="http://schemas.openxmlformats.org/officeDocument/2006/relationships/hyperlink" Target="#'INT'!E30" TargetMode="External" Id="rId58"/><Relationship Type="http://schemas.openxmlformats.org/officeDocument/2006/relationships/hyperlink" Target="#'INT'!E38" TargetMode="External" Id="rId59"/><Relationship Type="http://schemas.openxmlformats.org/officeDocument/2006/relationships/hyperlink" Target="#'INT'!E46" TargetMode="External" Id="rId60"/><Relationship Type="http://schemas.openxmlformats.org/officeDocument/2006/relationships/hyperlink" Target="#'INT'!E54" TargetMode="External" Id="rId61"/><Relationship Type="http://schemas.openxmlformats.org/officeDocument/2006/relationships/hyperlink" Target="#'TRUNC'!E22" TargetMode="External" Id="rId62"/><Relationship Type="http://schemas.openxmlformats.org/officeDocument/2006/relationships/hyperlink" Target="#'TRUNC'!E30" TargetMode="External" Id="rId63"/><Relationship Type="http://schemas.openxmlformats.org/officeDocument/2006/relationships/hyperlink" Target="#'TRUNC'!E38" TargetMode="External" Id="rId64"/><Relationship Type="http://schemas.openxmlformats.org/officeDocument/2006/relationships/hyperlink" Target="#'TRUNC'!E46" TargetMode="External" Id="rId65"/><Relationship Type="http://schemas.openxmlformats.org/officeDocument/2006/relationships/hyperlink" Target="#'TRUNC'!E54" TargetMode="External" Id="rId66"/><Relationship Type="http://schemas.openxmlformats.org/officeDocument/2006/relationships/hyperlink" Target="#'MOD'!E22" TargetMode="External" Id="rId67"/><Relationship Type="http://schemas.openxmlformats.org/officeDocument/2006/relationships/hyperlink" Target="#'MOD'!E30" TargetMode="External" Id="rId68"/><Relationship Type="http://schemas.openxmlformats.org/officeDocument/2006/relationships/hyperlink" Target="#'MOD'!E38" TargetMode="External" Id="rId69"/><Relationship Type="http://schemas.openxmlformats.org/officeDocument/2006/relationships/hyperlink" Target="#'MOD'!E46" TargetMode="External" Id="rId70"/><Relationship Type="http://schemas.openxmlformats.org/officeDocument/2006/relationships/hyperlink" Target="#'MOD'!E54" TargetMode="External" Id="rId71"/><Relationship Type="http://schemas.openxmlformats.org/officeDocument/2006/relationships/hyperlink" Target="#'QUOTIENT'!E22" TargetMode="External" Id="rId72"/><Relationship Type="http://schemas.openxmlformats.org/officeDocument/2006/relationships/hyperlink" Target="#'QUOTIENT'!E30" TargetMode="External" Id="rId73"/><Relationship Type="http://schemas.openxmlformats.org/officeDocument/2006/relationships/hyperlink" Target="#'QUOTIENT'!E38" TargetMode="External" Id="rId74"/><Relationship Type="http://schemas.openxmlformats.org/officeDocument/2006/relationships/hyperlink" Target="#'QUOTIENT'!E46" TargetMode="External" Id="rId75"/><Relationship Type="http://schemas.openxmlformats.org/officeDocument/2006/relationships/hyperlink" Target="#'QUOTIENT'!E54" TargetMode="External" Id="rId76"/><Relationship Type="http://schemas.openxmlformats.org/officeDocument/2006/relationships/hyperlink" Target="#'ABS'!E22" TargetMode="External" Id="rId77"/><Relationship Type="http://schemas.openxmlformats.org/officeDocument/2006/relationships/hyperlink" Target="#'ABS'!E30" TargetMode="External" Id="rId78"/><Relationship Type="http://schemas.openxmlformats.org/officeDocument/2006/relationships/hyperlink" Target="#'ABS'!E38" TargetMode="External" Id="rId79"/><Relationship Type="http://schemas.openxmlformats.org/officeDocument/2006/relationships/hyperlink" Target="#'ABS'!E46" TargetMode="External" Id="rId80"/><Relationship Type="http://schemas.openxmlformats.org/officeDocument/2006/relationships/hyperlink" Target="#'ABS'!E54" TargetMode="External" Id="rId81"/><Relationship Type="http://schemas.openxmlformats.org/officeDocument/2006/relationships/hyperlink" Target="#'POWER'!E22" TargetMode="External" Id="rId82"/><Relationship Type="http://schemas.openxmlformats.org/officeDocument/2006/relationships/hyperlink" Target="#'POWER'!E30" TargetMode="External" Id="rId83"/><Relationship Type="http://schemas.openxmlformats.org/officeDocument/2006/relationships/hyperlink" Target="#'POWER'!E38" TargetMode="External" Id="rId84"/><Relationship Type="http://schemas.openxmlformats.org/officeDocument/2006/relationships/hyperlink" Target="#'POWER'!E46" TargetMode="External" Id="rId85"/><Relationship Type="http://schemas.openxmlformats.org/officeDocument/2006/relationships/hyperlink" Target="#'POWER'!E54" TargetMode="External" Id="rId86"/><Relationship Type="http://schemas.openxmlformats.org/officeDocument/2006/relationships/hyperlink" Target="#'SQRT'!E22" TargetMode="External" Id="rId87"/><Relationship Type="http://schemas.openxmlformats.org/officeDocument/2006/relationships/hyperlink" Target="#'SQRT'!E30" TargetMode="External" Id="rId88"/><Relationship Type="http://schemas.openxmlformats.org/officeDocument/2006/relationships/hyperlink" Target="#'SQRT'!E38" TargetMode="External" Id="rId89"/><Relationship Type="http://schemas.openxmlformats.org/officeDocument/2006/relationships/hyperlink" Target="#'SQRT'!E46" TargetMode="External" Id="rId90"/><Relationship Type="http://schemas.openxmlformats.org/officeDocument/2006/relationships/hyperlink" Target="#'SQRT'!E54" TargetMode="External" Id="rId91"/><Relationship Type="http://schemas.openxmlformats.org/officeDocument/2006/relationships/hyperlink" Target="#'SUBTOTAL'!E22" TargetMode="External" Id="rId92"/><Relationship Type="http://schemas.openxmlformats.org/officeDocument/2006/relationships/hyperlink" Target="#'SUBTOTAL'!E30" TargetMode="External" Id="rId93"/><Relationship Type="http://schemas.openxmlformats.org/officeDocument/2006/relationships/hyperlink" Target="#'SUBTOTAL'!E38" TargetMode="External" Id="rId94"/><Relationship Type="http://schemas.openxmlformats.org/officeDocument/2006/relationships/hyperlink" Target="#'SUBTOTAL'!E46" TargetMode="External" Id="rId95"/><Relationship Type="http://schemas.openxmlformats.org/officeDocument/2006/relationships/hyperlink" Target="#'SUBTOTAL'!E54" TargetMode="External" Id="rId96"/><Relationship Type="http://schemas.openxmlformats.org/officeDocument/2006/relationships/hyperlink" Target="#'AGGREGATE'!E22" TargetMode="External" Id="rId97"/><Relationship Type="http://schemas.openxmlformats.org/officeDocument/2006/relationships/hyperlink" Target="#'AGGREGATE'!E30" TargetMode="External" Id="rId98"/><Relationship Type="http://schemas.openxmlformats.org/officeDocument/2006/relationships/hyperlink" Target="#'AGGREGATE'!E38" TargetMode="External" Id="rId99"/><Relationship Type="http://schemas.openxmlformats.org/officeDocument/2006/relationships/hyperlink" Target="#'AGGREGATE'!E46" TargetMode="External" Id="rId100"/><Relationship Type="http://schemas.openxmlformats.org/officeDocument/2006/relationships/hyperlink" Target="#'AGGREGATE'!E54" TargetMode="External" Id="rId101"/><Relationship Type="http://schemas.openxmlformats.org/officeDocument/2006/relationships/hyperlink" Target="#'RANDBETWEEN'!E22" TargetMode="External" Id="rId102"/><Relationship Type="http://schemas.openxmlformats.org/officeDocument/2006/relationships/hyperlink" Target="#'RANDBETWEEN'!E30" TargetMode="External" Id="rId103"/><Relationship Type="http://schemas.openxmlformats.org/officeDocument/2006/relationships/hyperlink" Target="#'RANDBETWEEN'!E38" TargetMode="External" Id="rId104"/><Relationship Type="http://schemas.openxmlformats.org/officeDocument/2006/relationships/hyperlink" Target="#'RANDBETWEEN'!E46" TargetMode="External" Id="rId105"/><Relationship Type="http://schemas.openxmlformats.org/officeDocument/2006/relationships/hyperlink" Target="#'RANDBETWEEN'!E54" TargetMode="External" Id="rId106"/><Relationship Type="http://schemas.openxmlformats.org/officeDocument/2006/relationships/hyperlink" Target="#'SIGN'!E22" TargetMode="External" Id="rId107"/><Relationship Type="http://schemas.openxmlformats.org/officeDocument/2006/relationships/hyperlink" Target="#'SIGN'!E30" TargetMode="External" Id="rId108"/><Relationship Type="http://schemas.openxmlformats.org/officeDocument/2006/relationships/hyperlink" Target="#'SIGN'!E38" TargetMode="External" Id="rId109"/><Relationship Type="http://schemas.openxmlformats.org/officeDocument/2006/relationships/hyperlink" Target="#'SIGN'!E46" TargetMode="External" Id="rId110"/><Relationship Type="http://schemas.openxmlformats.org/officeDocument/2006/relationships/hyperlink" Target="#'SIGN'!E54" TargetMode="External" Id="rId111"/><Relationship Type="http://schemas.openxmlformats.org/officeDocument/2006/relationships/hyperlink" Target="#'EVEN'!E22" TargetMode="External" Id="rId112"/><Relationship Type="http://schemas.openxmlformats.org/officeDocument/2006/relationships/hyperlink" Target="#'EVEN'!E30" TargetMode="External" Id="rId113"/><Relationship Type="http://schemas.openxmlformats.org/officeDocument/2006/relationships/hyperlink" Target="#'EVEN'!E38" TargetMode="External" Id="rId114"/><Relationship Type="http://schemas.openxmlformats.org/officeDocument/2006/relationships/hyperlink" Target="#'EVEN'!E46" TargetMode="External" Id="rId115"/><Relationship Type="http://schemas.openxmlformats.org/officeDocument/2006/relationships/hyperlink" Target="#'EVEN'!E54" TargetMode="External" Id="rId116"/><Relationship Type="http://schemas.openxmlformats.org/officeDocument/2006/relationships/hyperlink" Target="#'ODD'!E22" TargetMode="External" Id="rId117"/><Relationship Type="http://schemas.openxmlformats.org/officeDocument/2006/relationships/hyperlink" Target="#'ODD'!E30" TargetMode="External" Id="rId118"/><Relationship Type="http://schemas.openxmlformats.org/officeDocument/2006/relationships/hyperlink" Target="#'ODD'!E38" TargetMode="External" Id="rId119"/><Relationship Type="http://schemas.openxmlformats.org/officeDocument/2006/relationships/hyperlink" Target="#'ODD'!E46" TargetMode="External" Id="rId120"/><Relationship Type="http://schemas.openxmlformats.org/officeDocument/2006/relationships/hyperlink" Target="#'ODD'!E54" TargetMode="External" Id="rId121"/><Relationship Type="http://schemas.openxmlformats.org/officeDocument/2006/relationships/hyperlink" Target="#'FACT'!E22" TargetMode="External" Id="rId122"/><Relationship Type="http://schemas.openxmlformats.org/officeDocument/2006/relationships/hyperlink" Target="#'FACT'!E30" TargetMode="External" Id="rId123"/><Relationship Type="http://schemas.openxmlformats.org/officeDocument/2006/relationships/hyperlink" Target="#'FACT'!E38" TargetMode="External" Id="rId124"/><Relationship Type="http://schemas.openxmlformats.org/officeDocument/2006/relationships/hyperlink" Target="#'FACT'!E46" TargetMode="External" Id="rId125"/><Relationship Type="http://schemas.openxmlformats.org/officeDocument/2006/relationships/hyperlink" Target="#'FACT'!E54" TargetMode="External" Id="rId126"/><Relationship Type="http://schemas.openxmlformats.org/officeDocument/2006/relationships/hyperlink" Target="#'GCD'!E22" TargetMode="External" Id="rId127"/><Relationship Type="http://schemas.openxmlformats.org/officeDocument/2006/relationships/hyperlink" Target="#'GCD'!E30" TargetMode="External" Id="rId128"/><Relationship Type="http://schemas.openxmlformats.org/officeDocument/2006/relationships/hyperlink" Target="#'GCD'!E38" TargetMode="External" Id="rId129"/><Relationship Type="http://schemas.openxmlformats.org/officeDocument/2006/relationships/hyperlink" Target="#'GCD'!E46" TargetMode="External" Id="rId130"/><Relationship Type="http://schemas.openxmlformats.org/officeDocument/2006/relationships/hyperlink" Target="#'GCD'!E54" TargetMode="External" Id="rId131"/><Relationship Type="http://schemas.openxmlformats.org/officeDocument/2006/relationships/hyperlink" Target="#'LCM'!E22" TargetMode="External" Id="rId132"/><Relationship Type="http://schemas.openxmlformats.org/officeDocument/2006/relationships/hyperlink" Target="#'LCM'!E30" TargetMode="External" Id="rId133"/><Relationship Type="http://schemas.openxmlformats.org/officeDocument/2006/relationships/hyperlink" Target="#'LCM'!E38" TargetMode="External" Id="rId134"/><Relationship Type="http://schemas.openxmlformats.org/officeDocument/2006/relationships/hyperlink" Target="#'LCM'!E46" TargetMode="External" Id="rId135"/><Relationship Type="http://schemas.openxmlformats.org/officeDocument/2006/relationships/hyperlink" Target="#'LCM'!E54" TargetMode="External" Id="rId136"/><Relationship Type="http://schemas.openxmlformats.org/officeDocument/2006/relationships/hyperlink" Target="#'ROMAN'!E22" TargetMode="External" Id="rId137"/><Relationship Type="http://schemas.openxmlformats.org/officeDocument/2006/relationships/hyperlink" Target="#'ROMAN'!E30" TargetMode="External" Id="rId138"/><Relationship Type="http://schemas.openxmlformats.org/officeDocument/2006/relationships/hyperlink" Target="#'ROMAN'!E38" TargetMode="External" Id="rId139"/><Relationship Type="http://schemas.openxmlformats.org/officeDocument/2006/relationships/hyperlink" Target="#'ROMAN'!E46" TargetMode="External" Id="rId140"/><Relationship Type="http://schemas.openxmlformats.org/officeDocument/2006/relationships/hyperlink" Target="#'ROMAN'!E54" TargetMode="External" Id="rId141"/><Relationship Type="http://schemas.openxmlformats.org/officeDocument/2006/relationships/hyperlink" Target="#'ARABIC'!E22" TargetMode="External" Id="rId142"/><Relationship Type="http://schemas.openxmlformats.org/officeDocument/2006/relationships/hyperlink" Target="#'ARABIC'!E30" TargetMode="External" Id="rId143"/><Relationship Type="http://schemas.openxmlformats.org/officeDocument/2006/relationships/hyperlink" Target="#'ARABIC'!E38" TargetMode="External" Id="rId144"/><Relationship Type="http://schemas.openxmlformats.org/officeDocument/2006/relationships/hyperlink" Target="#'ARABIC'!E46" TargetMode="External" Id="rId145"/><Relationship Type="http://schemas.openxmlformats.org/officeDocument/2006/relationships/hyperlink" Target="#'ARABIC'!E54" TargetMode="External" Id="rId146"/><Relationship Type="http://schemas.openxmlformats.org/officeDocument/2006/relationships/hyperlink" Target="#'IF'!E22" TargetMode="External" Id="rId147"/><Relationship Type="http://schemas.openxmlformats.org/officeDocument/2006/relationships/hyperlink" Target="#'IF'!E30" TargetMode="External" Id="rId148"/><Relationship Type="http://schemas.openxmlformats.org/officeDocument/2006/relationships/hyperlink" Target="#'IF'!E38" TargetMode="External" Id="rId149"/><Relationship Type="http://schemas.openxmlformats.org/officeDocument/2006/relationships/hyperlink" Target="#'IF'!E46" TargetMode="External" Id="rId150"/><Relationship Type="http://schemas.openxmlformats.org/officeDocument/2006/relationships/hyperlink" Target="#'IF'!E54" TargetMode="External" Id="rId151"/><Relationship Type="http://schemas.openxmlformats.org/officeDocument/2006/relationships/hyperlink" Target="#'IFS'!E22" TargetMode="External" Id="rId152"/><Relationship Type="http://schemas.openxmlformats.org/officeDocument/2006/relationships/hyperlink" Target="#'IFS'!E30" TargetMode="External" Id="rId153"/><Relationship Type="http://schemas.openxmlformats.org/officeDocument/2006/relationships/hyperlink" Target="#'IFS'!E38" TargetMode="External" Id="rId154"/><Relationship Type="http://schemas.openxmlformats.org/officeDocument/2006/relationships/hyperlink" Target="#'IFS'!E46" TargetMode="External" Id="rId155"/><Relationship Type="http://schemas.openxmlformats.org/officeDocument/2006/relationships/hyperlink" Target="#'IFS'!E54" TargetMode="External" Id="rId156"/><Relationship Type="http://schemas.openxmlformats.org/officeDocument/2006/relationships/hyperlink" Target="#'AND'!E22" TargetMode="External" Id="rId157"/><Relationship Type="http://schemas.openxmlformats.org/officeDocument/2006/relationships/hyperlink" Target="#'AND'!E30" TargetMode="External" Id="rId158"/><Relationship Type="http://schemas.openxmlformats.org/officeDocument/2006/relationships/hyperlink" Target="#'AND'!E38" TargetMode="External" Id="rId159"/><Relationship Type="http://schemas.openxmlformats.org/officeDocument/2006/relationships/hyperlink" Target="#'AND'!E46" TargetMode="External" Id="rId160"/><Relationship Type="http://schemas.openxmlformats.org/officeDocument/2006/relationships/hyperlink" Target="#'AND'!E54" TargetMode="External" Id="rId161"/><Relationship Type="http://schemas.openxmlformats.org/officeDocument/2006/relationships/hyperlink" Target="#'OR'!E22" TargetMode="External" Id="rId162"/><Relationship Type="http://schemas.openxmlformats.org/officeDocument/2006/relationships/hyperlink" Target="#'OR'!E30" TargetMode="External" Id="rId163"/><Relationship Type="http://schemas.openxmlformats.org/officeDocument/2006/relationships/hyperlink" Target="#'OR'!E38" TargetMode="External" Id="rId164"/><Relationship Type="http://schemas.openxmlformats.org/officeDocument/2006/relationships/hyperlink" Target="#'OR'!E46" TargetMode="External" Id="rId165"/><Relationship Type="http://schemas.openxmlformats.org/officeDocument/2006/relationships/hyperlink" Target="#'OR'!E54" TargetMode="External" Id="rId166"/><Relationship Type="http://schemas.openxmlformats.org/officeDocument/2006/relationships/hyperlink" Target="#'NOT'!E22" TargetMode="External" Id="rId167"/><Relationship Type="http://schemas.openxmlformats.org/officeDocument/2006/relationships/hyperlink" Target="#'NOT'!E30" TargetMode="External" Id="rId168"/><Relationship Type="http://schemas.openxmlformats.org/officeDocument/2006/relationships/hyperlink" Target="#'NOT'!E38" TargetMode="External" Id="rId169"/><Relationship Type="http://schemas.openxmlformats.org/officeDocument/2006/relationships/hyperlink" Target="#'NOT'!E46" TargetMode="External" Id="rId170"/><Relationship Type="http://schemas.openxmlformats.org/officeDocument/2006/relationships/hyperlink" Target="#'NOT'!E54" TargetMode="External" Id="rId171"/><Relationship Type="http://schemas.openxmlformats.org/officeDocument/2006/relationships/hyperlink" Target="#'XOR'!E22" TargetMode="External" Id="rId172"/><Relationship Type="http://schemas.openxmlformats.org/officeDocument/2006/relationships/hyperlink" Target="#'XOR'!E30" TargetMode="External" Id="rId173"/><Relationship Type="http://schemas.openxmlformats.org/officeDocument/2006/relationships/hyperlink" Target="#'XOR'!E38" TargetMode="External" Id="rId174"/><Relationship Type="http://schemas.openxmlformats.org/officeDocument/2006/relationships/hyperlink" Target="#'XOR'!E46" TargetMode="External" Id="rId175"/><Relationship Type="http://schemas.openxmlformats.org/officeDocument/2006/relationships/hyperlink" Target="#'XOR'!E54" TargetMode="External" Id="rId176"/><Relationship Type="http://schemas.openxmlformats.org/officeDocument/2006/relationships/hyperlink" Target="#'IFERROR'!E22" TargetMode="External" Id="rId177"/><Relationship Type="http://schemas.openxmlformats.org/officeDocument/2006/relationships/hyperlink" Target="#'IFERROR'!E30" TargetMode="External" Id="rId178"/><Relationship Type="http://schemas.openxmlformats.org/officeDocument/2006/relationships/hyperlink" Target="#'IFERROR'!E38" TargetMode="External" Id="rId179"/><Relationship Type="http://schemas.openxmlformats.org/officeDocument/2006/relationships/hyperlink" Target="#'IFERROR'!E46" TargetMode="External" Id="rId180"/><Relationship Type="http://schemas.openxmlformats.org/officeDocument/2006/relationships/hyperlink" Target="#'IFERROR'!E54" TargetMode="External" Id="rId181"/><Relationship Type="http://schemas.openxmlformats.org/officeDocument/2006/relationships/hyperlink" Target="#'IFNA'!E22" TargetMode="External" Id="rId182"/><Relationship Type="http://schemas.openxmlformats.org/officeDocument/2006/relationships/hyperlink" Target="#'IFNA'!E30" TargetMode="External" Id="rId183"/><Relationship Type="http://schemas.openxmlformats.org/officeDocument/2006/relationships/hyperlink" Target="#'IFNA'!E38" TargetMode="External" Id="rId184"/><Relationship Type="http://schemas.openxmlformats.org/officeDocument/2006/relationships/hyperlink" Target="#'IFNA'!E46" TargetMode="External" Id="rId185"/><Relationship Type="http://schemas.openxmlformats.org/officeDocument/2006/relationships/hyperlink" Target="#'IFNA'!E54" TargetMode="External" Id="rId186"/><Relationship Type="http://schemas.openxmlformats.org/officeDocument/2006/relationships/hyperlink" Target="#'TRUE'!E22" TargetMode="External" Id="rId187"/><Relationship Type="http://schemas.openxmlformats.org/officeDocument/2006/relationships/hyperlink" Target="#'TRUE'!E30" TargetMode="External" Id="rId188"/><Relationship Type="http://schemas.openxmlformats.org/officeDocument/2006/relationships/hyperlink" Target="#'TRUE'!E38" TargetMode="External" Id="rId189"/><Relationship Type="http://schemas.openxmlformats.org/officeDocument/2006/relationships/hyperlink" Target="#'TRUE'!E46" TargetMode="External" Id="rId190"/><Relationship Type="http://schemas.openxmlformats.org/officeDocument/2006/relationships/hyperlink" Target="#'TRUE'!E54" TargetMode="External" Id="rId191"/><Relationship Type="http://schemas.openxmlformats.org/officeDocument/2006/relationships/hyperlink" Target="#'FALSE'!E22" TargetMode="External" Id="rId192"/><Relationship Type="http://schemas.openxmlformats.org/officeDocument/2006/relationships/hyperlink" Target="#'FALSE'!E30" TargetMode="External" Id="rId193"/><Relationship Type="http://schemas.openxmlformats.org/officeDocument/2006/relationships/hyperlink" Target="#'FALSE'!E38" TargetMode="External" Id="rId194"/><Relationship Type="http://schemas.openxmlformats.org/officeDocument/2006/relationships/hyperlink" Target="#'FALSE'!E46" TargetMode="External" Id="rId195"/><Relationship Type="http://schemas.openxmlformats.org/officeDocument/2006/relationships/hyperlink" Target="#'FALSE'!E54" TargetMode="External" Id="rId196"/><Relationship Type="http://schemas.openxmlformats.org/officeDocument/2006/relationships/hyperlink" Target="#'VLOOKUP'!E22" TargetMode="External" Id="rId197"/><Relationship Type="http://schemas.openxmlformats.org/officeDocument/2006/relationships/hyperlink" Target="#'VLOOKUP'!E30" TargetMode="External" Id="rId198"/><Relationship Type="http://schemas.openxmlformats.org/officeDocument/2006/relationships/hyperlink" Target="#'VLOOKUP'!E38" TargetMode="External" Id="rId199"/><Relationship Type="http://schemas.openxmlformats.org/officeDocument/2006/relationships/hyperlink" Target="#'VLOOKUP'!E46" TargetMode="External" Id="rId200"/><Relationship Type="http://schemas.openxmlformats.org/officeDocument/2006/relationships/hyperlink" Target="#'VLOOKUP'!E54" TargetMode="External" Id="rId201"/><Relationship Type="http://schemas.openxmlformats.org/officeDocument/2006/relationships/hyperlink" Target="#'HLOOKUP'!E22" TargetMode="External" Id="rId202"/><Relationship Type="http://schemas.openxmlformats.org/officeDocument/2006/relationships/hyperlink" Target="#'HLOOKUP'!E30" TargetMode="External" Id="rId203"/><Relationship Type="http://schemas.openxmlformats.org/officeDocument/2006/relationships/hyperlink" Target="#'HLOOKUP'!E38" TargetMode="External" Id="rId204"/><Relationship Type="http://schemas.openxmlformats.org/officeDocument/2006/relationships/hyperlink" Target="#'HLOOKUP'!E46" TargetMode="External" Id="rId205"/><Relationship Type="http://schemas.openxmlformats.org/officeDocument/2006/relationships/hyperlink" Target="#'HLOOKUP'!E54" TargetMode="External" Id="rId206"/><Relationship Type="http://schemas.openxmlformats.org/officeDocument/2006/relationships/hyperlink" Target="#'INDEX'!E22" TargetMode="External" Id="rId207"/><Relationship Type="http://schemas.openxmlformats.org/officeDocument/2006/relationships/hyperlink" Target="#'INDEX'!E30" TargetMode="External" Id="rId208"/><Relationship Type="http://schemas.openxmlformats.org/officeDocument/2006/relationships/hyperlink" Target="#'INDEX'!E38" TargetMode="External" Id="rId209"/><Relationship Type="http://schemas.openxmlformats.org/officeDocument/2006/relationships/hyperlink" Target="#'INDEX'!E46" TargetMode="External" Id="rId210"/><Relationship Type="http://schemas.openxmlformats.org/officeDocument/2006/relationships/hyperlink" Target="#'INDEX'!E54" TargetMode="External" Id="rId211"/><Relationship Type="http://schemas.openxmlformats.org/officeDocument/2006/relationships/hyperlink" Target="#'MATCH'!E22" TargetMode="External" Id="rId212"/><Relationship Type="http://schemas.openxmlformats.org/officeDocument/2006/relationships/hyperlink" Target="#'MATCH'!E30" TargetMode="External" Id="rId213"/><Relationship Type="http://schemas.openxmlformats.org/officeDocument/2006/relationships/hyperlink" Target="#'MATCH'!E38" TargetMode="External" Id="rId214"/><Relationship Type="http://schemas.openxmlformats.org/officeDocument/2006/relationships/hyperlink" Target="#'MATCH'!E46" TargetMode="External" Id="rId215"/><Relationship Type="http://schemas.openxmlformats.org/officeDocument/2006/relationships/hyperlink" Target="#'MATCH'!E54" TargetMode="External" Id="rId216"/><Relationship Type="http://schemas.openxmlformats.org/officeDocument/2006/relationships/hyperlink" Target="#'CHOOSE'!E22" TargetMode="External" Id="rId217"/><Relationship Type="http://schemas.openxmlformats.org/officeDocument/2006/relationships/hyperlink" Target="#'CHOOSE'!E30" TargetMode="External" Id="rId218"/><Relationship Type="http://schemas.openxmlformats.org/officeDocument/2006/relationships/hyperlink" Target="#'CHOOSE'!E38" TargetMode="External" Id="rId219"/><Relationship Type="http://schemas.openxmlformats.org/officeDocument/2006/relationships/hyperlink" Target="#'CHOOSE'!E46" TargetMode="External" Id="rId220"/><Relationship Type="http://schemas.openxmlformats.org/officeDocument/2006/relationships/hyperlink" Target="#'CHOOSE'!E54" TargetMode="External" Id="rId221"/><Relationship Type="http://schemas.openxmlformats.org/officeDocument/2006/relationships/hyperlink" Target="#'ROW'!E22" TargetMode="External" Id="rId222"/><Relationship Type="http://schemas.openxmlformats.org/officeDocument/2006/relationships/hyperlink" Target="#'ROW'!E30" TargetMode="External" Id="rId223"/><Relationship Type="http://schemas.openxmlformats.org/officeDocument/2006/relationships/hyperlink" Target="#'ROW'!E38" TargetMode="External" Id="rId224"/><Relationship Type="http://schemas.openxmlformats.org/officeDocument/2006/relationships/hyperlink" Target="#'ROW'!E46" TargetMode="External" Id="rId225"/><Relationship Type="http://schemas.openxmlformats.org/officeDocument/2006/relationships/hyperlink" Target="#'ROW'!E54" TargetMode="External" Id="rId226"/><Relationship Type="http://schemas.openxmlformats.org/officeDocument/2006/relationships/hyperlink" Target="#'COLUMN'!E22" TargetMode="External" Id="rId227"/><Relationship Type="http://schemas.openxmlformats.org/officeDocument/2006/relationships/hyperlink" Target="#'COLUMN'!E30" TargetMode="External" Id="rId228"/><Relationship Type="http://schemas.openxmlformats.org/officeDocument/2006/relationships/hyperlink" Target="#'COLUMN'!E38" TargetMode="External" Id="rId229"/><Relationship Type="http://schemas.openxmlformats.org/officeDocument/2006/relationships/hyperlink" Target="#'COLUMN'!E46" TargetMode="External" Id="rId230"/><Relationship Type="http://schemas.openxmlformats.org/officeDocument/2006/relationships/hyperlink" Target="#'COLUMN'!E54" TargetMode="External" Id="rId231"/><Relationship Type="http://schemas.openxmlformats.org/officeDocument/2006/relationships/hyperlink" Target="#'ROWS'!E22" TargetMode="External" Id="rId232"/><Relationship Type="http://schemas.openxmlformats.org/officeDocument/2006/relationships/hyperlink" Target="#'ROWS'!E30" TargetMode="External" Id="rId233"/><Relationship Type="http://schemas.openxmlformats.org/officeDocument/2006/relationships/hyperlink" Target="#'ROWS'!E38" TargetMode="External" Id="rId234"/><Relationship Type="http://schemas.openxmlformats.org/officeDocument/2006/relationships/hyperlink" Target="#'ROWS'!E46" TargetMode="External" Id="rId235"/><Relationship Type="http://schemas.openxmlformats.org/officeDocument/2006/relationships/hyperlink" Target="#'ROWS'!E54" TargetMode="External" Id="rId236"/><Relationship Type="http://schemas.openxmlformats.org/officeDocument/2006/relationships/hyperlink" Target="#'COLUMNS'!E22" TargetMode="External" Id="rId237"/><Relationship Type="http://schemas.openxmlformats.org/officeDocument/2006/relationships/hyperlink" Target="#'COLUMNS'!E30" TargetMode="External" Id="rId238"/><Relationship Type="http://schemas.openxmlformats.org/officeDocument/2006/relationships/hyperlink" Target="#'COLUMNS'!E38" TargetMode="External" Id="rId239"/><Relationship Type="http://schemas.openxmlformats.org/officeDocument/2006/relationships/hyperlink" Target="#'COLUMNS'!E46" TargetMode="External" Id="rId240"/><Relationship Type="http://schemas.openxmlformats.org/officeDocument/2006/relationships/hyperlink" Target="#'COLUMNS'!E54" TargetMode="External" Id="rId241"/><Relationship Type="http://schemas.openxmlformats.org/officeDocument/2006/relationships/hyperlink" Target="#'ADDRESS'!E22" TargetMode="External" Id="rId242"/><Relationship Type="http://schemas.openxmlformats.org/officeDocument/2006/relationships/hyperlink" Target="#'ADDRESS'!E30" TargetMode="External" Id="rId243"/><Relationship Type="http://schemas.openxmlformats.org/officeDocument/2006/relationships/hyperlink" Target="#'ADDRESS'!E38" TargetMode="External" Id="rId244"/><Relationship Type="http://schemas.openxmlformats.org/officeDocument/2006/relationships/hyperlink" Target="#'ADDRESS'!E46" TargetMode="External" Id="rId245"/><Relationship Type="http://schemas.openxmlformats.org/officeDocument/2006/relationships/hyperlink" Target="#'ADDRESS'!E54" TargetMode="External" Id="rId246"/><Relationship Type="http://schemas.openxmlformats.org/officeDocument/2006/relationships/hyperlink" Target="#'OFFSET'!E22" TargetMode="External" Id="rId247"/><Relationship Type="http://schemas.openxmlformats.org/officeDocument/2006/relationships/hyperlink" Target="#'OFFSET'!E30" TargetMode="External" Id="rId248"/><Relationship Type="http://schemas.openxmlformats.org/officeDocument/2006/relationships/hyperlink" Target="#'OFFSET'!E38" TargetMode="External" Id="rId249"/><Relationship Type="http://schemas.openxmlformats.org/officeDocument/2006/relationships/hyperlink" Target="#'OFFSET'!E46" TargetMode="External" Id="rId250"/><Relationship Type="http://schemas.openxmlformats.org/officeDocument/2006/relationships/hyperlink" Target="#'OFFSET'!E54" TargetMode="External" Id="rId251"/><Relationship Type="http://schemas.openxmlformats.org/officeDocument/2006/relationships/hyperlink" Target="#'INDIRECT'!E22" TargetMode="External" Id="rId252"/><Relationship Type="http://schemas.openxmlformats.org/officeDocument/2006/relationships/hyperlink" Target="#'INDIRECT'!E30" TargetMode="External" Id="rId253"/><Relationship Type="http://schemas.openxmlformats.org/officeDocument/2006/relationships/hyperlink" Target="#'INDIRECT'!E38" TargetMode="External" Id="rId254"/><Relationship Type="http://schemas.openxmlformats.org/officeDocument/2006/relationships/hyperlink" Target="#'INDIRECT'!E46" TargetMode="External" Id="rId255"/><Relationship Type="http://schemas.openxmlformats.org/officeDocument/2006/relationships/hyperlink" Target="#'INDIRECT'!E54" TargetMode="External" Id="rId256"/><Relationship Type="http://schemas.openxmlformats.org/officeDocument/2006/relationships/hyperlink" Target="#'LEFT'!E22" TargetMode="External" Id="rId257"/><Relationship Type="http://schemas.openxmlformats.org/officeDocument/2006/relationships/hyperlink" Target="#'LEFT'!E30" TargetMode="External" Id="rId258"/><Relationship Type="http://schemas.openxmlformats.org/officeDocument/2006/relationships/hyperlink" Target="#'LEFT'!E38" TargetMode="External" Id="rId259"/><Relationship Type="http://schemas.openxmlformats.org/officeDocument/2006/relationships/hyperlink" Target="#'LEFT'!E46" TargetMode="External" Id="rId260"/><Relationship Type="http://schemas.openxmlformats.org/officeDocument/2006/relationships/hyperlink" Target="#'LEFT'!E54" TargetMode="External" Id="rId261"/><Relationship Type="http://schemas.openxmlformats.org/officeDocument/2006/relationships/hyperlink" Target="#'RIGHT'!E22" TargetMode="External" Id="rId262"/><Relationship Type="http://schemas.openxmlformats.org/officeDocument/2006/relationships/hyperlink" Target="#'RIGHT'!E30" TargetMode="External" Id="rId263"/><Relationship Type="http://schemas.openxmlformats.org/officeDocument/2006/relationships/hyperlink" Target="#'RIGHT'!E38" TargetMode="External" Id="rId264"/><Relationship Type="http://schemas.openxmlformats.org/officeDocument/2006/relationships/hyperlink" Target="#'RIGHT'!E46" TargetMode="External" Id="rId265"/><Relationship Type="http://schemas.openxmlformats.org/officeDocument/2006/relationships/hyperlink" Target="#'RIGHT'!E54" TargetMode="External" Id="rId266"/><Relationship Type="http://schemas.openxmlformats.org/officeDocument/2006/relationships/hyperlink" Target="#'MID'!E22" TargetMode="External" Id="rId267"/><Relationship Type="http://schemas.openxmlformats.org/officeDocument/2006/relationships/hyperlink" Target="#'MID'!E30" TargetMode="External" Id="rId268"/><Relationship Type="http://schemas.openxmlformats.org/officeDocument/2006/relationships/hyperlink" Target="#'MID'!E38" TargetMode="External" Id="rId269"/><Relationship Type="http://schemas.openxmlformats.org/officeDocument/2006/relationships/hyperlink" Target="#'MID'!E46" TargetMode="External" Id="rId270"/><Relationship Type="http://schemas.openxmlformats.org/officeDocument/2006/relationships/hyperlink" Target="#'MID'!E54" TargetMode="External" Id="rId271"/><Relationship Type="http://schemas.openxmlformats.org/officeDocument/2006/relationships/hyperlink" Target="#'LEN'!E22" TargetMode="External" Id="rId272"/><Relationship Type="http://schemas.openxmlformats.org/officeDocument/2006/relationships/hyperlink" Target="#'LEN'!E30" TargetMode="External" Id="rId273"/><Relationship Type="http://schemas.openxmlformats.org/officeDocument/2006/relationships/hyperlink" Target="#'LEN'!E38" TargetMode="External" Id="rId274"/><Relationship Type="http://schemas.openxmlformats.org/officeDocument/2006/relationships/hyperlink" Target="#'LEN'!E46" TargetMode="External" Id="rId275"/><Relationship Type="http://schemas.openxmlformats.org/officeDocument/2006/relationships/hyperlink" Target="#'LEN'!E54" TargetMode="External" Id="rId276"/><Relationship Type="http://schemas.openxmlformats.org/officeDocument/2006/relationships/hyperlink" Target="#'TRIM'!E22" TargetMode="External" Id="rId277"/><Relationship Type="http://schemas.openxmlformats.org/officeDocument/2006/relationships/hyperlink" Target="#'TRIM'!E30" TargetMode="External" Id="rId278"/><Relationship Type="http://schemas.openxmlformats.org/officeDocument/2006/relationships/hyperlink" Target="#'TRIM'!E38" TargetMode="External" Id="rId279"/><Relationship Type="http://schemas.openxmlformats.org/officeDocument/2006/relationships/hyperlink" Target="#'TRIM'!E46" TargetMode="External" Id="rId280"/><Relationship Type="http://schemas.openxmlformats.org/officeDocument/2006/relationships/hyperlink" Target="#'TRIM'!E54" TargetMode="External" Id="rId281"/><Relationship Type="http://schemas.openxmlformats.org/officeDocument/2006/relationships/hyperlink" Target="#'CLEAN'!E22" TargetMode="External" Id="rId282"/><Relationship Type="http://schemas.openxmlformats.org/officeDocument/2006/relationships/hyperlink" Target="#'CLEAN'!E30" TargetMode="External" Id="rId283"/><Relationship Type="http://schemas.openxmlformats.org/officeDocument/2006/relationships/hyperlink" Target="#'CLEAN'!E38" TargetMode="External" Id="rId284"/><Relationship Type="http://schemas.openxmlformats.org/officeDocument/2006/relationships/hyperlink" Target="#'CLEAN'!E46" TargetMode="External" Id="rId285"/><Relationship Type="http://schemas.openxmlformats.org/officeDocument/2006/relationships/hyperlink" Target="#'CLEAN'!E54" TargetMode="External" Id="rId286"/><Relationship Type="http://schemas.openxmlformats.org/officeDocument/2006/relationships/hyperlink" Target="#'UPPER'!E22" TargetMode="External" Id="rId287"/><Relationship Type="http://schemas.openxmlformats.org/officeDocument/2006/relationships/hyperlink" Target="#'UPPER'!E30" TargetMode="External" Id="rId288"/><Relationship Type="http://schemas.openxmlformats.org/officeDocument/2006/relationships/hyperlink" Target="#'UPPER'!E38" TargetMode="External" Id="rId289"/><Relationship Type="http://schemas.openxmlformats.org/officeDocument/2006/relationships/hyperlink" Target="#'UPPER'!E46" TargetMode="External" Id="rId290"/><Relationship Type="http://schemas.openxmlformats.org/officeDocument/2006/relationships/hyperlink" Target="#'UPPER'!E54" TargetMode="External" Id="rId291"/><Relationship Type="http://schemas.openxmlformats.org/officeDocument/2006/relationships/hyperlink" Target="#'LOWER'!E22" TargetMode="External" Id="rId292"/><Relationship Type="http://schemas.openxmlformats.org/officeDocument/2006/relationships/hyperlink" Target="#'LOWER'!E30" TargetMode="External" Id="rId293"/><Relationship Type="http://schemas.openxmlformats.org/officeDocument/2006/relationships/hyperlink" Target="#'LOWER'!E38" TargetMode="External" Id="rId294"/><Relationship Type="http://schemas.openxmlformats.org/officeDocument/2006/relationships/hyperlink" Target="#'LOWER'!E46" TargetMode="External" Id="rId295"/><Relationship Type="http://schemas.openxmlformats.org/officeDocument/2006/relationships/hyperlink" Target="#'LOWER'!E54" TargetMode="External" Id="rId296"/><Relationship Type="http://schemas.openxmlformats.org/officeDocument/2006/relationships/hyperlink" Target="#'PROPER'!E22" TargetMode="External" Id="rId297"/><Relationship Type="http://schemas.openxmlformats.org/officeDocument/2006/relationships/hyperlink" Target="#'PROPER'!E30" TargetMode="External" Id="rId298"/><Relationship Type="http://schemas.openxmlformats.org/officeDocument/2006/relationships/hyperlink" Target="#'PROPER'!E38" TargetMode="External" Id="rId299"/><Relationship Type="http://schemas.openxmlformats.org/officeDocument/2006/relationships/hyperlink" Target="#'PROPER'!E46" TargetMode="External" Id="rId300"/><Relationship Type="http://schemas.openxmlformats.org/officeDocument/2006/relationships/hyperlink" Target="#'PROPER'!E54" TargetMode="External" Id="rId301"/><Relationship Type="http://schemas.openxmlformats.org/officeDocument/2006/relationships/hyperlink" Target="#'CONCATENATE'!E22" TargetMode="External" Id="rId302"/><Relationship Type="http://schemas.openxmlformats.org/officeDocument/2006/relationships/hyperlink" Target="#'CONCATENATE'!E30" TargetMode="External" Id="rId303"/><Relationship Type="http://schemas.openxmlformats.org/officeDocument/2006/relationships/hyperlink" Target="#'CONCATENATE'!E38" TargetMode="External" Id="rId304"/><Relationship Type="http://schemas.openxmlformats.org/officeDocument/2006/relationships/hyperlink" Target="#'CONCATENATE'!E46" TargetMode="External" Id="rId305"/><Relationship Type="http://schemas.openxmlformats.org/officeDocument/2006/relationships/hyperlink" Target="#'CONCATENATE'!E54" TargetMode="External" Id="rId306"/><Relationship Type="http://schemas.openxmlformats.org/officeDocument/2006/relationships/hyperlink" Target="#'EXACT'!E22" TargetMode="External" Id="rId307"/><Relationship Type="http://schemas.openxmlformats.org/officeDocument/2006/relationships/hyperlink" Target="#'EXACT'!E30" TargetMode="External" Id="rId308"/><Relationship Type="http://schemas.openxmlformats.org/officeDocument/2006/relationships/hyperlink" Target="#'EXACT'!E38" TargetMode="External" Id="rId309"/><Relationship Type="http://schemas.openxmlformats.org/officeDocument/2006/relationships/hyperlink" Target="#'EXACT'!E46" TargetMode="External" Id="rId310"/><Relationship Type="http://schemas.openxmlformats.org/officeDocument/2006/relationships/hyperlink" Target="#'EXACT'!E54" TargetMode="External" Id="rId311"/><Relationship Type="http://schemas.openxmlformats.org/officeDocument/2006/relationships/hyperlink" Target="#'FIND'!E22" TargetMode="External" Id="rId312"/><Relationship Type="http://schemas.openxmlformats.org/officeDocument/2006/relationships/hyperlink" Target="#'FIND'!E30" TargetMode="External" Id="rId313"/><Relationship Type="http://schemas.openxmlformats.org/officeDocument/2006/relationships/hyperlink" Target="#'FIND'!E38" TargetMode="External" Id="rId314"/><Relationship Type="http://schemas.openxmlformats.org/officeDocument/2006/relationships/hyperlink" Target="#'FIND'!E46" TargetMode="External" Id="rId315"/><Relationship Type="http://schemas.openxmlformats.org/officeDocument/2006/relationships/hyperlink" Target="#'FIND'!E54" TargetMode="External" Id="rId316"/><Relationship Type="http://schemas.openxmlformats.org/officeDocument/2006/relationships/hyperlink" Target="#'SEARCH'!E22" TargetMode="External" Id="rId317"/><Relationship Type="http://schemas.openxmlformats.org/officeDocument/2006/relationships/hyperlink" Target="#'SEARCH'!E30" TargetMode="External" Id="rId318"/><Relationship Type="http://schemas.openxmlformats.org/officeDocument/2006/relationships/hyperlink" Target="#'SEARCH'!E38" TargetMode="External" Id="rId319"/><Relationship Type="http://schemas.openxmlformats.org/officeDocument/2006/relationships/hyperlink" Target="#'SEARCH'!E46" TargetMode="External" Id="rId320"/><Relationship Type="http://schemas.openxmlformats.org/officeDocument/2006/relationships/hyperlink" Target="#'SEARCH'!E54" TargetMode="External" Id="rId321"/><Relationship Type="http://schemas.openxmlformats.org/officeDocument/2006/relationships/hyperlink" Target="#'SUBSTITUTE'!E22" TargetMode="External" Id="rId322"/><Relationship Type="http://schemas.openxmlformats.org/officeDocument/2006/relationships/hyperlink" Target="#'SUBSTITUTE'!E30" TargetMode="External" Id="rId323"/><Relationship Type="http://schemas.openxmlformats.org/officeDocument/2006/relationships/hyperlink" Target="#'SUBSTITUTE'!E38" TargetMode="External" Id="rId324"/><Relationship Type="http://schemas.openxmlformats.org/officeDocument/2006/relationships/hyperlink" Target="#'SUBSTITUTE'!E46" TargetMode="External" Id="rId325"/><Relationship Type="http://schemas.openxmlformats.org/officeDocument/2006/relationships/hyperlink" Target="#'SUBSTITUTE'!E54" TargetMode="External" Id="rId326"/><Relationship Type="http://schemas.openxmlformats.org/officeDocument/2006/relationships/hyperlink" Target="#'REPLACE'!E22" TargetMode="External" Id="rId327"/><Relationship Type="http://schemas.openxmlformats.org/officeDocument/2006/relationships/hyperlink" Target="#'REPLACE'!E30" TargetMode="External" Id="rId328"/><Relationship Type="http://schemas.openxmlformats.org/officeDocument/2006/relationships/hyperlink" Target="#'REPLACE'!E38" TargetMode="External" Id="rId329"/><Relationship Type="http://schemas.openxmlformats.org/officeDocument/2006/relationships/hyperlink" Target="#'REPLACE'!E46" TargetMode="External" Id="rId330"/><Relationship Type="http://schemas.openxmlformats.org/officeDocument/2006/relationships/hyperlink" Target="#'REPLACE'!E54" TargetMode="External" Id="rId331"/><Relationship Type="http://schemas.openxmlformats.org/officeDocument/2006/relationships/hyperlink" Target="#'REPT'!E22" TargetMode="External" Id="rId332"/><Relationship Type="http://schemas.openxmlformats.org/officeDocument/2006/relationships/hyperlink" Target="#'REPT'!E30" TargetMode="External" Id="rId333"/><Relationship Type="http://schemas.openxmlformats.org/officeDocument/2006/relationships/hyperlink" Target="#'REPT'!E38" TargetMode="External" Id="rId334"/><Relationship Type="http://schemas.openxmlformats.org/officeDocument/2006/relationships/hyperlink" Target="#'REPT'!E46" TargetMode="External" Id="rId335"/><Relationship Type="http://schemas.openxmlformats.org/officeDocument/2006/relationships/hyperlink" Target="#'REPT'!E54" TargetMode="External" Id="rId336"/><Relationship Type="http://schemas.openxmlformats.org/officeDocument/2006/relationships/hyperlink" Target="#'VALUE'!E22" TargetMode="External" Id="rId337"/><Relationship Type="http://schemas.openxmlformats.org/officeDocument/2006/relationships/hyperlink" Target="#'VALUE'!E30" TargetMode="External" Id="rId338"/><Relationship Type="http://schemas.openxmlformats.org/officeDocument/2006/relationships/hyperlink" Target="#'VALUE'!E38" TargetMode="External" Id="rId339"/><Relationship Type="http://schemas.openxmlformats.org/officeDocument/2006/relationships/hyperlink" Target="#'VALUE'!E46" TargetMode="External" Id="rId340"/><Relationship Type="http://schemas.openxmlformats.org/officeDocument/2006/relationships/hyperlink" Target="#'VALUE'!E54" TargetMode="External" Id="rId341"/><Relationship Type="http://schemas.openxmlformats.org/officeDocument/2006/relationships/hyperlink" Target="#'TEXT'!E22" TargetMode="External" Id="rId342"/><Relationship Type="http://schemas.openxmlformats.org/officeDocument/2006/relationships/hyperlink" Target="#'TEXT'!E30" TargetMode="External" Id="rId343"/><Relationship Type="http://schemas.openxmlformats.org/officeDocument/2006/relationships/hyperlink" Target="#'TEXT'!E38" TargetMode="External" Id="rId344"/><Relationship Type="http://schemas.openxmlformats.org/officeDocument/2006/relationships/hyperlink" Target="#'TEXT'!E46" TargetMode="External" Id="rId345"/><Relationship Type="http://schemas.openxmlformats.org/officeDocument/2006/relationships/hyperlink" Target="#'TEXT'!E54" TargetMode="External" Id="rId346"/><Relationship Type="http://schemas.openxmlformats.org/officeDocument/2006/relationships/hyperlink" Target="#'DATE'!E22" TargetMode="External" Id="rId347"/><Relationship Type="http://schemas.openxmlformats.org/officeDocument/2006/relationships/hyperlink" Target="#'DATE'!E30" TargetMode="External" Id="rId348"/><Relationship Type="http://schemas.openxmlformats.org/officeDocument/2006/relationships/hyperlink" Target="#'DATE'!E38" TargetMode="External" Id="rId349"/><Relationship Type="http://schemas.openxmlformats.org/officeDocument/2006/relationships/hyperlink" Target="#'DATE'!E46" TargetMode="External" Id="rId350"/><Relationship Type="http://schemas.openxmlformats.org/officeDocument/2006/relationships/hyperlink" Target="#'DATE'!E54" TargetMode="External" Id="rId351"/><Relationship Type="http://schemas.openxmlformats.org/officeDocument/2006/relationships/hyperlink" Target="#'YEAR'!E22" TargetMode="External" Id="rId352"/><Relationship Type="http://schemas.openxmlformats.org/officeDocument/2006/relationships/hyperlink" Target="#'YEAR'!E30" TargetMode="External" Id="rId353"/><Relationship Type="http://schemas.openxmlformats.org/officeDocument/2006/relationships/hyperlink" Target="#'YEAR'!E38" TargetMode="External" Id="rId354"/><Relationship Type="http://schemas.openxmlformats.org/officeDocument/2006/relationships/hyperlink" Target="#'YEAR'!E46" TargetMode="External" Id="rId355"/><Relationship Type="http://schemas.openxmlformats.org/officeDocument/2006/relationships/hyperlink" Target="#'YEAR'!E54" TargetMode="External" Id="rId356"/><Relationship Type="http://schemas.openxmlformats.org/officeDocument/2006/relationships/hyperlink" Target="#'MONTH'!E22" TargetMode="External" Id="rId357"/><Relationship Type="http://schemas.openxmlformats.org/officeDocument/2006/relationships/hyperlink" Target="#'MONTH'!E30" TargetMode="External" Id="rId358"/><Relationship Type="http://schemas.openxmlformats.org/officeDocument/2006/relationships/hyperlink" Target="#'MONTH'!E38" TargetMode="External" Id="rId359"/><Relationship Type="http://schemas.openxmlformats.org/officeDocument/2006/relationships/hyperlink" Target="#'MONTH'!E46" TargetMode="External" Id="rId360"/><Relationship Type="http://schemas.openxmlformats.org/officeDocument/2006/relationships/hyperlink" Target="#'MONTH'!E54" TargetMode="External" Id="rId361"/><Relationship Type="http://schemas.openxmlformats.org/officeDocument/2006/relationships/hyperlink" Target="#'DAY'!E22" TargetMode="External" Id="rId362"/><Relationship Type="http://schemas.openxmlformats.org/officeDocument/2006/relationships/hyperlink" Target="#'DAY'!E30" TargetMode="External" Id="rId363"/><Relationship Type="http://schemas.openxmlformats.org/officeDocument/2006/relationships/hyperlink" Target="#'DAY'!E38" TargetMode="External" Id="rId364"/><Relationship Type="http://schemas.openxmlformats.org/officeDocument/2006/relationships/hyperlink" Target="#'DAY'!E46" TargetMode="External" Id="rId365"/><Relationship Type="http://schemas.openxmlformats.org/officeDocument/2006/relationships/hyperlink" Target="#'DAY'!E54" TargetMode="External" Id="rId366"/><Relationship Type="http://schemas.openxmlformats.org/officeDocument/2006/relationships/hyperlink" Target="#'DAYS'!E22" TargetMode="External" Id="rId367"/><Relationship Type="http://schemas.openxmlformats.org/officeDocument/2006/relationships/hyperlink" Target="#'DAYS'!E30" TargetMode="External" Id="rId368"/><Relationship Type="http://schemas.openxmlformats.org/officeDocument/2006/relationships/hyperlink" Target="#'DAYS'!E38" TargetMode="External" Id="rId369"/><Relationship Type="http://schemas.openxmlformats.org/officeDocument/2006/relationships/hyperlink" Target="#'DAYS'!E46" TargetMode="External" Id="rId370"/><Relationship Type="http://schemas.openxmlformats.org/officeDocument/2006/relationships/hyperlink" Target="#'DAYS'!E54" TargetMode="External" Id="rId371"/><Relationship Type="http://schemas.openxmlformats.org/officeDocument/2006/relationships/hyperlink" Target="#'DATEDIF'!E22" TargetMode="External" Id="rId372"/><Relationship Type="http://schemas.openxmlformats.org/officeDocument/2006/relationships/hyperlink" Target="#'DATEDIF'!E30" TargetMode="External" Id="rId373"/><Relationship Type="http://schemas.openxmlformats.org/officeDocument/2006/relationships/hyperlink" Target="#'DATEDIF'!E38" TargetMode="External" Id="rId374"/><Relationship Type="http://schemas.openxmlformats.org/officeDocument/2006/relationships/hyperlink" Target="#'DATEDIF'!E46" TargetMode="External" Id="rId375"/><Relationship Type="http://schemas.openxmlformats.org/officeDocument/2006/relationships/hyperlink" Target="#'DATEDIF'!E54" TargetMode="External" Id="rId376"/><Relationship Type="http://schemas.openxmlformats.org/officeDocument/2006/relationships/hyperlink" Target="#'EDATE'!E22" TargetMode="External" Id="rId377"/><Relationship Type="http://schemas.openxmlformats.org/officeDocument/2006/relationships/hyperlink" Target="#'EDATE'!E30" TargetMode="External" Id="rId378"/><Relationship Type="http://schemas.openxmlformats.org/officeDocument/2006/relationships/hyperlink" Target="#'EDATE'!E38" TargetMode="External" Id="rId379"/><Relationship Type="http://schemas.openxmlformats.org/officeDocument/2006/relationships/hyperlink" Target="#'EDATE'!E46" TargetMode="External" Id="rId380"/><Relationship Type="http://schemas.openxmlformats.org/officeDocument/2006/relationships/hyperlink" Target="#'EDATE'!E54" TargetMode="External" Id="rId381"/><Relationship Type="http://schemas.openxmlformats.org/officeDocument/2006/relationships/hyperlink" Target="#'EOMONTH'!E22" TargetMode="External" Id="rId382"/><Relationship Type="http://schemas.openxmlformats.org/officeDocument/2006/relationships/hyperlink" Target="#'EOMONTH'!E30" TargetMode="External" Id="rId383"/><Relationship Type="http://schemas.openxmlformats.org/officeDocument/2006/relationships/hyperlink" Target="#'EOMONTH'!E38" TargetMode="External" Id="rId384"/><Relationship Type="http://schemas.openxmlformats.org/officeDocument/2006/relationships/hyperlink" Target="#'EOMONTH'!E46" TargetMode="External" Id="rId385"/><Relationship Type="http://schemas.openxmlformats.org/officeDocument/2006/relationships/hyperlink" Target="#'EOMONTH'!E54" TargetMode="External" Id="rId386"/><Relationship Type="http://schemas.openxmlformats.org/officeDocument/2006/relationships/hyperlink" Target="#'NETWORKDAYS'!E22" TargetMode="External" Id="rId387"/><Relationship Type="http://schemas.openxmlformats.org/officeDocument/2006/relationships/hyperlink" Target="#'NETWORKDAYS'!E30" TargetMode="External" Id="rId388"/><Relationship Type="http://schemas.openxmlformats.org/officeDocument/2006/relationships/hyperlink" Target="#'NETWORKDAYS'!E38" TargetMode="External" Id="rId389"/><Relationship Type="http://schemas.openxmlformats.org/officeDocument/2006/relationships/hyperlink" Target="#'NETWORKDAYS'!E46" TargetMode="External" Id="rId390"/><Relationship Type="http://schemas.openxmlformats.org/officeDocument/2006/relationships/hyperlink" Target="#'NETWORKDAYS'!E54" TargetMode="External" Id="rId391"/><Relationship Type="http://schemas.openxmlformats.org/officeDocument/2006/relationships/hyperlink" Target="#'WORKDAY'!E22" TargetMode="External" Id="rId392"/><Relationship Type="http://schemas.openxmlformats.org/officeDocument/2006/relationships/hyperlink" Target="#'WORKDAY'!E30" TargetMode="External" Id="rId393"/><Relationship Type="http://schemas.openxmlformats.org/officeDocument/2006/relationships/hyperlink" Target="#'WORKDAY'!E38" TargetMode="External" Id="rId394"/><Relationship Type="http://schemas.openxmlformats.org/officeDocument/2006/relationships/hyperlink" Target="#'WORKDAY'!E46" TargetMode="External" Id="rId395"/><Relationship Type="http://schemas.openxmlformats.org/officeDocument/2006/relationships/hyperlink" Target="#'WORKDAY'!E54" TargetMode="External" Id="rId396"/><Relationship Type="http://schemas.openxmlformats.org/officeDocument/2006/relationships/hyperlink" Target="#'WEEKDAY'!E22" TargetMode="External" Id="rId397"/><Relationship Type="http://schemas.openxmlformats.org/officeDocument/2006/relationships/hyperlink" Target="#'WEEKDAY'!E30" TargetMode="External" Id="rId398"/><Relationship Type="http://schemas.openxmlformats.org/officeDocument/2006/relationships/hyperlink" Target="#'WEEKDAY'!E38" TargetMode="External" Id="rId399"/><Relationship Type="http://schemas.openxmlformats.org/officeDocument/2006/relationships/hyperlink" Target="#'WEEKDAY'!E46" TargetMode="External" Id="rId400"/><Relationship Type="http://schemas.openxmlformats.org/officeDocument/2006/relationships/hyperlink" Target="#'WEEKDAY'!E54" TargetMode="External" Id="rId401"/><Relationship Type="http://schemas.openxmlformats.org/officeDocument/2006/relationships/hyperlink" Target="#'WEEKNUM'!E22" TargetMode="External" Id="rId402"/><Relationship Type="http://schemas.openxmlformats.org/officeDocument/2006/relationships/hyperlink" Target="#'WEEKNUM'!E30" TargetMode="External" Id="rId403"/><Relationship Type="http://schemas.openxmlformats.org/officeDocument/2006/relationships/hyperlink" Target="#'WEEKNUM'!E38" TargetMode="External" Id="rId404"/><Relationship Type="http://schemas.openxmlformats.org/officeDocument/2006/relationships/hyperlink" Target="#'WEEKNUM'!E46" TargetMode="External" Id="rId405"/><Relationship Type="http://schemas.openxmlformats.org/officeDocument/2006/relationships/hyperlink" Target="#'WEEKNUM'!E54" TargetMode="External" Id="rId406"/><Relationship Type="http://schemas.openxmlformats.org/officeDocument/2006/relationships/hyperlink" Target="#'HOUR'!E22" TargetMode="External" Id="rId407"/><Relationship Type="http://schemas.openxmlformats.org/officeDocument/2006/relationships/hyperlink" Target="#'HOUR'!E30" TargetMode="External" Id="rId408"/><Relationship Type="http://schemas.openxmlformats.org/officeDocument/2006/relationships/hyperlink" Target="#'HOUR'!E38" TargetMode="External" Id="rId409"/><Relationship Type="http://schemas.openxmlformats.org/officeDocument/2006/relationships/hyperlink" Target="#'HOUR'!E46" TargetMode="External" Id="rId410"/><Relationship Type="http://schemas.openxmlformats.org/officeDocument/2006/relationships/hyperlink" Target="#'HOUR'!E54" TargetMode="External" Id="rId411"/><Relationship Type="http://schemas.openxmlformats.org/officeDocument/2006/relationships/hyperlink" Target="#'MINUTE'!E22" TargetMode="External" Id="rId412"/><Relationship Type="http://schemas.openxmlformats.org/officeDocument/2006/relationships/hyperlink" Target="#'MINUTE'!E30" TargetMode="External" Id="rId413"/><Relationship Type="http://schemas.openxmlformats.org/officeDocument/2006/relationships/hyperlink" Target="#'MINUTE'!E38" TargetMode="External" Id="rId414"/><Relationship Type="http://schemas.openxmlformats.org/officeDocument/2006/relationships/hyperlink" Target="#'MINUTE'!E46" TargetMode="External" Id="rId415"/><Relationship Type="http://schemas.openxmlformats.org/officeDocument/2006/relationships/hyperlink" Target="#'MINUTE'!E54" TargetMode="External" Id="rId416"/><Relationship Type="http://schemas.openxmlformats.org/officeDocument/2006/relationships/hyperlink" Target="#'SECOND'!E22" TargetMode="External" Id="rId417"/><Relationship Type="http://schemas.openxmlformats.org/officeDocument/2006/relationships/hyperlink" Target="#'SECOND'!E30" TargetMode="External" Id="rId418"/><Relationship Type="http://schemas.openxmlformats.org/officeDocument/2006/relationships/hyperlink" Target="#'SECOND'!E38" TargetMode="External" Id="rId419"/><Relationship Type="http://schemas.openxmlformats.org/officeDocument/2006/relationships/hyperlink" Target="#'SECOND'!E46" TargetMode="External" Id="rId420"/><Relationship Type="http://schemas.openxmlformats.org/officeDocument/2006/relationships/hyperlink" Target="#'SECOND'!E54" TargetMode="External" Id="rId421"/><Relationship Type="http://schemas.openxmlformats.org/officeDocument/2006/relationships/hyperlink" Target="#'PMT'!E22" TargetMode="External" Id="rId422"/><Relationship Type="http://schemas.openxmlformats.org/officeDocument/2006/relationships/hyperlink" Target="#'PMT'!E30" TargetMode="External" Id="rId423"/><Relationship Type="http://schemas.openxmlformats.org/officeDocument/2006/relationships/hyperlink" Target="#'PMT'!E38" TargetMode="External" Id="rId424"/><Relationship Type="http://schemas.openxmlformats.org/officeDocument/2006/relationships/hyperlink" Target="#'PMT'!E46" TargetMode="External" Id="rId425"/><Relationship Type="http://schemas.openxmlformats.org/officeDocument/2006/relationships/hyperlink" Target="#'PMT'!E54" TargetMode="External" Id="rId426"/><Relationship Type="http://schemas.openxmlformats.org/officeDocument/2006/relationships/hyperlink" Target="#'IPMT'!E22" TargetMode="External" Id="rId427"/><Relationship Type="http://schemas.openxmlformats.org/officeDocument/2006/relationships/hyperlink" Target="#'IPMT'!E30" TargetMode="External" Id="rId428"/><Relationship Type="http://schemas.openxmlformats.org/officeDocument/2006/relationships/hyperlink" Target="#'IPMT'!E38" TargetMode="External" Id="rId429"/><Relationship Type="http://schemas.openxmlformats.org/officeDocument/2006/relationships/hyperlink" Target="#'IPMT'!E46" TargetMode="External" Id="rId430"/><Relationship Type="http://schemas.openxmlformats.org/officeDocument/2006/relationships/hyperlink" Target="#'IPMT'!E54" TargetMode="External" Id="rId431"/><Relationship Type="http://schemas.openxmlformats.org/officeDocument/2006/relationships/hyperlink" Target="#'PPMT'!E22" TargetMode="External" Id="rId432"/><Relationship Type="http://schemas.openxmlformats.org/officeDocument/2006/relationships/hyperlink" Target="#'PPMT'!E30" TargetMode="External" Id="rId433"/><Relationship Type="http://schemas.openxmlformats.org/officeDocument/2006/relationships/hyperlink" Target="#'PPMT'!E38" TargetMode="External" Id="rId434"/><Relationship Type="http://schemas.openxmlformats.org/officeDocument/2006/relationships/hyperlink" Target="#'PPMT'!E46" TargetMode="External" Id="rId435"/><Relationship Type="http://schemas.openxmlformats.org/officeDocument/2006/relationships/hyperlink" Target="#'PPMT'!E54" TargetMode="External" Id="rId436"/><Relationship Type="http://schemas.openxmlformats.org/officeDocument/2006/relationships/hyperlink" Target="#'FV'!E22" TargetMode="External" Id="rId437"/><Relationship Type="http://schemas.openxmlformats.org/officeDocument/2006/relationships/hyperlink" Target="#'FV'!E30" TargetMode="External" Id="rId438"/><Relationship Type="http://schemas.openxmlformats.org/officeDocument/2006/relationships/hyperlink" Target="#'FV'!E38" TargetMode="External" Id="rId439"/><Relationship Type="http://schemas.openxmlformats.org/officeDocument/2006/relationships/hyperlink" Target="#'FV'!E46" TargetMode="External" Id="rId440"/><Relationship Type="http://schemas.openxmlformats.org/officeDocument/2006/relationships/hyperlink" Target="#'FV'!E54" TargetMode="External" Id="rId441"/><Relationship Type="http://schemas.openxmlformats.org/officeDocument/2006/relationships/hyperlink" Target="#'PV'!E22" TargetMode="External" Id="rId442"/><Relationship Type="http://schemas.openxmlformats.org/officeDocument/2006/relationships/hyperlink" Target="#'PV'!E30" TargetMode="External" Id="rId443"/><Relationship Type="http://schemas.openxmlformats.org/officeDocument/2006/relationships/hyperlink" Target="#'PV'!E38" TargetMode="External" Id="rId444"/><Relationship Type="http://schemas.openxmlformats.org/officeDocument/2006/relationships/hyperlink" Target="#'PV'!E46" TargetMode="External" Id="rId445"/><Relationship Type="http://schemas.openxmlformats.org/officeDocument/2006/relationships/hyperlink" Target="#'PV'!E54" TargetMode="External" Id="rId446"/><Relationship Type="http://schemas.openxmlformats.org/officeDocument/2006/relationships/hyperlink" Target="#'NPV'!E22" TargetMode="External" Id="rId447"/><Relationship Type="http://schemas.openxmlformats.org/officeDocument/2006/relationships/hyperlink" Target="#'NPV'!E30" TargetMode="External" Id="rId448"/><Relationship Type="http://schemas.openxmlformats.org/officeDocument/2006/relationships/hyperlink" Target="#'NPV'!E38" TargetMode="External" Id="rId449"/><Relationship Type="http://schemas.openxmlformats.org/officeDocument/2006/relationships/hyperlink" Target="#'NPV'!E46" TargetMode="External" Id="rId450"/><Relationship Type="http://schemas.openxmlformats.org/officeDocument/2006/relationships/hyperlink" Target="#'NPV'!E54" TargetMode="External" Id="rId451"/><Relationship Type="http://schemas.openxmlformats.org/officeDocument/2006/relationships/hyperlink" Target="#'IRR'!E22" TargetMode="External" Id="rId452"/><Relationship Type="http://schemas.openxmlformats.org/officeDocument/2006/relationships/hyperlink" Target="#'IRR'!E30" TargetMode="External" Id="rId453"/><Relationship Type="http://schemas.openxmlformats.org/officeDocument/2006/relationships/hyperlink" Target="#'IRR'!E38" TargetMode="External" Id="rId454"/><Relationship Type="http://schemas.openxmlformats.org/officeDocument/2006/relationships/hyperlink" Target="#'IRR'!E46" TargetMode="External" Id="rId455"/><Relationship Type="http://schemas.openxmlformats.org/officeDocument/2006/relationships/hyperlink" Target="#'IRR'!E54" TargetMode="External" Id="rId456"/><Relationship Type="http://schemas.openxmlformats.org/officeDocument/2006/relationships/hyperlink" Target="#'SLN'!E22" TargetMode="External" Id="rId457"/><Relationship Type="http://schemas.openxmlformats.org/officeDocument/2006/relationships/hyperlink" Target="#'SLN'!E30" TargetMode="External" Id="rId458"/><Relationship Type="http://schemas.openxmlformats.org/officeDocument/2006/relationships/hyperlink" Target="#'SLN'!E38" TargetMode="External" Id="rId459"/><Relationship Type="http://schemas.openxmlformats.org/officeDocument/2006/relationships/hyperlink" Target="#'SLN'!E46" TargetMode="External" Id="rId460"/><Relationship Type="http://schemas.openxmlformats.org/officeDocument/2006/relationships/hyperlink" Target="#'SLN'!E54" TargetMode="External" Id="rId461"/><Relationship Type="http://schemas.openxmlformats.org/officeDocument/2006/relationships/hyperlink" Target="#'DB'!E22" TargetMode="External" Id="rId462"/><Relationship Type="http://schemas.openxmlformats.org/officeDocument/2006/relationships/hyperlink" Target="#'DB'!E30" TargetMode="External" Id="rId463"/><Relationship Type="http://schemas.openxmlformats.org/officeDocument/2006/relationships/hyperlink" Target="#'DB'!E38" TargetMode="External" Id="rId464"/><Relationship Type="http://schemas.openxmlformats.org/officeDocument/2006/relationships/hyperlink" Target="#'DB'!E46" TargetMode="External" Id="rId465"/><Relationship Type="http://schemas.openxmlformats.org/officeDocument/2006/relationships/hyperlink" Target="#'DB'!E54" TargetMode="External" Id="rId466"/><Relationship Type="http://schemas.openxmlformats.org/officeDocument/2006/relationships/hyperlink" Target="#'SYD'!E22" TargetMode="External" Id="rId467"/><Relationship Type="http://schemas.openxmlformats.org/officeDocument/2006/relationships/hyperlink" Target="#'SYD'!E30" TargetMode="External" Id="rId468"/><Relationship Type="http://schemas.openxmlformats.org/officeDocument/2006/relationships/hyperlink" Target="#'SYD'!E38" TargetMode="External" Id="rId469"/><Relationship Type="http://schemas.openxmlformats.org/officeDocument/2006/relationships/hyperlink" Target="#'SYD'!E46" TargetMode="External" Id="rId470"/><Relationship Type="http://schemas.openxmlformats.org/officeDocument/2006/relationships/hyperlink" Target="#'SYD'!E54" TargetMode="External" Id="rId471"/><Relationship Type="http://schemas.openxmlformats.org/officeDocument/2006/relationships/hyperlink" Target="#'EFFECT'!E22" TargetMode="External" Id="rId472"/><Relationship Type="http://schemas.openxmlformats.org/officeDocument/2006/relationships/hyperlink" Target="#'EFFECT'!E30" TargetMode="External" Id="rId473"/><Relationship Type="http://schemas.openxmlformats.org/officeDocument/2006/relationships/hyperlink" Target="#'EFFECT'!E38" TargetMode="External" Id="rId474"/><Relationship Type="http://schemas.openxmlformats.org/officeDocument/2006/relationships/hyperlink" Target="#'EFFECT'!E46" TargetMode="External" Id="rId475"/><Relationship Type="http://schemas.openxmlformats.org/officeDocument/2006/relationships/hyperlink" Target="#'EFFECT'!E54" TargetMode="External" Id="rId476"/><Relationship Type="http://schemas.openxmlformats.org/officeDocument/2006/relationships/hyperlink" Target="#'ISBLANK'!E22" TargetMode="External" Id="rId477"/><Relationship Type="http://schemas.openxmlformats.org/officeDocument/2006/relationships/hyperlink" Target="#'ISBLANK'!E30" TargetMode="External" Id="rId478"/><Relationship Type="http://schemas.openxmlformats.org/officeDocument/2006/relationships/hyperlink" Target="#'ISBLANK'!E38" TargetMode="External" Id="rId479"/><Relationship Type="http://schemas.openxmlformats.org/officeDocument/2006/relationships/hyperlink" Target="#'ISBLANK'!E46" TargetMode="External" Id="rId480"/><Relationship Type="http://schemas.openxmlformats.org/officeDocument/2006/relationships/hyperlink" Target="#'ISBLANK'!E54" TargetMode="External" Id="rId481"/><Relationship Type="http://schemas.openxmlformats.org/officeDocument/2006/relationships/hyperlink" Target="#'ISNUMBER'!E22" TargetMode="External" Id="rId482"/><Relationship Type="http://schemas.openxmlformats.org/officeDocument/2006/relationships/hyperlink" Target="#'ISNUMBER'!E30" TargetMode="External" Id="rId483"/><Relationship Type="http://schemas.openxmlformats.org/officeDocument/2006/relationships/hyperlink" Target="#'ISNUMBER'!E38" TargetMode="External" Id="rId484"/><Relationship Type="http://schemas.openxmlformats.org/officeDocument/2006/relationships/hyperlink" Target="#'ISNUMBER'!E46" TargetMode="External" Id="rId485"/><Relationship Type="http://schemas.openxmlformats.org/officeDocument/2006/relationships/hyperlink" Target="#'ISNUMBER'!E54" TargetMode="External" Id="rId486"/><Relationship Type="http://schemas.openxmlformats.org/officeDocument/2006/relationships/hyperlink" Target="#'ISTEXT'!E22" TargetMode="External" Id="rId487"/><Relationship Type="http://schemas.openxmlformats.org/officeDocument/2006/relationships/hyperlink" Target="#'ISTEXT'!E30" TargetMode="External" Id="rId488"/><Relationship Type="http://schemas.openxmlformats.org/officeDocument/2006/relationships/hyperlink" Target="#'ISTEXT'!E38" TargetMode="External" Id="rId489"/><Relationship Type="http://schemas.openxmlformats.org/officeDocument/2006/relationships/hyperlink" Target="#'ISTEXT'!E46" TargetMode="External" Id="rId490"/><Relationship Type="http://schemas.openxmlformats.org/officeDocument/2006/relationships/hyperlink" Target="#'ISTEXT'!E54" TargetMode="External" Id="rId491"/><Relationship Type="http://schemas.openxmlformats.org/officeDocument/2006/relationships/hyperlink" Target="#'ISERROR'!E22" TargetMode="External" Id="rId492"/><Relationship Type="http://schemas.openxmlformats.org/officeDocument/2006/relationships/hyperlink" Target="#'ISERROR'!E30" TargetMode="External" Id="rId493"/><Relationship Type="http://schemas.openxmlformats.org/officeDocument/2006/relationships/hyperlink" Target="#'ISERROR'!E38" TargetMode="External" Id="rId494"/><Relationship Type="http://schemas.openxmlformats.org/officeDocument/2006/relationships/hyperlink" Target="#'ISERROR'!E46" TargetMode="External" Id="rId495"/><Relationship Type="http://schemas.openxmlformats.org/officeDocument/2006/relationships/hyperlink" Target="#'ISERROR'!E54" TargetMode="External" Id="rId496"/><Relationship Type="http://schemas.openxmlformats.org/officeDocument/2006/relationships/hyperlink" Target="#'ISNA'!E22" TargetMode="External" Id="rId497"/><Relationship Type="http://schemas.openxmlformats.org/officeDocument/2006/relationships/hyperlink" Target="#'ISNA'!E30" TargetMode="External" Id="rId498"/><Relationship Type="http://schemas.openxmlformats.org/officeDocument/2006/relationships/hyperlink" Target="#'ISNA'!E38" TargetMode="External" Id="rId499"/><Relationship Type="http://schemas.openxmlformats.org/officeDocument/2006/relationships/hyperlink" Target="#'ISNA'!E46" TargetMode="External" Id="rId500"/><Relationship Type="http://schemas.openxmlformats.org/officeDocument/2006/relationships/hyperlink" Target="#'ISNA'!E54" TargetMode="External" Id="rId501"/><Relationship Type="http://schemas.openxmlformats.org/officeDocument/2006/relationships/hyperlink" Target="#'ISEVEN'!E22" TargetMode="External" Id="rId502"/><Relationship Type="http://schemas.openxmlformats.org/officeDocument/2006/relationships/hyperlink" Target="#'ISEVEN'!E30" TargetMode="External" Id="rId503"/><Relationship Type="http://schemas.openxmlformats.org/officeDocument/2006/relationships/hyperlink" Target="#'ISEVEN'!E38" TargetMode="External" Id="rId504"/><Relationship Type="http://schemas.openxmlformats.org/officeDocument/2006/relationships/hyperlink" Target="#'ISEVEN'!E46" TargetMode="External" Id="rId505"/><Relationship Type="http://schemas.openxmlformats.org/officeDocument/2006/relationships/hyperlink" Target="#'ISEVEN'!E54" TargetMode="External" Id="rId506"/><Relationship Type="http://schemas.openxmlformats.org/officeDocument/2006/relationships/hyperlink" Target="#'ISODD'!E22" TargetMode="External" Id="rId507"/><Relationship Type="http://schemas.openxmlformats.org/officeDocument/2006/relationships/hyperlink" Target="#'ISODD'!E30" TargetMode="External" Id="rId508"/><Relationship Type="http://schemas.openxmlformats.org/officeDocument/2006/relationships/hyperlink" Target="#'ISODD'!E38" TargetMode="External" Id="rId509"/><Relationship Type="http://schemas.openxmlformats.org/officeDocument/2006/relationships/hyperlink" Target="#'ISODD'!E46" TargetMode="External" Id="rId510"/><Relationship Type="http://schemas.openxmlformats.org/officeDocument/2006/relationships/hyperlink" Target="#'ISODD'!E54" TargetMode="External" Id="rId511"/><Relationship Type="http://schemas.openxmlformats.org/officeDocument/2006/relationships/hyperlink" Target="#'ISLOGICAL'!E22" TargetMode="External" Id="rId512"/><Relationship Type="http://schemas.openxmlformats.org/officeDocument/2006/relationships/hyperlink" Target="#'ISLOGICAL'!E30" TargetMode="External" Id="rId513"/><Relationship Type="http://schemas.openxmlformats.org/officeDocument/2006/relationships/hyperlink" Target="#'ISLOGICAL'!E38" TargetMode="External" Id="rId514"/><Relationship Type="http://schemas.openxmlformats.org/officeDocument/2006/relationships/hyperlink" Target="#'ISLOGICAL'!E46" TargetMode="External" Id="rId515"/><Relationship Type="http://schemas.openxmlformats.org/officeDocument/2006/relationships/hyperlink" Target="#'ISLOGICAL'!E54" TargetMode="External" Id="rId516"/><Relationship Type="http://schemas.openxmlformats.org/officeDocument/2006/relationships/hyperlink" Target="#'N'!E22" TargetMode="External" Id="rId517"/><Relationship Type="http://schemas.openxmlformats.org/officeDocument/2006/relationships/hyperlink" Target="#'N'!E30" TargetMode="External" Id="rId518"/><Relationship Type="http://schemas.openxmlformats.org/officeDocument/2006/relationships/hyperlink" Target="#'N'!E38" TargetMode="External" Id="rId519"/><Relationship Type="http://schemas.openxmlformats.org/officeDocument/2006/relationships/hyperlink" Target="#'N'!E46" TargetMode="External" Id="rId520"/><Relationship Type="http://schemas.openxmlformats.org/officeDocument/2006/relationships/hyperlink" Target="#'N'!E54" TargetMode="External" Id="rId521"/><Relationship Type="http://schemas.openxmlformats.org/officeDocument/2006/relationships/hyperlink" Target="#'AVEDEV'!E22" TargetMode="External" Id="rId522"/><Relationship Type="http://schemas.openxmlformats.org/officeDocument/2006/relationships/hyperlink" Target="#'AVEDEV'!E30" TargetMode="External" Id="rId523"/><Relationship Type="http://schemas.openxmlformats.org/officeDocument/2006/relationships/hyperlink" Target="#'AVEDEV'!E38" TargetMode="External" Id="rId524"/><Relationship Type="http://schemas.openxmlformats.org/officeDocument/2006/relationships/hyperlink" Target="#'AVEDEV'!E46" TargetMode="External" Id="rId525"/><Relationship Type="http://schemas.openxmlformats.org/officeDocument/2006/relationships/hyperlink" Target="#'AVEDEV'!E54" TargetMode="External" Id="rId526"/><Relationship Type="http://schemas.openxmlformats.org/officeDocument/2006/relationships/hyperlink" Target="#'AVERAGE'!E22" TargetMode="External" Id="rId527"/><Relationship Type="http://schemas.openxmlformats.org/officeDocument/2006/relationships/hyperlink" Target="#'AVERAGE'!E30" TargetMode="External" Id="rId528"/><Relationship Type="http://schemas.openxmlformats.org/officeDocument/2006/relationships/hyperlink" Target="#'AVERAGE'!E38" TargetMode="External" Id="rId529"/><Relationship Type="http://schemas.openxmlformats.org/officeDocument/2006/relationships/hyperlink" Target="#'AVERAGE'!E46" TargetMode="External" Id="rId530"/><Relationship Type="http://schemas.openxmlformats.org/officeDocument/2006/relationships/hyperlink" Target="#'AVERAGE'!E54" TargetMode="External" Id="rId531"/><Relationship Type="http://schemas.openxmlformats.org/officeDocument/2006/relationships/hyperlink" Target="#'AVERAGEA'!E22" TargetMode="External" Id="rId532"/><Relationship Type="http://schemas.openxmlformats.org/officeDocument/2006/relationships/hyperlink" Target="#'AVERAGEA'!E30" TargetMode="External" Id="rId533"/><Relationship Type="http://schemas.openxmlformats.org/officeDocument/2006/relationships/hyperlink" Target="#'AVERAGEA'!E38" TargetMode="External" Id="rId534"/><Relationship Type="http://schemas.openxmlformats.org/officeDocument/2006/relationships/hyperlink" Target="#'AVERAGEA'!E46" TargetMode="External" Id="rId535"/><Relationship Type="http://schemas.openxmlformats.org/officeDocument/2006/relationships/hyperlink" Target="#'AVERAGEA'!E54" TargetMode="External" Id="rId536"/><Relationship Type="http://schemas.openxmlformats.org/officeDocument/2006/relationships/hyperlink" Target="#'AVERAGEIF'!E22" TargetMode="External" Id="rId537"/><Relationship Type="http://schemas.openxmlformats.org/officeDocument/2006/relationships/hyperlink" Target="#'AVERAGEIF'!E30" TargetMode="External" Id="rId538"/><Relationship Type="http://schemas.openxmlformats.org/officeDocument/2006/relationships/hyperlink" Target="#'AVERAGEIF'!E38" TargetMode="External" Id="rId539"/><Relationship Type="http://schemas.openxmlformats.org/officeDocument/2006/relationships/hyperlink" Target="#'AVERAGEIF'!E46" TargetMode="External" Id="rId540"/><Relationship Type="http://schemas.openxmlformats.org/officeDocument/2006/relationships/hyperlink" Target="#'AVERAGEIF'!E54" TargetMode="External" Id="rId541"/><Relationship Type="http://schemas.openxmlformats.org/officeDocument/2006/relationships/hyperlink" Target="#'AVERAGEIFS'!E22" TargetMode="External" Id="rId542"/><Relationship Type="http://schemas.openxmlformats.org/officeDocument/2006/relationships/hyperlink" Target="#'AVERAGEIFS'!E30" TargetMode="External" Id="rId543"/><Relationship Type="http://schemas.openxmlformats.org/officeDocument/2006/relationships/hyperlink" Target="#'AVERAGEIFS'!E38" TargetMode="External" Id="rId544"/><Relationship Type="http://schemas.openxmlformats.org/officeDocument/2006/relationships/hyperlink" Target="#'AVERAGEIFS'!E46" TargetMode="External" Id="rId545"/><Relationship Type="http://schemas.openxmlformats.org/officeDocument/2006/relationships/hyperlink" Target="#'AVERAGEIFS'!E54" TargetMode="External" Id="rId546"/><Relationship Type="http://schemas.openxmlformats.org/officeDocument/2006/relationships/hyperlink" Target="#'BETA.DIST'!E22" TargetMode="External" Id="rId547"/><Relationship Type="http://schemas.openxmlformats.org/officeDocument/2006/relationships/hyperlink" Target="#'BETA.DIST'!E30" TargetMode="External" Id="rId548"/><Relationship Type="http://schemas.openxmlformats.org/officeDocument/2006/relationships/hyperlink" Target="#'BETA.DIST'!E38" TargetMode="External" Id="rId549"/><Relationship Type="http://schemas.openxmlformats.org/officeDocument/2006/relationships/hyperlink" Target="#'BETA.DIST'!E46" TargetMode="External" Id="rId550"/><Relationship Type="http://schemas.openxmlformats.org/officeDocument/2006/relationships/hyperlink" Target="#'BETA.DIST'!E54" TargetMode="External" Id="rId551"/><Relationship Type="http://schemas.openxmlformats.org/officeDocument/2006/relationships/hyperlink" Target="#'BETA.INV'!E22" TargetMode="External" Id="rId552"/><Relationship Type="http://schemas.openxmlformats.org/officeDocument/2006/relationships/hyperlink" Target="#'BETA.INV'!E30" TargetMode="External" Id="rId553"/><Relationship Type="http://schemas.openxmlformats.org/officeDocument/2006/relationships/hyperlink" Target="#'BETA.INV'!E38" TargetMode="External" Id="rId554"/><Relationship Type="http://schemas.openxmlformats.org/officeDocument/2006/relationships/hyperlink" Target="#'BETA.INV'!E46" TargetMode="External" Id="rId555"/><Relationship Type="http://schemas.openxmlformats.org/officeDocument/2006/relationships/hyperlink" Target="#'BETA.INV'!E54" TargetMode="External" Id="rId556"/><Relationship Type="http://schemas.openxmlformats.org/officeDocument/2006/relationships/hyperlink" Target="#'BINOM.DIST'!E22" TargetMode="External" Id="rId557"/><Relationship Type="http://schemas.openxmlformats.org/officeDocument/2006/relationships/hyperlink" Target="#'BINOM.DIST'!E30" TargetMode="External" Id="rId558"/><Relationship Type="http://schemas.openxmlformats.org/officeDocument/2006/relationships/hyperlink" Target="#'BINOM.DIST'!E38" TargetMode="External" Id="rId559"/><Relationship Type="http://schemas.openxmlformats.org/officeDocument/2006/relationships/hyperlink" Target="#'BINOM.DIST'!E46" TargetMode="External" Id="rId560"/><Relationship Type="http://schemas.openxmlformats.org/officeDocument/2006/relationships/hyperlink" Target="#'BINOM.DIST'!E54" TargetMode="External" Id="rId561"/><Relationship Type="http://schemas.openxmlformats.org/officeDocument/2006/relationships/hyperlink" Target="#'BINOM.INV'!E22" TargetMode="External" Id="rId562"/><Relationship Type="http://schemas.openxmlformats.org/officeDocument/2006/relationships/hyperlink" Target="#'BINOM.INV'!E30" TargetMode="External" Id="rId563"/><Relationship Type="http://schemas.openxmlformats.org/officeDocument/2006/relationships/hyperlink" Target="#'BINOM.INV'!E38" TargetMode="External" Id="rId564"/><Relationship Type="http://schemas.openxmlformats.org/officeDocument/2006/relationships/hyperlink" Target="#'BINOM.INV'!E46" TargetMode="External" Id="rId565"/><Relationship Type="http://schemas.openxmlformats.org/officeDocument/2006/relationships/hyperlink" Target="#'BINOM.INV'!E54" TargetMode="External" Id="rId566"/><Relationship Type="http://schemas.openxmlformats.org/officeDocument/2006/relationships/hyperlink" Target="#'CHISQ.DIST'!E22" TargetMode="External" Id="rId567"/><Relationship Type="http://schemas.openxmlformats.org/officeDocument/2006/relationships/hyperlink" Target="#'CHISQ.DIST'!E30" TargetMode="External" Id="rId568"/><Relationship Type="http://schemas.openxmlformats.org/officeDocument/2006/relationships/hyperlink" Target="#'CHISQ.DIST'!E38" TargetMode="External" Id="rId569"/><Relationship Type="http://schemas.openxmlformats.org/officeDocument/2006/relationships/hyperlink" Target="#'CHISQ.DIST'!E46" TargetMode="External" Id="rId570"/><Relationship Type="http://schemas.openxmlformats.org/officeDocument/2006/relationships/hyperlink" Target="#'CHISQ.DIST'!E54" TargetMode="External" Id="rId571"/><Relationship Type="http://schemas.openxmlformats.org/officeDocument/2006/relationships/hyperlink" Target="#'CHISQ.DIST.RT'!E22" TargetMode="External" Id="rId572"/><Relationship Type="http://schemas.openxmlformats.org/officeDocument/2006/relationships/hyperlink" Target="#'CHISQ.DIST.RT'!E30" TargetMode="External" Id="rId573"/><Relationship Type="http://schemas.openxmlformats.org/officeDocument/2006/relationships/hyperlink" Target="#'CHISQ.DIST.RT'!E38" TargetMode="External" Id="rId574"/><Relationship Type="http://schemas.openxmlformats.org/officeDocument/2006/relationships/hyperlink" Target="#'CHISQ.DIST.RT'!E46" TargetMode="External" Id="rId575"/><Relationship Type="http://schemas.openxmlformats.org/officeDocument/2006/relationships/hyperlink" Target="#'CHISQ.DIST.RT'!E54" TargetMode="External" Id="rId576"/><Relationship Type="http://schemas.openxmlformats.org/officeDocument/2006/relationships/hyperlink" Target="#'CHISQ.INV'!E22" TargetMode="External" Id="rId577"/><Relationship Type="http://schemas.openxmlformats.org/officeDocument/2006/relationships/hyperlink" Target="#'CHISQ.INV'!E30" TargetMode="External" Id="rId578"/><Relationship Type="http://schemas.openxmlformats.org/officeDocument/2006/relationships/hyperlink" Target="#'CHISQ.INV'!E38" TargetMode="External" Id="rId579"/><Relationship Type="http://schemas.openxmlformats.org/officeDocument/2006/relationships/hyperlink" Target="#'CHISQ.INV'!E46" TargetMode="External" Id="rId580"/><Relationship Type="http://schemas.openxmlformats.org/officeDocument/2006/relationships/hyperlink" Target="#'CHISQ.INV'!E54" TargetMode="External" Id="rId581"/><Relationship Type="http://schemas.openxmlformats.org/officeDocument/2006/relationships/hyperlink" Target="#'CHISQ.RT.INV'!E22" TargetMode="External" Id="rId582"/><Relationship Type="http://schemas.openxmlformats.org/officeDocument/2006/relationships/hyperlink" Target="#'CHISQ.RT.INV'!E30" TargetMode="External" Id="rId583"/><Relationship Type="http://schemas.openxmlformats.org/officeDocument/2006/relationships/hyperlink" Target="#'CHISQ.RT.INV'!E38" TargetMode="External" Id="rId584"/><Relationship Type="http://schemas.openxmlformats.org/officeDocument/2006/relationships/hyperlink" Target="#'CHISQ.RT.INV'!E46" TargetMode="External" Id="rId585"/><Relationship Type="http://schemas.openxmlformats.org/officeDocument/2006/relationships/hyperlink" Target="#'CHISQ.RT.INV'!E54" TargetMode="External" Id="rId586"/><Relationship Type="http://schemas.openxmlformats.org/officeDocument/2006/relationships/hyperlink" Target="#'CHITEST'!E22" TargetMode="External" Id="rId587"/><Relationship Type="http://schemas.openxmlformats.org/officeDocument/2006/relationships/hyperlink" Target="#'CHITEST'!E30" TargetMode="External" Id="rId588"/><Relationship Type="http://schemas.openxmlformats.org/officeDocument/2006/relationships/hyperlink" Target="#'CHITEST'!E38" TargetMode="External" Id="rId589"/><Relationship Type="http://schemas.openxmlformats.org/officeDocument/2006/relationships/hyperlink" Target="#'CHITEST'!E46" TargetMode="External" Id="rId590"/><Relationship Type="http://schemas.openxmlformats.org/officeDocument/2006/relationships/hyperlink" Target="#'CHITEST'!E54" TargetMode="External" Id="rId591"/><Relationship Type="http://schemas.openxmlformats.org/officeDocument/2006/relationships/hyperlink" Target="#'CONFIDENCE.NORM'!E22" TargetMode="External" Id="rId592"/><Relationship Type="http://schemas.openxmlformats.org/officeDocument/2006/relationships/hyperlink" Target="#'CONFIDENCE.NORM'!E30" TargetMode="External" Id="rId593"/><Relationship Type="http://schemas.openxmlformats.org/officeDocument/2006/relationships/hyperlink" Target="#'CONFIDENCE.NORM'!E38" TargetMode="External" Id="rId594"/><Relationship Type="http://schemas.openxmlformats.org/officeDocument/2006/relationships/hyperlink" Target="#'CONFIDENCE.NORM'!E46" TargetMode="External" Id="rId595"/><Relationship Type="http://schemas.openxmlformats.org/officeDocument/2006/relationships/hyperlink" Target="#'CONFIDENCE.NORM'!E54" TargetMode="External" Id="rId596"/><Relationship Type="http://schemas.openxmlformats.org/officeDocument/2006/relationships/hyperlink" Target="#'CONFIDENCE.T'!E22" TargetMode="External" Id="rId597"/><Relationship Type="http://schemas.openxmlformats.org/officeDocument/2006/relationships/hyperlink" Target="#'CONFIDENCE.T'!E30" TargetMode="External" Id="rId598"/><Relationship Type="http://schemas.openxmlformats.org/officeDocument/2006/relationships/hyperlink" Target="#'CONFIDENCE.T'!E38" TargetMode="External" Id="rId599"/><Relationship Type="http://schemas.openxmlformats.org/officeDocument/2006/relationships/hyperlink" Target="#'CONFIDENCE.T'!E46" TargetMode="External" Id="rId600"/><Relationship Type="http://schemas.openxmlformats.org/officeDocument/2006/relationships/hyperlink" Target="#'CONFIDENCE.T'!E54" TargetMode="External" Id="rId601"/><Relationship Type="http://schemas.openxmlformats.org/officeDocument/2006/relationships/hyperlink" Target="#'CORREL'!E22" TargetMode="External" Id="rId602"/><Relationship Type="http://schemas.openxmlformats.org/officeDocument/2006/relationships/hyperlink" Target="#'CORREL'!E30" TargetMode="External" Id="rId603"/><Relationship Type="http://schemas.openxmlformats.org/officeDocument/2006/relationships/hyperlink" Target="#'CORREL'!E38" TargetMode="External" Id="rId604"/><Relationship Type="http://schemas.openxmlformats.org/officeDocument/2006/relationships/hyperlink" Target="#'CORREL'!E46" TargetMode="External" Id="rId605"/><Relationship Type="http://schemas.openxmlformats.org/officeDocument/2006/relationships/hyperlink" Target="#'CORREL'!E54" TargetMode="External" Id="rId606"/><Relationship Type="http://schemas.openxmlformats.org/officeDocument/2006/relationships/hyperlink" Target="#'COUNT'!E22" TargetMode="External" Id="rId607"/><Relationship Type="http://schemas.openxmlformats.org/officeDocument/2006/relationships/hyperlink" Target="#'COUNT'!E30" TargetMode="External" Id="rId608"/><Relationship Type="http://schemas.openxmlformats.org/officeDocument/2006/relationships/hyperlink" Target="#'COUNT'!E38" TargetMode="External" Id="rId609"/><Relationship Type="http://schemas.openxmlformats.org/officeDocument/2006/relationships/hyperlink" Target="#'COUNT'!E46" TargetMode="External" Id="rId610"/><Relationship Type="http://schemas.openxmlformats.org/officeDocument/2006/relationships/hyperlink" Target="#'COUNT'!E54" TargetMode="External" Id="rId611"/><Relationship Type="http://schemas.openxmlformats.org/officeDocument/2006/relationships/hyperlink" Target="#'COUNTA'!E22" TargetMode="External" Id="rId612"/><Relationship Type="http://schemas.openxmlformats.org/officeDocument/2006/relationships/hyperlink" Target="#'COUNTA'!E30" TargetMode="External" Id="rId613"/><Relationship Type="http://schemas.openxmlformats.org/officeDocument/2006/relationships/hyperlink" Target="#'COUNTA'!E38" TargetMode="External" Id="rId614"/><Relationship Type="http://schemas.openxmlformats.org/officeDocument/2006/relationships/hyperlink" Target="#'COUNTA'!E46" TargetMode="External" Id="rId615"/><Relationship Type="http://schemas.openxmlformats.org/officeDocument/2006/relationships/hyperlink" Target="#'COUNTA'!E54" TargetMode="External" Id="rId616"/><Relationship Type="http://schemas.openxmlformats.org/officeDocument/2006/relationships/hyperlink" Target="#'COUNTBLANK'!E22" TargetMode="External" Id="rId617"/><Relationship Type="http://schemas.openxmlformats.org/officeDocument/2006/relationships/hyperlink" Target="#'COUNTBLANK'!E30" TargetMode="External" Id="rId618"/><Relationship Type="http://schemas.openxmlformats.org/officeDocument/2006/relationships/hyperlink" Target="#'COUNTBLANK'!E38" TargetMode="External" Id="rId619"/><Relationship Type="http://schemas.openxmlformats.org/officeDocument/2006/relationships/hyperlink" Target="#'COUNTBLANK'!E46" TargetMode="External" Id="rId620"/><Relationship Type="http://schemas.openxmlformats.org/officeDocument/2006/relationships/hyperlink" Target="#'COUNTBLANK'!E54" TargetMode="External" Id="rId621"/><Relationship Type="http://schemas.openxmlformats.org/officeDocument/2006/relationships/hyperlink" Target="#'COUNTIF'!E22" TargetMode="External" Id="rId622"/><Relationship Type="http://schemas.openxmlformats.org/officeDocument/2006/relationships/hyperlink" Target="#'COUNTIF'!E30" TargetMode="External" Id="rId623"/><Relationship Type="http://schemas.openxmlformats.org/officeDocument/2006/relationships/hyperlink" Target="#'COUNTIF'!E38" TargetMode="External" Id="rId624"/><Relationship Type="http://schemas.openxmlformats.org/officeDocument/2006/relationships/hyperlink" Target="#'COUNTIF'!E46" TargetMode="External" Id="rId625"/><Relationship Type="http://schemas.openxmlformats.org/officeDocument/2006/relationships/hyperlink" Target="#'COUNTIF'!E54" TargetMode="External" Id="rId626"/><Relationship Type="http://schemas.openxmlformats.org/officeDocument/2006/relationships/hyperlink" Target="#'COUNTIFS'!E22" TargetMode="External" Id="rId627"/><Relationship Type="http://schemas.openxmlformats.org/officeDocument/2006/relationships/hyperlink" Target="#'COUNTIFS'!E30" TargetMode="External" Id="rId628"/><Relationship Type="http://schemas.openxmlformats.org/officeDocument/2006/relationships/hyperlink" Target="#'COUNTIFS'!E38" TargetMode="External" Id="rId629"/><Relationship Type="http://schemas.openxmlformats.org/officeDocument/2006/relationships/hyperlink" Target="#'COUNTIFS'!E46" TargetMode="External" Id="rId630"/><Relationship Type="http://schemas.openxmlformats.org/officeDocument/2006/relationships/hyperlink" Target="#'COUNTIFS'!E54" TargetMode="External" Id="rId631"/><Relationship Type="http://schemas.openxmlformats.org/officeDocument/2006/relationships/hyperlink" Target="#'COVARIANCE.P'!E22" TargetMode="External" Id="rId632"/><Relationship Type="http://schemas.openxmlformats.org/officeDocument/2006/relationships/hyperlink" Target="#'COVARIANCE.P'!E30" TargetMode="External" Id="rId633"/><Relationship Type="http://schemas.openxmlformats.org/officeDocument/2006/relationships/hyperlink" Target="#'COVARIANCE.P'!E38" TargetMode="External" Id="rId634"/><Relationship Type="http://schemas.openxmlformats.org/officeDocument/2006/relationships/hyperlink" Target="#'COVARIANCE.P'!E46" TargetMode="External" Id="rId635"/><Relationship Type="http://schemas.openxmlformats.org/officeDocument/2006/relationships/hyperlink" Target="#'COVARIANCE.P'!E54" TargetMode="External" Id="rId636"/><Relationship Type="http://schemas.openxmlformats.org/officeDocument/2006/relationships/hyperlink" Target="#'COVARIANCE.T'!E22" TargetMode="External" Id="rId637"/><Relationship Type="http://schemas.openxmlformats.org/officeDocument/2006/relationships/hyperlink" Target="#'COVARIANCE.T'!E30" TargetMode="External" Id="rId638"/><Relationship Type="http://schemas.openxmlformats.org/officeDocument/2006/relationships/hyperlink" Target="#'COVARIANCE.T'!E38" TargetMode="External" Id="rId639"/><Relationship Type="http://schemas.openxmlformats.org/officeDocument/2006/relationships/hyperlink" Target="#'COVARIANCE.T'!E46" TargetMode="External" Id="rId640"/><Relationship Type="http://schemas.openxmlformats.org/officeDocument/2006/relationships/hyperlink" Target="#'COVARIANCE.T'!E54" TargetMode="External" Id="rId641"/><Relationship Type="http://schemas.openxmlformats.org/officeDocument/2006/relationships/hyperlink" Target="#'CRITBINOM'!E22" TargetMode="External" Id="rId642"/><Relationship Type="http://schemas.openxmlformats.org/officeDocument/2006/relationships/hyperlink" Target="#'CRITBINOM'!E30" TargetMode="External" Id="rId643"/><Relationship Type="http://schemas.openxmlformats.org/officeDocument/2006/relationships/hyperlink" Target="#'CRITBINOM'!E38" TargetMode="External" Id="rId644"/><Relationship Type="http://schemas.openxmlformats.org/officeDocument/2006/relationships/hyperlink" Target="#'CRITBINOM'!E46" TargetMode="External" Id="rId645"/><Relationship Type="http://schemas.openxmlformats.org/officeDocument/2006/relationships/hyperlink" Target="#'CRITBINOM'!E54" TargetMode="External" Id="rId646"/><Relationship Type="http://schemas.openxmlformats.org/officeDocument/2006/relationships/hyperlink" Target="#'DEVSQ'!E22" TargetMode="External" Id="rId647"/><Relationship Type="http://schemas.openxmlformats.org/officeDocument/2006/relationships/hyperlink" Target="#'DEVSQ'!E30" TargetMode="External" Id="rId648"/><Relationship Type="http://schemas.openxmlformats.org/officeDocument/2006/relationships/hyperlink" Target="#'DEVSQ'!E38" TargetMode="External" Id="rId649"/><Relationship Type="http://schemas.openxmlformats.org/officeDocument/2006/relationships/hyperlink" Target="#'DEVSQ'!E46" TargetMode="External" Id="rId650"/><Relationship Type="http://schemas.openxmlformats.org/officeDocument/2006/relationships/hyperlink" Target="#'DEVSQ'!E54" TargetMode="External" Id="rId651"/><Relationship Type="http://schemas.openxmlformats.org/officeDocument/2006/relationships/hyperlink" Target="#'EXPON.DIST'!E22" TargetMode="External" Id="rId652"/><Relationship Type="http://schemas.openxmlformats.org/officeDocument/2006/relationships/hyperlink" Target="#'EXPON.DIST'!E30" TargetMode="External" Id="rId653"/><Relationship Type="http://schemas.openxmlformats.org/officeDocument/2006/relationships/hyperlink" Target="#'EXPON.DIST'!E38" TargetMode="External" Id="rId654"/><Relationship Type="http://schemas.openxmlformats.org/officeDocument/2006/relationships/hyperlink" Target="#'EXPON.DIST'!E46" TargetMode="External" Id="rId655"/><Relationship Type="http://schemas.openxmlformats.org/officeDocument/2006/relationships/hyperlink" Target="#'EXPON.DIST'!E54" TargetMode="External" Id="rId656"/><Relationship Type="http://schemas.openxmlformats.org/officeDocument/2006/relationships/hyperlink" Target="#'F.DIST'!E22" TargetMode="External" Id="rId657"/><Relationship Type="http://schemas.openxmlformats.org/officeDocument/2006/relationships/hyperlink" Target="#'F.DIST'!E30" TargetMode="External" Id="rId658"/><Relationship Type="http://schemas.openxmlformats.org/officeDocument/2006/relationships/hyperlink" Target="#'F.DIST'!E38" TargetMode="External" Id="rId659"/><Relationship Type="http://schemas.openxmlformats.org/officeDocument/2006/relationships/hyperlink" Target="#'F.DIST'!E46" TargetMode="External" Id="rId660"/><Relationship Type="http://schemas.openxmlformats.org/officeDocument/2006/relationships/hyperlink" Target="#'F.DIST'!E54" TargetMode="External" Id="rId661"/><Relationship Type="http://schemas.openxmlformats.org/officeDocument/2006/relationships/hyperlink" Target="#'F.DIST.RT'!E22" TargetMode="External" Id="rId662"/><Relationship Type="http://schemas.openxmlformats.org/officeDocument/2006/relationships/hyperlink" Target="#'F.DIST.RT'!E30" TargetMode="External" Id="rId663"/><Relationship Type="http://schemas.openxmlformats.org/officeDocument/2006/relationships/hyperlink" Target="#'F.DIST.RT'!E38" TargetMode="External" Id="rId664"/><Relationship Type="http://schemas.openxmlformats.org/officeDocument/2006/relationships/hyperlink" Target="#'F.DIST.RT'!E46" TargetMode="External" Id="rId665"/><Relationship Type="http://schemas.openxmlformats.org/officeDocument/2006/relationships/hyperlink" Target="#'F.DIST.RT'!E54" TargetMode="External" Id="rId666"/><Relationship Type="http://schemas.openxmlformats.org/officeDocument/2006/relationships/hyperlink" Target="#'F.INV'!E22" TargetMode="External" Id="rId667"/><Relationship Type="http://schemas.openxmlformats.org/officeDocument/2006/relationships/hyperlink" Target="#'F.INV'!E30" TargetMode="External" Id="rId668"/><Relationship Type="http://schemas.openxmlformats.org/officeDocument/2006/relationships/hyperlink" Target="#'F.INV'!E38" TargetMode="External" Id="rId669"/><Relationship Type="http://schemas.openxmlformats.org/officeDocument/2006/relationships/hyperlink" Target="#'F.INV'!E46" TargetMode="External" Id="rId670"/><Relationship Type="http://schemas.openxmlformats.org/officeDocument/2006/relationships/hyperlink" Target="#'F.INV'!E54" TargetMode="External" Id="rId671"/><Relationship Type="http://schemas.openxmlformats.org/officeDocument/2006/relationships/hyperlink" Target="#'F.INV.RT'!E22" TargetMode="External" Id="rId672"/><Relationship Type="http://schemas.openxmlformats.org/officeDocument/2006/relationships/hyperlink" Target="#'F.INV.RT'!E30" TargetMode="External" Id="rId673"/><Relationship Type="http://schemas.openxmlformats.org/officeDocument/2006/relationships/hyperlink" Target="#'F.INV.RT'!E38" TargetMode="External" Id="rId674"/><Relationship Type="http://schemas.openxmlformats.org/officeDocument/2006/relationships/hyperlink" Target="#'F.INV.RT'!E46" TargetMode="External" Id="rId675"/><Relationship Type="http://schemas.openxmlformats.org/officeDocument/2006/relationships/hyperlink" Target="#'F.INV.RT'!E54" TargetMode="External" Id="rId676"/><Relationship Type="http://schemas.openxmlformats.org/officeDocument/2006/relationships/hyperlink" Target="#'FTEST'!E22" TargetMode="External" Id="rId677"/><Relationship Type="http://schemas.openxmlformats.org/officeDocument/2006/relationships/hyperlink" Target="#'FTEST'!E30" TargetMode="External" Id="rId678"/><Relationship Type="http://schemas.openxmlformats.org/officeDocument/2006/relationships/hyperlink" Target="#'FTEST'!E38" TargetMode="External" Id="rId679"/><Relationship Type="http://schemas.openxmlformats.org/officeDocument/2006/relationships/hyperlink" Target="#'FTEST'!E46" TargetMode="External" Id="rId680"/><Relationship Type="http://schemas.openxmlformats.org/officeDocument/2006/relationships/hyperlink" Target="#'FTEST'!E54" TargetMode="External" Id="rId681"/><Relationship Type="http://schemas.openxmlformats.org/officeDocument/2006/relationships/hyperlink" Target="#'FISHER'!E22" TargetMode="External" Id="rId682"/><Relationship Type="http://schemas.openxmlformats.org/officeDocument/2006/relationships/hyperlink" Target="#'FISHER'!E30" TargetMode="External" Id="rId683"/><Relationship Type="http://schemas.openxmlformats.org/officeDocument/2006/relationships/hyperlink" Target="#'FISHER'!E38" TargetMode="External" Id="rId684"/><Relationship Type="http://schemas.openxmlformats.org/officeDocument/2006/relationships/hyperlink" Target="#'FISHER'!E46" TargetMode="External" Id="rId685"/><Relationship Type="http://schemas.openxmlformats.org/officeDocument/2006/relationships/hyperlink" Target="#'FISHER'!E54" TargetMode="External" Id="rId686"/><Relationship Type="http://schemas.openxmlformats.org/officeDocument/2006/relationships/hyperlink" Target="#'FISHER.INV'!E22" TargetMode="External" Id="rId687"/><Relationship Type="http://schemas.openxmlformats.org/officeDocument/2006/relationships/hyperlink" Target="#'FISHER.INV'!E30" TargetMode="External" Id="rId688"/><Relationship Type="http://schemas.openxmlformats.org/officeDocument/2006/relationships/hyperlink" Target="#'FISHER.INV'!E38" TargetMode="External" Id="rId689"/><Relationship Type="http://schemas.openxmlformats.org/officeDocument/2006/relationships/hyperlink" Target="#'FISHER.INV'!E46" TargetMode="External" Id="rId690"/><Relationship Type="http://schemas.openxmlformats.org/officeDocument/2006/relationships/hyperlink" Target="#'FISHER.INV'!E54" TargetMode="External" Id="rId691"/><Relationship Type="http://schemas.openxmlformats.org/officeDocument/2006/relationships/hyperlink" Target="#'FORECAST'!E22" TargetMode="External" Id="rId692"/><Relationship Type="http://schemas.openxmlformats.org/officeDocument/2006/relationships/hyperlink" Target="#'FORECAST'!E30" TargetMode="External" Id="rId693"/><Relationship Type="http://schemas.openxmlformats.org/officeDocument/2006/relationships/hyperlink" Target="#'FORECAST'!E38" TargetMode="External" Id="rId694"/><Relationship Type="http://schemas.openxmlformats.org/officeDocument/2006/relationships/hyperlink" Target="#'FORECAST'!E46" TargetMode="External" Id="rId695"/><Relationship Type="http://schemas.openxmlformats.org/officeDocument/2006/relationships/hyperlink" Target="#'FORECAST'!E54" TargetMode="External" Id="rId696"/><Relationship Type="http://schemas.openxmlformats.org/officeDocument/2006/relationships/hyperlink" Target="#'FREQUENCY'!E22" TargetMode="External" Id="rId697"/><Relationship Type="http://schemas.openxmlformats.org/officeDocument/2006/relationships/hyperlink" Target="#'FREQUENCY'!E30" TargetMode="External" Id="rId698"/><Relationship Type="http://schemas.openxmlformats.org/officeDocument/2006/relationships/hyperlink" Target="#'FREQUENCY'!E38" TargetMode="External" Id="rId699"/><Relationship Type="http://schemas.openxmlformats.org/officeDocument/2006/relationships/hyperlink" Target="#'FREQUENCY'!E46" TargetMode="External" Id="rId700"/><Relationship Type="http://schemas.openxmlformats.org/officeDocument/2006/relationships/hyperlink" Target="#'FREQUENCY'!E54" TargetMode="External" Id="rId701"/><Relationship Type="http://schemas.openxmlformats.org/officeDocument/2006/relationships/hyperlink" Target="#'GAMMADIST'!E22" TargetMode="External" Id="rId702"/><Relationship Type="http://schemas.openxmlformats.org/officeDocument/2006/relationships/hyperlink" Target="#'GAMMADIST'!E30" TargetMode="External" Id="rId703"/><Relationship Type="http://schemas.openxmlformats.org/officeDocument/2006/relationships/hyperlink" Target="#'GAMMADIST'!E38" TargetMode="External" Id="rId704"/><Relationship Type="http://schemas.openxmlformats.org/officeDocument/2006/relationships/hyperlink" Target="#'GAMMADIST'!E46" TargetMode="External" Id="rId705"/><Relationship Type="http://schemas.openxmlformats.org/officeDocument/2006/relationships/hyperlink" Target="#'GAMMADIST'!E54" TargetMode="External" Id="rId706"/><Relationship Type="http://schemas.openxmlformats.org/officeDocument/2006/relationships/hyperlink" Target="#'GAMMAINV'!E22" TargetMode="External" Id="rId707"/><Relationship Type="http://schemas.openxmlformats.org/officeDocument/2006/relationships/hyperlink" Target="#'GAMMAINV'!E30" TargetMode="External" Id="rId708"/><Relationship Type="http://schemas.openxmlformats.org/officeDocument/2006/relationships/hyperlink" Target="#'GAMMAINV'!E38" TargetMode="External" Id="rId709"/><Relationship Type="http://schemas.openxmlformats.org/officeDocument/2006/relationships/hyperlink" Target="#'GAMMAINV'!E46" TargetMode="External" Id="rId710"/><Relationship Type="http://schemas.openxmlformats.org/officeDocument/2006/relationships/hyperlink" Target="#'GAMMAINV'!E54" TargetMode="External" Id="rId711"/><Relationship Type="http://schemas.openxmlformats.org/officeDocument/2006/relationships/hyperlink" Target="#'GAMMALN'!E22" TargetMode="External" Id="rId712"/><Relationship Type="http://schemas.openxmlformats.org/officeDocument/2006/relationships/hyperlink" Target="#'GAMMALN'!E30" TargetMode="External" Id="rId713"/><Relationship Type="http://schemas.openxmlformats.org/officeDocument/2006/relationships/hyperlink" Target="#'GAMMALN'!E38" TargetMode="External" Id="rId714"/><Relationship Type="http://schemas.openxmlformats.org/officeDocument/2006/relationships/hyperlink" Target="#'GAMMALN'!E46" TargetMode="External" Id="rId715"/><Relationship Type="http://schemas.openxmlformats.org/officeDocument/2006/relationships/hyperlink" Target="#'GAMMALN'!E54" TargetMode="External" Id="rId716"/><Relationship Type="http://schemas.openxmlformats.org/officeDocument/2006/relationships/hyperlink" Target="#'GEOMEAN'!E22" TargetMode="External" Id="rId717"/><Relationship Type="http://schemas.openxmlformats.org/officeDocument/2006/relationships/hyperlink" Target="#'GEOMEAN'!E30" TargetMode="External" Id="rId718"/><Relationship Type="http://schemas.openxmlformats.org/officeDocument/2006/relationships/hyperlink" Target="#'GEOMEAN'!E38" TargetMode="External" Id="rId719"/><Relationship Type="http://schemas.openxmlformats.org/officeDocument/2006/relationships/hyperlink" Target="#'GEOMEAN'!E46" TargetMode="External" Id="rId720"/><Relationship Type="http://schemas.openxmlformats.org/officeDocument/2006/relationships/hyperlink" Target="#'GEOMEAN'!E54" TargetMode="External" Id="rId721"/><Relationship Type="http://schemas.openxmlformats.org/officeDocument/2006/relationships/hyperlink" Target="#'GROWTH'!E22" TargetMode="External" Id="rId722"/><Relationship Type="http://schemas.openxmlformats.org/officeDocument/2006/relationships/hyperlink" Target="#'GROWTH'!E30" TargetMode="External" Id="rId723"/><Relationship Type="http://schemas.openxmlformats.org/officeDocument/2006/relationships/hyperlink" Target="#'GROWTH'!E38" TargetMode="External" Id="rId724"/><Relationship Type="http://schemas.openxmlformats.org/officeDocument/2006/relationships/hyperlink" Target="#'GROWTH'!E46" TargetMode="External" Id="rId725"/><Relationship Type="http://schemas.openxmlformats.org/officeDocument/2006/relationships/hyperlink" Target="#'GROWTH'!E54" TargetMode="External" Id="rId726"/><Relationship Type="http://schemas.openxmlformats.org/officeDocument/2006/relationships/hyperlink" Target="#'HARMEAN'!E22" TargetMode="External" Id="rId727"/><Relationship Type="http://schemas.openxmlformats.org/officeDocument/2006/relationships/hyperlink" Target="#'HARMEAN'!E30" TargetMode="External" Id="rId728"/><Relationship Type="http://schemas.openxmlformats.org/officeDocument/2006/relationships/hyperlink" Target="#'HARMEAN'!E38" TargetMode="External" Id="rId729"/><Relationship Type="http://schemas.openxmlformats.org/officeDocument/2006/relationships/hyperlink" Target="#'HARMEAN'!E46" TargetMode="External" Id="rId730"/><Relationship Type="http://schemas.openxmlformats.org/officeDocument/2006/relationships/hyperlink" Target="#'HARMEAN'!E54" TargetMode="External" Id="rId731"/><Relationship Type="http://schemas.openxmlformats.org/officeDocument/2006/relationships/hyperlink" Target="#'HYPGEOMDIST'!E22" TargetMode="External" Id="rId732"/><Relationship Type="http://schemas.openxmlformats.org/officeDocument/2006/relationships/hyperlink" Target="#'HYPGEOMDIST'!E30" TargetMode="External" Id="rId733"/><Relationship Type="http://schemas.openxmlformats.org/officeDocument/2006/relationships/hyperlink" Target="#'HYPGEOMDIST'!E38" TargetMode="External" Id="rId734"/><Relationship Type="http://schemas.openxmlformats.org/officeDocument/2006/relationships/hyperlink" Target="#'HYPGEOMDIST'!E46" TargetMode="External" Id="rId735"/><Relationship Type="http://schemas.openxmlformats.org/officeDocument/2006/relationships/hyperlink" Target="#'HYPGEOMDIST'!E54" TargetMode="External" Id="rId736"/><Relationship Type="http://schemas.openxmlformats.org/officeDocument/2006/relationships/hyperlink" Target="#'INTERCEPT'!E22" TargetMode="External" Id="rId737"/><Relationship Type="http://schemas.openxmlformats.org/officeDocument/2006/relationships/hyperlink" Target="#'INTERCEPT'!E30" TargetMode="External" Id="rId738"/><Relationship Type="http://schemas.openxmlformats.org/officeDocument/2006/relationships/hyperlink" Target="#'INTERCEPT'!E38" TargetMode="External" Id="rId739"/><Relationship Type="http://schemas.openxmlformats.org/officeDocument/2006/relationships/hyperlink" Target="#'INTERCEPT'!E46" TargetMode="External" Id="rId740"/><Relationship Type="http://schemas.openxmlformats.org/officeDocument/2006/relationships/hyperlink" Target="#'INTERCEPT'!E54" TargetMode="External" Id="rId741"/><Relationship Type="http://schemas.openxmlformats.org/officeDocument/2006/relationships/hyperlink" Target="#'KURT'!E22" TargetMode="External" Id="rId742"/><Relationship Type="http://schemas.openxmlformats.org/officeDocument/2006/relationships/hyperlink" Target="#'KURT'!E30" TargetMode="External" Id="rId743"/><Relationship Type="http://schemas.openxmlformats.org/officeDocument/2006/relationships/hyperlink" Target="#'KURT'!E38" TargetMode="External" Id="rId744"/><Relationship Type="http://schemas.openxmlformats.org/officeDocument/2006/relationships/hyperlink" Target="#'KURT'!E46" TargetMode="External" Id="rId745"/><Relationship Type="http://schemas.openxmlformats.org/officeDocument/2006/relationships/hyperlink" Target="#'KURT'!E54" TargetMode="External" Id="rId746"/><Relationship Type="http://schemas.openxmlformats.org/officeDocument/2006/relationships/hyperlink" Target="#'LARGE'!E22" TargetMode="External" Id="rId747"/><Relationship Type="http://schemas.openxmlformats.org/officeDocument/2006/relationships/hyperlink" Target="#'LARGE'!E30" TargetMode="External" Id="rId748"/><Relationship Type="http://schemas.openxmlformats.org/officeDocument/2006/relationships/hyperlink" Target="#'LARGE'!E38" TargetMode="External" Id="rId749"/><Relationship Type="http://schemas.openxmlformats.org/officeDocument/2006/relationships/hyperlink" Target="#'LARGE'!E46" TargetMode="External" Id="rId750"/><Relationship Type="http://schemas.openxmlformats.org/officeDocument/2006/relationships/hyperlink" Target="#'LARGE'!E54" TargetMode="External" Id="rId751"/><Relationship Type="http://schemas.openxmlformats.org/officeDocument/2006/relationships/hyperlink" Target="#'LOGNORM.DIST'!E22" TargetMode="External" Id="rId752"/><Relationship Type="http://schemas.openxmlformats.org/officeDocument/2006/relationships/hyperlink" Target="#'LOGNORM.DIST'!E30" TargetMode="External" Id="rId753"/><Relationship Type="http://schemas.openxmlformats.org/officeDocument/2006/relationships/hyperlink" Target="#'LOGNORM.DIST'!E38" TargetMode="External" Id="rId754"/><Relationship Type="http://schemas.openxmlformats.org/officeDocument/2006/relationships/hyperlink" Target="#'LOGNORM.DIST'!E46" TargetMode="External" Id="rId755"/><Relationship Type="http://schemas.openxmlformats.org/officeDocument/2006/relationships/hyperlink" Target="#'LOGNORM.DIST'!E54" TargetMode="External" Id="rId756"/><Relationship Type="http://schemas.openxmlformats.org/officeDocument/2006/relationships/hyperlink" Target="#'LOGINV'!E22" TargetMode="External" Id="rId757"/><Relationship Type="http://schemas.openxmlformats.org/officeDocument/2006/relationships/hyperlink" Target="#'LOGINV'!E30" TargetMode="External" Id="rId758"/><Relationship Type="http://schemas.openxmlformats.org/officeDocument/2006/relationships/hyperlink" Target="#'LOGINV'!E38" TargetMode="External" Id="rId759"/><Relationship Type="http://schemas.openxmlformats.org/officeDocument/2006/relationships/hyperlink" Target="#'LOGINV'!E46" TargetMode="External" Id="rId760"/><Relationship Type="http://schemas.openxmlformats.org/officeDocument/2006/relationships/hyperlink" Target="#'LOGINV'!E54" TargetMode="External" Id="rId761"/><Relationship Type="http://schemas.openxmlformats.org/officeDocument/2006/relationships/hyperlink" Target="#'MAX'!E22" TargetMode="External" Id="rId762"/><Relationship Type="http://schemas.openxmlformats.org/officeDocument/2006/relationships/hyperlink" Target="#'MAX'!E30" TargetMode="External" Id="rId763"/><Relationship Type="http://schemas.openxmlformats.org/officeDocument/2006/relationships/hyperlink" Target="#'MAX'!E38" TargetMode="External" Id="rId764"/><Relationship Type="http://schemas.openxmlformats.org/officeDocument/2006/relationships/hyperlink" Target="#'MAX'!E46" TargetMode="External" Id="rId765"/><Relationship Type="http://schemas.openxmlformats.org/officeDocument/2006/relationships/hyperlink" Target="#'MAX'!E54" TargetMode="External" Id="rId766"/><Relationship Type="http://schemas.openxmlformats.org/officeDocument/2006/relationships/hyperlink" Target="#'MAXA'!E22" TargetMode="External" Id="rId767"/><Relationship Type="http://schemas.openxmlformats.org/officeDocument/2006/relationships/hyperlink" Target="#'MAXA'!E30" TargetMode="External" Id="rId768"/><Relationship Type="http://schemas.openxmlformats.org/officeDocument/2006/relationships/hyperlink" Target="#'MAXA'!E38" TargetMode="External" Id="rId769"/><Relationship Type="http://schemas.openxmlformats.org/officeDocument/2006/relationships/hyperlink" Target="#'MAXA'!E46" TargetMode="External" Id="rId770"/><Relationship Type="http://schemas.openxmlformats.org/officeDocument/2006/relationships/hyperlink" Target="#'MAXA'!E54" TargetMode="External" Id="rId771"/><Relationship Type="http://schemas.openxmlformats.org/officeDocument/2006/relationships/hyperlink" Target="#'MEDIAN'!E22" TargetMode="External" Id="rId772"/><Relationship Type="http://schemas.openxmlformats.org/officeDocument/2006/relationships/hyperlink" Target="#'MEDIAN'!E30" TargetMode="External" Id="rId773"/><Relationship Type="http://schemas.openxmlformats.org/officeDocument/2006/relationships/hyperlink" Target="#'MEDIAN'!E38" TargetMode="External" Id="rId774"/><Relationship Type="http://schemas.openxmlformats.org/officeDocument/2006/relationships/hyperlink" Target="#'MEDIAN'!E46" TargetMode="External" Id="rId775"/><Relationship Type="http://schemas.openxmlformats.org/officeDocument/2006/relationships/hyperlink" Target="#'MEDIAN'!E54" TargetMode="External" Id="rId776"/><Relationship Type="http://schemas.openxmlformats.org/officeDocument/2006/relationships/hyperlink" Target="#'MIN'!E22" TargetMode="External" Id="rId777"/><Relationship Type="http://schemas.openxmlformats.org/officeDocument/2006/relationships/hyperlink" Target="#'MIN'!E30" TargetMode="External" Id="rId778"/><Relationship Type="http://schemas.openxmlformats.org/officeDocument/2006/relationships/hyperlink" Target="#'MIN'!E38" TargetMode="External" Id="rId779"/><Relationship Type="http://schemas.openxmlformats.org/officeDocument/2006/relationships/hyperlink" Target="#'MIN'!E46" TargetMode="External" Id="rId780"/><Relationship Type="http://schemas.openxmlformats.org/officeDocument/2006/relationships/hyperlink" Target="#'MIN'!E54" TargetMode="External" Id="rId781"/><Relationship Type="http://schemas.openxmlformats.org/officeDocument/2006/relationships/hyperlink" Target="#'MINA'!E22" TargetMode="External" Id="rId782"/><Relationship Type="http://schemas.openxmlformats.org/officeDocument/2006/relationships/hyperlink" Target="#'MINA'!E30" TargetMode="External" Id="rId783"/><Relationship Type="http://schemas.openxmlformats.org/officeDocument/2006/relationships/hyperlink" Target="#'MINA'!E38" TargetMode="External" Id="rId784"/><Relationship Type="http://schemas.openxmlformats.org/officeDocument/2006/relationships/hyperlink" Target="#'MINA'!E46" TargetMode="External" Id="rId785"/><Relationship Type="http://schemas.openxmlformats.org/officeDocument/2006/relationships/hyperlink" Target="#'MINA'!E54" TargetMode="External" Id="rId786"/><Relationship Type="http://schemas.openxmlformats.org/officeDocument/2006/relationships/hyperlink" Target="#'MODE'!E22" TargetMode="External" Id="rId787"/><Relationship Type="http://schemas.openxmlformats.org/officeDocument/2006/relationships/hyperlink" Target="#'MODE'!E30" TargetMode="External" Id="rId788"/><Relationship Type="http://schemas.openxmlformats.org/officeDocument/2006/relationships/hyperlink" Target="#'MODE'!E38" TargetMode="External" Id="rId789"/><Relationship Type="http://schemas.openxmlformats.org/officeDocument/2006/relationships/hyperlink" Target="#'MODE'!E46" TargetMode="External" Id="rId790"/><Relationship Type="http://schemas.openxmlformats.org/officeDocument/2006/relationships/hyperlink" Target="#'MODE'!E54" TargetMode="External" Id="rId791"/><Relationship Type="http://schemas.openxmlformats.org/officeDocument/2006/relationships/hyperlink" Target="#'NEGBINOM.DIST'!E22" TargetMode="External" Id="rId792"/><Relationship Type="http://schemas.openxmlformats.org/officeDocument/2006/relationships/hyperlink" Target="#'NEGBINOM.DIST'!E30" TargetMode="External" Id="rId793"/><Relationship Type="http://schemas.openxmlformats.org/officeDocument/2006/relationships/hyperlink" Target="#'NEGBINOM.DIST'!E38" TargetMode="External" Id="rId794"/><Relationship Type="http://schemas.openxmlformats.org/officeDocument/2006/relationships/hyperlink" Target="#'NEGBINOM.DIST'!E46" TargetMode="External" Id="rId795"/><Relationship Type="http://schemas.openxmlformats.org/officeDocument/2006/relationships/hyperlink" Target="#'NEGBINOM.DIST'!E54" TargetMode="External" Id="rId796"/><Relationship Type="http://schemas.openxmlformats.org/officeDocument/2006/relationships/hyperlink" Target="#'NORM.DIST'!E22" TargetMode="External" Id="rId797"/><Relationship Type="http://schemas.openxmlformats.org/officeDocument/2006/relationships/hyperlink" Target="#'NORM.DIST'!E30" TargetMode="External" Id="rId798"/><Relationship Type="http://schemas.openxmlformats.org/officeDocument/2006/relationships/hyperlink" Target="#'NORM.DIST'!E38" TargetMode="External" Id="rId799"/><Relationship Type="http://schemas.openxmlformats.org/officeDocument/2006/relationships/hyperlink" Target="#'NORM.DIST'!E46" TargetMode="External" Id="rId800"/><Relationship Type="http://schemas.openxmlformats.org/officeDocument/2006/relationships/hyperlink" Target="#'NORM.DIST'!E54" TargetMode="External" Id="rId801"/><Relationship Type="http://schemas.openxmlformats.org/officeDocument/2006/relationships/hyperlink" Target="#'NORM.INV'!E22" TargetMode="External" Id="rId802"/><Relationship Type="http://schemas.openxmlformats.org/officeDocument/2006/relationships/hyperlink" Target="#'NORM.INV'!E30" TargetMode="External" Id="rId803"/><Relationship Type="http://schemas.openxmlformats.org/officeDocument/2006/relationships/hyperlink" Target="#'NORM.INV'!E38" TargetMode="External" Id="rId804"/><Relationship Type="http://schemas.openxmlformats.org/officeDocument/2006/relationships/hyperlink" Target="#'NORM.INV'!E46" TargetMode="External" Id="rId805"/><Relationship Type="http://schemas.openxmlformats.org/officeDocument/2006/relationships/hyperlink" Target="#'NORM.INV'!E54" TargetMode="External" Id="rId806"/><Relationship Type="http://schemas.openxmlformats.org/officeDocument/2006/relationships/hyperlink" Target="#'NORM.S.DIST'!E22" TargetMode="External" Id="rId807"/><Relationship Type="http://schemas.openxmlformats.org/officeDocument/2006/relationships/hyperlink" Target="#'NORM.S.DIST'!E30" TargetMode="External" Id="rId808"/><Relationship Type="http://schemas.openxmlformats.org/officeDocument/2006/relationships/hyperlink" Target="#'NORM.S.DIST'!E38" TargetMode="External" Id="rId809"/><Relationship Type="http://schemas.openxmlformats.org/officeDocument/2006/relationships/hyperlink" Target="#'NORM.S.DIST'!E46" TargetMode="External" Id="rId810"/><Relationship Type="http://schemas.openxmlformats.org/officeDocument/2006/relationships/hyperlink" Target="#'NORM.S.DIST'!E54" TargetMode="External" Id="rId811"/><Relationship Type="http://schemas.openxmlformats.org/officeDocument/2006/relationships/hyperlink" Target="#'NORM.S.INV'!E22" TargetMode="External" Id="rId812"/><Relationship Type="http://schemas.openxmlformats.org/officeDocument/2006/relationships/hyperlink" Target="#'NORM.S.INV'!E30" TargetMode="External" Id="rId813"/><Relationship Type="http://schemas.openxmlformats.org/officeDocument/2006/relationships/hyperlink" Target="#'NORM.S.INV'!E38" TargetMode="External" Id="rId814"/><Relationship Type="http://schemas.openxmlformats.org/officeDocument/2006/relationships/hyperlink" Target="#'NORM.S.INV'!E46" TargetMode="External" Id="rId815"/><Relationship Type="http://schemas.openxmlformats.org/officeDocument/2006/relationships/hyperlink" Target="#'NORM.S.INV'!E54" TargetMode="External" Id="rId816"/><Relationship Type="http://schemas.openxmlformats.org/officeDocument/2006/relationships/hyperlink" Target="#'PEARSON'!E22" TargetMode="External" Id="rId817"/><Relationship Type="http://schemas.openxmlformats.org/officeDocument/2006/relationships/hyperlink" Target="#'PEARSON'!E30" TargetMode="External" Id="rId818"/><Relationship Type="http://schemas.openxmlformats.org/officeDocument/2006/relationships/hyperlink" Target="#'PEARSON'!E38" TargetMode="External" Id="rId819"/><Relationship Type="http://schemas.openxmlformats.org/officeDocument/2006/relationships/hyperlink" Target="#'PEARSON'!E46" TargetMode="External" Id="rId820"/><Relationship Type="http://schemas.openxmlformats.org/officeDocument/2006/relationships/hyperlink" Target="#'PEARSON'!E54" TargetMode="External" Id="rId821"/><Relationship Type="http://schemas.openxmlformats.org/officeDocument/2006/relationships/hyperlink" Target="#'PERCENTILE.EXC'!E22" TargetMode="External" Id="rId822"/><Relationship Type="http://schemas.openxmlformats.org/officeDocument/2006/relationships/hyperlink" Target="#'PERCENTILE.EXC'!E30" TargetMode="External" Id="rId823"/><Relationship Type="http://schemas.openxmlformats.org/officeDocument/2006/relationships/hyperlink" Target="#'PERCENTILE.EXC'!E38" TargetMode="External" Id="rId824"/><Relationship Type="http://schemas.openxmlformats.org/officeDocument/2006/relationships/hyperlink" Target="#'PERCENTILE.EXC'!E46" TargetMode="External" Id="rId825"/><Relationship Type="http://schemas.openxmlformats.org/officeDocument/2006/relationships/hyperlink" Target="#'PERCENTILE.EXC'!E54" TargetMode="External" Id="rId826"/><Relationship Type="http://schemas.openxmlformats.org/officeDocument/2006/relationships/hyperlink" Target="#'PERCENTILE.INC'!E22" TargetMode="External" Id="rId827"/><Relationship Type="http://schemas.openxmlformats.org/officeDocument/2006/relationships/hyperlink" Target="#'PERCENTILE.INC'!E30" TargetMode="External" Id="rId828"/><Relationship Type="http://schemas.openxmlformats.org/officeDocument/2006/relationships/hyperlink" Target="#'PERCENTILE.INC'!E38" TargetMode="External" Id="rId829"/><Relationship Type="http://schemas.openxmlformats.org/officeDocument/2006/relationships/hyperlink" Target="#'PERCENTILE.INC'!E46" TargetMode="External" Id="rId830"/><Relationship Type="http://schemas.openxmlformats.org/officeDocument/2006/relationships/hyperlink" Target="#'PERCENTILE.INC'!E54" TargetMode="External" Id="rId831"/><Relationship Type="http://schemas.openxmlformats.org/officeDocument/2006/relationships/hyperlink" Target="#'PERCENTRANK.EXC'!E22" TargetMode="External" Id="rId832"/><Relationship Type="http://schemas.openxmlformats.org/officeDocument/2006/relationships/hyperlink" Target="#'PERCENTRANK.EXC'!E30" TargetMode="External" Id="rId833"/><Relationship Type="http://schemas.openxmlformats.org/officeDocument/2006/relationships/hyperlink" Target="#'PERCENTRANK.EXC'!E38" TargetMode="External" Id="rId834"/><Relationship Type="http://schemas.openxmlformats.org/officeDocument/2006/relationships/hyperlink" Target="#'PERCENTRANK.EXC'!E46" TargetMode="External" Id="rId835"/><Relationship Type="http://schemas.openxmlformats.org/officeDocument/2006/relationships/hyperlink" Target="#'PERCENTRANK.EXC'!E54" TargetMode="External" Id="rId836"/><Relationship Type="http://schemas.openxmlformats.org/officeDocument/2006/relationships/hyperlink" Target="#'PERCENTRANK.INC'!E22" TargetMode="External" Id="rId837"/><Relationship Type="http://schemas.openxmlformats.org/officeDocument/2006/relationships/hyperlink" Target="#'PERCENTRANK.INC'!E30" TargetMode="External" Id="rId838"/><Relationship Type="http://schemas.openxmlformats.org/officeDocument/2006/relationships/hyperlink" Target="#'PERCENTRANK.INC'!E38" TargetMode="External" Id="rId839"/><Relationship Type="http://schemas.openxmlformats.org/officeDocument/2006/relationships/hyperlink" Target="#'PERCENTRANK.INC'!E46" TargetMode="External" Id="rId840"/><Relationship Type="http://schemas.openxmlformats.org/officeDocument/2006/relationships/hyperlink" Target="#'PERCENTRANK.INC'!E54" TargetMode="External" Id="rId841"/><Relationship Type="http://schemas.openxmlformats.org/officeDocument/2006/relationships/hyperlink" Target="#'PERMUT'!E22" TargetMode="External" Id="rId842"/><Relationship Type="http://schemas.openxmlformats.org/officeDocument/2006/relationships/hyperlink" Target="#'PERMUT'!E30" TargetMode="External" Id="rId843"/><Relationship Type="http://schemas.openxmlformats.org/officeDocument/2006/relationships/hyperlink" Target="#'PERMUT'!E38" TargetMode="External" Id="rId844"/><Relationship Type="http://schemas.openxmlformats.org/officeDocument/2006/relationships/hyperlink" Target="#'PERMUT'!E46" TargetMode="External" Id="rId845"/><Relationship Type="http://schemas.openxmlformats.org/officeDocument/2006/relationships/hyperlink" Target="#'PERMUT'!E54" TargetMode="External" Id="rId846"/><Relationship Type="http://schemas.openxmlformats.org/officeDocument/2006/relationships/hyperlink" Target="#'POISSON'!E22" TargetMode="External" Id="rId847"/><Relationship Type="http://schemas.openxmlformats.org/officeDocument/2006/relationships/hyperlink" Target="#'POISSON'!E30" TargetMode="External" Id="rId848"/><Relationship Type="http://schemas.openxmlformats.org/officeDocument/2006/relationships/hyperlink" Target="#'POISSON'!E38" TargetMode="External" Id="rId849"/><Relationship Type="http://schemas.openxmlformats.org/officeDocument/2006/relationships/hyperlink" Target="#'POISSON'!E46" TargetMode="External" Id="rId850"/><Relationship Type="http://schemas.openxmlformats.org/officeDocument/2006/relationships/hyperlink" Target="#'POISSON'!E54" TargetMode="External" Id="rId851"/><Relationship Type="http://schemas.openxmlformats.org/officeDocument/2006/relationships/hyperlink" Target="#'PROB'!E22" TargetMode="External" Id="rId852"/><Relationship Type="http://schemas.openxmlformats.org/officeDocument/2006/relationships/hyperlink" Target="#'PROB'!E30" TargetMode="External" Id="rId853"/><Relationship Type="http://schemas.openxmlformats.org/officeDocument/2006/relationships/hyperlink" Target="#'PROB'!E38" TargetMode="External" Id="rId854"/><Relationship Type="http://schemas.openxmlformats.org/officeDocument/2006/relationships/hyperlink" Target="#'PROB'!E46" TargetMode="External" Id="rId855"/><Relationship Type="http://schemas.openxmlformats.org/officeDocument/2006/relationships/hyperlink" Target="#'PROB'!E54" TargetMode="External" Id="rId856"/><Relationship Type="http://schemas.openxmlformats.org/officeDocument/2006/relationships/hyperlink" Target="#'QUARTILE.EXC'!E22" TargetMode="External" Id="rId857"/><Relationship Type="http://schemas.openxmlformats.org/officeDocument/2006/relationships/hyperlink" Target="#'QUARTILE.EXC'!E30" TargetMode="External" Id="rId858"/><Relationship Type="http://schemas.openxmlformats.org/officeDocument/2006/relationships/hyperlink" Target="#'QUARTILE.EXC'!E38" TargetMode="External" Id="rId859"/><Relationship Type="http://schemas.openxmlformats.org/officeDocument/2006/relationships/hyperlink" Target="#'QUARTILE.EXC'!E46" TargetMode="External" Id="rId860"/><Relationship Type="http://schemas.openxmlformats.org/officeDocument/2006/relationships/hyperlink" Target="#'QUARTILE.EXC'!E54" TargetMode="External" Id="rId861"/><Relationship Type="http://schemas.openxmlformats.org/officeDocument/2006/relationships/hyperlink" Target="#'QUARTILE.INC'!E22" TargetMode="External" Id="rId862"/><Relationship Type="http://schemas.openxmlformats.org/officeDocument/2006/relationships/hyperlink" Target="#'QUARTILE.INC'!E30" TargetMode="External" Id="rId863"/><Relationship Type="http://schemas.openxmlformats.org/officeDocument/2006/relationships/hyperlink" Target="#'QUARTILE.INC'!E38" TargetMode="External" Id="rId864"/><Relationship Type="http://schemas.openxmlformats.org/officeDocument/2006/relationships/hyperlink" Target="#'QUARTILE.INC'!E46" TargetMode="External" Id="rId865"/><Relationship Type="http://schemas.openxmlformats.org/officeDocument/2006/relationships/hyperlink" Target="#'QUARTILE.INC'!E54" TargetMode="External" Id="rId866"/><Relationship Type="http://schemas.openxmlformats.org/officeDocument/2006/relationships/hyperlink" Target="#'RANK'!E22" TargetMode="External" Id="rId867"/><Relationship Type="http://schemas.openxmlformats.org/officeDocument/2006/relationships/hyperlink" Target="#'RANK'!E30" TargetMode="External" Id="rId868"/><Relationship Type="http://schemas.openxmlformats.org/officeDocument/2006/relationships/hyperlink" Target="#'RANK'!E38" TargetMode="External" Id="rId869"/><Relationship Type="http://schemas.openxmlformats.org/officeDocument/2006/relationships/hyperlink" Target="#'RANK'!E46" TargetMode="External" Id="rId870"/><Relationship Type="http://schemas.openxmlformats.org/officeDocument/2006/relationships/hyperlink" Target="#'RANK'!E54" TargetMode="External" Id="rId871"/><Relationship Type="http://schemas.openxmlformats.org/officeDocument/2006/relationships/hyperlink" Target="#'RSQ'!E22" TargetMode="External" Id="rId872"/><Relationship Type="http://schemas.openxmlformats.org/officeDocument/2006/relationships/hyperlink" Target="#'RSQ'!E30" TargetMode="External" Id="rId873"/><Relationship Type="http://schemas.openxmlformats.org/officeDocument/2006/relationships/hyperlink" Target="#'RSQ'!E38" TargetMode="External" Id="rId874"/><Relationship Type="http://schemas.openxmlformats.org/officeDocument/2006/relationships/hyperlink" Target="#'RSQ'!E46" TargetMode="External" Id="rId875"/><Relationship Type="http://schemas.openxmlformats.org/officeDocument/2006/relationships/hyperlink" Target="#'RSQ'!E54" TargetMode="External" Id="rId876"/><Relationship Type="http://schemas.openxmlformats.org/officeDocument/2006/relationships/hyperlink" Target="#'SKEW'!E22" TargetMode="External" Id="rId877"/><Relationship Type="http://schemas.openxmlformats.org/officeDocument/2006/relationships/hyperlink" Target="#'SKEW'!E30" TargetMode="External" Id="rId878"/><Relationship Type="http://schemas.openxmlformats.org/officeDocument/2006/relationships/hyperlink" Target="#'SKEW'!E38" TargetMode="External" Id="rId879"/><Relationship Type="http://schemas.openxmlformats.org/officeDocument/2006/relationships/hyperlink" Target="#'SKEW'!E46" TargetMode="External" Id="rId880"/><Relationship Type="http://schemas.openxmlformats.org/officeDocument/2006/relationships/hyperlink" Target="#'SKEW'!E54" TargetMode="External" Id="rId881"/><Relationship Type="http://schemas.openxmlformats.org/officeDocument/2006/relationships/hyperlink" Target="#'SLOPE'!E22" TargetMode="External" Id="rId882"/><Relationship Type="http://schemas.openxmlformats.org/officeDocument/2006/relationships/hyperlink" Target="#'SLOPE'!E30" TargetMode="External" Id="rId883"/><Relationship Type="http://schemas.openxmlformats.org/officeDocument/2006/relationships/hyperlink" Target="#'SLOPE'!E38" TargetMode="External" Id="rId884"/><Relationship Type="http://schemas.openxmlformats.org/officeDocument/2006/relationships/hyperlink" Target="#'SLOPE'!E46" TargetMode="External" Id="rId885"/><Relationship Type="http://schemas.openxmlformats.org/officeDocument/2006/relationships/hyperlink" Target="#'SLOPE'!E54" TargetMode="External" Id="rId886"/><Relationship Type="http://schemas.openxmlformats.org/officeDocument/2006/relationships/hyperlink" Target="#'SMALL'!E22" TargetMode="External" Id="rId887"/><Relationship Type="http://schemas.openxmlformats.org/officeDocument/2006/relationships/hyperlink" Target="#'SMALL'!E30" TargetMode="External" Id="rId888"/><Relationship Type="http://schemas.openxmlformats.org/officeDocument/2006/relationships/hyperlink" Target="#'SMALL'!E38" TargetMode="External" Id="rId889"/><Relationship Type="http://schemas.openxmlformats.org/officeDocument/2006/relationships/hyperlink" Target="#'SMALL'!E46" TargetMode="External" Id="rId890"/><Relationship Type="http://schemas.openxmlformats.org/officeDocument/2006/relationships/hyperlink" Target="#'SMALL'!E54" TargetMode="External" Id="rId891"/><Relationship Type="http://schemas.openxmlformats.org/officeDocument/2006/relationships/hyperlink" Target="#'STANDARDIZE'!E22" TargetMode="External" Id="rId892"/><Relationship Type="http://schemas.openxmlformats.org/officeDocument/2006/relationships/hyperlink" Target="#'STANDARDIZE'!E30" TargetMode="External" Id="rId893"/><Relationship Type="http://schemas.openxmlformats.org/officeDocument/2006/relationships/hyperlink" Target="#'STANDARDIZE'!E38" TargetMode="External" Id="rId894"/><Relationship Type="http://schemas.openxmlformats.org/officeDocument/2006/relationships/hyperlink" Target="#'STANDARDIZE'!E46" TargetMode="External" Id="rId895"/><Relationship Type="http://schemas.openxmlformats.org/officeDocument/2006/relationships/hyperlink" Target="#'STANDARDIZE'!E54" TargetMode="External" Id="rId896"/><Relationship Type="http://schemas.openxmlformats.org/officeDocument/2006/relationships/hyperlink" Target="#'STDEV.P'!E22" TargetMode="External" Id="rId897"/><Relationship Type="http://schemas.openxmlformats.org/officeDocument/2006/relationships/hyperlink" Target="#'STDEV.P'!E30" TargetMode="External" Id="rId898"/><Relationship Type="http://schemas.openxmlformats.org/officeDocument/2006/relationships/hyperlink" Target="#'STDEV.P'!E38" TargetMode="External" Id="rId899"/><Relationship Type="http://schemas.openxmlformats.org/officeDocument/2006/relationships/hyperlink" Target="#'STDEV.P'!E46" TargetMode="External" Id="rId900"/><Relationship Type="http://schemas.openxmlformats.org/officeDocument/2006/relationships/hyperlink" Target="#'STDEV.P'!E54" TargetMode="External" Id="rId901"/><Relationship Type="http://schemas.openxmlformats.org/officeDocument/2006/relationships/hyperlink" Target="#'STDEV.S'!E22" TargetMode="External" Id="rId902"/><Relationship Type="http://schemas.openxmlformats.org/officeDocument/2006/relationships/hyperlink" Target="#'STDEV.S'!E30" TargetMode="External" Id="rId903"/><Relationship Type="http://schemas.openxmlformats.org/officeDocument/2006/relationships/hyperlink" Target="#'STDEV.S'!E38" TargetMode="External" Id="rId904"/><Relationship Type="http://schemas.openxmlformats.org/officeDocument/2006/relationships/hyperlink" Target="#'STDEV.S'!E46" TargetMode="External" Id="rId905"/><Relationship Type="http://schemas.openxmlformats.org/officeDocument/2006/relationships/hyperlink" Target="#'STDEV.S'!E54" TargetMode="External" Id="rId906"/><Relationship Type="http://schemas.openxmlformats.org/officeDocument/2006/relationships/hyperlink" Target="#'STDEVA'!E22" TargetMode="External" Id="rId907"/><Relationship Type="http://schemas.openxmlformats.org/officeDocument/2006/relationships/hyperlink" Target="#'STDEVA'!E30" TargetMode="External" Id="rId908"/><Relationship Type="http://schemas.openxmlformats.org/officeDocument/2006/relationships/hyperlink" Target="#'STDEVA'!E38" TargetMode="External" Id="rId909"/><Relationship Type="http://schemas.openxmlformats.org/officeDocument/2006/relationships/hyperlink" Target="#'STDEVA'!E46" TargetMode="External" Id="rId910"/><Relationship Type="http://schemas.openxmlformats.org/officeDocument/2006/relationships/hyperlink" Target="#'STDEVA'!E54" TargetMode="External" Id="rId911"/><Relationship Type="http://schemas.openxmlformats.org/officeDocument/2006/relationships/hyperlink" Target="#'STDEVP'!E22" TargetMode="External" Id="rId912"/><Relationship Type="http://schemas.openxmlformats.org/officeDocument/2006/relationships/hyperlink" Target="#'STDEVP'!E30" TargetMode="External" Id="rId913"/><Relationship Type="http://schemas.openxmlformats.org/officeDocument/2006/relationships/hyperlink" Target="#'STDEVP'!E38" TargetMode="External" Id="rId914"/><Relationship Type="http://schemas.openxmlformats.org/officeDocument/2006/relationships/hyperlink" Target="#'STDEVP'!E46" TargetMode="External" Id="rId915"/><Relationship Type="http://schemas.openxmlformats.org/officeDocument/2006/relationships/hyperlink" Target="#'STDEVP'!E54" TargetMode="External" Id="rId916"/><Relationship Type="http://schemas.openxmlformats.org/officeDocument/2006/relationships/hyperlink" Target="#'STDEVPA'!E22" TargetMode="External" Id="rId917"/><Relationship Type="http://schemas.openxmlformats.org/officeDocument/2006/relationships/hyperlink" Target="#'STDEVPA'!E30" TargetMode="External" Id="rId918"/><Relationship Type="http://schemas.openxmlformats.org/officeDocument/2006/relationships/hyperlink" Target="#'STDEVPA'!E38" TargetMode="External" Id="rId919"/><Relationship Type="http://schemas.openxmlformats.org/officeDocument/2006/relationships/hyperlink" Target="#'STDEVPA'!E46" TargetMode="External" Id="rId920"/><Relationship Type="http://schemas.openxmlformats.org/officeDocument/2006/relationships/hyperlink" Target="#'STDEVPA'!E54" TargetMode="External" Id="rId921"/><Relationship Type="http://schemas.openxmlformats.org/officeDocument/2006/relationships/hyperlink" Target="#'STEYX'!E22" TargetMode="External" Id="rId922"/><Relationship Type="http://schemas.openxmlformats.org/officeDocument/2006/relationships/hyperlink" Target="#'STEYX'!E30" TargetMode="External" Id="rId923"/><Relationship Type="http://schemas.openxmlformats.org/officeDocument/2006/relationships/hyperlink" Target="#'STEYX'!E38" TargetMode="External" Id="rId924"/><Relationship Type="http://schemas.openxmlformats.org/officeDocument/2006/relationships/hyperlink" Target="#'STEYX'!E46" TargetMode="External" Id="rId925"/><Relationship Type="http://schemas.openxmlformats.org/officeDocument/2006/relationships/hyperlink" Target="#'STEYX'!E54" TargetMode="External" Id="rId926"/><Relationship Type="http://schemas.openxmlformats.org/officeDocument/2006/relationships/hyperlink" Target="#'T.DIST'!E22" TargetMode="External" Id="rId927"/><Relationship Type="http://schemas.openxmlformats.org/officeDocument/2006/relationships/hyperlink" Target="#'T.DIST'!E30" TargetMode="External" Id="rId928"/><Relationship Type="http://schemas.openxmlformats.org/officeDocument/2006/relationships/hyperlink" Target="#'T.DIST'!E38" TargetMode="External" Id="rId929"/><Relationship Type="http://schemas.openxmlformats.org/officeDocument/2006/relationships/hyperlink" Target="#'T.DIST'!E46" TargetMode="External" Id="rId930"/><Relationship Type="http://schemas.openxmlformats.org/officeDocument/2006/relationships/hyperlink" Target="#'T.DIST'!E54" TargetMode="External" Id="rId931"/><Relationship Type="http://schemas.openxmlformats.org/officeDocument/2006/relationships/hyperlink" Target="#'T.DIST.2T'!E22" TargetMode="External" Id="rId932"/><Relationship Type="http://schemas.openxmlformats.org/officeDocument/2006/relationships/hyperlink" Target="#'T.DIST.2T'!E30" TargetMode="External" Id="rId933"/><Relationship Type="http://schemas.openxmlformats.org/officeDocument/2006/relationships/hyperlink" Target="#'T.DIST.2T'!E38" TargetMode="External" Id="rId934"/><Relationship Type="http://schemas.openxmlformats.org/officeDocument/2006/relationships/hyperlink" Target="#'T.DIST.2T'!E46" TargetMode="External" Id="rId935"/><Relationship Type="http://schemas.openxmlformats.org/officeDocument/2006/relationships/hyperlink" Target="#'T.DIST.2T'!E54" TargetMode="External" Id="rId936"/><Relationship Type="http://schemas.openxmlformats.org/officeDocument/2006/relationships/hyperlink" Target="#'T.DIST.RT'!E22" TargetMode="External" Id="rId937"/><Relationship Type="http://schemas.openxmlformats.org/officeDocument/2006/relationships/hyperlink" Target="#'T.DIST.RT'!E30" TargetMode="External" Id="rId938"/><Relationship Type="http://schemas.openxmlformats.org/officeDocument/2006/relationships/hyperlink" Target="#'T.DIST.RT'!E38" TargetMode="External" Id="rId939"/><Relationship Type="http://schemas.openxmlformats.org/officeDocument/2006/relationships/hyperlink" Target="#'T.DIST.RT'!E46" TargetMode="External" Id="rId940"/><Relationship Type="http://schemas.openxmlformats.org/officeDocument/2006/relationships/hyperlink" Target="#'T.DIST.RT'!E54" TargetMode="External" Id="rId941"/><Relationship Type="http://schemas.openxmlformats.org/officeDocument/2006/relationships/hyperlink" Target="#'T.INV'!E22" TargetMode="External" Id="rId942"/><Relationship Type="http://schemas.openxmlformats.org/officeDocument/2006/relationships/hyperlink" Target="#'T.INV'!E30" TargetMode="External" Id="rId943"/><Relationship Type="http://schemas.openxmlformats.org/officeDocument/2006/relationships/hyperlink" Target="#'T.INV'!E38" TargetMode="External" Id="rId944"/><Relationship Type="http://schemas.openxmlformats.org/officeDocument/2006/relationships/hyperlink" Target="#'T.INV'!E46" TargetMode="External" Id="rId945"/><Relationship Type="http://schemas.openxmlformats.org/officeDocument/2006/relationships/hyperlink" Target="#'T.INV'!E54" TargetMode="External" Id="rId946"/><Relationship Type="http://schemas.openxmlformats.org/officeDocument/2006/relationships/hyperlink" Target="#'T.INV.2T'!E22" TargetMode="External" Id="rId947"/><Relationship Type="http://schemas.openxmlformats.org/officeDocument/2006/relationships/hyperlink" Target="#'T.INV.2T'!E30" TargetMode="External" Id="rId948"/><Relationship Type="http://schemas.openxmlformats.org/officeDocument/2006/relationships/hyperlink" Target="#'T.INV.2T'!E38" TargetMode="External" Id="rId949"/><Relationship Type="http://schemas.openxmlformats.org/officeDocument/2006/relationships/hyperlink" Target="#'T.INV.2T'!E46" TargetMode="External" Id="rId950"/><Relationship Type="http://schemas.openxmlformats.org/officeDocument/2006/relationships/hyperlink" Target="#'T.INV.2T'!E54" TargetMode="External" Id="rId951"/><Relationship Type="http://schemas.openxmlformats.org/officeDocument/2006/relationships/hyperlink" Target="#'TREND'!E22" TargetMode="External" Id="rId952"/><Relationship Type="http://schemas.openxmlformats.org/officeDocument/2006/relationships/hyperlink" Target="#'TREND'!E30" TargetMode="External" Id="rId953"/><Relationship Type="http://schemas.openxmlformats.org/officeDocument/2006/relationships/hyperlink" Target="#'TREND'!E38" TargetMode="External" Id="rId954"/><Relationship Type="http://schemas.openxmlformats.org/officeDocument/2006/relationships/hyperlink" Target="#'TREND'!E46" TargetMode="External" Id="rId955"/><Relationship Type="http://schemas.openxmlformats.org/officeDocument/2006/relationships/hyperlink" Target="#'TREND'!E54" TargetMode="External" Id="rId956"/><Relationship Type="http://schemas.openxmlformats.org/officeDocument/2006/relationships/hyperlink" Target="#'T.TEST'!E22" TargetMode="External" Id="rId957"/><Relationship Type="http://schemas.openxmlformats.org/officeDocument/2006/relationships/hyperlink" Target="#'T.TEST'!E30" TargetMode="External" Id="rId958"/><Relationship Type="http://schemas.openxmlformats.org/officeDocument/2006/relationships/hyperlink" Target="#'T.TEST'!E38" TargetMode="External" Id="rId959"/><Relationship Type="http://schemas.openxmlformats.org/officeDocument/2006/relationships/hyperlink" Target="#'T.TEST'!E46" TargetMode="External" Id="rId960"/><Relationship Type="http://schemas.openxmlformats.org/officeDocument/2006/relationships/hyperlink" Target="#'T.TEST'!E54" TargetMode="External" Id="rId961"/><Relationship Type="http://schemas.openxmlformats.org/officeDocument/2006/relationships/hyperlink" Target="#'TRIMMEAN'!E22" TargetMode="External" Id="rId962"/><Relationship Type="http://schemas.openxmlformats.org/officeDocument/2006/relationships/hyperlink" Target="#'TRIMMEAN'!E30" TargetMode="External" Id="rId963"/><Relationship Type="http://schemas.openxmlformats.org/officeDocument/2006/relationships/hyperlink" Target="#'TRIMMEAN'!E38" TargetMode="External" Id="rId964"/><Relationship Type="http://schemas.openxmlformats.org/officeDocument/2006/relationships/hyperlink" Target="#'TRIMMEAN'!E46" TargetMode="External" Id="rId965"/><Relationship Type="http://schemas.openxmlformats.org/officeDocument/2006/relationships/hyperlink" Target="#'TRIMMEAN'!E54" TargetMode="External" Id="rId966"/><Relationship Type="http://schemas.openxmlformats.org/officeDocument/2006/relationships/hyperlink" Target="#'VAR.P'!E22" TargetMode="External" Id="rId967"/><Relationship Type="http://schemas.openxmlformats.org/officeDocument/2006/relationships/hyperlink" Target="#'VAR.P'!E30" TargetMode="External" Id="rId968"/><Relationship Type="http://schemas.openxmlformats.org/officeDocument/2006/relationships/hyperlink" Target="#'VAR.P'!E38" TargetMode="External" Id="rId969"/><Relationship Type="http://schemas.openxmlformats.org/officeDocument/2006/relationships/hyperlink" Target="#'VAR.P'!E46" TargetMode="External" Id="rId970"/><Relationship Type="http://schemas.openxmlformats.org/officeDocument/2006/relationships/hyperlink" Target="#'VAR.P'!E54" TargetMode="External" Id="rId971"/><Relationship Type="http://schemas.openxmlformats.org/officeDocument/2006/relationships/hyperlink" Target="#'VAR.S'!E22" TargetMode="External" Id="rId972"/><Relationship Type="http://schemas.openxmlformats.org/officeDocument/2006/relationships/hyperlink" Target="#'VAR.S'!E30" TargetMode="External" Id="rId973"/><Relationship Type="http://schemas.openxmlformats.org/officeDocument/2006/relationships/hyperlink" Target="#'VAR.S'!E38" TargetMode="External" Id="rId974"/><Relationship Type="http://schemas.openxmlformats.org/officeDocument/2006/relationships/hyperlink" Target="#'VAR.S'!E46" TargetMode="External" Id="rId975"/><Relationship Type="http://schemas.openxmlformats.org/officeDocument/2006/relationships/hyperlink" Target="#'VAR.S'!E54" TargetMode="External" Id="rId976"/><Relationship Type="http://schemas.openxmlformats.org/officeDocument/2006/relationships/hyperlink" Target="#'VARA'!E22" TargetMode="External" Id="rId977"/><Relationship Type="http://schemas.openxmlformats.org/officeDocument/2006/relationships/hyperlink" Target="#'VARA'!E30" TargetMode="External" Id="rId978"/><Relationship Type="http://schemas.openxmlformats.org/officeDocument/2006/relationships/hyperlink" Target="#'VARA'!E38" TargetMode="External" Id="rId979"/><Relationship Type="http://schemas.openxmlformats.org/officeDocument/2006/relationships/hyperlink" Target="#'VARA'!E46" TargetMode="External" Id="rId980"/><Relationship Type="http://schemas.openxmlformats.org/officeDocument/2006/relationships/hyperlink" Target="#'VARA'!E54" TargetMode="External" Id="rId981"/><Relationship Type="http://schemas.openxmlformats.org/officeDocument/2006/relationships/hyperlink" Target="#'VARPA'!E22" TargetMode="External" Id="rId982"/><Relationship Type="http://schemas.openxmlformats.org/officeDocument/2006/relationships/hyperlink" Target="#'VARPA'!E30" TargetMode="External" Id="rId983"/><Relationship Type="http://schemas.openxmlformats.org/officeDocument/2006/relationships/hyperlink" Target="#'VARPA'!E38" TargetMode="External" Id="rId984"/><Relationship Type="http://schemas.openxmlformats.org/officeDocument/2006/relationships/hyperlink" Target="#'VARPA'!E46" TargetMode="External" Id="rId985"/><Relationship Type="http://schemas.openxmlformats.org/officeDocument/2006/relationships/hyperlink" Target="#'VARPA'!E54" TargetMode="External" Id="rId986"/><Relationship Type="http://schemas.openxmlformats.org/officeDocument/2006/relationships/hyperlink" Target="#'WEIBULL'!E22" TargetMode="External" Id="rId987"/><Relationship Type="http://schemas.openxmlformats.org/officeDocument/2006/relationships/hyperlink" Target="#'WEIBULL'!E30" TargetMode="External" Id="rId988"/><Relationship Type="http://schemas.openxmlformats.org/officeDocument/2006/relationships/hyperlink" Target="#'WEIBULL'!E38" TargetMode="External" Id="rId989"/><Relationship Type="http://schemas.openxmlformats.org/officeDocument/2006/relationships/hyperlink" Target="#'WEIBULL'!E46" TargetMode="External" Id="rId990"/><Relationship Type="http://schemas.openxmlformats.org/officeDocument/2006/relationships/hyperlink" Target="#'WEIBULL'!E54" TargetMode="External" Id="rId991"/><Relationship Type="http://schemas.openxmlformats.org/officeDocument/2006/relationships/hyperlink" Target="#'ZTEST'!E22" TargetMode="External" Id="rId992"/><Relationship Type="http://schemas.openxmlformats.org/officeDocument/2006/relationships/hyperlink" Target="#'ZTEST'!E30" TargetMode="External" Id="rId993"/><Relationship Type="http://schemas.openxmlformats.org/officeDocument/2006/relationships/hyperlink" Target="#'ZTEST'!E38" TargetMode="External" Id="rId994"/><Relationship Type="http://schemas.openxmlformats.org/officeDocument/2006/relationships/hyperlink" Target="#'ZTEST'!E46" TargetMode="External" Id="rId995"/><Relationship Type="http://schemas.openxmlformats.org/officeDocument/2006/relationships/hyperlink" Target="#'ZTEST'!E54" TargetMode="External" Id="rId9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0" customWidth="1" min="3" max="3"/>
    <col width="36" customWidth="1" min="4" max="4"/>
    <col width="65" customWidth="1" min="5" max="5"/>
    <col width="28" customWidth="1" min="6" max="6"/>
  </cols>
  <sheetData>
    <row r="1" ht="32" customHeight="1">
      <c r="A1" s="1" t="inlineStr">
        <is>
          <t>📚 MASTER WORKBOOK 200 RUMUS EXCEL DUNIA NYATA (199 SHEET RUMUS • 1 CONTOH + 5 SOAL TES PER RUMUS)</t>
        </is>
      </c>
    </row>
    <row r="2" ht="22" customHeight="1">
      <c r="A2" s="2" t="inlineStr">
        <is>
          <t>Setiap Sheet berisi: 1 Contoh Soal + Jawaban Benar, lalu 5 Soal Tes Tanpa Kunci. Kunci Jawaban Lengkap ada di Sheet Paling Terakhir (99_KUNCI_JAWABAN)!</t>
        </is>
      </c>
      <c r="F2" s="3" t="inlineStr">
        <is>
          <t>🔑 Buka 99_KUNCI_JAWABAN</t>
        </is>
      </c>
    </row>
    <row r="4" ht="24" customHeight="1">
      <c r="A4" s="4" t="inlineStr">
        <is>
          <t>No</t>
        </is>
      </c>
      <c r="B4" s="4" t="inlineStr">
        <is>
          <t>Nama Rumus (Sheet)</t>
        </is>
      </c>
      <c r="C4" s="4" t="inlineStr">
        <is>
          <t>Kategori</t>
        </is>
      </c>
      <c r="D4" s="4" t="inlineStr">
        <is>
          <t>Sintaks Umum</t>
        </is>
      </c>
      <c r="E4" s="4" t="inlineStr">
        <is>
          <t>Fungsinya Buat Apa (Bahasa Bayi &amp; Dunia Nyata)</t>
        </is>
      </c>
      <c r="F4" s="4" t="inlineStr">
        <is>
          <t>Link Buka Sheet</t>
        </is>
      </c>
    </row>
    <row r="5">
      <c r="A5" s="5" t="n">
        <v>1</v>
      </c>
      <c r="B5" s="6" t="inlineStr">
        <is>
          <t>SUM</t>
        </is>
      </c>
      <c r="C5" s="5" t="inlineStr">
        <is>
          <t>1. Matematika &amp; Akuntansi</t>
        </is>
      </c>
      <c r="D5" s="7">
        <f>SUM(angka1, [angka2], ...)</f>
        <v/>
      </c>
      <c r="E5" s="5" t="inlineStr">
        <is>
          <t>Menjumlahkan seluruh angka di dalam blok sel sekaligus. Bayangkan punya 5 celengan, SUM langsung menghitung total uang di semua celengan itu dalam 1 detik!</t>
        </is>
      </c>
      <c r="F5" s="8" t="inlineStr">
        <is>
          <t>👉 Buka Sheet SUM</t>
        </is>
      </c>
    </row>
    <row r="6">
      <c r="A6" s="5" t="n">
        <v>2</v>
      </c>
      <c r="B6" s="6" t="inlineStr">
        <is>
          <t>SUMIF</t>
        </is>
      </c>
      <c r="C6" s="5" t="inlineStr">
        <is>
          <t>1. Matematika &amp; Akuntansi</t>
        </is>
      </c>
      <c r="D6" s="7">
        <f>SUMIF(range_syarat, syarat, [range_jumlah])</f>
        <v/>
      </c>
      <c r="E6" s="5" t="inlineStr">
        <is>
          <t>Menjumlahkan angka TAPI pilih-pilih sesuai 1 syarat. Contoh: Hanya jumlahkan omzet dari cabang 'Pusat' saja, cabang lain abaikan!</t>
        </is>
      </c>
      <c r="F6" s="8" t="inlineStr">
        <is>
          <t>👉 Buka Sheet SUMIF</t>
        </is>
      </c>
    </row>
    <row r="7">
      <c r="A7" s="5" t="n">
        <v>3</v>
      </c>
      <c r="B7" s="6" t="inlineStr">
        <is>
          <t>SUMIFS</t>
        </is>
      </c>
      <c r="C7" s="5" t="inlineStr">
        <is>
          <t>1. Matematika &amp; Akuntansi</t>
        </is>
      </c>
      <c r="D7" s="7">
        <f>SUMIFS(range_jumlah, range_syarat1, syarat1, ...)</f>
        <v/>
      </c>
      <c r="E7" s="5" t="inlineStr">
        <is>
          <t>Menjumlahkan angka dengan BANYAK syarat sekaligus. Contoh: Jumlahkan realisasi khusus unit berstatus 'Aktif'!</t>
        </is>
      </c>
      <c r="F7" s="8" t="inlineStr">
        <is>
          <t>👉 Buka Sheet SUMIFS</t>
        </is>
      </c>
    </row>
    <row r="8">
      <c r="A8" s="5" t="n">
        <v>4</v>
      </c>
      <c r="B8" s="6" t="inlineStr">
        <is>
          <t>PRODUCT</t>
        </is>
      </c>
      <c r="C8" s="5" t="inlineStr">
        <is>
          <t>1. Matematika &amp; Akuntansi</t>
        </is>
      </c>
      <c r="D8" s="7">
        <f>PRODUCT(angka1, [angka2], ...)</f>
        <v/>
      </c>
      <c r="E8" s="5" t="inlineStr">
        <is>
          <t>Mengalikan semua angka di dalam rentang sel. Cocok untuk menghitung perkalian beruntun seperti Harga × Jumlah × Faktor Diskon.</t>
        </is>
      </c>
      <c r="F8" s="8" t="inlineStr">
        <is>
          <t>👉 Buka Sheet PRODUCT</t>
        </is>
      </c>
    </row>
    <row r="9">
      <c r="A9" s="5" t="n">
        <v>5</v>
      </c>
      <c r="B9" s="6" t="inlineStr">
        <is>
          <t>SUMPRODUCT</t>
        </is>
      </c>
      <c r="C9" s="5" t="inlineStr">
        <is>
          <t>1. Matematika &amp; Akuntansi</t>
        </is>
      </c>
      <c r="D9" s="7">
        <f>SUMPRODUCT(array1, [array2], ...)</f>
        <v/>
      </c>
      <c r="E9" s="5" t="inlineStr">
        <is>
          <t>Mengalikan dua kolom sejajar (misal Qty × Harga Satuan tiap baris) lalu langsung menjumlahkan total akhirnya tanpa perlu kolom bantuan!</t>
        </is>
      </c>
      <c r="F9" s="8" t="inlineStr">
        <is>
          <t>👉 Buka Sheet SUMPRODUCT</t>
        </is>
      </c>
    </row>
    <row r="10">
      <c r="A10" s="5" t="n">
        <v>6</v>
      </c>
      <c r="B10" s="6" t="inlineStr">
        <is>
          <t>ROUND</t>
        </is>
      </c>
      <c r="C10" s="5" t="inlineStr">
        <is>
          <t>1. Matematika &amp; Akuntansi</t>
        </is>
      </c>
      <c r="D10" s="7">
        <f>ROUND(angka, jumlah_digit)</f>
        <v/>
      </c>
      <c r="E10" s="5" t="inlineStr">
        <is>
          <t>Membulatkan angka desimal ke jumlah angka di belakang koma terdekat sesuai aturan matematika standar (0.5 ke atas naik).</t>
        </is>
      </c>
      <c r="F10" s="8" t="inlineStr">
        <is>
          <t>👉 Buka Sheet ROUND</t>
        </is>
      </c>
    </row>
    <row r="11">
      <c r="A11" s="5" t="n">
        <v>7</v>
      </c>
      <c r="B11" s="6" t="inlineStr">
        <is>
          <t>ROUNDUP</t>
        </is>
      </c>
      <c r="C11" s="5" t="inlineStr">
        <is>
          <t>1. Matematika &amp; Akuntansi</t>
        </is>
      </c>
      <c r="D11" s="7">
        <f>ROUNDUP(angka, jumlah_digit)</f>
        <v/>
      </c>
      <c r="E11" s="5" t="inlineStr">
        <is>
          <t>Selalu membulatkan angka KE ATAS menjauhi nol. Cocok untuk menghitung jumlah dus/truk (kalau butuh 4.1 truk, harus sewa 5 truk!).</t>
        </is>
      </c>
      <c r="F11" s="8" t="inlineStr">
        <is>
          <t>👉 Buka Sheet ROUNDUP</t>
        </is>
      </c>
    </row>
    <row r="12">
      <c r="A12" s="5" t="n">
        <v>8</v>
      </c>
      <c r="B12" s="6" t="inlineStr">
        <is>
          <t>ROUNDDOWN</t>
        </is>
      </c>
      <c r="C12" s="5" t="inlineStr">
        <is>
          <t>1. Matematika &amp; Akuntansi</t>
        </is>
      </c>
      <c r="D12" s="7">
        <f>ROUNDDOWN(angka, jumlah_digit)</f>
        <v/>
      </c>
      <c r="E12" s="5" t="inlineStr">
        <is>
          <t>Selalu membulatkan angka KE BAWAH mendekati nol (memotong desimal tanpa peduli angkanya besar).</t>
        </is>
      </c>
      <c r="F12" s="8" t="inlineStr">
        <is>
          <t>👉 Buka Sheet ROUNDDOWN</t>
        </is>
      </c>
    </row>
    <row r="13">
      <c r="A13" s="5" t="n">
        <v>9</v>
      </c>
      <c r="B13" s="6" t="inlineStr">
        <is>
          <t>MROUND</t>
        </is>
      </c>
      <c r="C13" s="5" t="inlineStr">
        <is>
          <t>1. Matematika &amp; Akuntansi</t>
        </is>
      </c>
      <c r="D13" s="7">
        <f>MROUND(angka, kelipatan)</f>
        <v/>
      </c>
      <c r="E13" s="5" t="inlineStr">
        <is>
          <t>Membulatkan angka ke kelipatan tertentu terdekat (misal membulatkan harga uang receh ke kelipatan Rp 500 terdekat).</t>
        </is>
      </c>
      <c r="F13" s="8" t="inlineStr">
        <is>
          <t>👉 Buka Sheet MROUND</t>
        </is>
      </c>
    </row>
    <row r="14">
      <c r="A14" s="5" t="n">
        <v>10</v>
      </c>
      <c r="B14" s="6" t="inlineStr">
        <is>
          <t>CEILING</t>
        </is>
      </c>
      <c r="C14" s="5" t="inlineStr">
        <is>
          <t>1. Matematika &amp; Akuntansi</t>
        </is>
      </c>
      <c r="D14" s="7">
        <f>CEILING(angka, kelipatan)</f>
        <v/>
      </c>
      <c r="E14" s="5" t="inlineStr">
        <is>
          <t>Membulatkan angka KE ATAS menuju kelipatan terdekat (misal pembulatan tagihan parkir per kelipatan 500 ke atas).</t>
        </is>
      </c>
      <c r="F14" s="8" t="inlineStr">
        <is>
          <t>👉 Buka Sheet CEILING</t>
        </is>
      </c>
    </row>
    <row r="15">
      <c r="A15" s="5" t="n">
        <v>11</v>
      </c>
      <c r="B15" s="6" t="inlineStr">
        <is>
          <t>FLOOR</t>
        </is>
      </c>
      <c r="C15" s="5" t="inlineStr">
        <is>
          <t>1. Matematika &amp; Akuntansi</t>
        </is>
      </c>
      <c r="D15" s="7">
        <f>FLOOR(angka, kelipatan)</f>
        <v/>
      </c>
      <c r="E15" s="5" t="inlineStr">
        <is>
          <t>Membulatkan angka KE BAWAH menuju kelipatan terdekat (misal menghitung paket kelipatan penuh dari nominal tagihan).</t>
        </is>
      </c>
      <c r="F15" s="8" t="inlineStr">
        <is>
          <t>👉 Buka Sheet FLOOR</t>
        </is>
      </c>
    </row>
    <row r="16">
      <c r="A16" s="5" t="n">
        <v>12</v>
      </c>
      <c r="B16" s="6" t="inlineStr">
        <is>
          <t>INT</t>
        </is>
      </c>
      <c r="C16" s="5" t="inlineStr">
        <is>
          <t>1. Matematika &amp; Akuntansi</t>
        </is>
      </c>
      <c r="D16" s="7">
        <f>INT(angka)</f>
        <v/>
      </c>
      <c r="E16" s="5" t="inlineStr">
        <is>
          <t>Mengambil angka bulatnya saja dengan membulatkan ke bawah ke bilangan bulat terdekat.</t>
        </is>
      </c>
      <c r="F16" s="8" t="inlineStr">
        <is>
          <t>👉 Buka Sheet INT</t>
        </is>
      </c>
    </row>
    <row r="17">
      <c r="A17" s="5" t="n">
        <v>13</v>
      </c>
      <c r="B17" s="6" t="inlineStr">
        <is>
          <t>TRUNC</t>
        </is>
      </c>
      <c r="C17" s="5" t="inlineStr">
        <is>
          <t>1. Matematika &amp; Akuntansi</t>
        </is>
      </c>
      <c r="D17" s="7">
        <f>TRUNC(angka, [jumlah_digit])</f>
        <v/>
      </c>
      <c r="E17" s="5" t="inlineStr">
        <is>
          <t>Memotong angka desimal di belakang koma secara langsung tanpa pembulatan.</t>
        </is>
      </c>
      <c r="F17" s="8" t="inlineStr">
        <is>
          <t>👉 Buka Sheet TRUNC</t>
        </is>
      </c>
    </row>
    <row r="18">
      <c r="A18" s="5" t="n">
        <v>14</v>
      </c>
      <c r="B18" s="6" t="inlineStr">
        <is>
          <t>MOD</t>
        </is>
      </c>
      <c r="C18" s="5" t="inlineStr">
        <is>
          <t>1. Matematika &amp; Akuntansi</t>
        </is>
      </c>
      <c r="D18" s="7">
        <f>MOD(angka, pembagi)</f>
        <v/>
      </c>
      <c r="E18" s="5" t="inlineStr">
        <is>
          <t>Mencari SISA hasil pembagian. Contoh: 14 permen dibagi ke 4 anak, masing-masing dapat 3 dan SISA 2 permen (MOD = 2).</t>
        </is>
      </c>
      <c r="F18" s="8" t="inlineStr">
        <is>
          <t>👉 Buka Sheet MOD</t>
        </is>
      </c>
    </row>
    <row r="19">
      <c r="A19" s="5" t="n">
        <v>15</v>
      </c>
      <c r="B19" s="6" t="inlineStr">
        <is>
          <t>QUOTIENT</t>
        </is>
      </c>
      <c r="C19" s="5" t="inlineStr">
        <is>
          <t>1. Matematika &amp; Akuntansi</t>
        </is>
      </c>
      <c r="D19" s="7">
        <f>QUOTIENT(pembilang, penyebut)</f>
        <v/>
      </c>
      <c r="E19" s="5" t="inlineStr">
        <is>
          <t>Mengambil hasil bagi BULAT saja dan membuang sisanya. Contoh: 14 dibagi 4 hasilnya 3 (sisanya diabaikan).</t>
        </is>
      </c>
      <c r="F19" s="8" t="inlineStr">
        <is>
          <t>👉 Buka Sheet QUOTIENT</t>
        </is>
      </c>
    </row>
    <row r="20">
      <c r="A20" s="5" t="n">
        <v>16</v>
      </c>
      <c r="B20" s="6" t="inlineStr">
        <is>
          <t>ABS</t>
        </is>
      </c>
      <c r="C20" s="5" t="inlineStr">
        <is>
          <t>1. Matematika &amp; Akuntansi</t>
        </is>
      </c>
      <c r="D20" s="7">
        <f>ABS(angka)</f>
        <v/>
      </c>
      <c r="E20" s="5" t="inlineStr">
        <is>
          <t>Mengubah angka minus (negatif) menjadi positif (Nilai Mutlak). Cocok untuk menghitung selisih jarak atau deviasi stok tanpa tanda minus.</t>
        </is>
      </c>
      <c r="F20" s="8" t="inlineStr">
        <is>
          <t>👉 Buka Sheet ABS</t>
        </is>
      </c>
    </row>
    <row r="21">
      <c r="A21" s="5" t="n">
        <v>17</v>
      </c>
      <c r="B21" s="6" t="inlineStr">
        <is>
          <t>POWER</t>
        </is>
      </c>
      <c r="C21" s="5" t="inlineStr">
        <is>
          <t>1. Matematika &amp; Akuntansi</t>
        </is>
      </c>
      <c r="D21" s="7">
        <f>POWER(angka, pangkat)</f>
        <v/>
      </c>
      <c r="E21" s="5" t="inlineStr">
        <is>
          <t>Menghitung perpangkatan angka (misal angka pertama dipangkatkan angka kedua).</t>
        </is>
      </c>
      <c r="F21" s="8" t="inlineStr">
        <is>
          <t>👉 Buka Sheet POWER</t>
        </is>
      </c>
    </row>
    <row r="22">
      <c r="A22" s="5" t="n">
        <v>18</v>
      </c>
      <c r="B22" s="6" t="inlineStr">
        <is>
          <t>SQRT</t>
        </is>
      </c>
      <c r="C22" s="5" t="inlineStr">
        <is>
          <t>1. Matematika &amp; Akuntansi</t>
        </is>
      </c>
      <c r="D22" s="7">
        <f>SQRT(angka)</f>
        <v/>
      </c>
      <c r="E22" s="5" t="inlineStr">
        <is>
          <t>Mencari akar kuadrat dari suatu angka (misal akar dari 144 adalah 12).</t>
        </is>
      </c>
      <c r="F22" s="8" t="inlineStr">
        <is>
          <t>👉 Buka Sheet SQRT</t>
        </is>
      </c>
    </row>
    <row r="23">
      <c r="A23" s="5" t="n">
        <v>19</v>
      </c>
      <c r="B23" s="6" t="inlineStr">
        <is>
          <t>SUBTOTAL</t>
        </is>
      </c>
      <c r="C23" s="5" t="inlineStr">
        <is>
          <t>1. Matematika &amp; Akuntansi</t>
        </is>
      </c>
      <c r="D23" s="7">
        <f>SUBTOTAL(kode_fungsi, range)</f>
        <v/>
      </c>
      <c r="E23" s="5" t="inlineStr">
        <is>
          <t>Menghitung total/rata-rata yang PINTAR karena otomatis mengabaikan baris yang sedang disembunyikan oleh Filter!</t>
        </is>
      </c>
      <c r="F23" s="8" t="inlineStr">
        <is>
          <t>👉 Buka Sheet SUBTOTAL</t>
        </is>
      </c>
    </row>
    <row r="24">
      <c r="A24" s="5" t="n">
        <v>20</v>
      </c>
      <c r="B24" s="6" t="inlineStr">
        <is>
          <t>AGGREGATE</t>
        </is>
      </c>
      <c r="C24" s="5" t="inlineStr">
        <is>
          <t>1. Matematika &amp; Akuntansi</t>
        </is>
      </c>
      <c r="D24" s="7">
        <f>AGGREGATE(kode_fungsi, opsi_abaikan, range)</f>
        <v/>
      </c>
      <c r="E24" s="5" t="inlineStr">
        <is>
          <t>Versi super dari SUBTOTAL yang sanggup mengabaikan baris tersembunyi SEKALIGUS mengabaikan sel yang error (#N/A atau #DIV/0!).</t>
        </is>
      </c>
      <c r="F24" s="8" t="inlineStr">
        <is>
          <t>👉 Buka Sheet AGGREGATE</t>
        </is>
      </c>
    </row>
    <row r="25">
      <c r="A25" s="5" t="n">
        <v>21</v>
      </c>
      <c r="B25" s="6" t="inlineStr">
        <is>
          <t>RANDBETWEEN</t>
        </is>
      </c>
      <c r="C25" s="5" t="inlineStr">
        <is>
          <t>1. Matematika &amp; Akuntansi</t>
        </is>
      </c>
      <c r="D25" s="7">
        <f>RANDBETWEEN(batas_bawah, batas_atas)</f>
        <v/>
      </c>
      <c r="E25" s="5" t="inlineStr">
        <is>
          <t>Menghasilkan angka acak bulat di antara batas bawah dan batas atas (cocok untuk undian doorprize atau simulasi data).</t>
        </is>
      </c>
      <c r="F25" s="8" t="inlineStr">
        <is>
          <t>👉 Buka Sheet RANDBETWEEN</t>
        </is>
      </c>
    </row>
    <row r="26">
      <c r="A26" s="5" t="n">
        <v>22</v>
      </c>
      <c r="B26" s="6" t="inlineStr">
        <is>
          <t>SIGN</t>
        </is>
      </c>
      <c r="C26" s="5" t="inlineStr">
        <is>
          <t>1. Matematika &amp; Akuntansi</t>
        </is>
      </c>
      <c r="D26" s="7">
        <f>SIGN(angka)</f>
        <v/>
      </c>
      <c r="E26" s="5" t="inlineStr">
        <is>
          <t>Mendeteksi tanda bilangan: menghasilkan 1 jika positif, -1 jika negatif (rugi), dan 0 jika nol.</t>
        </is>
      </c>
      <c r="F26" s="8" t="inlineStr">
        <is>
          <t>👉 Buka Sheet SIGN</t>
        </is>
      </c>
    </row>
    <row r="27">
      <c r="A27" s="5" t="n">
        <v>23</v>
      </c>
      <c r="B27" s="6" t="inlineStr">
        <is>
          <t>EVEN</t>
        </is>
      </c>
      <c r="C27" s="5" t="inlineStr">
        <is>
          <t>1. Matematika &amp; Akuntansi</t>
        </is>
      </c>
      <c r="D27" s="7">
        <f>EVEN(angka)</f>
        <v/>
      </c>
      <c r="E27" s="5" t="inlineStr">
        <is>
          <t>Membulatkan angka ke atas menuju bilangan GENAP terdekat (cocok untuk pengemasan barang berpasangan).</t>
        </is>
      </c>
      <c r="F27" s="8" t="inlineStr">
        <is>
          <t>👉 Buka Sheet EVEN</t>
        </is>
      </c>
    </row>
    <row r="28">
      <c r="A28" s="5" t="n">
        <v>24</v>
      </c>
      <c r="B28" s="6" t="inlineStr">
        <is>
          <t>ODD</t>
        </is>
      </c>
      <c r="C28" s="5" t="inlineStr">
        <is>
          <t>1. Matematika &amp; Akuntansi</t>
        </is>
      </c>
      <c r="D28" s="7">
        <f>ODD(angka)</f>
        <v/>
      </c>
      <c r="E28" s="5" t="inlineStr">
        <is>
          <t>Membulatkan angka ke atas menuju bilangan GANJIL terdekat.</t>
        </is>
      </c>
      <c r="F28" s="8" t="inlineStr">
        <is>
          <t>👉 Buka Sheet ODD</t>
        </is>
      </c>
    </row>
    <row r="29">
      <c r="A29" s="5" t="n">
        <v>25</v>
      </c>
      <c r="B29" s="6" t="inlineStr">
        <is>
          <t>FACT</t>
        </is>
      </c>
      <c r="C29" s="5" t="inlineStr">
        <is>
          <t>1. Matematika &amp; Akuntansi</t>
        </is>
      </c>
      <c r="D29" s="7">
        <f>FACT(angka)</f>
        <v/>
      </c>
      <c r="E29" s="5" t="inlineStr">
        <is>
          <t>Menghitung nilai faktorial (n! = 1 × 2 × ... × n) untuk analisis kombinasi antrean atau jadwal.</t>
        </is>
      </c>
      <c r="F29" s="8" t="inlineStr">
        <is>
          <t>👉 Buka Sheet FACT</t>
        </is>
      </c>
    </row>
    <row r="30">
      <c r="A30" s="5" t="n">
        <v>26</v>
      </c>
      <c r="B30" s="6" t="inlineStr">
        <is>
          <t>GCD</t>
        </is>
      </c>
      <c r="C30" s="5" t="inlineStr">
        <is>
          <t>1. Matematika &amp; Akuntansi</t>
        </is>
      </c>
      <c r="D30" s="7">
        <f>GCD(angka1, angka2)</f>
        <v/>
      </c>
      <c r="E30" s="5" t="inlineStr">
        <is>
          <t>Mencari Faktor Persekutuan Terbesar (FPB) dari dua angka untuk membagi paket bingkisan sama rata.</t>
        </is>
      </c>
      <c r="F30" s="8" t="inlineStr">
        <is>
          <t>👉 Buka Sheet GCD</t>
        </is>
      </c>
    </row>
    <row r="31">
      <c r="A31" s="5" t="n">
        <v>27</v>
      </c>
      <c r="B31" s="6" t="inlineStr">
        <is>
          <t>LCM</t>
        </is>
      </c>
      <c r="C31" s="5" t="inlineStr">
        <is>
          <t>1. Matematika &amp; Akuntansi</t>
        </is>
      </c>
      <c r="D31" s="7">
        <f>LCM(angka1, angka2)</f>
        <v/>
      </c>
      <c r="E31" s="5" t="inlineStr">
        <is>
          <t>Mencari Kelipatan Persekutuan Terkecil (KPK) untuk menghitung jadwal pertemuan dua siklus perawatan mesin.</t>
        </is>
      </c>
      <c r="F31" s="8" t="inlineStr">
        <is>
          <t>👉 Buka Sheet LCM</t>
        </is>
      </c>
    </row>
    <row r="32">
      <c r="A32" s="5" t="n">
        <v>28</v>
      </c>
      <c r="B32" s="6" t="inlineStr">
        <is>
          <t>ROMAN</t>
        </is>
      </c>
      <c r="C32" s="5" t="inlineStr">
        <is>
          <t>1. Matematika &amp; Akuntansi</t>
        </is>
      </c>
      <c r="D32" s="7">
        <f>ROMAN(angka)</f>
        <v/>
      </c>
      <c r="E32" s="5" t="inlineStr">
        <is>
          <t>Mengubah angka biasa (1, 2, 3...) menjadi angka Romawi (I, II, III, IV...) untuk penomoran bab laporan atau surat resmi.</t>
        </is>
      </c>
      <c r="F32" s="8" t="inlineStr">
        <is>
          <t>👉 Buka Sheet ROMAN</t>
        </is>
      </c>
    </row>
    <row r="33">
      <c r="A33" s="5" t="n">
        <v>29</v>
      </c>
      <c r="B33" s="6" t="inlineStr">
        <is>
          <t>ARABIC</t>
        </is>
      </c>
      <c r="C33" s="5" t="inlineStr">
        <is>
          <t>1. Matematika &amp; Akuntansi</t>
        </is>
      </c>
      <c r="D33" s="7">
        <f>ARABIC(teks_romawi)</f>
        <v/>
      </c>
      <c r="E33" s="5" t="inlineStr">
        <is>
          <t>Kebalikan dari ROMAN: mengubah teks angka Romawi (seperti XIV atau XXV) kembali menjadi angka biasa (14 atau 25).</t>
        </is>
      </c>
      <c r="F33" s="8" t="inlineStr">
        <is>
          <t>👉 Buka Sheet ARABIC</t>
        </is>
      </c>
    </row>
    <row r="34">
      <c r="A34" s="5" t="n">
        <v>30</v>
      </c>
      <c r="B34" s="6" t="inlineStr">
        <is>
          <t>IF</t>
        </is>
      </c>
      <c r="C34" s="5" t="inlineStr">
        <is>
          <t>2. Logika &amp; Keputusan</t>
        </is>
      </c>
      <c r="D34" s="7">
        <f>IF(syarat_logika, nilai_jika_benar, nilai_jika_salah)</f>
        <v/>
      </c>
      <c r="E34" s="5" t="inlineStr">
        <is>
          <t>Polisi lalu lintas di Excel! Mengecek apakah suatu syarat terpenuhi: kalau YA jalankan perintah pertama, kalau TIDAK jalankan perintah kedua.</t>
        </is>
      </c>
      <c r="F34" s="8" t="inlineStr">
        <is>
          <t>👉 Buka Sheet IF</t>
        </is>
      </c>
    </row>
    <row r="35">
      <c r="A35" s="5" t="n">
        <v>31</v>
      </c>
      <c r="B35" s="6" t="inlineStr">
        <is>
          <t>IFS</t>
        </is>
      </c>
      <c r="C35" s="5" t="inlineStr">
        <is>
          <t>2. Logika &amp; Keputusan</t>
        </is>
      </c>
      <c r="D35" s="7">
        <f>IFS(syarat1, hasil1, syarat2, hasil2, ...)</f>
        <v/>
      </c>
      <c r="E35" s="5" t="inlineStr">
        <is>
          <t>Menguji banyak syarat bertingkat (seperti nilai A, B, C) secara berurutan tanpa perlu menumpuk banyak kurung IF bersarang!</t>
        </is>
      </c>
      <c r="F35" s="8" t="inlineStr">
        <is>
          <t>👉 Buka Sheet IFS</t>
        </is>
      </c>
    </row>
    <row r="36">
      <c r="A36" s="5" t="n">
        <v>32</v>
      </c>
      <c r="B36" s="6" t="inlineStr">
        <is>
          <t>AND</t>
        </is>
      </c>
      <c r="C36" s="5" t="inlineStr">
        <is>
          <t>2. Logika &amp; Keputusan</t>
        </is>
      </c>
      <c r="D36" s="7">
        <f>AND(syarat1, syarat2, ...)</f>
        <v/>
      </c>
      <c r="E36" s="5" t="inlineStr">
        <is>
          <t>Menghasilkan TRUE (Benar) HANYA JIKA SEMUA syarat terpenuhi sekaligus. Kalau ada satu saja yang gagal, hasilnya FALSE!</t>
        </is>
      </c>
      <c r="F36" s="8" t="inlineStr">
        <is>
          <t>👉 Buka Sheet AND</t>
        </is>
      </c>
    </row>
    <row r="37">
      <c r="A37" s="5" t="n">
        <v>33</v>
      </c>
      <c r="B37" s="6" t="inlineStr">
        <is>
          <t>OR</t>
        </is>
      </c>
      <c r="C37" s="5" t="inlineStr">
        <is>
          <t>2. Logika &amp; Keputusan</t>
        </is>
      </c>
      <c r="D37" s="7">
        <f>OR(syarat1, syarat2, ...)</f>
        <v/>
      </c>
      <c r="E37" s="5" t="inlineStr">
        <is>
          <t>Menghasilkan TRUE (Benar) jika MINIMAL SALAH SATU syarat terpenuhi. Lebih fleksibel daripada AND!</t>
        </is>
      </c>
      <c r="F37" s="8" t="inlineStr">
        <is>
          <t>👉 Buka Sheet OR</t>
        </is>
      </c>
    </row>
    <row r="38">
      <c r="A38" s="5" t="n">
        <v>34</v>
      </c>
      <c r="B38" s="6" t="inlineStr">
        <is>
          <t>NOT</t>
        </is>
      </c>
      <c r="C38" s="5" t="inlineStr">
        <is>
          <t>2. Logika &amp; Keputusan</t>
        </is>
      </c>
      <c r="D38" s="7">
        <f>NOT(logika)</f>
        <v/>
      </c>
      <c r="E38" s="5" t="inlineStr">
        <is>
          <t>Membalikkan keadaan logika: yang TRUE dibalik jadi FALSE, yang FALSE dibalik jadi TRUE.</t>
        </is>
      </c>
      <c r="F38" s="8" t="inlineStr">
        <is>
          <t>👉 Buka Sheet NOT</t>
        </is>
      </c>
    </row>
    <row r="39">
      <c r="A39" s="5" t="n">
        <v>35</v>
      </c>
      <c r="B39" s="6" t="inlineStr">
        <is>
          <t>XOR</t>
        </is>
      </c>
      <c r="C39" s="5" t="inlineStr">
        <is>
          <t>2. Logika &amp; Keputusan</t>
        </is>
      </c>
      <c r="D39" s="7">
        <f>XOR(syarat1, syarat2)</f>
        <v/>
      </c>
      <c r="E39" s="5" t="inlineStr">
        <is>
          <t>Logika Eksklusif OR: menghasilkan TRUE jika tepat salah satu syarat benar, tapi FALSE jika keduanya sama-sama benar atau sama-sama salah.</t>
        </is>
      </c>
      <c r="F39" s="8" t="inlineStr">
        <is>
          <t>👉 Buka Sheet XOR</t>
        </is>
      </c>
    </row>
    <row r="40">
      <c r="A40" s="5" t="n">
        <v>36</v>
      </c>
      <c r="B40" s="6" t="inlineStr">
        <is>
          <t>IFERROR</t>
        </is>
      </c>
      <c r="C40" s="5" t="inlineStr">
        <is>
          <t>2. Logika &amp; Keputusan</t>
        </is>
      </c>
      <c r="D40" s="7">
        <f>IFERROR(rumus_utama, nilai_pengganti_jika_error)</f>
        <v/>
      </c>
      <c r="E40" s="5" t="inlineStr">
        <is>
          <t>Sabuk pengaman rumus Excel! Jika rumus utama menghasilkan pesan error (#DIV/0!, #N/A, #VALUE!), otomatis diganti dengan teks/angka yang rapi.</t>
        </is>
      </c>
      <c r="F40" s="8" t="inlineStr">
        <is>
          <t>👉 Buka Sheet IFERROR</t>
        </is>
      </c>
    </row>
    <row r="41">
      <c r="A41" s="5" t="n">
        <v>37</v>
      </c>
      <c r="B41" s="6" t="inlineStr">
        <is>
          <t>IFNA</t>
        </is>
      </c>
      <c r="C41" s="5" t="inlineStr">
        <is>
          <t>2. Logika &amp; Keputusan</t>
        </is>
      </c>
      <c r="D41" s="7">
        <f>IFNA(rumus_lookup, nilai_jika_NA)</f>
        <v/>
      </c>
      <c r="E41" s="5" t="inlineStr">
        <is>
          <t>Penangkap khusus error #N/A saat pencarian VLOOKUP/MATCH tidak menemukan data yang dicari.</t>
        </is>
      </c>
      <c r="F41" s="8" t="inlineStr">
        <is>
          <t>👉 Buka Sheet IFNA</t>
        </is>
      </c>
    </row>
    <row r="42">
      <c r="A42" s="5" t="n">
        <v>38</v>
      </c>
      <c r="B42" s="6" t="inlineStr">
        <is>
          <t>TRUE</t>
        </is>
      </c>
      <c r="C42" s="5" t="inlineStr">
        <is>
          <t>2. Logika &amp; Keputusan</t>
        </is>
      </c>
      <c r="D42" s="7">
        <f>TRUE()</f>
        <v/>
      </c>
      <c r="E42" s="5" t="inlineStr">
        <is>
          <t>Menghasilkan nilai logika benar (TRUE) secara eksplisit untuk tabel kebenaran atau saklar laporan keuangan.</t>
        </is>
      </c>
      <c r="F42" s="8" t="inlineStr">
        <is>
          <t>👉 Buka Sheet TRUE</t>
        </is>
      </c>
    </row>
    <row r="43">
      <c r="A43" s="5" t="n">
        <v>39</v>
      </c>
      <c r="B43" s="6" t="inlineStr">
        <is>
          <t>FALSE</t>
        </is>
      </c>
      <c r="C43" s="5" t="inlineStr">
        <is>
          <t>2. Logika &amp; Keputusan</t>
        </is>
      </c>
      <c r="D43" s="7">
        <f>FALSE()</f>
        <v/>
      </c>
      <c r="E43" s="5" t="inlineStr">
        <is>
          <t>Menghasilkan nilai logika salah (FALSE) secara eksplisit untuk parameter pencarian eksak.</t>
        </is>
      </c>
      <c r="F43" s="8" t="inlineStr">
        <is>
          <t>👉 Buka Sheet FALSE</t>
        </is>
      </c>
    </row>
    <row r="44">
      <c r="A44" s="5" t="n">
        <v>40</v>
      </c>
      <c r="B44" s="6" t="inlineStr">
        <is>
          <t>VLOOKUP</t>
        </is>
      </c>
      <c r="C44" s="5" t="inlineStr">
        <is>
          <t>3. Lookup &amp; Referensi</t>
        </is>
      </c>
      <c r="D44" s="7">
        <f>VLOOKUP(nilai_dicari, tabel_referensi, nomor_kolom, FALSE)</f>
        <v/>
      </c>
      <c r="E44" s="5" t="inlineStr">
        <is>
          <t>Mesin kasir pencari data vertikal! Mencari kode di kolom paling kiri tabel, lalu mengambil informasi pasangannya di kolom sebelah kanan.</t>
        </is>
      </c>
      <c r="F44" s="8" t="inlineStr">
        <is>
          <t>👉 Buka Sheet VLOOKUP</t>
        </is>
      </c>
    </row>
    <row r="45">
      <c r="A45" s="5" t="n">
        <v>41</v>
      </c>
      <c r="B45" s="6" t="inlineStr">
        <is>
          <t>HLOOKUP</t>
        </is>
      </c>
      <c r="C45" s="5" t="inlineStr">
        <is>
          <t>3. Lookup &amp; Referensi</t>
        </is>
      </c>
      <c r="D45" s="7">
        <f>HLOOKUP(nilai_dicari, tabel_horizontal, nomor_baris, FALSE)</f>
        <v/>
      </c>
      <c r="E45" s="5" t="inlineStr">
        <is>
          <t>Sama seperti VLOOKUP tetapi mencari data secara MENDATAR (Horizontal) di baris paling atas lalu turun ke baris di bawahnya.</t>
        </is>
      </c>
      <c r="F45" s="8" t="inlineStr">
        <is>
          <t>👉 Buka Sheet HLOOKUP</t>
        </is>
      </c>
    </row>
    <row r="46">
      <c r="A46" s="5" t="n">
        <v>42</v>
      </c>
      <c r="B46" s="6" t="inlineStr">
        <is>
          <t>INDEX</t>
        </is>
      </c>
      <c r="C46" s="5" t="inlineStr">
        <is>
          <t>3. Lookup &amp; Referensi</t>
        </is>
      </c>
      <c r="D46" s="7">
        <f>INDEX(range_data, nomor_baris, [nomor_kolom])</f>
        <v/>
      </c>
      <c r="E46" s="5" t="inlineStr">
        <is>
          <t>Mengambil isi sel pada koordinat urutan baris dan kolom tertentu di dalam suatu blok tabel (seperti menunjuk kursi bioskop Baris 3!).</t>
        </is>
      </c>
      <c r="F46" s="8" t="inlineStr">
        <is>
          <t>👉 Buka Sheet INDEX</t>
        </is>
      </c>
    </row>
    <row r="47">
      <c r="A47" s="5" t="n">
        <v>43</v>
      </c>
      <c r="B47" s="6" t="inlineStr">
        <is>
          <t>MATCH</t>
        </is>
      </c>
      <c r="C47" s="5" t="inlineStr">
        <is>
          <t>3. Lookup &amp; Referensi</t>
        </is>
      </c>
      <c r="D47" s="7">
        <f>MATCH(nilai_dicari, range_satu_kolom, 0)</f>
        <v/>
      </c>
      <c r="E47" s="5" t="inlineStr">
        <is>
          <t>Mencari tahu suatu data berada di URUTAN BARIS KE BERAPA di dalam sebuah daftar (menghasilkan nomor urut posisi 1, 2, 3...).</t>
        </is>
      </c>
      <c r="F47" s="8" t="inlineStr">
        <is>
          <t>👉 Buka Sheet MATCH</t>
        </is>
      </c>
    </row>
    <row r="48">
      <c r="A48" s="5" t="n">
        <v>44</v>
      </c>
      <c r="B48" s="6" t="inlineStr">
        <is>
          <t>CHOOSE</t>
        </is>
      </c>
      <c r="C48" s="5" t="inlineStr">
        <is>
          <t>3. Lookup &amp; Referensi</t>
        </is>
      </c>
      <c r="D48" s="7">
        <f>CHOOSE(nomor_pilihan, nilai1, nilai2, nilai3, ...)</f>
        <v/>
      </c>
      <c r="E48" s="5" t="inlineStr">
        <is>
          <t>Memilih satu item dari daftar berdasarkan nomor urut tombol (1 = pilih nilai pertama, 2 = pilih nilai kedua, dst).</t>
        </is>
      </c>
      <c r="F48" s="8" t="inlineStr">
        <is>
          <t>👉 Buka Sheet CHOOSE</t>
        </is>
      </c>
    </row>
    <row r="49">
      <c r="A49" s="5" t="n">
        <v>45</v>
      </c>
      <c r="B49" s="6" t="inlineStr">
        <is>
          <t>ROW</t>
        </is>
      </c>
      <c r="C49" s="5" t="inlineStr">
        <is>
          <t>3. Lookup &amp; Referensi</t>
        </is>
      </c>
      <c r="D49" s="7">
        <f>ROW([referensi_sel])</f>
        <v/>
      </c>
      <c r="E49" s="5" t="inlineStr">
        <is>
          <t>Memberitahu nomor baris tempat sebuah sel berada (misal ROW(C19) menghasilkan angka 19).</t>
        </is>
      </c>
      <c r="F49" s="8" t="inlineStr">
        <is>
          <t>👉 Buka Sheet ROW</t>
        </is>
      </c>
    </row>
    <row r="50">
      <c r="A50" s="5" t="n">
        <v>46</v>
      </c>
      <c r="B50" s="6" t="inlineStr">
        <is>
          <t>COLUMN</t>
        </is>
      </c>
      <c r="C50" s="5" t="inlineStr">
        <is>
          <t>3. Lookup &amp; Referensi</t>
        </is>
      </c>
      <c r="D50" s="7">
        <f>COLUMN([referensi_sel])</f>
        <v/>
      </c>
      <c r="E50" s="5" t="inlineStr">
        <is>
          <t>Memberitahu nomor urut kolom sebuah sel (Kolom A = 1, Kolom B = 2, Kolom C = 3, dst).</t>
        </is>
      </c>
      <c r="F50" s="8" t="inlineStr">
        <is>
          <t>👉 Buka Sheet COLUMN</t>
        </is>
      </c>
    </row>
    <row r="51">
      <c r="A51" s="5" t="n">
        <v>47</v>
      </c>
      <c r="B51" s="6" t="inlineStr">
        <is>
          <t>ROWS</t>
        </is>
      </c>
      <c r="C51" s="5" t="inlineStr">
        <is>
          <t>3. Lookup &amp; Referensi</t>
        </is>
      </c>
      <c r="D51" s="7">
        <f>ROWS(range_tabel)</f>
        <v/>
      </c>
      <c r="E51" s="5" t="inlineStr">
        <is>
          <t>Menghitung ada berapa total baris di dalam suatu blok tabel.</t>
        </is>
      </c>
      <c r="F51" s="8" t="inlineStr">
        <is>
          <t>👉 Buka Sheet ROWS</t>
        </is>
      </c>
    </row>
    <row r="52">
      <c r="A52" s="5" t="n">
        <v>48</v>
      </c>
      <c r="B52" s="6" t="inlineStr">
        <is>
          <t>COLUMNS</t>
        </is>
      </c>
      <c r="C52" s="5" t="inlineStr">
        <is>
          <t>3. Lookup &amp; Referensi</t>
        </is>
      </c>
      <c r="D52" s="7">
        <f>COLUMNS(range_tabel)</f>
        <v/>
      </c>
      <c r="E52" s="5" t="inlineStr">
        <is>
          <t>Menghitung ada berapa total kolom menyamping di dalam suatu blok tabel.</t>
        </is>
      </c>
      <c r="F52" s="8" t="inlineStr">
        <is>
          <t>👉 Buka Sheet COLUMNS</t>
        </is>
      </c>
    </row>
    <row r="53">
      <c r="A53" s="5" t="n">
        <v>49</v>
      </c>
      <c r="B53" s="6" t="inlineStr">
        <is>
          <t>ADDRESS</t>
        </is>
      </c>
      <c r="C53" s="5" t="inlineStr">
        <is>
          <t>3. Lookup &amp; Referensi</t>
        </is>
      </c>
      <c r="D53" s="7">
        <f>ADDRESS(nomor_baris, nomor_kolom)</f>
        <v/>
      </c>
      <c r="E53" s="5" t="inlineStr">
        <is>
          <t>Merakit teks alamat koordinat sel (seperti $C$19) dari angka nomor baris dan nomor kolom.</t>
        </is>
      </c>
      <c r="F53" s="8" t="inlineStr">
        <is>
          <t>👉 Buka Sheet ADDRESS</t>
        </is>
      </c>
    </row>
    <row r="54">
      <c r="A54" s="5" t="n">
        <v>50</v>
      </c>
      <c r="B54" s="6" t="inlineStr">
        <is>
          <t>OFFSET</t>
        </is>
      </c>
      <c r="C54" s="5" t="inlineStr">
        <is>
          <t>3. Lookup &amp; Referensi</t>
        </is>
      </c>
      <c r="D54" s="7">
        <f>OFFSET(sel_awal, geser_baris, geser_kolom)</f>
        <v/>
      </c>
      <c r="E54" s="5" t="inlineStr">
        <is>
          <t>Mengambil data dari sel lain dengan cara melangkah/bergeser sejumlah baris ke bawah dan kolom ke samping dari titik awal.</t>
        </is>
      </c>
      <c r="F54" s="8" t="inlineStr">
        <is>
          <t>👉 Buka Sheet OFFSET</t>
        </is>
      </c>
    </row>
    <row r="55">
      <c r="A55" s="5" t="n">
        <v>51</v>
      </c>
      <c r="B55" s="6" t="inlineStr">
        <is>
          <t>INDIRECT</t>
        </is>
      </c>
      <c r="C55" s="5" t="inlineStr">
        <is>
          <t>3. Lookup &amp; Referensi</t>
        </is>
      </c>
      <c r="D55" s="7">
        <f>INDIRECT(teks_alamat_sel)</f>
        <v/>
      </c>
      <c r="E55" s="5" t="inlineStr">
        <is>
          <t>Mengubah tulisan teks biasa yang berisi alamat sel menjadi rujukan sel hidup yang diambil nilainya!</t>
        </is>
      </c>
      <c r="F55" s="8" t="inlineStr">
        <is>
          <t>👉 Buka Sheet INDIRECT</t>
        </is>
      </c>
    </row>
    <row r="56">
      <c r="A56" s="5" t="n">
        <v>52</v>
      </c>
      <c r="B56" s="6" t="inlineStr">
        <is>
          <t>LEFT</t>
        </is>
      </c>
      <c r="C56" s="5" t="inlineStr">
        <is>
          <t>4. Pengolahan Teks</t>
        </is>
      </c>
      <c r="D56" s="7">
        <f>LEFT(teks, jumlah_karakter)</f>
        <v/>
      </c>
      <c r="E56" s="5" t="inlineStr">
        <is>
          <t>Memotong dan mengambil sejumlah huruf dari sebelah KIRI (awal kata/kode barang).</t>
        </is>
      </c>
      <c r="F56" s="8" t="inlineStr">
        <is>
          <t>👉 Buka Sheet LEFT</t>
        </is>
      </c>
    </row>
    <row r="57">
      <c r="A57" s="5" t="n">
        <v>53</v>
      </c>
      <c r="B57" s="6" t="inlineStr">
        <is>
          <t>RIGHT</t>
        </is>
      </c>
      <c r="C57" s="5" t="inlineStr">
        <is>
          <t>4. Pengolahan Teks</t>
        </is>
      </c>
      <c r="D57" s="7">
        <f>RIGHT(teks, jumlah_karakter)</f>
        <v/>
      </c>
      <c r="E57" s="5" t="inlineStr">
        <is>
          <t>Memotong dan mengambil sejumlah huruf dari sebelah KANAN (ujung belakang kata/kode barang).</t>
        </is>
      </c>
      <c r="F57" s="8" t="inlineStr">
        <is>
          <t>👉 Buka Sheet RIGHT</t>
        </is>
      </c>
    </row>
    <row r="58">
      <c r="A58" s="5" t="n">
        <v>54</v>
      </c>
      <c r="B58" s="6" t="inlineStr">
        <is>
          <t>MID</t>
        </is>
      </c>
      <c r="C58" s="5" t="inlineStr">
        <is>
          <t>4. Pengolahan Teks</t>
        </is>
      </c>
      <c r="D58" s="7">
        <f>MID(teks, posisi_mulai, jumlah_karakter)</f>
        <v/>
      </c>
      <c r="E58" s="5" t="inlineStr">
        <is>
          <t>Mengambil huruf dari bagian TENGAH teks, dimulai dari urutan huruf tertentu sebanyak beberapa karakter.</t>
        </is>
      </c>
      <c r="F58" s="8" t="inlineStr">
        <is>
          <t>👉 Buka Sheet MID</t>
        </is>
      </c>
    </row>
    <row r="59">
      <c r="A59" s="5" t="n">
        <v>55</v>
      </c>
      <c r="B59" s="6" t="inlineStr">
        <is>
          <t>LEN</t>
        </is>
      </c>
      <c r="C59" s="5" t="inlineStr">
        <is>
          <t>4. Pengolahan Teks</t>
        </is>
      </c>
      <c r="D59" s="7">
        <f>LEN(teks)</f>
        <v/>
      </c>
      <c r="E59" s="5" t="inlineStr">
        <is>
          <t>Menghitung total panjang karakter (jumlah huruf, angka, dan spasi) di dalam sebuah sel. Wajib untuk validasi panjang NIK 16 digit!</t>
        </is>
      </c>
      <c r="F59" s="8" t="inlineStr">
        <is>
          <t>👉 Buka Sheet LEN</t>
        </is>
      </c>
    </row>
    <row r="60">
      <c r="A60" s="5" t="n">
        <v>56</v>
      </c>
      <c r="B60" s="6" t="inlineStr">
        <is>
          <t>TRIM</t>
        </is>
      </c>
      <c r="C60" s="5" t="inlineStr">
        <is>
          <t>4. Pengolahan Teks</t>
        </is>
      </c>
      <c r="D60" s="7">
        <f>TRIM(teks)</f>
        <v/>
      </c>
      <c r="E60" s="5" t="inlineStr">
        <is>
          <t>Sapu pembersih spasi! Menghapus spasi ganda yang berantakan di awal, tengah, atau akhir kalimat sehingga rapi.</t>
        </is>
      </c>
      <c r="F60" s="8" t="inlineStr">
        <is>
          <t>👉 Buka Sheet TRIM</t>
        </is>
      </c>
    </row>
    <row r="61">
      <c r="A61" s="5" t="n">
        <v>57</v>
      </c>
      <c r="B61" s="6" t="inlineStr">
        <is>
          <t>CLEAN</t>
        </is>
      </c>
      <c r="C61" s="5" t="inlineStr">
        <is>
          <t>4. Pengolahan Teks</t>
        </is>
      </c>
      <c r="D61" s="7">
        <f>CLEAN(teks)</f>
        <v/>
      </c>
      <c r="E61" s="5" t="inlineStr">
        <is>
          <t>Membersihkan karakter aneh tak terlihat (non-printable characters) hasil copy-paste dari web atau sistem database.</t>
        </is>
      </c>
      <c r="F61" s="8" t="inlineStr">
        <is>
          <t>👉 Buka Sheet CLEAN</t>
        </is>
      </c>
    </row>
    <row r="62">
      <c r="A62" s="5" t="n">
        <v>58</v>
      </c>
      <c r="B62" s="6" t="inlineStr">
        <is>
          <t>UPPER</t>
        </is>
      </c>
      <c r="C62" s="5" t="inlineStr">
        <is>
          <t>4. Pengolahan Teks</t>
        </is>
      </c>
      <c r="D62" s="7">
        <f>UPPER(teks)</f>
        <v/>
      </c>
      <c r="E62" s="5" t="inlineStr">
        <is>
          <t>Mengubah seluruh huruf di dalam sel menjadi HURUF BESAR (KAPITAL) semua.</t>
        </is>
      </c>
      <c r="F62" s="8" t="inlineStr">
        <is>
          <t>👉 Buka Sheet UPPER</t>
        </is>
      </c>
    </row>
    <row r="63">
      <c r="A63" s="5" t="n">
        <v>59</v>
      </c>
      <c r="B63" s="6" t="inlineStr">
        <is>
          <t>LOWER</t>
        </is>
      </c>
      <c r="C63" s="5" t="inlineStr">
        <is>
          <t>4. Pengolahan Teks</t>
        </is>
      </c>
      <c r="D63" s="7">
        <f>LOWER(teks)</f>
        <v/>
      </c>
      <c r="E63" s="5" t="inlineStr">
        <is>
          <t>Mengubah seluruh huruf di dalam sel menjadi huruf kecil semua (cocok untuk merapikan alamat email).</t>
        </is>
      </c>
      <c r="F63" s="8" t="inlineStr">
        <is>
          <t>👉 Buka Sheet LOWER</t>
        </is>
      </c>
    </row>
    <row r="64">
      <c r="A64" s="5" t="n">
        <v>60</v>
      </c>
      <c r="B64" s="6" t="inlineStr">
        <is>
          <t>PROPER</t>
        </is>
      </c>
      <c r="C64" s="5" t="inlineStr">
        <is>
          <t>4. Pengolahan Teks</t>
        </is>
      </c>
      <c r="D64" s="7">
        <f>PROPER(teks)</f>
        <v/>
      </c>
      <c r="E64" s="5" t="inlineStr">
        <is>
          <t>Mengubah huruf pertama di setiap awal kata menjadi Huruf Besar (Title Case), sangat cocok untuk merapikan daftar Nama Lengkap!</t>
        </is>
      </c>
      <c r="F64" s="8" t="inlineStr">
        <is>
          <t>👉 Buka Sheet PROPER</t>
        </is>
      </c>
    </row>
    <row r="65">
      <c r="A65" s="5" t="n">
        <v>61</v>
      </c>
      <c r="B65" s="6" t="inlineStr">
        <is>
          <t>CONCATENATE</t>
        </is>
      </c>
      <c r="C65" s="5" t="inlineStr">
        <is>
          <t>4. Pengolahan Teks</t>
        </is>
      </c>
      <c r="D65" s="7">
        <f>CONCATENATE(teks1, teks2, ...)</f>
        <v/>
      </c>
      <c r="E65" s="5" t="inlineStr">
        <is>
          <t>Lem perekat teks! Menggabungkan isi dari beberapa sel terpisah (misal Nama Depan dan Nama Belakang) menjadi satu kalimat utuh.</t>
        </is>
      </c>
      <c r="F65" s="8" t="inlineStr">
        <is>
          <t>👉 Buka Sheet CONCATENATE</t>
        </is>
      </c>
    </row>
    <row r="66">
      <c r="A66" s="5" t="n">
        <v>62</v>
      </c>
      <c r="B66" s="6" t="inlineStr">
        <is>
          <t>EXACT</t>
        </is>
      </c>
      <c r="C66" s="5" t="inlineStr">
        <is>
          <t>4. Pengolahan Teks</t>
        </is>
      </c>
      <c r="D66" s="7">
        <f>EXACT(teks1, teks2)</f>
        <v/>
      </c>
      <c r="E66" s="5" t="inlineStr">
        <is>
          <t>Detektor kembar identik! Membandingkan apakah dua teks sama persis sampai ke huruf besar-kecilnya (Case-Sensitive).</t>
        </is>
      </c>
      <c r="F66" s="8" t="inlineStr">
        <is>
          <t>👉 Buka Sheet EXACT</t>
        </is>
      </c>
    </row>
    <row r="67">
      <c r="A67" s="5" t="n">
        <v>63</v>
      </c>
      <c r="B67" s="6" t="inlineStr">
        <is>
          <t>FIND</t>
        </is>
      </c>
      <c r="C67" s="5" t="inlineStr">
        <is>
          <t>4. Pengolahan Teks</t>
        </is>
      </c>
      <c r="D67" s="7">
        <f>FIND(teks_dicari, di_dalam_teks)</f>
        <v/>
      </c>
      <c r="E67" s="5" t="inlineStr">
        <is>
          <t>Mencari tahu suatu huruf atau simbol berada pada urutan karakter ke berapa (membedakan huruf besar dan kecil).</t>
        </is>
      </c>
      <c r="F67" s="8" t="inlineStr">
        <is>
          <t>👉 Buka Sheet FIND</t>
        </is>
      </c>
    </row>
    <row r="68">
      <c r="A68" s="5" t="n">
        <v>64</v>
      </c>
      <c r="B68" s="6" t="inlineStr">
        <is>
          <t>SEARCH</t>
        </is>
      </c>
      <c r="C68" s="5" t="inlineStr">
        <is>
          <t>4. Pengolahan Teks</t>
        </is>
      </c>
      <c r="D68" s="7">
        <f>SEARCH(teks_dicari, di_dalam_teks)</f>
        <v/>
      </c>
      <c r="E68" s="5" t="inlineStr">
        <is>
          <t>Sama seperti FIND (mencari posisi urutan huruf), tetapi TIDAK membedakan huruf besar maupun kecil!</t>
        </is>
      </c>
      <c r="F68" s="8" t="inlineStr">
        <is>
          <t>👉 Buka Sheet SEARCH</t>
        </is>
      </c>
    </row>
    <row r="69">
      <c r="A69" s="5" t="n">
        <v>65</v>
      </c>
      <c r="B69" s="6" t="inlineStr">
        <is>
          <t>SUBSTITUTE</t>
        </is>
      </c>
      <c r="C69" s="5" t="inlineStr">
        <is>
          <t>4. Pengolahan Teks</t>
        </is>
      </c>
      <c r="D69" s="7">
        <f>SUBSTITUTE(teks, teks_lama, teks_baru)</f>
        <v/>
      </c>
      <c r="E69" s="5" t="inlineStr">
        <is>
          <t>Mengganti kata atau simbol tertentu di dalam sel dengan kata/simbol baru secara otomatis (misal ganti tanda '-' menjadi '/').</t>
        </is>
      </c>
      <c r="F69" s="8" t="inlineStr">
        <is>
          <t>👉 Buka Sheet SUBSTITUTE</t>
        </is>
      </c>
    </row>
    <row r="70">
      <c r="A70" s="5" t="n">
        <v>66</v>
      </c>
      <c r="B70" s="6" t="inlineStr">
        <is>
          <t>REPLACE</t>
        </is>
      </c>
      <c r="C70" s="5" t="inlineStr">
        <is>
          <t>4. Pengolahan Teks</t>
        </is>
      </c>
      <c r="D70" s="7">
        <f>REPLACE(teks_lama, posisi_mulai, jumlah_diganti, teks_baru)</f>
        <v/>
      </c>
      <c r="E70" s="5" t="inlineStr">
        <is>
          <t>Mengganti sebagian isi teks berdasarkan posisi nomor urut karakter dan panjang huruf yang ingin ditimpa.</t>
        </is>
      </c>
      <c r="F70" s="8" t="inlineStr">
        <is>
          <t>👉 Buka Sheet REPLACE</t>
        </is>
      </c>
    </row>
    <row r="71">
      <c r="A71" s="5" t="n">
        <v>67</v>
      </c>
      <c r="B71" s="6" t="inlineStr">
        <is>
          <t>REPT</t>
        </is>
      </c>
      <c r="C71" s="5" t="inlineStr">
        <is>
          <t>4. Pengolahan Teks</t>
        </is>
      </c>
      <c r="D71" s="7">
        <f>REPT(teks, jumlah_ulang)</f>
        <v/>
      </c>
      <c r="E71" s="5" t="inlineStr">
        <is>
          <t>Mengulang teks atau simbol berkali-kali (sering dipakai membuat grafik bintang ⭐⭐⭐⭐⭐ langsung di dalam sel Excel!).</t>
        </is>
      </c>
      <c r="F71" s="8" t="inlineStr">
        <is>
          <t>👉 Buka Sheet REPT</t>
        </is>
      </c>
    </row>
    <row r="72">
      <c r="A72" s="5" t="n">
        <v>68</v>
      </c>
      <c r="B72" s="6" t="inlineStr">
        <is>
          <t>VALUE</t>
        </is>
      </c>
      <c r="C72" s="5" t="inlineStr">
        <is>
          <t>4. Pengolahan Teks</t>
        </is>
      </c>
      <c r="D72" s="7">
        <f>VALUE(teks_angka)</f>
        <v/>
      </c>
      <c r="E72" s="5" t="inlineStr">
        <is>
          <t>Mengubah angka yang berstatus 'Teks' (biasanya rata kiri dan tidak bisa di-SUM) kembali menjadi Angka Murni yang bisa dihitung!</t>
        </is>
      </c>
      <c r="F72" s="8" t="inlineStr">
        <is>
          <t>👉 Buka Sheet VALUE</t>
        </is>
      </c>
    </row>
    <row r="73">
      <c r="A73" s="5" t="n">
        <v>69</v>
      </c>
      <c r="B73" s="6" t="inlineStr">
        <is>
          <t>TEXT</t>
        </is>
      </c>
      <c r="C73" s="5" t="inlineStr">
        <is>
          <t>4. Pengolahan Teks</t>
        </is>
      </c>
      <c r="D73" s="7">
        <f>TEXT(nilai, format_tampilan)</f>
        <v/>
      </c>
      <c r="E73" s="5" t="inlineStr">
        <is>
          <t>Mengubah angka atau tanggal menjadi teks dengan format tampilan cantik sesuai keinginan (misal "#,##0").</t>
        </is>
      </c>
      <c r="F73" s="8" t="inlineStr">
        <is>
          <t>👉 Buka Sheet TEXT</t>
        </is>
      </c>
    </row>
    <row r="74">
      <c r="A74" s="5" t="n">
        <v>70</v>
      </c>
      <c r="B74" s="6" t="inlineStr">
        <is>
          <t>DATE</t>
        </is>
      </c>
      <c r="C74" s="5" t="inlineStr">
        <is>
          <t>5. Tanggal &amp; Waktu HRD</t>
        </is>
      </c>
      <c r="D74" s="7">
        <f>DATE(tahun, bulan, tanggal)</f>
        <v/>
      </c>
      <c r="E74" s="5" t="inlineStr">
        <is>
          <t>Merakit 3 angka terpisah (Tahun, Bulan, Hari) menjadi satu Tanggal Resmi Excel yang valid!</t>
        </is>
      </c>
      <c r="F74" s="8" t="inlineStr">
        <is>
          <t>👉 Buka Sheet DATE</t>
        </is>
      </c>
    </row>
    <row r="75">
      <c r="A75" s="5" t="n">
        <v>71</v>
      </c>
      <c r="B75" s="6" t="inlineStr">
        <is>
          <t>YEAR</t>
        </is>
      </c>
      <c r="C75" s="5" t="inlineStr">
        <is>
          <t>5. Tanggal &amp; Waktu HRD</t>
        </is>
      </c>
      <c r="D75" s="7">
        <f>YEAR(tanggal)</f>
        <v/>
      </c>
      <c r="E75" s="5" t="inlineStr">
        <is>
          <t>Mengambil angka TAHUN (4 digit, misal 2026) dari sebuah sel tanggal.</t>
        </is>
      </c>
      <c r="F75" s="8" t="inlineStr">
        <is>
          <t>👉 Buka Sheet YEAR</t>
        </is>
      </c>
    </row>
    <row r="76">
      <c r="A76" s="5" t="n">
        <v>72</v>
      </c>
      <c r="B76" s="6" t="inlineStr">
        <is>
          <t>MONTH</t>
        </is>
      </c>
      <c r="C76" s="5" t="inlineStr">
        <is>
          <t>5. Tanggal &amp; Waktu HRD</t>
        </is>
      </c>
      <c r="D76" s="7">
        <f>MONTH(tanggal)</f>
        <v/>
      </c>
      <c r="E76" s="5" t="inlineStr">
        <is>
          <t>Mengambil angka BULAN (1 sampai 12) dari sebuah sel tanggal.</t>
        </is>
      </c>
      <c r="F76" s="8" t="inlineStr">
        <is>
          <t>👉 Buka Sheet MONTH</t>
        </is>
      </c>
    </row>
    <row r="77">
      <c r="A77" s="5" t="n">
        <v>73</v>
      </c>
      <c r="B77" s="6" t="inlineStr">
        <is>
          <t>DAY</t>
        </is>
      </c>
      <c r="C77" s="5" t="inlineStr">
        <is>
          <t>5. Tanggal &amp; Waktu HRD</t>
        </is>
      </c>
      <c r="D77" s="7">
        <f>DAY(tanggal)</f>
        <v/>
      </c>
      <c r="E77" s="5" t="inlineStr">
        <is>
          <t>Mengambil angka HARI/TANGGAL (1 sampai 31) dari sebuah sel tanggal.</t>
        </is>
      </c>
      <c r="F77" s="8" t="inlineStr">
        <is>
          <t>👉 Buka Sheet DAY</t>
        </is>
      </c>
    </row>
    <row r="78">
      <c r="A78" s="5" t="n">
        <v>74</v>
      </c>
      <c r="B78" s="6" t="inlineStr">
        <is>
          <t>DAYS</t>
        </is>
      </c>
      <c r="C78" s="5" t="inlineStr">
        <is>
          <t>5. Tanggal &amp; Waktu HRD</t>
        </is>
      </c>
      <c r="D78" s="7">
        <f>DAYS(tanggal_akhir, tanggal_awal)</f>
        <v/>
      </c>
      <c r="E78" s="5" t="inlineStr">
        <is>
          <t>Menghitung jumlah hari selisih antara Tanggal Akhir dan Tanggal Awal (misal lama keterlambatan proyek).</t>
        </is>
      </c>
      <c r="F78" s="8" t="inlineStr">
        <is>
          <t>👉 Buka Sheet DAYS</t>
        </is>
      </c>
    </row>
    <row r="79">
      <c r="A79" s="5" t="n">
        <v>75</v>
      </c>
      <c r="B79" s="6" t="inlineStr">
        <is>
          <t>DATEDIF</t>
        </is>
      </c>
      <c r="C79" s="5" t="inlineStr">
        <is>
          <t>5. Tanggal &amp; Waktu HRD</t>
        </is>
      </c>
      <c r="D79" s="7">
        <f>DATEDIF(tanggal_awal, tanggal_akhir, satuan)</f>
        <v/>
      </c>
      <c r="E79" s="5" t="inlineStr">
        <is>
          <t>Rumus legendaris HRD untuk menghitung Umur atau Masa Kerja karyawan dalam Tahun ("Y"), Bulan ("M"), atau Hari ("D").</t>
        </is>
      </c>
      <c r="F79" s="8" t="inlineStr">
        <is>
          <t>👉 Buka Sheet DATEDIF</t>
        </is>
      </c>
    </row>
    <row r="80">
      <c r="A80" s="5" t="n">
        <v>76</v>
      </c>
      <c r="B80" s="6" t="inlineStr">
        <is>
          <t>EDATE</t>
        </is>
      </c>
      <c r="C80" s="5" t="inlineStr">
        <is>
          <t>5. Tanggal &amp; Waktu HRD</t>
        </is>
      </c>
      <c r="D80" s="7">
        <f>EDATE(tanggal_awal, jumlah_bulan)</f>
        <v/>
      </c>
      <c r="E80" s="5" t="inlineStr">
        <is>
          <t>Mencari tanggal jatuh tempo yang berjarak sekian bulan persis dari tanggal awal (misal masa kontrak 3 bulan ke depan).</t>
        </is>
      </c>
      <c r="F80" s="8" t="inlineStr">
        <is>
          <t>👉 Buka Sheet EDATE</t>
        </is>
      </c>
    </row>
    <row r="81">
      <c r="A81" s="5" t="n">
        <v>77</v>
      </c>
      <c r="B81" s="6" t="inlineStr">
        <is>
          <t>EOMONTH</t>
        </is>
      </c>
      <c r="C81" s="5" t="inlineStr">
        <is>
          <t>5. Tanggal &amp; Waktu HRD</t>
        </is>
      </c>
      <c r="D81" s="7">
        <f>EOMONTH(tanggal_awal, jumlah_bulan)</f>
        <v/>
      </c>
      <c r="E81" s="5" t="inlineStr">
        <is>
          <t>Mencari tanggal TERAKHIR di suatu bulan (End of Month) — wajib untuk jadwal gajian akhir bulan atau tutup buku akuntansi!</t>
        </is>
      </c>
      <c r="F81" s="8" t="inlineStr">
        <is>
          <t>👉 Buka Sheet EOMONTH</t>
        </is>
      </c>
    </row>
    <row r="82">
      <c r="A82" s="5" t="n">
        <v>78</v>
      </c>
      <c r="B82" s="6" t="inlineStr">
        <is>
          <t>NETWORKDAYS</t>
        </is>
      </c>
      <c r="C82" s="5" t="inlineStr">
        <is>
          <t>5. Tanggal &amp; Waktu HRD</t>
        </is>
      </c>
      <c r="D82" s="7">
        <f>NETWORKDAYS(tanggal_awal, tanggal_akhir)</f>
        <v/>
      </c>
      <c r="E82" s="5" t="inlineStr">
        <is>
          <t>Menghitung jumlah HARI KERJA EFEKTIF (Senin–Jumat) dan otomatis memotong hari libur Sabtu &amp; Minggu!</t>
        </is>
      </c>
      <c r="F82" s="8" t="inlineStr">
        <is>
          <t>👉 Buka Sheet NETWORKDAYS</t>
        </is>
      </c>
    </row>
    <row r="83">
      <c r="A83" s="5" t="n">
        <v>79</v>
      </c>
      <c r="B83" s="6" t="inlineStr">
        <is>
          <t>WORKDAY</t>
        </is>
      </c>
      <c r="C83" s="5" t="inlineStr">
        <is>
          <t>5. Tanggal &amp; Waktu HRD</t>
        </is>
      </c>
      <c r="D83" s="7">
        <f>WORKDAY(tanggal_awal, jumlah_hari_kerja)</f>
        <v/>
      </c>
      <c r="E83" s="5" t="inlineStr">
        <is>
          <t>Mencari tahu tanggal berapa proyek selesai jika dikerjakan selama N hari kerja efektif (tidak termasuk Sabtu &amp; Minggu).</t>
        </is>
      </c>
      <c r="F83" s="8" t="inlineStr">
        <is>
          <t>👉 Buka Sheet WORKDAY</t>
        </is>
      </c>
    </row>
    <row r="84">
      <c r="A84" s="5" t="n">
        <v>80</v>
      </c>
      <c r="B84" s="6" t="inlineStr">
        <is>
          <t>WEEKDAY</t>
        </is>
      </c>
      <c r="C84" s="5" t="inlineStr">
        <is>
          <t>5. Tanggal &amp; Waktu HRD</t>
        </is>
      </c>
      <c r="D84" s="7">
        <f>WEEKDAY(tanggal)</f>
        <v/>
      </c>
      <c r="E84" s="5" t="inlineStr">
        <is>
          <t>Menghasilkan angka hari dalam seminggu (1 = Minggu, 2 = Senin, ..., 7 = Sabtu) untuk mengecek apakah transaksi jatuh di akhir pekan.</t>
        </is>
      </c>
      <c r="F84" s="8" t="inlineStr">
        <is>
          <t>👉 Buka Sheet WEEKDAY</t>
        </is>
      </c>
    </row>
    <row r="85">
      <c r="A85" s="5" t="n">
        <v>81</v>
      </c>
      <c r="B85" s="6" t="inlineStr">
        <is>
          <t>WEEKNUM</t>
        </is>
      </c>
      <c r="C85" s="5" t="inlineStr">
        <is>
          <t>5. Tanggal &amp; Waktu HRD</t>
        </is>
      </c>
      <c r="D85" s="7">
        <f>WEEKNUM(tanggal)</f>
        <v/>
      </c>
      <c r="E85" s="5" t="inlineStr">
        <is>
          <t>Memberitahu tanggal tersebut berada pada Minggu ke-berapa di dalam kalender tahun berjalan (Minggu 1 s/d 52).</t>
        </is>
      </c>
      <c r="F85" s="8" t="inlineStr">
        <is>
          <t>👉 Buka Sheet WEEKNUM</t>
        </is>
      </c>
    </row>
    <row r="86">
      <c r="A86" s="5" t="n">
        <v>82</v>
      </c>
      <c r="B86" s="6" t="inlineStr">
        <is>
          <t>HOUR</t>
        </is>
      </c>
      <c r="C86" s="5" t="inlineStr">
        <is>
          <t>5. Tanggal &amp; Waktu HRD</t>
        </is>
      </c>
      <c r="D86" s="7">
        <f>HOUR(waktu)</f>
        <v/>
      </c>
      <c r="E86" s="5" t="inlineStr">
        <is>
          <t>Mengambil angka JAM (0 sampai 23) dari data waktu absensi masuk/pulang.</t>
        </is>
      </c>
      <c r="F86" s="8" t="inlineStr">
        <is>
          <t>👉 Buka Sheet HOUR</t>
        </is>
      </c>
    </row>
    <row r="87">
      <c r="A87" s="5" t="n">
        <v>83</v>
      </c>
      <c r="B87" s="6" t="inlineStr">
        <is>
          <t>MINUTE</t>
        </is>
      </c>
      <c r="C87" s="5" t="inlineStr">
        <is>
          <t>5. Tanggal &amp; Waktu HRD</t>
        </is>
      </c>
      <c r="D87" s="7">
        <f>MINUTE(waktu)</f>
        <v/>
      </c>
      <c r="E87" s="5" t="inlineStr">
        <is>
          <t>Mengambil angka MENIT (0 sampai 59) dari data waktu absensi untuk menghitung menit keterlambatan.</t>
        </is>
      </c>
      <c r="F87" s="8" t="inlineStr">
        <is>
          <t>👉 Buka Sheet MINUTE</t>
        </is>
      </c>
    </row>
    <row r="88">
      <c r="A88" s="5" t="n">
        <v>84</v>
      </c>
      <c r="B88" s="6" t="inlineStr">
        <is>
          <t>SECOND</t>
        </is>
      </c>
      <c r="C88" s="5" t="inlineStr">
        <is>
          <t>5. Tanggal &amp; Waktu HRD</t>
        </is>
      </c>
      <c r="D88" s="7">
        <f>SECOND(waktu)</f>
        <v/>
      </c>
      <c r="E88" s="5" t="inlineStr">
        <is>
          <t>Mengambil angka DETIK (0 sampai 59) dari catatan waktu.</t>
        </is>
      </c>
      <c r="F88" s="8" t="inlineStr">
        <is>
          <t>👉 Buka Sheet SECOND</t>
        </is>
      </c>
    </row>
    <row r="89">
      <c r="A89" s="5" t="n">
        <v>85</v>
      </c>
      <c r="B89" s="6" t="inlineStr">
        <is>
          <t>PMT</t>
        </is>
      </c>
      <c r="C89" s="5" t="inlineStr">
        <is>
          <t>6. Keuangan &amp; Investasi</t>
        </is>
      </c>
      <c r="D89" s="7">
        <f>PMT(bunga_per_periode, total_periode, nilai_pinjaman)</f>
        <v/>
      </c>
      <c r="E89" s="5" t="inlineStr">
        <is>
          <t>Menghitung besaran cicilan tetap bulanan (KPR Rumah, Kredit Mobil, atau Pinjaman Bank) berdasarkan suku bunga dan tenor.</t>
        </is>
      </c>
      <c r="F89" s="8" t="inlineStr">
        <is>
          <t>👉 Buka Sheet PMT</t>
        </is>
      </c>
    </row>
    <row r="90">
      <c r="A90" s="5" t="n">
        <v>86</v>
      </c>
      <c r="B90" s="6" t="inlineStr">
        <is>
          <t>IPMT</t>
        </is>
      </c>
      <c r="C90" s="5" t="inlineStr">
        <is>
          <t>6. Keuangan &amp; Investasi</t>
        </is>
      </c>
      <c r="D90" s="7">
        <f>IPMT(bunga, periode_ke, total_periode, nilai_pinjaman)</f>
        <v/>
      </c>
      <c r="E90" s="5" t="inlineStr">
        <is>
          <t>Menghitung porsi BUNGA saja yang harus dibayar pada bulan/periode cicilan tertentu.</t>
        </is>
      </c>
      <c r="F90" s="8" t="inlineStr">
        <is>
          <t>👉 Buka Sheet IPMT</t>
        </is>
      </c>
    </row>
    <row r="91">
      <c r="A91" s="5" t="n">
        <v>87</v>
      </c>
      <c r="B91" s="6" t="inlineStr">
        <is>
          <t>PPMT</t>
        </is>
      </c>
      <c r="C91" s="5" t="inlineStr">
        <is>
          <t>6. Keuangan &amp; Investasi</t>
        </is>
      </c>
      <c r="D91" s="7">
        <f>PPMT(bunga, periode_ke, total_periode, nilai_pinjaman)</f>
        <v/>
      </c>
      <c r="E91" s="5" t="inlineStr">
        <is>
          <t>Menghitung porsi POKOK PINJAMAN yang terbayar pada bulan/periode cicilan tertentu.</t>
        </is>
      </c>
      <c r="F91" s="8" t="inlineStr">
        <is>
          <t>👉 Buka Sheet PPMT</t>
        </is>
      </c>
    </row>
    <row r="92">
      <c r="A92" s="5" t="n">
        <v>88</v>
      </c>
      <c r="B92" s="6" t="inlineStr">
        <is>
          <t>FV</t>
        </is>
      </c>
      <c r="C92" s="5" t="inlineStr">
        <is>
          <t>6. Keuangan &amp; Investasi</t>
        </is>
      </c>
      <c r="D92" s="7">
        <f>FV(bunga, total_periode, setoran_rutin)</f>
        <v/>
      </c>
      <c r="E92" s="5" t="inlineStr">
        <is>
          <t>Future Value: Menghitung nilai total tabungan atau investasi di masa depan jika kita rutin menabung setiap periode.</t>
        </is>
      </c>
      <c r="F92" s="8" t="inlineStr">
        <is>
          <t>👉 Buka Sheet FV</t>
        </is>
      </c>
    </row>
    <row r="93">
      <c r="A93" s="5" t="n">
        <v>89</v>
      </c>
      <c r="B93" s="6" t="inlineStr">
        <is>
          <t>PV</t>
        </is>
      </c>
      <c r="C93" s="5" t="inlineStr">
        <is>
          <t>6. Keuangan &amp; Investasi</t>
        </is>
      </c>
      <c r="D93" s="7">
        <f>PV(bunga, total_periode, cicilan_per_periode)</f>
        <v/>
      </c>
      <c r="E93" s="5" t="inlineStr">
        <is>
          <t>Present Value: Menghitung berapa nilai uang sekarang dari rangkaian pembayaran masa depan.</t>
        </is>
      </c>
      <c r="F93" s="8" t="inlineStr">
        <is>
          <t>👉 Buka Sheet PV</t>
        </is>
      </c>
    </row>
    <row r="94">
      <c r="A94" s="5" t="n">
        <v>90</v>
      </c>
      <c r="B94" s="6" t="inlineStr">
        <is>
          <t>NPV</t>
        </is>
      </c>
      <c r="C94" s="5" t="inlineStr">
        <is>
          <t>6. Keuangan &amp; Investasi</t>
        </is>
      </c>
      <c r="D94" s="7">
        <f>NPV(suku_diskonto, arus_kas1, arus_kas2, ...)</f>
        <v/>
      </c>
      <c r="E94" s="5" t="inlineStr">
        <is>
          <t>Net Present Value: Mengukur apakah sebuah proyek bisnis menguntungkan (layak jalan) dibanding bunga deposito.</t>
        </is>
      </c>
      <c r="F94" s="8" t="inlineStr">
        <is>
          <t>👉 Buka Sheet NPV</t>
        </is>
      </c>
    </row>
    <row r="95">
      <c r="A95" s="5" t="n">
        <v>91</v>
      </c>
      <c r="B95" s="6" t="inlineStr">
        <is>
          <t>IRR</t>
        </is>
      </c>
      <c r="C95" s="5" t="inlineStr">
        <is>
          <t>6. Keuangan &amp; Investasi</t>
        </is>
      </c>
      <c r="D95" s="7">
        <f>IRR(range_arus_kas)</f>
        <v/>
      </c>
      <c r="E95" s="5" t="inlineStr">
        <is>
          <t>Internal Rate of Return: Menghitung persentase tingkat pengembalian modal dari arus kas keluar dan masuk.</t>
        </is>
      </c>
      <c r="F95" s="8" t="inlineStr">
        <is>
          <t>👉 Buka Sheet IRR</t>
        </is>
      </c>
    </row>
    <row r="96">
      <c r="A96" s="5" t="n">
        <v>92</v>
      </c>
      <c r="B96" s="6" t="inlineStr">
        <is>
          <t>SLN</t>
        </is>
      </c>
      <c r="C96" s="5" t="inlineStr">
        <is>
          <t>6. Keuangan &amp; Investasi</t>
        </is>
      </c>
      <c r="D96" s="7">
        <f>SLN(harga_beli, nilai_sisa, umur_ekonomis)</f>
        <v/>
      </c>
      <c r="E96" s="5" t="inlineStr">
        <is>
          <t>Straight-Line Depreciation: Menghitung biaya penyusutan aset (mesin/kendaraan kantor) secara rata setiap tahunnya.</t>
        </is>
      </c>
      <c r="F96" s="8" t="inlineStr">
        <is>
          <t>👉 Buka Sheet SLN</t>
        </is>
      </c>
    </row>
    <row r="97">
      <c r="A97" s="5" t="n">
        <v>93</v>
      </c>
      <c r="B97" s="6" t="inlineStr">
        <is>
          <t>DB</t>
        </is>
      </c>
      <c r="C97" s="5" t="inlineStr">
        <is>
          <t>6. Keuangan &amp; Investasi</t>
        </is>
      </c>
      <c r="D97" s="7">
        <f>DB(harga_beli, nilai_sisa, umur, periode)</f>
        <v/>
      </c>
      <c r="E97" s="5" t="inlineStr">
        <is>
          <t>Declining Balance: Menghitung penyusutan aset dengan metode saldo menurun dari tahun ke tahun.</t>
        </is>
      </c>
      <c r="F97" s="8" t="inlineStr">
        <is>
          <t>👉 Buka Sheet DB</t>
        </is>
      </c>
    </row>
    <row r="98">
      <c r="A98" s="5" t="n">
        <v>94</v>
      </c>
      <c r="B98" s="6" t="inlineStr">
        <is>
          <t>SYD</t>
        </is>
      </c>
      <c r="C98" s="5" t="inlineStr">
        <is>
          <t>6. Keuangan &amp; Investasi</t>
        </is>
      </c>
      <c r="D98" s="7">
        <f>SYD(harga_beli, nilai_sisa, umur, periode)</f>
        <v/>
      </c>
      <c r="E98" s="5" t="inlineStr">
        <is>
          <t>Sum-of-Years' Digits: Menghitung depresiasi aset berdasarkan jumlah angka tahun umur ekonomis.</t>
        </is>
      </c>
      <c r="F98" s="8" t="inlineStr">
        <is>
          <t>👉 Buka Sheet SYD</t>
        </is>
      </c>
    </row>
    <row r="99">
      <c r="A99" s="5" t="n">
        <v>95</v>
      </c>
      <c r="B99" s="6" t="inlineStr">
        <is>
          <t>EFFECT</t>
        </is>
      </c>
      <c r="C99" s="5" t="inlineStr">
        <is>
          <t>6. Keuangan &amp; Investasi</t>
        </is>
      </c>
      <c r="D99" s="7">
        <f>EFFECT(bunga_nominal_tahunan, frekuensi_majemuk_per_tahun)</f>
        <v/>
      </c>
      <c r="E99" s="5" t="inlineStr">
        <is>
          <t>Menghitung suku bunga efektif tahunan sebenarnya jika bunga dimajemukkan (compounded) tiap bulan.</t>
        </is>
      </c>
      <c r="F99" s="8" t="inlineStr">
        <is>
          <t>👉 Buka Sheet EFFECT</t>
        </is>
      </c>
    </row>
    <row r="100">
      <c r="A100" s="5" t="n">
        <v>96</v>
      </c>
      <c r="B100" s="6" t="inlineStr">
        <is>
          <t>ISBLANK</t>
        </is>
      </c>
      <c r="C100" s="5" t="inlineStr">
        <is>
          <t>7. Audit &amp; Informasi Sel</t>
        </is>
      </c>
      <c r="D100" s="7">
        <f>ISBLANK(sel)</f>
        <v/>
      </c>
      <c r="E100" s="5" t="inlineStr">
        <is>
          <t>Mengecek apakah sebuah sel benar-benar KOSONG (menghasilkan TRUE jika kosong, FALSE jika sudah diisi).</t>
        </is>
      </c>
      <c r="F100" s="8" t="inlineStr">
        <is>
          <t>👉 Buka Sheet ISBLANK</t>
        </is>
      </c>
    </row>
    <row r="101">
      <c r="A101" s="5" t="n">
        <v>97</v>
      </c>
      <c r="B101" s="6" t="inlineStr">
        <is>
          <t>ISNUMBER</t>
        </is>
      </c>
      <c r="C101" s="5" t="inlineStr">
        <is>
          <t>7. Audit &amp; Informasi Sel</t>
        </is>
      </c>
      <c r="D101" s="7">
        <f>ISNUMBER(sel)</f>
        <v/>
      </c>
      <c r="E101" s="5" t="inlineStr">
        <is>
          <t>Mengecek apakah isi sel berupa ANGKA murni atau tanggal (TRUE jika angka, FALSE jika teks).</t>
        </is>
      </c>
      <c r="F101" s="8" t="inlineStr">
        <is>
          <t>👉 Buka Sheet ISNUMBER</t>
        </is>
      </c>
    </row>
    <row r="102">
      <c r="A102" s="5" t="n">
        <v>98</v>
      </c>
      <c r="B102" s="6" t="inlineStr">
        <is>
          <t>ISTEXT</t>
        </is>
      </c>
      <c r="C102" s="5" t="inlineStr">
        <is>
          <t>7. Audit &amp; Informasi Sel</t>
        </is>
      </c>
      <c r="D102" s="7">
        <f>ISTEXT(sel)</f>
        <v/>
      </c>
      <c r="E102" s="5" t="inlineStr">
        <is>
          <t>Mengecek apakah isi sel berupa tulisan TEKS (TRUE jika teks, FALSE jika angka).</t>
        </is>
      </c>
      <c r="F102" s="8" t="inlineStr">
        <is>
          <t>👉 Buka Sheet ISTEXT</t>
        </is>
      </c>
    </row>
    <row r="103">
      <c r="A103" s="5" t="n">
        <v>99</v>
      </c>
      <c r="B103" s="6" t="inlineStr">
        <is>
          <t>ISERROR</t>
        </is>
      </c>
      <c r="C103" s="5" t="inlineStr">
        <is>
          <t>7. Audit &amp; Informasi Sel</t>
        </is>
      </c>
      <c r="D103" s="7">
        <f>ISERROR(nilai)</f>
        <v/>
      </c>
      <c r="E103" s="5" t="inlineStr">
        <is>
          <t>Mendeteksi apakah suatu sel mengalami error jenis apa pun (#N/A, #VALUE!, #DIV/0!, dll).</t>
        </is>
      </c>
      <c r="F103" s="8" t="inlineStr">
        <is>
          <t>👉 Buka Sheet ISERROR</t>
        </is>
      </c>
    </row>
    <row r="104">
      <c r="A104" s="5" t="n">
        <v>100</v>
      </c>
      <c r="B104" s="6" t="inlineStr">
        <is>
          <t>ISNA</t>
        </is>
      </c>
      <c r="C104" s="5" t="inlineStr">
        <is>
          <t>7. Audit &amp; Informasi Sel</t>
        </is>
      </c>
      <c r="D104" s="7">
        <f>ISNA(nilai)</f>
        <v/>
      </c>
      <c r="E104" s="5" t="inlineStr">
        <is>
          <t>Mendeteksi secara spesifik apakah sel mengalami error #N/A (Data Tidak Ditemukan).</t>
        </is>
      </c>
      <c r="F104" s="8" t="inlineStr">
        <is>
          <t>👉 Buka Sheet ISNA</t>
        </is>
      </c>
    </row>
    <row r="105">
      <c r="A105" s="5" t="n">
        <v>101</v>
      </c>
      <c r="B105" s="6" t="inlineStr">
        <is>
          <t>ISEVEN</t>
        </is>
      </c>
      <c r="C105" s="5" t="inlineStr">
        <is>
          <t>7. Audit &amp; Informasi Sel</t>
        </is>
      </c>
      <c r="D105" s="7">
        <f>ISEVEN(angka)</f>
        <v/>
      </c>
      <c r="E105" s="5" t="inlineStr">
        <is>
          <t>Mengecek apakah angka di dalam sel adalah bilangan GENAP (TRUE jika genap, FALSE jika ganjil). Cocok untuk ganjil-genap plat nomor!</t>
        </is>
      </c>
      <c r="F105" s="8" t="inlineStr">
        <is>
          <t>👉 Buka Sheet ISEVEN</t>
        </is>
      </c>
    </row>
    <row r="106">
      <c r="A106" s="5" t="n">
        <v>102</v>
      </c>
      <c r="B106" s="6" t="inlineStr">
        <is>
          <t>ISODD</t>
        </is>
      </c>
      <c r="C106" s="5" t="inlineStr">
        <is>
          <t>7. Audit &amp; Informasi Sel</t>
        </is>
      </c>
      <c r="D106" s="7">
        <f>ISODD(angka)</f>
        <v/>
      </c>
      <c r="E106" s="5" t="inlineStr">
        <is>
          <t>Mengecek apakah angka di dalam sel adalah bilangan GANJIL (TRUE jika ganjil).</t>
        </is>
      </c>
      <c r="F106" s="8" t="inlineStr">
        <is>
          <t>👉 Buka Sheet ISODD</t>
        </is>
      </c>
    </row>
    <row r="107">
      <c r="A107" s="5" t="n">
        <v>103</v>
      </c>
      <c r="B107" s="6" t="inlineStr">
        <is>
          <t>ISLOGICAL</t>
        </is>
      </c>
      <c r="C107" s="5" t="inlineStr">
        <is>
          <t>7. Audit &amp; Informasi Sel</t>
        </is>
      </c>
      <c r="D107" s="7">
        <f>ISLOGICAL(sel)</f>
        <v/>
      </c>
      <c r="E107" s="5" t="inlineStr">
        <is>
          <t>Mengecek apakah sel berisi nilai logika boolean (TRUE atau FALSE).</t>
        </is>
      </c>
      <c r="F107" s="8" t="inlineStr">
        <is>
          <t>👉 Buka Sheet ISLOGICAL</t>
        </is>
      </c>
    </row>
    <row r="108">
      <c r="A108" s="5" t="n">
        <v>104</v>
      </c>
      <c r="B108" s="6" t="inlineStr">
        <is>
          <t>N</t>
        </is>
      </c>
      <c r="C108" s="5" t="inlineStr">
        <is>
          <t>7. Audit &amp; Informasi Sel</t>
        </is>
      </c>
      <c r="D108" s="7">
        <f>N(nilai)</f>
        <v/>
      </c>
      <c r="E108" s="5" t="inlineStr">
        <is>
          <t>Mengonversi isi sel menjadi angka: angka tetap angka, TRUE jadi 1, FALSE jadi 0, dan teks berubah menjadi 0.</t>
        </is>
      </c>
      <c r="F108" s="8" t="inlineStr">
        <is>
          <t>👉 Buka Sheet N</t>
        </is>
      </c>
    </row>
    <row r="109">
      <c r="A109" s="5" t="n">
        <v>105</v>
      </c>
      <c r="B109" s="6" t="inlineStr">
        <is>
          <t>AVEDEV</t>
        </is>
      </c>
      <c r="C109" s="5" t="inlineStr">
        <is>
          <t>8. Statistik &amp; Analisis Data</t>
        </is>
      </c>
      <c r="D109" s="7">
        <f>AVEDEV(range_data)</f>
        <v/>
      </c>
      <c r="E109" s="5" t="inlineStr">
        <is>
          <t>Menghitung rata-rata simpangan mutlak data dari nilai rata-ratanya.</t>
        </is>
      </c>
      <c r="F109" s="8" t="inlineStr">
        <is>
          <t>👉 Buka Sheet AVEDEV</t>
        </is>
      </c>
    </row>
    <row r="110">
      <c r="A110" s="5" t="n">
        <v>106</v>
      </c>
      <c r="B110" s="6" t="inlineStr">
        <is>
          <t>AVERAGE</t>
        </is>
      </c>
      <c r="C110" s="5" t="inlineStr">
        <is>
          <t>8. Statistik &amp; Analisis Data</t>
        </is>
      </c>
      <c r="D110" s="7">
        <f>AVERAGE(range_data)</f>
        <v/>
      </c>
      <c r="E110" s="5" t="inlineStr">
        <is>
          <t>Menghitung nilai RATA-RATA (Mean) dari sekumpulan angka.</t>
        </is>
      </c>
      <c r="F110" s="8" t="inlineStr">
        <is>
          <t>👉 Buka Sheet AVERAGE</t>
        </is>
      </c>
    </row>
    <row r="111">
      <c r="A111" s="5" t="n">
        <v>107</v>
      </c>
      <c r="B111" s="6" t="inlineStr">
        <is>
          <t>AVERAGEA</t>
        </is>
      </c>
      <c r="C111" s="5" t="inlineStr">
        <is>
          <t>8. Statistik &amp; Analisis Data</t>
        </is>
      </c>
      <c r="D111" s="7">
        <f>AVERAGEA(range_data)</f>
        <v/>
      </c>
      <c r="E111" s="5" t="inlineStr">
        <is>
          <t>Menghitung rata-rata dengan menyertakan sel teks (dihitung 0) dan logika.</t>
        </is>
      </c>
      <c r="F111" s="8" t="inlineStr">
        <is>
          <t>👉 Buka Sheet AVERAGEA</t>
        </is>
      </c>
    </row>
    <row r="112">
      <c r="A112" s="5" t="n">
        <v>108</v>
      </c>
      <c r="B112" s="6" t="inlineStr">
        <is>
          <t>AVERAGEIF</t>
        </is>
      </c>
      <c r="C112" s="5" t="inlineStr">
        <is>
          <t>8. Statistik &amp; Analisis Data</t>
        </is>
      </c>
      <c r="D112" s="7">
        <f>AVERAGEIF(range_syarat, syarat, [range_rata2])</f>
        <v/>
      </c>
      <c r="E112" s="5" t="inlineStr">
        <is>
          <t>Menghitung rata-rata HANYA untuk baris yang memenuhi 1 syarat tertentu.</t>
        </is>
      </c>
      <c r="F112" s="8" t="inlineStr">
        <is>
          <t>👉 Buka Sheet AVERAGEIF</t>
        </is>
      </c>
    </row>
    <row r="113">
      <c r="A113" s="5" t="n">
        <v>109</v>
      </c>
      <c r="B113" s="6" t="inlineStr">
        <is>
          <t>AVERAGEIFS</t>
        </is>
      </c>
      <c r="C113" s="5" t="inlineStr">
        <is>
          <t>8. Statistik &amp; Analisis Data</t>
        </is>
      </c>
      <c r="D113" s="7">
        <f>AVERAGEIFS(range_rata2, range_syarat1, syarat1, ...)</f>
        <v/>
      </c>
      <c r="E113" s="5" t="inlineStr">
        <is>
          <t>Menghitung rata-rata dengan banyak syarat sekaligus.</t>
        </is>
      </c>
      <c r="F113" s="8" t="inlineStr">
        <is>
          <t>👉 Buka Sheet AVERAGEIFS</t>
        </is>
      </c>
    </row>
    <row r="114">
      <c r="A114" s="5" t="n">
        <v>110</v>
      </c>
      <c r="B114" s="6" t="inlineStr">
        <is>
          <t>BETA.DIST</t>
        </is>
      </c>
      <c r="C114" s="5" t="inlineStr">
        <is>
          <t>8. Statistik &amp; Analisis Data</t>
        </is>
      </c>
      <c r="D114" s="7">
        <f>BETA.DIST(x, alpha, beta, TRUE)</f>
        <v/>
      </c>
      <c r="E114" s="5" t="inlineStr">
        <is>
          <t>Menghitung fungsi distribusi probabilitas Beta kumulatif.</t>
        </is>
      </c>
      <c r="F114" s="8" t="inlineStr">
        <is>
          <t>👉 Buka Sheet BETA.DIST</t>
        </is>
      </c>
    </row>
    <row r="115">
      <c r="A115" s="5" t="n">
        <v>111</v>
      </c>
      <c r="B115" s="6" t="inlineStr">
        <is>
          <t>BETA.INV</t>
        </is>
      </c>
      <c r="C115" s="5" t="inlineStr">
        <is>
          <t>8. Statistik &amp; Analisis Data</t>
        </is>
      </c>
      <c r="D115" s="7">
        <f>BETA.INV(probabilitas, alpha, beta)</f>
        <v/>
      </c>
      <c r="E115" s="5" t="inlineStr">
        <is>
          <t>Menghitung invers dari fungsi distribusi probabilitas Beta kumulatif.</t>
        </is>
      </c>
      <c r="F115" s="8" t="inlineStr">
        <is>
          <t>👉 Buka Sheet BETA.INV</t>
        </is>
      </c>
    </row>
    <row r="116">
      <c r="A116" s="5" t="n">
        <v>112</v>
      </c>
      <c r="B116" s="6" t="inlineStr">
        <is>
          <t>BINOM.DIST</t>
        </is>
      </c>
      <c r="C116" s="5" t="inlineStr">
        <is>
          <t>8. Statistik &amp; Analisis Data</t>
        </is>
      </c>
      <c r="D116" s="7">
        <f>BINOM.DIST(sukses, cobaan, prob_sukses, TRUE)</f>
        <v/>
      </c>
      <c r="E116" s="5" t="inlineStr">
        <is>
          <t>Menghitung peluang distribusi Binomial dari sejumlah percobaan independen.</t>
        </is>
      </c>
      <c r="F116" s="8" t="inlineStr">
        <is>
          <t>👉 Buka Sheet BINOM.DIST</t>
        </is>
      </c>
    </row>
    <row r="117">
      <c r="A117" s="5" t="n">
        <v>113</v>
      </c>
      <c r="B117" s="6" t="inlineStr">
        <is>
          <t>BINOM.INV</t>
        </is>
      </c>
      <c r="C117" s="5" t="inlineStr">
        <is>
          <t>8. Statistik &amp; Analisis Data</t>
        </is>
      </c>
      <c r="D117" s="7">
        <f>BINOM.INV(cobaan, prob_sukses, alpha)</f>
        <v/>
      </c>
      <c r="E117" s="5" t="inlineStr">
        <is>
          <t>Mencari nilai terkecil sehingga distribusi binomial kumulatif &gt;= alpha.</t>
        </is>
      </c>
      <c r="F117" s="8" t="inlineStr">
        <is>
          <t>👉 Buka Sheet BINOM.INV</t>
        </is>
      </c>
    </row>
    <row r="118">
      <c r="A118" s="5" t="n">
        <v>114</v>
      </c>
      <c r="B118" s="6" t="inlineStr">
        <is>
          <t>CHISQ.DIST</t>
        </is>
      </c>
      <c r="C118" s="5" t="inlineStr">
        <is>
          <t>8. Statistik &amp; Analisis Data</t>
        </is>
      </c>
      <c r="D118" s="7">
        <f>CHISQ.DIST(x, deg_freedom, TRUE)</f>
        <v/>
      </c>
      <c r="E118" s="5" t="inlineStr">
        <is>
          <t>Menghasilkan distribusi probabilitas Chi-Square sisi kiri.</t>
        </is>
      </c>
      <c r="F118" s="8" t="inlineStr">
        <is>
          <t>👉 Buka Sheet CHISQ.DIST</t>
        </is>
      </c>
    </row>
    <row r="119">
      <c r="A119" s="5" t="n">
        <v>115</v>
      </c>
      <c r="B119" s="6" t="inlineStr">
        <is>
          <t>CHISQ.DIST.RT</t>
        </is>
      </c>
      <c r="C119" s="5" t="inlineStr">
        <is>
          <t>8. Statistik &amp; Analisis Data</t>
        </is>
      </c>
      <c r="D119" s="7">
        <f>CHISQ.DIST.RT(x, deg_freedom)</f>
        <v/>
      </c>
      <c r="E119" s="5" t="inlineStr">
        <is>
          <t>Menghasilkan probabilitas ekor kanan (Right-Tailed) dari distribusi Chi-Square.</t>
        </is>
      </c>
      <c r="F119" s="8" t="inlineStr">
        <is>
          <t>👉 Buka Sheet CHISQ.DIST.RT</t>
        </is>
      </c>
    </row>
    <row r="120">
      <c r="A120" s="5" t="n">
        <v>116</v>
      </c>
      <c r="B120" s="6" t="inlineStr">
        <is>
          <t>CHISQ.INV</t>
        </is>
      </c>
      <c r="C120" s="5" t="inlineStr">
        <is>
          <t>8. Statistik &amp; Analisis Data</t>
        </is>
      </c>
      <c r="D120" s="7">
        <f>CHISQ.INV(probabilitas, deg_freedom)</f>
        <v/>
      </c>
      <c r="E120" s="5" t="inlineStr">
        <is>
          <t>Menghasilkan nilai invers probabilitas ekor kiri dari distribusi Chi-Square.</t>
        </is>
      </c>
      <c r="F120" s="8" t="inlineStr">
        <is>
          <t>👉 Buka Sheet CHISQ.INV</t>
        </is>
      </c>
    </row>
    <row r="121">
      <c r="A121" s="5" t="n">
        <v>117</v>
      </c>
      <c r="B121" s="6" t="inlineStr">
        <is>
          <t>CHISQ.RT.INV</t>
        </is>
      </c>
      <c r="C121" s="5" t="inlineStr">
        <is>
          <t>8. Statistik &amp; Analisis Data</t>
        </is>
      </c>
      <c r="D121" s="7">
        <f>CHISQ.INV.RT(probabilitas, deg_freedom)</f>
        <v/>
      </c>
      <c r="E121" s="5" t="inlineStr">
        <is>
          <t>Menghasilkan nilai invers probabilitas ekor kanan dari distribusi Chi-Square.</t>
        </is>
      </c>
      <c r="F121" s="8" t="inlineStr">
        <is>
          <t>👉 Buka Sheet CHISQ.RT.INV</t>
        </is>
      </c>
    </row>
    <row r="122">
      <c r="A122" s="5" t="n">
        <v>118</v>
      </c>
      <c r="B122" s="6" t="inlineStr">
        <is>
          <t>CHITEST</t>
        </is>
      </c>
      <c r="C122" s="5" t="inlineStr">
        <is>
          <t>8. Statistik &amp; Analisis Data</t>
        </is>
      </c>
      <c r="D122" s="7">
        <f>CHITEST(aktual_range, harapan_range)</f>
        <v/>
      </c>
      <c r="E122" s="5" t="inlineStr">
        <is>
          <t>Menghitung uji independensi Chi-Square antara data aktual dan ekspektasi.</t>
        </is>
      </c>
      <c r="F122" s="8" t="inlineStr">
        <is>
          <t>👉 Buka Sheet CHITEST</t>
        </is>
      </c>
    </row>
    <row r="123">
      <c r="A123" s="5" t="n">
        <v>119</v>
      </c>
      <c r="B123" s="6" t="inlineStr">
        <is>
          <t>CONFIDENCE.NORM</t>
        </is>
      </c>
      <c r="C123" s="5" t="inlineStr">
        <is>
          <t>8. Statistik &amp; Analisis Data</t>
        </is>
      </c>
      <c r="D123" s="7">
        <f>CONFIDENCE.NORM(alpha, standard_dev, size)</f>
        <v/>
      </c>
      <c r="E123" s="5" t="inlineStr">
        <is>
          <t>Menghitung rentang kepercayaan (margin of error) rata-rata populasi dengan distribusi normal.</t>
        </is>
      </c>
      <c r="F123" s="8" t="inlineStr">
        <is>
          <t>👉 Buka Sheet CONFIDENCE.NORM</t>
        </is>
      </c>
    </row>
    <row r="124">
      <c r="A124" s="5" t="n">
        <v>120</v>
      </c>
      <c r="B124" s="6" t="inlineStr">
        <is>
          <t>CONFIDENCE.T</t>
        </is>
      </c>
      <c r="C124" s="5" t="inlineStr">
        <is>
          <t>8. Statistik &amp; Analisis Data</t>
        </is>
      </c>
      <c r="D124" s="7">
        <f>CONFIDENCE.T(alpha, standard_dev, size)</f>
        <v/>
      </c>
      <c r="E124" s="5" t="inlineStr">
        <is>
          <t>Menghitung rentang kepercayaan rata-rata populasi dengan distribusi Student's t.</t>
        </is>
      </c>
      <c r="F124" s="8" t="inlineStr">
        <is>
          <t>👉 Buka Sheet CONFIDENCE.T</t>
        </is>
      </c>
    </row>
    <row r="125">
      <c r="A125" s="5" t="n">
        <v>121</v>
      </c>
      <c r="B125" s="6" t="inlineStr">
        <is>
          <t>CORREL</t>
        </is>
      </c>
      <c r="C125" s="5" t="inlineStr">
        <is>
          <t>8. Statistik &amp; Analisis Data</t>
        </is>
      </c>
      <c r="D125" s="7">
        <f>CORREL(range_x, range_y)</f>
        <v/>
      </c>
      <c r="E125" s="5" t="inlineStr">
        <is>
          <t>Mengukur koefisien korelasi (-1 s/d +1) antara dua variabel.</t>
        </is>
      </c>
      <c r="F125" s="8" t="inlineStr">
        <is>
          <t>👉 Buka Sheet CORREL</t>
        </is>
      </c>
    </row>
    <row r="126">
      <c r="A126" s="5" t="n">
        <v>122</v>
      </c>
      <c r="B126" s="6" t="inlineStr">
        <is>
          <t>COUNT</t>
        </is>
      </c>
      <c r="C126" s="5" t="inlineStr">
        <is>
          <t>8. Statistik &amp; Analisis Data</t>
        </is>
      </c>
      <c r="D126" s="7">
        <f>COUNT(range_data)</f>
        <v/>
      </c>
      <c r="E126" s="5" t="inlineStr">
        <is>
          <t>Menghitung ada berapa banyak sel yang berisi ANGKA saja.</t>
        </is>
      </c>
      <c r="F126" s="8" t="inlineStr">
        <is>
          <t>👉 Buka Sheet COUNT</t>
        </is>
      </c>
    </row>
    <row r="127">
      <c r="A127" s="5" t="n">
        <v>123</v>
      </c>
      <c r="B127" s="6" t="inlineStr">
        <is>
          <t>COUNTA</t>
        </is>
      </c>
      <c r="C127" s="5" t="inlineStr">
        <is>
          <t>8. Statistik &amp; Analisis Data</t>
        </is>
      </c>
      <c r="D127" s="7">
        <f>COUNTA(range_data)</f>
        <v/>
      </c>
      <c r="E127" s="5" t="inlineStr">
        <is>
          <t>Menghitung berapa banyak sel yang TIDAK KOSONG (berisi angka maupun teks).</t>
        </is>
      </c>
      <c r="F127" s="8" t="inlineStr">
        <is>
          <t>👉 Buka Sheet COUNTA</t>
        </is>
      </c>
    </row>
    <row r="128">
      <c r="A128" s="5" t="n">
        <v>124</v>
      </c>
      <c r="B128" s="6" t="inlineStr">
        <is>
          <t>COUNTBLANK</t>
        </is>
      </c>
      <c r="C128" s="5" t="inlineStr">
        <is>
          <t>8. Statistik &amp; Analisis Data</t>
        </is>
      </c>
      <c r="D128" s="7">
        <f>COUNTBLANK(range_data)</f>
        <v/>
      </c>
      <c r="E128" s="5" t="inlineStr">
        <is>
          <t>Menghitung berapa banyak sel yang masih KOSONG (belum diisi).</t>
        </is>
      </c>
      <c r="F128" s="8" t="inlineStr">
        <is>
          <t>👉 Buka Sheet COUNTBLANK</t>
        </is>
      </c>
    </row>
    <row r="129">
      <c r="A129" s="5" t="n">
        <v>125</v>
      </c>
      <c r="B129" s="6" t="inlineStr">
        <is>
          <t>COUNTIF</t>
        </is>
      </c>
      <c r="C129" s="5" t="inlineStr">
        <is>
          <t>8. Statistik &amp; Analisis Data</t>
        </is>
      </c>
      <c r="D129" s="7">
        <f>COUNTIF(range_data, syarat)</f>
        <v/>
      </c>
      <c r="E129" s="5" t="inlineStr">
        <is>
          <t>Menghitung jumlah sel yang memenuhi 1 kriteria tertentu.</t>
        </is>
      </c>
      <c r="F129" s="8" t="inlineStr">
        <is>
          <t>👉 Buka Sheet COUNTIF</t>
        </is>
      </c>
    </row>
    <row r="130">
      <c r="A130" s="5" t="n">
        <v>126</v>
      </c>
      <c r="B130" s="6" t="inlineStr">
        <is>
          <t>COUNTIFS</t>
        </is>
      </c>
      <c r="C130" s="5" t="inlineStr">
        <is>
          <t>8. Statistik &amp; Analisis Data</t>
        </is>
      </c>
      <c r="D130" s="7">
        <f>COUNTIFS(range1, syarat1, range2, syarat2)</f>
        <v/>
      </c>
      <c r="E130" s="5" t="inlineStr">
        <is>
          <t>Menghitung jumlah baris data yang memenuhi banyak kriteria sekaligus.</t>
        </is>
      </c>
      <c r="F130" s="8" t="inlineStr">
        <is>
          <t>👉 Buka Sheet COUNTIFS</t>
        </is>
      </c>
    </row>
    <row r="131">
      <c r="A131" s="5" t="n">
        <v>127</v>
      </c>
      <c r="B131" s="6" t="inlineStr">
        <is>
          <t>COVARIANCE.P</t>
        </is>
      </c>
      <c r="C131" s="5" t="inlineStr">
        <is>
          <t>8. Statistik &amp; Analisis Data</t>
        </is>
      </c>
      <c r="D131" s="7">
        <f>COVARIANCE.P(range_x, range_y)</f>
        <v/>
      </c>
      <c r="E131" s="5" t="inlineStr">
        <is>
          <t>Menghitung kovarians populasi antara dua kumpulan data.</t>
        </is>
      </c>
      <c r="F131" s="8" t="inlineStr">
        <is>
          <t>👉 Buka Sheet COVARIANCE.P</t>
        </is>
      </c>
    </row>
    <row r="132">
      <c r="A132" s="5" t="n">
        <v>128</v>
      </c>
      <c r="B132" s="6" t="inlineStr">
        <is>
          <t>COVARIANCE.T</t>
        </is>
      </c>
      <c r="C132" s="5" t="inlineStr">
        <is>
          <t>8. Statistik &amp; Analisis Data</t>
        </is>
      </c>
      <c r="D132" s="7">
        <f>COVARIANCE.S(range_x, range_y)</f>
        <v/>
      </c>
      <c r="E132" s="5" t="inlineStr">
        <is>
          <t>Menghitung kovarians sampel antara dua variabel pengamatan.</t>
        </is>
      </c>
      <c r="F132" s="8" t="inlineStr">
        <is>
          <t>👉 Buka Sheet COVARIANCE.T</t>
        </is>
      </c>
    </row>
    <row r="133">
      <c r="A133" s="5" t="n">
        <v>129</v>
      </c>
      <c r="B133" s="6" t="inlineStr">
        <is>
          <t>CRITBINOM</t>
        </is>
      </c>
      <c r="C133" s="5" t="inlineStr">
        <is>
          <t>8. Statistik &amp; Analisis Data</t>
        </is>
      </c>
      <c r="D133" s="7">
        <f>CRITBINOM(cobaan, prob_sukses, alpha)</f>
        <v/>
      </c>
      <c r="E133" s="5" t="inlineStr">
        <is>
          <t>Mencari nilai batas kritis distribusi binomial kumulatif.</t>
        </is>
      </c>
      <c r="F133" s="8" t="inlineStr">
        <is>
          <t>👉 Buka Sheet CRITBINOM</t>
        </is>
      </c>
    </row>
    <row r="134">
      <c r="A134" s="5" t="n">
        <v>130</v>
      </c>
      <c r="B134" s="6" t="inlineStr">
        <is>
          <t>DEVSQ</t>
        </is>
      </c>
      <c r="C134" s="5" t="inlineStr">
        <is>
          <t>8. Statistik &amp; Analisis Data</t>
        </is>
      </c>
      <c r="D134" s="7">
        <f>DEVSQ(range_data)</f>
        <v/>
      </c>
      <c r="E134" s="5" t="inlineStr">
        <is>
          <t>Menghitung jumlah kuadrat simpangan data dari rata-ratanya.</t>
        </is>
      </c>
      <c r="F134" s="8" t="inlineStr">
        <is>
          <t>👉 Buka Sheet DEVSQ</t>
        </is>
      </c>
    </row>
    <row r="135">
      <c r="A135" s="5" t="n">
        <v>131</v>
      </c>
      <c r="B135" s="6" t="inlineStr">
        <is>
          <t>EXPON.DIST</t>
        </is>
      </c>
      <c r="C135" s="5" t="inlineStr">
        <is>
          <t>8. Statistik &amp; Analisis Data</t>
        </is>
      </c>
      <c r="D135" s="7">
        <f>EXPON.DIST(x, lambda, TRUE)</f>
        <v/>
      </c>
      <c r="E135" s="5" t="inlineStr">
        <is>
          <t>Menghitung distribusi eksponensial (untuk memodelkan waktu tunggu antar-kejadian).</t>
        </is>
      </c>
      <c r="F135" s="8" t="inlineStr">
        <is>
          <t>👉 Buka Sheet EXPON.DIST</t>
        </is>
      </c>
    </row>
    <row r="136">
      <c r="A136" s="5" t="n">
        <v>132</v>
      </c>
      <c r="B136" s="6" t="inlineStr">
        <is>
          <t>F.DIST</t>
        </is>
      </c>
      <c r="C136" s="5" t="inlineStr">
        <is>
          <t>8. Statistik &amp; Analisis Data</t>
        </is>
      </c>
      <c r="D136" s="7">
        <f>F.DIST(x, deg_freedom1, deg_freedom2, TRUE)</f>
        <v/>
      </c>
      <c r="E136" s="5" t="inlineStr">
        <is>
          <t>Menghitung distribusi probabilitas F untuk membandingkan tingkat keragaman.</t>
        </is>
      </c>
      <c r="F136" s="8" t="inlineStr">
        <is>
          <t>👉 Buka Sheet F.DIST</t>
        </is>
      </c>
    </row>
    <row r="137">
      <c r="A137" s="5" t="n">
        <v>133</v>
      </c>
      <c r="B137" s="6" t="inlineStr">
        <is>
          <t>F.DIST.RT</t>
        </is>
      </c>
      <c r="C137" s="5" t="inlineStr">
        <is>
          <t>8. Statistik &amp; Analisis Data</t>
        </is>
      </c>
      <c r="D137" s="7">
        <f>F.DIST.RT(x, deg_freedom1, deg_freedom2)</f>
        <v/>
      </c>
      <c r="E137" s="5" t="inlineStr">
        <is>
          <t>Menghitung distribusi probabilitas F ekor kanan (Right-Tailed).</t>
        </is>
      </c>
      <c r="F137" s="8" t="inlineStr">
        <is>
          <t>👉 Buka Sheet F.DIST.RT</t>
        </is>
      </c>
    </row>
    <row r="138">
      <c r="A138" s="5" t="n">
        <v>134</v>
      </c>
      <c r="B138" s="6" t="inlineStr">
        <is>
          <t>F.INV</t>
        </is>
      </c>
      <c r="C138" s="5" t="inlineStr">
        <is>
          <t>8. Statistik &amp; Analisis Data</t>
        </is>
      </c>
      <c r="D138" s="7">
        <f>F.INV(probabilitas, deg_freedom1, deg_freedom2)</f>
        <v/>
      </c>
      <c r="E138" s="5" t="inlineStr">
        <is>
          <t>Menghitung nilai invers dari distribusi probabilitas F ekor kiri.</t>
        </is>
      </c>
      <c r="F138" s="8" t="inlineStr">
        <is>
          <t>👉 Buka Sheet F.INV</t>
        </is>
      </c>
    </row>
    <row r="139">
      <c r="A139" s="5" t="n">
        <v>135</v>
      </c>
      <c r="B139" s="6" t="inlineStr">
        <is>
          <t>F.INV.RT</t>
        </is>
      </c>
      <c r="C139" s="5" t="inlineStr">
        <is>
          <t>8. Statistik &amp; Analisis Data</t>
        </is>
      </c>
      <c r="D139" s="7">
        <f>F.INV.RT(probabilitas, deg_freedom1, deg_freedom2)</f>
        <v/>
      </c>
      <c r="E139" s="5" t="inlineStr">
        <is>
          <t>Menghitung nilai invers dari distribusi probabilitas F ekor kanan.</t>
        </is>
      </c>
      <c r="F139" s="8" t="inlineStr">
        <is>
          <t>👉 Buka Sheet F.INV.RT</t>
        </is>
      </c>
    </row>
    <row r="140">
      <c r="A140" s="5" t="n">
        <v>136</v>
      </c>
      <c r="B140" s="6" t="inlineStr">
        <is>
          <t>FTEST</t>
        </is>
      </c>
      <c r="C140" s="5" t="inlineStr">
        <is>
          <t>8. Statistik &amp; Analisis Data</t>
        </is>
      </c>
      <c r="D140" s="7">
        <f>FTEST(array1, array2)</f>
        <v/>
      </c>
      <c r="E140" s="5" t="inlineStr">
        <is>
          <t>Menghasilkan hasil uji-F untuk membandingkan varians dari dua sampel data.</t>
        </is>
      </c>
      <c r="F140" s="8" t="inlineStr">
        <is>
          <t>👉 Buka Sheet FTEST</t>
        </is>
      </c>
    </row>
    <row r="141">
      <c r="A141" s="5" t="n">
        <v>137</v>
      </c>
      <c r="B141" s="6" t="inlineStr">
        <is>
          <t>FISHER</t>
        </is>
      </c>
      <c r="C141" s="5" t="inlineStr">
        <is>
          <t>8. Statistik &amp; Analisis Data</t>
        </is>
      </c>
      <c r="D141" s="7">
        <f>FISHER(x)</f>
        <v/>
      </c>
      <c r="E141" s="5" t="inlineStr">
        <is>
          <t>Menghitung transformasi Fisher pada nilai koefisien korelasi r (-1 &lt; x &lt; 1).</t>
        </is>
      </c>
      <c r="F141" s="8" t="inlineStr">
        <is>
          <t>👉 Buka Sheet FISHER</t>
        </is>
      </c>
    </row>
    <row r="142">
      <c r="A142" s="5" t="n">
        <v>138</v>
      </c>
      <c r="B142" s="6" t="inlineStr">
        <is>
          <t>FISHER.INV</t>
        </is>
      </c>
      <c r="C142" s="5" t="inlineStr">
        <is>
          <t>8. Statistik &amp; Analisis Data</t>
        </is>
      </c>
      <c r="D142" s="7">
        <f>FISHERINV(y)</f>
        <v/>
      </c>
      <c r="E142" s="5" t="inlineStr">
        <is>
          <t>Menghitung kebalikan (invers) dari transformasi Fisher.</t>
        </is>
      </c>
      <c r="F142" s="8" t="inlineStr">
        <is>
          <t>👉 Buka Sheet FISHER.INV</t>
        </is>
      </c>
    </row>
    <row r="143">
      <c r="A143" s="5" t="n">
        <v>139</v>
      </c>
      <c r="B143" s="6" t="inlineStr">
        <is>
          <t>FORECAST</t>
        </is>
      </c>
      <c r="C143" s="5" t="inlineStr">
        <is>
          <t>8. Statistik &amp; Analisis Data</t>
        </is>
      </c>
      <c r="D143" s="7">
        <f>FORECAST(target_x, range_y, range_x)</f>
        <v/>
      </c>
      <c r="E143" s="5" t="inlineStr">
        <is>
          <t>Meramal nilai masa depan berdasarkan tren regresi linear.</t>
        </is>
      </c>
      <c r="F143" s="8" t="inlineStr">
        <is>
          <t>👉 Buka Sheet FORECAST</t>
        </is>
      </c>
    </row>
    <row r="144">
      <c r="A144" s="5" t="n">
        <v>140</v>
      </c>
      <c r="B144" s="6" t="inlineStr">
        <is>
          <t>FREQUENCY</t>
        </is>
      </c>
      <c r="C144" s="5" t="inlineStr">
        <is>
          <t>8. Statistik &amp; Analisis Data</t>
        </is>
      </c>
      <c r="D144" s="7">
        <f>FREQUENCY(data_array, bins_array)</f>
        <v/>
      </c>
      <c r="E144" s="5" t="inlineStr">
        <is>
          <t>Menghitung distribusi frekuensi kemunculan data berdasarkan batas interval.</t>
        </is>
      </c>
      <c r="F144" s="8" t="inlineStr">
        <is>
          <t>👉 Buka Sheet FREQUENCY</t>
        </is>
      </c>
    </row>
    <row r="145">
      <c r="A145" s="5" t="n">
        <v>141</v>
      </c>
      <c r="B145" s="6" t="inlineStr">
        <is>
          <t>GAMMADIST</t>
        </is>
      </c>
      <c r="C145" s="5" t="inlineStr">
        <is>
          <t>8. Statistik &amp; Analisis Data</t>
        </is>
      </c>
      <c r="D145" s="7">
        <f>GAMMA.DIST(x, alpha, beta, TRUE)</f>
        <v/>
      </c>
      <c r="E145" s="5" t="inlineStr">
        <is>
          <t>Menghitung distribusi Gamma untuk analisis variabel yang memiliki kemencengan.</t>
        </is>
      </c>
      <c r="F145" s="8" t="inlineStr">
        <is>
          <t>👉 Buka Sheet GAMMADIST</t>
        </is>
      </c>
    </row>
    <row r="146">
      <c r="A146" s="5" t="n">
        <v>142</v>
      </c>
      <c r="B146" s="6" t="inlineStr">
        <is>
          <t>GAMMAINV</t>
        </is>
      </c>
      <c r="C146" s="5" t="inlineStr">
        <is>
          <t>8. Statistik &amp; Analisis Data</t>
        </is>
      </c>
      <c r="D146" s="7">
        <f>GAMMA.INV(probabilitas, alpha, beta)</f>
        <v/>
      </c>
      <c r="E146" s="5" t="inlineStr">
        <is>
          <t>Menghasilkan invers dari distribusi Gamma kumulatif.</t>
        </is>
      </c>
      <c r="F146" s="8" t="inlineStr">
        <is>
          <t>👉 Buka Sheet GAMMAINV</t>
        </is>
      </c>
    </row>
    <row r="147">
      <c r="A147" s="5" t="n">
        <v>143</v>
      </c>
      <c r="B147" s="6" t="inlineStr">
        <is>
          <t>GAMMALN</t>
        </is>
      </c>
      <c r="C147" s="5" t="inlineStr">
        <is>
          <t>8. Statistik &amp; Analisis Data</t>
        </is>
      </c>
      <c r="D147" s="7">
        <f>GAMMALN(x)</f>
        <v/>
      </c>
      <c r="E147" s="5" t="inlineStr">
        <is>
          <t>Menghitung logaritma natural dari fungsi Gamma Γ(x).</t>
        </is>
      </c>
      <c r="F147" s="8" t="inlineStr">
        <is>
          <t>👉 Buka Sheet GAMMALN</t>
        </is>
      </c>
    </row>
    <row r="148">
      <c r="A148" s="5" t="n">
        <v>144</v>
      </c>
      <c r="B148" s="6" t="inlineStr">
        <is>
          <t>GEOMEAN</t>
        </is>
      </c>
      <c r="C148" s="5" t="inlineStr">
        <is>
          <t>8. Statistik &amp; Analisis Data</t>
        </is>
      </c>
      <c r="D148" s="7">
        <f>GEOMEAN(range_data)</f>
        <v/>
      </c>
      <c r="E148" s="5" t="inlineStr">
        <is>
          <t>Menghitung Rata-Rata Geometrik untuk laju pertumbuhan majemuk.</t>
        </is>
      </c>
      <c r="F148" s="8" t="inlineStr">
        <is>
          <t>👉 Buka Sheet GEOMEAN</t>
        </is>
      </c>
    </row>
    <row r="149">
      <c r="A149" s="5" t="n">
        <v>145</v>
      </c>
      <c r="B149" s="6" t="inlineStr">
        <is>
          <t>GROWTH</t>
        </is>
      </c>
      <c r="C149" s="5" t="inlineStr">
        <is>
          <t>8. Statistik &amp; Analisis Data</t>
        </is>
      </c>
      <c r="D149" s="7">
        <f>GROWTH(range_y, range_x, target_x)</f>
        <v/>
      </c>
      <c r="E149" s="5" t="inlineStr">
        <is>
          <t>Memprediksi pertumbuhan eksponensial berdasarkan data historis.</t>
        </is>
      </c>
      <c r="F149" s="8" t="inlineStr">
        <is>
          <t>👉 Buka Sheet GROWTH</t>
        </is>
      </c>
    </row>
    <row r="150">
      <c r="A150" s="5" t="n">
        <v>146</v>
      </c>
      <c r="B150" s="6" t="inlineStr">
        <is>
          <t>HARMEAN</t>
        </is>
      </c>
      <c r="C150" s="5" t="inlineStr">
        <is>
          <t>8. Statistik &amp; Analisis Data</t>
        </is>
      </c>
      <c r="D150" s="7">
        <f>HARMEAN(range_data)</f>
        <v/>
      </c>
      <c r="E150" s="5" t="inlineStr">
        <is>
          <t>Menghitung Rata-Rata Harmonik untuk laju atau kecepatan rata-rata.</t>
        </is>
      </c>
      <c r="F150" s="8" t="inlineStr">
        <is>
          <t>👉 Buka Sheet HARMEAN</t>
        </is>
      </c>
    </row>
    <row r="151">
      <c r="A151" s="5" t="n">
        <v>147</v>
      </c>
      <c r="B151" s="6" t="inlineStr">
        <is>
          <t>HYPGEOMDIST</t>
        </is>
      </c>
      <c r="C151" s="5" t="inlineStr">
        <is>
          <t>8. Statistik &amp; Analisis Data</t>
        </is>
      </c>
      <c r="D151" s="7">
        <f>HYPGEOM.DIST(sampel_s, ukuran_sampel, pop_s, ukuran_pop, TRUE)</f>
        <v/>
      </c>
      <c r="E151" s="5" t="inlineStr">
        <is>
          <t>Menghitung peluang distribusi Hipergeometrik (pengambilan sampel tanpa pengembalian).</t>
        </is>
      </c>
      <c r="F151" s="8" t="inlineStr">
        <is>
          <t>👉 Buka Sheet HYPGEOMDIST</t>
        </is>
      </c>
    </row>
    <row r="152">
      <c r="A152" s="5" t="n">
        <v>148</v>
      </c>
      <c r="B152" s="6" t="inlineStr">
        <is>
          <t>INTERCEPT</t>
        </is>
      </c>
      <c r="C152" s="5" t="inlineStr">
        <is>
          <t>8. Statistik &amp; Analisis Data</t>
        </is>
      </c>
      <c r="D152" s="7">
        <f>INTERCEPT(range_y, range_x)</f>
        <v/>
      </c>
      <c r="E152" s="5" t="inlineStr">
        <is>
          <t>Mencari titik potong sumbu Y pada garis regresi linear.</t>
        </is>
      </c>
      <c r="F152" s="8" t="inlineStr">
        <is>
          <t>👉 Buka Sheet INTERCEPT</t>
        </is>
      </c>
    </row>
    <row r="153">
      <c r="A153" s="5" t="n">
        <v>149</v>
      </c>
      <c r="B153" s="6" t="inlineStr">
        <is>
          <t>KURT</t>
        </is>
      </c>
      <c r="C153" s="5" t="inlineStr">
        <is>
          <t>8. Statistik &amp; Analisis Data</t>
        </is>
      </c>
      <c r="D153" s="7">
        <f>KURT(range_data)</f>
        <v/>
      </c>
      <c r="E153" s="5" t="inlineStr">
        <is>
          <t>Mengukur keruncingan (Kurtosis) distribusi data statistik.</t>
        </is>
      </c>
      <c r="F153" s="8" t="inlineStr">
        <is>
          <t>👉 Buka Sheet KURT</t>
        </is>
      </c>
    </row>
    <row r="154">
      <c r="A154" s="5" t="n">
        <v>150</v>
      </c>
      <c r="B154" s="6" t="inlineStr">
        <is>
          <t>LARGE</t>
        </is>
      </c>
      <c r="C154" s="5" t="inlineStr">
        <is>
          <t>8. Statistik &amp; Analisis Data</t>
        </is>
      </c>
      <c r="D154" s="7">
        <f>LARGE(range_data, k)</f>
        <v/>
      </c>
      <c r="E154" s="5" t="inlineStr">
        <is>
          <t>Mencari nilai terbesar ke-k (Juara ke-1, Juara ke-2, atau Juara ke-3).</t>
        </is>
      </c>
      <c r="F154" s="8" t="inlineStr">
        <is>
          <t>👉 Buka Sheet LARGE</t>
        </is>
      </c>
    </row>
    <row r="155">
      <c r="A155" s="5" t="n">
        <v>151</v>
      </c>
      <c r="B155" s="6" t="inlineStr">
        <is>
          <t>LOGNORM.DIST</t>
        </is>
      </c>
      <c r="C155" s="5" t="inlineStr">
        <is>
          <t>8. Statistik &amp; Analisis Data</t>
        </is>
      </c>
      <c r="D155" s="7">
        <f>LOGNORM.DIST(x, mean, standard_dev, TRUE)</f>
        <v/>
      </c>
      <c r="E155" s="5" t="inlineStr">
        <is>
          <t>Menghitung distribusi lognormal kumulatif dari variabel x.</t>
        </is>
      </c>
      <c r="F155" s="8" t="inlineStr">
        <is>
          <t>👉 Buka Sheet LOGNORM.DIST</t>
        </is>
      </c>
    </row>
    <row r="156">
      <c r="A156" s="5" t="n">
        <v>152</v>
      </c>
      <c r="B156" s="6" t="inlineStr">
        <is>
          <t>LOGINV</t>
        </is>
      </c>
      <c r="C156" s="5" t="inlineStr">
        <is>
          <t>8. Statistik &amp; Analisis Data</t>
        </is>
      </c>
      <c r="D156" s="7">
        <f>LOGNORM.INV(probabilitas, mean, standard_dev)</f>
        <v/>
      </c>
      <c r="E156" s="5" t="inlineStr">
        <is>
          <t>Menghasilkan invers dari distribusi lognormal kumulatif.</t>
        </is>
      </c>
      <c r="F156" s="8" t="inlineStr">
        <is>
          <t>👉 Buka Sheet LOGINV</t>
        </is>
      </c>
    </row>
    <row r="157">
      <c r="A157" s="5" t="n">
        <v>153</v>
      </c>
      <c r="B157" s="6" t="inlineStr">
        <is>
          <t>MAX</t>
        </is>
      </c>
      <c r="C157" s="5" t="inlineStr">
        <is>
          <t>8. Statistik &amp; Analisis Data</t>
        </is>
      </c>
      <c r="D157" s="7">
        <f>MAX(range_data)</f>
        <v/>
      </c>
      <c r="E157" s="5" t="inlineStr">
        <is>
          <t>Mencari nilai PALING TINGGI (Maksimum / Rekor Juara 1) dari sekumpulan data.</t>
        </is>
      </c>
      <c r="F157" s="8" t="inlineStr">
        <is>
          <t>👉 Buka Sheet MAX</t>
        </is>
      </c>
    </row>
    <row r="158">
      <c r="A158" s="5" t="n">
        <v>154</v>
      </c>
      <c r="B158" s="6" t="inlineStr">
        <is>
          <t>MAXA</t>
        </is>
      </c>
      <c r="C158" s="5" t="inlineStr">
        <is>
          <t>8. Statistik &amp; Analisis Data</t>
        </is>
      </c>
      <c r="D158" s="7">
        <f>MAXA(range_data)</f>
        <v/>
      </c>
      <c r="E158" s="5" t="inlineStr">
        <is>
          <t>Mencari nilai maksimum dengan menyertakan nilai logika dan teks.</t>
        </is>
      </c>
      <c r="F158" s="8" t="inlineStr">
        <is>
          <t>👉 Buka Sheet MAXA</t>
        </is>
      </c>
    </row>
    <row r="159">
      <c r="A159" s="5" t="n">
        <v>155</v>
      </c>
      <c r="B159" s="6" t="inlineStr">
        <is>
          <t>MEDIAN</t>
        </is>
      </c>
      <c r="C159" s="5" t="inlineStr">
        <is>
          <t>8. Statistik &amp; Analisis Data</t>
        </is>
      </c>
      <c r="D159" s="7">
        <f>MEDIAN(range_data)</f>
        <v/>
      </c>
      <c r="E159" s="5" t="inlineStr">
        <is>
          <t>Mencari NILAI TENGAH setelah data diurutkan dari terkecil ke terbesar.</t>
        </is>
      </c>
      <c r="F159" s="8" t="inlineStr">
        <is>
          <t>👉 Buka Sheet MEDIAN</t>
        </is>
      </c>
    </row>
    <row r="160">
      <c r="A160" s="5" t="n">
        <v>156</v>
      </c>
      <c r="B160" s="6" t="inlineStr">
        <is>
          <t>MIN</t>
        </is>
      </c>
      <c r="C160" s="5" t="inlineStr">
        <is>
          <t>8. Statistik &amp; Analisis Data</t>
        </is>
      </c>
      <c r="D160" s="7">
        <f>MIN(range_data)</f>
        <v/>
      </c>
      <c r="E160" s="5" t="inlineStr">
        <is>
          <t>Mencari nilai PALING RENDAH (Minimum) dari sekumpulan data.</t>
        </is>
      </c>
      <c r="F160" s="8" t="inlineStr">
        <is>
          <t>👉 Buka Sheet MIN</t>
        </is>
      </c>
    </row>
    <row r="161">
      <c r="A161" s="5" t="n">
        <v>157</v>
      </c>
      <c r="B161" s="6" t="inlineStr">
        <is>
          <t>MINA</t>
        </is>
      </c>
      <c r="C161" s="5" t="inlineStr">
        <is>
          <t>8. Statistik &amp; Analisis Data</t>
        </is>
      </c>
      <c r="D161" s="7">
        <f>MINA(range_data)</f>
        <v/>
      </c>
      <c r="E161" s="5" t="inlineStr">
        <is>
          <t>Mencari nilai minimum dengan menyertakan nilai logika dan teks.</t>
        </is>
      </c>
      <c r="F161" s="8" t="inlineStr">
        <is>
          <t>👉 Buka Sheet MINA</t>
        </is>
      </c>
    </row>
    <row r="162">
      <c r="A162" s="5" t="n">
        <v>158</v>
      </c>
      <c r="B162" s="6" t="inlineStr">
        <is>
          <t>MODE</t>
        </is>
      </c>
      <c r="C162" s="5" t="inlineStr">
        <is>
          <t>8. Statistik &amp; Analisis Data</t>
        </is>
      </c>
      <c r="D162" s="7">
        <f>MODE(range_data)</f>
        <v/>
      </c>
      <c r="E162" s="5" t="inlineStr">
        <is>
          <t>Mencari angka yang PALING SERING MUNCUL (Modus) di dalam daftar.</t>
        </is>
      </c>
      <c r="F162" s="8" t="inlineStr">
        <is>
          <t>👉 Buka Sheet MODE</t>
        </is>
      </c>
    </row>
    <row r="163">
      <c r="A163" s="5" t="n">
        <v>159</v>
      </c>
      <c r="B163" s="6" t="inlineStr">
        <is>
          <t>NEGBINOM.DIST</t>
        </is>
      </c>
      <c r="C163" s="5" t="inlineStr">
        <is>
          <t>8. Statistik &amp; Analisis Data</t>
        </is>
      </c>
      <c r="D163" s="7">
        <f>NEGBINOM.DIST(gagal, sukses, prob_sukses, TRUE)</f>
        <v/>
      </c>
      <c r="E163" s="5" t="inlineStr">
        <is>
          <t>Menghitung distribusi Binomial Negatif (peluang jumlah kegagalan sebelum sukses ke-r).</t>
        </is>
      </c>
      <c r="F163" s="8" t="inlineStr">
        <is>
          <t>👉 Buka Sheet NEGBINOM.DIST</t>
        </is>
      </c>
    </row>
    <row r="164">
      <c r="A164" s="5" t="n">
        <v>160</v>
      </c>
      <c r="B164" s="6" t="inlineStr">
        <is>
          <t>NORM.DIST</t>
        </is>
      </c>
      <c r="C164" s="5" t="inlineStr">
        <is>
          <t>8. Statistik &amp; Analisis Data</t>
        </is>
      </c>
      <c r="D164" s="7">
        <f>NORM.DIST(x, mean, standard_dev, TRUE)</f>
        <v/>
      </c>
      <c r="E164" s="5" t="inlineStr">
        <is>
          <t>Menghasilkan nilai distribusi normal untuk rata-rata dan simpangan baku tertentu.</t>
        </is>
      </c>
      <c r="F164" s="8" t="inlineStr">
        <is>
          <t>👉 Buka Sheet NORM.DIST</t>
        </is>
      </c>
    </row>
    <row r="165">
      <c r="A165" s="5" t="n">
        <v>161</v>
      </c>
      <c r="B165" s="6" t="inlineStr">
        <is>
          <t>NORM.INV</t>
        </is>
      </c>
      <c r="C165" s="5" t="inlineStr">
        <is>
          <t>8. Statistik &amp; Analisis Data</t>
        </is>
      </c>
      <c r="D165" s="7">
        <f>NORM.INV(probabilitas, mean, standard_dev)</f>
        <v/>
      </c>
      <c r="E165" s="5" t="inlineStr">
        <is>
          <t>Menghasilkan invers dari distribusi normal kumulatif.</t>
        </is>
      </c>
      <c r="F165" s="8" t="inlineStr">
        <is>
          <t>👉 Buka Sheet NORM.INV</t>
        </is>
      </c>
    </row>
    <row r="166">
      <c r="A166" s="5" t="n">
        <v>162</v>
      </c>
      <c r="B166" s="6" t="inlineStr">
        <is>
          <t>NORM.S.DIST</t>
        </is>
      </c>
      <c r="C166" s="5" t="inlineStr">
        <is>
          <t>8. Statistik &amp; Analisis Data</t>
        </is>
      </c>
      <c r="D166" s="7">
        <f>NORM.S.DIST(z, TRUE)</f>
        <v/>
      </c>
      <c r="E166" s="5" t="inlineStr">
        <is>
          <t>Menghasilkan distribusi normal standar (rata-rata = 0 dan standar deviasi = 1).</t>
        </is>
      </c>
      <c r="F166" s="8" t="inlineStr">
        <is>
          <t>👉 Buka Sheet NORM.S.DIST</t>
        </is>
      </c>
    </row>
    <row r="167">
      <c r="A167" s="5" t="n">
        <v>163</v>
      </c>
      <c r="B167" s="6" t="inlineStr">
        <is>
          <t>NORM.S.INV</t>
        </is>
      </c>
      <c r="C167" s="5" t="inlineStr">
        <is>
          <t>8. Statistik &amp; Analisis Data</t>
        </is>
      </c>
      <c r="D167" s="7">
        <f>NORM.S.INV(probabilitas)</f>
        <v/>
      </c>
      <c r="E167" s="5" t="inlineStr">
        <is>
          <t>Menghasilkan nilai Z dari kebalikan distribusi normal standar kumulatif.</t>
        </is>
      </c>
      <c r="F167" s="8" t="inlineStr">
        <is>
          <t>👉 Buka Sheet NORM.S.INV</t>
        </is>
      </c>
    </row>
    <row r="168">
      <c r="A168" s="5" t="n">
        <v>164</v>
      </c>
      <c r="B168" s="6" t="inlineStr">
        <is>
          <t>PEARSON</t>
        </is>
      </c>
      <c r="C168" s="5" t="inlineStr">
        <is>
          <t>8. Statistik &amp; Analisis Data</t>
        </is>
      </c>
      <c r="D168" s="7">
        <f>PEARSON(range_x, range_y)</f>
        <v/>
      </c>
      <c r="E168" s="5" t="inlineStr">
        <is>
          <t>Menghitung koefisien korelasi Pearson antara dua kumpulan data.</t>
        </is>
      </c>
      <c r="F168" s="8" t="inlineStr">
        <is>
          <t>👉 Buka Sheet PEARSON</t>
        </is>
      </c>
    </row>
    <row r="169">
      <c r="A169" s="5" t="n">
        <v>165</v>
      </c>
      <c r="B169" s="6" t="inlineStr">
        <is>
          <t>PERCENTILE.EXC</t>
        </is>
      </c>
      <c r="C169" s="5" t="inlineStr">
        <is>
          <t>8. Statistik &amp; Analisis Data</t>
        </is>
      </c>
      <c r="D169" s="7">
        <f>PERCENTILE.EXC(range_data, k)</f>
        <v/>
      </c>
      <c r="E169" s="5" t="inlineStr">
        <is>
          <t>Mencari nilai persentil eksklusif dari distribusi data.</t>
        </is>
      </c>
      <c r="F169" s="8" t="inlineStr">
        <is>
          <t>👉 Buka Sheet PERCENTILE.EXC</t>
        </is>
      </c>
    </row>
    <row r="170">
      <c r="A170" s="5" t="n">
        <v>166</v>
      </c>
      <c r="B170" s="6" t="inlineStr">
        <is>
          <t>PERCENTILE.INC</t>
        </is>
      </c>
      <c r="C170" s="5" t="inlineStr">
        <is>
          <t>8. Statistik &amp; Analisis Data</t>
        </is>
      </c>
      <c r="D170" s="7">
        <f>PERCENTILE.INC(range_data, k)</f>
        <v/>
      </c>
      <c r="E170" s="5" t="inlineStr">
        <is>
          <t>Mencari nilai persentil inklusif (0 s/d 1) dari distribusi data.</t>
        </is>
      </c>
      <c r="F170" s="8" t="inlineStr">
        <is>
          <t>👉 Buka Sheet PERCENTILE.INC</t>
        </is>
      </c>
    </row>
    <row r="171">
      <c r="A171" s="5" t="n">
        <v>167</v>
      </c>
      <c r="B171" s="6" t="inlineStr">
        <is>
          <t>PERCENTRANK.EXC</t>
        </is>
      </c>
      <c r="C171" s="5" t="inlineStr">
        <is>
          <t>8. Statistik &amp; Analisis Data</t>
        </is>
      </c>
      <c r="D171" s="7">
        <f>PERCENTRANK.EXC(range_data, x)</f>
        <v/>
      </c>
      <c r="E171" s="5" t="inlineStr">
        <is>
          <t>Mencari peringkat persentase eksklusif suatu nilai di dalam kumpulan data.</t>
        </is>
      </c>
      <c r="F171" s="8" t="inlineStr">
        <is>
          <t>👉 Buka Sheet PERCENTRANK.EXC</t>
        </is>
      </c>
    </row>
    <row r="172">
      <c r="A172" s="5" t="n">
        <v>168</v>
      </c>
      <c r="B172" s="6" t="inlineStr">
        <is>
          <t>PERCENTRANK.INC</t>
        </is>
      </c>
      <c r="C172" s="5" t="inlineStr">
        <is>
          <t>8. Statistik &amp; Analisis Data</t>
        </is>
      </c>
      <c r="D172" s="7">
        <f>PERCENTRANK.INC(range_data, x)</f>
        <v/>
      </c>
      <c r="E172" s="5" t="inlineStr">
        <is>
          <t>Mencari peringkat persentase inklusif suatu nilai di dalam kumpulan data.</t>
        </is>
      </c>
      <c r="F172" s="8" t="inlineStr">
        <is>
          <t>👉 Buka Sheet PERCENTRANK.INC</t>
        </is>
      </c>
    </row>
    <row r="173">
      <c r="A173" s="5" t="n">
        <v>169</v>
      </c>
      <c r="B173" s="6" t="inlineStr">
        <is>
          <t>PERMUT</t>
        </is>
      </c>
      <c r="C173" s="5" t="inlineStr">
        <is>
          <t>8. Statistik &amp; Analisis Data</t>
        </is>
      </c>
      <c r="D173" s="7">
        <f>PERMUT(jumlah_objek, jumlah_dipilih)</f>
        <v/>
      </c>
      <c r="E173" s="5" t="inlineStr">
        <is>
          <t>Menghitung banyaknya susunan permutasi objek yang memperhatikan urutan.</t>
        </is>
      </c>
      <c r="F173" s="8" t="inlineStr">
        <is>
          <t>👉 Buka Sheet PERMUT</t>
        </is>
      </c>
    </row>
    <row r="174">
      <c r="A174" s="5" t="n">
        <v>170</v>
      </c>
      <c r="B174" s="6" t="inlineStr">
        <is>
          <t>POISSON</t>
        </is>
      </c>
      <c r="C174" s="5" t="inlineStr">
        <is>
          <t>8. Statistik &amp; Analisis Data</t>
        </is>
      </c>
      <c r="D174" s="7">
        <f>POISSON(x, mean, TRUE)</f>
        <v/>
      </c>
      <c r="E174" s="5" t="inlineStr">
        <is>
          <t>Menghitung distribusi peluang Poisson (jumlah kejadian dalam selang waktu tertentu).</t>
        </is>
      </c>
      <c r="F174" s="8" t="inlineStr">
        <is>
          <t>👉 Buka Sheet POISSON</t>
        </is>
      </c>
    </row>
    <row r="175">
      <c r="A175" s="5" t="n">
        <v>171</v>
      </c>
      <c r="B175" s="6" t="inlineStr">
        <is>
          <t>PROB</t>
        </is>
      </c>
      <c r="C175" s="5" t="inlineStr">
        <is>
          <t>8. Statistik &amp; Analisis Data</t>
        </is>
      </c>
      <c r="D175" s="7">
        <f>PROB(range_x, range_prob, batas_bawah)</f>
        <v/>
      </c>
      <c r="E175" s="5" t="inlineStr">
        <is>
          <t>Menghitung peluang bahwa nilai berada pada titik atau rentang tertentu.</t>
        </is>
      </c>
      <c r="F175" s="8" t="inlineStr">
        <is>
          <t>👉 Buka Sheet PROB</t>
        </is>
      </c>
    </row>
    <row r="176">
      <c r="A176" s="5" t="n">
        <v>172</v>
      </c>
      <c r="B176" s="6" t="inlineStr">
        <is>
          <t>QUARTILE.EXC</t>
        </is>
      </c>
      <c r="C176" s="5" t="inlineStr">
        <is>
          <t>8. Statistik &amp; Analisis Data</t>
        </is>
      </c>
      <c r="D176" s="7">
        <f>QUARTILE.EXC(range_data, kuartil)</f>
        <v/>
      </c>
      <c r="E176" s="5" t="inlineStr">
        <is>
          <t>Mencari nilai Kuartil eksklusif (1, 2, atau 3) dari rentang data.</t>
        </is>
      </c>
      <c r="F176" s="8" t="inlineStr">
        <is>
          <t>👉 Buka Sheet QUARTILE.EXC</t>
        </is>
      </c>
    </row>
    <row r="177">
      <c r="A177" s="5" t="n">
        <v>173</v>
      </c>
      <c r="B177" s="6" t="inlineStr">
        <is>
          <t>QUARTILE.INC</t>
        </is>
      </c>
      <c r="C177" s="5" t="inlineStr">
        <is>
          <t>8. Statistik &amp; Analisis Data</t>
        </is>
      </c>
      <c r="D177" s="7">
        <f>QUARTILE.INC(range_data, kuartil)</f>
        <v/>
      </c>
      <c r="E177" s="5" t="inlineStr">
        <is>
          <t>Mencari nilai Kuartil inklusif (1=Kuartil Bawah, 2=Median, 3=Kuartil Atas).</t>
        </is>
      </c>
      <c r="F177" s="8" t="inlineStr">
        <is>
          <t>👉 Buka Sheet QUARTILE.INC</t>
        </is>
      </c>
    </row>
    <row r="178">
      <c r="A178" s="5" t="n">
        <v>174</v>
      </c>
      <c r="B178" s="6" t="inlineStr">
        <is>
          <t>RANK</t>
        </is>
      </c>
      <c r="C178" s="5" t="inlineStr">
        <is>
          <t>8. Statistik &amp; Analisis Data</t>
        </is>
      </c>
      <c r="D178" s="7">
        <f>RANK(angka, range_referensi)</f>
        <v/>
      </c>
      <c r="E178" s="5" t="inlineStr">
        <is>
          <t>Menentukan peringkat juara ke-berapa suatu angka dibandingkan seluruh daftar.</t>
        </is>
      </c>
      <c r="F178" s="8" t="inlineStr">
        <is>
          <t>👉 Buka Sheet RANK</t>
        </is>
      </c>
    </row>
    <row r="179">
      <c r="A179" s="5" t="n">
        <v>175</v>
      </c>
      <c r="B179" s="6" t="inlineStr">
        <is>
          <t>RSQ</t>
        </is>
      </c>
      <c r="C179" s="5" t="inlineStr">
        <is>
          <t>8. Statistik &amp; Analisis Data</t>
        </is>
      </c>
      <c r="D179" s="7">
        <f>RSQ(range_y, range_x)</f>
        <v/>
      </c>
      <c r="E179" s="5" t="inlineStr">
        <is>
          <t>Menghitung nilai R-Squared (Koefisien Determinasi) regresi linear.</t>
        </is>
      </c>
      <c r="F179" s="8" t="inlineStr">
        <is>
          <t>👉 Buka Sheet RSQ</t>
        </is>
      </c>
    </row>
    <row r="180">
      <c r="A180" s="5" t="n">
        <v>176</v>
      </c>
      <c r="B180" s="6" t="inlineStr">
        <is>
          <t>SKEW</t>
        </is>
      </c>
      <c r="C180" s="5" t="inlineStr">
        <is>
          <t>8. Statistik &amp; Analisis Data</t>
        </is>
      </c>
      <c r="D180" s="7">
        <f>SKEW(range_data)</f>
        <v/>
      </c>
      <c r="E180" s="5" t="inlineStr">
        <is>
          <t>Mengukur kemencengan (Skewness) distribusi data.</t>
        </is>
      </c>
      <c r="F180" s="8" t="inlineStr">
        <is>
          <t>👉 Buka Sheet SKEW</t>
        </is>
      </c>
    </row>
    <row r="181">
      <c r="A181" s="5" t="n">
        <v>177</v>
      </c>
      <c r="B181" s="6" t="inlineStr">
        <is>
          <t>SLOPE</t>
        </is>
      </c>
      <c r="C181" s="5" t="inlineStr">
        <is>
          <t>8. Statistik &amp; Analisis Data</t>
        </is>
      </c>
      <c r="D181" s="7">
        <f>SLOPE(range_y, range_x)</f>
        <v/>
      </c>
      <c r="E181" s="5" t="inlineStr">
        <is>
          <t>Menghitung kemiringan garis tren regresi linear.</t>
        </is>
      </c>
      <c r="F181" s="8" t="inlineStr">
        <is>
          <t>👉 Buka Sheet SLOPE</t>
        </is>
      </c>
    </row>
    <row r="182">
      <c r="A182" s="5" t="n">
        <v>178</v>
      </c>
      <c r="B182" s="6" t="inlineStr">
        <is>
          <t>SMALL</t>
        </is>
      </c>
      <c r="C182" s="5" t="inlineStr">
        <is>
          <t>8. Statistik &amp; Analisis Data</t>
        </is>
      </c>
      <c r="D182" s="7">
        <f>SMALL(range_data, k)</f>
        <v/>
      </c>
      <c r="E182" s="5" t="inlineStr">
        <is>
          <t>Mencari nilai terkecil ke-k (urutan paling bawah ke-1, ke-2, ke-3).</t>
        </is>
      </c>
      <c r="F182" s="8" t="inlineStr">
        <is>
          <t>👉 Buka Sheet SMALL</t>
        </is>
      </c>
    </row>
    <row r="183">
      <c r="A183" s="5" t="n">
        <v>179</v>
      </c>
      <c r="B183" s="6" t="inlineStr">
        <is>
          <t>STANDARDIZE</t>
        </is>
      </c>
      <c r="C183" s="5" t="inlineStr">
        <is>
          <t>8. Statistik &amp; Analisis Data</t>
        </is>
      </c>
      <c r="D183" s="7">
        <f>STANDARDIZE(x, mean, standard_dev)</f>
        <v/>
      </c>
      <c r="E183" s="5" t="inlineStr">
        <is>
          <t>Menghitung nilai baku (Z-score) dari distribusi yang memiliki rata-rata dan simpangan baku.</t>
        </is>
      </c>
      <c r="F183" s="8" t="inlineStr">
        <is>
          <t>👉 Buka Sheet STANDARDIZE</t>
        </is>
      </c>
    </row>
    <row r="184">
      <c r="A184" s="5" t="n">
        <v>180</v>
      </c>
      <c r="B184" s="6" t="inlineStr">
        <is>
          <t>STDEV.P</t>
        </is>
      </c>
      <c r="C184" s="5" t="inlineStr">
        <is>
          <t>8. Statistik &amp; Analisis Data</t>
        </is>
      </c>
      <c r="D184" s="7">
        <f>STDEV.P(range_populasi)</f>
        <v/>
      </c>
      <c r="E184" s="5" t="inlineStr">
        <is>
          <t>Menghitung Standar Deviasi untuk seluruh populasi penuh.</t>
        </is>
      </c>
      <c r="F184" s="8" t="inlineStr">
        <is>
          <t>👉 Buka Sheet STDEV.P</t>
        </is>
      </c>
    </row>
    <row r="185">
      <c r="A185" s="5" t="n">
        <v>181</v>
      </c>
      <c r="B185" s="6" t="inlineStr">
        <is>
          <t>STDEV.S</t>
        </is>
      </c>
      <c r="C185" s="5" t="inlineStr">
        <is>
          <t>8. Statistik &amp; Analisis Data</t>
        </is>
      </c>
      <c r="D185" s="7">
        <f>STDEV.S(range_sampel)</f>
        <v/>
      </c>
      <c r="E185" s="5" t="inlineStr">
        <is>
          <t>Menghitung Standar Deviasi (simpangan baku) dari sampel data.</t>
        </is>
      </c>
      <c r="F185" s="8" t="inlineStr">
        <is>
          <t>👉 Buka Sheet STDEV.S</t>
        </is>
      </c>
    </row>
    <row r="186">
      <c r="A186" s="5" t="n">
        <v>182</v>
      </c>
      <c r="B186" s="6" t="inlineStr">
        <is>
          <t>STDEVA</t>
        </is>
      </c>
      <c r="C186" s="5" t="inlineStr">
        <is>
          <t>8. Statistik &amp; Analisis Data</t>
        </is>
      </c>
      <c r="D186" s="7">
        <f>STDEVA(range_sampel)</f>
        <v/>
      </c>
      <c r="E186" s="5" t="inlineStr">
        <is>
          <t>Menghitung standar deviasi sampel termasuk nilai logika dan teks.</t>
        </is>
      </c>
      <c r="F186" s="8" t="inlineStr">
        <is>
          <t>👉 Buka Sheet STDEVA</t>
        </is>
      </c>
    </row>
    <row r="187">
      <c r="A187" s="5" t="n">
        <v>183</v>
      </c>
      <c r="B187" s="6" t="inlineStr">
        <is>
          <t>STDEVP</t>
        </is>
      </c>
      <c r="C187" s="5" t="inlineStr">
        <is>
          <t>8. Statistik &amp; Analisis Data</t>
        </is>
      </c>
      <c r="D187" s="7">
        <f>STDEVP(range_populasi)</f>
        <v/>
      </c>
      <c r="E187" s="5" t="inlineStr">
        <is>
          <t>Menghitung standar deviasi populasi penuh (fungsi kompatibilitas).</t>
        </is>
      </c>
      <c r="F187" s="8" t="inlineStr">
        <is>
          <t>👉 Buka Sheet STDEVP</t>
        </is>
      </c>
    </row>
    <row r="188">
      <c r="A188" s="5" t="n">
        <v>184</v>
      </c>
      <c r="B188" s="6" t="inlineStr">
        <is>
          <t>STDEVPA</t>
        </is>
      </c>
      <c r="C188" s="5" t="inlineStr">
        <is>
          <t>8. Statistik &amp; Analisis Data</t>
        </is>
      </c>
      <c r="D188" s="7">
        <f>STDEVPA(range_populasi)</f>
        <v/>
      </c>
      <c r="E188" s="5" t="inlineStr">
        <is>
          <t>Menghitung standar deviasi populasi termasuk nilai logika dan teks.</t>
        </is>
      </c>
      <c r="F188" s="8" t="inlineStr">
        <is>
          <t>👉 Buka Sheet STDEVPA</t>
        </is>
      </c>
    </row>
    <row r="189">
      <c r="A189" s="5" t="n">
        <v>185</v>
      </c>
      <c r="B189" s="6" t="inlineStr">
        <is>
          <t>STEYX</t>
        </is>
      </c>
      <c r="C189" s="5" t="inlineStr">
        <is>
          <t>8. Statistik &amp; Analisis Data</t>
        </is>
      </c>
      <c r="D189" s="7">
        <f>STEYX(range_y, range_x)</f>
        <v/>
      </c>
      <c r="E189" s="5" t="inlineStr">
        <is>
          <t>Menghitung standar error dari prediksi regresi Y terhadap X.</t>
        </is>
      </c>
      <c r="F189" s="8" t="inlineStr">
        <is>
          <t>👉 Buka Sheet STEYX</t>
        </is>
      </c>
    </row>
    <row r="190">
      <c r="A190" s="5" t="n">
        <v>186</v>
      </c>
      <c r="B190" s="6" t="inlineStr">
        <is>
          <t>T.DIST</t>
        </is>
      </c>
      <c r="C190" s="5" t="inlineStr">
        <is>
          <t>8. Statistik &amp; Analisis Data</t>
        </is>
      </c>
      <c r="D190" s="7">
        <f>T.DIST(x, deg_freedom, TRUE)</f>
        <v/>
      </c>
      <c r="E190" s="5" t="inlineStr">
        <is>
          <t>Menghasilkan distribusi Student's t sisi kiri.</t>
        </is>
      </c>
      <c r="F190" s="8" t="inlineStr">
        <is>
          <t>👉 Buka Sheet T.DIST</t>
        </is>
      </c>
    </row>
    <row r="191">
      <c r="A191" s="5" t="n">
        <v>187</v>
      </c>
      <c r="B191" s="6" t="inlineStr">
        <is>
          <t>T.DIST.2T</t>
        </is>
      </c>
      <c r="C191" s="5" t="inlineStr">
        <is>
          <t>8. Statistik &amp; Analisis Data</t>
        </is>
      </c>
      <c r="D191" s="7">
        <f>T.DIST.2T(x, deg_freedom)</f>
        <v/>
      </c>
      <c r="E191" s="5" t="inlineStr">
        <is>
          <t>Menghasilkan probabilitas dua sisi (Two-Tailed) dari distribusi Student's t.</t>
        </is>
      </c>
      <c r="F191" s="8" t="inlineStr">
        <is>
          <t>👉 Buka Sheet T.DIST.2T</t>
        </is>
      </c>
    </row>
    <row r="192">
      <c r="A192" s="5" t="n">
        <v>188</v>
      </c>
      <c r="B192" s="6" t="inlineStr">
        <is>
          <t>T.DIST.RT</t>
        </is>
      </c>
      <c r="C192" s="5" t="inlineStr">
        <is>
          <t>8. Statistik &amp; Analisis Data</t>
        </is>
      </c>
      <c r="D192" s="7">
        <f>T.DIST.RT(x, deg_freedom)</f>
        <v/>
      </c>
      <c r="E192" s="5" t="inlineStr">
        <is>
          <t>Menghasilkan probabilitas ekor kanan (Right-Tailed) dari distribusi Student's t.</t>
        </is>
      </c>
      <c r="F192" s="8" t="inlineStr">
        <is>
          <t>👉 Buka Sheet T.DIST.RT</t>
        </is>
      </c>
    </row>
    <row r="193">
      <c r="A193" s="5" t="n">
        <v>189</v>
      </c>
      <c r="B193" s="6" t="inlineStr">
        <is>
          <t>T.INV</t>
        </is>
      </c>
      <c r="C193" s="5" t="inlineStr">
        <is>
          <t>8. Statistik &amp; Analisis Data</t>
        </is>
      </c>
      <c r="D193" s="7">
        <f>T.INV(probabilitas, deg_freedom)</f>
        <v/>
      </c>
      <c r="E193" s="5" t="inlineStr">
        <is>
          <t>Menghasilkan nilai t (invers ekor kiri) dari distribusi Student's t.</t>
        </is>
      </c>
      <c r="F193" s="8" t="inlineStr">
        <is>
          <t>👉 Buka Sheet T.INV</t>
        </is>
      </c>
    </row>
    <row r="194">
      <c r="A194" s="5" t="n">
        <v>190</v>
      </c>
      <c r="B194" s="6" t="inlineStr">
        <is>
          <t>T.INV.2T</t>
        </is>
      </c>
      <c r="C194" s="5" t="inlineStr">
        <is>
          <t>8. Statistik &amp; Analisis Data</t>
        </is>
      </c>
      <c r="D194" s="7">
        <f>T.INV.2T(probabilitas, deg_freedom)</f>
        <v/>
      </c>
      <c r="E194" s="5" t="inlineStr">
        <is>
          <t>Menghasilkan nilai t (invers dua sisi) dari distribusi Student's t.</t>
        </is>
      </c>
      <c r="F194" s="8" t="inlineStr">
        <is>
          <t>👉 Buka Sheet T.INV.2T</t>
        </is>
      </c>
    </row>
    <row r="195">
      <c r="A195" s="5" t="n">
        <v>191</v>
      </c>
      <c r="B195" s="6" t="inlineStr">
        <is>
          <t>TREND</t>
        </is>
      </c>
      <c r="C195" s="5" t="inlineStr">
        <is>
          <t>8. Statistik &amp; Analisis Data</t>
        </is>
      </c>
      <c r="D195" s="7">
        <f>TREND(range_y, range_x, target_x)</f>
        <v/>
      </c>
      <c r="E195" s="5" t="inlineStr">
        <is>
          <t>Menghitung nilai tren linear berdasarkan metode kuadrat terkecil.</t>
        </is>
      </c>
      <c r="F195" s="8" t="inlineStr">
        <is>
          <t>👉 Buka Sheet TREND</t>
        </is>
      </c>
    </row>
    <row r="196">
      <c r="A196" s="5" t="n">
        <v>192</v>
      </c>
      <c r="B196" s="6" t="inlineStr">
        <is>
          <t>T.TEST</t>
        </is>
      </c>
      <c r="C196" s="5" t="inlineStr">
        <is>
          <t>8. Statistik &amp; Analisis Data</t>
        </is>
      </c>
      <c r="D196" s="7">
        <f>T.TEST(array1, array2, tails, type)</f>
        <v/>
      </c>
      <c r="E196" s="5" t="inlineStr">
        <is>
          <t>Menghitung peluang yang terkait dengan uji-t Student (Student's t-Test).</t>
        </is>
      </c>
      <c r="F196" s="8" t="inlineStr">
        <is>
          <t>👉 Buka Sheet T.TEST</t>
        </is>
      </c>
    </row>
    <row r="197">
      <c r="A197" s="5" t="n">
        <v>193</v>
      </c>
      <c r="B197" s="6" t="inlineStr">
        <is>
          <t>TRIMMEAN</t>
        </is>
      </c>
      <c r="C197" s="5" t="inlineStr">
        <is>
          <t>8. Statistik &amp; Analisis Data</t>
        </is>
      </c>
      <c r="D197" s="7">
        <f>TRIMMEAN(range_data, persen_pangkas)</f>
        <v/>
      </c>
      <c r="E197" s="5" t="inlineStr">
        <is>
          <t>Menghitung rata-rata adil dengan membuang persentase nilai ekstrem.</t>
        </is>
      </c>
      <c r="F197" s="8" t="inlineStr">
        <is>
          <t>👉 Buka Sheet TRIMMEAN</t>
        </is>
      </c>
    </row>
    <row r="198">
      <c r="A198" s="5" t="n">
        <v>194</v>
      </c>
      <c r="B198" s="6" t="inlineStr">
        <is>
          <t>VAR.P</t>
        </is>
      </c>
      <c r="C198" s="5" t="inlineStr">
        <is>
          <t>8. Statistik &amp; Analisis Data</t>
        </is>
      </c>
      <c r="D198" s="7">
        <f>VAR.P(range_populasi)</f>
        <v/>
      </c>
      <c r="E198" s="5" t="inlineStr">
        <is>
          <t>Menghitung nilai Varians dari keseluruhan populasi.</t>
        </is>
      </c>
      <c r="F198" s="8" t="inlineStr">
        <is>
          <t>👉 Buka Sheet VAR.P</t>
        </is>
      </c>
    </row>
    <row r="199">
      <c r="A199" s="5" t="n">
        <v>195</v>
      </c>
      <c r="B199" s="6" t="inlineStr">
        <is>
          <t>VAR.S</t>
        </is>
      </c>
      <c r="C199" s="5" t="inlineStr">
        <is>
          <t>8. Statistik &amp; Analisis Data</t>
        </is>
      </c>
      <c r="D199" s="7">
        <f>VAR.S(range_sampel)</f>
        <v/>
      </c>
      <c r="E199" s="5" t="inlineStr">
        <is>
          <t>Menghitung nilai Varians (keragaman kuadrat) dari data sampel.</t>
        </is>
      </c>
      <c r="F199" s="8" t="inlineStr">
        <is>
          <t>👉 Buka Sheet VAR.S</t>
        </is>
      </c>
    </row>
    <row r="200">
      <c r="A200" s="5" t="n">
        <v>196</v>
      </c>
      <c r="B200" s="6" t="inlineStr">
        <is>
          <t>VARA</t>
        </is>
      </c>
      <c r="C200" s="5" t="inlineStr">
        <is>
          <t>8. Statistik &amp; Analisis Data</t>
        </is>
      </c>
      <c r="D200" s="7">
        <f>VARA(range_sampel)</f>
        <v/>
      </c>
      <c r="E200" s="5" t="inlineStr">
        <is>
          <t>Menghitung varians sampel termasuk nilai logika dan teks.</t>
        </is>
      </c>
      <c r="F200" s="8" t="inlineStr">
        <is>
          <t>👉 Buka Sheet VARA</t>
        </is>
      </c>
    </row>
    <row r="201">
      <c r="A201" s="5" t="n">
        <v>197</v>
      </c>
      <c r="B201" s="6" t="inlineStr">
        <is>
          <t>VARPA</t>
        </is>
      </c>
      <c r="C201" s="5" t="inlineStr">
        <is>
          <t>8. Statistik &amp; Analisis Data</t>
        </is>
      </c>
      <c r="D201" s="7">
        <f>VARPA(range_populasi)</f>
        <v/>
      </c>
      <c r="E201" s="5" t="inlineStr">
        <is>
          <t>Menghitung varians populasi termasuk nilai logika dan teks.</t>
        </is>
      </c>
      <c r="F201" s="8" t="inlineStr">
        <is>
          <t>👉 Buka Sheet VARPA</t>
        </is>
      </c>
    </row>
    <row r="202">
      <c r="A202" s="5" t="n">
        <v>198</v>
      </c>
      <c r="B202" s="6" t="inlineStr">
        <is>
          <t>WEIBULL</t>
        </is>
      </c>
      <c r="C202" s="5" t="inlineStr">
        <is>
          <t>8. Statistik &amp; Analisis Data</t>
        </is>
      </c>
      <c r="D202" s="7">
        <f>WEIBULL(x, alpha, beta, TRUE)</f>
        <v/>
      </c>
      <c r="E202" s="5" t="inlineStr">
        <is>
          <t>Menghitung distribusi Weibull untuk analisis keandalan mesin (reliability / MTBF).</t>
        </is>
      </c>
      <c r="F202" s="8" t="inlineStr">
        <is>
          <t>👉 Buka Sheet WEIBULL</t>
        </is>
      </c>
    </row>
    <row r="203">
      <c r="A203" s="5" t="n">
        <v>199</v>
      </c>
      <c r="B203" s="6" t="inlineStr">
        <is>
          <t>ZTEST</t>
        </is>
      </c>
      <c r="C203" s="5" t="inlineStr">
        <is>
          <t>8. Statistik &amp; Analisis Data</t>
        </is>
      </c>
      <c r="D203" s="7">
        <f>ZTEST(range_data, x_uji)</f>
        <v/>
      </c>
      <c r="E203" s="5" t="inlineStr">
        <is>
          <t>Menghitung nilai peluang satu sisi dari uji-Z (Z-Test) terhadap rata-rata hipotesis.</t>
        </is>
      </c>
      <c r="F203" s="8" t="inlineStr">
        <is>
          <t>👉 Buka Sheet ZTEST</t>
        </is>
      </c>
    </row>
    <row r="204">
      <c r="A204" s="5" t="inlineStr">
        <is>
          <t>🔑</t>
        </is>
      </c>
      <c r="B204" s="9" t="inlineStr">
        <is>
          <t>99_KUNCI_JAWABAN</t>
        </is>
      </c>
      <c r="C204" s="5" t="inlineStr">
        <is>
          <t>Kunci Jawaban Seluruh Soal Tes</t>
        </is>
      </c>
      <c r="D204" s="7" t="inlineStr">
        <is>
          <t>995 Kunci Soal Tes</t>
        </is>
      </c>
      <c r="E204" s="5" t="inlineStr">
        <is>
          <t>Berisi Kunci Rumus &amp; Hasil Jawaban Benar untuk seluruh 5 Soal Tes di setiap sheet rumus.</t>
        </is>
      </c>
      <c r="F204" s="8" t="inlineStr">
        <is>
          <t>🔑 Buka Sheet Kunci Jawaban</t>
        </is>
      </c>
    </row>
  </sheetData>
  <mergeCells count="2">
    <mergeCell ref="A2:E2"/>
    <mergeCell ref="A1:F1"/>
  </mergeCells>
  <hyperlinks>
    <hyperlink xmlns:r="http://schemas.openxmlformats.org/officeDocument/2006/relationships" ref="F2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  <hyperlink xmlns:r="http://schemas.openxmlformats.org/officeDocument/2006/relationships" ref="F34" r:id="rId31"/>
    <hyperlink xmlns:r="http://schemas.openxmlformats.org/officeDocument/2006/relationships" ref="F35" r:id="rId32"/>
    <hyperlink xmlns:r="http://schemas.openxmlformats.org/officeDocument/2006/relationships" ref="F36" r:id="rId33"/>
    <hyperlink xmlns:r="http://schemas.openxmlformats.org/officeDocument/2006/relationships" ref="F37" r:id="rId34"/>
    <hyperlink xmlns:r="http://schemas.openxmlformats.org/officeDocument/2006/relationships" ref="F38" r:id="rId35"/>
    <hyperlink xmlns:r="http://schemas.openxmlformats.org/officeDocument/2006/relationships" ref="F39" r:id="rId36"/>
    <hyperlink xmlns:r="http://schemas.openxmlformats.org/officeDocument/2006/relationships" ref="F40" r:id="rId37"/>
    <hyperlink xmlns:r="http://schemas.openxmlformats.org/officeDocument/2006/relationships" ref="F41" r:id="rId38"/>
    <hyperlink xmlns:r="http://schemas.openxmlformats.org/officeDocument/2006/relationships" ref="F42" r:id="rId39"/>
    <hyperlink xmlns:r="http://schemas.openxmlformats.org/officeDocument/2006/relationships" ref="F43" r:id="rId40"/>
    <hyperlink xmlns:r="http://schemas.openxmlformats.org/officeDocument/2006/relationships" ref="F44" r:id="rId41"/>
    <hyperlink xmlns:r="http://schemas.openxmlformats.org/officeDocument/2006/relationships" ref="F45" r:id="rId42"/>
    <hyperlink xmlns:r="http://schemas.openxmlformats.org/officeDocument/2006/relationships" ref="F46" r:id="rId43"/>
    <hyperlink xmlns:r="http://schemas.openxmlformats.org/officeDocument/2006/relationships" ref="F47" r:id="rId44"/>
    <hyperlink xmlns:r="http://schemas.openxmlformats.org/officeDocument/2006/relationships" ref="F48" r:id="rId45"/>
    <hyperlink xmlns:r="http://schemas.openxmlformats.org/officeDocument/2006/relationships" ref="F49" r:id="rId46"/>
    <hyperlink xmlns:r="http://schemas.openxmlformats.org/officeDocument/2006/relationships" ref="F50" r:id="rId47"/>
    <hyperlink xmlns:r="http://schemas.openxmlformats.org/officeDocument/2006/relationships" ref="F51" r:id="rId48"/>
    <hyperlink xmlns:r="http://schemas.openxmlformats.org/officeDocument/2006/relationships" ref="F52" r:id="rId49"/>
    <hyperlink xmlns:r="http://schemas.openxmlformats.org/officeDocument/2006/relationships" ref="F53" r:id="rId50"/>
    <hyperlink xmlns:r="http://schemas.openxmlformats.org/officeDocument/2006/relationships" ref="F54" r:id="rId51"/>
    <hyperlink xmlns:r="http://schemas.openxmlformats.org/officeDocument/2006/relationships" ref="F55" r:id="rId52"/>
    <hyperlink xmlns:r="http://schemas.openxmlformats.org/officeDocument/2006/relationships" ref="F56" r:id="rId53"/>
    <hyperlink xmlns:r="http://schemas.openxmlformats.org/officeDocument/2006/relationships" ref="F57" r:id="rId54"/>
    <hyperlink xmlns:r="http://schemas.openxmlformats.org/officeDocument/2006/relationships" ref="F58" r:id="rId55"/>
    <hyperlink xmlns:r="http://schemas.openxmlformats.org/officeDocument/2006/relationships" ref="F59" r:id="rId56"/>
    <hyperlink xmlns:r="http://schemas.openxmlformats.org/officeDocument/2006/relationships" ref="F60" r:id="rId57"/>
    <hyperlink xmlns:r="http://schemas.openxmlformats.org/officeDocument/2006/relationships" ref="F61" r:id="rId58"/>
    <hyperlink xmlns:r="http://schemas.openxmlformats.org/officeDocument/2006/relationships" ref="F62" r:id="rId59"/>
    <hyperlink xmlns:r="http://schemas.openxmlformats.org/officeDocument/2006/relationships" ref="F63" r:id="rId60"/>
    <hyperlink xmlns:r="http://schemas.openxmlformats.org/officeDocument/2006/relationships" ref="F64" r:id="rId61"/>
    <hyperlink xmlns:r="http://schemas.openxmlformats.org/officeDocument/2006/relationships" ref="F65" r:id="rId62"/>
    <hyperlink xmlns:r="http://schemas.openxmlformats.org/officeDocument/2006/relationships" ref="F66" r:id="rId63"/>
    <hyperlink xmlns:r="http://schemas.openxmlformats.org/officeDocument/2006/relationships" ref="F67" r:id="rId64"/>
    <hyperlink xmlns:r="http://schemas.openxmlformats.org/officeDocument/2006/relationships" ref="F68" r:id="rId65"/>
    <hyperlink xmlns:r="http://schemas.openxmlformats.org/officeDocument/2006/relationships" ref="F69" r:id="rId66"/>
    <hyperlink xmlns:r="http://schemas.openxmlformats.org/officeDocument/2006/relationships" ref="F70" r:id="rId67"/>
    <hyperlink xmlns:r="http://schemas.openxmlformats.org/officeDocument/2006/relationships" ref="F71" r:id="rId68"/>
    <hyperlink xmlns:r="http://schemas.openxmlformats.org/officeDocument/2006/relationships" ref="F72" r:id="rId69"/>
    <hyperlink xmlns:r="http://schemas.openxmlformats.org/officeDocument/2006/relationships" ref="F73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  <hyperlink xmlns:r="http://schemas.openxmlformats.org/officeDocument/2006/relationships" ref="F85" r:id="rId82"/>
    <hyperlink xmlns:r="http://schemas.openxmlformats.org/officeDocument/2006/relationships" ref="F86" r:id="rId83"/>
    <hyperlink xmlns:r="http://schemas.openxmlformats.org/officeDocument/2006/relationships" ref="F87" r:id="rId84"/>
    <hyperlink xmlns:r="http://schemas.openxmlformats.org/officeDocument/2006/relationships" ref="F88" r:id="rId85"/>
    <hyperlink xmlns:r="http://schemas.openxmlformats.org/officeDocument/2006/relationships" ref="F89" r:id="rId86"/>
    <hyperlink xmlns:r="http://schemas.openxmlformats.org/officeDocument/2006/relationships" ref="F90" r:id="rId87"/>
    <hyperlink xmlns:r="http://schemas.openxmlformats.org/officeDocument/2006/relationships" ref="F91" r:id="rId88"/>
    <hyperlink xmlns:r="http://schemas.openxmlformats.org/officeDocument/2006/relationships" ref="F92" r:id="rId89"/>
    <hyperlink xmlns:r="http://schemas.openxmlformats.org/officeDocument/2006/relationships" ref="F93" r:id="rId90"/>
    <hyperlink xmlns:r="http://schemas.openxmlformats.org/officeDocument/2006/relationships" ref="F94" r:id="rId91"/>
    <hyperlink xmlns:r="http://schemas.openxmlformats.org/officeDocument/2006/relationships" ref="F95" r:id="rId92"/>
    <hyperlink xmlns:r="http://schemas.openxmlformats.org/officeDocument/2006/relationships" ref="F96" r:id="rId93"/>
    <hyperlink xmlns:r="http://schemas.openxmlformats.org/officeDocument/2006/relationships" ref="F97" r:id="rId94"/>
    <hyperlink xmlns:r="http://schemas.openxmlformats.org/officeDocument/2006/relationships" ref="F98" r:id="rId95"/>
    <hyperlink xmlns:r="http://schemas.openxmlformats.org/officeDocument/2006/relationships" ref="F99" r:id="rId96"/>
    <hyperlink xmlns:r="http://schemas.openxmlformats.org/officeDocument/2006/relationships" ref="F100" r:id="rId97"/>
    <hyperlink xmlns:r="http://schemas.openxmlformats.org/officeDocument/2006/relationships" ref="F101" r:id="rId98"/>
    <hyperlink xmlns:r="http://schemas.openxmlformats.org/officeDocument/2006/relationships" ref="F102" r:id="rId99"/>
    <hyperlink xmlns:r="http://schemas.openxmlformats.org/officeDocument/2006/relationships" ref="F103" r:id="rId100"/>
    <hyperlink xmlns:r="http://schemas.openxmlformats.org/officeDocument/2006/relationships" ref="F104" r:id="rId101"/>
    <hyperlink xmlns:r="http://schemas.openxmlformats.org/officeDocument/2006/relationships" ref="F105" r:id="rId102"/>
    <hyperlink xmlns:r="http://schemas.openxmlformats.org/officeDocument/2006/relationships" ref="F106" r:id="rId103"/>
    <hyperlink xmlns:r="http://schemas.openxmlformats.org/officeDocument/2006/relationships" ref="F107" r:id="rId104"/>
    <hyperlink xmlns:r="http://schemas.openxmlformats.org/officeDocument/2006/relationships" ref="F108" r:id="rId105"/>
    <hyperlink xmlns:r="http://schemas.openxmlformats.org/officeDocument/2006/relationships" ref="F109" r:id="rId106"/>
    <hyperlink xmlns:r="http://schemas.openxmlformats.org/officeDocument/2006/relationships" ref="F110" r:id="rId107"/>
    <hyperlink xmlns:r="http://schemas.openxmlformats.org/officeDocument/2006/relationships" ref="F111" r:id="rId108"/>
    <hyperlink xmlns:r="http://schemas.openxmlformats.org/officeDocument/2006/relationships" ref="F112" r:id="rId109"/>
    <hyperlink xmlns:r="http://schemas.openxmlformats.org/officeDocument/2006/relationships" ref="F113" r:id="rId110"/>
    <hyperlink xmlns:r="http://schemas.openxmlformats.org/officeDocument/2006/relationships" ref="F114" r:id="rId111"/>
    <hyperlink xmlns:r="http://schemas.openxmlformats.org/officeDocument/2006/relationships" ref="F115" r:id="rId112"/>
    <hyperlink xmlns:r="http://schemas.openxmlformats.org/officeDocument/2006/relationships" ref="F116" r:id="rId113"/>
    <hyperlink xmlns:r="http://schemas.openxmlformats.org/officeDocument/2006/relationships" ref="F117" r:id="rId114"/>
    <hyperlink xmlns:r="http://schemas.openxmlformats.org/officeDocument/2006/relationships" ref="F118" r:id="rId115"/>
    <hyperlink xmlns:r="http://schemas.openxmlformats.org/officeDocument/2006/relationships" ref="F119" r:id="rId116"/>
    <hyperlink xmlns:r="http://schemas.openxmlformats.org/officeDocument/2006/relationships" ref="F120" r:id="rId117"/>
    <hyperlink xmlns:r="http://schemas.openxmlformats.org/officeDocument/2006/relationships" ref="F121" r:id="rId118"/>
    <hyperlink xmlns:r="http://schemas.openxmlformats.org/officeDocument/2006/relationships" ref="F122" r:id="rId119"/>
    <hyperlink xmlns:r="http://schemas.openxmlformats.org/officeDocument/2006/relationships" ref="F123" r:id="rId120"/>
    <hyperlink xmlns:r="http://schemas.openxmlformats.org/officeDocument/2006/relationships" ref="F124" r:id="rId121"/>
    <hyperlink xmlns:r="http://schemas.openxmlformats.org/officeDocument/2006/relationships" ref="F125" r:id="rId122"/>
    <hyperlink xmlns:r="http://schemas.openxmlformats.org/officeDocument/2006/relationships" ref="F126" r:id="rId123"/>
    <hyperlink xmlns:r="http://schemas.openxmlformats.org/officeDocument/2006/relationships" ref="F127" r:id="rId124"/>
    <hyperlink xmlns:r="http://schemas.openxmlformats.org/officeDocument/2006/relationships" ref="F128" r:id="rId125"/>
    <hyperlink xmlns:r="http://schemas.openxmlformats.org/officeDocument/2006/relationships" ref="F129" r:id="rId126"/>
    <hyperlink xmlns:r="http://schemas.openxmlformats.org/officeDocument/2006/relationships" ref="F130" r:id="rId127"/>
    <hyperlink xmlns:r="http://schemas.openxmlformats.org/officeDocument/2006/relationships" ref="F131" r:id="rId128"/>
    <hyperlink xmlns:r="http://schemas.openxmlformats.org/officeDocument/2006/relationships" ref="F132" r:id="rId129"/>
    <hyperlink xmlns:r="http://schemas.openxmlformats.org/officeDocument/2006/relationships" ref="F133" r:id="rId130"/>
    <hyperlink xmlns:r="http://schemas.openxmlformats.org/officeDocument/2006/relationships" ref="F134" r:id="rId131"/>
    <hyperlink xmlns:r="http://schemas.openxmlformats.org/officeDocument/2006/relationships" ref="F135" r:id="rId132"/>
    <hyperlink xmlns:r="http://schemas.openxmlformats.org/officeDocument/2006/relationships" ref="F136" r:id="rId133"/>
    <hyperlink xmlns:r="http://schemas.openxmlformats.org/officeDocument/2006/relationships" ref="F137" r:id="rId134"/>
    <hyperlink xmlns:r="http://schemas.openxmlformats.org/officeDocument/2006/relationships" ref="F138" r:id="rId135"/>
    <hyperlink xmlns:r="http://schemas.openxmlformats.org/officeDocument/2006/relationships" ref="F139" r:id="rId136"/>
    <hyperlink xmlns:r="http://schemas.openxmlformats.org/officeDocument/2006/relationships" ref="F140" r:id="rId137"/>
    <hyperlink xmlns:r="http://schemas.openxmlformats.org/officeDocument/2006/relationships" ref="F141" r:id="rId138"/>
    <hyperlink xmlns:r="http://schemas.openxmlformats.org/officeDocument/2006/relationships" ref="F142" r:id="rId139"/>
    <hyperlink xmlns:r="http://schemas.openxmlformats.org/officeDocument/2006/relationships" ref="F143" r:id="rId140"/>
    <hyperlink xmlns:r="http://schemas.openxmlformats.org/officeDocument/2006/relationships" ref="F144" r:id="rId141"/>
    <hyperlink xmlns:r="http://schemas.openxmlformats.org/officeDocument/2006/relationships" ref="F145" r:id="rId142"/>
    <hyperlink xmlns:r="http://schemas.openxmlformats.org/officeDocument/2006/relationships" ref="F146" r:id="rId143"/>
    <hyperlink xmlns:r="http://schemas.openxmlformats.org/officeDocument/2006/relationships" ref="F147" r:id="rId144"/>
    <hyperlink xmlns:r="http://schemas.openxmlformats.org/officeDocument/2006/relationships" ref="F148" r:id="rId145"/>
    <hyperlink xmlns:r="http://schemas.openxmlformats.org/officeDocument/2006/relationships" ref="F149" r:id="rId146"/>
    <hyperlink xmlns:r="http://schemas.openxmlformats.org/officeDocument/2006/relationships" ref="F150" r:id="rId147"/>
    <hyperlink xmlns:r="http://schemas.openxmlformats.org/officeDocument/2006/relationships" ref="F151" r:id="rId148"/>
    <hyperlink xmlns:r="http://schemas.openxmlformats.org/officeDocument/2006/relationships" ref="F152" r:id="rId149"/>
    <hyperlink xmlns:r="http://schemas.openxmlformats.org/officeDocument/2006/relationships" ref="F153" r:id="rId150"/>
    <hyperlink xmlns:r="http://schemas.openxmlformats.org/officeDocument/2006/relationships" ref="F154" r:id="rId151"/>
    <hyperlink xmlns:r="http://schemas.openxmlformats.org/officeDocument/2006/relationships" ref="F155" r:id="rId152"/>
    <hyperlink xmlns:r="http://schemas.openxmlformats.org/officeDocument/2006/relationships" ref="F156" r:id="rId153"/>
    <hyperlink xmlns:r="http://schemas.openxmlformats.org/officeDocument/2006/relationships" ref="F157" r:id="rId154"/>
    <hyperlink xmlns:r="http://schemas.openxmlformats.org/officeDocument/2006/relationships" ref="F158" r:id="rId155"/>
    <hyperlink xmlns:r="http://schemas.openxmlformats.org/officeDocument/2006/relationships" ref="F159" r:id="rId156"/>
    <hyperlink xmlns:r="http://schemas.openxmlformats.org/officeDocument/2006/relationships" ref="F160" r:id="rId157"/>
    <hyperlink xmlns:r="http://schemas.openxmlformats.org/officeDocument/2006/relationships" ref="F161" r:id="rId158"/>
    <hyperlink xmlns:r="http://schemas.openxmlformats.org/officeDocument/2006/relationships" ref="F162" r:id="rId159"/>
    <hyperlink xmlns:r="http://schemas.openxmlformats.org/officeDocument/2006/relationships" ref="F163" r:id="rId160"/>
    <hyperlink xmlns:r="http://schemas.openxmlformats.org/officeDocument/2006/relationships" ref="F164" r:id="rId161"/>
    <hyperlink xmlns:r="http://schemas.openxmlformats.org/officeDocument/2006/relationships" ref="F165" r:id="rId162"/>
    <hyperlink xmlns:r="http://schemas.openxmlformats.org/officeDocument/2006/relationships" ref="F166" r:id="rId163"/>
    <hyperlink xmlns:r="http://schemas.openxmlformats.org/officeDocument/2006/relationships" ref="F167" r:id="rId164"/>
    <hyperlink xmlns:r="http://schemas.openxmlformats.org/officeDocument/2006/relationships" ref="F168" r:id="rId165"/>
    <hyperlink xmlns:r="http://schemas.openxmlformats.org/officeDocument/2006/relationships" ref="F169" r:id="rId166"/>
    <hyperlink xmlns:r="http://schemas.openxmlformats.org/officeDocument/2006/relationships" ref="F170" r:id="rId167"/>
    <hyperlink xmlns:r="http://schemas.openxmlformats.org/officeDocument/2006/relationships" ref="F171" r:id="rId168"/>
    <hyperlink xmlns:r="http://schemas.openxmlformats.org/officeDocument/2006/relationships" ref="F172" r:id="rId169"/>
    <hyperlink xmlns:r="http://schemas.openxmlformats.org/officeDocument/2006/relationships" ref="F173" r:id="rId170"/>
    <hyperlink xmlns:r="http://schemas.openxmlformats.org/officeDocument/2006/relationships" ref="F174" r:id="rId171"/>
    <hyperlink xmlns:r="http://schemas.openxmlformats.org/officeDocument/2006/relationships" ref="F175" r:id="rId172"/>
    <hyperlink xmlns:r="http://schemas.openxmlformats.org/officeDocument/2006/relationships" ref="F176" r:id="rId173"/>
    <hyperlink xmlns:r="http://schemas.openxmlformats.org/officeDocument/2006/relationships" ref="F177" r:id="rId174"/>
    <hyperlink xmlns:r="http://schemas.openxmlformats.org/officeDocument/2006/relationships" ref="F178" r:id="rId175"/>
    <hyperlink xmlns:r="http://schemas.openxmlformats.org/officeDocument/2006/relationships" ref="F179" r:id="rId176"/>
    <hyperlink xmlns:r="http://schemas.openxmlformats.org/officeDocument/2006/relationships" ref="F180" r:id="rId177"/>
    <hyperlink xmlns:r="http://schemas.openxmlformats.org/officeDocument/2006/relationships" ref="F181" r:id="rId178"/>
    <hyperlink xmlns:r="http://schemas.openxmlformats.org/officeDocument/2006/relationships" ref="F182" r:id="rId179"/>
    <hyperlink xmlns:r="http://schemas.openxmlformats.org/officeDocument/2006/relationships" ref="F183" r:id="rId180"/>
    <hyperlink xmlns:r="http://schemas.openxmlformats.org/officeDocument/2006/relationships" ref="F184" r:id="rId181"/>
    <hyperlink xmlns:r="http://schemas.openxmlformats.org/officeDocument/2006/relationships" ref="F185" r:id="rId182"/>
    <hyperlink xmlns:r="http://schemas.openxmlformats.org/officeDocument/2006/relationships" ref="F186" r:id="rId183"/>
    <hyperlink xmlns:r="http://schemas.openxmlformats.org/officeDocument/2006/relationships" ref="F187" r:id="rId184"/>
    <hyperlink xmlns:r="http://schemas.openxmlformats.org/officeDocument/2006/relationships" ref="F188" r:id="rId185"/>
    <hyperlink xmlns:r="http://schemas.openxmlformats.org/officeDocument/2006/relationships" ref="F189" r:id="rId186"/>
    <hyperlink xmlns:r="http://schemas.openxmlformats.org/officeDocument/2006/relationships" ref="F190" r:id="rId187"/>
    <hyperlink xmlns:r="http://schemas.openxmlformats.org/officeDocument/2006/relationships" ref="F191" r:id="rId188"/>
    <hyperlink xmlns:r="http://schemas.openxmlformats.org/officeDocument/2006/relationships" ref="F192" r:id="rId189"/>
    <hyperlink xmlns:r="http://schemas.openxmlformats.org/officeDocument/2006/relationships" ref="F193" r:id="rId190"/>
    <hyperlink xmlns:r="http://schemas.openxmlformats.org/officeDocument/2006/relationships" ref="F194" r:id="rId191"/>
    <hyperlink xmlns:r="http://schemas.openxmlformats.org/officeDocument/2006/relationships" ref="F195" r:id="rId192"/>
    <hyperlink xmlns:r="http://schemas.openxmlformats.org/officeDocument/2006/relationships" ref="F196" r:id="rId193"/>
    <hyperlink xmlns:r="http://schemas.openxmlformats.org/officeDocument/2006/relationships" ref="F197" r:id="rId194"/>
    <hyperlink xmlns:r="http://schemas.openxmlformats.org/officeDocument/2006/relationships" ref="F198" r:id="rId195"/>
    <hyperlink xmlns:r="http://schemas.openxmlformats.org/officeDocument/2006/relationships" ref="F199" r:id="rId196"/>
    <hyperlink xmlns:r="http://schemas.openxmlformats.org/officeDocument/2006/relationships" ref="F200" r:id="rId197"/>
    <hyperlink xmlns:r="http://schemas.openxmlformats.org/officeDocument/2006/relationships" ref="F201" r:id="rId198"/>
    <hyperlink xmlns:r="http://schemas.openxmlformats.org/officeDocument/2006/relationships" ref="F202" r:id="rId199"/>
    <hyperlink xmlns:r="http://schemas.openxmlformats.org/officeDocument/2006/relationships" ref="F203" r:id="rId200"/>
    <hyperlink xmlns:r="http://schemas.openxmlformats.org/officeDocument/2006/relationships" ref="F204" r:id="rId2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#001 — RUMUS EXCEL: SUM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(SUM)</t>
        </is>
      </c>
    </row>
    <row r="5" ht="21" customHeight="1">
      <c r="B5" s="14" t="inlineStr">
        <is>
          <t>Nama Rumus Excel</t>
        </is>
      </c>
      <c r="C5" s="15">
        <f>SUM(...)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SUM(angka1, [angka2],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seluruh angka di dalam blok sel sekaligus. Bayangkan punya 5 celengan, SUM langsung menghitung total uang di semua celengan itu dalam 1 detik!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SUM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'=SUM(C11:C14)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SUM(C11:C14)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SUM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SUM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SUM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SUM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SUM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#002 — RUMUS EXCEL: SUMIF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(SUMIF)</t>
        </is>
      </c>
    </row>
    <row r="5" ht="21" customHeight="1">
      <c r="B5" s="14" t="inlineStr">
        <is>
          <t>Nama Rumus Excel</t>
        </is>
      </c>
      <c r="C5" s="15">
        <f>SUMIF(...)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SUMIF(range_syarat, syarat, [range_jumlah])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angka TAPI pilih-pilih sesuai 1 syarat. Contoh: Hanya jumlahkan omzet dari cabang 'Pusat' saja, cabang lain abaikan!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SUMIF DI SINI)</t>
        </is>
      </c>
    </row>
    <row r="10">
      <c r="B10" s="18" t="inlineStr">
        <is>
          <t>Kategori Lokasi</t>
        </is>
      </c>
      <c r="C10" s="18" t="inlineStr">
        <is>
          <t>Nilai Transaksi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Pusat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SUMIF untuk mengolah data khusus kategori "Pusat" saja (rentang kategori di B11:B14 dan rentang nilai di C11:C14)!</t>
        </is>
      </c>
      <c r="G11" s="5" t="n"/>
    </row>
    <row r="12">
      <c r="B12" s="19" t="inlineStr">
        <is>
          <t>Cabang</t>
        </is>
      </c>
      <c r="C12" s="19" t="n">
        <v>750000</v>
      </c>
      <c r="E12" s="20" t="inlineStr">
        <is>
          <t>Contoh Rumus Benar:</t>
        </is>
      </c>
      <c r="F12" s="22" t="inlineStr">
        <is>
          <t>'=SUMIF(B11:B14, "Pusat", C11:C14)</t>
        </is>
      </c>
      <c r="G12" s="5" t="n"/>
    </row>
    <row r="13">
      <c r="B13" s="19" t="inlineStr">
        <is>
          <t>Pusat</t>
        </is>
      </c>
      <c r="C13" s="19" t="n">
        <v>600000</v>
      </c>
      <c r="E13" s="20" t="inlineStr">
        <is>
          <t>Contoh Hasil Benar:</t>
        </is>
      </c>
      <c r="F13" s="23">
        <f>SUMIF(B11:B14, "Pusat", C11:C14)</f>
        <v/>
      </c>
      <c r="G13" s="5" t="n"/>
    </row>
    <row r="14">
      <c r="B14" s="19" t="inlineStr">
        <is>
          <t>Cabang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Kategori Lokasi</t>
        </is>
      </c>
      <c r="C20" s="14" t="inlineStr">
        <is>
          <t>Nilai Transaksi</t>
        </is>
      </c>
      <c r="E20" s="27" t="inlineStr">
        <is>
          <t>Persoalan Tes #1: Gunakan fungsi SUMIF untuk mengolah data khusus kategori "Pusat" saja (rentang kategori di B21:B24 dan rentang nilai di C21:C24)!</t>
        </is>
      </c>
    </row>
    <row r="21">
      <c r="B21" s="19" t="inlineStr">
        <is>
          <t>Pusat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</t>
        </is>
      </c>
      <c r="C22" s="19" t="n">
        <v>1850000</v>
      </c>
      <c r="E22" s="28" t="n"/>
      <c r="F22" s="29">
        <f>IF(ISBLANK(E22), "⏳ Belum Diisi (Ketik Rumus di Sel Kuning E22)", IF(E22='99_KUNCI_JAWABAN'!F10, "✅ BENAR! JAWABAN TES TEPAT!", "❌ Belum Tepat (Cek Sheet Akhir: 99_KUNCI_JAWABAN)"))</f>
        <v/>
      </c>
      <c r="G22" s="5" t="n"/>
    </row>
    <row r="23">
      <c r="B23" s="19" t="inlineStr">
        <is>
          <t>Pusat</t>
        </is>
      </c>
      <c r="C23" s="19" t="n">
        <v>2100000</v>
      </c>
    </row>
    <row r="24">
      <c r="B24" s="19" t="inlineStr">
        <is>
          <t>Cabang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Kategori Lokasi</t>
        </is>
      </c>
      <c r="C28" s="14" t="inlineStr">
        <is>
          <t>Nilai Transaksi</t>
        </is>
      </c>
      <c r="E28" s="27" t="inlineStr">
        <is>
          <t>Persoalan Tes #2: Gunakan fungsi SUMIF untuk mengolah data khusus kategori "Pusat" saja (rentang kategori di B29:B32 dan rentang nilai di C29:C32)!</t>
        </is>
      </c>
    </row>
    <row r="29">
      <c r="B29" s="19" t="inlineStr">
        <is>
          <t>Pusat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Cabang</t>
        </is>
      </c>
      <c r="C30" s="19" t="n">
        <v>5200000</v>
      </c>
      <c r="E30" s="28" t="n"/>
      <c r="F30" s="29">
        <f>IF(ISBLANK(E30), "⏳ Belum Diisi (Ketik Rumus di Sel Kuning E30)", IF(E30='99_KUNCI_JAWABAN'!F11, "✅ BENAR! JAWABAN TES TEPAT!", "❌ Belum Tepat (Cek Sheet Akhir: 99_KUNCI_JAWABAN)"))</f>
        <v/>
      </c>
      <c r="G30" s="5" t="n"/>
    </row>
    <row r="31">
      <c r="B31" s="19" t="inlineStr">
        <is>
          <t>Pusat</t>
        </is>
      </c>
      <c r="C31" s="19" t="n">
        <v>4800000</v>
      </c>
    </row>
    <row r="32">
      <c r="B32" s="19" t="inlineStr">
        <is>
          <t>Cabang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Kategori Lokasi</t>
        </is>
      </c>
      <c r="C36" s="14" t="inlineStr">
        <is>
          <t>Nilai Transaksi</t>
        </is>
      </c>
      <c r="E36" s="27" t="inlineStr">
        <is>
          <t>Persoalan Tes #3: Gunakan fungsi SUMIF untuk mengolah data khusus kategori "Pusat" saja (rentang kategori di B37:B40 dan rentang nilai di C37:C40)!</t>
        </is>
      </c>
    </row>
    <row r="37">
      <c r="B37" s="19" t="inlineStr">
        <is>
          <t>Pusat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Cabang</t>
        </is>
      </c>
      <c r="C38" s="19" t="n">
        <v>380</v>
      </c>
      <c r="E38" s="28" t="n"/>
      <c r="F38" s="29">
        <f>IF(ISBLANK(E38), "⏳ Belum Diisi (Ketik Rumus di Sel Kuning E38)", IF(E38='99_KUNCI_JAWABAN'!F12, "✅ BENAR! JAWABAN TES TEPAT!", "❌ Belum Tepat (Cek Sheet Akhir: 99_KUNCI_JAWABAN)"))</f>
        <v/>
      </c>
      <c r="G38" s="5" t="n"/>
    </row>
    <row r="39">
      <c r="B39" s="19" t="inlineStr">
        <is>
          <t>Pusat</t>
        </is>
      </c>
      <c r="C39" s="19" t="n">
        <v>195</v>
      </c>
    </row>
    <row r="40">
      <c r="B40" s="19" t="inlineStr">
        <is>
          <t>Cabang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Kategori Lokasi</t>
        </is>
      </c>
      <c r="C44" s="14" t="inlineStr">
        <is>
          <t>Nilai Transaksi</t>
        </is>
      </c>
      <c r="E44" s="27" t="inlineStr">
        <is>
          <t>Persoalan Tes #4: Gunakan fungsi SUMIF untuk mengolah data khusus kategori "Pusat" saja (rentang kategori di B45:B48 dan rentang nilai di C45:C48)!</t>
        </is>
      </c>
    </row>
    <row r="45">
      <c r="B45" s="19" t="inlineStr">
        <is>
          <t>Pusat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Cabang</t>
        </is>
      </c>
      <c r="C46" s="19" t="n">
        <v>92</v>
      </c>
      <c r="E46" s="28" t="n"/>
      <c r="F46" s="29">
        <f>IF(ISBLANK(E46), "⏳ Belum Diisi (Ketik Rumus di Sel Kuning E46)", IF(E46='99_KUNCI_JAWABAN'!F13, "✅ BENAR! JAWABAN TES TEPAT!", "❌ Belum Tepat (Cek Sheet Akhir: 99_KUNCI_JAWABAN)"))</f>
        <v/>
      </c>
      <c r="G46" s="5" t="n"/>
    </row>
    <row r="47">
      <c r="B47" s="19" t="inlineStr">
        <is>
          <t>Pusat</t>
        </is>
      </c>
      <c r="C47" s="19" t="n">
        <v>78</v>
      </c>
    </row>
    <row r="48">
      <c r="B48" s="19" t="inlineStr">
        <is>
          <t>Cabang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Kategori Lokasi</t>
        </is>
      </c>
      <c r="C52" s="14" t="inlineStr">
        <is>
          <t>Nilai Transaksi</t>
        </is>
      </c>
      <c r="E52" s="27" t="inlineStr">
        <is>
          <t>Persoalan Tes #5: Gunakan fungsi SUMIF untuk mengolah data khusus kategori "Pusat" saja (rentang kategori di B53:B56 dan rentang nilai di C53:C56)!</t>
        </is>
      </c>
    </row>
    <row r="53">
      <c r="B53" s="19" t="inlineStr">
        <is>
          <t>Pusat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Cabang</t>
        </is>
      </c>
      <c r="C54" s="19" t="n">
        <v>88</v>
      </c>
      <c r="E54" s="28" t="n"/>
      <c r="F54" s="29">
        <f>IF(ISBLANK(E54), "⏳ Belum Diisi (Ketik Rumus di Sel Kuning E54)", IF(E54='99_KUNCI_JAWABAN'!F14, "✅ BENAR! JAWABAN TES TEPAT!", "❌ Belum Tepat (Cek Sheet Akhir: 99_KUNCI_JAWABAN)"))</f>
        <v/>
      </c>
      <c r="G54" s="5" t="n"/>
    </row>
    <row r="55">
      <c r="B55" s="19" t="inlineStr">
        <is>
          <t>Pusat</t>
        </is>
      </c>
      <c r="C55" s="19" t="n">
        <v>91</v>
      </c>
    </row>
    <row r="56">
      <c r="B56" s="19" t="inlineStr">
        <is>
          <t>Cabang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#003 — RUMUS EXCEL: SUMIFS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(SUMIFS)</t>
        </is>
      </c>
    </row>
    <row r="5" ht="21" customHeight="1">
      <c r="B5" s="14" t="inlineStr">
        <is>
          <t>Nama Rumus Excel</t>
        </is>
      </c>
      <c r="C5" s="15">
        <f>SUMIFS(...)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SUMIFS(range_jumlah, range_syarat1, syarat1,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Menjumlahkan angka dengan BANYAK syarat sekaligus. Contoh: Jumlahkan realisasi khusus unit berstatus 'Aktif'!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SUMIFS DI SINI)</t>
        </is>
      </c>
    </row>
    <row r="10">
      <c r="B10" s="18" t="inlineStr">
        <is>
          <t>Status Unit</t>
        </is>
      </c>
      <c r="C10" s="18" t="inlineStr">
        <is>
          <t>Nilai Realisasi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Aktif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SUMIFS untuk mengolah nilai di C11:C14 khusus baris yang berstatus "Aktif" pada kolom B11:B14!</t>
        </is>
      </c>
      <c r="G11" s="5" t="n"/>
    </row>
    <row r="12">
      <c r="B12" s="19" t="inlineStr">
        <is>
          <t>Aktif</t>
        </is>
      </c>
      <c r="C12" s="19" t="n">
        <v>750000</v>
      </c>
      <c r="E12" s="20" t="inlineStr">
        <is>
          <t>Contoh Rumus Benar:</t>
        </is>
      </c>
      <c r="F12" s="22" t="inlineStr">
        <is>
          <t>'=SUMIFS(C11:C14, B11:B14, "Aktif")</t>
        </is>
      </c>
      <c r="G12" s="5" t="n"/>
    </row>
    <row r="13">
      <c r="B13" s="19" t="inlineStr">
        <is>
          <t>Nonaktif</t>
        </is>
      </c>
      <c r="C13" s="19" t="n">
        <v>600000</v>
      </c>
      <c r="E13" s="20" t="inlineStr">
        <is>
          <t>Contoh Hasil Benar:</t>
        </is>
      </c>
      <c r="F13" s="23">
        <f>SUMIFS(C11:C14, B11:B14, "Aktif")</f>
        <v/>
      </c>
      <c r="G13" s="5" t="n"/>
    </row>
    <row r="14">
      <c r="B14" s="19" t="inlineStr">
        <is>
          <t>Aktif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Status Unit</t>
        </is>
      </c>
      <c r="C20" s="14" t="inlineStr">
        <is>
          <t>Nilai Realisasi</t>
        </is>
      </c>
      <c r="E20" s="27" t="inlineStr">
        <is>
          <t>Persoalan Tes #1: Gunakan fungsi SUMIFS untuk mengolah nilai di C21:C24 khusus baris yang berstatus "Aktif" pada kolom B21:B24!</t>
        </is>
      </c>
    </row>
    <row r="21">
      <c r="B21" s="19" t="inlineStr">
        <is>
          <t>Aktif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Aktif</t>
        </is>
      </c>
      <c r="C22" s="19" t="n">
        <v>1850000</v>
      </c>
      <c r="E22" s="28" t="n"/>
      <c r="F22" s="29">
        <f>IF(ISBLANK(E22), "⏳ Belum Diisi (Ketik Rumus di Sel Kuning E22)", IF(E22='99_KUNCI_JAWABAN'!F15, "✅ BENAR! JAWABAN TES TEPAT!", "❌ Belum Tepat (Cek Sheet Akhir: 99_KUNCI_JAWABAN)"))</f>
        <v/>
      </c>
      <c r="G22" s="5" t="n"/>
    </row>
    <row r="23">
      <c r="B23" s="19" t="inlineStr">
        <is>
          <t>Nonaktif</t>
        </is>
      </c>
      <c r="C23" s="19" t="n">
        <v>2100000</v>
      </c>
    </row>
    <row r="24">
      <c r="B24" s="19" t="inlineStr">
        <is>
          <t>Aktif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Status Unit</t>
        </is>
      </c>
      <c r="C28" s="14" t="inlineStr">
        <is>
          <t>Nilai Realisasi</t>
        </is>
      </c>
      <c r="E28" s="27" t="inlineStr">
        <is>
          <t>Persoalan Tes #2: Gunakan fungsi SUMIFS untuk mengolah nilai di C29:C32 khusus baris yang berstatus "Aktif" pada kolom B29:B32!</t>
        </is>
      </c>
    </row>
    <row r="29">
      <c r="B29" s="19" t="inlineStr">
        <is>
          <t>Aktif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Aktif</t>
        </is>
      </c>
      <c r="C30" s="19" t="n">
        <v>5200000</v>
      </c>
      <c r="E30" s="28" t="n"/>
      <c r="F30" s="29">
        <f>IF(ISBLANK(E30), "⏳ Belum Diisi (Ketik Rumus di Sel Kuning E30)", IF(E30='99_KUNCI_JAWABAN'!F16, "✅ BENAR! JAWABAN TES TEPAT!", "❌ Belum Tepat (Cek Sheet Akhir: 99_KUNCI_JAWABAN)"))</f>
        <v/>
      </c>
      <c r="G30" s="5" t="n"/>
    </row>
    <row r="31">
      <c r="B31" s="19" t="inlineStr">
        <is>
          <t>Nonaktif</t>
        </is>
      </c>
      <c r="C31" s="19" t="n">
        <v>4800000</v>
      </c>
    </row>
    <row r="32">
      <c r="B32" s="19" t="inlineStr">
        <is>
          <t>Aktif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Status Unit</t>
        </is>
      </c>
      <c r="C36" s="14" t="inlineStr">
        <is>
          <t>Nilai Realisasi</t>
        </is>
      </c>
      <c r="E36" s="27" t="inlineStr">
        <is>
          <t>Persoalan Tes #3: Gunakan fungsi SUMIFS untuk mengolah nilai di C37:C40 khusus baris yang berstatus "Aktif" pada kolom B37:B40!</t>
        </is>
      </c>
    </row>
    <row r="37">
      <c r="B37" s="19" t="inlineStr">
        <is>
          <t>Aktif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Aktif</t>
        </is>
      </c>
      <c r="C38" s="19" t="n">
        <v>380</v>
      </c>
      <c r="E38" s="28" t="n"/>
      <c r="F38" s="29">
        <f>IF(ISBLANK(E38), "⏳ Belum Diisi (Ketik Rumus di Sel Kuning E38)", IF(E38='99_KUNCI_JAWABAN'!F17, "✅ BENAR! JAWABAN TES TEPAT!", "❌ Belum Tepat (Cek Sheet Akhir: 99_KUNCI_JAWABAN)"))</f>
        <v/>
      </c>
      <c r="G38" s="5" t="n"/>
    </row>
    <row r="39">
      <c r="B39" s="19" t="inlineStr">
        <is>
          <t>Nonaktif</t>
        </is>
      </c>
      <c r="C39" s="19" t="n">
        <v>195</v>
      </c>
    </row>
    <row r="40">
      <c r="B40" s="19" t="inlineStr">
        <is>
          <t>Aktif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Status Unit</t>
        </is>
      </c>
      <c r="C44" s="14" t="inlineStr">
        <is>
          <t>Nilai Realisasi</t>
        </is>
      </c>
      <c r="E44" s="27" t="inlineStr">
        <is>
          <t>Persoalan Tes #4: Gunakan fungsi SUMIFS untuk mengolah nilai di C45:C48 khusus baris yang berstatus "Aktif" pada kolom B45:B48!</t>
        </is>
      </c>
    </row>
    <row r="45">
      <c r="B45" s="19" t="inlineStr">
        <is>
          <t>Aktif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Aktif</t>
        </is>
      </c>
      <c r="C46" s="19" t="n">
        <v>92</v>
      </c>
      <c r="E46" s="28" t="n"/>
      <c r="F46" s="29">
        <f>IF(ISBLANK(E46), "⏳ Belum Diisi (Ketik Rumus di Sel Kuning E46)", IF(E46='99_KUNCI_JAWABAN'!F18, "✅ BENAR! JAWABAN TES TEPAT!", "❌ Belum Tepat (Cek Sheet Akhir: 99_KUNCI_JAWABAN)"))</f>
        <v/>
      </c>
      <c r="G46" s="5" t="n"/>
    </row>
    <row r="47">
      <c r="B47" s="19" t="inlineStr">
        <is>
          <t>Nonaktif</t>
        </is>
      </c>
      <c r="C47" s="19" t="n">
        <v>78</v>
      </c>
    </row>
    <row r="48">
      <c r="B48" s="19" t="inlineStr">
        <is>
          <t>Aktif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Status Unit</t>
        </is>
      </c>
      <c r="C52" s="14" t="inlineStr">
        <is>
          <t>Nilai Realisasi</t>
        </is>
      </c>
      <c r="E52" s="27" t="inlineStr">
        <is>
          <t>Persoalan Tes #5: Gunakan fungsi SUMIFS untuk mengolah nilai di C53:C56 khusus baris yang berstatus "Aktif" pada kolom B53:B56!</t>
        </is>
      </c>
    </row>
    <row r="53">
      <c r="B53" s="19" t="inlineStr">
        <is>
          <t>Aktif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Aktif</t>
        </is>
      </c>
      <c r="C54" s="19" t="n">
        <v>88</v>
      </c>
      <c r="E54" s="28" t="n"/>
      <c r="F54" s="29">
        <f>IF(ISBLANK(E54), "⏳ Belum Diisi (Ketik Rumus di Sel Kuning E54)", IF(E54='99_KUNCI_JAWABAN'!F19, "✅ BENAR! JAWABAN TES TEPAT!", "❌ Belum Tepat (Cek Sheet Akhir: 99_KUNCI_JAWABAN)"))</f>
        <v/>
      </c>
      <c r="G54" s="5" t="n"/>
    </row>
    <row r="55">
      <c r="B55" s="19" t="inlineStr">
        <is>
          <t>Nonaktif</t>
        </is>
      </c>
      <c r="C55" s="19" t="n">
        <v>91</v>
      </c>
    </row>
    <row r="56">
      <c r="B56" s="19" t="inlineStr">
        <is>
          <t>Aktif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#004 — RUMUS EXCEL: PRODUCT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(PRODUCT)</t>
        </is>
      </c>
    </row>
    <row r="5" ht="21" customHeight="1">
      <c r="B5" s="14" t="inlineStr">
        <is>
          <t>Nama Rumus Excel</t>
        </is>
      </c>
      <c r="C5" s="15">
        <f>PRODUCT(...)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PRODUCT(angka1, [angka2],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Mengalikan semua angka di dalam rentang sel. Cocok untuk menghitung perkalian beruntun seperti Harga × Jumlah × Faktor Diskon.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PRODUCT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PRODUCT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'=PRODUCT(C11:C14)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PRODUCT(C11:C14)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PRODUCT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PRODUCT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PRODUCT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PRODUCT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PRODUCT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#005 — RUMUS EXCEL: SUMPRODUCT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(SUMPRODUCT)</t>
        </is>
      </c>
    </row>
    <row r="5" ht="21" customHeight="1">
      <c r="B5" s="14" t="inlineStr">
        <is>
          <t>Nama Rumus Excel</t>
        </is>
      </c>
      <c r="C5" s="15">
        <f>SUMPRODUCT(...)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SUMPRODUCT(array1, [array2],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Mengalikan dua kolom sejajar (misal Qty × Harga Satuan tiap baris) lalu langsung menjumlahkan total akhirnya tanpa perlu kolom bantuan!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SUMPRODUCT DI SINI)</t>
        </is>
      </c>
    </row>
    <row r="10">
      <c r="B10" s="18" t="inlineStr">
        <is>
          <t>Qty Barang</t>
        </is>
      </c>
      <c r="C10" s="18" t="inlineStr">
        <is>
          <t>Harga Satuan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Kalikan kolom Qty Barang (B11:B14) dengan Harga Satuan (C11:C14) lalu jumlahkan totalnya sekaligus menggunakan fungsi SUMPRODUCT!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'=SUMPRODUCT(B11:B14,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SUMPRODUCT(B11:B14,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Qty Barang</t>
        </is>
      </c>
      <c r="C20" s="14" t="inlineStr">
        <is>
          <t>Harga Satuan</t>
        </is>
      </c>
      <c r="E20" s="27" t="inlineStr">
        <is>
          <t>Persoalan Tes #1: Kalikan kolom Qty Barang (B21:B24) dengan Harga Satuan (C21:C24) lalu jumlahkan totalnya sekaligus menggunakan fungsi SUMPRODUCT!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IF(E22='99_KUNCI_JAWABAN'!F25,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Qty Barang</t>
        </is>
      </c>
      <c r="C28" s="14" t="inlineStr">
        <is>
          <t>Harga Satuan</t>
        </is>
      </c>
      <c r="E28" s="27" t="inlineStr">
        <is>
          <t>Persoalan Tes #2: Kalikan kolom Qty Barang (B29:B32) dengan Harga Satuan (C29:C32) lalu jumlahkan totalnya sekaligus menggunakan fungsi SUMPRODUCT!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IF(E30='99_KUNCI_JAWABAN'!F26,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Qty Barang</t>
        </is>
      </c>
      <c r="C36" s="14" t="inlineStr">
        <is>
          <t>Harga Satuan</t>
        </is>
      </c>
      <c r="E36" s="27" t="inlineStr">
        <is>
          <t>Persoalan Tes #3: Kalikan kolom Qty Barang (B37:B40) dengan Harga Satuan (C37:C40) lalu jumlahkan totalnya sekaligus menggunakan fungsi SUMPRODUCT!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IF(E38='99_KUNCI_JAWABAN'!F27,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Qty Barang</t>
        </is>
      </c>
      <c r="C44" s="14" t="inlineStr">
        <is>
          <t>Harga Satuan</t>
        </is>
      </c>
      <c r="E44" s="27" t="inlineStr">
        <is>
          <t>Persoalan Tes #4: Kalikan kolom Qty Barang (B45:B48) dengan Harga Satuan (C45:C48) lalu jumlahkan totalnya sekaligus menggunakan fungsi SUMPRODUCT!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IF(E46='99_KUNCI_JAWABAN'!F28,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Qty Barang</t>
        </is>
      </c>
      <c r="C52" s="14" t="inlineStr">
        <is>
          <t>Harga Satuan</t>
        </is>
      </c>
      <c r="E52" s="27" t="inlineStr">
        <is>
          <t>Persoalan Tes #5: Kalikan kolom Qty Barang (B53:B56) dengan Harga Satuan (C53:C56) lalu jumlahkan totalnya sekaligus menggunakan fungsi SUMPRODUCT!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IF(E54='99_KUNCI_JAWABAN'!F29,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#006 — RUMUS EXCEL: ROUND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(ROUND)</t>
        </is>
      </c>
    </row>
    <row r="5" ht="21" customHeight="1">
      <c r="B5" s="14" t="inlineStr">
        <is>
          <t>Nama Rumus Excel</t>
        </is>
      </c>
      <c r="C5" s="15">
        <f>ROUND(...)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desimal ke jumlah angka di belakang koma terdekat sesuai aturan matematika standar (0.5 ke atas naik).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#007 — RUMUS EXCEL: ROUNDUP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(ROUNDUP)</t>
        </is>
      </c>
    </row>
    <row r="5" ht="21" customHeight="1">
      <c r="B5" s="14" t="inlineStr">
        <is>
          <t>Nama Rumus Excel</t>
        </is>
      </c>
      <c r="C5" s="15">
        <f>ROUNDUP(...)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ROUNDUP(angka,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Selalu membulatkan angka KE ATAS menjauhi nol. Cocok untuk menghitung jumlah dus/truk (kalau butuh 4.1 truk, harus sewa 5 truk!).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ROUNDUP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ROUNDUP!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'=ROUNDUP(C11,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ROUNDUP(C11,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ROUNDUP!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ROUNDUP!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ROUNDUP!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ROUNDUP!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ROUNDUP!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#008 — RUMUS EXCEL: ROUNDDOWN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(ROUNDDOWN)</t>
        </is>
      </c>
    </row>
    <row r="5" ht="21" customHeight="1">
      <c r="B5" s="14" t="inlineStr">
        <is>
          <t>Nama Rumus Excel</t>
        </is>
      </c>
      <c r="C5" s="15">
        <f>ROUNDDOWN(...)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ROUNDDOWN(angka, jumlah_digit)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Selalu membulatkan angka KE BAWAH mendekati nol (memotong desimal tanpa peduli angkanya besar).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ROUNDDOWN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nilai desimal pada sel C11 (140.289) menjadi 1 angka di belakang koma menggunakan fungsi ROUNDDOWN!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'=ROUNDDOWN(C11, 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ROUNDDOWN(C11, 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nilai desimal pada sel C21 (124.789) menjadi 1 angka di belakang koma menggunakan fungsi ROUNDDOWN!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nilai desimal pada sel C29 (127.889) menjadi 1 angka di belakang koma menggunakan fungsi ROUNDDOWN!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nilai desimal pada sel C37 (130.989) menjadi 1 angka di belakang koma menggunakan fungsi ROUNDDOWN!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nilai desimal pada sel C45 (134.089) menjadi 1 angka di belakang koma menggunakan fungsi ROUNDDOWN!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nilai desimal pada sel C53 (137.189) menjadi 1 angka di belakang koma menggunakan fungsi ROUNDDOWN!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#009 — RUMUS EXCEL: MROUND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(MROUND)</t>
        </is>
      </c>
    </row>
    <row r="5" ht="21" customHeight="1">
      <c r="B5" s="14" t="inlineStr">
        <is>
          <t>Nama Rumus Excel</t>
        </is>
      </c>
      <c r="C5" s="15">
        <f>MROUND(...)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MROUND(angka,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kelipatan tertentu terdekat (misal membulatkan harga uang receh ke kelipatan Rp 500 terdekat).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MROUND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MROUND!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'=MROUND(C11,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MROUND(C11,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MROUND!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MROUND!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MROUND!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MROUND!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MROUND!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#010 — RUMUS EXCEL: CEILING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(CEILING)</t>
        </is>
      </c>
    </row>
    <row r="5" ht="21" customHeight="1">
      <c r="B5" s="14" t="inlineStr">
        <is>
          <t>Nama Rumus Excel</t>
        </is>
      </c>
      <c r="C5" s="15">
        <f>CEILING(...)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CEILING(angka,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kelipatan terdekat (misal pembulatan tagihan parkir per kelipatan 500 ke atas).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CEILING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CEILING!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'=CEILING(C11,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CEILING(C11,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CEILING!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CEILING!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CEILING!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CEILING!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CEILING!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#011 — RUMUS EXCEL: FLOOR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(FLOOR)</t>
        </is>
      </c>
    </row>
    <row r="5" ht="21" customHeight="1">
      <c r="B5" s="14" t="inlineStr">
        <is>
          <t>Nama Rumus Excel</t>
        </is>
      </c>
      <c r="C5" s="15">
        <f>FLOOR(...)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FLOOR(angka, kelipatan)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BAWAH menuju kelipatan terdekat (misal menghitung paket kelipatan penuh dari nominal tagihan).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FLOOR DI SINI)</t>
        </is>
      </c>
    </row>
    <row r="10">
      <c r="B10" s="18" t="inlineStr">
        <is>
          <t>Tagihan Kasir</t>
        </is>
      </c>
      <c r="C10" s="18" t="inlineStr">
        <is>
          <t>Nominal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14750</v>
      </c>
      <c r="E11" s="20" t="inlineStr">
        <is>
          <t>Contoh Soal:</t>
        </is>
      </c>
      <c r="F11" s="21" t="inlineStr">
        <is>
          <t>Bulatkan nominal uang pada sel C11 ke kelipatan 500 terdekat menggunakan fungsi FLOOR!</t>
        </is>
      </c>
      <c r="G11" s="5" t="n"/>
    </row>
    <row r="12">
      <c r="B12" s="19" t="inlineStr">
        <is>
          <t>Simulasi Unit B</t>
        </is>
      </c>
      <c r="C12" s="19" t="n">
        <v>15200</v>
      </c>
      <c r="E12" s="20" t="inlineStr">
        <is>
          <t>Contoh Rumus Benar:</t>
        </is>
      </c>
      <c r="F12" s="22" t="inlineStr">
        <is>
          <t>'=FLOOR(C11, 500)</t>
        </is>
      </c>
      <c r="G12" s="5" t="n"/>
    </row>
    <row r="13">
      <c r="B13" s="19" t="inlineStr">
        <is>
          <t>Simulasi Unit C</t>
        </is>
      </c>
      <c r="C13" s="19" t="n">
        <v>18900</v>
      </c>
      <c r="E13" s="20" t="inlineStr">
        <is>
          <t>Contoh Hasil Benar:</t>
        </is>
      </c>
      <c r="F13" s="23">
        <f>FLOOR(C11, 500)</f>
        <v/>
      </c>
      <c r="G13" s="5" t="n"/>
    </row>
    <row r="14">
      <c r="B14" s="19" t="inlineStr">
        <is>
          <t>Simulasi Unit D</t>
        </is>
      </c>
      <c r="C14" s="19" t="n">
        <v>21400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Tagihan Kasir</t>
        </is>
      </c>
      <c r="C20" s="14" t="inlineStr">
        <is>
          <t>Nominal (Rp)</t>
        </is>
      </c>
      <c r="E20" s="27" t="inlineStr">
        <is>
          <t>Persoalan Tes #1: Bulatkan nominal uang pada sel C21 ke kelipatan 500 terdekat menggunakan fungsi FLOOR!</t>
        </is>
      </c>
    </row>
    <row r="21">
      <c r="B21" s="19" t="inlineStr">
        <is>
          <t>Cabang Jakarta</t>
        </is>
      </c>
      <c r="C21" s="19" t="n">
        <v>12750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15200</v>
      </c>
      <c r="E22" s="28" t="n"/>
      <c r="F22" s="29">
        <f>IF(ISBLANK(E22), "⏳ Belum Diisi (Ketik Rumus di Sel Kuning E22)", IF(E22='99_KUNCI_JAWABAN'!F55,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18900</v>
      </c>
    </row>
    <row r="24">
      <c r="B24" s="19" t="inlineStr">
        <is>
          <t>Cabang Medan</t>
        </is>
      </c>
      <c r="C24" s="19" t="n">
        <v>21400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Tagihan Kasir</t>
        </is>
      </c>
      <c r="C28" s="14" t="inlineStr">
        <is>
          <t>Nominal (Rp)</t>
        </is>
      </c>
      <c r="E28" s="27" t="inlineStr">
        <is>
          <t>Persoalan Tes #2: Bulatkan nominal uang pada sel C29 ke kelipatan 500 terdekat menggunakan fungsi FLOOR!</t>
        </is>
      </c>
    </row>
    <row r="29">
      <c r="B29" s="19" t="inlineStr">
        <is>
          <t>Budi Santoso</t>
        </is>
      </c>
      <c r="C29" s="19" t="n">
        <v>13150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15200</v>
      </c>
      <c r="E30" s="28" t="n"/>
      <c r="F30" s="29">
        <f>IF(ISBLANK(E30), "⏳ Belum Diisi (Ketik Rumus di Sel Kuning E30)", IF(E30='99_KUNCI_JAWABAN'!F56,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18900</v>
      </c>
    </row>
    <row r="32">
      <c r="B32" s="19" t="inlineStr">
        <is>
          <t>Rina Wijaya</t>
        </is>
      </c>
      <c r="C32" s="19" t="n">
        <v>21400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Tagihan Kasir</t>
        </is>
      </c>
      <c r="C36" s="14" t="inlineStr">
        <is>
          <t>Nominal (Rp)</t>
        </is>
      </c>
      <c r="E36" s="27" t="inlineStr">
        <is>
          <t>Persoalan Tes #3: Bulatkan nominal uang pada sel C37 ke kelipatan 500 terdekat menggunakan fungsi FLOOR!</t>
        </is>
      </c>
    </row>
    <row r="37">
      <c r="B37" s="19" t="inlineStr">
        <is>
          <t>Gudang Blok A</t>
        </is>
      </c>
      <c r="C37" s="19" t="n">
        <v>13550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15200</v>
      </c>
      <c r="E38" s="28" t="n"/>
      <c r="F38" s="29">
        <f>IF(ISBLANK(E38), "⏳ Belum Diisi (Ketik Rumus di Sel Kuning E38)", IF(E38='99_KUNCI_JAWABAN'!F57,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18900</v>
      </c>
    </row>
    <row r="40">
      <c r="B40" s="19" t="inlineStr">
        <is>
          <t>Gudang Blok D</t>
        </is>
      </c>
      <c r="C40" s="19" t="n">
        <v>21400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Tagihan Kasir</t>
        </is>
      </c>
      <c r="C44" s="14" t="inlineStr">
        <is>
          <t>Nominal (Rp)</t>
        </is>
      </c>
      <c r="E44" s="27" t="inlineStr">
        <is>
          <t>Persoalan Tes #4: Bulatkan nominal uang pada sel C45 ke kelipatan 500 terdekat menggunakan fungsi FLOOR!</t>
        </is>
      </c>
    </row>
    <row r="45">
      <c r="B45" s="19" t="inlineStr">
        <is>
          <t>Toko Elektronik</t>
        </is>
      </c>
      <c r="C45" s="19" t="n">
        <v>13950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15200</v>
      </c>
      <c r="E46" s="28" t="n"/>
      <c r="F46" s="29">
        <f>IF(ISBLANK(E46), "⏳ Belum Diisi (Ketik Rumus di Sel Kuning E46)", IF(E46='99_KUNCI_JAWABAN'!F58,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18900</v>
      </c>
    </row>
    <row r="48">
      <c r="B48" s="19" t="inlineStr">
        <is>
          <t>Toko Servis</t>
        </is>
      </c>
      <c r="C48" s="19" t="n">
        <v>21400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Tagihan Kasir</t>
        </is>
      </c>
      <c r="C52" s="14" t="inlineStr">
        <is>
          <t>Nominal (Rp)</t>
        </is>
      </c>
      <c r="E52" s="27" t="inlineStr">
        <is>
          <t>Persoalan Tes #5: Bulatkan nominal uang pada sel C53 ke kelipatan 500 terdekat menggunakan fungsi FLOOR!</t>
        </is>
      </c>
    </row>
    <row r="53">
      <c r="B53" s="19" t="inlineStr">
        <is>
          <t>Kelas 10 IPA</t>
        </is>
      </c>
      <c r="C53" s="19" t="n">
        <v>14350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15200</v>
      </c>
      <c r="E54" s="28" t="n"/>
      <c r="F54" s="29">
        <f>IF(ISBLANK(E54), "⏳ Belum Diisi (Ketik Rumus di Sel Kuning E54)", IF(E54='99_KUNCI_JAWABAN'!F59,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18900</v>
      </c>
    </row>
    <row r="56">
      <c r="B56" s="19" t="inlineStr">
        <is>
          <t>Kelas Unggulan</t>
        </is>
      </c>
      <c r="C56" s="19" t="n">
        <v>21400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#012 — RUMUS EXCEL: INT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(INT)</t>
        </is>
      </c>
    </row>
    <row r="5" ht="21" customHeight="1">
      <c r="B5" s="14" t="inlineStr">
        <is>
          <t>Nama Rumus Excel</t>
        </is>
      </c>
      <c r="C5" s="15">
        <f>INT(...)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INT(angka)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bulatnya saja dengan membulatkan ke bawah ke bilangan bulat terdekat.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INT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INT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'=INT(C11)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INT(C11)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INT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INT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INT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INT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INT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#013 — RUMUS EXCEL: TRUNC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(TRUNC)</t>
        </is>
      </c>
    </row>
    <row r="5" ht="21" customHeight="1">
      <c r="B5" s="14" t="inlineStr">
        <is>
          <t>Nama Rumus Excel</t>
        </is>
      </c>
      <c r="C5" s="15">
        <f>TRUNC(...)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TRUNC(angka, [jumlah_digit])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Memotong angka desimal di belakang koma secara langsung tanpa pembulatan.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TRUNC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TRUNC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'=TRUNC(C11)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TRUNC(C11)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TRUNC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TRUNC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TRUNC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TRUNC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TRUNC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#014 — RUMUS EXCEL: MOD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(MOD)</t>
        </is>
      </c>
    </row>
    <row r="5" ht="21" customHeight="1">
      <c r="B5" s="14" t="inlineStr">
        <is>
          <t>Nama Rumus Excel</t>
        </is>
      </c>
      <c r="C5" s="15">
        <f>MOD(...)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MOD(angka, pembagi)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SISA hasil pembagian. Contoh: 14 permen dibagi ke 4 anak, masing-masing dapat 3 dan SISA 2 permen (MOD = 2).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MOD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MOD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'=MOD(B11,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MOD(B11,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MOD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IF(E22='99_KUNCI_JAWABAN'!F70,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MOD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IF(E30='99_KUNCI_JAWABAN'!F71,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MOD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IF(E38='99_KUNCI_JAWABAN'!F72,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MOD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IF(E46='99_KUNCI_JAWABAN'!F73,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MOD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IF(E54='99_KUNCI_JAWABAN'!F74,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#015 — RUMUS EXCEL: QUOTIENT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(QUOTIENT)</t>
        </is>
      </c>
    </row>
    <row r="5" ht="21" customHeight="1">
      <c r="B5" s="14" t="inlineStr">
        <is>
          <t>Nama Rumus Excel</t>
        </is>
      </c>
      <c r="C5" s="15">
        <f>QUOTIENT(...)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QUOTIENT(pembilang, penyebut)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hasil bagi BULAT saja dan membuang sisanya. Contoh: 14 dibagi 4 hasilnya 3 (sisanya diabaikan).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QUOTIENT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QUOTIENT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'=QUOTIENT(B11,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QUOTIENT(B11,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QUOTIENT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IF(E22='99_KUNCI_JAWABAN'!F75,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QUOTIENT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IF(E30='99_KUNCI_JAWABAN'!F76,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QUOTIENT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IF(E38='99_KUNCI_JAWABAN'!F77,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QUOTIENT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IF(E46='99_KUNCI_JAWABAN'!F78,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QUOTIENT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IF(E54='99_KUNCI_JAWABAN'!F79,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#016 — RUMUS EXCEL: ABS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(ABS)</t>
        </is>
      </c>
    </row>
    <row r="5" ht="21" customHeight="1">
      <c r="B5" s="14" t="inlineStr">
        <is>
          <t>Nama Rumus Excel</t>
        </is>
      </c>
      <c r="C5" s="15">
        <f>ABS(...)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ABS(angka)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minus (negatif) menjadi positif (Nilai Mutlak). Cocok untuk menghitung selisih jarak atau deviasi stok tanpa tanda minus.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ABS DI SINI)</t>
        </is>
      </c>
    </row>
    <row r="10">
      <c r="B10" s="18" t="inlineStr">
        <is>
          <t>Pos Audit</t>
        </is>
      </c>
      <c r="C10" s="18" t="inlineStr">
        <is>
          <t>Selisih Stok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-900</v>
      </c>
      <c r="E11" s="20" t="inlineStr">
        <is>
          <t>Contoh Soal:</t>
        </is>
      </c>
      <c r="F11" s="21" t="inlineStr">
        <is>
          <t>Evaluasi nilai selisih pada sel C11 (-900) menggunakan fungsi ABS!</t>
        </is>
      </c>
      <c r="G11" s="5" t="n"/>
    </row>
    <row r="12">
      <c r="B12" s="19" t="inlineStr">
        <is>
          <t>Simulasi Unit B</t>
        </is>
      </c>
      <c r="C12" s="19" t="n">
        <v>1200</v>
      </c>
      <c r="E12" s="20" t="inlineStr">
        <is>
          <t>Contoh Rumus Benar:</t>
        </is>
      </c>
      <c r="F12" s="22" t="inlineStr">
        <is>
          <t>'=ABS(C11)</t>
        </is>
      </c>
      <c r="G12" s="5" t="n"/>
    </row>
    <row r="13">
      <c r="B13" s="19" t="inlineStr">
        <is>
          <t>Simulasi Unit C</t>
        </is>
      </c>
      <c r="C13" s="19" t="n">
        <v>-450</v>
      </c>
      <c r="E13" s="20" t="inlineStr">
        <is>
          <t>Contoh Hasil Benar:</t>
        </is>
      </c>
      <c r="F13" s="23">
        <f>ABS(C11)</f>
        <v/>
      </c>
      <c r="G13" s="5" t="n"/>
    </row>
    <row r="14">
      <c r="B14" s="19" t="inlineStr">
        <is>
          <t>Simulasi Unit D</t>
        </is>
      </c>
      <c r="C14" s="19" t="n">
        <v>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Audit</t>
        </is>
      </c>
      <c r="C20" s="14" t="inlineStr">
        <is>
          <t>Selisih Stok</t>
        </is>
      </c>
      <c r="E20" s="27" t="inlineStr">
        <is>
          <t>Persoalan Tes #1: Evaluasi nilai selisih pada sel C21 (-150) menggunakan fungsi ABS!</t>
        </is>
      </c>
    </row>
    <row r="21">
      <c r="B21" s="19" t="inlineStr">
        <is>
          <t>Cabang Jakarta</t>
        </is>
      </c>
      <c r="C21" s="19" t="n">
        <v>-150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-75</v>
      </c>
    </row>
    <row r="24">
      <c r="B24" s="19" t="inlineStr">
        <is>
          <t>Cabang Medan</t>
        </is>
      </c>
      <c r="C24" s="19" t="n">
        <v>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Audit</t>
        </is>
      </c>
      <c r="C28" s="14" t="inlineStr">
        <is>
          <t>Selisih Stok</t>
        </is>
      </c>
      <c r="E28" s="27" t="inlineStr">
        <is>
          <t>Persoalan Tes #2: Evaluasi nilai selisih pada sel C29 (-300) menggunakan fungsi ABS!</t>
        </is>
      </c>
    </row>
    <row r="29">
      <c r="B29" s="19" t="inlineStr">
        <is>
          <t>Budi Santoso</t>
        </is>
      </c>
      <c r="C29" s="19" t="n">
        <v>-300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400</v>
      </c>
      <c r="E30" s="28" t="n"/>
      <c r="F30" s="29">
        <f>IF(ISBLANK(E30), "⏳ Belum Diisi (Ketik Rumus di Sel Kuning E30)", IF(E30='99_KUNCI_JAWABAN'!F81,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-150</v>
      </c>
    </row>
    <row r="32">
      <c r="B32" s="19" t="inlineStr">
        <is>
          <t>Rina Wijaya</t>
        </is>
      </c>
      <c r="C32" s="19" t="n">
        <v>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Audit</t>
        </is>
      </c>
      <c r="C36" s="14" t="inlineStr">
        <is>
          <t>Selisih Stok</t>
        </is>
      </c>
      <c r="E36" s="27" t="inlineStr">
        <is>
          <t>Persoalan Tes #3: Evaluasi nilai selisih pada sel C37 (-450) menggunakan fungsi ABS!</t>
        </is>
      </c>
    </row>
    <row r="37">
      <c r="B37" s="19" t="inlineStr">
        <is>
          <t>Gudang Blok A</t>
        </is>
      </c>
      <c r="C37" s="19" t="n">
        <v>-450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600</v>
      </c>
      <c r="E38" s="28" t="n"/>
      <c r="F38" s="29">
        <f>IF(ISBLANK(E38), "⏳ Belum Diisi (Ketik Rumus di Sel Kuning E38)", IF(E38='99_KUNCI_JAWABAN'!F82,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-225</v>
      </c>
    </row>
    <row r="40">
      <c r="B40" s="19" t="inlineStr">
        <is>
          <t>Gudang Blok D</t>
        </is>
      </c>
      <c r="C40" s="19" t="n">
        <v>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Audit</t>
        </is>
      </c>
      <c r="C44" s="14" t="inlineStr">
        <is>
          <t>Selisih Stok</t>
        </is>
      </c>
      <c r="E44" s="27" t="inlineStr">
        <is>
          <t>Persoalan Tes #4: Evaluasi nilai selisih pada sel C45 (-600) menggunakan fungsi ABS!</t>
        </is>
      </c>
    </row>
    <row r="45">
      <c r="B45" s="19" t="inlineStr">
        <is>
          <t>Toko Elektronik</t>
        </is>
      </c>
      <c r="C45" s="19" t="n">
        <v>-600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</v>
      </c>
      <c r="E46" s="28" t="n"/>
      <c r="F46" s="29">
        <f>IF(ISBLANK(E46), "⏳ Belum Diisi (Ketik Rumus di Sel Kuning E46)", IF(E46='99_KUNCI_JAWABAN'!F83,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-300</v>
      </c>
    </row>
    <row r="48">
      <c r="B48" s="19" t="inlineStr">
        <is>
          <t>Toko Servis</t>
        </is>
      </c>
      <c r="C48" s="19" t="n">
        <v>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Audit</t>
        </is>
      </c>
      <c r="C52" s="14" t="inlineStr">
        <is>
          <t>Selisih Stok</t>
        </is>
      </c>
      <c r="E52" s="27" t="inlineStr">
        <is>
          <t>Persoalan Tes #5: Evaluasi nilai selisih pada sel C53 (-750) menggunakan fungsi ABS!</t>
        </is>
      </c>
    </row>
    <row r="53">
      <c r="B53" s="19" t="inlineStr">
        <is>
          <t>Kelas 10 IPA</t>
        </is>
      </c>
      <c r="C53" s="19" t="n">
        <v>-750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1000</v>
      </c>
      <c r="E54" s="28" t="n"/>
      <c r="F54" s="29">
        <f>IF(ISBLANK(E54), "⏳ Belum Diisi (Ketik Rumus di Sel Kuning E54)", IF(E54='99_KUNCI_JAWABAN'!F84,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-375</v>
      </c>
    </row>
    <row r="56">
      <c r="B56" s="19" t="inlineStr">
        <is>
          <t>Kelas Unggulan</t>
        </is>
      </c>
      <c r="C56" s="19" t="n">
        <v>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#017 — RUMUS EXCEL: POWER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(POWER)</t>
        </is>
      </c>
    </row>
    <row r="5" ht="21" customHeight="1">
      <c r="B5" s="14" t="inlineStr">
        <is>
          <t>Nama Rumus Excel</t>
        </is>
      </c>
      <c r="C5" s="15">
        <f>POWER(...)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POWER(angka, pangkat)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perpangkatan angka (misal angka pertama dipangkatkan angka kedua).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POWER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3</v>
      </c>
      <c r="E11" s="20" t="inlineStr">
        <is>
          <t>Contoh Soal:</t>
        </is>
      </c>
      <c r="F11" s="21" t="inlineStr">
        <is>
          <t>Terapkan fungsi POWER dengan mengambil angka pertama di sel B11 (55) dan angka kedua di sel C11 (3)!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'=POWER(B11,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POWER(B11,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POWER dengan mengambil angka pertama di sel B21 (25) dan angka kedua di sel C21 (3)!</t>
        </is>
      </c>
    </row>
    <row r="21">
      <c r="B21" s="19" t="n">
        <v>25</v>
      </c>
      <c r="C21" s="19" t="n">
        <v>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IF(E22='99_KUNCI_JAWABAN'!F85,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POWER dengan mengambil angka pertama di sel B29 (31) dan angka kedua di sel C29 (3)!</t>
        </is>
      </c>
    </row>
    <row r="29">
      <c r="B29" s="19" t="n">
        <v>31</v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IF(E30='99_KUNCI_JAWABAN'!F86,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POWER dengan mengambil angka pertama di sel B37 (37) dan angka kedua di sel C37 (3)!</t>
        </is>
      </c>
    </row>
    <row r="37">
      <c r="B37" s="19" t="n">
        <v>37</v>
      </c>
      <c r="C37" s="19" t="n">
        <v>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IF(E38='99_KUNCI_JAWABAN'!F87,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POWER dengan mengambil angka pertama di sel B45 (43) dan angka kedua di sel C45 (3)!</t>
        </is>
      </c>
    </row>
    <row r="45">
      <c r="B45" s="19" t="n">
        <v>43</v>
      </c>
      <c r="C45" s="19" t="n">
        <v>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IF(E46='99_KUNCI_JAWABAN'!F88,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POWER dengan mengambil angka pertama di sel B53 (49) dan angka kedua di sel C53 (3)!</t>
        </is>
      </c>
    </row>
    <row r="53">
      <c r="B53" s="19" t="n">
        <v>49</v>
      </c>
      <c r="C53" s="19" t="n">
        <v>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IF(E54='99_KUNCI_JAWABAN'!F89,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#018 — RUMUS EXCEL: SQRT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(SQRT)</t>
        </is>
      </c>
    </row>
    <row r="5" ht="21" customHeight="1">
      <c r="B5" s="14" t="inlineStr">
        <is>
          <t>Nama Rumus Excel</t>
        </is>
      </c>
      <c r="C5" s="15">
        <f>SQRT(...)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SQRT(angka)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akar kuadrat dari suatu angka (misal akar dari 144 adalah 12).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SQRT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81</v>
      </c>
      <c r="E11" s="20" t="inlineStr">
        <is>
          <t>Contoh Soal:</t>
        </is>
      </c>
      <c r="F11" s="21" t="inlineStr">
        <is>
          <t>Hitung hasil fungsi SQRT untuk nilai input pada sel C11 (81)!</t>
        </is>
      </c>
      <c r="G11" s="5" t="n"/>
    </row>
    <row r="12">
      <c r="B12" s="19" t="inlineStr">
        <is>
          <t>Simulasi Unit B</t>
        </is>
      </c>
      <c r="C12" s="19" t="n">
        <v>64</v>
      </c>
      <c r="E12" s="20" t="inlineStr">
        <is>
          <t>Contoh Rumus Benar:</t>
        </is>
      </c>
      <c r="F12" s="22" t="inlineStr">
        <is>
          <t>'=SQRT(C11)</t>
        </is>
      </c>
      <c r="G12" s="5" t="n"/>
    </row>
    <row r="13">
      <c r="B13" s="19" t="inlineStr">
        <is>
          <t>Simulasi Unit C</t>
        </is>
      </c>
      <c r="C13" s="19" t="n">
        <v>81</v>
      </c>
      <c r="E13" s="20" t="inlineStr">
        <is>
          <t>Contoh Hasil Benar:</t>
        </is>
      </c>
      <c r="F13" s="23">
        <f>SQRT(C11)</f>
        <v/>
      </c>
      <c r="G13" s="5" t="n"/>
    </row>
    <row r="14">
      <c r="B14" s="19" t="inlineStr">
        <is>
          <t>Simulasi Unit D</t>
        </is>
      </c>
      <c r="C14" s="19" t="n">
        <v>100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SQRT untuk nilai input pada sel C21 (16)!</t>
        </is>
      </c>
    </row>
    <row r="21">
      <c r="B21" s="19" t="inlineStr">
        <is>
          <t>Cabang Jakarta</t>
        </is>
      </c>
      <c r="C21" s="19" t="n">
        <v>16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64</v>
      </c>
      <c r="E22" s="28" t="n"/>
      <c r="F22" s="29">
        <f>IF(ISBLANK(E22), "⏳ Belum Diisi (Ketik Rumus di Sel Kuning E22)", IF(E22='99_KUNCI_JAWABAN'!F90,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81</v>
      </c>
    </row>
    <row r="24">
      <c r="B24" s="19" t="inlineStr">
        <is>
          <t>Cabang Medan</t>
        </is>
      </c>
      <c r="C24" s="19" t="n">
        <v>100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SQRT untuk nilai input pada sel C29 (25)!</t>
        </is>
      </c>
    </row>
    <row r="29">
      <c r="B29" s="19" t="inlineStr">
        <is>
          <t>Budi Santoso</t>
        </is>
      </c>
      <c r="C29" s="19" t="n">
        <v>25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64</v>
      </c>
      <c r="E30" s="28" t="n"/>
      <c r="F30" s="29">
        <f>IF(ISBLANK(E30), "⏳ Belum Diisi (Ketik Rumus di Sel Kuning E30)", IF(E30='99_KUNCI_JAWABAN'!F91,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81</v>
      </c>
    </row>
    <row r="32">
      <c r="B32" s="19" t="inlineStr">
        <is>
          <t>Rina Wijaya</t>
        </is>
      </c>
      <c r="C32" s="19" t="n">
        <v>100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SQRT untuk nilai input pada sel C37 (36)!</t>
        </is>
      </c>
    </row>
    <row r="37">
      <c r="B37" s="19" t="inlineStr">
        <is>
          <t>Gudang Blok A</t>
        </is>
      </c>
      <c r="C37" s="19" t="n">
        <v>36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64</v>
      </c>
      <c r="E38" s="28" t="n"/>
      <c r="F38" s="29">
        <f>IF(ISBLANK(E38), "⏳ Belum Diisi (Ketik Rumus di Sel Kuning E38)", IF(E38='99_KUNCI_JAWABAN'!F92,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81</v>
      </c>
    </row>
    <row r="40">
      <c r="B40" s="19" t="inlineStr">
        <is>
          <t>Gudang Blok D</t>
        </is>
      </c>
      <c r="C40" s="19" t="n">
        <v>100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SQRT untuk nilai input pada sel C45 (49)!</t>
        </is>
      </c>
    </row>
    <row r="45">
      <c r="B45" s="19" t="inlineStr">
        <is>
          <t>Toko Elektronik</t>
        </is>
      </c>
      <c r="C45" s="19" t="n">
        <v>49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64</v>
      </c>
      <c r="E46" s="28" t="n"/>
      <c r="F46" s="29">
        <f>IF(ISBLANK(E46), "⏳ Belum Diisi (Ketik Rumus di Sel Kuning E46)", IF(E46='99_KUNCI_JAWABAN'!F93,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81</v>
      </c>
    </row>
    <row r="48">
      <c r="B48" s="19" t="inlineStr">
        <is>
          <t>Toko Servis</t>
        </is>
      </c>
      <c r="C48" s="19" t="n">
        <v>100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SQRT untuk nilai input pada sel C53 (64)!</t>
        </is>
      </c>
    </row>
    <row r="53">
      <c r="B53" s="19" t="inlineStr">
        <is>
          <t>Kelas 10 IPA</t>
        </is>
      </c>
      <c r="C53" s="19" t="n">
        <v>64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64</v>
      </c>
      <c r="E54" s="28" t="n"/>
      <c r="F54" s="29">
        <f>IF(ISBLANK(E54), "⏳ Belum Diisi (Ketik Rumus di Sel Kuning E54)", IF(E54='99_KUNCI_JAWABAN'!F94,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81</v>
      </c>
    </row>
    <row r="56">
      <c r="B56" s="19" t="inlineStr">
        <is>
          <t>Kelas Unggulan</t>
        </is>
      </c>
      <c r="C56" s="19" t="n">
        <v>100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#019 — RUMUS EXCEL: SUBTOTAL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(SUBTOTAL)</t>
        </is>
      </c>
    </row>
    <row r="5" ht="21" customHeight="1">
      <c r="B5" s="14" t="inlineStr">
        <is>
          <t>Nama Rumus Excel</t>
        </is>
      </c>
      <c r="C5" s="15">
        <f>SUBTOTAL(...)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SUBTOTAL(kode_fungsi, range)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total/rata-rata yang PINTAR karena otomatis mengabaikan baris yang sedang disembunyikan oleh Filter!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SUBTOTAL DI SINI)</t>
        </is>
      </c>
    </row>
    <row r="10">
      <c r="B10" s="18" t="inlineStr">
        <is>
          <t>Divisi Kerja</t>
        </is>
      </c>
      <c r="C10" s="18" t="inlineStr">
        <is>
          <t>Anggaran Biaya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total penjumlahan dinamis dengan kode fungsi 9 pada rentang C11:C14 menggunakan fungsi SUBTOTAL!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'=SUBTOTAL(9, 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SUBTOTAL(9, 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Divisi Kerja</t>
        </is>
      </c>
      <c r="C20" s="14" t="inlineStr">
        <is>
          <t>Anggaran Biaya</t>
        </is>
      </c>
      <c r="E20" s="27" t="inlineStr">
        <is>
          <t>Persoalan Tes #1: Hitung total penjumlahan dinamis dengan kode fungsi 9 pada rentang C21:C24 menggunakan fungsi SUBTOTAL!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Divisi Kerja</t>
        </is>
      </c>
      <c r="C28" s="14" t="inlineStr">
        <is>
          <t>Anggaran Biaya</t>
        </is>
      </c>
      <c r="E28" s="27" t="inlineStr">
        <is>
          <t>Persoalan Tes #2: Hitung total penjumlahan dinamis dengan kode fungsi 9 pada rentang C29:C32 menggunakan fungsi SUBTOTAL!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Divisi Kerja</t>
        </is>
      </c>
      <c r="C36" s="14" t="inlineStr">
        <is>
          <t>Anggaran Biaya</t>
        </is>
      </c>
      <c r="E36" s="27" t="inlineStr">
        <is>
          <t>Persoalan Tes #3: Hitung total penjumlahan dinamis dengan kode fungsi 9 pada rentang C37:C40 menggunakan fungsi SUBTOTAL!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Divisi Kerja</t>
        </is>
      </c>
      <c r="C44" s="14" t="inlineStr">
        <is>
          <t>Anggaran Biaya</t>
        </is>
      </c>
      <c r="E44" s="27" t="inlineStr">
        <is>
          <t>Persoalan Tes #4: Hitung total penjumlahan dinamis dengan kode fungsi 9 pada rentang C45:C48 menggunakan fungsi SUBTOTAL!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Divisi Kerja</t>
        </is>
      </c>
      <c r="C52" s="14" t="inlineStr">
        <is>
          <t>Anggaran Biaya</t>
        </is>
      </c>
      <c r="E52" s="27" t="inlineStr">
        <is>
          <t>Persoalan Tes #5: Hitung total penjumlahan dinamis dengan kode fungsi 9 pada rentang C53:C56 menggunakan fungsi SUBTOTAL!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#020 — RUMUS EXCEL: AGGREGATE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(AGGREGATE)</t>
        </is>
      </c>
    </row>
    <row r="5" ht="21" customHeight="1">
      <c r="B5" s="14" t="inlineStr">
        <is>
          <t>Nama Rumus Excel</t>
        </is>
      </c>
      <c r="C5" s="15">
        <f>AGGREGATE(...)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AGGREGATE(kode_fungsi, opsi_abaikan, range)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Versi super dari SUBTOTAL yang sanggup mengabaikan baris tersembunyi SEKALIGUS mengabaikan sel yang error (#N/A atau #DIV/0!).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AGGREGATE DI SINI)</t>
        </is>
      </c>
    </row>
    <row r="10">
      <c r="B10" s="18" t="inlineStr">
        <is>
          <t>Divisi Kerja</t>
        </is>
      </c>
      <c r="C10" s="18" t="inlineStr">
        <is>
          <t>Anggaran Biaya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penjumlahan (kode fungsi 9) dengan opsi abaikan error (kode opsi 6) pada rentang C11:C14 menggunakan fungsi AGGREGATE!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'=AGGREGATE(9, 6, 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AGGREGATE(9, 6, 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Divisi Kerja</t>
        </is>
      </c>
      <c r="C20" s="14" t="inlineStr">
        <is>
          <t>Anggaran Biaya</t>
        </is>
      </c>
      <c r="E20" s="27" t="inlineStr">
        <is>
          <t>Persoalan Tes #1: Hitung penjumlahan (kode fungsi 9) dengan opsi abaikan error (kode opsi 6) pada rentang C21:C24 menggunakan fungsi AGGREGATE!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Divisi Kerja</t>
        </is>
      </c>
      <c r="C28" s="14" t="inlineStr">
        <is>
          <t>Anggaran Biaya</t>
        </is>
      </c>
      <c r="E28" s="27" t="inlineStr">
        <is>
          <t>Persoalan Tes #2: Hitung penjumlahan (kode fungsi 9) dengan opsi abaikan error (kode opsi 6) pada rentang C29:C32 menggunakan fungsi AGGREGATE!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Divisi Kerja</t>
        </is>
      </c>
      <c r="C36" s="14" t="inlineStr">
        <is>
          <t>Anggaran Biaya</t>
        </is>
      </c>
      <c r="E36" s="27" t="inlineStr">
        <is>
          <t>Persoalan Tes #3: Hitung penjumlahan (kode fungsi 9) dengan opsi abaikan error (kode opsi 6) pada rentang C37:C40 menggunakan fungsi AGGREGATE!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Divisi Kerja</t>
        </is>
      </c>
      <c r="C44" s="14" t="inlineStr">
        <is>
          <t>Anggaran Biaya</t>
        </is>
      </c>
      <c r="E44" s="27" t="inlineStr">
        <is>
          <t>Persoalan Tes #4: Hitung penjumlahan (kode fungsi 9) dengan opsi abaikan error (kode opsi 6) pada rentang C45:C48 menggunakan fungsi AGGREGATE!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Divisi Kerja</t>
        </is>
      </c>
      <c r="C52" s="14" t="inlineStr">
        <is>
          <t>Anggaran Biaya</t>
        </is>
      </c>
      <c r="E52" s="27" t="inlineStr">
        <is>
          <t>Persoalan Tes #5: Hitung penjumlahan (kode fungsi 9) dengan opsi abaikan error (kode opsi 6) pada rentang C53:C56 menggunakan fungsi AGGREGATE!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#021 — RUMUS EXCEL: RANDBETWEEN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(RANDBETWEEN)</t>
        </is>
      </c>
    </row>
    <row r="5" ht="21" customHeight="1">
      <c r="B5" s="14" t="inlineStr">
        <is>
          <t>Nama Rumus Excel</t>
        </is>
      </c>
      <c r="C5" s="15">
        <f>RANDBETWEEN(...)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RANDBETWEEN(batas_bawah, batas_atas)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angka acak bulat di antara batas bawah dan batas atas (cocok untuk undian doorprize atau simulasi data).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RANDBETWEEN DI SINI)</t>
        </is>
      </c>
    </row>
    <row r="10">
      <c r="B10" s="18" t="inlineStr">
        <is>
          <t>Parameter Undian</t>
        </is>
      </c>
      <c r="C10" s="18" t="inlineStr">
        <is>
          <t>Batas 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600</v>
      </c>
      <c r="E11" s="20" t="inlineStr">
        <is>
          <t>Contoh Soal:</t>
        </is>
      </c>
      <c r="F11" s="21" t="inlineStr">
        <is>
          <t>Gunakan fungsi RANDBETWEEN dengan batas bawah di sel C11 dan batas atas di sel C11!</t>
        </is>
      </c>
      <c r="G11" s="5" t="n"/>
    </row>
    <row r="12">
      <c r="B12" s="19" t="inlineStr">
        <is>
          <t>Simulasi Unit B</t>
        </is>
      </c>
      <c r="C12" s="19" t="n">
        <v>3000</v>
      </c>
      <c r="E12" s="20" t="inlineStr">
        <is>
          <t>Contoh Rumus Benar:</t>
        </is>
      </c>
      <c r="F12" s="22" t="inlineStr">
        <is>
          <t>'=RANDBETWEEN(C11, C11)</t>
        </is>
      </c>
      <c r="G12" s="5" t="n"/>
    </row>
    <row r="13">
      <c r="B13" s="19" t="inlineStr">
        <is>
          <t>Simulasi Unit C</t>
        </is>
      </c>
      <c r="C13" s="19" t="n">
        <v>10</v>
      </c>
      <c r="E13" s="20" t="inlineStr">
        <is>
          <t>Contoh Hasil Benar:</t>
        </is>
      </c>
      <c r="F13" s="23">
        <f>RANDBETWEEN(C11, C11)</f>
        <v/>
      </c>
      <c r="G13" s="5" t="n"/>
    </row>
    <row r="14">
      <c r="B14" s="19" t="inlineStr">
        <is>
          <t>Simulasi Unit D</t>
        </is>
      </c>
      <c r="C14" s="19" t="n">
        <v>50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Undian</t>
        </is>
      </c>
      <c r="C20" s="14" t="inlineStr">
        <is>
          <t>Batas Nilai</t>
        </is>
      </c>
      <c r="E20" s="27" t="inlineStr">
        <is>
          <t>Persoalan Tes #1: Gunakan fungsi RANDBETWEEN dengan batas bawah di sel C21 dan batas atas di sel C21!</t>
        </is>
      </c>
    </row>
    <row r="21">
      <c r="B21" s="19" t="inlineStr">
        <is>
          <t>Cabang Jakarta</t>
        </is>
      </c>
      <c r="C21" s="19" t="n">
        <v>100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500</v>
      </c>
      <c r="E22" s="28" t="n"/>
      <c r="F22" s="29">
        <f>IF(ISBLANK(E22), "⏳ Belum Diisi (Ketik Rumus di Sel Kuning E22)", IF(E22='99_KUNCI_JAWABAN'!F105,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10</v>
      </c>
    </row>
    <row r="24">
      <c r="B24" s="19" t="inlineStr">
        <is>
          <t>Cabang Medan</t>
        </is>
      </c>
      <c r="C24" s="19" t="n">
        <v>50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Undian</t>
        </is>
      </c>
      <c r="C28" s="14" t="inlineStr">
        <is>
          <t>Batas Nilai</t>
        </is>
      </c>
      <c r="E28" s="27" t="inlineStr">
        <is>
          <t>Persoalan Tes #2: Gunakan fungsi RANDBETWEEN dengan batas bawah di sel C29 dan batas atas di sel C29!</t>
        </is>
      </c>
    </row>
    <row r="29">
      <c r="B29" s="19" t="inlineStr">
        <is>
          <t>Budi Santoso</t>
        </is>
      </c>
      <c r="C29" s="19" t="n">
        <v>200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1000</v>
      </c>
      <c r="E30" s="28" t="n"/>
      <c r="F30" s="29">
        <f>IF(ISBLANK(E30), "⏳ Belum Diisi (Ketik Rumus di Sel Kuning E30)", IF(E30='99_KUNCI_JAWABAN'!F106,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10</v>
      </c>
    </row>
    <row r="32">
      <c r="B32" s="19" t="inlineStr">
        <is>
          <t>Rina Wijaya</t>
        </is>
      </c>
      <c r="C32" s="19" t="n">
        <v>50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Undian</t>
        </is>
      </c>
      <c r="C36" s="14" t="inlineStr">
        <is>
          <t>Batas Nilai</t>
        </is>
      </c>
      <c r="E36" s="27" t="inlineStr">
        <is>
          <t>Persoalan Tes #3: Gunakan fungsi RANDBETWEEN dengan batas bawah di sel C37 dan batas atas di sel C37!</t>
        </is>
      </c>
    </row>
    <row r="37">
      <c r="B37" s="19" t="inlineStr">
        <is>
          <t>Gudang Blok A</t>
        </is>
      </c>
      <c r="C37" s="19" t="n">
        <v>300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1500</v>
      </c>
      <c r="E38" s="28" t="n"/>
      <c r="F38" s="29">
        <f>IF(ISBLANK(E38), "⏳ Belum Diisi (Ketik Rumus di Sel Kuning E38)", IF(E38='99_KUNCI_JAWABAN'!F107,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10</v>
      </c>
    </row>
    <row r="40">
      <c r="B40" s="19" t="inlineStr">
        <is>
          <t>Gudang Blok D</t>
        </is>
      </c>
      <c r="C40" s="19" t="n">
        <v>50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Undian</t>
        </is>
      </c>
      <c r="C44" s="14" t="inlineStr">
        <is>
          <t>Batas Nilai</t>
        </is>
      </c>
      <c r="E44" s="27" t="inlineStr">
        <is>
          <t>Persoalan Tes #4: Gunakan fungsi RANDBETWEEN dengan batas bawah di sel C45 dan batas atas di sel C45!</t>
        </is>
      </c>
    </row>
    <row r="45">
      <c r="B45" s="19" t="inlineStr">
        <is>
          <t>Toko Elektronik</t>
        </is>
      </c>
      <c r="C45" s="19" t="n">
        <v>400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2000</v>
      </c>
      <c r="E46" s="28" t="n"/>
      <c r="F46" s="29">
        <f>IF(ISBLANK(E46), "⏳ Belum Diisi (Ketik Rumus di Sel Kuning E46)", IF(E46='99_KUNCI_JAWABAN'!F108,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10</v>
      </c>
    </row>
    <row r="48">
      <c r="B48" s="19" t="inlineStr">
        <is>
          <t>Toko Servis</t>
        </is>
      </c>
      <c r="C48" s="19" t="n">
        <v>50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Undian</t>
        </is>
      </c>
      <c r="C52" s="14" t="inlineStr">
        <is>
          <t>Batas Nilai</t>
        </is>
      </c>
      <c r="E52" s="27" t="inlineStr">
        <is>
          <t>Persoalan Tes #5: Gunakan fungsi RANDBETWEEN dengan batas bawah di sel C53 dan batas atas di sel C53!</t>
        </is>
      </c>
    </row>
    <row r="53">
      <c r="B53" s="19" t="inlineStr">
        <is>
          <t>Kelas 10 IPA</t>
        </is>
      </c>
      <c r="C53" s="19" t="n">
        <v>500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2500</v>
      </c>
      <c r="E54" s="28" t="n"/>
      <c r="F54" s="29">
        <f>IF(ISBLANK(E54), "⏳ Belum Diisi (Ketik Rumus di Sel Kuning E54)", IF(E54='99_KUNCI_JAWABAN'!F109,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10</v>
      </c>
    </row>
    <row r="56">
      <c r="B56" s="19" t="inlineStr">
        <is>
          <t>Kelas Unggulan</t>
        </is>
      </c>
      <c r="C56" s="19" t="n">
        <v>50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#022 — RUMUS EXCEL: SIGN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(SIGN)</t>
        </is>
      </c>
    </row>
    <row r="5" ht="21" customHeight="1">
      <c r="B5" s="14" t="inlineStr">
        <is>
          <t>Nama Rumus Excel</t>
        </is>
      </c>
      <c r="C5" s="15">
        <f>SIGN(...)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SIGN(angka)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Mendeteksi tanda bilangan: menghasilkan 1 jika positif, -1 jika negatif (rugi), dan 0 jika nol.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SIGN DI SINI)</t>
        </is>
      </c>
    </row>
    <row r="10">
      <c r="B10" s="18" t="inlineStr">
        <is>
          <t>Pos Audit</t>
        </is>
      </c>
      <c r="C10" s="18" t="inlineStr">
        <is>
          <t>Selisih Stok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-900</v>
      </c>
      <c r="E11" s="20" t="inlineStr">
        <is>
          <t>Contoh Soal:</t>
        </is>
      </c>
      <c r="F11" s="21" t="inlineStr">
        <is>
          <t>Evaluasi nilai selisih pada sel C11 (-900) menggunakan fungsi SIGN!</t>
        </is>
      </c>
      <c r="G11" s="5" t="n"/>
    </row>
    <row r="12">
      <c r="B12" s="19" t="inlineStr">
        <is>
          <t>Simulasi Unit B</t>
        </is>
      </c>
      <c r="C12" s="19" t="n">
        <v>1200</v>
      </c>
      <c r="E12" s="20" t="inlineStr">
        <is>
          <t>Contoh Rumus Benar:</t>
        </is>
      </c>
      <c r="F12" s="22" t="inlineStr">
        <is>
          <t>'=SIGN(C11)</t>
        </is>
      </c>
      <c r="G12" s="5" t="n"/>
    </row>
    <row r="13">
      <c r="B13" s="19" t="inlineStr">
        <is>
          <t>Simulasi Unit C</t>
        </is>
      </c>
      <c r="C13" s="19" t="n">
        <v>-450</v>
      </c>
      <c r="E13" s="20" t="inlineStr">
        <is>
          <t>Contoh Hasil Benar:</t>
        </is>
      </c>
      <c r="F13" s="23">
        <f>SIGN(C11)</f>
        <v/>
      </c>
      <c r="G13" s="5" t="n"/>
    </row>
    <row r="14">
      <c r="B14" s="19" t="inlineStr">
        <is>
          <t>Simulasi Unit D</t>
        </is>
      </c>
      <c r="C14" s="19" t="n">
        <v>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Audit</t>
        </is>
      </c>
      <c r="C20" s="14" t="inlineStr">
        <is>
          <t>Selisih Stok</t>
        </is>
      </c>
      <c r="E20" s="27" t="inlineStr">
        <is>
          <t>Persoalan Tes #1: Evaluasi nilai selisih pada sel C21 (-150) menggunakan fungsi SIGN!</t>
        </is>
      </c>
    </row>
    <row r="21">
      <c r="B21" s="19" t="inlineStr">
        <is>
          <t>Cabang Jakarta</t>
        </is>
      </c>
      <c r="C21" s="19" t="n">
        <v>-150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-75</v>
      </c>
    </row>
    <row r="24">
      <c r="B24" s="19" t="inlineStr">
        <is>
          <t>Cabang Medan</t>
        </is>
      </c>
      <c r="C24" s="19" t="n">
        <v>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Audit</t>
        </is>
      </c>
      <c r="C28" s="14" t="inlineStr">
        <is>
          <t>Selisih Stok</t>
        </is>
      </c>
      <c r="E28" s="27" t="inlineStr">
        <is>
          <t>Persoalan Tes #2: Evaluasi nilai selisih pada sel C29 (-300) menggunakan fungsi SIGN!</t>
        </is>
      </c>
    </row>
    <row r="29">
      <c r="B29" s="19" t="inlineStr">
        <is>
          <t>Budi Santoso</t>
        </is>
      </c>
      <c r="C29" s="19" t="n">
        <v>-300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400</v>
      </c>
      <c r="E30" s="28" t="n"/>
      <c r="F30" s="29">
        <f>IF(ISBLANK(E30), "⏳ Belum Diisi (Ketik Rumus di Sel Kuning E30)", IF(E30='99_KUNCI_JAWABAN'!F111,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-150</v>
      </c>
    </row>
    <row r="32">
      <c r="B32" s="19" t="inlineStr">
        <is>
          <t>Rina Wijaya</t>
        </is>
      </c>
      <c r="C32" s="19" t="n">
        <v>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Audit</t>
        </is>
      </c>
      <c r="C36" s="14" t="inlineStr">
        <is>
          <t>Selisih Stok</t>
        </is>
      </c>
      <c r="E36" s="27" t="inlineStr">
        <is>
          <t>Persoalan Tes #3: Evaluasi nilai selisih pada sel C37 (-450) menggunakan fungsi SIGN!</t>
        </is>
      </c>
    </row>
    <row r="37">
      <c r="B37" s="19" t="inlineStr">
        <is>
          <t>Gudang Blok A</t>
        </is>
      </c>
      <c r="C37" s="19" t="n">
        <v>-450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600</v>
      </c>
      <c r="E38" s="28" t="n"/>
      <c r="F38" s="29">
        <f>IF(ISBLANK(E38), "⏳ Belum Diisi (Ketik Rumus di Sel Kuning E38)", IF(E38='99_KUNCI_JAWABAN'!F112,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-225</v>
      </c>
    </row>
    <row r="40">
      <c r="B40" s="19" t="inlineStr">
        <is>
          <t>Gudang Blok D</t>
        </is>
      </c>
      <c r="C40" s="19" t="n">
        <v>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Audit</t>
        </is>
      </c>
      <c r="C44" s="14" t="inlineStr">
        <is>
          <t>Selisih Stok</t>
        </is>
      </c>
      <c r="E44" s="27" t="inlineStr">
        <is>
          <t>Persoalan Tes #4: Evaluasi nilai selisih pada sel C45 (-600) menggunakan fungsi SIGN!</t>
        </is>
      </c>
    </row>
    <row r="45">
      <c r="B45" s="19" t="inlineStr">
        <is>
          <t>Toko Elektronik</t>
        </is>
      </c>
      <c r="C45" s="19" t="n">
        <v>-600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</v>
      </c>
      <c r="E46" s="28" t="n"/>
      <c r="F46" s="29">
        <f>IF(ISBLANK(E46), "⏳ Belum Diisi (Ketik Rumus di Sel Kuning E46)", IF(E46='99_KUNCI_JAWABAN'!F113,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-300</v>
      </c>
    </row>
    <row r="48">
      <c r="B48" s="19" t="inlineStr">
        <is>
          <t>Toko Servis</t>
        </is>
      </c>
      <c r="C48" s="19" t="n">
        <v>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Audit</t>
        </is>
      </c>
      <c r="C52" s="14" t="inlineStr">
        <is>
          <t>Selisih Stok</t>
        </is>
      </c>
      <c r="E52" s="27" t="inlineStr">
        <is>
          <t>Persoalan Tes #5: Evaluasi nilai selisih pada sel C53 (-750) menggunakan fungsi SIGN!</t>
        </is>
      </c>
    </row>
    <row r="53">
      <c r="B53" s="19" t="inlineStr">
        <is>
          <t>Kelas 10 IPA</t>
        </is>
      </c>
      <c r="C53" s="19" t="n">
        <v>-750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1000</v>
      </c>
      <c r="E54" s="28" t="n"/>
      <c r="F54" s="29">
        <f>IF(ISBLANK(E54), "⏳ Belum Diisi (Ketik Rumus di Sel Kuning E54)", IF(E54='99_KUNCI_JAWABAN'!F114,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-375</v>
      </c>
    </row>
    <row r="56">
      <c r="B56" s="19" t="inlineStr">
        <is>
          <t>Kelas Unggulan</t>
        </is>
      </c>
      <c r="C56" s="19" t="n">
        <v>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#023 — RUMUS EXCEL: EVEN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(EVEN)</t>
        </is>
      </c>
    </row>
    <row r="5" ht="21" customHeight="1">
      <c r="B5" s="14" t="inlineStr">
        <is>
          <t>Nama Rumus Excel</t>
        </is>
      </c>
      <c r="C5" s="15">
        <f>EVEN(...)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EVEN(angka)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bilangan GENAP terdekat (cocok untuk pengemasan barang berpasangan).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EVEN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EVEN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'=EVEN(C11)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EVEN(C11)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EVEN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IF(E22='99_KUNCI_JAWABAN'!F115,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EVEN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IF(E30='99_KUNCI_JAWABAN'!F116,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EVEN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IF(E38='99_KUNCI_JAWABAN'!F117,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EVEN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IF(E46='99_KUNCI_JAWABAN'!F118,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EVEN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IF(E54='99_KUNCI_JAWABAN'!F119,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#024 — RUMUS EXCEL: ODD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(ODD)</t>
        </is>
      </c>
    </row>
    <row r="5" ht="21" customHeight="1">
      <c r="B5" s="14" t="inlineStr">
        <is>
          <t>Nama Rumus Excel</t>
        </is>
      </c>
      <c r="C5" s="15">
        <f>ODD(...)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ODD(angka)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Membulatkan angka ke atas menuju bilangan GANJIL terdekat.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ODD DI SINI)</t>
        </is>
      </c>
    </row>
    <row r="10">
      <c r="B10" s="18" t="inlineStr">
        <is>
          <t>Item Pengukuran</t>
        </is>
      </c>
      <c r="C10" s="18" t="inlineStr">
        <is>
          <t>Nilai Desimal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140.289</v>
      </c>
      <c r="E11" s="20" t="inlineStr">
        <is>
          <t>Contoh Soal:</t>
        </is>
      </c>
      <c r="F11" s="21" t="inlineStr">
        <is>
          <t>Bulatkan atau potong nilai desimal pada sel C11 (140.289) menggunakan fungsi ODD tanpa argumen tambahan!</t>
        </is>
      </c>
      <c r="G11" s="5" t="n"/>
    </row>
    <row r="12">
      <c r="B12" s="19" t="inlineStr">
        <is>
          <t>Simulasi Unit B</t>
        </is>
      </c>
      <c r="C12" s="19" t="n">
        <v>89.345</v>
      </c>
      <c r="E12" s="20" t="inlineStr">
        <is>
          <t>Contoh Rumus Benar:</t>
        </is>
      </c>
      <c r="F12" s="22" t="inlineStr">
        <is>
          <t>'=ODD(C11)</t>
        </is>
      </c>
      <c r="G12" s="5" t="n"/>
    </row>
    <row r="13">
      <c r="B13" s="19" t="inlineStr">
        <is>
          <t>Simulasi Unit C</t>
        </is>
      </c>
      <c r="C13" s="19" t="n">
        <v>45.678</v>
      </c>
      <c r="E13" s="20" t="inlineStr">
        <is>
          <t>Contoh Hasil Benar:</t>
        </is>
      </c>
      <c r="F13" s="23">
        <f>ODD(C11)</f>
        <v/>
      </c>
      <c r="G13" s="5" t="n"/>
    </row>
    <row r="14">
      <c r="B14" s="19" t="inlineStr">
        <is>
          <t>Simulasi Unit D</t>
        </is>
      </c>
      <c r="C14" s="19" t="n">
        <v>19.99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Pengukuran</t>
        </is>
      </c>
      <c r="C20" s="14" t="inlineStr">
        <is>
          <t>Nilai Desimal</t>
        </is>
      </c>
      <c r="E20" s="27" t="inlineStr">
        <is>
          <t>Persoalan Tes #1: Bulatkan atau potong nilai desimal pada sel C21 (124.789) menggunakan fungsi ODD tanpa argumen tambahan!</t>
        </is>
      </c>
    </row>
    <row r="21">
      <c r="B21" s="19" t="inlineStr">
        <is>
          <t>Cabang Jakarta</t>
        </is>
      </c>
      <c r="C21" s="19" t="n">
        <v>124.789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89.345</v>
      </c>
      <c r="E22" s="28" t="n"/>
      <c r="F22" s="29">
        <f>IF(ISBLANK(E22), "⏳ Belum Diisi (Ketik Rumus di Sel Kuning E22)", IF(E22='99_KUNCI_JAWABAN'!F120,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45.678</v>
      </c>
    </row>
    <row r="24">
      <c r="B24" s="19" t="inlineStr">
        <is>
          <t>Cabang Medan</t>
        </is>
      </c>
      <c r="C24" s="19" t="n">
        <v>19.99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Pengukuran</t>
        </is>
      </c>
      <c r="C28" s="14" t="inlineStr">
        <is>
          <t>Nilai Desimal</t>
        </is>
      </c>
      <c r="E28" s="27" t="inlineStr">
        <is>
          <t>Persoalan Tes #2: Bulatkan atau potong nilai desimal pada sel C29 (127.889) menggunakan fungsi ODD tanpa argumen tambahan!</t>
        </is>
      </c>
    </row>
    <row r="29">
      <c r="B29" s="19" t="inlineStr">
        <is>
          <t>Budi Santoso</t>
        </is>
      </c>
      <c r="C29" s="19" t="n">
        <v>127.889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89.345</v>
      </c>
      <c r="E30" s="28" t="n"/>
      <c r="F30" s="29">
        <f>IF(ISBLANK(E30), "⏳ Belum Diisi (Ketik Rumus di Sel Kuning E30)", IF(E30='99_KUNCI_JAWABAN'!F121,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45.678</v>
      </c>
    </row>
    <row r="32">
      <c r="B32" s="19" t="inlineStr">
        <is>
          <t>Rina Wijaya</t>
        </is>
      </c>
      <c r="C32" s="19" t="n">
        <v>19.99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Pengukuran</t>
        </is>
      </c>
      <c r="C36" s="14" t="inlineStr">
        <is>
          <t>Nilai Desimal</t>
        </is>
      </c>
      <c r="E36" s="27" t="inlineStr">
        <is>
          <t>Persoalan Tes #3: Bulatkan atau potong nilai desimal pada sel C37 (130.989) menggunakan fungsi ODD tanpa argumen tambahan!</t>
        </is>
      </c>
    </row>
    <row r="37">
      <c r="B37" s="19" t="inlineStr">
        <is>
          <t>Gudang Blok A</t>
        </is>
      </c>
      <c r="C37" s="19" t="n">
        <v>130.989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89.345</v>
      </c>
      <c r="E38" s="28" t="n"/>
      <c r="F38" s="29">
        <f>IF(ISBLANK(E38), "⏳ Belum Diisi (Ketik Rumus di Sel Kuning E38)", IF(E38='99_KUNCI_JAWABAN'!F122,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45.678</v>
      </c>
    </row>
    <row r="40">
      <c r="B40" s="19" t="inlineStr">
        <is>
          <t>Gudang Blok D</t>
        </is>
      </c>
      <c r="C40" s="19" t="n">
        <v>19.99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Pengukuran</t>
        </is>
      </c>
      <c r="C44" s="14" t="inlineStr">
        <is>
          <t>Nilai Desimal</t>
        </is>
      </c>
      <c r="E44" s="27" t="inlineStr">
        <is>
          <t>Persoalan Tes #4: Bulatkan atau potong nilai desimal pada sel C45 (134.089) menggunakan fungsi ODD tanpa argumen tambahan!</t>
        </is>
      </c>
    </row>
    <row r="45">
      <c r="B45" s="19" t="inlineStr">
        <is>
          <t>Toko Elektronik</t>
        </is>
      </c>
      <c r="C45" s="19" t="n">
        <v>134.089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89.345</v>
      </c>
      <c r="E46" s="28" t="n"/>
      <c r="F46" s="29">
        <f>IF(ISBLANK(E46), "⏳ Belum Diisi (Ketik Rumus di Sel Kuning E46)", IF(E46='99_KUNCI_JAWABAN'!F123,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45.678</v>
      </c>
    </row>
    <row r="48">
      <c r="B48" s="19" t="inlineStr">
        <is>
          <t>Toko Servis</t>
        </is>
      </c>
      <c r="C48" s="19" t="n">
        <v>19.99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Pengukuran</t>
        </is>
      </c>
      <c r="C52" s="14" t="inlineStr">
        <is>
          <t>Nilai Desimal</t>
        </is>
      </c>
      <c r="E52" s="27" t="inlineStr">
        <is>
          <t>Persoalan Tes #5: Bulatkan atau potong nilai desimal pada sel C53 (137.189) menggunakan fungsi ODD tanpa argumen tambahan!</t>
        </is>
      </c>
    </row>
    <row r="53">
      <c r="B53" s="19" t="inlineStr">
        <is>
          <t>Kelas 10 IPA</t>
        </is>
      </c>
      <c r="C53" s="19" t="n">
        <v>137.189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89.345</v>
      </c>
      <c r="E54" s="28" t="n"/>
      <c r="F54" s="29">
        <f>IF(ISBLANK(E54), "⏳ Belum Diisi (Ketik Rumus di Sel Kuning E54)", IF(E54='99_KUNCI_JAWABAN'!F124,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45.678</v>
      </c>
    </row>
    <row r="56">
      <c r="B56" s="19" t="inlineStr">
        <is>
          <t>Kelas Unggulan</t>
        </is>
      </c>
      <c r="C56" s="19" t="n">
        <v>19.99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#025 — RUMUS EXCEL: FACT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(FACT)</t>
        </is>
      </c>
    </row>
    <row r="5" ht="21" customHeight="1">
      <c r="B5" s="14" t="inlineStr">
        <is>
          <t>Nama Rumus Excel</t>
        </is>
      </c>
      <c r="C5" s="15">
        <f>FACT(...)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FACT(angka)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faktorial (n! = 1 × 2 × ... × n) untuk analisis kombinasi antrean atau jadwal.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FACT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</v>
      </c>
      <c r="E11" s="20" t="inlineStr">
        <is>
          <t>Contoh Soal:</t>
        </is>
      </c>
      <c r="F11" s="21" t="inlineStr">
        <is>
          <t>Hitung hasil fungsi FACT untuk nilai input pada sel C11 (3)!</t>
        </is>
      </c>
      <c r="G11" s="5" t="n"/>
    </row>
    <row r="12">
      <c r="B12" s="19" t="inlineStr">
        <is>
          <t>Simulasi Unit B</t>
        </is>
      </c>
      <c r="C12" s="19" t="n">
        <v>5</v>
      </c>
      <c r="E12" s="20" t="inlineStr">
        <is>
          <t>Contoh Rumus Benar:</t>
        </is>
      </c>
      <c r="F12" s="22" t="inlineStr">
        <is>
          <t>'=FACT(C11)</t>
        </is>
      </c>
      <c r="G12" s="5" t="n"/>
    </row>
    <row r="13">
      <c r="B13" s="19" t="inlineStr">
        <is>
          <t>Simulasi Unit C</t>
        </is>
      </c>
      <c r="C13" s="19" t="n">
        <v>6</v>
      </c>
      <c r="E13" s="20" t="inlineStr">
        <is>
          <t>Contoh Hasil Benar:</t>
        </is>
      </c>
      <c r="F13" s="23">
        <f>FACT(C11)</f>
        <v/>
      </c>
      <c r="G13" s="5" t="n"/>
    </row>
    <row r="14">
      <c r="B14" s="19" t="inlineStr">
        <is>
          <t>Simulasi Unit D</t>
        </is>
      </c>
      <c r="C14" s="19" t="n">
        <v>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FACT untuk nilai input pada sel C21 (3)!</t>
        </is>
      </c>
    </row>
    <row r="21">
      <c r="B21" s="19" t="inlineStr">
        <is>
          <t>Cabang Jakarta</t>
        </is>
      </c>
      <c r="C21" s="19" t="n">
        <v>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5</v>
      </c>
      <c r="E22" s="28" t="n"/>
      <c r="F22" s="29">
        <f>IF(ISBLANK(E22), "⏳ Belum Diisi (Ketik Rumus di Sel Kuning E22)", IF(E22='99_KUNCI_JAWABAN'!F125,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6</v>
      </c>
    </row>
    <row r="24">
      <c r="B24" s="19" t="inlineStr">
        <is>
          <t>Cabang Medan</t>
        </is>
      </c>
      <c r="C24" s="19" t="n">
        <v>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FACT untuk nilai input pada sel C29 (4)!</t>
        </is>
      </c>
    </row>
    <row r="29">
      <c r="B29" s="19" t="inlineStr">
        <is>
          <t>Budi Santoso</t>
        </is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</v>
      </c>
      <c r="E30" s="28" t="n"/>
      <c r="F30" s="29">
        <f>IF(ISBLANK(E30), "⏳ Belum Diisi (Ketik Rumus di Sel Kuning E30)", IF(E30='99_KUNCI_JAWABAN'!F126,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6</v>
      </c>
    </row>
    <row r="32">
      <c r="B32" s="19" t="inlineStr">
        <is>
          <t>Rina Wijaya</t>
        </is>
      </c>
      <c r="C32" s="19" t="n">
        <v>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FACT untuk nilai input pada sel C37 (5)!</t>
        </is>
      </c>
    </row>
    <row r="37">
      <c r="B37" s="19" t="inlineStr">
        <is>
          <t>Gudang Blok A</t>
        </is>
      </c>
      <c r="C37" s="19" t="n">
        <v>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5</v>
      </c>
      <c r="E38" s="28" t="n"/>
      <c r="F38" s="29">
        <f>IF(ISBLANK(E38), "⏳ Belum Diisi (Ketik Rumus di Sel Kuning E38)", IF(E38='99_KUNCI_JAWABAN'!F127,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6</v>
      </c>
    </row>
    <row r="40">
      <c r="B40" s="19" t="inlineStr">
        <is>
          <t>Gudang Blok D</t>
        </is>
      </c>
      <c r="C40" s="19" t="n">
        <v>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FACT untuk nilai input pada sel C45 (6)!</t>
        </is>
      </c>
    </row>
    <row r="45">
      <c r="B45" s="19" t="inlineStr">
        <is>
          <t>Toko Elektronik</t>
        </is>
      </c>
      <c r="C45" s="19" t="n">
        <v>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5</v>
      </c>
      <c r="E46" s="28" t="n"/>
      <c r="F46" s="29">
        <f>IF(ISBLANK(E46), "⏳ Belum Diisi (Ketik Rumus di Sel Kuning E46)", IF(E46='99_KUNCI_JAWABAN'!F128,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6</v>
      </c>
    </row>
    <row r="48">
      <c r="B48" s="19" t="inlineStr">
        <is>
          <t>Toko Servis</t>
        </is>
      </c>
      <c r="C48" s="19" t="n">
        <v>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FACT untuk nilai input pada sel C53 (7)!</t>
        </is>
      </c>
    </row>
    <row r="53">
      <c r="B53" s="19" t="inlineStr">
        <is>
          <t>Kelas 10 IPA</t>
        </is>
      </c>
      <c r="C53" s="19" t="n">
        <v>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5</v>
      </c>
      <c r="E54" s="28" t="n"/>
      <c r="F54" s="29">
        <f>IF(ISBLANK(E54), "⏳ Belum Diisi (Ketik Rumus di Sel Kuning E54)", IF(E54='99_KUNCI_JAWABAN'!F129,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6</v>
      </c>
    </row>
    <row r="56">
      <c r="B56" s="19" t="inlineStr">
        <is>
          <t>Kelas Unggulan</t>
        </is>
      </c>
      <c r="C56" s="19" t="n">
        <v>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#026 — RUMUS EXCEL: GCD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(GCD)</t>
        </is>
      </c>
    </row>
    <row r="5" ht="21" customHeight="1">
      <c r="B5" s="14" t="inlineStr">
        <is>
          <t>Nama Rumus Excel</t>
        </is>
      </c>
      <c r="C5" s="15">
        <f>GCD(...)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GCD(angka1, angka2)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Faktor Persekutuan Terbesar (FPB) dari dua angka untuk membagi paket bingkisan sama rata.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GCD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GCD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'=GCD(B11,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GCD(B11,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GCD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IF(E22='99_KUNCI_JAWABAN'!F130,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GCD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IF(E30='99_KUNCI_JAWABAN'!F131,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GCD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IF(E38='99_KUNCI_JAWABAN'!F132,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GCD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IF(E46='99_KUNCI_JAWABAN'!F133,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GCD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IF(E54='99_KUNCI_JAWABAN'!F134,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#027 — RUMUS EXCEL: LCM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(LCM)</t>
        </is>
      </c>
    </row>
    <row r="5" ht="21" customHeight="1">
      <c r="B5" s="14" t="inlineStr">
        <is>
          <t>Nama Rumus Excel</t>
        </is>
      </c>
      <c r="C5" s="15">
        <f>LCM(...)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LCM(angka1, angka2)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Kelipatan Persekutuan Terkecil (KPK) untuk menghitung jadwal pertemuan dua siklus perawatan mesin.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LCM DI SINI)</t>
        </is>
      </c>
    </row>
    <row r="10">
      <c r="B10" s="18" t="inlineStr">
        <is>
          <t>Angka Pertama (B)</t>
        </is>
      </c>
      <c r="C10" s="18" t="inlineStr">
        <is>
          <t>Angka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55</v>
      </c>
      <c r="C11" s="19" t="n">
        <v>4</v>
      </c>
      <c r="E11" s="20" t="inlineStr">
        <is>
          <t>Contoh Soal:</t>
        </is>
      </c>
      <c r="F11" s="21" t="inlineStr">
        <is>
          <t>Terapkan fungsi LCM dengan mengambil angka pertama di sel B11 (55) dan angka kedua di sel C11 (4)!</t>
        </is>
      </c>
      <c r="G11" s="5" t="n"/>
    </row>
    <row r="12">
      <c r="B12" s="19" t="n">
        <v>18</v>
      </c>
      <c r="C12" s="19" t="n">
        <v>5</v>
      </c>
      <c r="E12" s="20" t="inlineStr">
        <is>
          <t>Contoh Rumus Benar:</t>
        </is>
      </c>
      <c r="F12" s="22" t="inlineStr">
        <is>
          <t>'=LCM(B11, C11)</t>
        </is>
      </c>
      <c r="G12" s="5" t="n"/>
    </row>
    <row r="13">
      <c r="B13" s="19" t="n">
        <v>32</v>
      </c>
      <c r="C13" s="19" t="n">
        <v>6</v>
      </c>
      <c r="E13" s="20" t="inlineStr">
        <is>
          <t>Contoh Hasil Benar:</t>
        </is>
      </c>
      <c r="F13" s="23">
        <f>LCM(B11, C11)</f>
        <v/>
      </c>
      <c r="G13" s="5" t="n"/>
    </row>
    <row r="14">
      <c r="B14" s="19" t="n">
        <v>40</v>
      </c>
      <c r="C14" s="19" t="n">
        <v>7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Angka Pertama (B)</t>
        </is>
      </c>
      <c r="C20" s="14" t="inlineStr">
        <is>
          <t>Angka Kedua (C)</t>
        </is>
      </c>
      <c r="E20" s="27" t="inlineStr">
        <is>
          <t>Persoalan Tes #1: Terapkan fungsi LCM dengan mengambil angka pertama di sel B21 (25) dan angka kedua di sel C21 (4)!</t>
        </is>
      </c>
    </row>
    <row r="21">
      <c r="B21" s="19" t="n">
        <v>25</v>
      </c>
      <c r="C21" s="19" t="n">
        <v>4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18</v>
      </c>
      <c r="C22" s="19" t="n">
        <v>5</v>
      </c>
      <c r="E22" s="28" t="n"/>
      <c r="F22" s="29">
        <f>IF(ISBLANK(E22), "⏳ Belum Diisi (Ketik Rumus di Sel Kuning E22)", IF(E22='99_KUNCI_JAWABAN'!F135, "✅ BENAR! JAWABAN TES TEPAT!", "❌ Belum Tepat (Cek Sheet Akhir: 99_KUNCI_JAWABAN)"))</f>
        <v/>
      </c>
      <c r="G22" s="5" t="n"/>
    </row>
    <row r="23">
      <c r="B23" s="19" t="n">
        <v>32</v>
      </c>
      <c r="C23" s="19" t="n">
        <v>6</v>
      </c>
    </row>
    <row r="24">
      <c r="B24" s="19" t="n">
        <v>40</v>
      </c>
      <c r="C24" s="19" t="n">
        <v>7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Angka Pertama (B)</t>
        </is>
      </c>
      <c r="C28" s="14" t="inlineStr">
        <is>
          <t>Angka Kedua (C)</t>
        </is>
      </c>
      <c r="E28" s="27" t="inlineStr">
        <is>
          <t>Persoalan Tes #2: Terapkan fungsi LCM dengan mengambil angka pertama di sel B29 (31) dan angka kedua di sel C29 (4)!</t>
        </is>
      </c>
    </row>
    <row r="29">
      <c r="B29" s="19" t="n">
        <v>31</v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18</v>
      </c>
      <c r="C30" s="19" t="n">
        <v>5</v>
      </c>
      <c r="E30" s="28" t="n"/>
      <c r="F30" s="29">
        <f>IF(ISBLANK(E30), "⏳ Belum Diisi (Ketik Rumus di Sel Kuning E30)", IF(E30='99_KUNCI_JAWABAN'!F136, "✅ BENAR! JAWABAN TES TEPAT!", "❌ Belum Tepat (Cek Sheet Akhir: 99_KUNCI_JAWABAN)"))</f>
        <v/>
      </c>
      <c r="G30" s="5" t="n"/>
    </row>
    <row r="31">
      <c r="B31" s="19" t="n">
        <v>32</v>
      </c>
      <c r="C31" s="19" t="n">
        <v>6</v>
      </c>
    </row>
    <row r="32">
      <c r="B32" s="19" t="n">
        <v>40</v>
      </c>
      <c r="C32" s="19" t="n">
        <v>7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Angka Pertama (B)</t>
        </is>
      </c>
      <c r="C36" s="14" t="inlineStr">
        <is>
          <t>Angka Kedua (C)</t>
        </is>
      </c>
      <c r="E36" s="27" t="inlineStr">
        <is>
          <t>Persoalan Tes #3: Terapkan fungsi LCM dengan mengambil angka pertama di sel B37 (37) dan angka kedua di sel C37 (4)!</t>
        </is>
      </c>
    </row>
    <row r="37">
      <c r="B37" s="19" t="n">
        <v>37</v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18</v>
      </c>
      <c r="C38" s="19" t="n">
        <v>5</v>
      </c>
      <c r="E38" s="28" t="n"/>
      <c r="F38" s="29">
        <f>IF(ISBLANK(E38), "⏳ Belum Diisi (Ketik Rumus di Sel Kuning E38)", IF(E38='99_KUNCI_JAWABAN'!F137, "✅ BENAR! JAWABAN TES TEPAT!", "❌ Belum Tepat (Cek Sheet Akhir: 99_KUNCI_JAWABAN)"))</f>
        <v/>
      </c>
      <c r="G38" s="5" t="n"/>
    </row>
    <row r="39">
      <c r="B39" s="19" t="n">
        <v>32</v>
      </c>
      <c r="C39" s="19" t="n">
        <v>6</v>
      </c>
    </row>
    <row r="40">
      <c r="B40" s="19" t="n">
        <v>40</v>
      </c>
      <c r="C40" s="19" t="n">
        <v>7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Angka Pertama (B)</t>
        </is>
      </c>
      <c r="C44" s="14" t="inlineStr">
        <is>
          <t>Angka Kedua (C)</t>
        </is>
      </c>
      <c r="E44" s="27" t="inlineStr">
        <is>
          <t>Persoalan Tes #4: Terapkan fungsi LCM dengan mengambil angka pertama di sel B45 (43) dan angka kedua di sel C45 (4)!</t>
        </is>
      </c>
    </row>
    <row r="45">
      <c r="B45" s="19" t="n">
        <v>43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18</v>
      </c>
      <c r="C46" s="19" t="n">
        <v>5</v>
      </c>
      <c r="E46" s="28" t="n"/>
      <c r="F46" s="29">
        <f>IF(ISBLANK(E46), "⏳ Belum Diisi (Ketik Rumus di Sel Kuning E46)", IF(E46='99_KUNCI_JAWABAN'!F138, "✅ BENAR! JAWABAN TES TEPAT!", "❌ Belum Tepat (Cek Sheet Akhir: 99_KUNCI_JAWABAN)"))</f>
        <v/>
      </c>
      <c r="G46" s="5" t="n"/>
    </row>
    <row r="47">
      <c r="B47" s="19" t="n">
        <v>32</v>
      </c>
      <c r="C47" s="19" t="n">
        <v>6</v>
      </c>
    </row>
    <row r="48">
      <c r="B48" s="19" t="n">
        <v>40</v>
      </c>
      <c r="C48" s="19" t="n">
        <v>7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Angka Pertama (B)</t>
        </is>
      </c>
      <c r="C52" s="14" t="inlineStr">
        <is>
          <t>Angka Kedua (C)</t>
        </is>
      </c>
      <c r="E52" s="27" t="inlineStr">
        <is>
          <t>Persoalan Tes #5: Terapkan fungsi LCM dengan mengambil angka pertama di sel B53 (49) dan angka kedua di sel C53 (4)!</t>
        </is>
      </c>
    </row>
    <row r="53">
      <c r="B53" s="19" t="n">
        <v>49</v>
      </c>
      <c r="C53" s="19" t="n">
        <v>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18</v>
      </c>
      <c r="C54" s="19" t="n">
        <v>5</v>
      </c>
      <c r="E54" s="28" t="n"/>
      <c r="F54" s="29">
        <f>IF(ISBLANK(E54), "⏳ Belum Diisi (Ketik Rumus di Sel Kuning E54)", IF(E54='99_KUNCI_JAWABAN'!F139, "✅ BENAR! JAWABAN TES TEPAT!", "❌ Belum Tepat (Cek Sheet Akhir: 99_KUNCI_JAWABAN)"))</f>
        <v/>
      </c>
      <c r="G54" s="5" t="n"/>
    </row>
    <row r="55">
      <c r="B55" s="19" t="n">
        <v>32</v>
      </c>
      <c r="C55" s="19" t="n">
        <v>6</v>
      </c>
    </row>
    <row r="56">
      <c r="B56" s="19" t="n">
        <v>40</v>
      </c>
      <c r="C56" s="19" t="n">
        <v>7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#028 — RUMUS EXCEL: ROMAN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(ROMAN)</t>
        </is>
      </c>
    </row>
    <row r="5" ht="21" customHeight="1">
      <c r="B5" s="14" t="inlineStr">
        <is>
          <t>Nama Rumus Excel</t>
        </is>
      </c>
      <c r="C5" s="15">
        <f>ROMAN(...)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ROMAN(angka)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biasa (1, 2, 3...) menjadi angka Romawi (I, II, III, IV...) untuk penomoran bab laporan atau surat resmi.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ROMAN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37</v>
      </c>
      <c r="E11" s="20" t="inlineStr">
        <is>
          <t>Contoh Soal:</t>
        </is>
      </c>
      <c r="F11" s="21" t="inlineStr">
        <is>
          <t>Hitung hasil fungsi ROMAN untuk nilai input pada sel C11 (37)!</t>
        </is>
      </c>
      <c r="G11" s="5" t="n"/>
    </row>
    <row r="12">
      <c r="B12" s="19" t="inlineStr">
        <is>
          <t>Simulasi Unit B</t>
        </is>
      </c>
      <c r="C12" s="19" t="n">
        <v>25</v>
      </c>
      <c r="E12" s="20" t="inlineStr">
        <is>
          <t>Contoh Rumus Benar:</t>
        </is>
      </c>
      <c r="F12" s="22" t="inlineStr">
        <is>
          <t>'=ROMAN(C11)</t>
        </is>
      </c>
      <c r="G12" s="5" t="n"/>
    </row>
    <row r="13">
      <c r="B13" s="19" t="inlineStr">
        <is>
          <t>Simulasi Unit C</t>
        </is>
      </c>
      <c r="C13" s="19" t="n">
        <v>49</v>
      </c>
      <c r="E13" s="20" t="inlineStr">
        <is>
          <t>Contoh Hasil Benar:</t>
        </is>
      </c>
      <c r="F13" s="23">
        <f>ROMAN(C11)</f>
        <v/>
      </c>
      <c r="G13" s="5" t="n"/>
    </row>
    <row r="14">
      <c r="B14" s="19" t="inlineStr">
        <is>
          <t>Simulasi Unit D</t>
        </is>
      </c>
      <c r="C14" s="19" t="n">
        <v>100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ROMAN untuk nilai input pada sel C21 (12)!</t>
        </is>
      </c>
    </row>
    <row r="21">
      <c r="B21" s="19" t="inlineStr">
        <is>
          <t>Cabang Jakarta</t>
        </is>
      </c>
      <c r="C21" s="19" t="n">
        <v>12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25</v>
      </c>
      <c r="E22" s="28" t="n"/>
      <c r="F22" s="29">
        <f>IF(ISBLANK(E22), "⏳ Belum Diisi (Ketik Rumus di Sel Kuning E22)", IF(E22='99_KUNCI_JAWABAN'!F140,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49</v>
      </c>
    </row>
    <row r="24">
      <c r="B24" s="19" t="inlineStr">
        <is>
          <t>Cabang Medan</t>
        </is>
      </c>
      <c r="C24" s="19" t="n">
        <v>100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ROMAN untuk nilai input pada sel C29 (17)!</t>
        </is>
      </c>
    </row>
    <row r="29">
      <c r="B29" s="19" t="inlineStr">
        <is>
          <t>Budi Santoso</t>
        </is>
      </c>
      <c r="C29" s="19" t="n">
        <v>17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25</v>
      </c>
      <c r="E30" s="28" t="n"/>
      <c r="F30" s="29">
        <f>IF(ISBLANK(E30), "⏳ Belum Diisi (Ketik Rumus di Sel Kuning E30)", IF(E30='99_KUNCI_JAWABAN'!F141,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49</v>
      </c>
    </row>
    <row r="32">
      <c r="B32" s="19" t="inlineStr">
        <is>
          <t>Rina Wijaya</t>
        </is>
      </c>
      <c r="C32" s="19" t="n">
        <v>100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ROMAN untuk nilai input pada sel C37 (22)!</t>
        </is>
      </c>
    </row>
    <row r="37">
      <c r="B37" s="19" t="inlineStr">
        <is>
          <t>Gudang Blok A</t>
        </is>
      </c>
      <c r="C37" s="19" t="n">
        <v>22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25</v>
      </c>
      <c r="E38" s="28" t="n"/>
      <c r="F38" s="29">
        <f>IF(ISBLANK(E38), "⏳ Belum Diisi (Ketik Rumus di Sel Kuning E38)", IF(E38='99_KUNCI_JAWABAN'!F142,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49</v>
      </c>
    </row>
    <row r="40">
      <c r="B40" s="19" t="inlineStr">
        <is>
          <t>Gudang Blok D</t>
        </is>
      </c>
      <c r="C40" s="19" t="n">
        <v>100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ROMAN untuk nilai input pada sel C45 (27)!</t>
        </is>
      </c>
    </row>
    <row r="45">
      <c r="B45" s="19" t="inlineStr">
        <is>
          <t>Toko Elektronik</t>
        </is>
      </c>
      <c r="C45" s="19" t="n">
        <v>27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25</v>
      </c>
      <c r="E46" s="28" t="n"/>
      <c r="F46" s="29">
        <f>IF(ISBLANK(E46), "⏳ Belum Diisi (Ketik Rumus di Sel Kuning E46)", IF(E46='99_KUNCI_JAWABAN'!F143,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49</v>
      </c>
    </row>
    <row r="48">
      <c r="B48" s="19" t="inlineStr">
        <is>
          <t>Toko Servis</t>
        </is>
      </c>
      <c r="C48" s="19" t="n">
        <v>100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ROMAN untuk nilai input pada sel C53 (32)!</t>
        </is>
      </c>
    </row>
    <row r="53">
      <c r="B53" s="19" t="inlineStr">
        <is>
          <t>Kelas 10 IPA</t>
        </is>
      </c>
      <c r="C53" s="19" t="n">
        <v>32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25</v>
      </c>
      <c r="E54" s="28" t="n"/>
      <c r="F54" s="29">
        <f>IF(ISBLANK(E54), "⏳ Belum Diisi (Ketik Rumus di Sel Kuning E54)", IF(E54='99_KUNCI_JAWABAN'!F144,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49</v>
      </c>
    </row>
    <row r="56">
      <c r="B56" s="19" t="inlineStr">
        <is>
          <t>Kelas Unggulan</t>
        </is>
      </c>
      <c r="C56" s="19" t="n">
        <v>100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#029 — RUMUS EXCEL: ARABIC   |   Kategori: 1. Matematika &amp; Akuntansi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(ARABIC)</t>
        </is>
      </c>
    </row>
    <row r="5" ht="21" customHeight="1">
      <c r="B5" s="14" t="inlineStr">
        <is>
          <t>Nama Rumus Excel</t>
        </is>
      </c>
      <c r="C5" s="15">
        <f>ARABIC(...)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ARABIC(teks_romawi)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Kebalikan dari ROMAN: mengubah teks angka Romawi (seperti XIV atau XXV) kembali menjadi angka biasa (14 atau 25).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ARABIC DI SINI)</t>
        </is>
      </c>
    </row>
    <row r="10">
      <c r="B10" s="18" t="inlineStr">
        <is>
          <t>Dokumen Bab</t>
        </is>
      </c>
      <c r="C10" s="18" t="inlineStr">
        <is>
          <t>Kode Romawi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CXX</t>
        </is>
      </c>
      <c r="E11" s="20" t="inlineStr">
        <is>
          <t>Contoh Soal:</t>
        </is>
      </c>
      <c r="F11" s="21" t="inlineStr">
        <is>
          <t>Ubah kode angka Romawi pada sel C11 ("CXX") menjadi bilangan angka Arab biasa menggunakan fungsi ARABIC!</t>
        </is>
      </c>
      <c r="G11" s="5" t="n"/>
    </row>
    <row r="12">
      <c r="B12" s="19" t="inlineStr">
        <is>
          <t>Simulasi Unit B</t>
        </is>
      </c>
      <c r="C12" s="19" t="inlineStr">
        <is>
          <t>X</t>
        </is>
      </c>
      <c r="E12" s="20" t="inlineStr">
        <is>
          <t>Contoh Rumus Benar:</t>
        </is>
      </c>
      <c r="F12" s="22" t="inlineStr">
        <is>
          <t>'=ARABIC(C11)</t>
        </is>
      </c>
      <c r="G12" s="5" t="n"/>
    </row>
    <row r="13">
      <c r="B13" s="19" t="inlineStr">
        <is>
          <t>Simulasi Unit C</t>
        </is>
      </c>
      <c r="C13" s="19" t="inlineStr">
        <is>
          <t>V</t>
        </is>
      </c>
      <c r="E13" s="20" t="inlineStr">
        <is>
          <t>Contoh Hasil Benar:</t>
        </is>
      </c>
      <c r="F13" s="23">
        <f>ARABIC(C11)</f>
        <v/>
      </c>
      <c r="G13" s="5" t="n"/>
    </row>
    <row r="14">
      <c r="B14" s="19" t="inlineStr">
        <is>
          <t>Simulasi Unit D</t>
        </is>
      </c>
      <c r="C14" s="19" t="inlineStr">
        <is>
          <t>C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Dokumen Bab</t>
        </is>
      </c>
      <c r="C20" s="14" t="inlineStr">
        <is>
          <t>Kode Romawi</t>
        </is>
      </c>
      <c r="E20" s="27" t="inlineStr">
        <is>
          <t>Persoalan Tes #1: Ubah kode angka Romawi pada sel C21 ("XIV") menjadi bilangan angka Arab biasa menggunakan fungsi ARABIC!</t>
        </is>
      </c>
    </row>
    <row r="21">
      <c r="B21" s="19" t="inlineStr">
        <is>
          <t>Cabang Jakarta</t>
        </is>
      </c>
      <c r="C21" s="19" t="inlineStr">
        <is>
          <t>XIV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X</t>
        </is>
      </c>
      <c r="E22" s="28" t="n"/>
      <c r="F22" s="29">
        <f>IF(ISBLANK(E22), "⏳ Belum Diisi (Ketik Rumus di Sel Kuning E22)", IF(E22='99_KUNCI_JAWABAN'!F145,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V</t>
        </is>
      </c>
    </row>
    <row r="24">
      <c r="B24" s="19" t="inlineStr">
        <is>
          <t>Cabang Medan</t>
        </is>
      </c>
      <c r="C24" s="19" t="inlineStr">
        <is>
          <t>C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Dokumen Bab</t>
        </is>
      </c>
      <c r="C28" s="14" t="inlineStr">
        <is>
          <t>Kode Romawi</t>
        </is>
      </c>
      <c r="E28" s="27" t="inlineStr">
        <is>
          <t>Persoalan Tes #2: Ubah kode angka Romawi pada sel C29 ("XXV") menjadi bilangan angka Arab biasa menggunakan fungsi ARABIC!</t>
        </is>
      </c>
    </row>
    <row r="29">
      <c r="B29" s="19" t="inlineStr">
        <is>
          <t>Budi Santoso</t>
        </is>
      </c>
      <c r="C29" s="19" t="inlineStr">
        <is>
          <t>XXV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X</t>
        </is>
      </c>
      <c r="E30" s="28" t="n"/>
      <c r="F30" s="29">
        <f>IF(ISBLANK(E30), "⏳ Belum Diisi (Ketik Rumus di Sel Kuning E30)", IF(E30='99_KUNCI_JAWABAN'!F146,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V</t>
        </is>
      </c>
    </row>
    <row r="32">
      <c r="B32" s="19" t="inlineStr">
        <is>
          <t>Rina Wijaya</t>
        </is>
      </c>
      <c r="C32" s="19" t="inlineStr">
        <is>
          <t>C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Dokumen Bab</t>
        </is>
      </c>
      <c r="C36" s="14" t="inlineStr">
        <is>
          <t>Kode Romawi</t>
        </is>
      </c>
      <c r="E36" s="27" t="inlineStr">
        <is>
          <t>Persoalan Tes #3: Ubah kode angka Romawi pada sel C37 ("XL") menjadi bilangan angka Arab biasa menggunakan fungsi ARABIC!</t>
        </is>
      </c>
    </row>
    <row r="37">
      <c r="B37" s="19" t="inlineStr">
        <is>
          <t>Gudang Blok A</t>
        </is>
      </c>
      <c r="C37" s="19" t="inlineStr">
        <is>
          <t>XL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X</t>
        </is>
      </c>
      <c r="E38" s="28" t="n"/>
      <c r="F38" s="29">
        <f>IF(ISBLANK(E38), "⏳ Belum Diisi (Ketik Rumus di Sel Kuning E38)", IF(E38='99_KUNCI_JAWABAN'!F147,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V</t>
        </is>
      </c>
    </row>
    <row r="40">
      <c r="B40" s="19" t="inlineStr">
        <is>
          <t>Gudang Blok D</t>
        </is>
      </c>
      <c r="C40" s="19" t="inlineStr">
        <is>
          <t>C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Dokumen Bab</t>
        </is>
      </c>
      <c r="C44" s="14" t="inlineStr">
        <is>
          <t>Kode Romawi</t>
        </is>
      </c>
      <c r="E44" s="27" t="inlineStr">
        <is>
          <t>Persoalan Tes #4: Ubah kode angka Romawi pada sel C45 ("LX") menjadi bilangan angka Arab biasa menggunakan fungsi ARABIC!</t>
        </is>
      </c>
    </row>
    <row r="45">
      <c r="B45" s="19" t="inlineStr">
        <is>
          <t>Toko Elektronik</t>
        </is>
      </c>
      <c r="C45" s="19" t="inlineStr">
        <is>
          <t>LX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X</t>
        </is>
      </c>
      <c r="E46" s="28" t="n"/>
      <c r="F46" s="29">
        <f>IF(ISBLANK(E46), "⏳ Belum Diisi (Ketik Rumus di Sel Kuning E46)", IF(E46='99_KUNCI_JAWABAN'!F148,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V</t>
        </is>
      </c>
    </row>
    <row r="48">
      <c r="B48" s="19" t="inlineStr">
        <is>
          <t>Toko Servis</t>
        </is>
      </c>
      <c r="C48" s="19" t="inlineStr">
        <is>
          <t>C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Dokumen Bab</t>
        </is>
      </c>
      <c r="C52" s="14" t="inlineStr">
        <is>
          <t>Kode Romawi</t>
        </is>
      </c>
      <c r="E52" s="27" t="inlineStr">
        <is>
          <t>Persoalan Tes #5: Ubah kode angka Romawi pada sel C53 ("XC") menjadi bilangan angka Arab biasa menggunakan fungsi ARABIC!</t>
        </is>
      </c>
    </row>
    <row r="53">
      <c r="B53" s="19" t="inlineStr">
        <is>
          <t>Kelas 10 IPA</t>
        </is>
      </c>
      <c r="C53" s="19" t="inlineStr">
        <is>
          <t>XC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X</t>
        </is>
      </c>
      <c r="E54" s="28" t="n"/>
      <c r="F54" s="29">
        <f>IF(ISBLANK(E54), "⏳ Belum Diisi (Ketik Rumus di Sel Kuning E54)", IF(E54='99_KUNCI_JAWABAN'!F149,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V</t>
        </is>
      </c>
    </row>
    <row r="56">
      <c r="B56" s="19" t="inlineStr">
        <is>
          <t>Kelas Unggulan</t>
        </is>
      </c>
      <c r="C56" s="19" t="inlineStr">
        <is>
          <t>C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#030 — RUMUS EXCEL: IF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(IF)</t>
        </is>
      </c>
    </row>
    <row r="5" ht="21" customHeight="1">
      <c r="B5" s="14" t="inlineStr">
        <is>
          <t>Nama Rumus Excel</t>
        </is>
      </c>
      <c r="C5" s="15">
        <f>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IF(syarat_logika, nilai_jika_benar, nilai_jika_salah)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Polisi lalu lintas di Excel! Mengecek apakah suatu syarat terpenuhi: kalau YA jalankan perintah pertama, kalau TIDAK jalankan perintah kedua.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 DI SINI)</t>
        </is>
      </c>
    </row>
    <row r="10">
      <c r="B10" s="18" t="inlineStr">
        <is>
          <t>Nama Peserta</t>
        </is>
      </c>
      <c r="C10" s="18" t="inlineStr">
        <is>
          <t>Nilai Ujian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65</v>
      </c>
      <c r="E11" s="20" t="inlineStr">
        <is>
          <t>Contoh Soal:</t>
        </is>
      </c>
      <c r="F11" s="21" t="inlineStr">
        <is>
          <t>Uji nilai pada sel C11 menggunakan fungsi IF: apabila nilainya minimal 75 (&gt;=75) tampilkan "LULUS", selain itu tampilkan "REMEDIAL"!</t>
        </is>
      </c>
      <c r="G11" s="5" t="n"/>
    </row>
    <row r="12">
      <c r="B12" s="19" t="inlineStr">
        <is>
          <t>Simulasi Unit B</t>
        </is>
      </c>
      <c r="C12" s="19" t="n">
        <v>60</v>
      </c>
      <c r="E12" s="20" t="inlineStr">
        <is>
          <t>Contoh Rumus Benar:</t>
        </is>
      </c>
      <c r="F12" s="22" t="inlineStr">
        <is>
          <t>'=IF(C11&gt;=75, "LULUS", "REMEDIAL")</t>
        </is>
      </c>
      <c r="G12" s="5" t="n"/>
    </row>
    <row r="13">
      <c r="B13" s="19" t="inlineStr">
        <is>
          <t>Simulasi Unit C</t>
        </is>
      </c>
      <c r="C13" s="19" t="n">
        <v>90</v>
      </c>
      <c r="E13" s="20" t="inlineStr">
        <is>
          <t>Contoh Hasil Benar:</t>
        </is>
      </c>
      <c r="F13" s="23">
        <f>IF(C11&gt;=75, "LULUS", "REMEDIAL")</f>
        <v/>
      </c>
      <c r="G13" s="5" t="n"/>
    </row>
    <row r="14">
      <c r="B14" s="19" t="inlineStr">
        <is>
          <t>Simulasi Unit D</t>
        </is>
      </c>
      <c r="C14" s="19" t="n">
        <v>72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Peserta</t>
        </is>
      </c>
      <c r="C20" s="14" t="inlineStr">
        <is>
          <t>Nilai Ujian</t>
        </is>
      </c>
      <c r="E20" s="27" t="inlineStr">
        <is>
          <t>Persoalan Tes #1: Uji nilai pada sel C21 menggunakan fungsi IF: apabila nilainya minimal 75 (&gt;=75) tampilkan "LULUS", selain itu tampilkan "REMEDIAL"!</t>
        </is>
      </c>
    </row>
    <row r="21">
      <c r="B21" s="19" t="inlineStr">
        <is>
          <t>Cabang Jakarta</t>
        </is>
      </c>
      <c r="C21" s="19" t="n">
        <v>85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60</v>
      </c>
      <c r="E22" s="28" t="n"/>
      <c r="F22" s="29">
        <f>IF(ISBLANK(E22), "⏳ Belum Diisi (Ketik Rumus di Sel Kuning E22)", IF(E22='99_KUNCI_JAWABAN'!F150,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90</v>
      </c>
    </row>
    <row r="24">
      <c r="B24" s="19" t="inlineStr">
        <is>
          <t>Cabang Medan</t>
        </is>
      </c>
      <c r="C24" s="19" t="n">
        <v>72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Peserta</t>
        </is>
      </c>
      <c r="C28" s="14" t="inlineStr">
        <is>
          <t>Nilai Ujian</t>
        </is>
      </c>
      <c r="E28" s="27" t="inlineStr">
        <is>
          <t>Persoalan Tes #2: Uji nilai pada sel C29 menggunakan fungsi IF: apabila nilainya minimal 75 (&gt;=75) tampilkan "LULUS", selain itu tampilkan "REMEDIAL"!</t>
        </is>
      </c>
    </row>
    <row r="29">
      <c r="B29" s="19" t="inlineStr">
        <is>
          <t>Budi Santoso</t>
        </is>
      </c>
      <c r="C29" s="19" t="n">
        <v>81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60</v>
      </c>
      <c r="E30" s="28" t="n"/>
      <c r="F30" s="29">
        <f>IF(ISBLANK(E30), "⏳ Belum Diisi (Ketik Rumus di Sel Kuning E30)", IF(E30='99_KUNCI_JAWABAN'!F151,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90</v>
      </c>
    </row>
    <row r="32">
      <c r="B32" s="19" t="inlineStr">
        <is>
          <t>Rina Wijaya</t>
        </is>
      </c>
      <c r="C32" s="19" t="n">
        <v>72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Peserta</t>
        </is>
      </c>
      <c r="C36" s="14" t="inlineStr">
        <is>
          <t>Nilai Ujian</t>
        </is>
      </c>
      <c r="E36" s="27" t="inlineStr">
        <is>
          <t>Persoalan Tes #3: Uji nilai pada sel C37 menggunakan fungsi IF: apabila nilainya minimal 75 (&gt;=75) tampilkan "LULUS", selain itu tampilkan "REMEDIAL"!</t>
        </is>
      </c>
    </row>
    <row r="37">
      <c r="B37" s="19" t="inlineStr">
        <is>
          <t>Gudang Blok A</t>
        </is>
      </c>
      <c r="C37" s="19" t="n">
        <v>77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</v>
      </c>
      <c r="E38" s="28" t="n"/>
      <c r="F38" s="29">
        <f>IF(ISBLANK(E38), "⏳ Belum Diisi (Ketik Rumus di Sel Kuning E38)", IF(E38='99_KUNCI_JAWABAN'!F152,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90</v>
      </c>
    </row>
    <row r="40">
      <c r="B40" s="19" t="inlineStr">
        <is>
          <t>Gudang Blok D</t>
        </is>
      </c>
      <c r="C40" s="19" t="n">
        <v>72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Peserta</t>
        </is>
      </c>
      <c r="C44" s="14" t="inlineStr">
        <is>
          <t>Nilai Ujian</t>
        </is>
      </c>
      <c r="E44" s="27" t="inlineStr">
        <is>
          <t>Persoalan Tes #4: Uji nilai pada sel C45 menggunakan fungsi IF: apabila nilainya minimal 75 (&gt;=75) tampilkan "LULUS", selain itu tampilkan "REMEDIAL"!</t>
        </is>
      </c>
    </row>
    <row r="45">
      <c r="B45" s="19" t="inlineStr">
        <is>
          <t>Toko Elektronik</t>
        </is>
      </c>
      <c r="C45" s="19" t="n">
        <v>73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60</v>
      </c>
      <c r="E46" s="28" t="n"/>
      <c r="F46" s="29">
        <f>IF(ISBLANK(E46), "⏳ Belum Diisi (Ketik Rumus di Sel Kuning E46)", IF(E46='99_KUNCI_JAWABAN'!F153,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90</v>
      </c>
    </row>
    <row r="48">
      <c r="B48" s="19" t="inlineStr">
        <is>
          <t>Toko Servis</t>
        </is>
      </c>
      <c r="C48" s="19" t="n">
        <v>72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Peserta</t>
        </is>
      </c>
      <c r="C52" s="14" t="inlineStr">
        <is>
          <t>Nilai Ujian</t>
        </is>
      </c>
      <c r="E52" s="27" t="inlineStr">
        <is>
          <t>Persoalan Tes #5: Uji nilai pada sel C53 menggunakan fungsi IF: apabila nilainya minimal 75 (&gt;=75) tampilkan "LULUS", selain itu tampilkan "REMEDIAL"!</t>
        </is>
      </c>
    </row>
    <row r="53">
      <c r="B53" s="19" t="inlineStr">
        <is>
          <t>Kelas 10 IPA</t>
        </is>
      </c>
      <c r="C53" s="19" t="n">
        <v>69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60</v>
      </c>
      <c r="E54" s="28" t="n"/>
      <c r="F54" s="29">
        <f>IF(ISBLANK(E54), "⏳ Belum Diisi (Ketik Rumus di Sel Kuning E54)", IF(E54='99_KUNCI_JAWABAN'!F154,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90</v>
      </c>
    </row>
    <row r="56">
      <c r="B56" s="19" t="inlineStr">
        <is>
          <t>Kelas Unggulan</t>
        </is>
      </c>
      <c r="C56" s="19" t="n">
        <v>72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#031 — RUMUS EXCEL: IFS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(IFS)</t>
        </is>
      </c>
    </row>
    <row r="5" ht="21" customHeight="1">
      <c r="B5" s="14" t="inlineStr">
        <is>
          <t>Nama Rumus Excel</t>
        </is>
      </c>
      <c r="C5" s="15">
        <f>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IFS(syarat1, hasil1, syarat2, hasil2,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Menguji banyak syarat bertingkat (seperti nilai A, B, C) secara berurutan tanpa perlu menumpuk banyak kurung IF bersarang!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IFS DI SINI)</t>
        </is>
      </c>
    </row>
    <row r="10">
      <c r="B10" s="18" t="inlineStr">
        <is>
          <t>Nama Peserta</t>
        </is>
      </c>
      <c r="C10" s="18" t="inlineStr">
        <is>
          <t>Skor Kinerja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</v>
      </c>
      <c r="E11" s="20" t="inlineStr">
        <is>
          <t>Contoh Soal:</t>
        </is>
      </c>
      <c r="F11" s="21" t="inlineStr">
        <is>
          <t>Tentukan predikat nilai sel C11 menggunakan fungsi IFS: jika minimal 85 hasilnya "A", jika minimal 70 hasilnya "B", dan kondisi terakhir TRUE hasilnya "C"!</t>
        </is>
      </c>
      <c r="G11" s="5" t="n"/>
    </row>
    <row r="12">
      <c r="B12" s="19" t="inlineStr">
        <is>
          <t>Simulasi Unit B</t>
        </is>
      </c>
      <c r="C12" s="19" t="n">
        <v>84</v>
      </c>
      <c r="E12" s="20" t="inlineStr">
        <is>
          <t>Contoh Rumus Benar:</t>
        </is>
      </c>
      <c r="F12" s="22" t="inlineStr">
        <is>
          <t>'=IFS(C11&gt;=85, "A", C11&gt;=70, "B", TRUE, "C")</t>
        </is>
      </c>
      <c r="G12" s="5" t="n"/>
    </row>
    <row r="13">
      <c r="B13" s="19" t="inlineStr">
        <is>
          <t>Simulasi Unit C</t>
        </is>
      </c>
      <c r="C13" s="19" t="n">
        <v>76</v>
      </c>
      <c r="E13" s="20" t="inlineStr">
        <is>
          <t>Contoh Hasil Benar:</t>
        </is>
      </c>
      <c r="F13" s="23">
        <f>IFS(C11&gt;=85, "A", C11&gt;=70, "B", TRUE, "C")</f>
        <v/>
      </c>
      <c r="G13" s="5" t="n"/>
    </row>
    <row r="14">
      <c r="B14" s="19" t="inlineStr">
        <is>
          <t>Simulasi Unit D</t>
        </is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Peserta</t>
        </is>
      </c>
      <c r="C20" s="14" t="inlineStr">
        <is>
          <t>Skor Kinerja</t>
        </is>
      </c>
      <c r="E20" s="27" t="inlineStr">
        <is>
          <t>Persoalan Tes #1: Tentukan predikat nilai sel C21 menggunakan fungsi IFS: jika minimal 85 hasilnya "A", jika minimal 70 hasilnya "B", dan kondisi terakhir TRUE hasilnya "C"!</t>
        </is>
      </c>
    </row>
    <row r="21">
      <c r="B21" s="19" t="inlineStr">
        <is>
          <t>Cabang Jakarta</t>
        </is>
      </c>
      <c r="C21" s="19" t="n">
        <v>92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84</v>
      </c>
      <c r="E22" s="28" t="n"/>
      <c r="F22" s="29">
        <f>IF(ISBLANK(E22), "⏳ Belum Diisi (Ketik Rumus di Sel Kuning E22)", IF(E22='99_KUNCI_JAWABAN'!F155,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76</v>
      </c>
    </row>
    <row r="24">
      <c r="B24" s="19" t="inlineStr">
        <is>
          <t>Cabang Medan</t>
        </is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Peserta</t>
        </is>
      </c>
      <c r="C28" s="14" t="inlineStr">
        <is>
          <t>Skor Kinerja</t>
        </is>
      </c>
      <c r="E28" s="27" t="inlineStr">
        <is>
          <t>Persoalan Tes #2: Tentukan predikat nilai sel C29 menggunakan fungsi IFS: jika minimal 85 hasilnya "A", jika minimal 70 hasilnya "B", dan kondisi terakhir TRUE hasilnya "C"!</t>
        </is>
      </c>
    </row>
    <row r="29">
      <c r="B29" s="19" t="inlineStr">
        <is>
          <t>Budi Santoso</t>
        </is>
      </c>
      <c r="C29" s="19" t="n">
        <v>88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84</v>
      </c>
      <c r="E30" s="28" t="n"/>
      <c r="F30" s="29">
        <f>IF(ISBLANK(E30), "⏳ Belum Diisi (Ketik Rumus di Sel Kuning E30)", IF(E30='99_KUNCI_JAWABAN'!F156,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76</v>
      </c>
    </row>
    <row r="32">
      <c r="B32" s="19" t="inlineStr">
        <is>
          <t>Rina Wijaya</t>
        </is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Peserta</t>
        </is>
      </c>
      <c r="C36" s="14" t="inlineStr">
        <is>
          <t>Skor Kinerja</t>
        </is>
      </c>
      <c r="E36" s="27" t="inlineStr">
        <is>
          <t>Persoalan Tes #3: Tentukan predikat nilai sel C37 menggunakan fungsi IFS: jika minimal 85 hasilnya "A", jika minimal 70 hasilnya "B", dan kondisi terakhir TRUE hasilnya "C"!</t>
        </is>
      </c>
    </row>
    <row r="37">
      <c r="B37" s="19" t="inlineStr">
        <is>
          <t>Gudang Blok A</t>
        </is>
      </c>
      <c r="C37" s="19" t="n">
        <v>84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84</v>
      </c>
      <c r="E38" s="28" t="n"/>
      <c r="F38" s="29">
        <f>IF(ISBLANK(E38), "⏳ Belum Diisi (Ketik Rumus di Sel Kuning E38)", IF(E38='99_KUNCI_JAWABAN'!F157,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76</v>
      </c>
    </row>
    <row r="40">
      <c r="B40" s="19" t="inlineStr">
        <is>
          <t>Gudang Blok D</t>
        </is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Peserta</t>
        </is>
      </c>
      <c r="C44" s="14" t="inlineStr">
        <is>
          <t>Skor Kinerja</t>
        </is>
      </c>
      <c r="E44" s="27" t="inlineStr">
        <is>
          <t>Persoalan Tes #4: Tentukan predikat nilai sel C45 menggunakan fungsi IFS: jika minimal 85 hasilnya "A", jika minimal 70 hasilnya "B", dan kondisi terakhir TRUE hasilnya "C"!</t>
        </is>
      </c>
    </row>
    <row r="45">
      <c r="B45" s="19" t="inlineStr">
        <is>
          <t>Toko Elektronik</t>
        </is>
      </c>
      <c r="C45" s="19" t="n">
        <v>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84</v>
      </c>
      <c r="E46" s="28" t="n"/>
      <c r="F46" s="29">
        <f>IF(ISBLANK(E46), "⏳ Belum Diisi (Ketik Rumus di Sel Kuning E46)", IF(E46='99_KUNCI_JAWABAN'!F158,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76</v>
      </c>
    </row>
    <row r="48">
      <c r="B48" s="19" t="inlineStr">
        <is>
          <t>Toko Servis</t>
        </is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Peserta</t>
        </is>
      </c>
      <c r="C52" s="14" t="inlineStr">
        <is>
          <t>Skor Kinerja</t>
        </is>
      </c>
      <c r="E52" s="27" t="inlineStr">
        <is>
          <t>Persoalan Tes #5: Tentukan predikat nilai sel C53 menggunakan fungsi IFS: jika minimal 85 hasilnya "A", jika minimal 70 hasilnya "B", dan kondisi terakhir TRUE hasilnya "C"!</t>
        </is>
      </c>
    </row>
    <row r="53">
      <c r="B53" s="19" t="inlineStr">
        <is>
          <t>Kelas 10 IPA</t>
        </is>
      </c>
      <c r="C53" s="19" t="n">
        <v>76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84</v>
      </c>
      <c r="E54" s="28" t="n"/>
      <c r="F54" s="29">
        <f>IF(ISBLANK(E54), "⏳ Belum Diisi (Ketik Rumus di Sel Kuning E54)", IF(E54='99_KUNCI_JAWABAN'!F159,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76</v>
      </c>
    </row>
    <row r="56">
      <c r="B56" s="19" t="inlineStr">
        <is>
          <t>Kelas Unggulan</t>
        </is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#032 — RUMUS EXCEL: AND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(AND)</t>
        </is>
      </c>
    </row>
    <row r="5" ht="21" customHeight="1">
      <c r="B5" s="14" t="inlineStr">
        <is>
          <t>Nama Rumus Excel</t>
        </is>
      </c>
      <c r="C5" s="15">
        <f>AND(...)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AND(syarat1, syarat2,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TRUE (Benar) HANYA JIKA SEMUA syarat terpenuhi sekaligus. Kalau ada satu saja yang gagal, hasilnya FALSE!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AND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AND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'=AND(B11&gt;=75,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AND(B11&gt;=75,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AND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IF(E22='99_KUNCI_JAWABAN'!F160,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AND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IF(E30='99_KUNCI_JAWABAN'!F161,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AND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IF(E38='99_KUNCI_JAWABAN'!F162,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AND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IF(E46='99_KUNCI_JAWABAN'!F163,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AND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IF(E54='99_KUNCI_JAWABAN'!F164,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#033 — RUMUS EXCEL: 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(OR)</t>
        </is>
      </c>
    </row>
    <row r="5" ht="21" customHeight="1">
      <c r="B5" s="14" t="inlineStr">
        <is>
          <t>Nama Rumus Excel</t>
        </is>
      </c>
      <c r="C5" s="15">
        <f>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OR(syarat1, syarat2,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TRUE (Benar) jika MINIMAL SALAH SATU syarat terpenuhi. Lebih fleksibel daripada AND!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OR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OR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'=OR(B11&gt;=75,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OR(B11&gt;=75,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OR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IF(E22='99_KUNCI_JAWABAN'!F165,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OR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IF(E30='99_KUNCI_JAWABAN'!F166,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OR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IF(E38='99_KUNCI_JAWABAN'!F167,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OR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IF(E46='99_KUNCI_JAWABAN'!F168,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OR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IF(E54='99_KUNCI_JAWABAN'!F169,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#034 — RUMUS EXCEL: NOT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(NOT)</t>
        </is>
      </c>
    </row>
    <row r="5" ht="21" customHeight="1">
      <c r="B5" s="14" t="inlineStr">
        <is>
          <t>Nama Rumus Excel</t>
        </is>
      </c>
      <c r="C5" s="15">
        <f>NOT(...)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NOT(logika)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Membalikkan keadaan logika: yang TRUE dibalik jadi FALSE, yang FALSE dibalik jadi TRUE.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NOT DI SINI)</t>
        </is>
      </c>
    </row>
    <row r="10">
      <c r="B10" s="18" t="inlineStr">
        <is>
          <t>Peserta</t>
        </is>
      </c>
      <c r="C10" s="18" t="inlineStr">
        <is>
          <t>Skor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70</v>
      </c>
      <c r="E11" s="20" t="inlineStr">
        <is>
          <t>Contoh Soal:</t>
        </is>
      </c>
      <c r="F11" s="21" t="inlineStr">
        <is>
          <t>Gunakan fungsi NOT untuk membalikkan pengujian apakah nilai pada sel C11 kurang dari 75!</t>
        </is>
      </c>
      <c r="G11" s="5" t="n"/>
    </row>
    <row r="12">
      <c r="B12" s="19" t="inlineStr">
        <is>
          <t>Simulasi Unit B</t>
        </is>
      </c>
      <c r="C12" s="19" t="n">
        <v>60</v>
      </c>
      <c r="E12" s="20" t="inlineStr">
        <is>
          <t>Contoh Rumus Benar:</t>
        </is>
      </c>
      <c r="F12" s="22" t="inlineStr">
        <is>
          <t>'=NOT(C11&lt;75)</t>
        </is>
      </c>
      <c r="G12" s="5" t="n"/>
    </row>
    <row r="13">
      <c r="B13" s="19" t="inlineStr">
        <is>
          <t>Simulasi Unit C</t>
        </is>
      </c>
      <c r="C13" s="19" t="n">
        <v>90</v>
      </c>
      <c r="E13" s="20" t="inlineStr">
        <is>
          <t>Contoh Hasil Benar:</t>
        </is>
      </c>
      <c r="F13" s="23">
        <f>NOT(C11&lt;75)</f>
        <v/>
      </c>
      <c r="G13" s="5" t="n"/>
    </row>
    <row r="14">
      <c r="B14" s="19" t="inlineStr">
        <is>
          <t>Simulasi Unit D</t>
        </is>
      </c>
      <c r="C14" s="19" t="n">
        <v>70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Peserta</t>
        </is>
      </c>
      <c r="C20" s="14" t="inlineStr">
        <is>
          <t>Skor Uji</t>
        </is>
      </c>
      <c r="E20" s="27" t="inlineStr">
        <is>
          <t>Persoalan Tes #1: Gunakan fungsi NOT untuk membalikkan pengujian apakah nilai pada sel C21 kurang dari 75!</t>
        </is>
      </c>
    </row>
    <row r="21">
      <c r="B21" s="19" t="inlineStr">
        <is>
          <t>Cabang Jakarta</t>
        </is>
      </c>
      <c r="C21" s="19" t="n">
        <v>80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60</v>
      </c>
      <c r="E22" s="28" t="n"/>
      <c r="F22" s="29">
        <f>IF(ISBLANK(E22), "⏳ Belum Diisi (Ketik Rumus di Sel Kuning E22)", IF(E22='99_KUNCI_JAWABAN'!F170,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90</v>
      </c>
    </row>
    <row r="24">
      <c r="B24" s="19" t="inlineStr">
        <is>
          <t>Cabang Medan</t>
        </is>
      </c>
      <c r="C24" s="19" t="n">
        <v>70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Peserta</t>
        </is>
      </c>
      <c r="C28" s="14" t="inlineStr">
        <is>
          <t>Skor Uji</t>
        </is>
      </c>
      <c r="E28" s="27" t="inlineStr">
        <is>
          <t>Persoalan Tes #2: Gunakan fungsi NOT untuk membalikkan pengujian apakah nilai pada sel C29 kurang dari 75!</t>
        </is>
      </c>
    </row>
    <row r="29">
      <c r="B29" s="19" t="inlineStr">
        <is>
          <t>Budi Santoso</t>
        </is>
      </c>
      <c r="C29" s="19" t="n">
        <v>78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60</v>
      </c>
      <c r="E30" s="28" t="n"/>
      <c r="F30" s="29">
        <f>IF(ISBLANK(E30), "⏳ Belum Diisi (Ketik Rumus di Sel Kuning E30)", IF(E30='99_KUNCI_JAWABAN'!F171,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90</v>
      </c>
    </row>
    <row r="32">
      <c r="B32" s="19" t="inlineStr">
        <is>
          <t>Rina Wijaya</t>
        </is>
      </c>
      <c r="C32" s="19" t="n">
        <v>70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Peserta</t>
        </is>
      </c>
      <c r="C36" s="14" t="inlineStr">
        <is>
          <t>Skor Uji</t>
        </is>
      </c>
      <c r="E36" s="27" t="inlineStr">
        <is>
          <t>Persoalan Tes #3: Gunakan fungsi NOT untuk membalikkan pengujian apakah nilai pada sel C37 kurang dari 75!</t>
        </is>
      </c>
    </row>
    <row r="37">
      <c r="B37" s="19" t="inlineStr">
        <is>
          <t>Gudang Blok A</t>
        </is>
      </c>
      <c r="C37" s="19" t="n">
        <v>76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60</v>
      </c>
      <c r="E38" s="28" t="n"/>
      <c r="F38" s="29">
        <f>IF(ISBLANK(E38), "⏳ Belum Diisi (Ketik Rumus di Sel Kuning E38)", IF(E38='99_KUNCI_JAWABAN'!F172,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90</v>
      </c>
    </row>
    <row r="40">
      <c r="B40" s="19" t="inlineStr">
        <is>
          <t>Gudang Blok D</t>
        </is>
      </c>
      <c r="C40" s="19" t="n">
        <v>70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Peserta</t>
        </is>
      </c>
      <c r="C44" s="14" t="inlineStr">
        <is>
          <t>Skor Uji</t>
        </is>
      </c>
      <c r="E44" s="27" t="inlineStr">
        <is>
          <t>Persoalan Tes #4: Gunakan fungsi NOT untuk membalikkan pengujian apakah nilai pada sel C45 kurang dari 75!</t>
        </is>
      </c>
    </row>
    <row r="45">
      <c r="B45" s="19" t="inlineStr">
        <is>
          <t>Toko Elektronik</t>
        </is>
      </c>
      <c r="C45" s="19" t="n">
        <v>74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60</v>
      </c>
      <c r="E46" s="28" t="n"/>
      <c r="F46" s="29">
        <f>IF(ISBLANK(E46), "⏳ Belum Diisi (Ketik Rumus di Sel Kuning E46)", IF(E46='99_KUNCI_JAWABAN'!F173,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90</v>
      </c>
    </row>
    <row r="48">
      <c r="B48" s="19" t="inlineStr">
        <is>
          <t>Toko Servis</t>
        </is>
      </c>
      <c r="C48" s="19" t="n">
        <v>70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Peserta</t>
        </is>
      </c>
      <c r="C52" s="14" t="inlineStr">
        <is>
          <t>Skor Uji</t>
        </is>
      </c>
      <c r="E52" s="27" t="inlineStr">
        <is>
          <t>Persoalan Tes #5: Gunakan fungsi NOT untuk membalikkan pengujian apakah nilai pada sel C53 kurang dari 75!</t>
        </is>
      </c>
    </row>
    <row r="53">
      <c r="B53" s="19" t="inlineStr">
        <is>
          <t>Kelas 10 IPA</t>
        </is>
      </c>
      <c r="C53" s="19" t="n">
        <v>72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60</v>
      </c>
      <c r="E54" s="28" t="n"/>
      <c r="F54" s="29">
        <f>IF(ISBLANK(E54), "⏳ Belum Diisi (Ketik Rumus di Sel Kuning E54)", IF(E54='99_KUNCI_JAWABAN'!F174,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90</v>
      </c>
    </row>
    <row r="56">
      <c r="B56" s="19" t="inlineStr">
        <is>
          <t>Kelas Unggulan</t>
        </is>
      </c>
      <c r="C56" s="19" t="n">
        <v>70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#035 — RUMUS EXCEL: XOR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(XOR)</t>
        </is>
      </c>
    </row>
    <row r="5" ht="21" customHeight="1">
      <c r="B5" s="14" t="inlineStr">
        <is>
          <t>Nama Rumus Excel</t>
        </is>
      </c>
      <c r="C5" s="15">
        <f>XOR(...)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XOR(syarat1, syarat2)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Logika Eksklusif OR: menghasilkan TRUE jika tepat salah satu syarat benar, tapi FALSE jika keduanya sama-sama benar atau sama-sama salah.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XOR DI SINI)</t>
        </is>
      </c>
    </row>
    <row r="10">
      <c r="B10" s="18" t="inlineStr">
        <is>
          <t>Nilai Teori (B)</t>
        </is>
      </c>
      <c r="C10" s="18" t="inlineStr">
        <is>
          <t>Nilai Praktik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87</v>
      </c>
      <c r="C11" s="19" t="n">
        <v>90</v>
      </c>
      <c r="E11" s="20" t="inlineStr">
        <is>
          <t>Contoh Soal:</t>
        </is>
      </c>
      <c r="F11" s="21" t="inlineStr">
        <is>
          <t>Gunakan fungsi logika XOR untuk menguji dua syarat: apakah nilai di B11 minimal 75 (&gt;=75) dan apakah nilai di C11 minimal 75 (&gt;=75)!</t>
        </is>
      </c>
      <c r="G11" s="5" t="n"/>
    </row>
    <row r="12">
      <c r="B12" s="19" t="n">
        <v>80</v>
      </c>
      <c r="C12" s="19" t="n">
        <v>60</v>
      </c>
      <c r="E12" s="20" t="inlineStr">
        <is>
          <t>Contoh Rumus Benar:</t>
        </is>
      </c>
      <c r="F12" s="22" t="inlineStr">
        <is>
          <t>'=XOR(B11&gt;=75, C11&gt;=75)</t>
        </is>
      </c>
      <c r="G12" s="5" t="n"/>
    </row>
    <row r="13">
      <c r="B13" s="19" t="n">
        <v>70</v>
      </c>
      <c r="C13" s="19" t="n">
        <v>85</v>
      </c>
      <c r="E13" s="20" t="inlineStr">
        <is>
          <t>Contoh Hasil Benar:</t>
        </is>
      </c>
      <c r="F13" s="23">
        <f>XOR(B11&gt;=75, C11&gt;=75)</f>
        <v/>
      </c>
      <c r="G13" s="5" t="n"/>
    </row>
    <row r="14">
      <c r="B14" s="19" t="n">
        <v>60</v>
      </c>
      <c r="C14" s="19" t="n">
        <v>65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Teori (B)</t>
        </is>
      </c>
      <c r="C20" s="14" t="inlineStr">
        <is>
          <t>Nilai Praktik (C)</t>
        </is>
      </c>
      <c r="E20" s="27" t="inlineStr">
        <is>
          <t>Persoalan Tes #1: Gunakan fungsi logika XOR untuk menguji dua syarat: apakah nilai di B21 minimal 75 (&gt;=75) dan apakah nilai di C21 minimal 75 (&gt;=75)!</t>
        </is>
      </c>
    </row>
    <row r="21">
      <c r="B21" s="19" t="n">
        <v>72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80</v>
      </c>
      <c r="C22" s="19" t="n">
        <v>60</v>
      </c>
      <c r="E22" s="28" t="n"/>
      <c r="F22" s="29">
        <f>IF(ISBLANK(E22), "⏳ Belum Diisi (Ketik Rumus di Sel Kuning E22)", IF(E22='99_KUNCI_JAWABAN'!F175, "✅ BENAR! JAWABAN TES TEPAT!", "❌ Belum Tepat (Cek Sheet Akhir: 99_KUNCI_JAWABAN)"))</f>
        <v/>
      </c>
      <c r="G22" s="5" t="n"/>
    </row>
    <row r="23">
      <c r="B23" s="19" t="n">
        <v>70</v>
      </c>
      <c r="C23" s="19" t="n">
        <v>85</v>
      </c>
    </row>
    <row r="24">
      <c r="B24" s="19" t="n">
        <v>60</v>
      </c>
      <c r="C24" s="19" t="n">
        <v>65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Teori (B)</t>
        </is>
      </c>
      <c r="C28" s="14" t="inlineStr">
        <is>
          <t>Nilai Praktik (C)</t>
        </is>
      </c>
      <c r="E28" s="27" t="inlineStr">
        <is>
          <t>Persoalan Tes #2: Gunakan fungsi logika XOR untuk menguji dua syarat: apakah nilai di B29 minimal 75 (&gt;=75) dan apakah nilai di C29 minimal 75 (&gt;=75)!</t>
        </is>
      </c>
    </row>
    <row r="29">
      <c r="B29" s="19" t="n">
        <v>75</v>
      </c>
      <c r="C29" s="19" t="n">
        <v>74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80</v>
      </c>
      <c r="C30" s="19" t="n">
        <v>60</v>
      </c>
      <c r="E30" s="28" t="n"/>
      <c r="F30" s="29">
        <f>IF(ISBLANK(E30), "⏳ Belum Diisi (Ketik Rumus di Sel Kuning E30)", IF(E30='99_KUNCI_JAWABAN'!F176,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85</v>
      </c>
    </row>
    <row r="32">
      <c r="B32" s="19" t="n">
        <v>60</v>
      </c>
      <c r="C32" s="19" t="n">
        <v>65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Teori (B)</t>
        </is>
      </c>
      <c r="C36" s="14" t="inlineStr">
        <is>
          <t>Nilai Praktik (C)</t>
        </is>
      </c>
      <c r="E36" s="27" t="inlineStr">
        <is>
          <t>Persoalan Tes #3: Gunakan fungsi logika XOR untuk menguji dua syarat: apakah nilai di B37 minimal 75 (&gt;=75) dan apakah nilai di C37 minimal 75 (&gt;=75)!</t>
        </is>
      </c>
    </row>
    <row r="37">
      <c r="B37" s="19" t="n">
        <v>78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80</v>
      </c>
      <c r="C38" s="19" t="n">
        <v>60</v>
      </c>
      <c r="E38" s="28" t="n"/>
      <c r="F38" s="29">
        <f>IF(ISBLANK(E38), "⏳ Belum Diisi (Ketik Rumus di Sel Kuning E38)", IF(E38='99_KUNCI_JAWABAN'!F177, "✅ BENAR! JAWABAN TES TEPAT!", "❌ Belum Tepat (Cek Sheet Akhir: 99_KUNCI_JAWABAN)"))</f>
        <v/>
      </c>
      <c r="G38" s="5" t="n"/>
    </row>
    <row r="39">
      <c r="B39" s="19" t="n">
        <v>70</v>
      </c>
      <c r="C39" s="19" t="n">
        <v>85</v>
      </c>
    </row>
    <row r="40">
      <c r="B40" s="19" t="n">
        <v>60</v>
      </c>
      <c r="C40" s="19" t="n">
        <v>65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Teori (B)</t>
        </is>
      </c>
      <c r="C44" s="14" t="inlineStr">
        <is>
          <t>Nilai Praktik (C)</t>
        </is>
      </c>
      <c r="E44" s="27" t="inlineStr">
        <is>
          <t>Persoalan Tes #4: Gunakan fungsi logika XOR untuk menguji dua syarat: apakah nilai di B45 minimal 75 (&gt;=75) dan apakah nilai di C45 minimal 75 (&gt;=75)!</t>
        </is>
      </c>
    </row>
    <row r="45">
      <c r="B45" s="19" t="n">
        <v>81</v>
      </c>
      <c r="C45" s="19" t="n">
        <v>82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60</v>
      </c>
      <c r="E46" s="28" t="n"/>
      <c r="F46" s="29">
        <f>IF(ISBLANK(E46), "⏳ Belum Diisi (Ketik Rumus di Sel Kuning E46)", IF(E46='99_KUNCI_JAWABAN'!F178, "✅ BENAR! JAWABAN TES TEPAT!", "❌ Belum Tepat (Cek Sheet Akhir: 99_KUNCI_JAWABAN)"))</f>
        <v/>
      </c>
      <c r="G46" s="5" t="n"/>
    </row>
    <row r="47">
      <c r="B47" s="19" t="n">
        <v>70</v>
      </c>
      <c r="C47" s="19" t="n">
        <v>85</v>
      </c>
    </row>
    <row r="48">
      <c r="B48" s="19" t="n">
        <v>60</v>
      </c>
      <c r="C48" s="19" t="n">
        <v>65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Teori (B)</t>
        </is>
      </c>
      <c r="C52" s="14" t="inlineStr">
        <is>
          <t>Nilai Praktik (C)</t>
        </is>
      </c>
      <c r="E52" s="27" t="inlineStr">
        <is>
          <t>Persoalan Tes #5: Gunakan fungsi logika XOR untuk menguji dua syarat: apakah nilai di B53 minimal 75 (&gt;=75) dan apakah nilai di C53 minimal 75 (&gt;=75)!</t>
        </is>
      </c>
    </row>
    <row r="53">
      <c r="B53" s="19" t="n">
        <v>84</v>
      </c>
      <c r="C53" s="19" t="n">
        <v>86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80</v>
      </c>
      <c r="C54" s="19" t="n">
        <v>60</v>
      </c>
      <c r="E54" s="28" t="n"/>
      <c r="F54" s="29">
        <f>IF(ISBLANK(E54), "⏳ Belum Diisi (Ketik Rumus di Sel Kuning E54)", IF(E54='99_KUNCI_JAWABAN'!F179, "✅ BENAR! JAWABAN TES TEPAT!", "❌ Belum Tepat (Cek Sheet Akhir: 99_KUNCI_JAWABAN)"))</f>
        <v/>
      </c>
      <c r="G54" s="5" t="n"/>
    </row>
    <row r="55">
      <c r="B55" s="19" t="n">
        <v>70</v>
      </c>
      <c r="C55" s="19" t="n">
        <v>85</v>
      </c>
    </row>
    <row r="56">
      <c r="B56" s="19" t="n">
        <v>60</v>
      </c>
      <c r="C56" s="19" t="n">
        <v>65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#036 — RUMUS EXCEL: IFERROR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(IFERROR)</t>
        </is>
      </c>
    </row>
    <row r="5" ht="21" customHeight="1">
      <c r="B5" s="14" t="inlineStr">
        <is>
          <t>Nama Rumus Excel</t>
        </is>
      </c>
      <c r="C5" s="15">
        <f>IFERROR(...)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IFERROR(rumus_utama, nilai_pengganti_jika_error)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Sabuk pengaman rumus Excel! Jika rumus utama menghasilkan pesan error (#DIV/0!, #N/A, #VALUE!), otomatis diganti dengan teks/angka yang rapi.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IFERROR DI SINI)</t>
        </is>
      </c>
    </row>
    <row r="10">
      <c r="B10" s="18" t="inlineStr">
        <is>
          <t>Item Data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</v>
      </c>
      <c r="E11" s="20" t="inlineStr">
        <is>
          <t>Contoh Soal:</t>
        </is>
      </c>
      <c r="F11" s="21" t="inlineStr">
        <is>
          <t>Gunakan fungsi IFERROR untuk membungkus pembagian C11 dibagi 2, dan berikan nilai cadangan 0 jika terjadi error!</t>
        </is>
      </c>
      <c r="G11" s="5" t="n"/>
    </row>
    <row r="12">
      <c r="B12" s="19" t="inlineStr">
        <is>
          <t>Simulasi Unit B</t>
        </is>
      </c>
      <c r="C12" s="19" t="n">
        <v>200</v>
      </c>
      <c r="E12" s="20" t="inlineStr">
        <is>
          <t>Contoh Rumus Benar:</t>
        </is>
      </c>
      <c r="F12" s="22" t="inlineStr">
        <is>
          <t>'=IFERROR(C11/2, 0)</t>
        </is>
      </c>
      <c r="G12" s="5" t="n"/>
    </row>
    <row r="13">
      <c r="B13" s="19" t="inlineStr">
        <is>
          <t>Simulasi Unit C</t>
        </is>
      </c>
      <c r="C13" s="19" t="n">
        <v>300</v>
      </c>
      <c r="E13" s="20" t="inlineStr">
        <is>
          <t>Contoh Hasil Benar:</t>
        </is>
      </c>
      <c r="F13" s="23">
        <f>IFERROR(C11/2, 0)</f>
        <v/>
      </c>
      <c r="G13" s="5" t="n"/>
    </row>
    <row r="14">
      <c r="B14" s="19" t="inlineStr">
        <is>
          <t>Simulasi Unit D</t>
        </is>
      </c>
      <c r="C14" s="19" t="n">
        <v>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Data</t>
        </is>
      </c>
      <c r="C20" s="14" t="inlineStr">
        <is>
          <t>Nilai Input</t>
        </is>
      </c>
      <c r="E20" s="27" t="inlineStr">
        <is>
          <t>Persoalan Tes #1: Gunakan fungsi IFERROR untuk membungkus pembagian C21 dibagi 2, dan berikan nilai cadangan 0 jika terjadi error!</t>
        </is>
      </c>
    </row>
    <row r="21">
      <c r="B21" s="19" t="inlineStr">
        <is>
          <t>Cabang Jakarta</t>
        </is>
      </c>
      <c r="C21" s="19" t="n">
        <v>120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300</v>
      </c>
    </row>
    <row r="24">
      <c r="B24" s="19" t="inlineStr">
        <is>
          <t>Cabang Medan</t>
        </is>
      </c>
      <c r="C24" s="19" t="n">
        <v>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Data</t>
        </is>
      </c>
      <c r="C28" s="14" t="inlineStr">
        <is>
          <t>Nilai Input</t>
        </is>
      </c>
      <c r="E28" s="27" t="inlineStr">
        <is>
          <t>Persoalan Tes #2: Gunakan fungsi IFERROR untuk membungkus pembagian C29 dibagi 2, dan berikan nilai cadangan 0 jika terjadi error!</t>
        </is>
      </c>
    </row>
    <row r="29">
      <c r="B29" s="19" t="inlineStr">
        <is>
          <t>Budi Santoso</t>
        </is>
      </c>
      <c r="C29" s="19" t="n">
        <v>240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200</v>
      </c>
      <c r="E30" s="28" t="n"/>
      <c r="F30" s="29">
        <f>IF(ISBLANK(E30), "⏳ Belum Diisi (Ketik Rumus di Sel Kuning E30)", IF(E30='99_KUNCI_JAWABAN'!F181,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300</v>
      </c>
    </row>
    <row r="32">
      <c r="B32" s="19" t="inlineStr">
        <is>
          <t>Rina Wijaya</t>
        </is>
      </c>
      <c r="C32" s="19" t="n">
        <v>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Data</t>
        </is>
      </c>
      <c r="C36" s="14" t="inlineStr">
        <is>
          <t>Nilai Input</t>
        </is>
      </c>
      <c r="E36" s="27" t="inlineStr">
        <is>
          <t>Persoalan Tes #3: Gunakan fungsi IFERROR untuk membungkus pembagian C37 dibagi 2, dan berikan nilai cadangan 0 jika terjadi error!</t>
        </is>
      </c>
    </row>
    <row r="37">
      <c r="B37" s="19" t="inlineStr">
        <is>
          <t>Gudang Blok A</t>
        </is>
      </c>
      <c r="C37" s="19" t="n">
        <v>360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200</v>
      </c>
      <c r="E38" s="28" t="n"/>
      <c r="F38" s="29">
        <f>IF(ISBLANK(E38), "⏳ Belum Diisi (Ketik Rumus di Sel Kuning E38)", IF(E38='99_KUNCI_JAWABAN'!F182,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300</v>
      </c>
    </row>
    <row r="40">
      <c r="B40" s="19" t="inlineStr">
        <is>
          <t>Gudang Blok D</t>
        </is>
      </c>
      <c r="C40" s="19" t="n">
        <v>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Data</t>
        </is>
      </c>
      <c r="C44" s="14" t="inlineStr">
        <is>
          <t>Nilai Input</t>
        </is>
      </c>
      <c r="E44" s="27" t="inlineStr">
        <is>
          <t>Persoalan Tes #4: Gunakan fungsi IFERROR untuk membungkus pembagian C45 dibagi 2, dan berikan nilai cadangan 0 jika terjadi error!</t>
        </is>
      </c>
    </row>
    <row r="45">
      <c r="B45" s="19" t="inlineStr">
        <is>
          <t>Toko Elektronik</t>
        </is>
      </c>
      <c r="C45" s="19" t="n">
        <v>480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</v>
      </c>
      <c r="E46" s="28" t="n"/>
      <c r="F46" s="29">
        <f>IF(ISBLANK(E46), "⏳ Belum Diisi (Ketik Rumus di Sel Kuning E46)", IF(E46='99_KUNCI_JAWABAN'!F183,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300</v>
      </c>
    </row>
    <row r="48">
      <c r="B48" s="19" t="inlineStr">
        <is>
          <t>Toko Servis</t>
        </is>
      </c>
      <c r="C48" s="19" t="n">
        <v>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Data</t>
        </is>
      </c>
      <c r="C52" s="14" t="inlineStr">
        <is>
          <t>Nilai Input</t>
        </is>
      </c>
      <c r="E52" s="27" t="inlineStr">
        <is>
          <t>Persoalan Tes #5: Gunakan fungsi IFERROR untuk membungkus pembagian C53 dibagi 2, dan berikan nilai cadangan 0 jika terjadi error!</t>
        </is>
      </c>
    </row>
    <row r="53">
      <c r="B53" s="19" t="inlineStr">
        <is>
          <t>Kelas 10 IPA</t>
        </is>
      </c>
      <c r="C53" s="19" t="n">
        <v>600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200</v>
      </c>
      <c r="E54" s="28" t="n"/>
      <c r="F54" s="29">
        <f>IF(ISBLANK(E54), "⏳ Belum Diisi (Ketik Rumus di Sel Kuning E54)", IF(E54='99_KUNCI_JAWABAN'!F184,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300</v>
      </c>
    </row>
    <row r="56">
      <c r="B56" s="19" t="inlineStr">
        <is>
          <t>Kelas Unggulan</t>
        </is>
      </c>
      <c r="C56" s="19" t="n">
        <v>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#037 — RUMUS EXCEL: IFNA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(IFNA)</t>
        </is>
      </c>
    </row>
    <row r="5" ht="21" customHeight="1">
      <c r="B5" s="14" t="inlineStr">
        <is>
          <t>Nama Rumus Excel</t>
        </is>
      </c>
      <c r="C5" s="15">
        <f>IFNA(...)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IFNA(rumus_lookup, nilai_jika_NA)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Penangkap khusus error #N/A saat pencarian VLOOKUP/MATCH tidak menemukan data yang dicari.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IFNA DI SINI)</t>
        </is>
      </c>
    </row>
    <row r="10">
      <c r="B10" s="18" t="inlineStr">
        <is>
          <t>Item Data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</v>
      </c>
      <c r="E11" s="20" t="inlineStr">
        <is>
          <t>Contoh Soal:</t>
        </is>
      </c>
      <c r="F11" s="21" t="inlineStr">
        <is>
          <t>Gunakan fungsi IFNA untuk membungkus pembagian C11 dibagi 2, dan berikan nilai cadangan 0 jika terjadi error!</t>
        </is>
      </c>
      <c r="G11" s="5" t="n"/>
    </row>
    <row r="12">
      <c r="B12" s="19" t="inlineStr">
        <is>
          <t>Simulasi Unit B</t>
        </is>
      </c>
      <c r="C12" s="19" t="n">
        <v>200</v>
      </c>
      <c r="E12" s="20" t="inlineStr">
        <is>
          <t>Contoh Rumus Benar:</t>
        </is>
      </c>
      <c r="F12" s="22" t="inlineStr">
        <is>
          <t>'=IFNA(C11/2, 0)</t>
        </is>
      </c>
      <c r="G12" s="5" t="n"/>
    </row>
    <row r="13">
      <c r="B13" s="19" t="inlineStr">
        <is>
          <t>Simulasi Unit C</t>
        </is>
      </c>
      <c r="C13" s="19" t="n">
        <v>300</v>
      </c>
      <c r="E13" s="20" t="inlineStr">
        <is>
          <t>Contoh Hasil Benar:</t>
        </is>
      </c>
      <c r="F13" s="23">
        <f>IFNA(C11/2, 0)</f>
        <v/>
      </c>
      <c r="G13" s="5" t="n"/>
    </row>
    <row r="14">
      <c r="B14" s="19" t="inlineStr">
        <is>
          <t>Simulasi Unit D</t>
        </is>
      </c>
      <c r="C14" s="19" t="n">
        <v>400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 Data</t>
        </is>
      </c>
      <c r="C20" s="14" t="inlineStr">
        <is>
          <t>Nilai Input</t>
        </is>
      </c>
      <c r="E20" s="27" t="inlineStr">
        <is>
          <t>Persoalan Tes #1: Gunakan fungsi IFNA untuk membungkus pembagian C21 dibagi 2, dan berikan nilai cadangan 0 jika terjadi error!</t>
        </is>
      </c>
    </row>
    <row r="21">
      <c r="B21" s="19" t="inlineStr">
        <is>
          <t>Cabang Jakarta</t>
        </is>
      </c>
      <c r="C21" s="19" t="n">
        <v>120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200</v>
      </c>
      <c r="E22" s="28" t="n"/>
      <c r="F22" s="29">
        <f>IF(ISBLANK(E22), "⏳ Belum Diisi (Ketik Rumus di Sel Kuning E22)", IF(E22='99_KUNCI_JAWABAN'!F185,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300</v>
      </c>
    </row>
    <row r="24">
      <c r="B24" s="19" t="inlineStr">
        <is>
          <t>Cabang Medan</t>
        </is>
      </c>
      <c r="C24" s="19" t="n">
        <v>400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 Data</t>
        </is>
      </c>
      <c r="C28" s="14" t="inlineStr">
        <is>
          <t>Nilai Input</t>
        </is>
      </c>
      <c r="E28" s="27" t="inlineStr">
        <is>
          <t>Persoalan Tes #2: Gunakan fungsi IFNA untuk membungkus pembagian C29 dibagi 2, dan berikan nilai cadangan 0 jika terjadi error!</t>
        </is>
      </c>
    </row>
    <row r="29">
      <c r="B29" s="19" t="inlineStr">
        <is>
          <t>Budi Santoso</t>
        </is>
      </c>
      <c r="C29" s="19" t="n">
        <v>240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200</v>
      </c>
      <c r="E30" s="28" t="n"/>
      <c r="F30" s="29">
        <f>IF(ISBLANK(E30), "⏳ Belum Diisi (Ketik Rumus di Sel Kuning E30)", IF(E30='99_KUNCI_JAWABAN'!F186,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300</v>
      </c>
    </row>
    <row r="32">
      <c r="B32" s="19" t="inlineStr">
        <is>
          <t>Rina Wijaya</t>
        </is>
      </c>
      <c r="C32" s="19" t="n">
        <v>400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 Data</t>
        </is>
      </c>
      <c r="C36" s="14" t="inlineStr">
        <is>
          <t>Nilai Input</t>
        </is>
      </c>
      <c r="E36" s="27" t="inlineStr">
        <is>
          <t>Persoalan Tes #3: Gunakan fungsi IFNA untuk membungkus pembagian C37 dibagi 2, dan berikan nilai cadangan 0 jika terjadi error!</t>
        </is>
      </c>
    </row>
    <row r="37">
      <c r="B37" s="19" t="inlineStr">
        <is>
          <t>Gudang Blok A</t>
        </is>
      </c>
      <c r="C37" s="19" t="n">
        <v>360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200</v>
      </c>
      <c r="E38" s="28" t="n"/>
      <c r="F38" s="29">
        <f>IF(ISBLANK(E38), "⏳ Belum Diisi (Ketik Rumus di Sel Kuning E38)", IF(E38='99_KUNCI_JAWABAN'!F187,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300</v>
      </c>
    </row>
    <row r="40">
      <c r="B40" s="19" t="inlineStr">
        <is>
          <t>Gudang Blok D</t>
        </is>
      </c>
      <c r="C40" s="19" t="n">
        <v>400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 Data</t>
        </is>
      </c>
      <c r="C44" s="14" t="inlineStr">
        <is>
          <t>Nilai Input</t>
        </is>
      </c>
      <c r="E44" s="27" t="inlineStr">
        <is>
          <t>Persoalan Tes #4: Gunakan fungsi IFNA untuk membungkus pembagian C45 dibagi 2, dan berikan nilai cadangan 0 jika terjadi error!</t>
        </is>
      </c>
    </row>
    <row r="45">
      <c r="B45" s="19" t="inlineStr">
        <is>
          <t>Toko Elektronik</t>
        </is>
      </c>
      <c r="C45" s="19" t="n">
        <v>480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200</v>
      </c>
      <c r="E46" s="28" t="n"/>
      <c r="F46" s="29">
        <f>IF(ISBLANK(E46), "⏳ Belum Diisi (Ketik Rumus di Sel Kuning E46)", IF(E46='99_KUNCI_JAWABAN'!F188,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300</v>
      </c>
    </row>
    <row r="48">
      <c r="B48" s="19" t="inlineStr">
        <is>
          <t>Toko Servis</t>
        </is>
      </c>
      <c r="C48" s="19" t="n">
        <v>400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 Data</t>
        </is>
      </c>
      <c r="C52" s="14" t="inlineStr">
        <is>
          <t>Nilai Input</t>
        </is>
      </c>
      <c r="E52" s="27" t="inlineStr">
        <is>
          <t>Persoalan Tes #5: Gunakan fungsi IFNA untuk membungkus pembagian C53 dibagi 2, dan berikan nilai cadangan 0 jika terjadi error!</t>
        </is>
      </c>
    </row>
    <row r="53">
      <c r="B53" s="19" t="inlineStr">
        <is>
          <t>Kelas 10 IPA</t>
        </is>
      </c>
      <c r="C53" s="19" t="n">
        <v>600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200</v>
      </c>
      <c r="E54" s="28" t="n"/>
      <c r="F54" s="29">
        <f>IF(ISBLANK(E54), "⏳ Belum Diisi (Ketik Rumus di Sel Kuning E54)", IF(E54='99_KUNCI_JAWABAN'!F189,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300</v>
      </c>
    </row>
    <row r="56">
      <c r="B56" s="19" t="inlineStr">
        <is>
          <t>Kelas Unggulan</t>
        </is>
      </c>
      <c r="C56" s="19" t="n">
        <v>400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#038 — RUMUS EXCEL: TRUE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(TRUE)</t>
        </is>
      </c>
    </row>
    <row r="5" ht="21" customHeight="1">
      <c r="B5" s="14" t="inlineStr">
        <is>
          <t>Nama Rumus Excel</t>
        </is>
      </c>
      <c r="C5" s="15">
        <f>TRUE(...)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TRUE()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logika benar (TRUE) secara eksplisit untuk tabel kebenaran atau saklar laporan keuangan.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TRUE DI SINI)</t>
        </is>
      </c>
    </row>
    <row r="10">
      <c r="B10" s="18" t="inlineStr">
        <is>
          <t>Item</t>
        </is>
      </c>
      <c r="C10" s="18" t="inlineStr">
        <is>
          <t>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Panggil fungsi konstanta logika TRUE tanpa argumen di dalam kurung!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'=TRUE()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TRUE()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</t>
        </is>
      </c>
      <c r="C20" s="14" t="inlineStr">
        <is>
          <t>Nilai</t>
        </is>
      </c>
      <c r="E20" s="27" t="inlineStr">
        <is>
          <t>Persoalan Tes #1: Panggil fungsi konstanta logika TRUE tanpa argumen di dalam kurung!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</t>
        </is>
      </c>
      <c r="C28" s="14" t="inlineStr">
        <is>
          <t>Nilai</t>
        </is>
      </c>
      <c r="E28" s="27" t="inlineStr">
        <is>
          <t>Persoalan Tes #2: Panggil fungsi konstanta logika TRUE tanpa argumen di dalam kurung!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</t>
        </is>
      </c>
      <c r="C36" s="14" t="inlineStr">
        <is>
          <t>Nilai</t>
        </is>
      </c>
      <c r="E36" s="27" t="inlineStr">
        <is>
          <t>Persoalan Tes #3: Panggil fungsi konstanta logika TRUE tanpa argumen di dalam kurung!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</t>
        </is>
      </c>
      <c r="C44" s="14" t="inlineStr">
        <is>
          <t>Nilai</t>
        </is>
      </c>
      <c r="E44" s="27" t="inlineStr">
        <is>
          <t>Persoalan Tes #4: Panggil fungsi konstanta logika TRUE tanpa argumen di dalam kurung!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</t>
        </is>
      </c>
      <c r="C52" s="14" t="inlineStr">
        <is>
          <t>Nilai</t>
        </is>
      </c>
      <c r="E52" s="27" t="inlineStr">
        <is>
          <t>Persoalan Tes #5: Panggil fungsi konstanta logika TRUE tanpa argumen di dalam kurung!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#039 — RUMUS EXCEL: FALSE   |   Kategori: 2. Logika &amp; Keputusan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(FALSE)</t>
        </is>
      </c>
    </row>
    <row r="5" ht="21" customHeight="1">
      <c r="B5" s="14" t="inlineStr">
        <is>
          <t>Nama Rumus Excel</t>
        </is>
      </c>
      <c r="C5" s="15">
        <f>FALSE(...)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FALSE()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logika salah (FALSE) secara eksplisit untuk parameter pencarian eksak.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FALSE DI SINI)</t>
        </is>
      </c>
    </row>
    <row r="10">
      <c r="B10" s="18" t="inlineStr">
        <is>
          <t>Item</t>
        </is>
      </c>
      <c r="C10" s="18" t="inlineStr">
        <is>
          <t>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Panggil fungsi konstanta logika FALSE tanpa argumen di dalam kurung!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'=FALSE()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FALSE()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</t>
        </is>
      </c>
      <c r="C20" s="14" t="inlineStr">
        <is>
          <t>Nilai</t>
        </is>
      </c>
      <c r="E20" s="27" t="inlineStr">
        <is>
          <t>Persoalan Tes #1: Panggil fungsi konstanta logika FALSE tanpa argumen di dalam kurung!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IF(E22='99_KUNCI_JAWABAN'!F195,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</t>
        </is>
      </c>
      <c r="C28" s="14" t="inlineStr">
        <is>
          <t>Nilai</t>
        </is>
      </c>
      <c r="E28" s="27" t="inlineStr">
        <is>
          <t>Persoalan Tes #2: Panggil fungsi konstanta logika FALSE tanpa argumen di dalam kurung!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IF(E30='99_KUNCI_JAWABAN'!F196,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</t>
        </is>
      </c>
      <c r="C36" s="14" t="inlineStr">
        <is>
          <t>Nilai</t>
        </is>
      </c>
      <c r="E36" s="27" t="inlineStr">
        <is>
          <t>Persoalan Tes #3: Panggil fungsi konstanta logika FALSE tanpa argumen di dalam kurung!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IF(E38='99_KUNCI_JAWABAN'!F197,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</t>
        </is>
      </c>
      <c r="C44" s="14" t="inlineStr">
        <is>
          <t>Nilai</t>
        </is>
      </c>
      <c r="E44" s="27" t="inlineStr">
        <is>
          <t>Persoalan Tes #4: Panggil fungsi konstanta logika FALSE tanpa argumen di dalam kurung!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IF(E46='99_KUNCI_JAWABAN'!F198,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</t>
        </is>
      </c>
      <c r="C52" s="14" t="inlineStr">
        <is>
          <t>Nilai</t>
        </is>
      </c>
      <c r="E52" s="27" t="inlineStr">
        <is>
          <t>Persoalan Tes #5: Panggil fungsi konstanta logika FALSE tanpa argumen di dalam kurung!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IF(E54='99_KUNCI_JAWABAN'!F199,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#040 — RUMUS EXCEL: VLOOKUP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(VLOOKUP)</t>
        </is>
      </c>
    </row>
    <row r="5" ht="21" customHeight="1">
      <c r="B5" s="14" t="inlineStr">
        <is>
          <t>Nama Rumus Excel</t>
        </is>
      </c>
      <c r="C5" s="15">
        <f>VLOOKUP(...)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VLOOKUP(nilai_dicari, tabel_referensi, nomor_kolom, FALSE)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Mesin kasir pencari data vertikal! Mencari kode di kolom paling kiri tabel, lalu mengambil informasi pasangannya di kolom sebelah kanan.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VLOOKUP DI SINI)</t>
        </is>
      </c>
    </row>
    <row r="10">
      <c r="B10" s="18" t="inlineStr">
        <is>
          <t>Kode Barang (Kol 1)</t>
        </is>
      </c>
      <c r="C10" s="18" t="inlineStr">
        <is>
          <t>Harga Barang (Kol 2)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K01</t>
        </is>
      </c>
      <c r="C11" s="19" t="n">
        <v>500000</v>
      </c>
      <c r="E11" s="20" t="inlineStr">
        <is>
          <t>Contoh Soal:</t>
        </is>
      </c>
      <c r="F11" s="21" t="inlineStr">
        <is>
          <t>Cari harga untuk kode "K02" pada tabel referensi B11:C14 (ambil kolom ke-2 dengan pencocokan eksak FALSE) menggunakan fungsi VLOOKUP!</t>
        </is>
      </c>
      <c r="G11" s="5" t="n"/>
    </row>
    <row r="12">
      <c r="B12" s="19" t="inlineStr">
        <is>
          <t>K02</t>
        </is>
      </c>
      <c r="C12" s="19" t="n">
        <v>750000</v>
      </c>
      <c r="E12" s="20" t="inlineStr">
        <is>
          <t>Contoh Rumus Benar:</t>
        </is>
      </c>
      <c r="F12" s="22" t="inlineStr">
        <is>
          <t>'=VLOOKUP("K02", B11:C14, 2, FALSE)</t>
        </is>
      </c>
      <c r="G12" s="5" t="n"/>
    </row>
    <row r="13">
      <c r="B13" s="19" t="inlineStr">
        <is>
          <t>K03</t>
        </is>
      </c>
      <c r="C13" s="19" t="n">
        <v>600000</v>
      </c>
      <c r="E13" s="20" t="inlineStr">
        <is>
          <t>Contoh Hasil Benar:</t>
        </is>
      </c>
      <c r="F13" s="23">
        <f>VLOOKUP("K02", B11:C14, 2, FALSE)</f>
        <v/>
      </c>
      <c r="G13" s="5" t="n"/>
    </row>
    <row r="14">
      <c r="B14" s="19" t="inlineStr">
        <is>
          <t>K04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Kode Barang (Kol 1)</t>
        </is>
      </c>
      <c r="C20" s="14" t="inlineStr">
        <is>
          <t>Harga Barang (Kol 2)</t>
        </is>
      </c>
      <c r="E20" s="27" t="inlineStr">
        <is>
          <t>Persoalan Tes #1: Cari harga untuk kode "K01" pada tabel referensi B21:C24 (ambil kolom ke-2 dengan pencocokan eksak FALSE) menggunakan fungsi VLOOKUP!</t>
        </is>
      </c>
    </row>
    <row r="21">
      <c r="B21" s="19" t="inlineStr">
        <is>
          <t>K01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K02</t>
        </is>
      </c>
      <c r="C22" s="19" t="n">
        <v>1850000</v>
      </c>
      <c r="E22" s="28" t="n"/>
      <c r="F22" s="29">
        <f>IF(ISBLANK(E22), "⏳ Belum Diisi (Ketik Rumus di Sel Kuning E22)", IF(E22='99_KUNCI_JAWABAN'!F200, "✅ BENAR! JAWABAN TES TEPAT!", "❌ Belum Tepat (Cek Sheet Akhir: 99_KUNCI_JAWABAN)"))</f>
        <v/>
      </c>
      <c r="G22" s="5" t="n"/>
    </row>
    <row r="23">
      <c r="B23" s="19" t="inlineStr">
        <is>
          <t>K03</t>
        </is>
      </c>
      <c r="C23" s="19" t="n">
        <v>2100000</v>
      </c>
    </row>
    <row r="24">
      <c r="B24" s="19" t="inlineStr">
        <is>
          <t>K04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Kode Barang (Kol 1)</t>
        </is>
      </c>
      <c r="C28" s="14" t="inlineStr">
        <is>
          <t>Harga Barang (Kol 2)</t>
        </is>
      </c>
      <c r="E28" s="27" t="inlineStr">
        <is>
          <t>Persoalan Tes #2: Cari harga untuk kode "K02" pada tabel referensi B29:C32 (ambil kolom ke-2 dengan pencocokan eksak FALSE) menggunakan fungsi VLOOKUP!</t>
        </is>
      </c>
    </row>
    <row r="29">
      <c r="B29" s="19" t="inlineStr">
        <is>
          <t>K01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K02</t>
        </is>
      </c>
      <c r="C30" s="19" t="n">
        <v>5200000</v>
      </c>
      <c r="E30" s="28" t="n"/>
      <c r="F30" s="29">
        <f>IF(ISBLANK(E30), "⏳ Belum Diisi (Ketik Rumus di Sel Kuning E30)", IF(E30='99_KUNCI_JAWABAN'!F201, "✅ BENAR! JAWABAN TES TEPAT!", "❌ Belum Tepat (Cek Sheet Akhir: 99_KUNCI_JAWABAN)"))</f>
        <v/>
      </c>
      <c r="G30" s="5" t="n"/>
    </row>
    <row r="31">
      <c r="B31" s="19" t="inlineStr">
        <is>
          <t>K03</t>
        </is>
      </c>
      <c r="C31" s="19" t="n">
        <v>4800000</v>
      </c>
    </row>
    <row r="32">
      <c r="B32" s="19" t="inlineStr">
        <is>
          <t>K04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Kode Barang (Kol 1)</t>
        </is>
      </c>
      <c r="C36" s="14" t="inlineStr">
        <is>
          <t>Harga Barang (Kol 2)</t>
        </is>
      </c>
      <c r="E36" s="27" t="inlineStr">
        <is>
          <t>Persoalan Tes #3: Cari harga untuk kode "K03" pada tabel referensi B37:C40 (ambil kolom ke-2 dengan pencocokan eksak FALSE) menggunakan fungsi VLOOKUP!</t>
        </is>
      </c>
    </row>
    <row r="37">
      <c r="B37" s="19" t="inlineStr">
        <is>
          <t>K01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K02</t>
        </is>
      </c>
      <c r="C38" s="19" t="n">
        <v>380</v>
      </c>
      <c r="E38" s="28" t="n"/>
      <c r="F38" s="29">
        <f>IF(ISBLANK(E38), "⏳ Belum Diisi (Ketik Rumus di Sel Kuning E38)", IF(E38='99_KUNCI_JAWABAN'!F202, "✅ BENAR! JAWABAN TES TEPAT!", "❌ Belum Tepat (Cek Sheet Akhir: 99_KUNCI_JAWABAN)"))</f>
        <v/>
      </c>
      <c r="G38" s="5" t="n"/>
    </row>
    <row r="39">
      <c r="B39" s="19" t="inlineStr">
        <is>
          <t>K03</t>
        </is>
      </c>
      <c r="C39" s="19" t="n">
        <v>195</v>
      </c>
    </row>
    <row r="40">
      <c r="B40" s="19" t="inlineStr">
        <is>
          <t>K04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Kode Barang (Kol 1)</t>
        </is>
      </c>
      <c r="C44" s="14" t="inlineStr">
        <is>
          <t>Harga Barang (Kol 2)</t>
        </is>
      </c>
      <c r="E44" s="27" t="inlineStr">
        <is>
          <t>Persoalan Tes #4: Cari harga untuk kode "K04" pada tabel referensi B45:C48 (ambil kolom ke-2 dengan pencocokan eksak FALSE) menggunakan fungsi VLOOKUP!</t>
        </is>
      </c>
    </row>
    <row r="45">
      <c r="B45" s="19" t="inlineStr">
        <is>
          <t>K01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K02</t>
        </is>
      </c>
      <c r="C46" s="19" t="n">
        <v>92</v>
      </c>
      <c r="E46" s="28" t="n"/>
      <c r="F46" s="29">
        <f>IF(ISBLANK(E46), "⏳ Belum Diisi (Ketik Rumus di Sel Kuning E46)", IF(E46='99_KUNCI_JAWABAN'!F203, "✅ BENAR! JAWABAN TES TEPAT!", "❌ Belum Tepat (Cek Sheet Akhir: 99_KUNCI_JAWABAN)"))</f>
        <v/>
      </c>
      <c r="G46" s="5" t="n"/>
    </row>
    <row r="47">
      <c r="B47" s="19" t="inlineStr">
        <is>
          <t>K03</t>
        </is>
      </c>
      <c r="C47" s="19" t="n">
        <v>78</v>
      </c>
    </row>
    <row r="48">
      <c r="B48" s="19" t="inlineStr">
        <is>
          <t>K04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Kode Barang (Kol 1)</t>
        </is>
      </c>
      <c r="C52" s="14" t="inlineStr">
        <is>
          <t>Harga Barang (Kol 2)</t>
        </is>
      </c>
      <c r="E52" s="27" t="inlineStr">
        <is>
          <t>Persoalan Tes #5: Cari harga untuk kode "K01" pada tabel referensi B53:C56 (ambil kolom ke-2 dengan pencocokan eksak FALSE) menggunakan fungsi VLOOKUP!</t>
        </is>
      </c>
    </row>
    <row r="53">
      <c r="B53" s="19" t="inlineStr">
        <is>
          <t>K01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K02</t>
        </is>
      </c>
      <c r="C54" s="19" t="n">
        <v>88</v>
      </c>
      <c r="E54" s="28" t="n"/>
      <c r="F54" s="29">
        <f>IF(ISBLANK(E54), "⏳ Belum Diisi (Ketik Rumus di Sel Kuning E54)", IF(E54='99_KUNCI_JAWABAN'!F204, "✅ BENAR! JAWABAN TES TEPAT!", "❌ Belum Tepat (Cek Sheet Akhir: 99_KUNCI_JAWABAN)"))</f>
        <v/>
      </c>
      <c r="G54" s="5" t="n"/>
    </row>
    <row r="55">
      <c r="B55" s="19" t="inlineStr">
        <is>
          <t>K03</t>
        </is>
      </c>
      <c r="C55" s="19" t="n">
        <v>91</v>
      </c>
    </row>
    <row r="56">
      <c r="B56" s="19" t="inlineStr">
        <is>
          <t>K04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#041 — RUMUS EXCEL: HLOOKUP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(HLOOKUP)</t>
        </is>
      </c>
    </row>
    <row r="5" ht="21" customHeight="1">
      <c r="B5" s="14" t="inlineStr">
        <is>
          <t>Nama Rumus Excel</t>
        </is>
      </c>
      <c r="C5" s="15">
        <f>HLOOKUP(...)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HLOOKUP(nilai_dicari, tabel_horizontal, nomor_baris, FALSE)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Sama seperti VLOOKUP tetapi mencari data secara MENDATAR (Horizontal) di baris paling atas lalu turun ke baris di bawahnya.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HLOOKUP DI SINI)</t>
        </is>
      </c>
    </row>
    <row r="10">
      <c r="B10" s="18" t="inlineStr">
        <is>
          <t>Baris Data</t>
        </is>
      </c>
      <c r="C10" s="18" t="inlineStr">
        <is>
          <t>Nilai Tabel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Cari nilai sel C11 pada blok C11:C14 lalu ambil baris ke-2 secara eksak (FALSE) menggunakan fungsi HLOOKUP!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'=HLOOKUP(C11, C11:C14, 2, FALSE)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HLOOKUP(C11, C11:C14, 2, FALSE)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Baris Data</t>
        </is>
      </c>
      <c r="C20" s="14" t="inlineStr">
        <is>
          <t>Nilai Tabel</t>
        </is>
      </c>
      <c r="E20" s="27" t="inlineStr">
        <is>
          <t>Persoalan Tes #1: Cari nilai sel C21 pada blok C21:C24 lalu ambil baris ke-2 secara eksak (FALSE) menggunakan fungsi HLOOKUP!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Baris Data</t>
        </is>
      </c>
      <c r="C28" s="14" t="inlineStr">
        <is>
          <t>Nilai Tabel</t>
        </is>
      </c>
      <c r="E28" s="27" t="inlineStr">
        <is>
          <t>Persoalan Tes #2: Cari nilai sel C29 pada blok C29:C32 lalu ambil baris ke-2 secara eksak (FALSE) menggunakan fungsi HLOOKUP!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Baris Data</t>
        </is>
      </c>
      <c r="C36" s="14" t="inlineStr">
        <is>
          <t>Nilai Tabel</t>
        </is>
      </c>
      <c r="E36" s="27" t="inlineStr">
        <is>
          <t>Persoalan Tes #3: Cari nilai sel C37 pada blok C37:C40 lalu ambil baris ke-2 secara eksak (FALSE) menggunakan fungsi HLOOKUP!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Baris Data</t>
        </is>
      </c>
      <c r="C44" s="14" t="inlineStr">
        <is>
          <t>Nilai Tabel</t>
        </is>
      </c>
      <c r="E44" s="27" t="inlineStr">
        <is>
          <t>Persoalan Tes #4: Cari nilai sel C45 pada blok C45:C48 lalu ambil baris ke-2 secara eksak (FALSE) menggunakan fungsi HLOOKUP!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Baris Data</t>
        </is>
      </c>
      <c r="C52" s="14" t="inlineStr">
        <is>
          <t>Nilai Tabel</t>
        </is>
      </c>
      <c r="E52" s="27" t="inlineStr">
        <is>
          <t>Persoalan Tes #5: Cari nilai sel C53 pada blok C53:C56 lalu ambil baris ke-2 secara eksak (FALSE) menggunakan fungsi HLOOKUP!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#042 — RUMUS EXCEL: INDEX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(INDEX)</t>
        </is>
      </c>
    </row>
    <row r="5" ht="21" customHeight="1">
      <c r="B5" s="14" t="inlineStr">
        <is>
          <t>Nama Rumus Excel</t>
        </is>
      </c>
      <c r="C5" s="15">
        <f>INDEX(...)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INDEX(range_data, nomor_baris, [nomor_kolom])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isi sel pada koordinat urutan baris dan kolom tertentu di dalam suatu blok tabel (seperti menunjuk kursi bioskop Baris 3!).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INDEX DI SINI)</t>
        </is>
      </c>
    </row>
    <row r="10">
      <c r="B10" s="18" t="inlineStr">
        <is>
          <t>Nama Item</t>
        </is>
      </c>
      <c r="C10" s="18" t="inlineStr">
        <is>
          <t>Data 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Ambil data yang berada pada urutan baris ke-2 dari rentang C11:C14 menggunakan fungsi INDEX!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'=INDEX(C11:C14, 2)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INDEX(C11:C14, 2)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Item</t>
        </is>
      </c>
      <c r="C20" s="14" t="inlineStr">
        <is>
          <t>Data Nilai</t>
        </is>
      </c>
      <c r="E20" s="27" t="inlineStr">
        <is>
          <t>Persoalan Tes #1: Ambil data yang berada pada urutan baris ke-1 dari rentang C21:C24 menggunakan fungsi INDEX!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Item</t>
        </is>
      </c>
      <c r="C28" s="14" t="inlineStr">
        <is>
          <t>Data Nilai</t>
        </is>
      </c>
      <c r="E28" s="27" t="inlineStr">
        <is>
          <t>Persoalan Tes #2: Ambil data yang berada pada urutan baris ke-2 dari rentang C29:C32 menggunakan fungsi INDEX!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Item</t>
        </is>
      </c>
      <c r="C36" s="14" t="inlineStr">
        <is>
          <t>Data Nilai</t>
        </is>
      </c>
      <c r="E36" s="27" t="inlineStr">
        <is>
          <t>Persoalan Tes #3: Ambil data yang berada pada urutan baris ke-3 dari rentang C37:C40 menggunakan fungsi INDEX!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Item</t>
        </is>
      </c>
      <c r="C44" s="14" t="inlineStr">
        <is>
          <t>Data Nilai</t>
        </is>
      </c>
      <c r="E44" s="27" t="inlineStr">
        <is>
          <t>Persoalan Tes #4: Ambil data yang berada pada urutan baris ke-4 dari rentang C45:C48 menggunakan fungsi INDEX!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Item</t>
        </is>
      </c>
      <c r="C52" s="14" t="inlineStr">
        <is>
          <t>Data Nilai</t>
        </is>
      </c>
      <c r="E52" s="27" t="inlineStr">
        <is>
          <t>Persoalan Tes #5: Ambil data yang berada pada urutan baris ke-1 dari rentang C53:C56 menggunakan fungsi INDEX!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#043 — RUMUS EXCEL: MATCH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(MATCH)</t>
        </is>
      </c>
    </row>
    <row r="5" ht="21" customHeight="1">
      <c r="B5" s="14" t="inlineStr">
        <is>
          <t>Nama Rumus Excel</t>
        </is>
      </c>
      <c r="C5" s="15">
        <f>MATCH(...)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MATCH(nilai_dicari, range_satu_kolom, 0)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tahu suatu data berada di URUTAN BARIS KE BERAPA di dalam sebuah daftar (menghasilkan nomor urut posisi 1, 2, 3...).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MATCH DI SINI)</t>
        </is>
      </c>
    </row>
    <row r="10">
      <c r="B10" s="18" t="inlineStr">
        <is>
          <t>Daftar Nama</t>
        </is>
      </c>
      <c r="C10" s="18" t="inlineStr">
        <is>
          <t>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Temukan nomor urut baris dari teks "Simulasi Unit B" di dalam rentang B11:B14 (tipe pencocokan eksak 0) menggunakan fungsi MATCH!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'=MATCH("Simulasi Unit B", B11:B14, 0)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MATCH("Simulasi Unit B", B11:B14, 0)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Daftar Nama</t>
        </is>
      </c>
      <c r="C20" s="14" t="inlineStr">
        <is>
          <t>Skor</t>
        </is>
      </c>
      <c r="E20" s="27" t="inlineStr">
        <is>
          <t>Persoalan Tes #1: Temukan nomor urut baris dari teks "Cabang Jakarta" di dalam rentang B21:B24 (tipe pencocokan eksak 0) menggunakan fungsi MATCH!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Daftar Nama</t>
        </is>
      </c>
      <c r="C28" s="14" t="inlineStr">
        <is>
          <t>Skor</t>
        </is>
      </c>
      <c r="E28" s="27" t="inlineStr">
        <is>
          <t>Persoalan Tes #2: Temukan nomor urut baris dari teks "Siti Aminah" di dalam rentang B29:B32 (tipe pencocokan eksak 0) menggunakan fungsi MATCH!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Daftar Nama</t>
        </is>
      </c>
      <c r="C36" s="14" t="inlineStr">
        <is>
          <t>Skor</t>
        </is>
      </c>
      <c r="E36" s="27" t="inlineStr">
        <is>
          <t>Persoalan Tes #3: Temukan nomor urut baris dari teks "Gudang Blok C" di dalam rentang B37:B40 (tipe pencocokan eksak 0) menggunakan fungsi MATCH!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Daftar Nama</t>
        </is>
      </c>
      <c r="C44" s="14" t="inlineStr">
        <is>
          <t>Skor</t>
        </is>
      </c>
      <c r="E44" s="27" t="inlineStr">
        <is>
          <t>Persoalan Tes #4: Temukan nomor urut baris dari teks "Toko Servis" di dalam rentang B45:B48 (tipe pencocokan eksak 0) menggunakan fungsi MATCH!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Daftar Nama</t>
        </is>
      </c>
      <c r="C52" s="14" t="inlineStr">
        <is>
          <t>Skor</t>
        </is>
      </c>
      <c r="E52" s="27" t="inlineStr">
        <is>
          <t>Persoalan Tes #5: Temukan nomor urut baris dari teks "Kelas 10 IPA" di dalam rentang B53:B56 (tipe pencocokan eksak 0) menggunakan fungsi MATCH!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#044 — RUMUS EXCEL: CHOOSE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(CHOOSE)</t>
        </is>
      </c>
    </row>
    <row r="5" ht="21" customHeight="1">
      <c r="B5" s="14" t="inlineStr">
        <is>
          <t>Nama Rumus Excel</t>
        </is>
      </c>
      <c r="C5" s="15">
        <f>CHOOSE(...)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CHOOSE(nomor_pilihan, nilai1, nilai2, nilai3,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Memilih satu item dari daftar berdasarkan nomor urut tombol (1 = pilih nilai pertama, 2 = pilih nilai kedua, dst).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CHOOSE DI SINI)</t>
        </is>
      </c>
    </row>
    <row r="10">
      <c r="B10" s="18" t="inlineStr">
        <is>
          <t>Opsi Paket</t>
        </is>
      </c>
      <c r="C10" s="18" t="inlineStr">
        <is>
          <t>Nilai Paket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Pilih opsi urutan ke-3 dari tiga kandidat sel berurutan C11, C12, dan C13 menggunakan fungsi CHOOSE!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'=CHOOSE(3, C11, C12, C13)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CHOOSE(3, C11, C12, C13)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Opsi Paket</t>
        </is>
      </c>
      <c r="C20" s="14" t="inlineStr">
        <is>
          <t>Nilai Paket</t>
        </is>
      </c>
      <c r="E20" s="27" t="inlineStr">
        <is>
          <t>Persoalan Tes #1: Pilih opsi urutan ke-1 dari tiga kandidat sel berurutan C21, C22, dan C23 menggunakan fungsi CHOOSE!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Opsi Paket</t>
        </is>
      </c>
      <c r="C28" s="14" t="inlineStr">
        <is>
          <t>Nilai Paket</t>
        </is>
      </c>
      <c r="E28" s="27" t="inlineStr">
        <is>
          <t>Persoalan Tes #2: Pilih opsi urutan ke-2 dari tiga kandidat sel berurutan C29, C30, dan C31 menggunakan fungsi CHOOSE!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Opsi Paket</t>
        </is>
      </c>
      <c r="C36" s="14" t="inlineStr">
        <is>
          <t>Nilai Paket</t>
        </is>
      </c>
      <c r="E36" s="27" t="inlineStr">
        <is>
          <t>Persoalan Tes #3: Pilih opsi urutan ke-3 dari tiga kandidat sel berurutan C37, C38, dan C39 menggunakan fungsi CHOOSE!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Opsi Paket</t>
        </is>
      </c>
      <c r="C44" s="14" t="inlineStr">
        <is>
          <t>Nilai Paket</t>
        </is>
      </c>
      <c r="E44" s="27" t="inlineStr">
        <is>
          <t>Persoalan Tes #4: Pilih opsi urutan ke-1 dari tiga kandidat sel berurutan C45, C46, dan C47 menggunakan fungsi CHOOSE!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Opsi Paket</t>
        </is>
      </c>
      <c r="C52" s="14" t="inlineStr">
        <is>
          <t>Nilai Paket</t>
        </is>
      </c>
      <c r="E52" s="27" t="inlineStr">
        <is>
          <t>Persoalan Tes #5: Pilih opsi urutan ke-2 dari tiga kandidat sel berurutan C53, C54, dan C55 menggunakan fungsi CHOOSE!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#045 — RUMUS EXCEL: ROW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(ROW)</t>
        </is>
      </c>
    </row>
    <row r="5" ht="21" customHeight="1">
      <c r="B5" s="14" t="inlineStr">
        <is>
          <t>Nama Rumus Excel</t>
        </is>
      </c>
      <c r="C5" s="15">
        <f>ROW(...)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ROW([referensi_sel])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Memberitahu nomor baris tempat sebuah sel berada (misal ROW(C19) menghasilkan angka 19).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ROW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nomor urut posisi sel C11 menggunakan fungsi referensi ROW!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'=ROW(C11)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ROW(C11)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Periksa nomor urut posisi sel C21 menggunakan fungsi referensi ROW!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Periksa nomor urut posisi sel C29 menggunakan fungsi referensi ROW!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Periksa nomor urut posisi sel C37 menggunakan fungsi referensi ROW!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Periksa nomor urut posisi sel C45 menggunakan fungsi referensi ROW!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Periksa nomor urut posisi sel C53 menggunakan fungsi referensi ROW!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#046 — RUMUS EXCEL: COLUMN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(COLUMN)</t>
        </is>
      </c>
    </row>
    <row r="5" ht="21" customHeight="1">
      <c r="B5" s="14" t="inlineStr">
        <is>
          <t>Nama Rumus Excel</t>
        </is>
      </c>
      <c r="C5" s="15">
        <f>COLUMN(...)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COLUMN([referensi_sel])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Memberitahu nomor urut kolom sebuah sel (Kolom A = 1, Kolom B = 2, Kolom C = 3, dst).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COLUMN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nomor urut posisi sel C11 menggunakan fungsi referensi COLUMN!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'=COLUMN(C11)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COLUMN(C11)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Periksa nomor urut posisi sel C21 menggunakan fungsi referensi COLUMN!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Periksa nomor urut posisi sel C29 menggunakan fungsi referensi COLUMN!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Periksa nomor urut posisi sel C37 menggunakan fungsi referensi COLUMN!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Periksa nomor urut posisi sel C45 menggunakan fungsi referensi COLUMN!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Periksa nomor urut posisi sel C53 menggunakan fungsi referensi COLUMN!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#047 — RUMUS EXCEL: ROWS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(ROWS)</t>
        </is>
      </c>
    </row>
    <row r="5" ht="21" customHeight="1">
      <c r="B5" s="14" t="inlineStr">
        <is>
          <t>Nama Rumus Excel</t>
        </is>
      </c>
      <c r="C5" s="15">
        <f>ROWS(...)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ROWS(range_tabel)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ada berapa total baris di dalam suatu blok tabel.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ROWS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jumlah dimensi blok tabel B11:C14 menggunakan fungsi ROWS!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'=ROWS(B11:C14)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ROWS(B11:C14)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Hitung jumlah dimensi blok tabel B21:C24 menggunakan fungsi ROWS!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Hitung jumlah dimensi blok tabel B29:C32 menggunakan fungsi ROWS!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Hitung jumlah dimensi blok tabel B37:C40 menggunakan fungsi ROWS!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Hitung jumlah dimensi blok tabel B45:C48 menggunakan fungsi ROWS!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Hitung jumlah dimensi blok tabel B53:C56 menggunakan fungsi ROWS!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#048 — RUMUS EXCEL: COLUMNS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(COLUMNS)</t>
        </is>
      </c>
    </row>
    <row r="5" ht="21" customHeight="1">
      <c r="B5" s="14" t="inlineStr">
        <is>
          <t>Nama Rumus Excel</t>
        </is>
      </c>
      <c r="C5" s="15">
        <f>COLUMNS(...)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COLUMNS(range_tabel)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ada berapa total kolom menyamping di dalam suatu blok tabel.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COLUMNS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jumlah dimensi blok tabel B11:C14 menggunakan fungsi COLUMNS!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'=COLUMNS(B11:C14)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COLUMNS(B11:C14)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Hitung jumlah dimensi blok tabel B21:C24 menggunakan fungsi COLUMNS!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Hitung jumlah dimensi blok tabel B29:C32 menggunakan fungsi COLUMNS!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Hitung jumlah dimensi blok tabel B37:C40 menggunakan fungsi COLUMNS!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Hitung jumlah dimensi blok tabel B45:C48 menggunakan fungsi COLUMNS!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Hitung jumlah dimensi blok tabel B53:C56 menggunakan fungsi COLUMNS!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#049 — RUMUS EXCEL: ADDRESS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(ADDRESS)</t>
        </is>
      </c>
    </row>
    <row r="5" ht="21" customHeight="1">
      <c r="B5" s="14" t="inlineStr">
        <is>
          <t>Nama Rumus Excel</t>
        </is>
      </c>
      <c r="C5" s="15">
        <f>ADDRESS(...)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ADDRESS(nomor_baris, nomor_kolom)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Merakit teks alamat koordinat sel (seperti $C$19) dari angka nomor baris dan nomor kolom.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ADDRESS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Bentuk teks alamat koordinat sel untuk nomor baris 11 dan nomor kolom 3 menggunakan fungsi ADDRESS!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'=ADDRESS(11, 3)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ADDRESS(11, 3)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Bentuk teks alamat koordinat sel untuk nomor baris 21 dan nomor kolom 3 menggunakan fungsi ADDRESS!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Bentuk teks alamat koordinat sel untuk nomor baris 29 dan nomor kolom 3 menggunakan fungsi ADDRESS!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Bentuk teks alamat koordinat sel untuk nomor baris 37 dan nomor kolom 3 menggunakan fungsi ADDRESS!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Bentuk teks alamat koordinat sel untuk nomor baris 45 dan nomor kolom 3 menggunakan fungsi ADDRESS!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Bentuk teks alamat koordinat sel untuk nomor baris 53 dan nomor kolom 3 menggunakan fungsi ADDRESS!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#050 — RUMUS EXCEL: OFFSET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(OFFSET)</t>
        </is>
      </c>
    </row>
    <row r="5" ht="21" customHeight="1">
      <c r="B5" s="14" t="inlineStr">
        <is>
          <t>Nama Rumus Excel</t>
        </is>
      </c>
      <c r="C5" s="15">
        <f>OFFSET(...)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OFFSET(sel_awal, geser_baris, geser_kolom)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data dari sel lain dengan cara melangkah/bergeser sejumlah baris ke bawah dan kolom ke samping dari titik awal.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OFFSET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Ambil nilai sel yang bergeser 1 baris ke bawah dan 0 kolom ke samping dari titik awal C11 menggunakan fungsi OFFSET!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'=OFFSET(C11, 1, 0)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OFFSET(C11, 1, 0)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Ambil nilai sel yang bergeser 1 baris ke bawah dan 0 kolom ke samping dari titik awal C21 menggunakan fungsi OFFSET!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Ambil nilai sel yang bergeser 1 baris ke bawah dan 0 kolom ke samping dari titik awal C29 menggunakan fungsi OFFSET!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Ambil nilai sel yang bergeser 1 baris ke bawah dan 0 kolom ke samping dari titik awal C37 menggunakan fungsi OFFSET!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Ambil nilai sel yang bergeser 1 baris ke bawah dan 0 kolom ke samping dari titik awal C45 menggunakan fungsi OFFSET!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Ambil nilai sel yang bergeser 1 baris ke bawah dan 0 kolom ke samping dari titik awal C53 menggunakan fungsi OFFSET!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#051 — RUMUS EXCEL: INDIRECT   |   Kategori: 3. Lookup &amp; Referensi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(INDIRECT)</t>
        </is>
      </c>
    </row>
    <row r="5" ht="21" customHeight="1">
      <c r="B5" s="14" t="inlineStr">
        <is>
          <t>Nama Rumus Excel</t>
        </is>
      </c>
      <c r="C5" s="15">
        <f>INDIRECT(...)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INDIRECT(teks_alamat_sel)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tulisan teks biasa yang berisi alamat sel menjadi rujukan sel hidup yang diambil nilainya!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INDIRECT DI SINI)</t>
        </is>
      </c>
    </row>
    <row r="10">
      <c r="B10" s="18" t="inlineStr">
        <is>
          <t>Label</t>
        </is>
      </c>
      <c r="C10" s="18" t="inlineStr">
        <is>
          <t>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Ambil isi sel berdasarkan teks alamat "C11" menggunakan fungsi INDIRECT!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'=INDIRECT("C11")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INDIRECT("C11")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Label</t>
        </is>
      </c>
      <c r="C20" s="14" t="inlineStr">
        <is>
          <t>Data</t>
        </is>
      </c>
      <c r="E20" s="27" t="inlineStr">
        <is>
          <t>Persoalan Tes #1: Ambil isi sel berdasarkan teks alamat "C21" menggunakan fungsi INDIRECT!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IF(E22='99_KUNCI_JAWABAN'!F255,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Label</t>
        </is>
      </c>
      <c r="C28" s="14" t="inlineStr">
        <is>
          <t>Data</t>
        </is>
      </c>
      <c r="E28" s="27" t="inlineStr">
        <is>
          <t>Persoalan Tes #2: Ambil isi sel berdasarkan teks alamat "C29" menggunakan fungsi INDIRECT!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IF(E30='99_KUNCI_JAWABAN'!F256,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Label</t>
        </is>
      </c>
      <c r="C36" s="14" t="inlineStr">
        <is>
          <t>Data</t>
        </is>
      </c>
      <c r="E36" s="27" t="inlineStr">
        <is>
          <t>Persoalan Tes #3: Ambil isi sel berdasarkan teks alamat "C37" menggunakan fungsi INDIRECT!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IF(E38='99_KUNCI_JAWABAN'!F257,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Label</t>
        </is>
      </c>
      <c r="C44" s="14" t="inlineStr">
        <is>
          <t>Data</t>
        </is>
      </c>
      <c r="E44" s="27" t="inlineStr">
        <is>
          <t>Persoalan Tes #4: Ambil isi sel berdasarkan teks alamat "C45" menggunakan fungsi INDIRECT!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IF(E46='99_KUNCI_JAWABAN'!F258,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Label</t>
        </is>
      </c>
      <c r="C52" s="14" t="inlineStr">
        <is>
          <t>Data</t>
        </is>
      </c>
      <c r="E52" s="27" t="inlineStr">
        <is>
          <t>Persoalan Tes #5: Ambil isi sel berdasarkan teks alamat "C53" menggunakan fungsi INDIRECT!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IF(E54='99_KUNCI_JAWABAN'!F259,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#052 — RUMUS EXCEL: LEFT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(LEFT)</t>
        </is>
      </c>
    </row>
    <row r="5" ht="21" customHeight="1">
      <c r="B5" s="14" t="inlineStr">
        <is>
          <t>Nama Rumus Excel</t>
        </is>
      </c>
      <c r="C5" s="15">
        <f>LEFT(...)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LEFT(teks, jumlah_karakter)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Memotong dan mengambil sejumlah huruf dari sebelah KIRI (awal kata/kode barang).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LEFT DI SINI)</t>
        </is>
      </c>
    </row>
    <row r="10">
      <c r="B10" s="18" t="inlineStr">
        <is>
          <t>Nama Gudang</t>
        </is>
      </c>
      <c r="C10" s="18" t="inlineStr">
        <is>
          <t>Kode SKU Barang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JKT-105-A</t>
        </is>
      </c>
      <c r="E11" s="20" t="inlineStr">
        <is>
          <t>Contoh Soal:</t>
        </is>
      </c>
      <c r="F11" s="21" t="inlineStr">
        <is>
          <t>Ekstrak 3 karakter dari kode SKU di sel C11 ("JKT-105-A") menggunakan fungsi teks LEFT!</t>
        </is>
      </c>
      <c r="G11" s="5" t="n"/>
    </row>
    <row r="12">
      <c r="B12" s="19" t="inlineStr">
        <is>
          <t>Simulasi Unit B</t>
        </is>
      </c>
      <c r="C12" s="19" t="inlineStr">
        <is>
          <t>BDG-205-B</t>
        </is>
      </c>
      <c r="E12" s="20" t="inlineStr">
        <is>
          <t>Contoh Rumus Benar:</t>
        </is>
      </c>
      <c r="F12" s="22" t="inlineStr">
        <is>
          <t>'=LEFT(C11, 3)</t>
        </is>
      </c>
      <c r="G12" s="5" t="n"/>
    </row>
    <row r="13">
      <c r="B13" s="19" t="inlineStr">
        <is>
          <t>Simulasi Unit C</t>
        </is>
      </c>
      <c r="C13" s="19" t="inlineStr">
        <is>
          <t>SBY-310-C</t>
        </is>
      </c>
      <c r="E13" s="20" t="inlineStr">
        <is>
          <t>Contoh Hasil Benar:</t>
        </is>
      </c>
      <c r="F13" s="23">
        <f>LEFT(C11, 3)</f>
        <v/>
      </c>
      <c r="G13" s="5" t="n"/>
    </row>
    <row r="14">
      <c r="B14" s="19" t="inlineStr">
        <is>
          <t>Simulasi Unit D</t>
        </is>
      </c>
      <c r="C14" s="19" t="inlineStr">
        <is>
          <t>MDN-415-D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Gudang</t>
        </is>
      </c>
      <c r="C20" s="14" t="inlineStr">
        <is>
          <t>Kode SKU Barang</t>
        </is>
      </c>
      <c r="E20" s="27" t="inlineStr">
        <is>
          <t>Persoalan Tes #1: Ekstrak 3 karakter dari kode SKU di sel C21 ("JKT-100-A") menggunakan fungsi teks LEFT!</t>
        </is>
      </c>
    </row>
    <row r="21">
      <c r="B21" s="19" t="inlineStr">
        <is>
          <t>Cabang Jakarta</t>
        </is>
      </c>
      <c r="C21" s="19" t="inlineStr">
        <is>
          <t>JKT-100-A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BDG-205-B</t>
        </is>
      </c>
      <c r="E22" s="28" t="n"/>
      <c r="F22" s="29">
        <f>IF(ISBLANK(E22), "⏳ Belum Diisi (Ketik Rumus di Sel Kuning E22)", IF(E22='99_KUNCI_JAWABAN'!F260,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SBY-310-C</t>
        </is>
      </c>
    </row>
    <row r="24">
      <c r="B24" s="19" t="inlineStr">
        <is>
          <t>Cabang Medan</t>
        </is>
      </c>
      <c r="C24" s="19" t="inlineStr">
        <is>
          <t>MDN-415-D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Gudang</t>
        </is>
      </c>
      <c r="C28" s="14" t="inlineStr">
        <is>
          <t>Kode SKU Barang</t>
        </is>
      </c>
      <c r="E28" s="27" t="inlineStr">
        <is>
          <t>Persoalan Tes #2: Ekstrak 3 karakter dari kode SKU di sel C29 ("JKT-101-A") menggunakan fungsi teks LEFT!</t>
        </is>
      </c>
    </row>
    <row r="29">
      <c r="B29" s="19" t="inlineStr">
        <is>
          <t>Budi Santoso</t>
        </is>
      </c>
      <c r="C29" s="19" t="inlineStr">
        <is>
          <t>JKT-101-A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BDG-205-B</t>
        </is>
      </c>
      <c r="E30" s="28" t="n"/>
      <c r="F30" s="29">
        <f>IF(ISBLANK(E30), "⏳ Belum Diisi (Ketik Rumus di Sel Kuning E30)", IF(E30='99_KUNCI_JAWABAN'!F261,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SBY-310-C</t>
        </is>
      </c>
    </row>
    <row r="32">
      <c r="B32" s="19" t="inlineStr">
        <is>
          <t>Rina Wijaya</t>
        </is>
      </c>
      <c r="C32" s="19" t="inlineStr">
        <is>
          <t>MDN-415-D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Gudang</t>
        </is>
      </c>
      <c r="C36" s="14" t="inlineStr">
        <is>
          <t>Kode SKU Barang</t>
        </is>
      </c>
      <c r="E36" s="27" t="inlineStr">
        <is>
          <t>Persoalan Tes #3: Ekstrak 3 karakter dari kode SKU di sel C37 ("JKT-102-A") menggunakan fungsi teks LEFT!</t>
        </is>
      </c>
    </row>
    <row r="37">
      <c r="B37" s="19" t="inlineStr">
        <is>
          <t>Gudang Blok A</t>
        </is>
      </c>
      <c r="C37" s="19" t="inlineStr">
        <is>
          <t>JKT-102-A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BDG-205-B</t>
        </is>
      </c>
      <c r="E38" s="28" t="n"/>
      <c r="F38" s="29">
        <f>IF(ISBLANK(E38), "⏳ Belum Diisi (Ketik Rumus di Sel Kuning E38)", IF(E38='99_KUNCI_JAWABAN'!F262,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SBY-310-C</t>
        </is>
      </c>
    </row>
    <row r="40">
      <c r="B40" s="19" t="inlineStr">
        <is>
          <t>Gudang Blok D</t>
        </is>
      </c>
      <c r="C40" s="19" t="inlineStr">
        <is>
          <t>MDN-415-D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Gudang</t>
        </is>
      </c>
      <c r="C44" s="14" t="inlineStr">
        <is>
          <t>Kode SKU Barang</t>
        </is>
      </c>
      <c r="E44" s="27" t="inlineStr">
        <is>
          <t>Persoalan Tes #4: Ekstrak 3 karakter dari kode SKU di sel C45 ("JKT-103-A") menggunakan fungsi teks LEFT!</t>
        </is>
      </c>
    </row>
    <row r="45">
      <c r="B45" s="19" t="inlineStr">
        <is>
          <t>Toko Elektronik</t>
        </is>
      </c>
      <c r="C45" s="19" t="inlineStr">
        <is>
          <t>JKT-103-A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BDG-205-B</t>
        </is>
      </c>
      <c r="E46" s="28" t="n"/>
      <c r="F46" s="29">
        <f>IF(ISBLANK(E46), "⏳ Belum Diisi (Ketik Rumus di Sel Kuning E46)", IF(E46='99_KUNCI_JAWABAN'!F263,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SBY-310-C</t>
        </is>
      </c>
    </row>
    <row r="48">
      <c r="B48" s="19" t="inlineStr">
        <is>
          <t>Toko Servis</t>
        </is>
      </c>
      <c r="C48" s="19" t="inlineStr">
        <is>
          <t>MDN-415-D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Gudang</t>
        </is>
      </c>
      <c r="C52" s="14" t="inlineStr">
        <is>
          <t>Kode SKU Barang</t>
        </is>
      </c>
      <c r="E52" s="27" t="inlineStr">
        <is>
          <t>Persoalan Tes #5: Ekstrak 3 karakter dari kode SKU di sel C53 ("JKT-104-A") menggunakan fungsi teks LEFT!</t>
        </is>
      </c>
    </row>
    <row r="53">
      <c r="B53" s="19" t="inlineStr">
        <is>
          <t>Kelas 10 IPA</t>
        </is>
      </c>
      <c r="C53" s="19" t="inlineStr">
        <is>
          <t>JKT-104-A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BDG-205-B</t>
        </is>
      </c>
      <c r="E54" s="28" t="n"/>
      <c r="F54" s="29">
        <f>IF(ISBLANK(E54), "⏳ Belum Diisi (Ketik Rumus di Sel Kuning E54)", IF(E54='99_KUNCI_JAWABAN'!F264,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SBY-310-C</t>
        </is>
      </c>
    </row>
    <row r="56">
      <c r="B56" s="19" t="inlineStr">
        <is>
          <t>Kelas Unggulan</t>
        </is>
      </c>
      <c r="C56" s="19" t="inlineStr">
        <is>
          <t>MDN-415-D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#053 — RUMUS EXCEL: RIGHT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(RIGHT)</t>
        </is>
      </c>
    </row>
    <row r="5" ht="21" customHeight="1">
      <c r="B5" s="14" t="inlineStr">
        <is>
          <t>Nama Rumus Excel</t>
        </is>
      </c>
      <c r="C5" s="15">
        <f>RIGHT(...)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RIGHT(teks, jumlah_karakter)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Memotong dan mengambil sejumlah huruf dari sebelah KANAN (ujung belakang kata/kode barang).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RIGHT DI SINI)</t>
        </is>
      </c>
    </row>
    <row r="10">
      <c r="B10" s="18" t="inlineStr">
        <is>
          <t>Nama Gudang</t>
        </is>
      </c>
      <c r="C10" s="18" t="inlineStr">
        <is>
          <t>Kode SKU Barang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JKT-105-A</t>
        </is>
      </c>
      <c r="E11" s="20" t="inlineStr">
        <is>
          <t>Contoh Soal:</t>
        </is>
      </c>
      <c r="F11" s="21" t="inlineStr">
        <is>
          <t>Ekstrak 3 karakter dari kode SKU di sel C11 ("JKT-105-A") menggunakan fungsi teks RIGHT!</t>
        </is>
      </c>
      <c r="G11" s="5" t="n"/>
    </row>
    <row r="12">
      <c r="B12" s="19" t="inlineStr">
        <is>
          <t>Simulasi Unit B</t>
        </is>
      </c>
      <c r="C12" s="19" t="inlineStr">
        <is>
          <t>BDG-205-B</t>
        </is>
      </c>
      <c r="E12" s="20" t="inlineStr">
        <is>
          <t>Contoh Rumus Benar:</t>
        </is>
      </c>
      <c r="F12" s="22" t="inlineStr">
        <is>
          <t>'=RIGHT(C11, 3)</t>
        </is>
      </c>
      <c r="G12" s="5" t="n"/>
    </row>
    <row r="13">
      <c r="B13" s="19" t="inlineStr">
        <is>
          <t>Simulasi Unit C</t>
        </is>
      </c>
      <c r="C13" s="19" t="inlineStr">
        <is>
          <t>SBY-310-C</t>
        </is>
      </c>
      <c r="E13" s="20" t="inlineStr">
        <is>
          <t>Contoh Hasil Benar:</t>
        </is>
      </c>
      <c r="F13" s="23">
        <f>RIGHT(C11, 3)</f>
        <v/>
      </c>
      <c r="G13" s="5" t="n"/>
    </row>
    <row r="14">
      <c r="B14" s="19" t="inlineStr">
        <is>
          <t>Simulasi Unit D</t>
        </is>
      </c>
      <c r="C14" s="19" t="inlineStr">
        <is>
          <t>MDN-415-D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Gudang</t>
        </is>
      </c>
      <c r="C20" s="14" t="inlineStr">
        <is>
          <t>Kode SKU Barang</t>
        </is>
      </c>
      <c r="E20" s="27" t="inlineStr">
        <is>
          <t>Persoalan Tes #1: Ekstrak 3 karakter dari kode SKU di sel C21 ("JKT-100-A") menggunakan fungsi teks RIGHT!</t>
        </is>
      </c>
    </row>
    <row r="21">
      <c r="B21" s="19" t="inlineStr">
        <is>
          <t>Cabang Jakarta</t>
        </is>
      </c>
      <c r="C21" s="19" t="inlineStr">
        <is>
          <t>JKT-100-A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BDG-205-B</t>
        </is>
      </c>
      <c r="E22" s="28" t="n"/>
      <c r="F22" s="29">
        <f>IF(ISBLANK(E22), "⏳ Belum Diisi (Ketik Rumus di Sel Kuning E22)", IF(E22='99_KUNCI_JAWABAN'!F265,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SBY-310-C</t>
        </is>
      </c>
    </row>
    <row r="24">
      <c r="B24" s="19" t="inlineStr">
        <is>
          <t>Cabang Medan</t>
        </is>
      </c>
      <c r="C24" s="19" t="inlineStr">
        <is>
          <t>MDN-415-D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Gudang</t>
        </is>
      </c>
      <c r="C28" s="14" t="inlineStr">
        <is>
          <t>Kode SKU Barang</t>
        </is>
      </c>
      <c r="E28" s="27" t="inlineStr">
        <is>
          <t>Persoalan Tes #2: Ekstrak 3 karakter dari kode SKU di sel C29 ("JKT-101-A") menggunakan fungsi teks RIGHT!</t>
        </is>
      </c>
    </row>
    <row r="29">
      <c r="B29" s="19" t="inlineStr">
        <is>
          <t>Budi Santoso</t>
        </is>
      </c>
      <c r="C29" s="19" t="inlineStr">
        <is>
          <t>JKT-101-A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BDG-205-B</t>
        </is>
      </c>
      <c r="E30" s="28" t="n"/>
      <c r="F30" s="29">
        <f>IF(ISBLANK(E30), "⏳ Belum Diisi (Ketik Rumus di Sel Kuning E30)", IF(E30='99_KUNCI_JAWABAN'!F266,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SBY-310-C</t>
        </is>
      </c>
    </row>
    <row r="32">
      <c r="B32" s="19" t="inlineStr">
        <is>
          <t>Rina Wijaya</t>
        </is>
      </c>
      <c r="C32" s="19" t="inlineStr">
        <is>
          <t>MDN-415-D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Gudang</t>
        </is>
      </c>
      <c r="C36" s="14" t="inlineStr">
        <is>
          <t>Kode SKU Barang</t>
        </is>
      </c>
      <c r="E36" s="27" t="inlineStr">
        <is>
          <t>Persoalan Tes #3: Ekstrak 3 karakter dari kode SKU di sel C37 ("JKT-102-A") menggunakan fungsi teks RIGHT!</t>
        </is>
      </c>
    </row>
    <row r="37">
      <c r="B37" s="19" t="inlineStr">
        <is>
          <t>Gudang Blok A</t>
        </is>
      </c>
      <c r="C37" s="19" t="inlineStr">
        <is>
          <t>JKT-102-A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BDG-205-B</t>
        </is>
      </c>
      <c r="E38" s="28" t="n"/>
      <c r="F38" s="29">
        <f>IF(ISBLANK(E38), "⏳ Belum Diisi (Ketik Rumus di Sel Kuning E38)", IF(E38='99_KUNCI_JAWABAN'!F267,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SBY-310-C</t>
        </is>
      </c>
    </row>
    <row r="40">
      <c r="B40" s="19" t="inlineStr">
        <is>
          <t>Gudang Blok D</t>
        </is>
      </c>
      <c r="C40" s="19" t="inlineStr">
        <is>
          <t>MDN-415-D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Gudang</t>
        </is>
      </c>
      <c r="C44" s="14" t="inlineStr">
        <is>
          <t>Kode SKU Barang</t>
        </is>
      </c>
      <c r="E44" s="27" t="inlineStr">
        <is>
          <t>Persoalan Tes #4: Ekstrak 3 karakter dari kode SKU di sel C45 ("JKT-103-A") menggunakan fungsi teks RIGHT!</t>
        </is>
      </c>
    </row>
    <row r="45">
      <c r="B45" s="19" t="inlineStr">
        <is>
          <t>Toko Elektronik</t>
        </is>
      </c>
      <c r="C45" s="19" t="inlineStr">
        <is>
          <t>JKT-103-A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BDG-205-B</t>
        </is>
      </c>
      <c r="E46" s="28" t="n"/>
      <c r="F46" s="29">
        <f>IF(ISBLANK(E46), "⏳ Belum Diisi (Ketik Rumus di Sel Kuning E46)", IF(E46='99_KUNCI_JAWABAN'!F268,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SBY-310-C</t>
        </is>
      </c>
    </row>
    <row r="48">
      <c r="B48" s="19" t="inlineStr">
        <is>
          <t>Toko Servis</t>
        </is>
      </c>
      <c r="C48" s="19" t="inlineStr">
        <is>
          <t>MDN-415-D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Gudang</t>
        </is>
      </c>
      <c r="C52" s="14" t="inlineStr">
        <is>
          <t>Kode SKU Barang</t>
        </is>
      </c>
      <c r="E52" s="27" t="inlineStr">
        <is>
          <t>Persoalan Tes #5: Ekstrak 3 karakter dari kode SKU di sel C53 ("JKT-104-A") menggunakan fungsi teks RIGHT!</t>
        </is>
      </c>
    </row>
    <row r="53">
      <c r="B53" s="19" t="inlineStr">
        <is>
          <t>Kelas 10 IPA</t>
        </is>
      </c>
      <c r="C53" s="19" t="inlineStr">
        <is>
          <t>JKT-104-A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BDG-205-B</t>
        </is>
      </c>
      <c r="E54" s="28" t="n"/>
      <c r="F54" s="29">
        <f>IF(ISBLANK(E54), "⏳ Belum Diisi (Ketik Rumus di Sel Kuning E54)", IF(E54='99_KUNCI_JAWABAN'!F269,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SBY-310-C</t>
        </is>
      </c>
    </row>
    <row r="56">
      <c r="B56" s="19" t="inlineStr">
        <is>
          <t>Kelas Unggulan</t>
        </is>
      </c>
      <c r="C56" s="19" t="inlineStr">
        <is>
          <t>MDN-415-D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#054 — RUMUS EXCEL: MID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(MID)</t>
        </is>
      </c>
    </row>
    <row r="5" ht="21" customHeight="1">
      <c r="B5" s="14" t="inlineStr">
        <is>
          <t>Nama Rumus Excel</t>
        </is>
      </c>
      <c r="C5" s="15">
        <f>MID(...)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MID(teks, posisi_mulai, jumlah_karakter)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huruf dari bagian TENGAH teks, dimulai dari urutan huruf tertentu sebanyak beberapa karakter.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MID DI SINI)</t>
        </is>
      </c>
    </row>
    <row r="10">
      <c r="B10" s="18" t="inlineStr">
        <is>
          <t>Transaksi</t>
        </is>
      </c>
      <c r="C10" s="18" t="inlineStr">
        <is>
          <t>Nomor Invoice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INV-2026-06</t>
        </is>
      </c>
      <c r="E11" s="20" t="inlineStr">
        <is>
          <t>Contoh Soal:</t>
        </is>
      </c>
      <c r="F11" s="21" t="inlineStr">
        <is>
          <t>Ambil 4 karakter angka tahun dari nomor invoice di sel C11 ("INV-2026-06") mulai karakter ke-5 menggunakan fungsi MID!</t>
        </is>
      </c>
      <c r="G11" s="5" t="n"/>
    </row>
    <row r="12">
      <c r="B12" s="19" t="inlineStr">
        <is>
          <t>Simulasi Unit B</t>
        </is>
      </c>
      <c r="C12" s="19" t="inlineStr">
        <is>
          <t>INV-2025-09</t>
        </is>
      </c>
      <c r="E12" s="20" t="inlineStr">
        <is>
          <t>Contoh Rumus Benar:</t>
        </is>
      </c>
      <c r="F12" s="22" t="inlineStr">
        <is>
          <t>'=MID(C11, 5, 4)</t>
        </is>
      </c>
      <c r="G12" s="5" t="n"/>
    </row>
    <row r="13">
      <c r="B13" s="19" t="inlineStr">
        <is>
          <t>Simulasi Unit C</t>
        </is>
      </c>
      <c r="C13" s="19" t="inlineStr">
        <is>
          <t>INV-2024-11</t>
        </is>
      </c>
      <c r="E13" s="20" t="inlineStr">
        <is>
          <t>Contoh Hasil Benar:</t>
        </is>
      </c>
      <c r="F13" s="23">
        <f>MID(C11, 5, 4)</f>
        <v/>
      </c>
      <c r="G13" s="5" t="n"/>
    </row>
    <row r="14">
      <c r="B14" s="19" t="inlineStr">
        <is>
          <t>Simulasi Unit D</t>
        </is>
      </c>
      <c r="C14" s="19" t="inlineStr">
        <is>
          <t>INV-2026-12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Transaksi</t>
        </is>
      </c>
      <c r="C20" s="14" t="inlineStr">
        <is>
          <t>Nomor Invoice</t>
        </is>
      </c>
      <c r="E20" s="27" t="inlineStr">
        <is>
          <t>Persoalan Tes #1: Ambil 4 karakter angka tahun dari nomor invoice di sel C21 ("INV-2021-01") mulai karakter ke-5 menggunakan fungsi MID!</t>
        </is>
      </c>
    </row>
    <row r="21">
      <c r="B21" s="19" t="inlineStr">
        <is>
          <t>Cabang Jakarta</t>
        </is>
      </c>
      <c r="C21" s="19" t="inlineStr">
        <is>
          <t>INV-2021-01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INV-2025-09</t>
        </is>
      </c>
      <c r="E22" s="28" t="n"/>
      <c r="F22" s="29">
        <f>IF(ISBLANK(E22), "⏳ Belum Diisi (Ketik Rumus di Sel Kuning E22)", IF(E22='99_KUNCI_JAWABAN'!F270,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INV-2024-11</t>
        </is>
      </c>
    </row>
    <row r="24">
      <c r="B24" s="19" t="inlineStr">
        <is>
          <t>Cabang Medan</t>
        </is>
      </c>
      <c r="C24" s="19" t="inlineStr">
        <is>
          <t>INV-2026-12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Transaksi</t>
        </is>
      </c>
      <c r="C28" s="14" t="inlineStr">
        <is>
          <t>Nomor Invoice</t>
        </is>
      </c>
      <c r="E28" s="27" t="inlineStr">
        <is>
          <t>Persoalan Tes #2: Ambil 4 karakter angka tahun dari nomor invoice di sel C29 ("INV-2022-02") mulai karakter ke-5 menggunakan fungsi MID!</t>
        </is>
      </c>
    </row>
    <row r="29">
      <c r="B29" s="19" t="inlineStr">
        <is>
          <t>Budi Santoso</t>
        </is>
      </c>
      <c r="C29" s="19" t="inlineStr">
        <is>
          <t>INV-2022-02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INV-2025-09</t>
        </is>
      </c>
      <c r="E30" s="28" t="n"/>
      <c r="F30" s="29">
        <f>IF(ISBLANK(E30), "⏳ Belum Diisi (Ketik Rumus di Sel Kuning E30)", IF(E30='99_KUNCI_JAWABAN'!F271,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INV-2024-11</t>
        </is>
      </c>
    </row>
    <row r="32">
      <c r="B32" s="19" t="inlineStr">
        <is>
          <t>Rina Wijaya</t>
        </is>
      </c>
      <c r="C32" s="19" t="inlineStr">
        <is>
          <t>INV-2026-12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Transaksi</t>
        </is>
      </c>
      <c r="C36" s="14" t="inlineStr">
        <is>
          <t>Nomor Invoice</t>
        </is>
      </c>
      <c r="E36" s="27" t="inlineStr">
        <is>
          <t>Persoalan Tes #3: Ambil 4 karakter angka tahun dari nomor invoice di sel C37 ("INV-2023-03") mulai karakter ke-5 menggunakan fungsi MID!</t>
        </is>
      </c>
    </row>
    <row r="37">
      <c r="B37" s="19" t="inlineStr">
        <is>
          <t>Gudang Blok A</t>
        </is>
      </c>
      <c r="C37" s="19" t="inlineStr">
        <is>
          <t>INV-2023-03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INV-2025-09</t>
        </is>
      </c>
      <c r="E38" s="28" t="n"/>
      <c r="F38" s="29">
        <f>IF(ISBLANK(E38), "⏳ Belum Diisi (Ketik Rumus di Sel Kuning E38)", IF(E38='99_KUNCI_JAWABAN'!F272,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INV-2024-11</t>
        </is>
      </c>
    </row>
    <row r="40">
      <c r="B40" s="19" t="inlineStr">
        <is>
          <t>Gudang Blok D</t>
        </is>
      </c>
      <c r="C40" s="19" t="inlineStr">
        <is>
          <t>INV-2026-12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Transaksi</t>
        </is>
      </c>
      <c r="C44" s="14" t="inlineStr">
        <is>
          <t>Nomor Invoice</t>
        </is>
      </c>
      <c r="E44" s="27" t="inlineStr">
        <is>
          <t>Persoalan Tes #4: Ambil 4 karakter angka tahun dari nomor invoice di sel C45 ("INV-2024-04") mulai karakter ke-5 menggunakan fungsi MID!</t>
        </is>
      </c>
    </row>
    <row r="45">
      <c r="B45" s="19" t="inlineStr">
        <is>
          <t>Toko Elektronik</t>
        </is>
      </c>
      <c r="C45" s="19" t="inlineStr">
        <is>
          <t>INV-2024-04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INV-2025-09</t>
        </is>
      </c>
      <c r="E46" s="28" t="n"/>
      <c r="F46" s="29">
        <f>IF(ISBLANK(E46), "⏳ Belum Diisi (Ketik Rumus di Sel Kuning E46)", IF(E46='99_KUNCI_JAWABAN'!F273,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INV-2024-11</t>
        </is>
      </c>
    </row>
    <row r="48">
      <c r="B48" s="19" t="inlineStr">
        <is>
          <t>Toko Servis</t>
        </is>
      </c>
      <c r="C48" s="19" t="inlineStr">
        <is>
          <t>INV-2026-12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Transaksi</t>
        </is>
      </c>
      <c r="C52" s="14" t="inlineStr">
        <is>
          <t>Nomor Invoice</t>
        </is>
      </c>
      <c r="E52" s="27" t="inlineStr">
        <is>
          <t>Persoalan Tes #5: Ambil 4 karakter angka tahun dari nomor invoice di sel C53 ("INV-2025-05") mulai karakter ke-5 menggunakan fungsi MID!</t>
        </is>
      </c>
    </row>
    <row r="53">
      <c r="B53" s="19" t="inlineStr">
        <is>
          <t>Kelas 10 IPA</t>
        </is>
      </c>
      <c r="C53" s="19" t="inlineStr">
        <is>
          <t>INV-2025-05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INV-2025-09</t>
        </is>
      </c>
      <c r="E54" s="28" t="n"/>
      <c r="F54" s="29">
        <f>IF(ISBLANK(E54), "⏳ Belum Diisi (Ketik Rumus di Sel Kuning E54)", IF(E54='99_KUNCI_JAWABAN'!F274,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INV-2024-11</t>
        </is>
      </c>
    </row>
    <row r="56">
      <c r="B56" s="19" t="inlineStr">
        <is>
          <t>Kelas Unggulan</t>
        </is>
      </c>
      <c r="C56" s="19" t="inlineStr">
        <is>
          <t>INV-2026-12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#055 — RUMUS EXCEL: LEN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(LEN)</t>
        </is>
      </c>
    </row>
    <row r="5" ht="21" customHeight="1">
      <c r="B5" s="14" t="inlineStr">
        <is>
          <t>Nama Rumus Excel</t>
        </is>
      </c>
      <c r="C5" s="15">
        <f>LEN(...)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LEN(teks)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total panjang karakter (jumlah huruf, angka, dan spasi) di dalam sebuah sel. Wajib untuk validasi panjang NIK 16 digit!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LEN DI SINI)</t>
        </is>
      </c>
    </row>
    <row r="10">
      <c r="B10" s="18" t="inlineStr">
        <is>
          <t>Data Asal</t>
        </is>
      </c>
      <c r="C10" s="18" t="inlineStr">
        <is>
          <t>Teks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hendra wijaya</t>
        </is>
      </c>
      <c r="E11" s="20" t="inlineStr">
        <is>
          <t>Contoh Soal:</t>
        </is>
      </c>
      <c r="F11" s="21" t="inlineStr">
        <is>
          <t>Olahlah teks pada sel C11 ("hendra wijaya") menggunakan fungsi teks LEN!</t>
        </is>
      </c>
      <c r="G11" s="5" t="n"/>
    </row>
    <row r="12">
      <c r="B12" s="19" t="inlineStr">
        <is>
          <t>Simulasi Unit B</t>
        </is>
      </c>
      <c r="C12" s="19" t="inlineStr">
        <is>
          <t>jakarta pusat</t>
        </is>
      </c>
      <c r="E12" s="20" t="inlineStr">
        <is>
          <t>Contoh Rumus Benar:</t>
        </is>
      </c>
      <c r="F12" s="22" t="inlineStr">
        <is>
          <t>'=LEN(C11)</t>
        </is>
      </c>
      <c r="G12" s="5" t="n"/>
    </row>
    <row r="13">
      <c r="B13" s="19" t="inlineStr">
        <is>
          <t>Simulasi Unit C</t>
        </is>
      </c>
      <c r="C13" s="19" t="inlineStr">
        <is>
          <t>surabaya timur</t>
        </is>
      </c>
      <c r="E13" s="20" t="inlineStr">
        <is>
          <t>Contoh Hasil Benar:</t>
        </is>
      </c>
      <c r="F13" s="23">
        <f>LEN(C11)</f>
        <v/>
      </c>
      <c r="G13" s="5" t="n"/>
    </row>
    <row r="14">
      <c r="B14" s="19" t="inlineStr">
        <is>
          <t>Simulasi Unit D</t>
        </is>
      </c>
      <c r="C14" s="19" t="inlineStr">
        <is>
          <t>medan kota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Asal</t>
        </is>
      </c>
      <c r="C20" s="14" t="inlineStr">
        <is>
          <t>Teks Input</t>
        </is>
      </c>
      <c r="E20" s="27" t="inlineStr">
        <is>
          <t>Persoalan Tes #1: Olahlah teks pada sel C21 ("budi santoso") menggunakan fungsi teks LEN!</t>
        </is>
      </c>
    </row>
    <row r="21">
      <c r="B21" s="19" t="inlineStr">
        <is>
          <t>Cabang Jakarta</t>
        </is>
      </c>
      <c r="C21" s="19" t="inlineStr">
        <is>
          <t>budi santoso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jakarta pusat</t>
        </is>
      </c>
      <c r="E22" s="28" t="n"/>
      <c r="F22" s="29">
        <f>IF(ISBLANK(E22), "⏳ Belum Diisi (Ketik Rumus di Sel Kuning E22)", IF(E22='99_KUNCI_JAWABAN'!F275,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surabaya timur</t>
        </is>
      </c>
    </row>
    <row r="24">
      <c r="B24" s="19" t="inlineStr">
        <is>
          <t>Cabang Medan</t>
        </is>
      </c>
      <c r="C24" s="19" t="inlineStr">
        <is>
          <t>medan kota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Asal</t>
        </is>
      </c>
      <c r="C28" s="14" t="inlineStr">
        <is>
          <t>Teks Input</t>
        </is>
      </c>
      <c r="E28" s="27" t="inlineStr">
        <is>
          <t>Persoalan Tes #2: Olahlah teks pada sel C29 ("siti aminah") menggunakan fungsi teks LEN!</t>
        </is>
      </c>
    </row>
    <row r="29">
      <c r="B29" s="19" t="inlineStr">
        <is>
          <t>Budi Santoso</t>
        </is>
      </c>
      <c r="C29" s="19" t="inlineStr">
        <is>
          <t>siti aminah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jakarta pusat</t>
        </is>
      </c>
      <c r="E30" s="28" t="n"/>
      <c r="F30" s="29">
        <f>IF(ISBLANK(E30), "⏳ Belum Diisi (Ketik Rumus di Sel Kuning E30)", IF(E30='99_KUNCI_JAWABAN'!F276,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surabaya timur</t>
        </is>
      </c>
    </row>
    <row r="32">
      <c r="B32" s="19" t="inlineStr">
        <is>
          <t>Rina Wijaya</t>
        </is>
      </c>
      <c r="C32" s="19" t="inlineStr">
        <is>
          <t>medan kota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Asal</t>
        </is>
      </c>
      <c r="C36" s="14" t="inlineStr">
        <is>
          <t>Teks Input</t>
        </is>
      </c>
      <c r="E36" s="27" t="inlineStr">
        <is>
          <t>Persoalan Tes #3: Olahlah teks pada sel C37 ("andi pratama") menggunakan fungsi teks LEN!</t>
        </is>
      </c>
    </row>
    <row r="37">
      <c r="B37" s="19" t="inlineStr">
        <is>
          <t>Gudang Blok A</t>
        </is>
      </c>
      <c r="C37" s="19" t="inlineStr">
        <is>
          <t>andi pratama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jakarta pusat</t>
        </is>
      </c>
      <c r="E38" s="28" t="n"/>
      <c r="F38" s="29">
        <f>IF(ISBLANK(E38), "⏳ Belum Diisi (Ketik Rumus di Sel Kuning E38)", IF(E38='99_KUNCI_JAWABAN'!F277,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surabaya timur</t>
        </is>
      </c>
    </row>
    <row r="40">
      <c r="B40" s="19" t="inlineStr">
        <is>
          <t>Gudang Blok D</t>
        </is>
      </c>
      <c r="C40" s="19" t="inlineStr">
        <is>
          <t>medan kota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Asal</t>
        </is>
      </c>
      <c r="C44" s="14" t="inlineStr">
        <is>
          <t>Teks Input</t>
        </is>
      </c>
      <c r="E44" s="27" t="inlineStr">
        <is>
          <t>Persoalan Tes #4: Olahlah teks pada sel C45 ("rina wijaya") menggunakan fungsi teks LEN!</t>
        </is>
      </c>
    </row>
    <row r="45">
      <c r="B45" s="19" t="inlineStr">
        <is>
          <t>Toko Elektronik</t>
        </is>
      </c>
      <c r="C45" s="19" t="inlineStr">
        <is>
          <t>rina wijaya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jakarta pusat</t>
        </is>
      </c>
      <c r="E46" s="28" t="n"/>
      <c r="F46" s="29">
        <f>IF(ISBLANK(E46), "⏳ Belum Diisi (Ketik Rumus di Sel Kuning E46)", IF(E46='99_KUNCI_JAWABAN'!F278,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surabaya timur</t>
        </is>
      </c>
    </row>
    <row r="48">
      <c r="B48" s="19" t="inlineStr">
        <is>
          <t>Toko Servis</t>
        </is>
      </c>
      <c r="C48" s="19" t="inlineStr">
        <is>
          <t>medan kota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Asal</t>
        </is>
      </c>
      <c r="C52" s="14" t="inlineStr">
        <is>
          <t>Teks Input</t>
        </is>
      </c>
      <c r="E52" s="27" t="inlineStr">
        <is>
          <t>Persoalan Tes #5: Olahlah teks pada sel C53 ("dewi lestari") menggunakan fungsi teks LEN!</t>
        </is>
      </c>
    </row>
    <row r="53">
      <c r="B53" s="19" t="inlineStr">
        <is>
          <t>Kelas 10 IPA</t>
        </is>
      </c>
      <c r="C53" s="19" t="inlineStr">
        <is>
          <t>dewi lestari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jakarta pusat</t>
        </is>
      </c>
      <c r="E54" s="28" t="n"/>
      <c r="F54" s="29">
        <f>IF(ISBLANK(E54), "⏳ Belum Diisi (Ketik Rumus di Sel Kuning E54)", IF(E54='99_KUNCI_JAWABAN'!F279,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surabaya timur</t>
        </is>
      </c>
    </row>
    <row r="56">
      <c r="B56" s="19" t="inlineStr">
        <is>
          <t>Kelas Unggulan</t>
        </is>
      </c>
      <c r="C56" s="19" t="inlineStr">
        <is>
          <t>medan kota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#056 — RUMUS EXCEL: TRIM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(TRIM)</t>
        </is>
      </c>
    </row>
    <row r="5" ht="21" customHeight="1">
      <c r="B5" s="14" t="inlineStr">
        <is>
          <t>Nama Rumus Excel</t>
        </is>
      </c>
      <c r="C5" s="15">
        <f>TRIM(...)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TRIM(teks)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Sapu pembersih spasi! Menghapus spasi ganda yang berantakan di awal, tengah, atau akhir kalimat sehingga rapi.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TRIM DI SINI)</t>
        </is>
      </c>
    </row>
    <row r="10">
      <c r="B10" s="18" t="inlineStr">
        <is>
          <t>Data Kotor</t>
        </is>
      </c>
      <c r="C10" s="18" t="inlineStr">
        <is>
          <t>Teks Berantakan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 xml:space="preserve">  Simulasi Unit A   Data  </t>
        </is>
      </c>
      <c r="E11" s="20" t="inlineStr">
        <is>
          <t>Contoh Soal:</t>
        </is>
      </c>
      <c r="F11" s="21" t="inlineStr">
        <is>
          <t>Bersihkan spasi berlebih pada teks di sel C11 menggunakan fungsi TRIM!</t>
        </is>
      </c>
      <c r="G11" s="5" t="n"/>
    </row>
    <row r="12">
      <c r="B12" s="19" t="inlineStr">
        <is>
          <t>Simulasi Unit B</t>
        </is>
      </c>
      <c r="C12" s="19" t="inlineStr">
        <is>
          <t xml:space="preserve">  Siti  Aminah </t>
        </is>
      </c>
      <c r="E12" s="20" t="inlineStr">
        <is>
          <t>Contoh Rumus Benar:</t>
        </is>
      </c>
      <c r="F12" s="22" t="inlineStr">
        <is>
          <t>'=TRIM(C11)</t>
        </is>
      </c>
      <c r="G12" s="5" t="n"/>
    </row>
    <row r="13">
      <c r="B13" s="19" t="inlineStr">
        <is>
          <t>Simulasi Unit C</t>
        </is>
      </c>
      <c r="C13" s="19" t="inlineStr">
        <is>
          <t xml:space="preserve"> Andi   Pratama </t>
        </is>
      </c>
      <c r="E13" s="20" t="inlineStr">
        <is>
          <t>Contoh Hasil Benar:</t>
        </is>
      </c>
      <c r="F13" s="23">
        <f>TRIM(C11)</f>
        <v/>
      </c>
      <c r="G13" s="5" t="n"/>
    </row>
    <row r="14">
      <c r="B14" s="19" t="inlineStr">
        <is>
          <t>Simulasi Unit D</t>
        </is>
      </c>
      <c r="C14" s="19" t="inlineStr">
        <is>
          <t xml:space="preserve"> Rina  Wijaya 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Kotor</t>
        </is>
      </c>
      <c r="C20" s="14" t="inlineStr">
        <is>
          <t>Teks Berantakan</t>
        </is>
      </c>
      <c r="E20" s="27" t="inlineStr">
        <is>
          <t>Persoalan Tes #1: Bersihkan spasi berlebih pada teks di sel C21 menggunakan fungsi TRIM!</t>
        </is>
      </c>
    </row>
    <row r="21">
      <c r="B21" s="19" t="inlineStr">
        <is>
          <t>Cabang Jakarta</t>
        </is>
      </c>
      <c r="C21" s="19" t="inlineStr">
        <is>
          <t xml:space="preserve">  Cabang Jakarta   Data  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 xml:space="preserve">  Siti  Aminah </t>
        </is>
      </c>
      <c r="E22" s="28" t="n"/>
      <c r="F22" s="29">
        <f>IF(ISBLANK(E22), "⏳ Belum Diisi (Ketik Rumus di Sel Kuning E22)", IF(E22='99_KUNCI_JAWABAN'!F280,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 xml:space="preserve"> Andi   Pratama </t>
        </is>
      </c>
    </row>
    <row r="24">
      <c r="B24" s="19" t="inlineStr">
        <is>
          <t>Cabang Medan</t>
        </is>
      </c>
      <c r="C24" s="19" t="inlineStr">
        <is>
          <t xml:space="preserve"> Rina  Wijaya 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Kotor</t>
        </is>
      </c>
      <c r="C28" s="14" t="inlineStr">
        <is>
          <t>Teks Berantakan</t>
        </is>
      </c>
      <c r="E28" s="27" t="inlineStr">
        <is>
          <t>Persoalan Tes #2: Bersihkan spasi berlebih pada teks di sel C29 menggunakan fungsi TRIM!</t>
        </is>
      </c>
    </row>
    <row r="29">
      <c r="B29" s="19" t="inlineStr">
        <is>
          <t>Budi Santoso</t>
        </is>
      </c>
      <c r="C29" s="19" t="inlineStr">
        <is>
          <t xml:space="preserve">  Budi Santoso   Data  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 xml:space="preserve">  Siti  Aminah </t>
        </is>
      </c>
      <c r="E30" s="28" t="n"/>
      <c r="F30" s="29">
        <f>IF(ISBLANK(E30), "⏳ Belum Diisi (Ketik Rumus di Sel Kuning E30)", IF(E30='99_KUNCI_JAWABAN'!F281,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 xml:space="preserve"> Andi   Pratama </t>
        </is>
      </c>
    </row>
    <row r="32">
      <c r="B32" s="19" t="inlineStr">
        <is>
          <t>Rina Wijaya</t>
        </is>
      </c>
      <c r="C32" s="19" t="inlineStr">
        <is>
          <t xml:space="preserve"> Rina  Wijaya 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Kotor</t>
        </is>
      </c>
      <c r="C36" s="14" t="inlineStr">
        <is>
          <t>Teks Berantakan</t>
        </is>
      </c>
      <c r="E36" s="27" t="inlineStr">
        <is>
          <t>Persoalan Tes #3: Bersihkan spasi berlebih pada teks di sel C37 menggunakan fungsi TRIM!</t>
        </is>
      </c>
    </row>
    <row r="37">
      <c r="B37" s="19" t="inlineStr">
        <is>
          <t>Gudang Blok A</t>
        </is>
      </c>
      <c r="C37" s="19" t="inlineStr">
        <is>
          <t xml:space="preserve">  Gudang Blok A   Data  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 xml:space="preserve">  Siti  Aminah </t>
        </is>
      </c>
      <c r="E38" s="28" t="n"/>
      <c r="F38" s="29">
        <f>IF(ISBLANK(E38), "⏳ Belum Diisi (Ketik Rumus di Sel Kuning E38)", IF(E38='99_KUNCI_JAWABAN'!F282,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 xml:space="preserve"> Andi   Pratama </t>
        </is>
      </c>
    </row>
    <row r="40">
      <c r="B40" s="19" t="inlineStr">
        <is>
          <t>Gudang Blok D</t>
        </is>
      </c>
      <c r="C40" s="19" t="inlineStr">
        <is>
          <t xml:space="preserve"> Rina  Wijaya 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Kotor</t>
        </is>
      </c>
      <c r="C44" s="14" t="inlineStr">
        <is>
          <t>Teks Berantakan</t>
        </is>
      </c>
      <c r="E44" s="27" t="inlineStr">
        <is>
          <t>Persoalan Tes #4: Bersihkan spasi berlebih pada teks di sel C45 menggunakan fungsi TRIM!</t>
        </is>
      </c>
    </row>
    <row r="45">
      <c r="B45" s="19" t="inlineStr">
        <is>
          <t>Toko Elektronik</t>
        </is>
      </c>
      <c r="C45" s="19" t="inlineStr">
        <is>
          <t xml:space="preserve">  Toko Elektronik   Data  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 xml:space="preserve">  Siti  Aminah </t>
        </is>
      </c>
      <c r="E46" s="28" t="n"/>
      <c r="F46" s="29">
        <f>IF(ISBLANK(E46), "⏳ Belum Diisi (Ketik Rumus di Sel Kuning E46)", IF(E46='99_KUNCI_JAWABAN'!F283,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 xml:space="preserve"> Andi   Pratama </t>
        </is>
      </c>
    </row>
    <row r="48">
      <c r="B48" s="19" t="inlineStr">
        <is>
          <t>Toko Servis</t>
        </is>
      </c>
      <c r="C48" s="19" t="inlineStr">
        <is>
          <t xml:space="preserve"> Rina  Wijaya 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Kotor</t>
        </is>
      </c>
      <c r="C52" s="14" t="inlineStr">
        <is>
          <t>Teks Berantakan</t>
        </is>
      </c>
      <c r="E52" s="27" t="inlineStr">
        <is>
          <t>Persoalan Tes #5: Bersihkan spasi berlebih pada teks di sel C53 menggunakan fungsi TRIM!</t>
        </is>
      </c>
    </row>
    <row r="53">
      <c r="B53" s="19" t="inlineStr">
        <is>
          <t>Kelas 10 IPA</t>
        </is>
      </c>
      <c r="C53" s="19" t="inlineStr">
        <is>
          <t xml:space="preserve">  Kelas 10 IPA   Data  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 xml:space="preserve">  Siti  Aminah </t>
        </is>
      </c>
      <c r="E54" s="28" t="n"/>
      <c r="F54" s="29">
        <f>IF(ISBLANK(E54), "⏳ Belum Diisi (Ketik Rumus di Sel Kuning E54)", IF(E54='99_KUNCI_JAWABAN'!F284,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 xml:space="preserve"> Andi   Pratama </t>
        </is>
      </c>
    </row>
    <row r="56">
      <c r="B56" s="19" t="inlineStr">
        <is>
          <t>Kelas Unggulan</t>
        </is>
      </c>
      <c r="C56" s="19" t="inlineStr">
        <is>
          <t xml:space="preserve"> Rina  Wijaya 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#057 — RUMUS EXCEL: CLEAN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(CLEAN)</t>
        </is>
      </c>
    </row>
    <row r="5" ht="21" customHeight="1">
      <c r="B5" s="14" t="inlineStr">
        <is>
          <t>Nama Rumus Excel</t>
        </is>
      </c>
      <c r="C5" s="15">
        <f>CLEAN(...)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CLEAN(teks)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Membersihkan karakter aneh tak terlihat (non-printable characters) hasil copy-paste dari web atau sistem database.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CLEAN DI SINI)</t>
        </is>
      </c>
    </row>
    <row r="10">
      <c r="B10" s="18" t="inlineStr">
        <is>
          <t>Data Asal</t>
        </is>
      </c>
      <c r="C10" s="18" t="inlineStr">
        <is>
          <t>Teks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hendra wijaya</t>
        </is>
      </c>
      <c r="E11" s="20" t="inlineStr">
        <is>
          <t>Contoh Soal:</t>
        </is>
      </c>
      <c r="F11" s="21" t="inlineStr">
        <is>
          <t>Olahlah teks pada sel C11 ("hendra wijaya") menggunakan fungsi teks CLEAN!</t>
        </is>
      </c>
      <c r="G11" s="5" t="n"/>
    </row>
    <row r="12">
      <c r="B12" s="19" t="inlineStr">
        <is>
          <t>Simulasi Unit B</t>
        </is>
      </c>
      <c r="C12" s="19" t="inlineStr">
        <is>
          <t>jakarta pusat</t>
        </is>
      </c>
      <c r="E12" s="20" t="inlineStr">
        <is>
          <t>Contoh Rumus Benar:</t>
        </is>
      </c>
      <c r="F12" s="22" t="inlineStr">
        <is>
          <t>'=CLEAN(C11)</t>
        </is>
      </c>
      <c r="G12" s="5" t="n"/>
    </row>
    <row r="13">
      <c r="B13" s="19" t="inlineStr">
        <is>
          <t>Simulasi Unit C</t>
        </is>
      </c>
      <c r="C13" s="19" t="inlineStr">
        <is>
          <t>surabaya timur</t>
        </is>
      </c>
      <c r="E13" s="20" t="inlineStr">
        <is>
          <t>Contoh Hasil Benar:</t>
        </is>
      </c>
      <c r="F13" s="23">
        <f>CLEAN(C11)</f>
        <v/>
      </c>
      <c r="G13" s="5" t="n"/>
    </row>
    <row r="14">
      <c r="B14" s="19" t="inlineStr">
        <is>
          <t>Simulasi Unit D</t>
        </is>
      </c>
      <c r="C14" s="19" t="inlineStr">
        <is>
          <t>medan kota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Asal</t>
        </is>
      </c>
      <c r="C20" s="14" t="inlineStr">
        <is>
          <t>Teks Input</t>
        </is>
      </c>
      <c r="E20" s="27" t="inlineStr">
        <is>
          <t>Persoalan Tes #1: Olahlah teks pada sel C21 ("budi santoso") menggunakan fungsi teks CLEAN!</t>
        </is>
      </c>
    </row>
    <row r="21">
      <c r="B21" s="19" t="inlineStr">
        <is>
          <t>Cabang Jakarta</t>
        </is>
      </c>
      <c r="C21" s="19" t="inlineStr">
        <is>
          <t>budi santoso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jakarta pusat</t>
        </is>
      </c>
      <c r="E22" s="28" t="n"/>
      <c r="F22" s="29">
        <f>IF(ISBLANK(E22), "⏳ Belum Diisi (Ketik Rumus di Sel Kuning E22)", IF(E22='99_KUNCI_JAWABAN'!F285,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surabaya timur</t>
        </is>
      </c>
    </row>
    <row r="24">
      <c r="B24" s="19" t="inlineStr">
        <is>
          <t>Cabang Medan</t>
        </is>
      </c>
      <c r="C24" s="19" t="inlineStr">
        <is>
          <t>medan kota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Asal</t>
        </is>
      </c>
      <c r="C28" s="14" t="inlineStr">
        <is>
          <t>Teks Input</t>
        </is>
      </c>
      <c r="E28" s="27" t="inlineStr">
        <is>
          <t>Persoalan Tes #2: Olahlah teks pada sel C29 ("siti aminah") menggunakan fungsi teks CLEAN!</t>
        </is>
      </c>
    </row>
    <row r="29">
      <c r="B29" s="19" t="inlineStr">
        <is>
          <t>Budi Santoso</t>
        </is>
      </c>
      <c r="C29" s="19" t="inlineStr">
        <is>
          <t>siti aminah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jakarta pusat</t>
        </is>
      </c>
      <c r="E30" s="28" t="n"/>
      <c r="F30" s="29">
        <f>IF(ISBLANK(E30), "⏳ Belum Diisi (Ketik Rumus di Sel Kuning E30)", IF(E30='99_KUNCI_JAWABAN'!F286,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surabaya timur</t>
        </is>
      </c>
    </row>
    <row r="32">
      <c r="B32" s="19" t="inlineStr">
        <is>
          <t>Rina Wijaya</t>
        </is>
      </c>
      <c r="C32" s="19" t="inlineStr">
        <is>
          <t>medan kota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Asal</t>
        </is>
      </c>
      <c r="C36" s="14" t="inlineStr">
        <is>
          <t>Teks Input</t>
        </is>
      </c>
      <c r="E36" s="27" t="inlineStr">
        <is>
          <t>Persoalan Tes #3: Olahlah teks pada sel C37 ("andi pratama") menggunakan fungsi teks CLEAN!</t>
        </is>
      </c>
    </row>
    <row r="37">
      <c r="B37" s="19" t="inlineStr">
        <is>
          <t>Gudang Blok A</t>
        </is>
      </c>
      <c r="C37" s="19" t="inlineStr">
        <is>
          <t>andi pratama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jakarta pusat</t>
        </is>
      </c>
      <c r="E38" s="28" t="n"/>
      <c r="F38" s="29">
        <f>IF(ISBLANK(E38), "⏳ Belum Diisi (Ketik Rumus di Sel Kuning E38)", IF(E38='99_KUNCI_JAWABAN'!F287,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surabaya timur</t>
        </is>
      </c>
    </row>
    <row r="40">
      <c r="B40" s="19" t="inlineStr">
        <is>
          <t>Gudang Blok D</t>
        </is>
      </c>
      <c r="C40" s="19" t="inlineStr">
        <is>
          <t>medan kota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Asal</t>
        </is>
      </c>
      <c r="C44" s="14" t="inlineStr">
        <is>
          <t>Teks Input</t>
        </is>
      </c>
      <c r="E44" s="27" t="inlineStr">
        <is>
          <t>Persoalan Tes #4: Olahlah teks pada sel C45 ("rina wijaya") menggunakan fungsi teks CLEAN!</t>
        </is>
      </c>
    </row>
    <row r="45">
      <c r="B45" s="19" t="inlineStr">
        <is>
          <t>Toko Elektronik</t>
        </is>
      </c>
      <c r="C45" s="19" t="inlineStr">
        <is>
          <t>rina wijaya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jakarta pusat</t>
        </is>
      </c>
      <c r="E46" s="28" t="n"/>
      <c r="F46" s="29">
        <f>IF(ISBLANK(E46), "⏳ Belum Diisi (Ketik Rumus di Sel Kuning E46)", IF(E46='99_KUNCI_JAWABAN'!F288,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surabaya timur</t>
        </is>
      </c>
    </row>
    <row r="48">
      <c r="B48" s="19" t="inlineStr">
        <is>
          <t>Toko Servis</t>
        </is>
      </c>
      <c r="C48" s="19" t="inlineStr">
        <is>
          <t>medan kota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Asal</t>
        </is>
      </c>
      <c r="C52" s="14" t="inlineStr">
        <is>
          <t>Teks Input</t>
        </is>
      </c>
      <c r="E52" s="27" t="inlineStr">
        <is>
          <t>Persoalan Tes #5: Olahlah teks pada sel C53 ("dewi lestari") menggunakan fungsi teks CLEAN!</t>
        </is>
      </c>
    </row>
    <row r="53">
      <c r="B53" s="19" t="inlineStr">
        <is>
          <t>Kelas 10 IPA</t>
        </is>
      </c>
      <c r="C53" s="19" t="inlineStr">
        <is>
          <t>dewi lestari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jakarta pusat</t>
        </is>
      </c>
      <c r="E54" s="28" t="n"/>
      <c r="F54" s="29">
        <f>IF(ISBLANK(E54), "⏳ Belum Diisi (Ketik Rumus di Sel Kuning E54)", IF(E54='99_KUNCI_JAWABAN'!F289,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surabaya timur</t>
        </is>
      </c>
    </row>
    <row r="56">
      <c r="B56" s="19" t="inlineStr">
        <is>
          <t>Kelas Unggulan</t>
        </is>
      </c>
      <c r="C56" s="19" t="inlineStr">
        <is>
          <t>medan kota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#058 — RUMUS EXCEL: UPPER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(UPPER)</t>
        </is>
      </c>
    </row>
    <row r="5" ht="21" customHeight="1">
      <c r="B5" s="14" t="inlineStr">
        <is>
          <t>Nama Rumus Excel</t>
        </is>
      </c>
      <c r="C5" s="15">
        <f>UPPER(...)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UPPER(teks)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seluruh huruf di dalam sel menjadi HURUF BESAR (KAPITAL) semua.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UPPER DI SINI)</t>
        </is>
      </c>
    </row>
    <row r="10">
      <c r="B10" s="18" t="inlineStr">
        <is>
          <t>Data Asal</t>
        </is>
      </c>
      <c r="C10" s="18" t="inlineStr">
        <is>
          <t>Teks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hendra wijaya</t>
        </is>
      </c>
      <c r="E11" s="20" t="inlineStr">
        <is>
          <t>Contoh Soal:</t>
        </is>
      </c>
      <c r="F11" s="21" t="inlineStr">
        <is>
          <t>Olahlah teks pada sel C11 ("hendra wijaya") menggunakan fungsi teks UPPER!</t>
        </is>
      </c>
      <c r="G11" s="5" t="n"/>
    </row>
    <row r="12">
      <c r="B12" s="19" t="inlineStr">
        <is>
          <t>Simulasi Unit B</t>
        </is>
      </c>
      <c r="C12" s="19" t="inlineStr">
        <is>
          <t>jakarta pusat</t>
        </is>
      </c>
      <c r="E12" s="20" t="inlineStr">
        <is>
          <t>Contoh Rumus Benar:</t>
        </is>
      </c>
      <c r="F12" s="22" t="inlineStr">
        <is>
          <t>'=UPPER(C11)</t>
        </is>
      </c>
      <c r="G12" s="5" t="n"/>
    </row>
    <row r="13">
      <c r="B13" s="19" t="inlineStr">
        <is>
          <t>Simulasi Unit C</t>
        </is>
      </c>
      <c r="C13" s="19" t="inlineStr">
        <is>
          <t>surabaya timur</t>
        </is>
      </c>
      <c r="E13" s="20" t="inlineStr">
        <is>
          <t>Contoh Hasil Benar:</t>
        </is>
      </c>
      <c r="F13" s="23">
        <f>UPPER(C11)</f>
        <v/>
      </c>
      <c r="G13" s="5" t="n"/>
    </row>
    <row r="14">
      <c r="B14" s="19" t="inlineStr">
        <is>
          <t>Simulasi Unit D</t>
        </is>
      </c>
      <c r="C14" s="19" t="inlineStr">
        <is>
          <t>medan kota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Asal</t>
        </is>
      </c>
      <c r="C20" s="14" t="inlineStr">
        <is>
          <t>Teks Input</t>
        </is>
      </c>
      <c r="E20" s="27" t="inlineStr">
        <is>
          <t>Persoalan Tes #1: Olahlah teks pada sel C21 ("budi santoso") menggunakan fungsi teks UPPER!</t>
        </is>
      </c>
    </row>
    <row r="21">
      <c r="B21" s="19" t="inlineStr">
        <is>
          <t>Cabang Jakarta</t>
        </is>
      </c>
      <c r="C21" s="19" t="inlineStr">
        <is>
          <t>budi santoso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jakarta pusat</t>
        </is>
      </c>
      <c r="E22" s="28" t="n"/>
      <c r="F22" s="29">
        <f>IF(ISBLANK(E22), "⏳ Belum Diisi (Ketik Rumus di Sel Kuning E22)", IF(E22='99_KUNCI_JAWABAN'!F290,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surabaya timur</t>
        </is>
      </c>
    </row>
    <row r="24">
      <c r="B24" s="19" t="inlineStr">
        <is>
          <t>Cabang Medan</t>
        </is>
      </c>
      <c r="C24" s="19" t="inlineStr">
        <is>
          <t>medan kota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Asal</t>
        </is>
      </c>
      <c r="C28" s="14" t="inlineStr">
        <is>
          <t>Teks Input</t>
        </is>
      </c>
      <c r="E28" s="27" t="inlineStr">
        <is>
          <t>Persoalan Tes #2: Olahlah teks pada sel C29 ("siti aminah") menggunakan fungsi teks UPPER!</t>
        </is>
      </c>
    </row>
    <row r="29">
      <c r="B29" s="19" t="inlineStr">
        <is>
          <t>Budi Santoso</t>
        </is>
      </c>
      <c r="C29" s="19" t="inlineStr">
        <is>
          <t>siti aminah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jakarta pusat</t>
        </is>
      </c>
      <c r="E30" s="28" t="n"/>
      <c r="F30" s="29">
        <f>IF(ISBLANK(E30), "⏳ Belum Diisi (Ketik Rumus di Sel Kuning E30)", IF(E30='99_KUNCI_JAWABAN'!F291,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surabaya timur</t>
        </is>
      </c>
    </row>
    <row r="32">
      <c r="B32" s="19" t="inlineStr">
        <is>
          <t>Rina Wijaya</t>
        </is>
      </c>
      <c r="C32" s="19" t="inlineStr">
        <is>
          <t>medan kota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Asal</t>
        </is>
      </c>
      <c r="C36" s="14" t="inlineStr">
        <is>
          <t>Teks Input</t>
        </is>
      </c>
      <c r="E36" s="27" t="inlineStr">
        <is>
          <t>Persoalan Tes #3: Olahlah teks pada sel C37 ("andi pratama") menggunakan fungsi teks UPPER!</t>
        </is>
      </c>
    </row>
    <row r="37">
      <c r="B37" s="19" t="inlineStr">
        <is>
          <t>Gudang Blok A</t>
        </is>
      </c>
      <c r="C37" s="19" t="inlineStr">
        <is>
          <t>andi pratama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jakarta pusat</t>
        </is>
      </c>
      <c r="E38" s="28" t="n"/>
      <c r="F38" s="29">
        <f>IF(ISBLANK(E38), "⏳ Belum Diisi (Ketik Rumus di Sel Kuning E38)", IF(E38='99_KUNCI_JAWABAN'!F292,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surabaya timur</t>
        </is>
      </c>
    </row>
    <row r="40">
      <c r="B40" s="19" t="inlineStr">
        <is>
          <t>Gudang Blok D</t>
        </is>
      </c>
      <c r="C40" s="19" t="inlineStr">
        <is>
          <t>medan kota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Asal</t>
        </is>
      </c>
      <c r="C44" s="14" t="inlineStr">
        <is>
          <t>Teks Input</t>
        </is>
      </c>
      <c r="E44" s="27" t="inlineStr">
        <is>
          <t>Persoalan Tes #4: Olahlah teks pada sel C45 ("rina wijaya") menggunakan fungsi teks UPPER!</t>
        </is>
      </c>
    </row>
    <row r="45">
      <c r="B45" s="19" t="inlineStr">
        <is>
          <t>Toko Elektronik</t>
        </is>
      </c>
      <c r="C45" s="19" t="inlineStr">
        <is>
          <t>rina wijaya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jakarta pusat</t>
        </is>
      </c>
      <c r="E46" s="28" t="n"/>
      <c r="F46" s="29">
        <f>IF(ISBLANK(E46), "⏳ Belum Diisi (Ketik Rumus di Sel Kuning E46)", IF(E46='99_KUNCI_JAWABAN'!F293,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surabaya timur</t>
        </is>
      </c>
    </row>
    <row r="48">
      <c r="B48" s="19" t="inlineStr">
        <is>
          <t>Toko Servis</t>
        </is>
      </c>
      <c r="C48" s="19" t="inlineStr">
        <is>
          <t>medan kota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Asal</t>
        </is>
      </c>
      <c r="C52" s="14" t="inlineStr">
        <is>
          <t>Teks Input</t>
        </is>
      </c>
      <c r="E52" s="27" t="inlineStr">
        <is>
          <t>Persoalan Tes #5: Olahlah teks pada sel C53 ("dewi lestari") menggunakan fungsi teks UPPER!</t>
        </is>
      </c>
    </row>
    <row r="53">
      <c r="B53" s="19" t="inlineStr">
        <is>
          <t>Kelas 10 IPA</t>
        </is>
      </c>
      <c r="C53" s="19" t="inlineStr">
        <is>
          <t>dewi lestari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jakarta pusat</t>
        </is>
      </c>
      <c r="E54" s="28" t="n"/>
      <c r="F54" s="29">
        <f>IF(ISBLANK(E54), "⏳ Belum Diisi (Ketik Rumus di Sel Kuning E54)", IF(E54='99_KUNCI_JAWABAN'!F294,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surabaya timur</t>
        </is>
      </c>
    </row>
    <row r="56">
      <c r="B56" s="19" t="inlineStr">
        <is>
          <t>Kelas Unggulan</t>
        </is>
      </c>
      <c r="C56" s="19" t="inlineStr">
        <is>
          <t>medan kota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#059 — RUMUS EXCEL: LOWER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(LOWER)</t>
        </is>
      </c>
    </row>
    <row r="5" ht="21" customHeight="1">
      <c r="B5" s="14" t="inlineStr">
        <is>
          <t>Nama Rumus Excel</t>
        </is>
      </c>
      <c r="C5" s="15">
        <f>LOWER(...)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LOWER(teks)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seluruh huruf di dalam sel menjadi huruf kecil semua (cocok untuk merapikan alamat email).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LOWER DI SINI)</t>
        </is>
      </c>
    </row>
    <row r="10">
      <c r="B10" s="18" t="inlineStr">
        <is>
          <t>Data Asal</t>
        </is>
      </c>
      <c r="C10" s="18" t="inlineStr">
        <is>
          <t>Teks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hendra wijaya</t>
        </is>
      </c>
      <c r="E11" s="20" t="inlineStr">
        <is>
          <t>Contoh Soal:</t>
        </is>
      </c>
      <c r="F11" s="21" t="inlineStr">
        <is>
          <t>Olahlah teks pada sel C11 ("hendra wijaya") menggunakan fungsi teks LOWER!</t>
        </is>
      </c>
      <c r="G11" s="5" t="n"/>
    </row>
    <row r="12">
      <c r="B12" s="19" t="inlineStr">
        <is>
          <t>Simulasi Unit B</t>
        </is>
      </c>
      <c r="C12" s="19" t="inlineStr">
        <is>
          <t>jakarta pusat</t>
        </is>
      </c>
      <c r="E12" s="20" t="inlineStr">
        <is>
          <t>Contoh Rumus Benar:</t>
        </is>
      </c>
      <c r="F12" s="22" t="inlineStr">
        <is>
          <t>'=LOWER(C11)</t>
        </is>
      </c>
      <c r="G12" s="5" t="n"/>
    </row>
    <row r="13">
      <c r="B13" s="19" t="inlineStr">
        <is>
          <t>Simulasi Unit C</t>
        </is>
      </c>
      <c r="C13" s="19" t="inlineStr">
        <is>
          <t>surabaya timur</t>
        </is>
      </c>
      <c r="E13" s="20" t="inlineStr">
        <is>
          <t>Contoh Hasil Benar:</t>
        </is>
      </c>
      <c r="F13" s="23">
        <f>LOWER(C11)</f>
        <v/>
      </c>
      <c r="G13" s="5" t="n"/>
    </row>
    <row r="14">
      <c r="B14" s="19" t="inlineStr">
        <is>
          <t>Simulasi Unit D</t>
        </is>
      </c>
      <c r="C14" s="19" t="inlineStr">
        <is>
          <t>medan kota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Asal</t>
        </is>
      </c>
      <c r="C20" s="14" t="inlineStr">
        <is>
          <t>Teks Input</t>
        </is>
      </c>
      <c r="E20" s="27" t="inlineStr">
        <is>
          <t>Persoalan Tes #1: Olahlah teks pada sel C21 ("budi santoso") menggunakan fungsi teks LOWER!</t>
        </is>
      </c>
    </row>
    <row r="21">
      <c r="B21" s="19" t="inlineStr">
        <is>
          <t>Cabang Jakarta</t>
        </is>
      </c>
      <c r="C21" s="19" t="inlineStr">
        <is>
          <t>budi santoso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jakarta pusat</t>
        </is>
      </c>
      <c r="E22" s="28" t="n"/>
      <c r="F22" s="29">
        <f>IF(ISBLANK(E22), "⏳ Belum Diisi (Ketik Rumus di Sel Kuning E22)", IF(E22='99_KUNCI_JAWABAN'!F295,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surabaya timur</t>
        </is>
      </c>
    </row>
    <row r="24">
      <c r="B24" s="19" t="inlineStr">
        <is>
          <t>Cabang Medan</t>
        </is>
      </c>
      <c r="C24" s="19" t="inlineStr">
        <is>
          <t>medan kota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Asal</t>
        </is>
      </c>
      <c r="C28" s="14" t="inlineStr">
        <is>
          <t>Teks Input</t>
        </is>
      </c>
      <c r="E28" s="27" t="inlineStr">
        <is>
          <t>Persoalan Tes #2: Olahlah teks pada sel C29 ("siti aminah") menggunakan fungsi teks LOWER!</t>
        </is>
      </c>
    </row>
    <row r="29">
      <c r="B29" s="19" t="inlineStr">
        <is>
          <t>Budi Santoso</t>
        </is>
      </c>
      <c r="C29" s="19" t="inlineStr">
        <is>
          <t>siti aminah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jakarta pusat</t>
        </is>
      </c>
      <c r="E30" s="28" t="n"/>
      <c r="F30" s="29">
        <f>IF(ISBLANK(E30), "⏳ Belum Diisi (Ketik Rumus di Sel Kuning E30)", IF(E30='99_KUNCI_JAWABAN'!F296,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surabaya timur</t>
        </is>
      </c>
    </row>
    <row r="32">
      <c r="B32" s="19" t="inlineStr">
        <is>
          <t>Rina Wijaya</t>
        </is>
      </c>
      <c r="C32" s="19" t="inlineStr">
        <is>
          <t>medan kota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Asal</t>
        </is>
      </c>
      <c r="C36" s="14" t="inlineStr">
        <is>
          <t>Teks Input</t>
        </is>
      </c>
      <c r="E36" s="27" t="inlineStr">
        <is>
          <t>Persoalan Tes #3: Olahlah teks pada sel C37 ("andi pratama") menggunakan fungsi teks LOWER!</t>
        </is>
      </c>
    </row>
    <row r="37">
      <c r="B37" s="19" t="inlineStr">
        <is>
          <t>Gudang Blok A</t>
        </is>
      </c>
      <c r="C37" s="19" t="inlineStr">
        <is>
          <t>andi pratama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jakarta pusat</t>
        </is>
      </c>
      <c r="E38" s="28" t="n"/>
      <c r="F38" s="29">
        <f>IF(ISBLANK(E38), "⏳ Belum Diisi (Ketik Rumus di Sel Kuning E38)", IF(E38='99_KUNCI_JAWABAN'!F297,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surabaya timur</t>
        </is>
      </c>
    </row>
    <row r="40">
      <c r="B40" s="19" t="inlineStr">
        <is>
          <t>Gudang Blok D</t>
        </is>
      </c>
      <c r="C40" s="19" t="inlineStr">
        <is>
          <t>medan kota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Asal</t>
        </is>
      </c>
      <c r="C44" s="14" t="inlineStr">
        <is>
          <t>Teks Input</t>
        </is>
      </c>
      <c r="E44" s="27" t="inlineStr">
        <is>
          <t>Persoalan Tes #4: Olahlah teks pada sel C45 ("rina wijaya") menggunakan fungsi teks LOWER!</t>
        </is>
      </c>
    </row>
    <row r="45">
      <c r="B45" s="19" t="inlineStr">
        <is>
          <t>Toko Elektronik</t>
        </is>
      </c>
      <c r="C45" s="19" t="inlineStr">
        <is>
          <t>rina wijaya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jakarta pusat</t>
        </is>
      </c>
      <c r="E46" s="28" t="n"/>
      <c r="F46" s="29">
        <f>IF(ISBLANK(E46), "⏳ Belum Diisi (Ketik Rumus di Sel Kuning E46)", IF(E46='99_KUNCI_JAWABAN'!F298,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surabaya timur</t>
        </is>
      </c>
    </row>
    <row r="48">
      <c r="B48" s="19" t="inlineStr">
        <is>
          <t>Toko Servis</t>
        </is>
      </c>
      <c r="C48" s="19" t="inlineStr">
        <is>
          <t>medan kota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Asal</t>
        </is>
      </c>
      <c r="C52" s="14" t="inlineStr">
        <is>
          <t>Teks Input</t>
        </is>
      </c>
      <c r="E52" s="27" t="inlineStr">
        <is>
          <t>Persoalan Tes #5: Olahlah teks pada sel C53 ("dewi lestari") menggunakan fungsi teks LOWER!</t>
        </is>
      </c>
    </row>
    <row r="53">
      <c r="B53" s="19" t="inlineStr">
        <is>
          <t>Kelas 10 IPA</t>
        </is>
      </c>
      <c r="C53" s="19" t="inlineStr">
        <is>
          <t>dewi lestari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jakarta pusat</t>
        </is>
      </c>
      <c r="E54" s="28" t="n"/>
      <c r="F54" s="29">
        <f>IF(ISBLANK(E54), "⏳ Belum Diisi (Ketik Rumus di Sel Kuning E54)", IF(E54='99_KUNCI_JAWABAN'!F299,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surabaya timur</t>
        </is>
      </c>
    </row>
    <row r="56">
      <c r="B56" s="19" t="inlineStr">
        <is>
          <t>Kelas Unggulan</t>
        </is>
      </c>
      <c r="C56" s="19" t="inlineStr">
        <is>
          <t>medan kota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#060 — RUMUS EXCEL: PROPER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(PROPER)</t>
        </is>
      </c>
    </row>
    <row r="5" ht="21" customHeight="1">
      <c r="B5" s="14" t="inlineStr">
        <is>
          <t>Nama Rumus Excel</t>
        </is>
      </c>
      <c r="C5" s="15">
        <f>PROPER(...)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PROPER(teks)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huruf pertama di setiap awal kata menjadi Huruf Besar (Title Case), sangat cocok untuk merapikan daftar Nama Lengkap!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PROPER DI SINI)</t>
        </is>
      </c>
    </row>
    <row r="10">
      <c r="B10" s="18" t="inlineStr">
        <is>
          <t>Data Asal</t>
        </is>
      </c>
      <c r="C10" s="18" t="inlineStr">
        <is>
          <t>Teks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hendra wijaya</t>
        </is>
      </c>
      <c r="E11" s="20" t="inlineStr">
        <is>
          <t>Contoh Soal:</t>
        </is>
      </c>
      <c r="F11" s="21" t="inlineStr">
        <is>
          <t>Olahlah teks pada sel C11 ("hendra wijaya") menggunakan fungsi teks PROPER!</t>
        </is>
      </c>
      <c r="G11" s="5" t="n"/>
    </row>
    <row r="12">
      <c r="B12" s="19" t="inlineStr">
        <is>
          <t>Simulasi Unit B</t>
        </is>
      </c>
      <c r="C12" s="19" t="inlineStr">
        <is>
          <t>jakarta pusat</t>
        </is>
      </c>
      <c r="E12" s="20" t="inlineStr">
        <is>
          <t>Contoh Rumus Benar:</t>
        </is>
      </c>
      <c r="F12" s="22" t="inlineStr">
        <is>
          <t>'=PROPER(C11)</t>
        </is>
      </c>
      <c r="G12" s="5" t="n"/>
    </row>
    <row r="13">
      <c r="B13" s="19" t="inlineStr">
        <is>
          <t>Simulasi Unit C</t>
        </is>
      </c>
      <c r="C13" s="19" t="inlineStr">
        <is>
          <t>surabaya timur</t>
        </is>
      </c>
      <c r="E13" s="20" t="inlineStr">
        <is>
          <t>Contoh Hasil Benar:</t>
        </is>
      </c>
      <c r="F13" s="23">
        <f>PROPER(C11)</f>
        <v/>
      </c>
      <c r="G13" s="5" t="n"/>
    </row>
    <row r="14">
      <c r="B14" s="19" t="inlineStr">
        <is>
          <t>Simulasi Unit D</t>
        </is>
      </c>
      <c r="C14" s="19" t="inlineStr">
        <is>
          <t>medan kota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Asal</t>
        </is>
      </c>
      <c r="C20" s="14" t="inlineStr">
        <is>
          <t>Teks Input</t>
        </is>
      </c>
      <c r="E20" s="27" t="inlineStr">
        <is>
          <t>Persoalan Tes #1: Olahlah teks pada sel C21 ("budi santoso") menggunakan fungsi teks PROPER!</t>
        </is>
      </c>
    </row>
    <row r="21">
      <c r="B21" s="19" t="inlineStr">
        <is>
          <t>Cabang Jakarta</t>
        </is>
      </c>
      <c r="C21" s="19" t="inlineStr">
        <is>
          <t>budi santoso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jakarta pusat</t>
        </is>
      </c>
      <c r="E22" s="28" t="n"/>
      <c r="F22" s="29">
        <f>IF(ISBLANK(E22), "⏳ Belum Diisi (Ketik Rumus di Sel Kuning E22)", IF(E22='99_KUNCI_JAWABAN'!F300,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surabaya timur</t>
        </is>
      </c>
    </row>
    <row r="24">
      <c r="B24" s="19" t="inlineStr">
        <is>
          <t>Cabang Medan</t>
        </is>
      </c>
      <c r="C24" s="19" t="inlineStr">
        <is>
          <t>medan kota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Asal</t>
        </is>
      </c>
      <c r="C28" s="14" t="inlineStr">
        <is>
          <t>Teks Input</t>
        </is>
      </c>
      <c r="E28" s="27" t="inlineStr">
        <is>
          <t>Persoalan Tes #2: Olahlah teks pada sel C29 ("siti aminah") menggunakan fungsi teks PROPER!</t>
        </is>
      </c>
    </row>
    <row r="29">
      <c r="B29" s="19" t="inlineStr">
        <is>
          <t>Budi Santoso</t>
        </is>
      </c>
      <c r="C29" s="19" t="inlineStr">
        <is>
          <t>siti aminah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jakarta pusat</t>
        </is>
      </c>
      <c r="E30" s="28" t="n"/>
      <c r="F30" s="29">
        <f>IF(ISBLANK(E30), "⏳ Belum Diisi (Ketik Rumus di Sel Kuning E30)", IF(E30='99_KUNCI_JAWABAN'!F301,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surabaya timur</t>
        </is>
      </c>
    </row>
    <row r="32">
      <c r="B32" s="19" t="inlineStr">
        <is>
          <t>Rina Wijaya</t>
        </is>
      </c>
      <c r="C32" s="19" t="inlineStr">
        <is>
          <t>medan kota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Asal</t>
        </is>
      </c>
      <c r="C36" s="14" t="inlineStr">
        <is>
          <t>Teks Input</t>
        </is>
      </c>
      <c r="E36" s="27" t="inlineStr">
        <is>
          <t>Persoalan Tes #3: Olahlah teks pada sel C37 ("andi pratama") menggunakan fungsi teks PROPER!</t>
        </is>
      </c>
    </row>
    <row r="37">
      <c r="B37" s="19" t="inlineStr">
        <is>
          <t>Gudang Blok A</t>
        </is>
      </c>
      <c r="C37" s="19" t="inlineStr">
        <is>
          <t>andi pratama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jakarta pusat</t>
        </is>
      </c>
      <c r="E38" s="28" t="n"/>
      <c r="F38" s="29">
        <f>IF(ISBLANK(E38), "⏳ Belum Diisi (Ketik Rumus di Sel Kuning E38)", IF(E38='99_KUNCI_JAWABAN'!F302,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surabaya timur</t>
        </is>
      </c>
    </row>
    <row r="40">
      <c r="B40" s="19" t="inlineStr">
        <is>
          <t>Gudang Blok D</t>
        </is>
      </c>
      <c r="C40" s="19" t="inlineStr">
        <is>
          <t>medan kota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Asal</t>
        </is>
      </c>
      <c r="C44" s="14" t="inlineStr">
        <is>
          <t>Teks Input</t>
        </is>
      </c>
      <c r="E44" s="27" t="inlineStr">
        <is>
          <t>Persoalan Tes #4: Olahlah teks pada sel C45 ("rina wijaya") menggunakan fungsi teks PROPER!</t>
        </is>
      </c>
    </row>
    <row r="45">
      <c r="B45" s="19" t="inlineStr">
        <is>
          <t>Toko Elektronik</t>
        </is>
      </c>
      <c r="C45" s="19" t="inlineStr">
        <is>
          <t>rina wijaya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jakarta pusat</t>
        </is>
      </c>
      <c r="E46" s="28" t="n"/>
      <c r="F46" s="29">
        <f>IF(ISBLANK(E46), "⏳ Belum Diisi (Ketik Rumus di Sel Kuning E46)", IF(E46='99_KUNCI_JAWABAN'!F303,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surabaya timur</t>
        </is>
      </c>
    </row>
    <row r="48">
      <c r="B48" s="19" t="inlineStr">
        <is>
          <t>Toko Servis</t>
        </is>
      </c>
      <c r="C48" s="19" t="inlineStr">
        <is>
          <t>medan kota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Asal</t>
        </is>
      </c>
      <c r="C52" s="14" t="inlineStr">
        <is>
          <t>Teks Input</t>
        </is>
      </c>
      <c r="E52" s="27" t="inlineStr">
        <is>
          <t>Persoalan Tes #5: Olahlah teks pada sel C53 ("dewi lestari") menggunakan fungsi teks PROPER!</t>
        </is>
      </c>
    </row>
    <row r="53">
      <c r="B53" s="19" t="inlineStr">
        <is>
          <t>Kelas 10 IPA</t>
        </is>
      </c>
      <c r="C53" s="19" t="inlineStr">
        <is>
          <t>dewi lestari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jakarta pusat</t>
        </is>
      </c>
      <c r="E54" s="28" t="n"/>
      <c r="F54" s="29">
        <f>IF(ISBLANK(E54), "⏳ Belum Diisi (Ketik Rumus di Sel Kuning E54)", IF(E54='99_KUNCI_JAWABAN'!F304,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surabaya timur</t>
        </is>
      </c>
    </row>
    <row r="56">
      <c r="B56" s="19" t="inlineStr">
        <is>
          <t>Kelas Unggulan</t>
        </is>
      </c>
      <c r="C56" s="19" t="inlineStr">
        <is>
          <t>medan kota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#061 — RUMUS EXCEL: CONCATENATE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(CONCATENATE)</t>
        </is>
      </c>
    </row>
    <row r="5" ht="21" customHeight="1">
      <c r="B5" s="14" t="inlineStr">
        <is>
          <t>Nama Rumus Excel</t>
        </is>
      </c>
      <c r="C5" s="15">
        <f>CONCATENATE(...)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CONCATENATE(teks1, teks2,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Lem perekat teks! Menggabungkan isi dari beberapa sel terpisah (misal Nama Depan dan Nama Belakang) menjadi satu kalimat utuh.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CONCATENATE DI SINI)</t>
        </is>
      </c>
    </row>
    <row r="10">
      <c r="B10" s="18" t="inlineStr">
        <is>
          <t>Teks Pertama (B)</t>
        </is>
      </c>
      <c r="C10" s="18" t="inlineStr">
        <is>
          <t>Teks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</t>
        </is>
      </c>
      <c r="C11" s="19" t="inlineStr">
        <is>
          <t>Simulasi</t>
        </is>
      </c>
      <c r="E11" s="20" t="inlineStr">
        <is>
          <t>Contoh Soal:</t>
        </is>
      </c>
      <c r="F11" s="21" t="inlineStr">
        <is>
          <t>Gabungkan teks di sel B11, pemisah " - ", dan teks di sel C11 menggunakan fungsi CONCATENATE!</t>
        </is>
      </c>
      <c r="G11" s="5" t="n"/>
    </row>
    <row r="12">
      <c r="B12" s="19" t="inlineStr">
        <is>
          <t>Siti</t>
        </is>
      </c>
      <c r="C12" s="19" t="inlineStr">
        <is>
          <t>Aminah</t>
        </is>
      </c>
      <c r="E12" s="20" t="inlineStr">
        <is>
          <t>Contoh Rumus Benar:</t>
        </is>
      </c>
      <c r="F12" s="22" t="inlineStr">
        <is>
          <t>'=CONCATENATE(B11, " - ", C11)</t>
        </is>
      </c>
      <c r="G12" s="5" t="n"/>
    </row>
    <row r="13">
      <c r="B13" s="19" t="inlineStr">
        <is>
          <t>Andi</t>
        </is>
      </c>
      <c r="C13" s="19" t="inlineStr">
        <is>
          <t>Pratama</t>
        </is>
      </c>
      <c r="E13" s="20" t="inlineStr">
        <is>
          <t>Contoh Hasil Benar:</t>
        </is>
      </c>
      <c r="F13" s="23">
        <f>CONCATENATE(B11, " - ", C11)</f>
        <v/>
      </c>
      <c r="G13" s="5" t="n"/>
    </row>
    <row r="14">
      <c r="B14" s="19" t="inlineStr">
        <is>
          <t>Rina</t>
        </is>
      </c>
      <c r="C14" s="19" t="inlineStr">
        <is>
          <t>Wijaya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Teks Pertama (B)</t>
        </is>
      </c>
      <c r="C20" s="14" t="inlineStr">
        <is>
          <t>Teks Kedua (C)</t>
        </is>
      </c>
      <c r="E20" s="27" t="inlineStr">
        <is>
          <t>Persoalan Tes #1: Gabungkan teks di sel B21, pemisah " - ", dan teks di sel C21 menggunakan fungsi CONCATENATE!</t>
        </is>
      </c>
    </row>
    <row r="21">
      <c r="B21" s="19" t="inlineStr">
        <is>
          <t>Cabang</t>
        </is>
      </c>
      <c r="C21" s="19" t="inlineStr">
        <is>
          <t>Cabang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Siti</t>
        </is>
      </c>
      <c r="C22" s="19" t="inlineStr">
        <is>
          <t>Aminah</t>
        </is>
      </c>
      <c r="E22" s="28" t="n"/>
      <c r="F22" s="29">
        <f>IF(ISBLANK(E22), "⏳ Belum Diisi (Ketik Rumus di Sel Kuning E22)", IF(E22='99_KUNCI_JAWABAN'!F305, "✅ BENAR! JAWABAN TES TEPAT!", "❌ Belum Tepat (Cek Sheet Akhir: 99_KUNCI_JAWABAN)"))</f>
        <v/>
      </c>
      <c r="G22" s="5" t="n"/>
    </row>
    <row r="23">
      <c r="B23" s="19" t="inlineStr">
        <is>
          <t>Andi</t>
        </is>
      </c>
      <c r="C23" s="19" t="inlineStr">
        <is>
          <t>Pratama</t>
        </is>
      </c>
    </row>
    <row r="24">
      <c r="B24" s="19" t="inlineStr">
        <is>
          <t>Rina</t>
        </is>
      </c>
      <c r="C24" s="19" t="inlineStr">
        <is>
          <t>Wijaya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Teks Pertama (B)</t>
        </is>
      </c>
      <c r="C28" s="14" t="inlineStr">
        <is>
          <t>Teks Kedua (C)</t>
        </is>
      </c>
      <c r="E28" s="27" t="inlineStr">
        <is>
          <t>Persoalan Tes #2: Gabungkan teks di sel B29, pemisah " - ", dan teks di sel C29 menggunakan fungsi CONCATENATE!</t>
        </is>
      </c>
    </row>
    <row r="29">
      <c r="B29" s="19" t="inlineStr">
        <is>
          <t>Budi</t>
        </is>
      </c>
      <c r="C29" s="19" t="inlineStr">
        <is>
          <t>Budi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</t>
        </is>
      </c>
      <c r="C30" s="19" t="inlineStr">
        <is>
          <t>Aminah</t>
        </is>
      </c>
      <c r="E30" s="28" t="n"/>
      <c r="F30" s="29">
        <f>IF(ISBLANK(E30), "⏳ Belum Diisi (Ketik Rumus di Sel Kuning E30)", IF(E30='99_KUNCI_JAWABAN'!F306, "✅ BENAR! JAWABAN TES TEPAT!", "❌ Belum Tepat (Cek Sheet Akhir: 99_KUNCI_JAWABAN)"))</f>
        <v/>
      </c>
      <c r="G30" s="5" t="n"/>
    </row>
    <row r="31">
      <c r="B31" s="19" t="inlineStr">
        <is>
          <t>Andi</t>
        </is>
      </c>
      <c r="C31" s="19" t="inlineStr">
        <is>
          <t>Pratama</t>
        </is>
      </c>
    </row>
    <row r="32">
      <c r="B32" s="19" t="inlineStr">
        <is>
          <t>Rina</t>
        </is>
      </c>
      <c r="C32" s="19" t="inlineStr">
        <is>
          <t>Wijaya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Teks Pertama (B)</t>
        </is>
      </c>
      <c r="C36" s="14" t="inlineStr">
        <is>
          <t>Teks Kedua (C)</t>
        </is>
      </c>
      <c r="E36" s="27" t="inlineStr">
        <is>
          <t>Persoalan Tes #3: Gabungkan teks di sel B37, pemisah " - ", dan teks di sel C37 menggunakan fungsi CONCATENATE!</t>
        </is>
      </c>
    </row>
    <row r="37">
      <c r="B37" s="19" t="inlineStr">
        <is>
          <t>Gudang</t>
        </is>
      </c>
      <c r="C37" s="19" t="inlineStr">
        <is>
          <t>Gudang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Siti</t>
        </is>
      </c>
      <c r="C38" s="19" t="inlineStr">
        <is>
          <t>Aminah</t>
        </is>
      </c>
      <c r="E38" s="28" t="n"/>
      <c r="F38" s="29">
        <f>IF(ISBLANK(E38), "⏳ Belum Diisi (Ketik Rumus di Sel Kuning E38)", IF(E38='99_KUNCI_JAWABAN'!F307, "✅ BENAR! JAWABAN TES TEPAT!", "❌ Belum Tepat (Cek Sheet Akhir: 99_KUNCI_JAWABAN)"))</f>
        <v/>
      </c>
      <c r="G38" s="5" t="n"/>
    </row>
    <row r="39">
      <c r="B39" s="19" t="inlineStr">
        <is>
          <t>Andi</t>
        </is>
      </c>
      <c r="C39" s="19" t="inlineStr">
        <is>
          <t>Pratama</t>
        </is>
      </c>
    </row>
    <row r="40">
      <c r="B40" s="19" t="inlineStr">
        <is>
          <t>Rina</t>
        </is>
      </c>
      <c r="C40" s="19" t="inlineStr">
        <is>
          <t>Wijaya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Teks Pertama (B)</t>
        </is>
      </c>
      <c r="C44" s="14" t="inlineStr">
        <is>
          <t>Teks Kedua (C)</t>
        </is>
      </c>
      <c r="E44" s="27" t="inlineStr">
        <is>
          <t>Persoalan Tes #4: Gabungkan teks di sel B45, pemisah " - ", dan teks di sel C45 menggunakan fungsi CONCATENATE!</t>
        </is>
      </c>
    </row>
    <row r="45">
      <c r="B45" s="19" t="inlineStr">
        <is>
          <t>Toko</t>
        </is>
      </c>
      <c r="C45" s="19" t="inlineStr">
        <is>
          <t>Toko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Siti</t>
        </is>
      </c>
      <c r="C46" s="19" t="inlineStr">
        <is>
          <t>Aminah</t>
        </is>
      </c>
      <c r="E46" s="28" t="n"/>
      <c r="F46" s="29">
        <f>IF(ISBLANK(E46), "⏳ Belum Diisi (Ketik Rumus di Sel Kuning E46)", IF(E46='99_KUNCI_JAWABAN'!F308, "✅ BENAR! JAWABAN TES TEPAT!", "❌ Belum Tepat (Cek Sheet Akhir: 99_KUNCI_JAWABAN)"))</f>
        <v/>
      </c>
      <c r="G46" s="5" t="n"/>
    </row>
    <row r="47">
      <c r="B47" s="19" t="inlineStr">
        <is>
          <t>Andi</t>
        </is>
      </c>
      <c r="C47" s="19" t="inlineStr">
        <is>
          <t>Pratama</t>
        </is>
      </c>
    </row>
    <row r="48">
      <c r="B48" s="19" t="inlineStr">
        <is>
          <t>Rina</t>
        </is>
      </c>
      <c r="C48" s="19" t="inlineStr">
        <is>
          <t>Wijaya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Teks Pertama (B)</t>
        </is>
      </c>
      <c r="C52" s="14" t="inlineStr">
        <is>
          <t>Teks Kedua (C)</t>
        </is>
      </c>
      <c r="E52" s="27" t="inlineStr">
        <is>
          <t>Persoalan Tes #5: Gabungkan teks di sel B53, pemisah " - ", dan teks di sel C53 menggunakan fungsi CONCATENATE!</t>
        </is>
      </c>
    </row>
    <row r="53">
      <c r="B53" s="19" t="inlineStr">
        <is>
          <t>Kelas</t>
        </is>
      </c>
      <c r="C53" s="19" t="inlineStr">
        <is>
          <t>Kelas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Siti</t>
        </is>
      </c>
      <c r="C54" s="19" t="inlineStr">
        <is>
          <t>Aminah</t>
        </is>
      </c>
      <c r="E54" s="28" t="n"/>
      <c r="F54" s="29">
        <f>IF(ISBLANK(E54), "⏳ Belum Diisi (Ketik Rumus di Sel Kuning E54)", IF(E54='99_KUNCI_JAWABAN'!F309, "✅ BENAR! JAWABAN TES TEPAT!", "❌ Belum Tepat (Cek Sheet Akhir: 99_KUNCI_JAWABAN)"))</f>
        <v/>
      </c>
      <c r="G54" s="5" t="n"/>
    </row>
    <row r="55">
      <c r="B55" s="19" t="inlineStr">
        <is>
          <t>Andi</t>
        </is>
      </c>
      <c r="C55" s="19" t="inlineStr">
        <is>
          <t>Pratama</t>
        </is>
      </c>
    </row>
    <row r="56">
      <c r="B56" s="19" t="inlineStr">
        <is>
          <t>Rina</t>
        </is>
      </c>
      <c r="C56" s="19" t="inlineStr">
        <is>
          <t>Wijaya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#062 — RUMUS EXCEL: EXACT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(EXACT)</t>
        </is>
      </c>
    </row>
    <row r="5" ht="21" customHeight="1">
      <c r="B5" s="14" t="inlineStr">
        <is>
          <t>Nama Rumus Excel</t>
        </is>
      </c>
      <c r="C5" s="15">
        <f>EXACT(...)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EXACT(teks1, teks2)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Detektor kembar identik! Membandingkan apakah dua teks sama persis sampai ke huruf besar-kecilnya (Case-Sensitive).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EXACT DI SINI)</t>
        </is>
      </c>
    </row>
    <row r="10">
      <c r="B10" s="18" t="inlineStr">
        <is>
          <t>Teks Pertama (B)</t>
        </is>
      </c>
      <c r="C10" s="18" t="inlineStr">
        <is>
          <t>Teks Kedua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</t>
        </is>
      </c>
      <c r="C11" s="19" t="inlineStr">
        <is>
          <t>Simulasi</t>
        </is>
      </c>
      <c r="E11" s="20" t="inlineStr">
        <is>
          <t>Contoh Soal:</t>
        </is>
      </c>
      <c r="F11" s="21" t="inlineStr">
        <is>
          <t>Periksa apakah teks di sel B11 sama persis dengan teks di sel C11 menggunakan fungsi EXACT!</t>
        </is>
      </c>
      <c r="G11" s="5" t="n"/>
    </row>
    <row r="12">
      <c r="B12" s="19" t="inlineStr">
        <is>
          <t>Siti</t>
        </is>
      </c>
      <c r="C12" s="19" t="inlineStr">
        <is>
          <t>Aminah</t>
        </is>
      </c>
      <c r="E12" s="20" t="inlineStr">
        <is>
          <t>Contoh Rumus Benar:</t>
        </is>
      </c>
      <c r="F12" s="22" t="inlineStr">
        <is>
          <t>'=EXACT(B11, C11)</t>
        </is>
      </c>
      <c r="G12" s="5" t="n"/>
    </row>
    <row r="13">
      <c r="B13" s="19" t="inlineStr">
        <is>
          <t>Andi</t>
        </is>
      </c>
      <c r="C13" s="19" t="inlineStr">
        <is>
          <t>Pratama</t>
        </is>
      </c>
      <c r="E13" s="20" t="inlineStr">
        <is>
          <t>Contoh Hasil Benar:</t>
        </is>
      </c>
      <c r="F13" s="23">
        <f>EXACT(B11, C11)</f>
        <v/>
      </c>
      <c r="G13" s="5" t="n"/>
    </row>
    <row r="14">
      <c r="B14" s="19" t="inlineStr">
        <is>
          <t>Rina</t>
        </is>
      </c>
      <c r="C14" s="19" t="inlineStr">
        <is>
          <t>Wijaya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Teks Pertama (B)</t>
        </is>
      </c>
      <c r="C20" s="14" t="inlineStr">
        <is>
          <t>Teks Kedua (C)</t>
        </is>
      </c>
      <c r="E20" s="27" t="inlineStr">
        <is>
          <t>Persoalan Tes #1: Periksa apakah teks di sel B21 sama persis dengan teks di sel C21 menggunakan fungsi EXACT!</t>
        </is>
      </c>
    </row>
    <row r="21">
      <c r="B21" s="19" t="inlineStr">
        <is>
          <t>Cabang</t>
        </is>
      </c>
      <c r="C21" s="19" t="inlineStr">
        <is>
          <t>Cabang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Siti</t>
        </is>
      </c>
      <c r="C22" s="19" t="inlineStr">
        <is>
          <t>Aminah</t>
        </is>
      </c>
      <c r="E22" s="28" t="n"/>
      <c r="F22" s="29">
        <f>IF(ISBLANK(E22), "⏳ Belum Diisi (Ketik Rumus di Sel Kuning E22)", IF(E22='99_KUNCI_JAWABAN'!F310, "✅ BENAR! JAWABAN TES TEPAT!", "❌ Belum Tepat (Cek Sheet Akhir: 99_KUNCI_JAWABAN)"))</f>
        <v/>
      </c>
      <c r="G22" s="5" t="n"/>
    </row>
    <row r="23">
      <c r="B23" s="19" t="inlineStr">
        <is>
          <t>Andi</t>
        </is>
      </c>
      <c r="C23" s="19" t="inlineStr">
        <is>
          <t>Pratama</t>
        </is>
      </c>
    </row>
    <row r="24">
      <c r="B24" s="19" t="inlineStr">
        <is>
          <t>Rina</t>
        </is>
      </c>
      <c r="C24" s="19" t="inlineStr">
        <is>
          <t>Wijaya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Teks Pertama (B)</t>
        </is>
      </c>
      <c r="C28" s="14" t="inlineStr">
        <is>
          <t>Teks Kedua (C)</t>
        </is>
      </c>
      <c r="E28" s="27" t="inlineStr">
        <is>
          <t>Persoalan Tes #2: Periksa apakah teks di sel B29 sama persis dengan teks di sel C29 menggunakan fungsi EXACT!</t>
        </is>
      </c>
    </row>
    <row r="29">
      <c r="B29" s="19" t="inlineStr">
        <is>
          <t>Budi</t>
        </is>
      </c>
      <c r="C29" s="19" t="inlineStr">
        <is>
          <t>Budi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</t>
        </is>
      </c>
      <c r="C30" s="19" t="inlineStr">
        <is>
          <t>Aminah</t>
        </is>
      </c>
      <c r="E30" s="28" t="n"/>
      <c r="F30" s="29">
        <f>IF(ISBLANK(E30), "⏳ Belum Diisi (Ketik Rumus di Sel Kuning E30)", IF(E30='99_KUNCI_JAWABAN'!F311, "✅ BENAR! JAWABAN TES TEPAT!", "❌ Belum Tepat (Cek Sheet Akhir: 99_KUNCI_JAWABAN)"))</f>
        <v/>
      </c>
      <c r="G30" s="5" t="n"/>
    </row>
    <row r="31">
      <c r="B31" s="19" t="inlineStr">
        <is>
          <t>Andi</t>
        </is>
      </c>
      <c r="C31" s="19" t="inlineStr">
        <is>
          <t>Pratama</t>
        </is>
      </c>
    </row>
    <row r="32">
      <c r="B32" s="19" t="inlineStr">
        <is>
          <t>Rina</t>
        </is>
      </c>
      <c r="C32" s="19" t="inlineStr">
        <is>
          <t>Wijaya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Teks Pertama (B)</t>
        </is>
      </c>
      <c r="C36" s="14" t="inlineStr">
        <is>
          <t>Teks Kedua (C)</t>
        </is>
      </c>
      <c r="E36" s="27" t="inlineStr">
        <is>
          <t>Persoalan Tes #3: Periksa apakah teks di sel B37 sama persis dengan teks di sel C37 menggunakan fungsi EXACT!</t>
        </is>
      </c>
    </row>
    <row r="37">
      <c r="B37" s="19" t="inlineStr">
        <is>
          <t>Gudang</t>
        </is>
      </c>
      <c r="C37" s="19" t="inlineStr">
        <is>
          <t>Gudang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Siti</t>
        </is>
      </c>
      <c r="C38" s="19" t="inlineStr">
        <is>
          <t>Aminah</t>
        </is>
      </c>
      <c r="E38" s="28" t="n"/>
      <c r="F38" s="29">
        <f>IF(ISBLANK(E38), "⏳ Belum Diisi (Ketik Rumus di Sel Kuning E38)", IF(E38='99_KUNCI_JAWABAN'!F312, "✅ BENAR! JAWABAN TES TEPAT!", "❌ Belum Tepat (Cek Sheet Akhir: 99_KUNCI_JAWABAN)"))</f>
        <v/>
      </c>
      <c r="G38" s="5" t="n"/>
    </row>
    <row r="39">
      <c r="B39" s="19" t="inlineStr">
        <is>
          <t>Andi</t>
        </is>
      </c>
      <c r="C39" s="19" t="inlineStr">
        <is>
          <t>Pratama</t>
        </is>
      </c>
    </row>
    <row r="40">
      <c r="B40" s="19" t="inlineStr">
        <is>
          <t>Rina</t>
        </is>
      </c>
      <c r="C40" s="19" t="inlineStr">
        <is>
          <t>Wijaya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Teks Pertama (B)</t>
        </is>
      </c>
      <c r="C44" s="14" t="inlineStr">
        <is>
          <t>Teks Kedua (C)</t>
        </is>
      </c>
      <c r="E44" s="27" t="inlineStr">
        <is>
          <t>Persoalan Tes #4: Periksa apakah teks di sel B45 sama persis dengan teks di sel C45 menggunakan fungsi EXACT!</t>
        </is>
      </c>
    </row>
    <row r="45">
      <c r="B45" s="19" t="inlineStr">
        <is>
          <t>Toko</t>
        </is>
      </c>
      <c r="C45" s="19" t="inlineStr">
        <is>
          <t>Toko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Siti</t>
        </is>
      </c>
      <c r="C46" s="19" t="inlineStr">
        <is>
          <t>Aminah</t>
        </is>
      </c>
      <c r="E46" s="28" t="n"/>
      <c r="F46" s="29">
        <f>IF(ISBLANK(E46), "⏳ Belum Diisi (Ketik Rumus di Sel Kuning E46)", IF(E46='99_KUNCI_JAWABAN'!F313, "✅ BENAR! JAWABAN TES TEPAT!", "❌ Belum Tepat (Cek Sheet Akhir: 99_KUNCI_JAWABAN)"))</f>
        <v/>
      </c>
      <c r="G46" s="5" t="n"/>
    </row>
    <row r="47">
      <c r="B47" s="19" t="inlineStr">
        <is>
          <t>Andi</t>
        </is>
      </c>
      <c r="C47" s="19" t="inlineStr">
        <is>
          <t>Pratama</t>
        </is>
      </c>
    </row>
    <row r="48">
      <c r="B48" s="19" t="inlineStr">
        <is>
          <t>Rina</t>
        </is>
      </c>
      <c r="C48" s="19" t="inlineStr">
        <is>
          <t>Wijaya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Teks Pertama (B)</t>
        </is>
      </c>
      <c r="C52" s="14" t="inlineStr">
        <is>
          <t>Teks Kedua (C)</t>
        </is>
      </c>
      <c r="E52" s="27" t="inlineStr">
        <is>
          <t>Persoalan Tes #5: Periksa apakah teks di sel B53 sama persis dengan teks di sel C53 menggunakan fungsi EXACT!</t>
        </is>
      </c>
    </row>
    <row r="53">
      <c r="B53" s="19" t="inlineStr">
        <is>
          <t>Kelas</t>
        </is>
      </c>
      <c r="C53" s="19" t="inlineStr">
        <is>
          <t>Kelas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Siti</t>
        </is>
      </c>
      <c r="C54" s="19" t="inlineStr">
        <is>
          <t>Aminah</t>
        </is>
      </c>
      <c r="E54" s="28" t="n"/>
      <c r="F54" s="29">
        <f>IF(ISBLANK(E54), "⏳ Belum Diisi (Ketik Rumus di Sel Kuning E54)", IF(E54='99_KUNCI_JAWABAN'!F314, "✅ BENAR! JAWABAN TES TEPAT!", "❌ Belum Tepat (Cek Sheet Akhir: 99_KUNCI_JAWABAN)"))</f>
        <v/>
      </c>
      <c r="G54" s="5" t="n"/>
    </row>
    <row r="55">
      <c r="B55" s="19" t="inlineStr">
        <is>
          <t>Andi</t>
        </is>
      </c>
      <c r="C55" s="19" t="inlineStr">
        <is>
          <t>Pratama</t>
        </is>
      </c>
    </row>
    <row r="56">
      <c r="B56" s="19" t="inlineStr">
        <is>
          <t>Rina</t>
        </is>
      </c>
      <c r="C56" s="19" t="inlineStr">
        <is>
          <t>Wijaya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#063 — RUMUS EXCEL: FIND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(FIND)</t>
        </is>
      </c>
    </row>
    <row r="5" ht="21" customHeight="1">
      <c r="B5" s="14" t="inlineStr">
        <is>
          <t>Nama Rumus Excel</t>
        </is>
      </c>
      <c r="C5" s="15">
        <f>FIND(...)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FIND(teks_dicari, di_dalam_teks)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tahu suatu huruf atau simbol berada pada urutan karakter ke berapa (membedakan huruf besar dan kecil).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FIND DI SINI)</t>
        </is>
      </c>
    </row>
    <row r="10">
      <c r="B10" s="18" t="inlineStr">
        <is>
          <t>Cabang</t>
        </is>
      </c>
      <c r="C10" s="18" t="inlineStr">
        <is>
          <t>Kode Nomor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KODE6-001</t>
        </is>
      </c>
      <c r="E11" s="20" t="inlineStr">
        <is>
          <t>Contoh Soal:</t>
        </is>
      </c>
      <c r="F11" s="21" t="inlineStr">
        <is>
          <t>Cari nomor urut posisi karakter strip "-" di dalam sel C11 menggunakan fungsi FIND!</t>
        </is>
      </c>
      <c r="G11" s="5" t="n"/>
    </row>
    <row r="12">
      <c r="B12" s="19" t="inlineStr">
        <is>
          <t>Simulasi Unit B</t>
        </is>
      </c>
      <c r="C12" s="19" t="inlineStr">
        <is>
          <t>BDG-002</t>
        </is>
      </c>
      <c r="E12" s="20" t="inlineStr">
        <is>
          <t>Contoh Rumus Benar:</t>
        </is>
      </c>
      <c r="F12" s="22" t="inlineStr">
        <is>
          <t>'=FIND("-", C11)</t>
        </is>
      </c>
      <c r="G12" s="5" t="n"/>
    </row>
    <row r="13">
      <c r="B13" s="19" t="inlineStr">
        <is>
          <t>Simulasi Unit C</t>
        </is>
      </c>
      <c r="C13" s="19" t="inlineStr">
        <is>
          <t>SBY-003</t>
        </is>
      </c>
      <c r="E13" s="20" t="inlineStr">
        <is>
          <t>Contoh Hasil Benar:</t>
        </is>
      </c>
      <c r="F13" s="23">
        <f>FIND("-", C11)</f>
        <v/>
      </c>
      <c r="G13" s="5" t="n"/>
    </row>
    <row r="14">
      <c r="B14" s="19" t="inlineStr">
        <is>
          <t>Simulasi Unit D</t>
        </is>
      </c>
      <c r="C14" s="19" t="inlineStr">
        <is>
          <t>MDN-004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Cabang</t>
        </is>
      </c>
      <c r="C20" s="14" t="inlineStr">
        <is>
          <t>Kode Nomor</t>
        </is>
      </c>
      <c r="E20" s="27" t="inlineStr">
        <is>
          <t>Persoalan Tes #1: Cari nomor urut posisi karakter strip "-" di dalam sel C21 menggunakan fungsi FIND!</t>
        </is>
      </c>
    </row>
    <row r="21">
      <c r="B21" s="19" t="inlineStr">
        <is>
          <t>Cabang Jakarta</t>
        </is>
      </c>
      <c r="C21" s="19" t="inlineStr">
        <is>
          <t>KODE1-001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BDG-002</t>
        </is>
      </c>
      <c r="E22" s="28" t="n"/>
      <c r="F22" s="29">
        <f>IF(ISBLANK(E22), "⏳ Belum Diisi (Ketik Rumus di Sel Kuning E22)", IF(E22='99_KUNCI_JAWABAN'!F315,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SBY-003</t>
        </is>
      </c>
    </row>
    <row r="24">
      <c r="B24" s="19" t="inlineStr">
        <is>
          <t>Cabang Medan</t>
        </is>
      </c>
      <c r="C24" s="19" t="inlineStr">
        <is>
          <t>MDN-004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Cabang</t>
        </is>
      </c>
      <c r="C28" s="14" t="inlineStr">
        <is>
          <t>Kode Nomor</t>
        </is>
      </c>
      <c r="E28" s="27" t="inlineStr">
        <is>
          <t>Persoalan Tes #2: Cari nomor urut posisi karakter strip "-" di dalam sel C29 menggunakan fungsi FIND!</t>
        </is>
      </c>
    </row>
    <row r="29">
      <c r="B29" s="19" t="inlineStr">
        <is>
          <t>Budi Santoso</t>
        </is>
      </c>
      <c r="C29" s="19" t="inlineStr">
        <is>
          <t>KODE2-001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BDG-002</t>
        </is>
      </c>
      <c r="E30" s="28" t="n"/>
      <c r="F30" s="29">
        <f>IF(ISBLANK(E30), "⏳ Belum Diisi (Ketik Rumus di Sel Kuning E30)", IF(E30='99_KUNCI_JAWABAN'!F316,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SBY-003</t>
        </is>
      </c>
    </row>
    <row r="32">
      <c r="B32" s="19" t="inlineStr">
        <is>
          <t>Rina Wijaya</t>
        </is>
      </c>
      <c r="C32" s="19" t="inlineStr">
        <is>
          <t>MDN-004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Cabang</t>
        </is>
      </c>
      <c r="C36" s="14" t="inlineStr">
        <is>
          <t>Kode Nomor</t>
        </is>
      </c>
      <c r="E36" s="27" t="inlineStr">
        <is>
          <t>Persoalan Tes #3: Cari nomor urut posisi karakter strip "-" di dalam sel C37 menggunakan fungsi FIND!</t>
        </is>
      </c>
    </row>
    <row r="37">
      <c r="B37" s="19" t="inlineStr">
        <is>
          <t>Gudang Blok A</t>
        </is>
      </c>
      <c r="C37" s="19" t="inlineStr">
        <is>
          <t>KODE3-001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BDG-002</t>
        </is>
      </c>
      <c r="E38" s="28" t="n"/>
      <c r="F38" s="29">
        <f>IF(ISBLANK(E38), "⏳ Belum Diisi (Ketik Rumus di Sel Kuning E38)", IF(E38='99_KUNCI_JAWABAN'!F317,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SBY-003</t>
        </is>
      </c>
    </row>
    <row r="40">
      <c r="B40" s="19" t="inlineStr">
        <is>
          <t>Gudang Blok D</t>
        </is>
      </c>
      <c r="C40" s="19" t="inlineStr">
        <is>
          <t>MDN-004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Cabang</t>
        </is>
      </c>
      <c r="C44" s="14" t="inlineStr">
        <is>
          <t>Kode Nomor</t>
        </is>
      </c>
      <c r="E44" s="27" t="inlineStr">
        <is>
          <t>Persoalan Tes #4: Cari nomor urut posisi karakter strip "-" di dalam sel C45 menggunakan fungsi FIND!</t>
        </is>
      </c>
    </row>
    <row r="45">
      <c r="B45" s="19" t="inlineStr">
        <is>
          <t>Toko Elektronik</t>
        </is>
      </c>
      <c r="C45" s="19" t="inlineStr">
        <is>
          <t>KODE4-001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BDG-002</t>
        </is>
      </c>
      <c r="E46" s="28" t="n"/>
      <c r="F46" s="29">
        <f>IF(ISBLANK(E46), "⏳ Belum Diisi (Ketik Rumus di Sel Kuning E46)", IF(E46='99_KUNCI_JAWABAN'!F318,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SBY-003</t>
        </is>
      </c>
    </row>
    <row r="48">
      <c r="B48" s="19" t="inlineStr">
        <is>
          <t>Toko Servis</t>
        </is>
      </c>
      <c r="C48" s="19" t="inlineStr">
        <is>
          <t>MDN-004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Cabang</t>
        </is>
      </c>
      <c r="C52" s="14" t="inlineStr">
        <is>
          <t>Kode Nomor</t>
        </is>
      </c>
      <c r="E52" s="27" t="inlineStr">
        <is>
          <t>Persoalan Tes #5: Cari nomor urut posisi karakter strip "-" di dalam sel C53 menggunakan fungsi FIND!</t>
        </is>
      </c>
    </row>
    <row r="53">
      <c r="B53" s="19" t="inlineStr">
        <is>
          <t>Kelas 10 IPA</t>
        </is>
      </c>
      <c r="C53" s="19" t="inlineStr">
        <is>
          <t>KODE5-001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BDG-002</t>
        </is>
      </c>
      <c r="E54" s="28" t="n"/>
      <c r="F54" s="29">
        <f>IF(ISBLANK(E54), "⏳ Belum Diisi (Ketik Rumus di Sel Kuning E54)", IF(E54='99_KUNCI_JAWABAN'!F319,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SBY-003</t>
        </is>
      </c>
    </row>
    <row r="56">
      <c r="B56" s="19" t="inlineStr">
        <is>
          <t>Kelas Unggulan</t>
        </is>
      </c>
      <c r="C56" s="19" t="inlineStr">
        <is>
          <t>MDN-004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#064 — RUMUS EXCEL: SEARCH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(SEARCH)</t>
        </is>
      </c>
    </row>
    <row r="5" ht="21" customHeight="1">
      <c r="B5" s="14" t="inlineStr">
        <is>
          <t>Nama Rumus Excel</t>
        </is>
      </c>
      <c r="C5" s="15">
        <f>SEARCH(...)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SEARCH(teks_dicari, di_dalam_teks)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Sama seperti FIND (mencari posisi urutan huruf), tetapi TIDAK membedakan huruf besar maupun kecil!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SEARCH DI SINI)</t>
        </is>
      </c>
    </row>
    <row r="10">
      <c r="B10" s="18" t="inlineStr">
        <is>
          <t>Cabang</t>
        </is>
      </c>
      <c r="C10" s="18" t="inlineStr">
        <is>
          <t>Kode Nomor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KODE6-001</t>
        </is>
      </c>
      <c r="E11" s="20" t="inlineStr">
        <is>
          <t>Contoh Soal:</t>
        </is>
      </c>
      <c r="F11" s="21" t="inlineStr">
        <is>
          <t>Cari nomor urut posisi karakter strip "-" di dalam sel C11 menggunakan fungsi SEARCH!</t>
        </is>
      </c>
      <c r="G11" s="5" t="n"/>
    </row>
    <row r="12">
      <c r="B12" s="19" t="inlineStr">
        <is>
          <t>Simulasi Unit B</t>
        </is>
      </c>
      <c r="C12" s="19" t="inlineStr">
        <is>
          <t>BDG-002</t>
        </is>
      </c>
      <c r="E12" s="20" t="inlineStr">
        <is>
          <t>Contoh Rumus Benar:</t>
        </is>
      </c>
      <c r="F12" s="22" t="inlineStr">
        <is>
          <t>'=SEARCH("-", C11)</t>
        </is>
      </c>
      <c r="G12" s="5" t="n"/>
    </row>
    <row r="13">
      <c r="B13" s="19" t="inlineStr">
        <is>
          <t>Simulasi Unit C</t>
        </is>
      </c>
      <c r="C13" s="19" t="inlineStr">
        <is>
          <t>SBY-003</t>
        </is>
      </c>
      <c r="E13" s="20" t="inlineStr">
        <is>
          <t>Contoh Hasil Benar:</t>
        </is>
      </c>
      <c r="F13" s="23">
        <f>SEARCH("-", C11)</f>
        <v/>
      </c>
      <c r="G13" s="5" t="n"/>
    </row>
    <row r="14">
      <c r="B14" s="19" t="inlineStr">
        <is>
          <t>Simulasi Unit D</t>
        </is>
      </c>
      <c r="C14" s="19" t="inlineStr">
        <is>
          <t>MDN-004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Cabang</t>
        </is>
      </c>
      <c r="C20" s="14" t="inlineStr">
        <is>
          <t>Kode Nomor</t>
        </is>
      </c>
      <c r="E20" s="27" t="inlineStr">
        <is>
          <t>Persoalan Tes #1: Cari nomor urut posisi karakter strip "-" di dalam sel C21 menggunakan fungsi SEARCH!</t>
        </is>
      </c>
    </row>
    <row r="21">
      <c r="B21" s="19" t="inlineStr">
        <is>
          <t>Cabang Jakarta</t>
        </is>
      </c>
      <c r="C21" s="19" t="inlineStr">
        <is>
          <t>KODE1-001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BDG-002</t>
        </is>
      </c>
      <c r="E22" s="28" t="n"/>
      <c r="F22" s="29">
        <f>IF(ISBLANK(E22), "⏳ Belum Diisi (Ketik Rumus di Sel Kuning E22)", IF(E22='99_KUNCI_JAWABAN'!F320,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SBY-003</t>
        </is>
      </c>
    </row>
    <row r="24">
      <c r="B24" s="19" t="inlineStr">
        <is>
          <t>Cabang Medan</t>
        </is>
      </c>
      <c r="C24" s="19" t="inlineStr">
        <is>
          <t>MDN-004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Cabang</t>
        </is>
      </c>
      <c r="C28" s="14" t="inlineStr">
        <is>
          <t>Kode Nomor</t>
        </is>
      </c>
      <c r="E28" s="27" t="inlineStr">
        <is>
          <t>Persoalan Tes #2: Cari nomor urut posisi karakter strip "-" di dalam sel C29 menggunakan fungsi SEARCH!</t>
        </is>
      </c>
    </row>
    <row r="29">
      <c r="B29" s="19" t="inlineStr">
        <is>
          <t>Budi Santoso</t>
        </is>
      </c>
      <c r="C29" s="19" t="inlineStr">
        <is>
          <t>KODE2-001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BDG-002</t>
        </is>
      </c>
      <c r="E30" s="28" t="n"/>
      <c r="F30" s="29">
        <f>IF(ISBLANK(E30), "⏳ Belum Diisi (Ketik Rumus di Sel Kuning E30)", IF(E30='99_KUNCI_JAWABAN'!F321,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SBY-003</t>
        </is>
      </c>
    </row>
    <row r="32">
      <c r="B32" s="19" t="inlineStr">
        <is>
          <t>Rina Wijaya</t>
        </is>
      </c>
      <c r="C32" s="19" t="inlineStr">
        <is>
          <t>MDN-004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Cabang</t>
        </is>
      </c>
      <c r="C36" s="14" t="inlineStr">
        <is>
          <t>Kode Nomor</t>
        </is>
      </c>
      <c r="E36" s="27" t="inlineStr">
        <is>
          <t>Persoalan Tes #3: Cari nomor urut posisi karakter strip "-" di dalam sel C37 menggunakan fungsi SEARCH!</t>
        </is>
      </c>
    </row>
    <row r="37">
      <c r="B37" s="19" t="inlineStr">
        <is>
          <t>Gudang Blok A</t>
        </is>
      </c>
      <c r="C37" s="19" t="inlineStr">
        <is>
          <t>KODE3-001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BDG-002</t>
        </is>
      </c>
      <c r="E38" s="28" t="n"/>
      <c r="F38" s="29">
        <f>IF(ISBLANK(E38), "⏳ Belum Diisi (Ketik Rumus di Sel Kuning E38)", IF(E38='99_KUNCI_JAWABAN'!F322,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SBY-003</t>
        </is>
      </c>
    </row>
    <row r="40">
      <c r="B40" s="19" t="inlineStr">
        <is>
          <t>Gudang Blok D</t>
        </is>
      </c>
      <c r="C40" s="19" t="inlineStr">
        <is>
          <t>MDN-004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Cabang</t>
        </is>
      </c>
      <c r="C44" s="14" t="inlineStr">
        <is>
          <t>Kode Nomor</t>
        </is>
      </c>
      <c r="E44" s="27" t="inlineStr">
        <is>
          <t>Persoalan Tes #4: Cari nomor urut posisi karakter strip "-" di dalam sel C45 menggunakan fungsi SEARCH!</t>
        </is>
      </c>
    </row>
    <row r="45">
      <c r="B45" s="19" t="inlineStr">
        <is>
          <t>Toko Elektronik</t>
        </is>
      </c>
      <c r="C45" s="19" t="inlineStr">
        <is>
          <t>KODE4-001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BDG-002</t>
        </is>
      </c>
      <c r="E46" s="28" t="n"/>
      <c r="F46" s="29">
        <f>IF(ISBLANK(E46), "⏳ Belum Diisi (Ketik Rumus di Sel Kuning E46)", IF(E46='99_KUNCI_JAWABAN'!F323,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SBY-003</t>
        </is>
      </c>
    </row>
    <row r="48">
      <c r="B48" s="19" t="inlineStr">
        <is>
          <t>Toko Servis</t>
        </is>
      </c>
      <c r="C48" s="19" t="inlineStr">
        <is>
          <t>MDN-004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Cabang</t>
        </is>
      </c>
      <c r="C52" s="14" t="inlineStr">
        <is>
          <t>Kode Nomor</t>
        </is>
      </c>
      <c r="E52" s="27" t="inlineStr">
        <is>
          <t>Persoalan Tes #5: Cari nomor urut posisi karakter strip "-" di dalam sel C53 menggunakan fungsi SEARCH!</t>
        </is>
      </c>
    </row>
    <row r="53">
      <c r="B53" s="19" t="inlineStr">
        <is>
          <t>Kelas 10 IPA</t>
        </is>
      </c>
      <c r="C53" s="19" t="inlineStr">
        <is>
          <t>KODE5-001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BDG-002</t>
        </is>
      </c>
      <c r="E54" s="28" t="n"/>
      <c r="F54" s="29">
        <f>IF(ISBLANK(E54), "⏳ Belum Diisi (Ketik Rumus di Sel Kuning E54)", IF(E54='99_KUNCI_JAWABAN'!F324,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SBY-003</t>
        </is>
      </c>
    </row>
    <row r="56">
      <c r="B56" s="19" t="inlineStr">
        <is>
          <t>Kelas Unggulan</t>
        </is>
      </c>
      <c r="C56" s="19" t="inlineStr">
        <is>
          <t>MDN-004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#065 — RUMUS EXCEL: SUBSTITUTE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(SUBSTITUTE)</t>
        </is>
      </c>
    </row>
    <row r="5" ht="21" customHeight="1">
      <c r="B5" s="14" t="inlineStr">
        <is>
          <t>Nama Rumus Excel</t>
        </is>
      </c>
      <c r="C5" s="15">
        <f>SUBSTITUTE(...)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SUBSTITUTE(teks, teks_lama, teks_baru)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Mengganti kata atau simbol tertentu di dalam sel dengan kata/simbol baru secara otomatis (misal ganti tanda '-' menjadi '/').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SUBSTITUTE DI SINI)</t>
        </is>
      </c>
    </row>
    <row r="10">
      <c r="B10" s="18" t="inlineStr">
        <is>
          <t>Dokumen</t>
        </is>
      </c>
      <c r="C10" s="18" t="inlineStr">
        <is>
          <t>Tanggal Teks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2026-06-12</t>
        </is>
      </c>
      <c r="E11" s="20" t="inlineStr">
        <is>
          <t>Contoh Soal:</t>
        </is>
      </c>
      <c r="F11" s="21" t="inlineStr">
        <is>
          <t>Ubah seluruh tanda strip "-" menjadi garis miring "/" pada sel C11 menggunakan fungsi SUBSTITUTE!</t>
        </is>
      </c>
      <c r="G11" s="5" t="n"/>
    </row>
    <row r="12">
      <c r="B12" s="19" t="inlineStr">
        <is>
          <t>Simulasi Unit B</t>
        </is>
      </c>
      <c r="C12" s="19" t="inlineStr">
        <is>
          <t>2026-11-01</t>
        </is>
      </c>
      <c r="E12" s="20" t="inlineStr">
        <is>
          <t>Contoh Rumus Benar:</t>
        </is>
      </c>
      <c r="F12" s="22" t="inlineStr">
        <is>
          <t>'=SUBSTITUTE(C11, "-", "/")</t>
        </is>
      </c>
      <c r="G12" s="5" t="n"/>
    </row>
    <row r="13">
      <c r="B13" s="19" t="inlineStr">
        <is>
          <t>Simulasi Unit C</t>
        </is>
      </c>
      <c r="C13" s="19" t="inlineStr">
        <is>
          <t>2026-12-15</t>
        </is>
      </c>
      <c r="E13" s="20" t="inlineStr">
        <is>
          <t>Contoh Hasil Benar:</t>
        </is>
      </c>
      <c r="F13" s="23">
        <f>SUBSTITUTE(C11, "-", "/")</f>
        <v/>
      </c>
      <c r="G13" s="5" t="n"/>
    </row>
    <row r="14">
      <c r="B14" s="19" t="inlineStr">
        <is>
          <t>Simulasi Unit D</t>
        </is>
      </c>
      <c r="C14" s="19" t="inlineStr">
        <is>
          <t>2026-08-17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Dokumen</t>
        </is>
      </c>
      <c r="C20" s="14" t="inlineStr">
        <is>
          <t>Tanggal Teks</t>
        </is>
      </c>
      <c r="E20" s="27" t="inlineStr">
        <is>
          <t>Persoalan Tes #1: Ubah seluruh tanda strip "-" menjadi garis miring "/" pada sel C21 menggunakan fungsi SUBSTITUTE!</t>
        </is>
      </c>
    </row>
    <row r="21">
      <c r="B21" s="19" t="inlineStr">
        <is>
          <t>Cabang Jakarta</t>
        </is>
      </c>
      <c r="C21" s="19" t="inlineStr">
        <is>
          <t>2026-01-12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2026-11-01</t>
        </is>
      </c>
      <c r="E22" s="28" t="n"/>
      <c r="F22" s="29">
        <f>IF(ISBLANK(E22), "⏳ Belum Diisi (Ketik Rumus di Sel Kuning E22)", IF(E22='99_KUNCI_JAWABAN'!F325,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2026-12-15</t>
        </is>
      </c>
    </row>
    <row r="24">
      <c r="B24" s="19" t="inlineStr">
        <is>
          <t>Cabang Medan</t>
        </is>
      </c>
      <c r="C24" s="19" t="inlineStr">
        <is>
          <t>2026-08-17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Dokumen</t>
        </is>
      </c>
      <c r="C28" s="14" t="inlineStr">
        <is>
          <t>Tanggal Teks</t>
        </is>
      </c>
      <c r="E28" s="27" t="inlineStr">
        <is>
          <t>Persoalan Tes #2: Ubah seluruh tanda strip "-" menjadi garis miring "/" pada sel C29 menggunakan fungsi SUBSTITUTE!</t>
        </is>
      </c>
    </row>
    <row r="29">
      <c r="B29" s="19" t="inlineStr">
        <is>
          <t>Budi Santoso</t>
        </is>
      </c>
      <c r="C29" s="19" t="inlineStr">
        <is>
          <t>2026-02-12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2026-11-01</t>
        </is>
      </c>
      <c r="E30" s="28" t="n"/>
      <c r="F30" s="29">
        <f>IF(ISBLANK(E30), "⏳ Belum Diisi (Ketik Rumus di Sel Kuning E30)", IF(E30='99_KUNCI_JAWABAN'!F326,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2026-12-15</t>
        </is>
      </c>
    </row>
    <row r="32">
      <c r="B32" s="19" t="inlineStr">
        <is>
          <t>Rina Wijaya</t>
        </is>
      </c>
      <c r="C32" s="19" t="inlineStr">
        <is>
          <t>2026-08-17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Dokumen</t>
        </is>
      </c>
      <c r="C36" s="14" t="inlineStr">
        <is>
          <t>Tanggal Teks</t>
        </is>
      </c>
      <c r="E36" s="27" t="inlineStr">
        <is>
          <t>Persoalan Tes #3: Ubah seluruh tanda strip "-" menjadi garis miring "/" pada sel C37 menggunakan fungsi SUBSTITUTE!</t>
        </is>
      </c>
    </row>
    <row r="37">
      <c r="B37" s="19" t="inlineStr">
        <is>
          <t>Gudang Blok A</t>
        </is>
      </c>
      <c r="C37" s="19" t="inlineStr">
        <is>
          <t>2026-03-12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2026-11-01</t>
        </is>
      </c>
      <c r="E38" s="28" t="n"/>
      <c r="F38" s="29">
        <f>IF(ISBLANK(E38), "⏳ Belum Diisi (Ketik Rumus di Sel Kuning E38)", IF(E38='99_KUNCI_JAWABAN'!F327,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2026-12-15</t>
        </is>
      </c>
    </row>
    <row r="40">
      <c r="B40" s="19" t="inlineStr">
        <is>
          <t>Gudang Blok D</t>
        </is>
      </c>
      <c r="C40" s="19" t="inlineStr">
        <is>
          <t>2026-08-17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Dokumen</t>
        </is>
      </c>
      <c r="C44" s="14" t="inlineStr">
        <is>
          <t>Tanggal Teks</t>
        </is>
      </c>
      <c r="E44" s="27" t="inlineStr">
        <is>
          <t>Persoalan Tes #4: Ubah seluruh tanda strip "-" menjadi garis miring "/" pada sel C45 menggunakan fungsi SUBSTITUTE!</t>
        </is>
      </c>
    </row>
    <row r="45">
      <c r="B45" s="19" t="inlineStr">
        <is>
          <t>Toko Elektronik</t>
        </is>
      </c>
      <c r="C45" s="19" t="inlineStr">
        <is>
          <t>2026-04-12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2026-11-01</t>
        </is>
      </c>
      <c r="E46" s="28" t="n"/>
      <c r="F46" s="29">
        <f>IF(ISBLANK(E46), "⏳ Belum Diisi (Ketik Rumus di Sel Kuning E46)", IF(E46='99_KUNCI_JAWABAN'!F328,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2026-12-15</t>
        </is>
      </c>
    </row>
    <row r="48">
      <c r="B48" s="19" t="inlineStr">
        <is>
          <t>Toko Servis</t>
        </is>
      </c>
      <c r="C48" s="19" t="inlineStr">
        <is>
          <t>2026-08-17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Dokumen</t>
        </is>
      </c>
      <c r="C52" s="14" t="inlineStr">
        <is>
          <t>Tanggal Teks</t>
        </is>
      </c>
      <c r="E52" s="27" t="inlineStr">
        <is>
          <t>Persoalan Tes #5: Ubah seluruh tanda strip "-" menjadi garis miring "/" pada sel C53 menggunakan fungsi SUBSTITUTE!</t>
        </is>
      </c>
    </row>
    <row r="53">
      <c r="B53" s="19" t="inlineStr">
        <is>
          <t>Kelas 10 IPA</t>
        </is>
      </c>
      <c r="C53" s="19" t="inlineStr">
        <is>
          <t>2026-05-12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2026-11-01</t>
        </is>
      </c>
      <c r="E54" s="28" t="n"/>
      <c r="F54" s="29">
        <f>IF(ISBLANK(E54), "⏳ Belum Diisi (Ketik Rumus di Sel Kuning E54)", IF(E54='99_KUNCI_JAWABAN'!F329,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2026-12-15</t>
        </is>
      </c>
    </row>
    <row r="56">
      <c r="B56" s="19" t="inlineStr">
        <is>
          <t>Kelas Unggulan</t>
        </is>
      </c>
      <c r="C56" s="19" t="inlineStr">
        <is>
          <t>2026-08-17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#066 — RUMUS EXCEL: REPLACE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(REPLACE)</t>
        </is>
      </c>
    </row>
    <row r="5" ht="21" customHeight="1">
      <c r="B5" s="14" t="inlineStr">
        <is>
          <t>Nama Rumus Excel</t>
        </is>
      </c>
      <c r="C5" s="15">
        <f>REPLACE(...)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REPLACE(teks_lama, posisi_mulai, jumlah_diganti, teks_baru)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Mengganti sebagian isi teks berdasarkan posisi nomor urut karakter dan panjang huruf yang ingin ditimpa.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REPLACE DI SINI)</t>
        </is>
      </c>
    </row>
    <row r="10">
      <c r="B10" s="18" t="inlineStr">
        <is>
          <t>Wilayah</t>
        </is>
      </c>
      <c r="C10" s="18" t="inlineStr">
        <is>
          <t>Kode Lama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ID-10555</t>
        </is>
      </c>
      <c r="E11" s="20" t="inlineStr">
        <is>
          <t>Contoh Soal:</t>
        </is>
      </c>
      <c r="F11" s="21" t="inlineStr">
        <is>
          <t>Ganti 2 karakter pertama mulai posisi ke-1 pada sel C11 dengan teks "INA" menggunakan fungsi REPLACE!</t>
        </is>
      </c>
      <c r="G11" s="5" t="n"/>
    </row>
    <row r="12">
      <c r="B12" s="19" t="inlineStr">
        <is>
          <t>Simulasi Unit B</t>
        </is>
      </c>
      <c r="C12" s="19" t="inlineStr">
        <is>
          <t>ID-67890</t>
        </is>
      </c>
      <c r="E12" s="20" t="inlineStr">
        <is>
          <t>Contoh Rumus Benar:</t>
        </is>
      </c>
      <c r="F12" s="22" t="inlineStr">
        <is>
          <t>'=REPLACE(C11, 1, 2, "INA")</t>
        </is>
      </c>
      <c r="G12" s="5" t="n"/>
    </row>
    <row r="13">
      <c r="B13" s="19" t="inlineStr">
        <is>
          <t>Simulasi Unit C</t>
        </is>
      </c>
      <c r="C13" s="19" t="inlineStr">
        <is>
          <t>ID-54321</t>
        </is>
      </c>
      <c r="E13" s="20" t="inlineStr">
        <is>
          <t>Contoh Hasil Benar:</t>
        </is>
      </c>
      <c r="F13" s="23">
        <f>REPLACE(C11, 1, 2, "INA")</f>
        <v/>
      </c>
      <c r="G13" s="5" t="n"/>
    </row>
    <row r="14">
      <c r="B14" s="19" t="inlineStr">
        <is>
          <t>Simulasi Unit D</t>
        </is>
      </c>
      <c r="C14" s="19" t="inlineStr">
        <is>
          <t>ID-98765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Wilayah</t>
        </is>
      </c>
      <c r="C20" s="14" t="inlineStr">
        <is>
          <t>Kode Lama</t>
        </is>
      </c>
      <c r="E20" s="27" t="inlineStr">
        <is>
          <t>Persoalan Tes #1: Ganti 2 karakter pertama mulai posisi ke-1 pada sel C21 dengan teks "INA" menggunakan fungsi REPLACE!</t>
        </is>
      </c>
    </row>
    <row r="21">
      <c r="B21" s="19" t="inlineStr">
        <is>
          <t>Cabang Jakarta</t>
        </is>
      </c>
      <c r="C21" s="19" t="inlineStr">
        <is>
          <t>ID-10000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ID-67890</t>
        </is>
      </c>
      <c r="E22" s="28" t="n"/>
      <c r="F22" s="29">
        <f>IF(ISBLANK(E22), "⏳ Belum Diisi (Ketik Rumus di Sel Kuning E22)", IF(E22='99_KUNCI_JAWABAN'!F330,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ID-54321</t>
        </is>
      </c>
    </row>
    <row r="24">
      <c r="B24" s="19" t="inlineStr">
        <is>
          <t>Cabang Medan</t>
        </is>
      </c>
      <c r="C24" s="19" t="inlineStr">
        <is>
          <t>ID-98765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Wilayah</t>
        </is>
      </c>
      <c r="C28" s="14" t="inlineStr">
        <is>
          <t>Kode Lama</t>
        </is>
      </c>
      <c r="E28" s="27" t="inlineStr">
        <is>
          <t>Persoalan Tes #2: Ganti 2 karakter pertama mulai posisi ke-1 pada sel C29 dengan teks "INA" menggunakan fungsi REPLACE!</t>
        </is>
      </c>
    </row>
    <row r="29">
      <c r="B29" s="19" t="inlineStr">
        <is>
          <t>Budi Santoso</t>
        </is>
      </c>
      <c r="C29" s="19" t="inlineStr">
        <is>
          <t>ID-10111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ID-67890</t>
        </is>
      </c>
      <c r="E30" s="28" t="n"/>
      <c r="F30" s="29">
        <f>IF(ISBLANK(E30), "⏳ Belum Diisi (Ketik Rumus di Sel Kuning E30)", IF(E30='99_KUNCI_JAWABAN'!F331,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ID-54321</t>
        </is>
      </c>
    </row>
    <row r="32">
      <c r="B32" s="19" t="inlineStr">
        <is>
          <t>Rina Wijaya</t>
        </is>
      </c>
      <c r="C32" s="19" t="inlineStr">
        <is>
          <t>ID-98765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Wilayah</t>
        </is>
      </c>
      <c r="C36" s="14" t="inlineStr">
        <is>
          <t>Kode Lama</t>
        </is>
      </c>
      <c r="E36" s="27" t="inlineStr">
        <is>
          <t>Persoalan Tes #3: Ganti 2 karakter pertama mulai posisi ke-1 pada sel C37 dengan teks "INA" menggunakan fungsi REPLACE!</t>
        </is>
      </c>
    </row>
    <row r="37">
      <c r="B37" s="19" t="inlineStr">
        <is>
          <t>Gudang Blok A</t>
        </is>
      </c>
      <c r="C37" s="19" t="inlineStr">
        <is>
          <t>ID-10222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ID-67890</t>
        </is>
      </c>
      <c r="E38" s="28" t="n"/>
      <c r="F38" s="29">
        <f>IF(ISBLANK(E38), "⏳ Belum Diisi (Ketik Rumus di Sel Kuning E38)", IF(E38='99_KUNCI_JAWABAN'!F332,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ID-54321</t>
        </is>
      </c>
    </row>
    <row r="40">
      <c r="B40" s="19" t="inlineStr">
        <is>
          <t>Gudang Blok D</t>
        </is>
      </c>
      <c r="C40" s="19" t="inlineStr">
        <is>
          <t>ID-98765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Wilayah</t>
        </is>
      </c>
      <c r="C44" s="14" t="inlineStr">
        <is>
          <t>Kode Lama</t>
        </is>
      </c>
      <c r="E44" s="27" t="inlineStr">
        <is>
          <t>Persoalan Tes #4: Ganti 2 karakter pertama mulai posisi ke-1 pada sel C45 dengan teks "INA" menggunakan fungsi REPLACE!</t>
        </is>
      </c>
    </row>
    <row r="45">
      <c r="B45" s="19" t="inlineStr">
        <is>
          <t>Toko Elektronik</t>
        </is>
      </c>
      <c r="C45" s="19" t="inlineStr">
        <is>
          <t>ID-10333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ID-67890</t>
        </is>
      </c>
      <c r="E46" s="28" t="n"/>
      <c r="F46" s="29">
        <f>IF(ISBLANK(E46), "⏳ Belum Diisi (Ketik Rumus di Sel Kuning E46)", IF(E46='99_KUNCI_JAWABAN'!F333,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ID-54321</t>
        </is>
      </c>
    </row>
    <row r="48">
      <c r="B48" s="19" t="inlineStr">
        <is>
          <t>Toko Servis</t>
        </is>
      </c>
      <c r="C48" s="19" t="inlineStr">
        <is>
          <t>ID-98765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Wilayah</t>
        </is>
      </c>
      <c r="C52" s="14" t="inlineStr">
        <is>
          <t>Kode Lama</t>
        </is>
      </c>
      <c r="E52" s="27" t="inlineStr">
        <is>
          <t>Persoalan Tes #5: Ganti 2 karakter pertama mulai posisi ke-1 pada sel C53 dengan teks "INA" menggunakan fungsi REPLACE!</t>
        </is>
      </c>
    </row>
    <row r="53">
      <c r="B53" s="19" t="inlineStr">
        <is>
          <t>Kelas 10 IPA</t>
        </is>
      </c>
      <c r="C53" s="19" t="inlineStr">
        <is>
          <t>ID-10444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ID-67890</t>
        </is>
      </c>
      <c r="E54" s="28" t="n"/>
      <c r="F54" s="29">
        <f>IF(ISBLANK(E54), "⏳ Belum Diisi (Ketik Rumus di Sel Kuning E54)", IF(E54='99_KUNCI_JAWABAN'!F334,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ID-54321</t>
        </is>
      </c>
    </row>
    <row r="56">
      <c r="B56" s="19" t="inlineStr">
        <is>
          <t>Kelas Unggulan</t>
        </is>
      </c>
      <c r="C56" s="19" t="inlineStr">
        <is>
          <t>ID-98765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#067 — RUMUS EXCEL: REPT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(REPT)</t>
        </is>
      </c>
    </row>
    <row r="5" ht="21" customHeight="1">
      <c r="B5" s="14" t="inlineStr">
        <is>
          <t>Nama Rumus Excel</t>
        </is>
      </c>
      <c r="C5" s="15">
        <f>REPT(...)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REPT(teks, jumlah_ulang)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Mengulang teks atau simbol berkali-kali (sering dipakai membuat grafik bintang ⭐⭐⭐⭐⭐ langsung di dalam sel Excel!).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REPT DI SINI)</t>
        </is>
      </c>
    </row>
    <row r="10">
      <c r="B10" s="18" t="inlineStr">
        <is>
          <t>Karyawan</t>
        </is>
      </c>
      <c r="C10" s="18" t="inlineStr">
        <is>
          <t>Rating Bintang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2</v>
      </c>
      <c r="E11" s="20" t="inlineStr">
        <is>
          <t>Contoh Soal:</t>
        </is>
      </c>
      <c r="F11" s="21" t="inlineStr">
        <is>
          <t>Ulang simbol bintang "*" sebanyak angka rating di sel C11 (2) menggunakan fungsi REPT!</t>
        </is>
      </c>
      <c r="G11" s="5" t="n"/>
    </row>
    <row r="12">
      <c r="B12" s="19" t="inlineStr">
        <is>
          <t>Simulasi Unit B</t>
        </is>
      </c>
      <c r="C12" s="19" t="n">
        <v>4</v>
      </c>
      <c r="E12" s="20" t="inlineStr">
        <is>
          <t>Contoh Rumus Benar:</t>
        </is>
      </c>
      <c r="F12" s="22" t="inlineStr">
        <is>
          <t>'=REPT("*", C11)</t>
        </is>
      </c>
      <c r="G12" s="5" t="n"/>
    </row>
    <row r="13">
      <c r="B13" s="19" t="inlineStr">
        <is>
          <t>Simulasi Unit C</t>
        </is>
      </c>
      <c r="C13" s="19" t="n">
        <v>5</v>
      </c>
      <c r="E13" s="20" t="inlineStr">
        <is>
          <t>Contoh Hasil Benar:</t>
        </is>
      </c>
      <c r="F13" s="23">
        <f>REPT("*", C11)</f>
        <v/>
      </c>
      <c r="G13" s="5" t="n"/>
    </row>
    <row r="14">
      <c r="B14" s="19" t="inlineStr">
        <is>
          <t>Simulasi Unit D</t>
        </is>
      </c>
      <c r="C14" s="19" t="n">
        <v>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Karyawan</t>
        </is>
      </c>
      <c r="C20" s="14" t="inlineStr">
        <is>
          <t>Rating Bintang</t>
        </is>
      </c>
      <c r="E20" s="27" t="inlineStr">
        <is>
          <t>Persoalan Tes #1: Ulang simbol bintang "*" sebanyak angka rating di sel C21 (2) menggunakan fungsi REPT!</t>
        </is>
      </c>
    </row>
    <row r="21">
      <c r="B21" s="19" t="inlineStr">
        <is>
          <t>Cabang Jakarta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4</v>
      </c>
      <c r="E22" s="28" t="n"/>
      <c r="F22" s="29">
        <f>IF(ISBLANK(E22), "⏳ Belum Diisi (Ketik Rumus di Sel Kuning E22)", IF(E22='99_KUNCI_JAWABAN'!F335,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5</v>
      </c>
    </row>
    <row r="24">
      <c r="B24" s="19" t="inlineStr">
        <is>
          <t>Cabang Medan</t>
        </is>
      </c>
      <c r="C24" s="19" t="n">
        <v>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Karyawan</t>
        </is>
      </c>
      <c r="C28" s="14" t="inlineStr">
        <is>
          <t>Rating Bintang</t>
        </is>
      </c>
      <c r="E28" s="27" t="inlineStr">
        <is>
          <t>Persoalan Tes #2: Ulang simbol bintang "*" sebanyak angka rating di sel C29 (3) menggunakan fungsi REPT!</t>
        </is>
      </c>
    </row>
    <row r="29">
      <c r="B29" s="19" t="inlineStr">
        <is>
          <t>Budi Santoso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4</v>
      </c>
      <c r="E30" s="28" t="n"/>
      <c r="F30" s="29">
        <f>IF(ISBLANK(E30), "⏳ Belum Diisi (Ketik Rumus di Sel Kuning E30)", IF(E30='99_KUNCI_JAWABAN'!F336,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5</v>
      </c>
    </row>
    <row r="32">
      <c r="B32" s="19" t="inlineStr">
        <is>
          <t>Rina Wijaya</t>
        </is>
      </c>
      <c r="C32" s="19" t="n">
        <v>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Karyawan</t>
        </is>
      </c>
      <c r="C36" s="14" t="inlineStr">
        <is>
          <t>Rating Bintang</t>
        </is>
      </c>
      <c r="E36" s="27" t="inlineStr">
        <is>
          <t>Persoalan Tes #3: Ulang simbol bintang "*" sebanyak angka rating di sel C37 (4) menggunakan fungsi REPT!</t>
        </is>
      </c>
    </row>
    <row r="37">
      <c r="B37" s="19" t="inlineStr">
        <is>
          <t>Gudang Blok A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4</v>
      </c>
      <c r="E38" s="28" t="n"/>
      <c r="F38" s="29">
        <f>IF(ISBLANK(E38), "⏳ Belum Diisi (Ketik Rumus di Sel Kuning E38)", IF(E38='99_KUNCI_JAWABAN'!F337,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5</v>
      </c>
    </row>
    <row r="40">
      <c r="B40" s="19" t="inlineStr">
        <is>
          <t>Gudang Blok D</t>
        </is>
      </c>
      <c r="C40" s="19" t="n">
        <v>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Karyawan</t>
        </is>
      </c>
      <c r="C44" s="14" t="inlineStr">
        <is>
          <t>Rating Bintang</t>
        </is>
      </c>
      <c r="E44" s="27" t="inlineStr">
        <is>
          <t>Persoalan Tes #4: Ulang simbol bintang "*" sebanyak angka rating di sel C45 (5) menggunakan fungsi REPT!</t>
        </is>
      </c>
    </row>
    <row r="45">
      <c r="B45" s="19" t="inlineStr">
        <is>
          <t>Toko Elektronik</t>
        </is>
      </c>
      <c r="C45" s="19" t="n">
        <v>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4</v>
      </c>
      <c r="E46" s="28" t="n"/>
      <c r="F46" s="29">
        <f>IF(ISBLANK(E46), "⏳ Belum Diisi (Ketik Rumus di Sel Kuning E46)", IF(E46='99_KUNCI_JAWABAN'!F338,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5</v>
      </c>
    </row>
    <row r="48">
      <c r="B48" s="19" t="inlineStr">
        <is>
          <t>Toko Servis</t>
        </is>
      </c>
      <c r="C48" s="19" t="n">
        <v>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Karyawan</t>
        </is>
      </c>
      <c r="C52" s="14" t="inlineStr">
        <is>
          <t>Rating Bintang</t>
        </is>
      </c>
      <c r="E52" s="27" t="inlineStr">
        <is>
          <t>Persoalan Tes #5: Ulang simbol bintang "*" sebanyak angka rating di sel C53 (6) menggunakan fungsi REPT!</t>
        </is>
      </c>
    </row>
    <row r="53">
      <c r="B53" s="19" t="inlineStr">
        <is>
          <t>Kelas 10 IPA</t>
        </is>
      </c>
      <c r="C53" s="19" t="n">
        <v>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4</v>
      </c>
      <c r="E54" s="28" t="n"/>
      <c r="F54" s="29">
        <f>IF(ISBLANK(E54), "⏳ Belum Diisi (Ketik Rumus di Sel Kuning E54)", IF(E54='99_KUNCI_JAWABAN'!F339,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5</v>
      </c>
    </row>
    <row r="56">
      <c r="B56" s="19" t="inlineStr">
        <is>
          <t>Kelas Unggulan</t>
        </is>
      </c>
      <c r="C56" s="19" t="n">
        <v>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#068 — RUMUS EXCEL: VALUE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(VALUE)</t>
        </is>
      </c>
    </row>
    <row r="5" ht="21" customHeight="1">
      <c r="B5" s="14" t="inlineStr">
        <is>
          <t>Nama Rumus Excel</t>
        </is>
      </c>
      <c r="C5" s="15">
        <f>VALUE(...)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VALUE(teks_angka)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yang berstatus 'Teks' (biasanya rata kiri dan tidak bisa di-SUM) kembali menjadi Angka Murni yang bisa dihitung!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VALUE DI SINI)</t>
        </is>
      </c>
    </row>
    <row r="10">
      <c r="B10" s="18" t="inlineStr">
        <is>
          <t>Item</t>
        </is>
      </c>
      <c r="C10" s="18" t="inlineStr">
        <is>
          <t>Teks Angka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inlineStr">
        <is>
          <t>3250</t>
        </is>
      </c>
      <c r="E11" s="20" t="inlineStr">
        <is>
          <t>Contoh Soal:</t>
        </is>
      </c>
      <c r="F11" s="21" t="inlineStr">
        <is>
          <t>Konversikan teks angka pada sel C11 menjadi tipe data angka murni menggunakan fungsi VALUE!</t>
        </is>
      </c>
      <c r="G11" s="5" t="n"/>
    </row>
    <row r="12">
      <c r="B12" s="19" t="inlineStr">
        <is>
          <t>Simulasi Unit B</t>
        </is>
      </c>
      <c r="C12" s="19" t="inlineStr">
        <is>
          <t>2500</t>
        </is>
      </c>
      <c r="E12" s="20" t="inlineStr">
        <is>
          <t>Contoh Rumus Benar:</t>
        </is>
      </c>
      <c r="F12" s="22" t="inlineStr">
        <is>
          <t>'=VALUE(C11)</t>
        </is>
      </c>
      <c r="G12" s="5" t="n"/>
    </row>
    <row r="13">
      <c r="B13" s="19" t="inlineStr">
        <is>
          <t>Simulasi Unit C</t>
        </is>
      </c>
      <c r="C13" s="19" t="inlineStr">
        <is>
          <t>3500</t>
        </is>
      </c>
      <c r="E13" s="20" t="inlineStr">
        <is>
          <t>Contoh Hasil Benar:</t>
        </is>
      </c>
      <c r="F13" s="23">
        <f>VALUE(C11)</f>
        <v/>
      </c>
      <c r="G13" s="5" t="n"/>
    </row>
    <row r="14">
      <c r="B14" s="19" t="inlineStr">
        <is>
          <t>Simulasi Unit D</t>
        </is>
      </c>
      <c r="C14" s="19" t="inlineStr">
        <is>
          <t>4500</t>
        </is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Item</t>
        </is>
      </c>
      <c r="C20" s="14" t="inlineStr">
        <is>
          <t>Teks Angka</t>
        </is>
      </c>
      <c r="E20" s="27" t="inlineStr">
        <is>
          <t>Persoalan Tes #1: Konversikan teks angka pada sel C21 menjadi tipe data angka murni menggunakan fungsi VALUE!</t>
        </is>
      </c>
    </row>
    <row r="21">
      <c r="B21" s="19" t="inlineStr">
        <is>
          <t>Cabang Jakarta</t>
        </is>
      </c>
      <c r="C21" s="19" t="inlineStr">
        <is>
          <t>1500</t>
        </is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>
        <is>
          <t>2500</t>
        </is>
      </c>
      <c r="E22" s="28" t="n"/>
      <c r="F22" s="29">
        <f>IF(ISBLANK(E22), "⏳ Belum Diisi (Ketik Rumus di Sel Kuning E22)", IF(E22='99_KUNCI_JAWABAN'!F340,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inlineStr">
        <is>
          <t>3500</t>
        </is>
      </c>
    </row>
    <row r="24">
      <c r="B24" s="19" t="inlineStr">
        <is>
          <t>Cabang Medan</t>
        </is>
      </c>
      <c r="C24" s="19" t="inlineStr">
        <is>
          <t>4500</t>
        </is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Item</t>
        </is>
      </c>
      <c r="C28" s="14" t="inlineStr">
        <is>
          <t>Teks Angka</t>
        </is>
      </c>
      <c r="E28" s="27" t="inlineStr">
        <is>
          <t>Persoalan Tes #2: Konversikan teks angka pada sel C29 menjadi tipe data angka murni menggunakan fungsi VALUE!</t>
        </is>
      </c>
    </row>
    <row r="29">
      <c r="B29" s="19" t="inlineStr">
        <is>
          <t>Budi Santoso</t>
        </is>
      </c>
      <c r="C29" s="19" t="inlineStr">
        <is>
          <t>1850</t>
        </is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>
        <is>
          <t>2500</t>
        </is>
      </c>
      <c r="E30" s="28" t="n"/>
      <c r="F30" s="29">
        <f>IF(ISBLANK(E30), "⏳ Belum Diisi (Ketik Rumus di Sel Kuning E30)", IF(E30='99_KUNCI_JAWABAN'!F341,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inlineStr">
        <is>
          <t>3500</t>
        </is>
      </c>
    </row>
    <row r="32">
      <c r="B32" s="19" t="inlineStr">
        <is>
          <t>Rina Wijaya</t>
        </is>
      </c>
      <c r="C32" s="19" t="inlineStr">
        <is>
          <t>4500</t>
        </is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Item</t>
        </is>
      </c>
      <c r="C36" s="14" t="inlineStr">
        <is>
          <t>Teks Angka</t>
        </is>
      </c>
      <c r="E36" s="27" t="inlineStr">
        <is>
          <t>Persoalan Tes #3: Konversikan teks angka pada sel C37 menjadi tipe data angka murni menggunakan fungsi VALUE!</t>
        </is>
      </c>
    </row>
    <row r="37">
      <c r="B37" s="19" t="inlineStr">
        <is>
          <t>Gudang Blok A</t>
        </is>
      </c>
      <c r="C37" s="19" t="inlineStr">
        <is>
          <t>2200</t>
        </is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>
        <is>
          <t>2500</t>
        </is>
      </c>
      <c r="E38" s="28" t="n"/>
      <c r="F38" s="29">
        <f>IF(ISBLANK(E38), "⏳ Belum Diisi (Ketik Rumus di Sel Kuning E38)", IF(E38='99_KUNCI_JAWABAN'!F342,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inlineStr">
        <is>
          <t>3500</t>
        </is>
      </c>
    </row>
    <row r="40">
      <c r="B40" s="19" t="inlineStr">
        <is>
          <t>Gudang Blok D</t>
        </is>
      </c>
      <c r="C40" s="19" t="inlineStr">
        <is>
          <t>4500</t>
        </is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Item</t>
        </is>
      </c>
      <c r="C44" s="14" t="inlineStr">
        <is>
          <t>Teks Angka</t>
        </is>
      </c>
      <c r="E44" s="27" t="inlineStr">
        <is>
          <t>Persoalan Tes #4: Konversikan teks angka pada sel C45 menjadi tipe data angka murni menggunakan fungsi VALUE!</t>
        </is>
      </c>
    </row>
    <row r="45">
      <c r="B45" s="19" t="inlineStr">
        <is>
          <t>Toko Elektronik</t>
        </is>
      </c>
      <c r="C45" s="19" t="inlineStr">
        <is>
          <t>2550</t>
        </is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>
        <is>
          <t>2500</t>
        </is>
      </c>
      <c r="E46" s="28" t="n"/>
      <c r="F46" s="29">
        <f>IF(ISBLANK(E46), "⏳ Belum Diisi (Ketik Rumus di Sel Kuning E46)", IF(E46='99_KUNCI_JAWABAN'!F343,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inlineStr">
        <is>
          <t>3500</t>
        </is>
      </c>
    </row>
    <row r="48">
      <c r="B48" s="19" t="inlineStr">
        <is>
          <t>Toko Servis</t>
        </is>
      </c>
      <c r="C48" s="19" t="inlineStr">
        <is>
          <t>4500</t>
        </is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Item</t>
        </is>
      </c>
      <c r="C52" s="14" t="inlineStr">
        <is>
          <t>Teks Angka</t>
        </is>
      </c>
      <c r="E52" s="27" t="inlineStr">
        <is>
          <t>Persoalan Tes #5: Konversikan teks angka pada sel C53 menjadi tipe data angka murni menggunakan fungsi VALUE!</t>
        </is>
      </c>
    </row>
    <row r="53">
      <c r="B53" s="19" t="inlineStr">
        <is>
          <t>Kelas 10 IPA</t>
        </is>
      </c>
      <c r="C53" s="19" t="inlineStr">
        <is>
          <t>2900</t>
        </is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>
        <is>
          <t>2500</t>
        </is>
      </c>
      <c r="E54" s="28" t="n"/>
      <c r="F54" s="29">
        <f>IF(ISBLANK(E54), "⏳ Belum Diisi (Ketik Rumus di Sel Kuning E54)", IF(E54='99_KUNCI_JAWABAN'!F344,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inlineStr">
        <is>
          <t>3500</t>
        </is>
      </c>
    </row>
    <row r="56">
      <c r="B56" s="19" t="inlineStr">
        <is>
          <t>Kelas Unggulan</t>
        </is>
      </c>
      <c r="C56" s="19" t="inlineStr">
        <is>
          <t>4500</t>
        </is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#069 — RUMUS EXCEL: TEXT   |   Kategori: 4. Pengolahan Teks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(TEXT)</t>
        </is>
      </c>
    </row>
    <row r="5" ht="21" customHeight="1">
      <c r="B5" s="14" t="inlineStr">
        <is>
          <t>Nama Rumus Excel</t>
        </is>
      </c>
      <c r="C5" s="15">
        <f>TEXT(...)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TEXT(nilai, format_tampilan)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Mengubah angka atau tanggal menjadi teks dengan format tampilan cantik sesuai keinginan (misal "#,##0").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TEXT DI SINI)</t>
        </is>
      </c>
    </row>
    <row r="10">
      <c r="B10" s="18" t="inlineStr">
        <is>
          <t>Pegawai</t>
        </is>
      </c>
      <c r="C10" s="18" t="inlineStr">
        <is>
          <t>Gaji Pokok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2750000</v>
      </c>
      <c r="E11" s="20" t="inlineStr">
        <is>
          <t>Contoh Soal:</t>
        </is>
      </c>
      <c r="F11" s="21" t="inlineStr">
        <is>
          <t>Format nilai angka di sel C11 ke dalam pola ribuan "#,##0" menggunakan fungsi TEXT!</t>
        </is>
      </c>
      <c r="G11" s="5" t="n"/>
    </row>
    <row r="12">
      <c r="B12" s="19" t="inlineStr">
        <is>
          <t>Simulasi Unit B</t>
        </is>
      </c>
      <c r="C12" s="19" t="n">
        <v>2500000</v>
      </c>
      <c r="E12" s="20" t="inlineStr">
        <is>
          <t>Contoh Rumus Benar:</t>
        </is>
      </c>
      <c r="F12" s="22" t="inlineStr">
        <is>
          <t>'=TEXT(C11, "#,##0")</t>
        </is>
      </c>
      <c r="G12" s="5" t="n"/>
    </row>
    <row r="13">
      <c r="B13" s="19" t="inlineStr">
        <is>
          <t>Simulasi Unit C</t>
        </is>
      </c>
      <c r="C13" s="19" t="n">
        <v>3200000</v>
      </c>
      <c r="E13" s="20" t="inlineStr">
        <is>
          <t>Contoh Hasil Benar:</t>
        </is>
      </c>
      <c r="F13" s="23">
        <f>TEXT(C11, "#,##0")</f>
        <v/>
      </c>
      <c r="G13" s="5" t="n"/>
    </row>
    <row r="14">
      <c r="B14" s="19" t="inlineStr">
        <is>
          <t>Simulasi Unit D</t>
        </is>
      </c>
      <c r="C14" s="19" t="n">
        <v>4100000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Pegawai</t>
        </is>
      </c>
      <c r="C20" s="14" t="inlineStr">
        <is>
          <t>Gaji Pokok</t>
        </is>
      </c>
      <c r="E20" s="27" t="inlineStr">
        <is>
          <t>Persoalan Tes #1: Format nilai angka di sel C21 ke dalam pola ribuan "#,##0" menggunakan fungsi TEXT!</t>
        </is>
      </c>
    </row>
    <row r="21">
      <c r="B21" s="19" t="inlineStr">
        <is>
          <t>Cabang Jakarta</t>
        </is>
      </c>
      <c r="C21" s="19" t="n">
        <v>1500000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2500000</v>
      </c>
      <c r="E22" s="28" t="n"/>
      <c r="F22" s="29">
        <f>IF(ISBLANK(E22), "⏳ Belum Diisi (Ketik Rumus di Sel Kuning E22)", IF(E22='99_KUNCI_JAWABAN'!F345,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3200000</v>
      </c>
    </row>
    <row r="24">
      <c r="B24" s="19" t="inlineStr">
        <is>
          <t>Cabang Medan</t>
        </is>
      </c>
      <c r="C24" s="19" t="n">
        <v>4100000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Pegawai</t>
        </is>
      </c>
      <c r="C28" s="14" t="inlineStr">
        <is>
          <t>Gaji Pokok</t>
        </is>
      </c>
      <c r="E28" s="27" t="inlineStr">
        <is>
          <t>Persoalan Tes #2: Format nilai angka di sel C29 ke dalam pola ribuan "#,##0" menggunakan fungsi TEXT!</t>
        </is>
      </c>
    </row>
    <row r="29">
      <c r="B29" s="19" t="inlineStr">
        <is>
          <t>Budi Santoso</t>
        </is>
      </c>
      <c r="C29" s="19" t="n">
        <v>1750000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2500000</v>
      </c>
      <c r="E30" s="28" t="n"/>
      <c r="F30" s="29">
        <f>IF(ISBLANK(E30), "⏳ Belum Diisi (Ketik Rumus di Sel Kuning E30)", IF(E30='99_KUNCI_JAWABAN'!F346,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3200000</v>
      </c>
    </row>
    <row r="32">
      <c r="B32" s="19" t="inlineStr">
        <is>
          <t>Rina Wijaya</t>
        </is>
      </c>
      <c r="C32" s="19" t="n">
        <v>4100000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Pegawai</t>
        </is>
      </c>
      <c r="C36" s="14" t="inlineStr">
        <is>
          <t>Gaji Pokok</t>
        </is>
      </c>
      <c r="E36" s="27" t="inlineStr">
        <is>
          <t>Persoalan Tes #3: Format nilai angka di sel C37 ke dalam pola ribuan "#,##0" menggunakan fungsi TEXT!</t>
        </is>
      </c>
    </row>
    <row r="37">
      <c r="B37" s="19" t="inlineStr">
        <is>
          <t>Gudang Blok A</t>
        </is>
      </c>
      <c r="C37" s="19" t="n">
        <v>2000000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2500000</v>
      </c>
      <c r="E38" s="28" t="n"/>
      <c r="F38" s="29">
        <f>IF(ISBLANK(E38), "⏳ Belum Diisi (Ketik Rumus di Sel Kuning E38)", IF(E38='99_KUNCI_JAWABAN'!F347,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3200000</v>
      </c>
    </row>
    <row r="40">
      <c r="B40" s="19" t="inlineStr">
        <is>
          <t>Gudang Blok D</t>
        </is>
      </c>
      <c r="C40" s="19" t="n">
        <v>4100000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Pegawai</t>
        </is>
      </c>
      <c r="C44" s="14" t="inlineStr">
        <is>
          <t>Gaji Pokok</t>
        </is>
      </c>
      <c r="E44" s="27" t="inlineStr">
        <is>
          <t>Persoalan Tes #4: Format nilai angka di sel C45 ke dalam pola ribuan "#,##0" menggunakan fungsi TEXT!</t>
        </is>
      </c>
    </row>
    <row r="45">
      <c r="B45" s="19" t="inlineStr">
        <is>
          <t>Toko Elektronik</t>
        </is>
      </c>
      <c r="C45" s="19" t="n">
        <v>2250000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2500000</v>
      </c>
      <c r="E46" s="28" t="n"/>
      <c r="F46" s="29">
        <f>IF(ISBLANK(E46), "⏳ Belum Diisi (Ketik Rumus di Sel Kuning E46)", IF(E46='99_KUNCI_JAWABAN'!F348,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3200000</v>
      </c>
    </row>
    <row r="48">
      <c r="B48" s="19" t="inlineStr">
        <is>
          <t>Toko Servis</t>
        </is>
      </c>
      <c r="C48" s="19" t="n">
        <v>4100000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Pegawai</t>
        </is>
      </c>
      <c r="C52" s="14" t="inlineStr">
        <is>
          <t>Gaji Pokok</t>
        </is>
      </c>
      <c r="E52" s="27" t="inlineStr">
        <is>
          <t>Persoalan Tes #5: Format nilai angka di sel C53 ke dalam pola ribuan "#,##0" menggunakan fungsi TEXT!</t>
        </is>
      </c>
    </row>
    <row r="53">
      <c r="B53" s="19" t="inlineStr">
        <is>
          <t>Kelas 10 IPA</t>
        </is>
      </c>
      <c r="C53" s="19" t="n">
        <v>2500000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2500000</v>
      </c>
      <c r="E54" s="28" t="n"/>
      <c r="F54" s="29">
        <f>IF(ISBLANK(E54), "⏳ Belum Diisi (Ketik Rumus di Sel Kuning E54)", IF(E54='99_KUNCI_JAWABAN'!F349,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3200000</v>
      </c>
    </row>
    <row r="56">
      <c r="B56" s="19" t="inlineStr">
        <is>
          <t>Kelas Unggulan</t>
        </is>
      </c>
      <c r="C56" s="19" t="n">
        <v>4100000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#070 — RUMUS EXCEL: DATE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(DATE)</t>
        </is>
      </c>
    </row>
    <row r="5" ht="21" customHeight="1">
      <c r="B5" s="14" t="inlineStr">
        <is>
          <t>Nama Rumus Excel</t>
        </is>
      </c>
      <c r="C5" s="15">
        <f>DATE(...)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DATE(tahun, bulan, 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Merakit 3 angka terpisah (Tahun, Bulan, Hari) menjadi satu Tanggal Resmi Excel yang valid!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DATE DI SINI)</t>
        </is>
      </c>
    </row>
    <row r="10">
      <c r="B10" s="18" t="inlineStr">
        <is>
          <t>Tahun (B)</t>
        </is>
      </c>
      <c r="C10" s="18" t="inlineStr">
        <is>
          <t>Bulan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2026</v>
      </c>
      <c r="C11" s="19" t="n">
        <v>6</v>
      </c>
      <c r="E11" s="20" t="inlineStr">
        <is>
          <t>Contoh Soal:</t>
        </is>
      </c>
      <c r="F11" s="21" t="inlineStr">
        <is>
          <t>Susun tanggal resmi dari angka Tahun di B11, angka Bulan di C11, dan hari ke-15 menggunakan fungsi DATE!</t>
        </is>
      </c>
      <c r="G11" s="5" t="n"/>
    </row>
    <row r="12">
      <c r="B12" s="19" t="n">
        <v>2025</v>
      </c>
      <c r="C12" s="19" t="n">
        <v>6</v>
      </c>
      <c r="E12" s="20" t="inlineStr">
        <is>
          <t>Contoh Rumus Benar:</t>
        </is>
      </c>
      <c r="F12" s="22" t="inlineStr">
        <is>
          <t>'=DATE(B11, C11, 15)</t>
        </is>
      </c>
      <c r="G12" s="5" t="n"/>
    </row>
    <row r="13">
      <c r="B13" s="19" t="n">
        <v>2024</v>
      </c>
      <c r="C13" s="19" t="n">
        <v>8</v>
      </c>
      <c r="E13" s="20" t="inlineStr">
        <is>
          <t>Contoh Hasil Benar:</t>
        </is>
      </c>
      <c r="F13" s="23">
        <f>DATE(B11, C11, 15)</f>
        <v/>
      </c>
      <c r="G13" s="5" t="n"/>
    </row>
    <row r="14">
      <c r="B14" s="19" t="n">
        <v>2023</v>
      </c>
      <c r="C14" s="19" t="n">
        <v>12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Tahun (B)</t>
        </is>
      </c>
      <c r="C20" s="14" t="inlineStr">
        <is>
          <t>Bulan (C)</t>
        </is>
      </c>
      <c r="E20" s="27" t="inlineStr">
        <is>
          <t>Persoalan Tes #1: Susun tanggal resmi dari angka Tahun di B21, angka Bulan di C21, dan hari ke-15 menggunakan fungsi DATE!</t>
        </is>
      </c>
    </row>
    <row r="21">
      <c r="B21" s="19" t="n">
        <v>2021</v>
      </c>
      <c r="C21" s="19" t="n">
        <v>1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2025</v>
      </c>
      <c r="C22" s="19" t="n">
        <v>6</v>
      </c>
      <c r="E22" s="28" t="n"/>
      <c r="F22" s="29">
        <f>IF(ISBLANK(E22), "⏳ Belum Diisi (Ketik Rumus di Sel Kuning E22)", IF(E22='99_KUNCI_JAWABAN'!F350, "✅ BENAR! JAWABAN TES TEPAT!", "❌ Belum Tepat (Cek Sheet Akhir: 99_KUNCI_JAWABAN)"))</f>
        <v/>
      </c>
      <c r="G22" s="5" t="n"/>
    </row>
    <row r="23">
      <c r="B23" s="19" t="n">
        <v>2024</v>
      </c>
      <c r="C23" s="19" t="n">
        <v>8</v>
      </c>
    </row>
    <row r="24">
      <c r="B24" s="19" t="n">
        <v>2023</v>
      </c>
      <c r="C24" s="19" t="n">
        <v>12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Tahun (B)</t>
        </is>
      </c>
      <c r="C28" s="14" t="inlineStr">
        <is>
          <t>Bulan (C)</t>
        </is>
      </c>
      <c r="E28" s="27" t="inlineStr">
        <is>
          <t>Persoalan Tes #2: Susun tanggal resmi dari angka Tahun di B29, angka Bulan di C29, dan hari ke-15 menggunakan fungsi DATE!</t>
        </is>
      </c>
    </row>
    <row r="29">
      <c r="B29" s="19" t="n">
        <v>2022</v>
      </c>
      <c r="C29" s="19" t="n">
        <v>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2025</v>
      </c>
      <c r="C30" s="19" t="n">
        <v>6</v>
      </c>
      <c r="E30" s="28" t="n"/>
      <c r="F30" s="29">
        <f>IF(ISBLANK(E30), "⏳ Belum Diisi (Ketik Rumus di Sel Kuning E30)", IF(E30='99_KUNCI_JAWABAN'!F351, "✅ BENAR! JAWABAN TES TEPAT!", "❌ Belum Tepat (Cek Sheet Akhir: 99_KUNCI_JAWABAN)"))</f>
        <v/>
      </c>
      <c r="G30" s="5" t="n"/>
    </row>
    <row r="31">
      <c r="B31" s="19" t="n">
        <v>2024</v>
      </c>
      <c r="C31" s="19" t="n">
        <v>8</v>
      </c>
    </row>
    <row r="32">
      <c r="B32" s="19" t="n">
        <v>2023</v>
      </c>
      <c r="C32" s="19" t="n">
        <v>12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Tahun (B)</t>
        </is>
      </c>
      <c r="C36" s="14" t="inlineStr">
        <is>
          <t>Bulan (C)</t>
        </is>
      </c>
      <c r="E36" s="27" t="inlineStr">
        <is>
          <t>Persoalan Tes #3: Susun tanggal resmi dari angka Tahun di B37, angka Bulan di C37, dan hari ke-15 menggunakan fungsi DATE!</t>
        </is>
      </c>
    </row>
    <row r="37">
      <c r="B37" s="19" t="n">
        <v>2023</v>
      </c>
      <c r="C37" s="19" t="n">
        <v>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2025</v>
      </c>
      <c r="C38" s="19" t="n">
        <v>6</v>
      </c>
      <c r="E38" s="28" t="n"/>
      <c r="F38" s="29">
        <f>IF(ISBLANK(E38), "⏳ Belum Diisi (Ketik Rumus di Sel Kuning E38)", IF(E38='99_KUNCI_JAWABAN'!F352, "✅ BENAR! JAWABAN TES TEPAT!", "❌ Belum Tepat (Cek Sheet Akhir: 99_KUNCI_JAWABAN)"))</f>
        <v/>
      </c>
      <c r="G38" s="5" t="n"/>
    </row>
    <row r="39">
      <c r="B39" s="19" t="n">
        <v>2024</v>
      </c>
      <c r="C39" s="19" t="n">
        <v>8</v>
      </c>
    </row>
    <row r="40">
      <c r="B40" s="19" t="n">
        <v>2023</v>
      </c>
      <c r="C40" s="19" t="n">
        <v>12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Tahun (B)</t>
        </is>
      </c>
      <c r="C44" s="14" t="inlineStr">
        <is>
          <t>Bulan (C)</t>
        </is>
      </c>
      <c r="E44" s="27" t="inlineStr">
        <is>
          <t>Persoalan Tes #4: Susun tanggal resmi dari angka Tahun di B45, angka Bulan di C45, dan hari ke-15 menggunakan fungsi DATE!</t>
        </is>
      </c>
    </row>
    <row r="45">
      <c r="B45" s="19" t="n">
        <v>2024</v>
      </c>
      <c r="C45" s="19" t="n">
        <v>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2025</v>
      </c>
      <c r="C46" s="19" t="n">
        <v>6</v>
      </c>
      <c r="E46" s="28" t="n"/>
      <c r="F46" s="29">
        <f>IF(ISBLANK(E46), "⏳ Belum Diisi (Ketik Rumus di Sel Kuning E46)", IF(E46='99_KUNCI_JAWABAN'!F353, "✅ BENAR! JAWABAN TES TEPAT!", "❌ Belum Tepat (Cek Sheet Akhir: 99_KUNCI_JAWABAN)"))</f>
        <v/>
      </c>
      <c r="G46" s="5" t="n"/>
    </row>
    <row r="47">
      <c r="B47" s="19" t="n">
        <v>2024</v>
      </c>
      <c r="C47" s="19" t="n">
        <v>8</v>
      </c>
    </row>
    <row r="48">
      <c r="B48" s="19" t="n">
        <v>2023</v>
      </c>
      <c r="C48" s="19" t="n">
        <v>12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Tahun (B)</t>
        </is>
      </c>
      <c r="C52" s="14" t="inlineStr">
        <is>
          <t>Bulan (C)</t>
        </is>
      </c>
      <c r="E52" s="27" t="inlineStr">
        <is>
          <t>Persoalan Tes #5: Susun tanggal resmi dari angka Tahun di B53, angka Bulan di C53, dan hari ke-15 menggunakan fungsi DATE!</t>
        </is>
      </c>
    </row>
    <row r="53">
      <c r="B53" s="19" t="n">
        <v>2025</v>
      </c>
      <c r="C53" s="19" t="n">
        <v>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2025</v>
      </c>
      <c r="C54" s="19" t="n">
        <v>6</v>
      </c>
      <c r="E54" s="28" t="n"/>
      <c r="F54" s="29">
        <f>IF(ISBLANK(E54), "⏳ Belum Diisi (Ketik Rumus di Sel Kuning E54)", IF(E54='99_KUNCI_JAWABAN'!F354, "✅ BENAR! JAWABAN TES TEPAT!", "❌ Belum Tepat (Cek Sheet Akhir: 99_KUNCI_JAWABAN)"))</f>
        <v/>
      </c>
      <c r="G54" s="5" t="n"/>
    </row>
    <row r="55">
      <c r="B55" s="19" t="n">
        <v>2024</v>
      </c>
      <c r="C55" s="19" t="n">
        <v>8</v>
      </c>
    </row>
    <row r="56">
      <c r="B56" s="19" t="n">
        <v>2023</v>
      </c>
      <c r="C56" s="19" t="n">
        <v>12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#071 — RUMUS EXCEL: YEAR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(YEAR)</t>
        </is>
      </c>
    </row>
    <row r="5" ht="21" customHeight="1">
      <c r="B5" s="14" t="inlineStr">
        <is>
          <t>Nama Rumus Excel</t>
        </is>
      </c>
      <c r="C5" s="15">
        <f>YEAR(...)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YEAR(tanggal)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TAHUN (4 digit, misal 2026) dari sebuah sel tanggal.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YEAR DI SINI)</t>
        </is>
      </c>
    </row>
    <row r="10">
      <c r="B10" s="18" t="inlineStr">
        <is>
          <t>Agenda Kantor</t>
        </is>
      </c>
      <c r="C10" s="18" t="inlineStr">
        <is>
          <t>Tanggal Kegiatan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46188</v>
      </c>
      <c r="E11" s="20" t="inlineStr">
        <is>
          <t>Contoh Soal:</t>
        </is>
      </c>
      <c r="F11" s="21" t="inlineStr">
        <is>
          <t>Ambil nilai YEAR dari tanggal kegiatan di sel C11 menggunakan fungsi YEAR!</t>
        </is>
      </c>
      <c r="G11" s="5" t="n"/>
    </row>
    <row r="12">
      <c r="B12" s="19" t="inlineStr">
        <is>
          <t>Simulasi Unit B</t>
        </is>
      </c>
      <c r="C12" s="30" t="n">
        <v>46193</v>
      </c>
      <c r="E12" s="20" t="inlineStr">
        <is>
          <t>Contoh Rumus Benar:</t>
        </is>
      </c>
      <c r="F12" s="22" t="inlineStr">
        <is>
          <t>'=YEAR(C11)</t>
        </is>
      </c>
      <c r="G12" s="5" t="n"/>
    </row>
    <row r="13">
      <c r="B13" s="19" t="inlineStr">
        <is>
          <t>Simulasi Unit C</t>
        </is>
      </c>
      <c r="C13" s="30" t="n">
        <v>46251</v>
      </c>
      <c r="E13" s="20" t="inlineStr">
        <is>
          <t>Contoh Hasil Benar:</t>
        </is>
      </c>
      <c r="F13" s="23">
        <f>YEAR(C11)</f>
        <v/>
      </c>
      <c r="G13" s="5" t="n"/>
    </row>
    <row r="14">
      <c r="B14" s="19" t="inlineStr">
        <is>
          <t>Simulasi Unit D</t>
        </is>
      </c>
      <c r="C14" s="30" t="n">
        <v>46381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Agenda Kantor</t>
        </is>
      </c>
      <c r="C20" s="14" t="inlineStr">
        <is>
          <t>Tanggal Kegiatan</t>
        </is>
      </c>
      <c r="E20" s="27" t="inlineStr">
        <is>
          <t>Persoalan Tes #1: Ambil nilai YEAR dari tanggal kegiatan di sel C21 menggunakan fungsi YEAR!</t>
        </is>
      </c>
    </row>
    <row r="21">
      <c r="B21" s="19" t="inlineStr">
        <is>
          <t>Cabang Jakarta</t>
        </is>
      </c>
      <c r="C21" s="30" t="n">
        <v>46032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46193</v>
      </c>
      <c r="E22" s="28" t="n"/>
      <c r="F22" s="29">
        <f>IF(ISBLANK(E22), "⏳ Belum Diisi (Ketik Rumus di Sel Kuning E22)", IF(E22='99_KUNCI_JAWABAN'!F355,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46251</v>
      </c>
    </row>
    <row r="24">
      <c r="B24" s="19" t="inlineStr">
        <is>
          <t>Cabang Medan</t>
        </is>
      </c>
      <c r="C24" s="30" t="n">
        <v>46381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Agenda Kantor</t>
        </is>
      </c>
      <c r="C28" s="14" t="inlineStr">
        <is>
          <t>Tanggal Kegiatan</t>
        </is>
      </c>
      <c r="E28" s="27" t="inlineStr">
        <is>
          <t>Persoalan Tes #2: Ambil nilai YEAR dari tanggal kegiatan di sel C29 menggunakan fungsi YEAR!</t>
        </is>
      </c>
    </row>
    <row r="29">
      <c r="B29" s="19" t="inlineStr">
        <is>
          <t>Budi Santoso</t>
        </is>
      </c>
      <c r="C29" s="30" t="n">
        <v>46064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46193</v>
      </c>
      <c r="E30" s="28" t="n"/>
      <c r="F30" s="29">
        <f>IF(ISBLANK(E30), "⏳ Belum Diisi (Ketik Rumus di Sel Kuning E30)", IF(E30='99_KUNCI_JAWABAN'!F356,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46251</v>
      </c>
    </row>
    <row r="32">
      <c r="B32" s="19" t="inlineStr">
        <is>
          <t>Rina Wijaya</t>
        </is>
      </c>
      <c r="C32" s="30" t="n">
        <v>46381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Agenda Kantor</t>
        </is>
      </c>
      <c r="C36" s="14" t="inlineStr">
        <is>
          <t>Tanggal Kegiatan</t>
        </is>
      </c>
      <c r="E36" s="27" t="inlineStr">
        <is>
          <t>Persoalan Tes #3: Ambil nilai YEAR dari tanggal kegiatan di sel C37 menggunakan fungsi YEAR!</t>
        </is>
      </c>
    </row>
    <row r="37">
      <c r="B37" s="19" t="inlineStr">
        <is>
          <t>Gudang Blok A</t>
        </is>
      </c>
      <c r="C37" s="30" t="n">
        <v>46093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46193</v>
      </c>
      <c r="E38" s="28" t="n"/>
      <c r="F38" s="29">
        <f>IF(ISBLANK(E38), "⏳ Belum Diisi (Ketik Rumus di Sel Kuning E38)", IF(E38='99_KUNCI_JAWABAN'!F357,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46251</v>
      </c>
    </row>
    <row r="40">
      <c r="B40" s="19" t="inlineStr">
        <is>
          <t>Gudang Blok D</t>
        </is>
      </c>
      <c r="C40" s="30" t="n">
        <v>46381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Agenda Kantor</t>
        </is>
      </c>
      <c r="C44" s="14" t="inlineStr">
        <is>
          <t>Tanggal Kegiatan</t>
        </is>
      </c>
      <c r="E44" s="27" t="inlineStr">
        <is>
          <t>Persoalan Tes #4: Ambil nilai YEAR dari tanggal kegiatan di sel C45 menggunakan fungsi YEAR!</t>
        </is>
      </c>
    </row>
    <row r="45">
      <c r="B45" s="19" t="inlineStr">
        <is>
          <t>Toko Elektronik</t>
        </is>
      </c>
      <c r="C45" s="30" t="n">
        <v>46125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46193</v>
      </c>
      <c r="E46" s="28" t="n"/>
      <c r="F46" s="29">
        <f>IF(ISBLANK(E46), "⏳ Belum Diisi (Ketik Rumus di Sel Kuning E46)", IF(E46='99_KUNCI_JAWABAN'!F358,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46251</v>
      </c>
    </row>
    <row r="48">
      <c r="B48" s="19" t="inlineStr">
        <is>
          <t>Toko Servis</t>
        </is>
      </c>
      <c r="C48" s="30" t="n">
        <v>46381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Agenda Kantor</t>
        </is>
      </c>
      <c r="C52" s="14" t="inlineStr">
        <is>
          <t>Tanggal Kegiatan</t>
        </is>
      </c>
      <c r="E52" s="27" t="inlineStr">
        <is>
          <t>Persoalan Tes #5: Ambil nilai YEAR dari tanggal kegiatan di sel C53 menggunakan fungsi YEAR!</t>
        </is>
      </c>
    </row>
    <row r="53">
      <c r="B53" s="19" t="inlineStr">
        <is>
          <t>Kelas 10 IPA</t>
        </is>
      </c>
      <c r="C53" s="30" t="n">
        <v>46156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46193</v>
      </c>
      <c r="E54" s="28" t="n"/>
      <c r="F54" s="29">
        <f>IF(ISBLANK(E54), "⏳ Belum Diisi (Ketik Rumus di Sel Kuning E54)", IF(E54='99_KUNCI_JAWABAN'!F359,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46251</v>
      </c>
    </row>
    <row r="56">
      <c r="B56" s="19" t="inlineStr">
        <is>
          <t>Kelas Unggulan</t>
        </is>
      </c>
      <c r="C56" s="30" t="n">
        <v>46381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#072 — RUMUS EXCEL: MONTH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(MONTH)</t>
        </is>
      </c>
    </row>
    <row r="5" ht="21" customHeight="1">
      <c r="B5" s="14" t="inlineStr">
        <is>
          <t>Nama Rumus Excel</t>
        </is>
      </c>
      <c r="C5" s="15">
        <f>MONTH(...)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MONTH(tanggal)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BULAN (1 sampai 12) dari sebuah sel tanggal.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MONTH DI SINI)</t>
        </is>
      </c>
    </row>
    <row r="10">
      <c r="B10" s="18" t="inlineStr">
        <is>
          <t>Agenda Kantor</t>
        </is>
      </c>
      <c r="C10" s="18" t="inlineStr">
        <is>
          <t>Tanggal Kegiatan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46188</v>
      </c>
      <c r="E11" s="20" t="inlineStr">
        <is>
          <t>Contoh Soal:</t>
        </is>
      </c>
      <c r="F11" s="21" t="inlineStr">
        <is>
          <t>Ambil nilai MONTH dari tanggal kegiatan di sel C11 menggunakan fungsi MONTH!</t>
        </is>
      </c>
      <c r="G11" s="5" t="n"/>
    </row>
    <row r="12">
      <c r="B12" s="19" t="inlineStr">
        <is>
          <t>Simulasi Unit B</t>
        </is>
      </c>
      <c r="C12" s="30" t="n">
        <v>46193</v>
      </c>
      <c r="E12" s="20" t="inlineStr">
        <is>
          <t>Contoh Rumus Benar:</t>
        </is>
      </c>
      <c r="F12" s="22" t="inlineStr">
        <is>
          <t>'=MONTH(C11)</t>
        </is>
      </c>
      <c r="G12" s="5" t="n"/>
    </row>
    <row r="13">
      <c r="B13" s="19" t="inlineStr">
        <is>
          <t>Simulasi Unit C</t>
        </is>
      </c>
      <c r="C13" s="30" t="n">
        <v>46251</v>
      </c>
      <c r="E13" s="20" t="inlineStr">
        <is>
          <t>Contoh Hasil Benar:</t>
        </is>
      </c>
      <c r="F13" s="23">
        <f>MONTH(C11)</f>
        <v/>
      </c>
      <c r="G13" s="5" t="n"/>
    </row>
    <row r="14">
      <c r="B14" s="19" t="inlineStr">
        <is>
          <t>Simulasi Unit D</t>
        </is>
      </c>
      <c r="C14" s="30" t="n">
        <v>46381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Agenda Kantor</t>
        </is>
      </c>
      <c r="C20" s="14" t="inlineStr">
        <is>
          <t>Tanggal Kegiatan</t>
        </is>
      </c>
      <c r="E20" s="27" t="inlineStr">
        <is>
          <t>Persoalan Tes #1: Ambil nilai MONTH dari tanggal kegiatan di sel C21 menggunakan fungsi MONTH!</t>
        </is>
      </c>
    </row>
    <row r="21">
      <c r="B21" s="19" t="inlineStr">
        <is>
          <t>Cabang Jakarta</t>
        </is>
      </c>
      <c r="C21" s="30" t="n">
        <v>46032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46193</v>
      </c>
      <c r="E22" s="28" t="n"/>
      <c r="F22" s="29">
        <f>IF(ISBLANK(E22), "⏳ Belum Diisi (Ketik Rumus di Sel Kuning E22)", IF(E22='99_KUNCI_JAWABAN'!F360,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46251</v>
      </c>
    </row>
    <row r="24">
      <c r="B24" s="19" t="inlineStr">
        <is>
          <t>Cabang Medan</t>
        </is>
      </c>
      <c r="C24" s="30" t="n">
        <v>46381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Agenda Kantor</t>
        </is>
      </c>
      <c r="C28" s="14" t="inlineStr">
        <is>
          <t>Tanggal Kegiatan</t>
        </is>
      </c>
      <c r="E28" s="27" t="inlineStr">
        <is>
          <t>Persoalan Tes #2: Ambil nilai MONTH dari tanggal kegiatan di sel C29 menggunakan fungsi MONTH!</t>
        </is>
      </c>
    </row>
    <row r="29">
      <c r="B29" s="19" t="inlineStr">
        <is>
          <t>Budi Santoso</t>
        </is>
      </c>
      <c r="C29" s="30" t="n">
        <v>46064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46193</v>
      </c>
      <c r="E30" s="28" t="n"/>
      <c r="F30" s="29">
        <f>IF(ISBLANK(E30), "⏳ Belum Diisi (Ketik Rumus di Sel Kuning E30)", IF(E30='99_KUNCI_JAWABAN'!F361,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46251</v>
      </c>
    </row>
    <row r="32">
      <c r="B32" s="19" t="inlineStr">
        <is>
          <t>Rina Wijaya</t>
        </is>
      </c>
      <c r="C32" s="30" t="n">
        <v>46381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Agenda Kantor</t>
        </is>
      </c>
      <c r="C36" s="14" t="inlineStr">
        <is>
          <t>Tanggal Kegiatan</t>
        </is>
      </c>
      <c r="E36" s="27" t="inlineStr">
        <is>
          <t>Persoalan Tes #3: Ambil nilai MONTH dari tanggal kegiatan di sel C37 menggunakan fungsi MONTH!</t>
        </is>
      </c>
    </row>
    <row r="37">
      <c r="B37" s="19" t="inlineStr">
        <is>
          <t>Gudang Blok A</t>
        </is>
      </c>
      <c r="C37" s="30" t="n">
        <v>46093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46193</v>
      </c>
      <c r="E38" s="28" t="n"/>
      <c r="F38" s="29">
        <f>IF(ISBLANK(E38), "⏳ Belum Diisi (Ketik Rumus di Sel Kuning E38)", IF(E38='99_KUNCI_JAWABAN'!F362,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46251</v>
      </c>
    </row>
    <row r="40">
      <c r="B40" s="19" t="inlineStr">
        <is>
          <t>Gudang Blok D</t>
        </is>
      </c>
      <c r="C40" s="30" t="n">
        <v>46381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Agenda Kantor</t>
        </is>
      </c>
      <c r="C44" s="14" t="inlineStr">
        <is>
          <t>Tanggal Kegiatan</t>
        </is>
      </c>
      <c r="E44" s="27" t="inlineStr">
        <is>
          <t>Persoalan Tes #4: Ambil nilai MONTH dari tanggal kegiatan di sel C45 menggunakan fungsi MONTH!</t>
        </is>
      </c>
    </row>
    <row r="45">
      <c r="B45" s="19" t="inlineStr">
        <is>
          <t>Toko Elektronik</t>
        </is>
      </c>
      <c r="C45" s="30" t="n">
        <v>46125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46193</v>
      </c>
      <c r="E46" s="28" t="n"/>
      <c r="F46" s="29">
        <f>IF(ISBLANK(E46), "⏳ Belum Diisi (Ketik Rumus di Sel Kuning E46)", IF(E46='99_KUNCI_JAWABAN'!F363,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46251</v>
      </c>
    </row>
    <row r="48">
      <c r="B48" s="19" t="inlineStr">
        <is>
          <t>Toko Servis</t>
        </is>
      </c>
      <c r="C48" s="30" t="n">
        <v>46381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Agenda Kantor</t>
        </is>
      </c>
      <c r="C52" s="14" t="inlineStr">
        <is>
          <t>Tanggal Kegiatan</t>
        </is>
      </c>
      <c r="E52" s="27" t="inlineStr">
        <is>
          <t>Persoalan Tes #5: Ambil nilai MONTH dari tanggal kegiatan di sel C53 menggunakan fungsi MONTH!</t>
        </is>
      </c>
    </row>
    <row r="53">
      <c r="B53" s="19" t="inlineStr">
        <is>
          <t>Kelas 10 IPA</t>
        </is>
      </c>
      <c r="C53" s="30" t="n">
        <v>46156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46193</v>
      </c>
      <c r="E54" s="28" t="n"/>
      <c r="F54" s="29">
        <f>IF(ISBLANK(E54), "⏳ Belum Diisi (Ketik Rumus di Sel Kuning E54)", IF(E54='99_KUNCI_JAWABAN'!F364,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46251</v>
      </c>
    </row>
    <row r="56">
      <c r="B56" s="19" t="inlineStr">
        <is>
          <t>Kelas Unggulan</t>
        </is>
      </c>
      <c r="C56" s="30" t="n">
        <v>46381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#073 — RUMUS EXCEL: DAY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(DAY)</t>
        </is>
      </c>
    </row>
    <row r="5" ht="21" customHeight="1">
      <c r="B5" s="14" t="inlineStr">
        <is>
          <t>Nama Rumus Excel</t>
        </is>
      </c>
      <c r="C5" s="15">
        <f>DAY(...)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DAY(tanggal)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HARI/TANGGAL (1 sampai 31) dari sebuah sel tanggal.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DAY DI SINI)</t>
        </is>
      </c>
    </row>
    <row r="10">
      <c r="B10" s="18" t="inlineStr">
        <is>
          <t>Agenda Kantor</t>
        </is>
      </c>
      <c r="C10" s="18" t="inlineStr">
        <is>
          <t>Tanggal Kegiatan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46188</v>
      </c>
      <c r="E11" s="20" t="inlineStr">
        <is>
          <t>Contoh Soal:</t>
        </is>
      </c>
      <c r="F11" s="21" t="inlineStr">
        <is>
          <t>Ambil nilai DAY dari tanggal kegiatan di sel C11 menggunakan fungsi DAY!</t>
        </is>
      </c>
      <c r="G11" s="5" t="n"/>
    </row>
    <row r="12">
      <c r="B12" s="19" t="inlineStr">
        <is>
          <t>Simulasi Unit B</t>
        </is>
      </c>
      <c r="C12" s="30" t="n">
        <v>46193</v>
      </c>
      <c r="E12" s="20" t="inlineStr">
        <is>
          <t>Contoh Rumus Benar:</t>
        </is>
      </c>
      <c r="F12" s="22" t="inlineStr">
        <is>
          <t>'=DAY(C11)</t>
        </is>
      </c>
      <c r="G12" s="5" t="n"/>
    </row>
    <row r="13">
      <c r="B13" s="19" t="inlineStr">
        <is>
          <t>Simulasi Unit C</t>
        </is>
      </c>
      <c r="C13" s="30" t="n">
        <v>46251</v>
      </c>
      <c r="E13" s="20" t="inlineStr">
        <is>
          <t>Contoh Hasil Benar:</t>
        </is>
      </c>
      <c r="F13" s="23">
        <f>DAY(C11)</f>
        <v/>
      </c>
      <c r="G13" s="5" t="n"/>
    </row>
    <row r="14">
      <c r="B14" s="19" t="inlineStr">
        <is>
          <t>Simulasi Unit D</t>
        </is>
      </c>
      <c r="C14" s="30" t="n">
        <v>46381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Agenda Kantor</t>
        </is>
      </c>
      <c r="C20" s="14" t="inlineStr">
        <is>
          <t>Tanggal Kegiatan</t>
        </is>
      </c>
      <c r="E20" s="27" t="inlineStr">
        <is>
          <t>Persoalan Tes #1: Ambil nilai DAY dari tanggal kegiatan di sel C21 menggunakan fungsi DAY!</t>
        </is>
      </c>
    </row>
    <row r="21">
      <c r="B21" s="19" t="inlineStr">
        <is>
          <t>Cabang Jakarta</t>
        </is>
      </c>
      <c r="C21" s="30" t="n">
        <v>46032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46193</v>
      </c>
      <c r="E22" s="28" t="n"/>
      <c r="F22" s="29">
        <f>IF(ISBLANK(E22), "⏳ Belum Diisi (Ketik Rumus di Sel Kuning E22)", IF(E22='99_KUNCI_JAWABAN'!F365,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46251</v>
      </c>
    </row>
    <row r="24">
      <c r="B24" s="19" t="inlineStr">
        <is>
          <t>Cabang Medan</t>
        </is>
      </c>
      <c r="C24" s="30" t="n">
        <v>46381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Agenda Kantor</t>
        </is>
      </c>
      <c r="C28" s="14" t="inlineStr">
        <is>
          <t>Tanggal Kegiatan</t>
        </is>
      </c>
      <c r="E28" s="27" t="inlineStr">
        <is>
          <t>Persoalan Tes #2: Ambil nilai DAY dari tanggal kegiatan di sel C29 menggunakan fungsi DAY!</t>
        </is>
      </c>
    </row>
    <row r="29">
      <c r="B29" s="19" t="inlineStr">
        <is>
          <t>Budi Santoso</t>
        </is>
      </c>
      <c r="C29" s="30" t="n">
        <v>46064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46193</v>
      </c>
      <c r="E30" s="28" t="n"/>
      <c r="F30" s="29">
        <f>IF(ISBLANK(E30), "⏳ Belum Diisi (Ketik Rumus di Sel Kuning E30)", IF(E30='99_KUNCI_JAWABAN'!F366,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46251</v>
      </c>
    </row>
    <row r="32">
      <c r="B32" s="19" t="inlineStr">
        <is>
          <t>Rina Wijaya</t>
        </is>
      </c>
      <c r="C32" s="30" t="n">
        <v>46381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Agenda Kantor</t>
        </is>
      </c>
      <c r="C36" s="14" t="inlineStr">
        <is>
          <t>Tanggal Kegiatan</t>
        </is>
      </c>
      <c r="E36" s="27" t="inlineStr">
        <is>
          <t>Persoalan Tes #3: Ambil nilai DAY dari tanggal kegiatan di sel C37 menggunakan fungsi DAY!</t>
        </is>
      </c>
    </row>
    <row r="37">
      <c r="B37" s="19" t="inlineStr">
        <is>
          <t>Gudang Blok A</t>
        </is>
      </c>
      <c r="C37" s="30" t="n">
        <v>46093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46193</v>
      </c>
      <c r="E38" s="28" t="n"/>
      <c r="F38" s="29">
        <f>IF(ISBLANK(E38), "⏳ Belum Diisi (Ketik Rumus di Sel Kuning E38)", IF(E38='99_KUNCI_JAWABAN'!F367,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46251</v>
      </c>
    </row>
    <row r="40">
      <c r="B40" s="19" t="inlineStr">
        <is>
          <t>Gudang Blok D</t>
        </is>
      </c>
      <c r="C40" s="30" t="n">
        <v>46381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Agenda Kantor</t>
        </is>
      </c>
      <c r="C44" s="14" t="inlineStr">
        <is>
          <t>Tanggal Kegiatan</t>
        </is>
      </c>
      <c r="E44" s="27" t="inlineStr">
        <is>
          <t>Persoalan Tes #4: Ambil nilai DAY dari tanggal kegiatan di sel C45 menggunakan fungsi DAY!</t>
        </is>
      </c>
    </row>
    <row r="45">
      <c r="B45" s="19" t="inlineStr">
        <is>
          <t>Toko Elektronik</t>
        </is>
      </c>
      <c r="C45" s="30" t="n">
        <v>46125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46193</v>
      </c>
      <c r="E46" s="28" t="n"/>
      <c r="F46" s="29">
        <f>IF(ISBLANK(E46), "⏳ Belum Diisi (Ketik Rumus di Sel Kuning E46)", IF(E46='99_KUNCI_JAWABAN'!F368,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46251</v>
      </c>
    </row>
    <row r="48">
      <c r="B48" s="19" t="inlineStr">
        <is>
          <t>Toko Servis</t>
        </is>
      </c>
      <c r="C48" s="30" t="n">
        <v>46381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Agenda Kantor</t>
        </is>
      </c>
      <c r="C52" s="14" t="inlineStr">
        <is>
          <t>Tanggal Kegiatan</t>
        </is>
      </c>
      <c r="E52" s="27" t="inlineStr">
        <is>
          <t>Persoalan Tes #5: Ambil nilai DAY dari tanggal kegiatan di sel C53 menggunakan fungsi DAY!</t>
        </is>
      </c>
    </row>
    <row r="53">
      <c r="B53" s="19" t="inlineStr">
        <is>
          <t>Kelas 10 IPA</t>
        </is>
      </c>
      <c r="C53" s="30" t="n">
        <v>46156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46193</v>
      </c>
      <c r="E54" s="28" t="n"/>
      <c r="F54" s="29">
        <f>IF(ISBLANK(E54), "⏳ Belum Diisi (Ketik Rumus di Sel Kuning E54)", IF(E54='99_KUNCI_JAWABAN'!F369,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46251</v>
      </c>
    </row>
    <row r="56">
      <c r="B56" s="19" t="inlineStr">
        <is>
          <t>Kelas Unggulan</t>
        </is>
      </c>
      <c r="C56" s="30" t="n">
        <v>46381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#074 — RUMUS EXCEL: DAYS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(DAYS)</t>
        </is>
      </c>
    </row>
    <row r="5" ht="21" customHeight="1">
      <c r="B5" s="14" t="inlineStr">
        <is>
          <t>Nama Rumus Excel</t>
        </is>
      </c>
      <c r="C5" s="15">
        <f>DAYS(...)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DAYS(tanggal_akhir, tanggal_awal)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jumlah hari selisih antara Tanggal Akhir dan Tanggal Awal (misal lama keterlambatan proyek).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DAYS DI SINI)</t>
        </is>
      </c>
    </row>
    <row r="10">
      <c r="B10" s="18" t="inlineStr">
        <is>
          <t>Tanggal Awal (B)</t>
        </is>
      </c>
      <c r="C10" s="18" t="inlineStr">
        <is>
          <t>Tanggal Akhir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30" t="n">
        <v>46032</v>
      </c>
      <c r="C11" s="30" t="n">
        <v>46223</v>
      </c>
      <c r="E11" s="20" t="inlineStr">
        <is>
          <t>Contoh Soal:</t>
        </is>
      </c>
      <c r="F11" s="21" t="inlineStr">
        <is>
          <t>Hitung selisih hari dengan menempatkan Tanggal Akhir (C11) lalu Tanggal Awal (B11) menggunakan fungsi DAYS!</t>
        </is>
      </c>
      <c r="G11" s="5" t="n"/>
    </row>
    <row r="12">
      <c r="B12" s="30" t="n">
        <v>46054</v>
      </c>
      <c r="C12" s="30" t="n">
        <v>46096</v>
      </c>
      <c r="E12" s="20" t="inlineStr">
        <is>
          <t>Contoh Rumus Benar:</t>
        </is>
      </c>
      <c r="F12" s="22" t="inlineStr">
        <is>
          <t>'=DAYS(C11, B11)</t>
        </is>
      </c>
      <c r="G12" s="5" t="n"/>
    </row>
    <row r="13">
      <c r="B13" s="30" t="n">
        <v>46113</v>
      </c>
      <c r="C13" s="30" t="n">
        <v>46162</v>
      </c>
      <c r="E13" s="20" t="inlineStr">
        <is>
          <t>Contoh Hasil Benar:</t>
        </is>
      </c>
      <c r="F13" s="23">
        <f>DAYS(C11, B11)</f>
        <v/>
      </c>
      <c r="G13" s="5" t="n"/>
    </row>
    <row r="14">
      <c r="B14" s="30" t="n">
        <v>46174</v>
      </c>
      <c r="C14" s="30" t="n">
        <v>46244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Tanggal Awal (B)</t>
        </is>
      </c>
      <c r="C20" s="14" t="inlineStr">
        <is>
          <t>Tanggal Akhir (C)</t>
        </is>
      </c>
      <c r="E20" s="27" t="inlineStr">
        <is>
          <t>Persoalan Tes #1: Hitung selisih hari dengan menempatkan Tanggal Akhir (C21) lalu Tanggal Awal (B21) menggunakan fungsi DAYS!</t>
        </is>
      </c>
    </row>
    <row r="21">
      <c r="B21" s="30" t="n">
        <v>46032</v>
      </c>
      <c r="C21" s="30" t="n">
        <v>46073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30" t="n">
        <v>46054</v>
      </c>
      <c r="C22" s="30" t="n">
        <v>46096</v>
      </c>
      <c r="E22" s="28" t="n"/>
      <c r="F22" s="29">
        <f>IF(ISBLANK(E22), "⏳ Belum Diisi (Ketik Rumus di Sel Kuning E22)", IF(E22='99_KUNCI_JAWABAN'!F370, "✅ BENAR! JAWABAN TES TEPAT!", "❌ Belum Tepat (Cek Sheet Akhir: 99_KUNCI_JAWABAN)"))</f>
        <v/>
      </c>
      <c r="G22" s="5" t="n"/>
    </row>
    <row r="23">
      <c r="B23" s="30" t="n">
        <v>46113</v>
      </c>
      <c r="C23" s="30" t="n">
        <v>46162</v>
      </c>
    </row>
    <row r="24">
      <c r="B24" s="30" t="n">
        <v>46174</v>
      </c>
      <c r="C24" s="30" t="n">
        <v>46244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Tanggal Awal (B)</t>
        </is>
      </c>
      <c r="C28" s="14" t="inlineStr">
        <is>
          <t>Tanggal Akhir (C)</t>
        </is>
      </c>
      <c r="E28" s="27" t="inlineStr">
        <is>
          <t>Persoalan Tes #2: Hitung selisih hari dengan menempatkan Tanggal Akhir (C29) lalu Tanggal Awal (B29) menggunakan fungsi DAYS!</t>
        </is>
      </c>
    </row>
    <row r="29">
      <c r="B29" s="30" t="n">
        <v>46032</v>
      </c>
      <c r="C29" s="30" t="n">
        <v>46101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30" t="n">
        <v>46054</v>
      </c>
      <c r="C30" s="30" t="n">
        <v>46096</v>
      </c>
      <c r="E30" s="28" t="n"/>
      <c r="F30" s="29">
        <f>IF(ISBLANK(E30), "⏳ Belum Diisi (Ketik Rumus di Sel Kuning E30)", IF(E30='99_KUNCI_JAWABAN'!F371, "✅ BENAR! JAWABAN TES TEPAT!", "❌ Belum Tepat (Cek Sheet Akhir: 99_KUNCI_JAWABAN)"))</f>
        <v/>
      </c>
      <c r="G30" s="5" t="n"/>
    </row>
    <row r="31">
      <c r="B31" s="30" t="n">
        <v>46113</v>
      </c>
      <c r="C31" s="30" t="n">
        <v>46162</v>
      </c>
    </row>
    <row r="32">
      <c r="B32" s="30" t="n">
        <v>46174</v>
      </c>
      <c r="C32" s="30" t="n">
        <v>46244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Tanggal Awal (B)</t>
        </is>
      </c>
      <c r="C36" s="14" t="inlineStr">
        <is>
          <t>Tanggal Akhir (C)</t>
        </is>
      </c>
      <c r="E36" s="27" t="inlineStr">
        <is>
          <t>Persoalan Tes #3: Hitung selisih hari dengan menempatkan Tanggal Akhir (C37) lalu Tanggal Awal (B37) menggunakan fungsi DAYS!</t>
        </is>
      </c>
    </row>
    <row r="37">
      <c r="B37" s="30" t="n">
        <v>46032</v>
      </c>
      <c r="C37" s="30" t="n">
        <v>46132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30" t="n">
        <v>46054</v>
      </c>
      <c r="C38" s="30" t="n">
        <v>46096</v>
      </c>
      <c r="E38" s="28" t="n"/>
      <c r="F38" s="29">
        <f>IF(ISBLANK(E38), "⏳ Belum Diisi (Ketik Rumus di Sel Kuning E38)", IF(E38='99_KUNCI_JAWABAN'!F372, "✅ BENAR! JAWABAN TES TEPAT!", "❌ Belum Tepat (Cek Sheet Akhir: 99_KUNCI_JAWABAN)"))</f>
        <v/>
      </c>
      <c r="G38" s="5" t="n"/>
    </row>
    <row r="39">
      <c r="B39" s="30" t="n">
        <v>46113</v>
      </c>
      <c r="C39" s="30" t="n">
        <v>46162</v>
      </c>
    </row>
    <row r="40">
      <c r="B40" s="30" t="n">
        <v>46174</v>
      </c>
      <c r="C40" s="30" t="n">
        <v>46244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Tanggal Awal (B)</t>
        </is>
      </c>
      <c r="C44" s="14" t="inlineStr">
        <is>
          <t>Tanggal Akhir (C)</t>
        </is>
      </c>
      <c r="E44" s="27" t="inlineStr">
        <is>
          <t>Persoalan Tes #4: Hitung selisih hari dengan menempatkan Tanggal Akhir (C45) lalu Tanggal Awal (B45) menggunakan fungsi DAYS!</t>
        </is>
      </c>
    </row>
    <row r="45">
      <c r="B45" s="30" t="n">
        <v>46032</v>
      </c>
      <c r="C45" s="30" t="n">
        <v>46162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30" t="n">
        <v>46054</v>
      </c>
      <c r="C46" s="30" t="n">
        <v>46096</v>
      </c>
      <c r="E46" s="28" t="n"/>
      <c r="F46" s="29">
        <f>IF(ISBLANK(E46), "⏳ Belum Diisi (Ketik Rumus di Sel Kuning E46)", IF(E46='99_KUNCI_JAWABAN'!F373, "✅ BENAR! JAWABAN TES TEPAT!", "❌ Belum Tepat (Cek Sheet Akhir: 99_KUNCI_JAWABAN)"))</f>
        <v/>
      </c>
      <c r="G46" s="5" t="n"/>
    </row>
    <row r="47">
      <c r="B47" s="30" t="n">
        <v>46113</v>
      </c>
      <c r="C47" s="30" t="n">
        <v>46162</v>
      </c>
    </row>
    <row r="48">
      <c r="B48" s="30" t="n">
        <v>46174</v>
      </c>
      <c r="C48" s="30" t="n">
        <v>46244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Tanggal Awal (B)</t>
        </is>
      </c>
      <c r="C52" s="14" t="inlineStr">
        <is>
          <t>Tanggal Akhir (C)</t>
        </is>
      </c>
      <c r="E52" s="27" t="inlineStr">
        <is>
          <t>Persoalan Tes #5: Hitung selisih hari dengan menempatkan Tanggal Akhir (C53) lalu Tanggal Awal (B53) menggunakan fungsi DAYS!</t>
        </is>
      </c>
    </row>
    <row r="53">
      <c r="B53" s="30" t="n">
        <v>46032</v>
      </c>
      <c r="C53" s="30" t="n">
        <v>46193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30" t="n">
        <v>46054</v>
      </c>
      <c r="C54" s="30" t="n">
        <v>46096</v>
      </c>
      <c r="E54" s="28" t="n"/>
      <c r="F54" s="29">
        <f>IF(ISBLANK(E54), "⏳ Belum Diisi (Ketik Rumus di Sel Kuning E54)", IF(E54='99_KUNCI_JAWABAN'!F374, "✅ BENAR! JAWABAN TES TEPAT!", "❌ Belum Tepat (Cek Sheet Akhir: 99_KUNCI_JAWABAN)"))</f>
        <v/>
      </c>
      <c r="G54" s="5" t="n"/>
    </row>
    <row r="55">
      <c r="B55" s="30" t="n">
        <v>46113</v>
      </c>
      <c r="C55" s="30" t="n">
        <v>46162</v>
      </c>
    </row>
    <row r="56">
      <c r="B56" s="30" t="n">
        <v>46174</v>
      </c>
      <c r="C56" s="30" t="n">
        <v>46244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#075 — RUMUS EXCEL: DATEDIF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(DATEDIF)</t>
        </is>
      </c>
    </row>
    <row r="5" ht="21" customHeight="1">
      <c r="B5" s="14" t="inlineStr">
        <is>
          <t>Nama Rumus Excel</t>
        </is>
      </c>
      <c r="C5" s="15">
        <f>DATEDIF(...)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DATEDIF(tanggal_awal, tanggal_akhir, satuan)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Rumus legendaris HRD untuk menghitung Umur atau Masa Kerja karyawan dalam Tahun ("Y"), Bulan ("M"), atau Hari ("D").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DATEDIF DI SINI)</t>
        </is>
      </c>
    </row>
    <row r="10">
      <c r="B10" s="18" t="inlineStr">
        <is>
          <t>Tanggal Awal (B)</t>
        </is>
      </c>
      <c r="C10" s="18" t="inlineStr">
        <is>
          <t>Tanggal Akhir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30" t="n">
        <v>46032</v>
      </c>
      <c r="C11" s="30" t="n">
        <v>46223</v>
      </c>
      <c r="E11" s="20" t="inlineStr">
        <is>
          <t>Contoh Soal:</t>
        </is>
      </c>
      <c r="F11" s="21" t="inlineStr">
        <is>
          <t>Hitung selisih hari (satuan "D") dari Tanggal Awal B11 hingga Tanggal Akhir C11 menggunakan fungsi DATEDIF!</t>
        </is>
      </c>
      <c r="G11" s="5" t="n"/>
    </row>
    <row r="12">
      <c r="B12" s="30" t="n">
        <v>46054</v>
      </c>
      <c r="C12" s="30" t="n">
        <v>46096</v>
      </c>
      <c r="E12" s="20" t="inlineStr">
        <is>
          <t>Contoh Rumus Benar:</t>
        </is>
      </c>
      <c r="F12" s="22" t="inlineStr">
        <is>
          <t>'=DATEDIF(B11, C11, "D")</t>
        </is>
      </c>
      <c r="G12" s="5" t="n"/>
    </row>
    <row r="13">
      <c r="B13" s="30" t="n">
        <v>46113</v>
      </c>
      <c r="C13" s="30" t="n">
        <v>46162</v>
      </c>
      <c r="E13" s="20" t="inlineStr">
        <is>
          <t>Contoh Hasil Benar:</t>
        </is>
      </c>
      <c r="F13" s="23">
        <f>DATEDIF(B11, C11, "D")</f>
        <v/>
      </c>
      <c r="G13" s="5" t="n"/>
    </row>
    <row r="14">
      <c r="B14" s="30" t="n">
        <v>46174</v>
      </c>
      <c r="C14" s="30" t="n">
        <v>46244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Tanggal Awal (B)</t>
        </is>
      </c>
      <c r="C20" s="14" t="inlineStr">
        <is>
          <t>Tanggal Akhir (C)</t>
        </is>
      </c>
      <c r="E20" s="27" t="inlineStr">
        <is>
          <t>Persoalan Tes #1: Hitung selisih hari (satuan "D") dari Tanggal Awal B21 hingga Tanggal Akhir C21 menggunakan fungsi DATEDIF!</t>
        </is>
      </c>
    </row>
    <row r="21">
      <c r="B21" s="30" t="n">
        <v>46032</v>
      </c>
      <c r="C21" s="30" t="n">
        <v>46073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30" t="n">
        <v>46054</v>
      </c>
      <c r="C22" s="30" t="n">
        <v>46096</v>
      </c>
      <c r="E22" s="28" t="n"/>
      <c r="F22" s="29">
        <f>IF(ISBLANK(E22), "⏳ Belum Diisi (Ketik Rumus di Sel Kuning E22)", IF(E22='99_KUNCI_JAWABAN'!F375, "✅ BENAR! JAWABAN TES TEPAT!", "❌ Belum Tepat (Cek Sheet Akhir: 99_KUNCI_JAWABAN)"))</f>
        <v/>
      </c>
      <c r="G22" s="5" t="n"/>
    </row>
    <row r="23">
      <c r="B23" s="30" t="n">
        <v>46113</v>
      </c>
      <c r="C23" s="30" t="n">
        <v>46162</v>
      </c>
    </row>
    <row r="24">
      <c r="B24" s="30" t="n">
        <v>46174</v>
      </c>
      <c r="C24" s="30" t="n">
        <v>46244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Tanggal Awal (B)</t>
        </is>
      </c>
      <c r="C28" s="14" t="inlineStr">
        <is>
          <t>Tanggal Akhir (C)</t>
        </is>
      </c>
      <c r="E28" s="27" t="inlineStr">
        <is>
          <t>Persoalan Tes #2: Hitung selisih hari (satuan "D") dari Tanggal Awal B29 hingga Tanggal Akhir C29 menggunakan fungsi DATEDIF!</t>
        </is>
      </c>
    </row>
    <row r="29">
      <c r="B29" s="30" t="n">
        <v>46032</v>
      </c>
      <c r="C29" s="30" t="n">
        <v>46101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30" t="n">
        <v>46054</v>
      </c>
      <c r="C30" s="30" t="n">
        <v>46096</v>
      </c>
      <c r="E30" s="28" t="n"/>
      <c r="F30" s="29">
        <f>IF(ISBLANK(E30), "⏳ Belum Diisi (Ketik Rumus di Sel Kuning E30)", IF(E30='99_KUNCI_JAWABAN'!F376, "✅ BENAR! JAWABAN TES TEPAT!", "❌ Belum Tepat (Cek Sheet Akhir: 99_KUNCI_JAWABAN)"))</f>
        <v/>
      </c>
      <c r="G30" s="5" t="n"/>
    </row>
    <row r="31">
      <c r="B31" s="30" t="n">
        <v>46113</v>
      </c>
      <c r="C31" s="30" t="n">
        <v>46162</v>
      </c>
    </row>
    <row r="32">
      <c r="B32" s="30" t="n">
        <v>46174</v>
      </c>
      <c r="C32" s="30" t="n">
        <v>46244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Tanggal Awal (B)</t>
        </is>
      </c>
      <c r="C36" s="14" t="inlineStr">
        <is>
          <t>Tanggal Akhir (C)</t>
        </is>
      </c>
      <c r="E36" s="27" t="inlineStr">
        <is>
          <t>Persoalan Tes #3: Hitung selisih hari (satuan "D") dari Tanggal Awal B37 hingga Tanggal Akhir C37 menggunakan fungsi DATEDIF!</t>
        </is>
      </c>
    </row>
    <row r="37">
      <c r="B37" s="30" t="n">
        <v>46032</v>
      </c>
      <c r="C37" s="30" t="n">
        <v>46132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30" t="n">
        <v>46054</v>
      </c>
      <c r="C38" s="30" t="n">
        <v>46096</v>
      </c>
      <c r="E38" s="28" t="n"/>
      <c r="F38" s="29">
        <f>IF(ISBLANK(E38), "⏳ Belum Diisi (Ketik Rumus di Sel Kuning E38)", IF(E38='99_KUNCI_JAWABAN'!F377, "✅ BENAR! JAWABAN TES TEPAT!", "❌ Belum Tepat (Cek Sheet Akhir: 99_KUNCI_JAWABAN)"))</f>
        <v/>
      </c>
      <c r="G38" s="5" t="n"/>
    </row>
    <row r="39">
      <c r="B39" s="30" t="n">
        <v>46113</v>
      </c>
      <c r="C39" s="30" t="n">
        <v>46162</v>
      </c>
    </row>
    <row r="40">
      <c r="B40" s="30" t="n">
        <v>46174</v>
      </c>
      <c r="C40" s="30" t="n">
        <v>46244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Tanggal Awal (B)</t>
        </is>
      </c>
      <c r="C44" s="14" t="inlineStr">
        <is>
          <t>Tanggal Akhir (C)</t>
        </is>
      </c>
      <c r="E44" s="27" t="inlineStr">
        <is>
          <t>Persoalan Tes #4: Hitung selisih hari (satuan "D") dari Tanggal Awal B45 hingga Tanggal Akhir C45 menggunakan fungsi DATEDIF!</t>
        </is>
      </c>
    </row>
    <row r="45">
      <c r="B45" s="30" t="n">
        <v>46032</v>
      </c>
      <c r="C45" s="30" t="n">
        <v>46162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30" t="n">
        <v>46054</v>
      </c>
      <c r="C46" s="30" t="n">
        <v>46096</v>
      </c>
      <c r="E46" s="28" t="n"/>
      <c r="F46" s="29">
        <f>IF(ISBLANK(E46), "⏳ Belum Diisi (Ketik Rumus di Sel Kuning E46)", IF(E46='99_KUNCI_JAWABAN'!F378, "✅ BENAR! JAWABAN TES TEPAT!", "❌ Belum Tepat (Cek Sheet Akhir: 99_KUNCI_JAWABAN)"))</f>
        <v/>
      </c>
      <c r="G46" s="5" t="n"/>
    </row>
    <row r="47">
      <c r="B47" s="30" t="n">
        <v>46113</v>
      </c>
      <c r="C47" s="30" t="n">
        <v>46162</v>
      </c>
    </row>
    <row r="48">
      <c r="B48" s="30" t="n">
        <v>46174</v>
      </c>
      <c r="C48" s="30" t="n">
        <v>46244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Tanggal Awal (B)</t>
        </is>
      </c>
      <c r="C52" s="14" t="inlineStr">
        <is>
          <t>Tanggal Akhir (C)</t>
        </is>
      </c>
      <c r="E52" s="27" t="inlineStr">
        <is>
          <t>Persoalan Tes #5: Hitung selisih hari (satuan "D") dari Tanggal Awal B53 hingga Tanggal Akhir C53 menggunakan fungsi DATEDIF!</t>
        </is>
      </c>
    </row>
    <row r="53">
      <c r="B53" s="30" t="n">
        <v>46032</v>
      </c>
      <c r="C53" s="30" t="n">
        <v>46193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30" t="n">
        <v>46054</v>
      </c>
      <c r="C54" s="30" t="n">
        <v>46096</v>
      </c>
      <c r="E54" s="28" t="n"/>
      <c r="F54" s="29">
        <f>IF(ISBLANK(E54), "⏳ Belum Diisi (Ketik Rumus di Sel Kuning E54)", IF(E54='99_KUNCI_JAWABAN'!F379, "✅ BENAR! JAWABAN TES TEPAT!", "❌ Belum Tepat (Cek Sheet Akhir: 99_KUNCI_JAWABAN)"))</f>
        <v/>
      </c>
      <c r="G54" s="5" t="n"/>
    </row>
    <row r="55">
      <c r="B55" s="30" t="n">
        <v>46113</v>
      </c>
      <c r="C55" s="30" t="n">
        <v>46162</v>
      </c>
    </row>
    <row r="56">
      <c r="B56" s="30" t="n">
        <v>46174</v>
      </c>
      <c r="C56" s="30" t="n">
        <v>46244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#076 — RUMUS EXCEL: EDATE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(EDATE)</t>
        </is>
      </c>
    </row>
    <row r="5" ht="21" customHeight="1">
      <c r="B5" s="14" t="inlineStr">
        <is>
          <t>Nama Rumus Excel</t>
        </is>
      </c>
      <c r="C5" s="15">
        <f>EDATE(...)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EDATE(tanggal_awal, jumlah_bulan)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tanggal jatuh tempo yang berjarak sekian bulan persis dari tanggal awal (misal masa kontrak 3 bulan ke depan).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EDATE DI SINI)</t>
        </is>
      </c>
    </row>
    <row r="10">
      <c r="B10" s="18" t="inlineStr">
        <is>
          <t>Kontrak Proyek</t>
        </is>
      </c>
      <c r="C10" s="18" t="inlineStr">
        <is>
          <t>Tanggal Mulai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46037</v>
      </c>
      <c r="E11" s="20" t="inlineStr">
        <is>
          <t>Contoh Soal:</t>
        </is>
      </c>
      <c r="F11" s="21" t="inlineStr">
        <is>
          <t>Tentukan tanggal hasil pergeseran dari tanggal awal di C11 sejauh 7 periode ke depan menggunakan fungsi EDATE!</t>
        </is>
      </c>
      <c r="G11" s="5" t="n"/>
    </row>
    <row r="12">
      <c r="B12" s="19" t="inlineStr">
        <is>
          <t>Simulasi Unit B</t>
        </is>
      </c>
      <c r="C12" s="30" t="n">
        <v>46091</v>
      </c>
      <c r="E12" s="20" t="inlineStr">
        <is>
          <t>Contoh Rumus Benar:</t>
        </is>
      </c>
      <c r="F12" s="22" t="inlineStr">
        <is>
          <t>'=EDATE(C11, 7)</t>
        </is>
      </c>
      <c r="G12" s="5" t="n"/>
    </row>
    <row r="13">
      <c r="B13" s="19" t="inlineStr">
        <is>
          <t>Simulasi Unit C</t>
        </is>
      </c>
      <c r="C13" s="30" t="n">
        <v>46162</v>
      </c>
      <c r="E13" s="20" t="inlineStr">
        <is>
          <t>Contoh Hasil Benar:</t>
        </is>
      </c>
      <c r="F13" s="23">
        <f>EDATE(C11, 7)</f>
        <v/>
      </c>
      <c r="G13" s="5" t="n"/>
    </row>
    <row r="14">
      <c r="B14" s="19" t="inlineStr">
        <is>
          <t>Simulasi Unit D</t>
        </is>
      </c>
      <c r="C14" s="30" t="n">
        <v>46208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Kontrak Proyek</t>
        </is>
      </c>
      <c r="C20" s="14" t="inlineStr">
        <is>
          <t>Tanggal Mulai</t>
        </is>
      </c>
      <c r="E20" s="27" t="inlineStr">
        <is>
          <t>Persoalan Tes #1: Tentukan tanggal hasil pergeseran dari tanggal awal di C21 sejauh 2 periode ke depan menggunakan fungsi EDATE!</t>
        </is>
      </c>
    </row>
    <row r="21">
      <c r="B21" s="19" t="inlineStr">
        <is>
          <t>Cabang Jakarta</t>
        </is>
      </c>
      <c r="C21" s="30" t="n">
        <v>46037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46091</v>
      </c>
      <c r="E22" s="28" t="n"/>
      <c r="F22" s="29">
        <f>IF(ISBLANK(E22), "⏳ Belum Diisi (Ketik Rumus di Sel Kuning E22)", IF(E22='99_KUNCI_JAWABAN'!F380,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46162</v>
      </c>
    </row>
    <row r="24">
      <c r="B24" s="19" t="inlineStr">
        <is>
          <t>Cabang Medan</t>
        </is>
      </c>
      <c r="C24" s="30" t="n">
        <v>46208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Kontrak Proyek</t>
        </is>
      </c>
      <c r="C28" s="14" t="inlineStr">
        <is>
          <t>Tanggal Mulai</t>
        </is>
      </c>
      <c r="E28" s="27" t="inlineStr">
        <is>
          <t>Persoalan Tes #2: Tentukan tanggal hasil pergeseran dari tanggal awal di C29 sejauh 3 periode ke depan menggunakan fungsi EDATE!</t>
        </is>
      </c>
    </row>
    <row r="29">
      <c r="B29" s="19" t="inlineStr">
        <is>
          <t>Budi Santoso</t>
        </is>
      </c>
      <c r="C29" s="30" t="n">
        <v>46037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46091</v>
      </c>
      <c r="E30" s="28" t="n"/>
      <c r="F30" s="29">
        <f>IF(ISBLANK(E30), "⏳ Belum Diisi (Ketik Rumus di Sel Kuning E30)", IF(E30='99_KUNCI_JAWABAN'!F381,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46162</v>
      </c>
    </row>
    <row r="32">
      <c r="B32" s="19" t="inlineStr">
        <is>
          <t>Rina Wijaya</t>
        </is>
      </c>
      <c r="C32" s="30" t="n">
        <v>46208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Kontrak Proyek</t>
        </is>
      </c>
      <c r="C36" s="14" t="inlineStr">
        <is>
          <t>Tanggal Mulai</t>
        </is>
      </c>
      <c r="E36" s="27" t="inlineStr">
        <is>
          <t>Persoalan Tes #3: Tentukan tanggal hasil pergeseran dari tanggal awal di C37 sejauh 4 periode ke depan menggunakan fungsi EDATE!</t>
        </is>
      </c>
    </row>
    <row r="37">
      <c r="B37" s="19" t="inlineStr">
        <is>
          <t>Gudang Blok A</t>
        </is>
      </c>
      <c r="C37" s="30" t="n">
        <v>46037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46091</v>
      </c>
      <c r="E38" s="28" t="n"/>
      <c r="F38" s="29">
        <f>IF(ISBLANK(E38), "⏳ Belum Diisi (Ketik Rumus di Sel Kuning E38)", IF(E38='99_KUNCI_JAWABAN'!F382,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46162</v>
      </c>
    </row>
    <row r="40">
      <c r="B40" s="19" t="inlineStr">
        <is>
          <t>Gudang Blok D</t>
        </is>
      </c>
      <c r="C40" s="30" t="n">
        <v>46208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Kontrak Proyek</t>
        </is>
      </c>
      <c r="C44" s="14" t="inlineStr">
        <is>
          <t>Tanggal Mulai</t>
        </is>
      </c>
      <c r="E44" s="27" t="inlineStr">
        <is>
          <t>Persoalan Tes #4: Tentukan tanggal hasil pergeseran dari tanggal awal di C45 sejauh 5 periode ke depan menggunakan fungsi EDATE!</t>
        </is>
      </c>
    </row>
    <row r="45">
      <c r="B45" s="19" t="inlineStr">
        <is>
          <t>Toko Elektronik</t>
        </is>
      </c>
      <c r="C45" s="30" t="n">
        <v>46037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46091</v>
      </c>
      <c r="E46" s="28" t="n"/>
      <c r="F46" s="29">
        <f>IF(ISBLANK(E46), "⏳ Belum Diisi (Ketik Rumus di Sel Kuning E46)", IF(E46='99_KUNCI_JAWABAN'!F383,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46162</v>
      </c>
    </row>
    <row r="48">
      <c r="B48" s="19" t="inlineStr">
        <is>
          <t>Toko Servis</t>
        </is>
      </c>
      <c r="C48" s="30" t="n">
        <v>46208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Kontrak Proyek</t>
        </is>
      </c>
      <c r="C52" s="14" t="inlineStr">
        <is>
          <t>Tanggal Mulai</t>
        </is>
      </c>
      <c r="E52" s="27" t="inlineStr">
        <is>
          <t>Persoalan Tes #5: Tentukan tanggal hasil pergeseran dari tanggal awal di C53 sejauh 6 periode ke depan menggunakan fungsi EDATE!</t>
        </is>
      </c>
    </row>
    <row r="53">
      <c r="B53" s="19" t="inlineStr">
        <is>
          <t>Kelas 10 IPA</t>
        </is>
      </c>
      <c r="C53" s="30" t="n">
        <v>46037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46091</v>
      </c>
      <c r="E54" s="28" t="n"/>
      <c r="F54" s="29">
        <f>IF(ISBLANK(E54), "⏳ Belum Diisi (Ketik Rumus di Sel Kuning E54)", IF(E54='99_KUNCI_JAWABAN'!F384,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46162</v>
      </c>
    </row>
    <row r="56">
      <c r="B56" s="19" t="inlineStr">
        <is>
          <t>Kelas Unggulan</t>
        </is>
      </c>
      <c r="C56" s="30" t="n">
        <v>46208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#077 — RUMUS EXCEL: EOMONTH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(EOMONTH)</t>
        </is>
      </c>
    </row>
    <row r="5" ht="21" customHeight="1">
      <c r="B5" s="14" t="inlineStr">
        <is>
          <t>Nama Rumus Excel</t>
        </is>
      </c>
      <c r="C5" s="15">
        <f>EOMONTH(...)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EOMONTH(tanggal_awal, jumlah_bulan)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tanggal TERAKHIR di suatu bulan (End of Month) — wajib untuk jadwal gajian akhir bulan atau tutup buku akuntansi!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EOMONTH DI SINI)</t>
        </is>
      </c>
    </row>
    <row r="10">
      <c r="B10" s="18" t="inlineStr">
        <is>
          <t>Kontrak Proyek</t>
        </is>
      </c>
      <c r="C10" s="18" t="inlineStr">
        <is>
          <t>Tanggal Mulai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46037</v>
      </c>
      <c r="E11" s="20" t="inlineStr">
        <is>
          <t>Contoh Soal:</t>
        </is>
      </c>
      <c r="F11" s="21" t="inlineStr">
        <is>
          <t>Tentukan tanggal hasil pergeseran dari tanggal awal di C11 sejauh 7 periode ke depan menggunakan fungsi EOMONTH!</t>
        </is>
      </c>
      <c r="G11" s="5" t="n"/>
    </row>
    <row r="12">
      <c r="B12" s="19" t="inlineStr">
        <is>
          <t>Simulasi Unit B</t>
        </is>
      </c>
      <c r="C12" s="30" t="n">
        <v>46091</v>
      </c>
      <c r="E12" s="20" t="inlineStr">
        <is>
          <t>Contoh Rumus Benar:</t>
        </is>
      </c>
      <c r="F12" s="22" t="inlineStr">
        <is>
          <t>'=EOMONTH(C11, 7)</t>
        </is>
      </c>
      <c r="G12" s="5" t="n"/>
    </row>
    <row r="13">
      <c r="B13" s="19" t="inlineStr">
        <is>
          <t>Simulasi Unit C</t>
        </is>
      </c>
      <c r="C13" s="30" t="n">
        <v>46162</v>
      </c>
      <c r="E13" s="20" t="inlineStr">
        <is>
          <t>Contoh Hasil Benar:</t>
        </is>
      </c>
      <c r="F13" s="23">
        <f>EOMONTH(C11, 7)</f>
        <v/>
      </c>
      <c r="G13" s="5" t="n"/>
    </row>
    <row r="14">
      <c r="B14" s="19" t="inlineStr">
        <is>
          <t>Simulasi Unit D</t>
        </is>
      </c>
      <c r="C14" s="30" t="n">
        <v>46208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Kontrak Proyek</t>
        </is>
      </c>
      <c r="C20" s="14" t="inlineStr">
        <is>
          <t>Tanggal Mulai</t>
        </is>
      </c>
      <c r="E20" s="27" t="inlineStr">
        <is>
          <t>Persoalan Tes #1: Tentukan tanggal hasil pergeseran dari tanggal awal di C21 sejauh 2 periode ke depan menggunakan fungsi EOMONTH!</t>
        </is>
      </c>
    </row>
    <row r="21">
      <c r="B21" s="19" t="inlineStr">
        <is>
          <t>Cabang Jakarta</t>
        </is>
      </c>
      <c r="C21" s="30" t="n">
        <v>46037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46091</v>
      </c>
      <c r="E22" s="28" t="n"/>
      <c r="F22" s="29">
        <f>IF(ISBLANK(E22), "⏳ Belum Diisi (Ketik Rumus di Sel Kuning E22)", IF(E22='99_KUNCI_JAWABAN'!F385,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46162</v>
      </c>
    </row>
    <row r="24">
      <c r="B24" s="19" t="inlineStr">
        <is>
          <t>Cabang Medan</t>
        </is>
      </c>
      <c r="C24" s="30" t="n">
        <v>46208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Kontrak Proyek</t>
        </is>
      </c>
      <c r="C28" s="14" t="inlineStr">
        <is>
          <t>Tanggal Mulai</t>
        </is>
      </c>
      <c r="E28" s="27" t="inlineStr">
        <is>
          <t>Persoalan Tes #2: Tentukan tanggal hasil pergeseran dari tanggal awal di C29 sejauh 3 periode ke depan menggunakan fungsi EOMONTH!</t>
        </is>
      </c>
    </row>
    <row r="29">
      <c r="B29" s="19" t="inlineStr">
        <is>
          <t>Budi Santoso</t>
        </is>
      </c>
      <c r="C29" s="30" t="n">
        <v>46037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46091</v>
      </c>
      <c r="E30" s="28" t="n"/>
      <c r="F30" s="29">
        <f>IF(ISBLANK(E30), "⏳ Belum Diisi (Ketik Rumus di Sel Kuning E30)", IF(E30='99_KUNCI_JAWABAN'!F386,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46162</v>
      </c>
    </row>
    <row r="32">
      <c r="B32" s="19" t="inlineStr">
        <is>
          <t>Rina Wijaya</t>
        </is>
      </c>
      <c r="C32" s="30" t="n">
        <v>46208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Kontrak Proyek</t>
        </is>
      </c>
      <c r="C36" s="14" t="inlineStr">
        <is>
          <t>Tanggal Mulai</t>
        </is>
      </c>
      <c r="E36" s="27" t="inlineStr">
        <is>
          <t>Persoalan Tes #3: Tentukan tanggal hasil pergeseran dari tanggal awal di C37 sejauh 4 periode ke depan menggunakan fungsi EOMONTH!</t>
        </is>
      </c>
    </row>
    <row r="37">
      <c r="B37" s="19" t="inlineStr">
        <is>
          <t>Gudang Blok A</t>
        </is>
      </c>
      <c r="C37" s="30" t="n">
        <v>46037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46091</v>
      </c>
      <c r="E38" s="28" t="n"/>
      <c r="F38" s="29">
        <f>IF(ISBLANK(E38), "⏳ Belum Diisi (Ketik Rumus di Sel Kuning E38)", IF(E38='99_KUNCI_JAWABAN'!F387,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46162</v>
      </c>
    </row>
    <row r="40">
      <c r="B40" s="19" t="inlineStr">
        <is>
          <t>Gudang Blok D</t>
        </is>
      </c>
      <c r="C40" s="30" t="n">
        <v>46208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Kontrak Proyek</t>
        </is>
      </c>
      <c r="C44" s="14" t="inlineStr">
        <is>
          <t>Tanggal Mulai</t>
        </is>
      </c>
      <c r="E44" s="27" t="inlineStr">
        <is>
          <t>Persoalan Tes #4: Tentukan tanggal hasil pergeseran dari tanggal awal di C45 sejauh 5 periode ke depan menggunakan fungsi EOMONTH!</t>
        </is>
      </c>
    </row>
    <row r="45">
      <c r="B45" s="19" t="inlineStr">
        <is>
          <t>Toko Elektronik</t>
        </is>
      </c>
      <c r="C45" s="30" t="n">
        <v>46037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46091</v>
      </c>
      <c r="E46" s="28" t="n"/>
      <c r="F46" s="29">
        <f>IF(ISBLANK(E46), "⏳ Belum Diisi (Ketik Rumus di Sel Kuning E46)", IF(E46='99_KUNCI_JAWABAN'!F388,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46162</v>
      </c>
    </row>
    <row r="48">
      <c r="B48" s="19" t="inlineStr">
        <is>
          <t>Toko Servis</t>
        </is>
      </c>
      <c r="C48" s="30" t="n">
        <v>46208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Kontrak Proyek</t>
        </is>
      </c>
      <c r="C52" s="14" t="inlineStr">
        <is>
          <t>Tanggal Mulai</t>
        </is>
      </c>
      <c r="E52" s="27" t="inlineStr">
        <is>
          <t>Persoalan Tes #5: Tentukan tanggal hasil pergeseran dari tanggal awal di C53 sejauh 6 periode ke depan menggunakan fungsi EOMONTH!</t>
        </is>
      </c>
    </row>
    <row r="53">
      <c r="B53" s="19" t="inlineStr">
        <is>
          <t>Kelas 10 IPA</t>
        </is>
      </c>
      <c r="C53" s="30" t="n">
        <v>46037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46091</v>
      </c>
      <c r="E54" s="28" t="n"/>
      <c r="F54" s="29">
        <f>IF(ISBLANK(E54), "⏳ Belum Diisi (Ketik Rumus di Sel Kuning E54)", IF(E54='99_KUNCI_JAWABAN'!F389,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46162</v>
      </c>
    </row>
    <row r="56">
      <c r="B56" s="19" t="inlineStr">
        <is>
          <t>Kelas Unggulan</t>
        </is>
      </c>
      <c r="C56" s="30" t="n">
        <v>46208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#078 — RUMUS EXCEL: NETWORKDAYS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(NETWORKDAYS)</t>
        </is>
      </c>
    </row>
    <row r="5" ht="21" customHeight="1">
      <c r="B5" s="14" t="inlineStr">
        <is>
          <t>Nama Rumus Excel</t>
        </is>
      </c>
      <c r="C5" s="15">
        <f>NETWORKDAYS(...)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NETWORKDAYS(tanggal_awal, tanggal_akhir)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jumlah HARI KERJA EFEKTIF (Senin–Jumat) dan otomatis memotong hari libur Sabtu &amp; Minggu!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NETWORKDAYS DI SINI)</t>
        </is>
      </c>
    </row>
    <row r="10">
      <c r="B10" s="18" t="inlineStr">
        <is>
          <t>Tanggal Awal (B)</t>
        </is>
      </c>
      <c r="C10" s="18" t="inlineStr">
        <is>
          <t>Tanggal Akhir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30" t="n">
        <v>46032</v>
      </c>
      <c r="C11" s="30" t="n">
        <v>46223</v>
      </c>
      <c r="E11" s="20" t="inlineStr">
        <is>
          <t>Contoh Soal:</t>
        </is>
      </c>
      <c r="F11" s="21" t="inlineStr">
        <is>
          <t>Hitung jumlah hari kerja efektif dari Tanggal Awal B11 sampai Tanggal Akhir C11 menggunakan fungsi NETWORKDAYS!</t>
        </is>
      </c>
      <c r="G11" s="5" t="n"/>
    </row>
    <row r="12">
      <c r="B12" s="30" t="n">
        <v>46054</v>
      </c>
      <c r="C12" s="30" t="n">
        <v>46096</v>
      </c>
      <c r="E12" s="20" t="inlineStr">
        <is>
          <t>Contoh Rumus Benar:</t>
        </is>
      </c>
      <c r="F12" s="22" t="inlineStr">
        <is>
          <t>'=NETWORKDAYS(B11, C11)</t>
        </is>
      </c>
      <c r="G12" s="5" t="n"/>
    </row>
    <row r="13">
      <c r="B13" s="30" t="n">
        <v>46113</v>
      </c>
      <c r="C13" s="30" t="n">
        <v>46162</v>
      </c>
      <c r="E13" s="20" t="inlineStr">
        <is>
          <t>Contoh Hasil Benar:</t>
        </is>
      </c>
      <c r="F13" s="23">
        <f>NETWORKDAYS(B11, C11)</f>
        <v/>
      </c>
      <c r="G13" s="5" t="n"/>
    </row>
    <row r="14">
      <c r="B14" s="30" t="n">
        <v>46174</v>
      </c>
      <c r="C14" s="30" t="n">
        <v>46244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Tanggal Awal (B)</t>
        </is>
      </c>
      <c r="C20" s="14" t="inlineStr">
        <is>
          <t>Tanggal Akhir (C)</t>
        </is>
      </c>
      <c r="E20" s="27" t="inlineStr">
        <is>
          <t>Persoalan Tes #1: Hitung jumlah hari kerja efektif dari Tanggal Awal B21 sampai Tanggal Akhir C21 menggunakan fungsi NETWORKDAYS!</t>
        </is>
      </c>
    </row>
    <row r="21">
      <c r="B21" s="30" t="n">
        <v>46032</v>
      </c>
      <c r="C21" s="30" t="n">
        <v>46073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30" t="n">
        <v>46054</v>
      </c>
      <c r="C22" s="30" t="n">
        <v>46096</v>
      </c>
      <c r="E22" s="28" t="n"/>
      <c r="F22" s="29">
        <f>IF(ISBLANK(E22), "⏳ Belum Diisi (Ketik Rumus di Sel Kuning E22)", IF(E22='99_KUNCI_JAWABAN'!F390, "✅ BENAR! JAWABAN TES TEPAT!", "❌ Belum Tepat (Cek Sheet Akhir: 99_KUNCI_JAWABAN)"))</f>
        <v/>
      </c>
      <c r="G22" s="5" t="n"/>
    </row>
    <row r="23">
      <c r="B23" s="30" t="n">
        <v>46113</v>
      </c>
      <c r="C23" s="30" t="n">
        <v>46162</v>
      </c>
    </row>
    <row r="24">
      <c r="B24" s="30" t="n">
        <v>46174</v>
      </c>
      <c r="C24" s="30" t="n">
        <v>46244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Tanggal Awal (B)</t>
        </is>
      </c>
      <c r="C28" s="14" t="inlineStr">
        <is>
          <t>Tanggal Akhir (C)</t>
        </is>
      </c>
      <c r="E28" s="27" t="inlineStr">
        <is>
          <t>Persoalan Tes #2: Hitung jumlah hari kerja efektif dari Tanggal Awal B29 sampai Tanggal Akhir C29 menggunakan fungsi NETWORKDAYS!</t>
        </is>
      </c>
    </row>
    <row r="29">
      <c r="B29" s="30" t="n">
        <v>46032</v>
      </c>
      <c r="C29" s="30" t="n">
        <v>46101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30" t="n">
        <v>46054</v>
      </c>
      <c r="C30" s="30" t="n">
        <v>46096</v>
      </c>
      <c r="E30" s="28" t="n"/>
      <c r="F30" s="29">
        <f>IF(ISBLANK(E30), "⏳ Belum Diisi (Ketik Rumus di Sel Kuning E30)", IF(E30='99_KUNCI_JAWABAN'!F391, "✅ BENAR! JAWABAN TES TEPAT!", "❌ Belum Tepat (Cek Sheet Akhir: 99_KUNCI_JAWABAN)"))</f>
        <v/>
      </c>
      <c r="G30" s="5" t="n"/>
    </row>
    <row r="31">
      <c r="B31" s="30" t="n">
        <v>46113</v>
      </c>
      <c r="C31" s="30" t="n">
        <v>46162</v>
      </c>
    </row>
    <row r="32">
      <c r="B32" s="30" t="n">
        <v>46174</v>
      </c>
      <c r="C32" s="30" t="n">
        <v>46244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Tanggal Awal (B)</t>
        </is>
      </c>
      <c r="C36" s="14" t="inlineStr">
        <is>
          <t>Tanggal Akhir (C)</t>
        </is>
      </c>
      <c r="E36" s="27" t="inlineStr">
        <is>
          <t>Persoalan Tes #3: Hitung jumlah hari kerja efektif dari Tanggal Awal B37 sampai Tanggal Akhir C37 menggunakan fungsi NETWORKDAYS!</t>
        </is>
      </c>
    </row>
    <row r="37">
      <c r="B37" s="30" t="n">
        <v>46032</v>
      </c>
      <c r="C37" s="30" t="n">
        <v>46132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30" t="n">
        <v>46054</v>
      </c>
      <c r="C38" s="30" t="n">
        <v>46096</v>
      </c>
      <c r="E38" s="28" t="n"/>
      <c r="F38" s="29">
        <f>IF(ISBLANK(E38), "⏳ Belum Diisi (Ketik Rumus di Sel Kuning E38)", IF(E38='99_KUNCI_JAWABAN'!F392, "✅ BENAR! JAWABAN TES TEPAT!", "❌ Belum Tepat (Cek Sheet Akhir: 99_KUNCI_JAWABAN)"))</f>
        <v/>
      </c>
      <c r="G38" s="5" t="n"/>
    </row>
    <row r="39">
      <c r="B39" s="30" t="n">
        <v>46113</v>
      </c>
      <c r="C39" s="30" t="n">
        <v>46162</v>
      </c>
    </row>
    <row r="40">
      <c r="B40" s="30" t="n">
        <v>46174</v>
      </c>
      <c r="C40" s="30" t="n">
        <v>46244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Tanggal Awal (B)</t>
        </is>
      </c>
      <c r="C44" s="14" t="inlineStr">
        <is>
          <t>Tanggal Akhir (C)</t>
        </is>
      </c>
      <c r="E44" s="27" t="inlineStr">
        <is>
          <t>Persoalan Tes #4: Hitung jumlah hari kerja efektif dari Tanggal Awal B45 sampai Tanggal Akhir C45 menggunakan fungsi NETWORKDAYS!</t>
        </is>
      </c>
    </row>
    <row r="45">
      <c r="B45" s="30" t="n">
        <v>46032</v>
      </c>
      <c r="C45" s="30" t="n">
        <v>46162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30" t="n">
        <v>46054</v>
      </c>
      <c r="C46" s="30" t="n">
        <v>46096</v>
      </c>
      <c r="E46" s="28" t="n"/>
      <c r="F46" s="29">
        <f>IF(ISBLANK(E46), "⏳ Belum Diisi (Ketik Rumus di Sel Kuning E46)", IF(E46='99_KUNCI_JAWABAN'!F393, "✅ BENAR! JAWABAN TES TEPAT!", "❌ Belum Tepat (Cek Sheet Akhir: 99_KUNCI_JAWABAN)"))</f>
        <v/>
      </c>
      <c r="G46" s="5" t="n"/>
    </row>
    <row r="47">
      <c r="B47" s="30" t="n">
        <v>46113</v>
      </c>
      <c r="C47" s="30" t="n">
        <v>46162</v>
      </c>
    </row>
    <row r="48">
      <c r="B48" s="30" t="n">
        <v>46174</v>
      </c>
      <c r="C48" s="30" t="n">
        <v>46244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Tanggal Awal (B)</t>
        </is>
      </c>
      <c r="C52" s="14" t="inlineStr">
        <is>
          <t>Tanggal Akhir (C)</t>
        </is>
      </c>
      <c r="E52" s="27" t="inlineStr">
        <is>
          <t>Persoalan Tes #5: Hitung jumlah hari kerja efektif dari Tanggal Awal B53 sampai Tanggal Akhir C53 menggunakan fungsi NETWORKDAYS!</t>
        </is>
      </c>
    </row>
    <row r="53">
      <c r="B53" s="30" t="n">
        <v>46032</v>
      </c>
      <c r="C53" s="30" t="n">
        <v>46193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30" t="n">
        <v>46054</v>
      </c>
      <c r="C54" s="30" t="n">
        <v>46096</v>
      </c>
      <c r="E54" s="28" t="n"/>
      <c r="F54" s="29">
        <f>IF(ISBLANK(E54), "⏳ Belum Diisi (Ketik Rumus di Sel Kuning E54)", IF(E54='99_KUNCI_JAWABAN'!F394, "✅ BENAR! JAWABAN TES TEPAT!", "❌ Belum Tepat (Cek Sheet Akhir: 99_KUNCI_JAWABAN)"))</f>
        <v/>
      </c>
      <c r="G54" s="5" t="n"/>
    </row>
    <row r="55">
      <c r="B55" s="30" t="n">
        <v>46113</v>
      </c>
      <c r="C55" s="30" t="n">
        <v>46162</v>
      </c>
    </row>
    <row r="56">
      <c r="B56" s="30" t="n">
        <v>46174</v>
      </c>
      <c r="C56" s="30" t="n">
        <v>46244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#079 — RUMUS EXCEL: WORKDAY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(WORKDAY)</t>
        </is>
      </c>
    </row>
    <row r="5" ht="21" customHeight="1">
      <c r="B5" s="14" t="inlineStr">
        <is>
          <t>Nama Rumus Excel</t>
        </is>
      </c>
      <c r="C5" s="15">
        <f>WORKDAY(...)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WORKDAY(tanggal_awal, jumlah_hari_kerja)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tahu tanggal berapa proyek selesai jika dikerjakan selama N hari kerja efektif (tidak termasuk Sabtu &amp; Minggu).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WORKDAY DI SINI)</t>
        </is>
      </c>
    </row>
    <row r="10">
      <c r="B10" s="18" t="inlineStr">
        <is>
          <t>Kontrak Proyek</t>
        </is>
      </c>
      <c r="C10" s="18" t="inlineStr">
        <is>
          <t>Tanggal Mulai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46037</v>
      </c>
      <c r="E11" s="20" t="inlineStr">
        <is>
          <t>Contoh Soal:</t>
        </is>
      </c>
      <c r="F11" s="21" t="inlineStr">
        <is>
          <t>Tentukan tanggal hasil pergeseran dari tanggal awal di C11 sejauh 7 periode ke depan menggunakan fungsi WORKDAY!</t>
        </is>
      </c>
      <c r="G11" s="5" t="n"/>
    </row>
    <row r="12">
      <c r="B12" s="19" t="inlineStr">
        <is>
          <t>Simulasi Unit B</t>
        </is>
      </c>
      <c r="C12" s="30" t="n">
        <v>46091</v>
      </c>
      <c r="E12" s="20" t="inlineStr">
        <is>
          <t>Contoh Rumus Benar:</t>
        </is>
      </c>
      <c r="F12" s="22" t="inlineStr">
        <is>
          <t>'=WORKDAY(C11, 7)</t>
        </is>
      </c>
      <c r="G12" s="5" t="n"/>
    </row>
    <row r="13">
      <c r="B13" s="19" t="inlineStr">
        <is>
          <t>Simulasi Unit C</t>
        </is>
      </c>
      <c r="C13" s="30" t="n">
        <v>46162</v>
      </c>
      <c r="E13" s="20" t="inlineStr">
        <is>
          <t>Contoh Hasil Benar:</t>
        </is>
      </c>
      <c r="F13" s="23">
        <f>WORKDAY(C11, 7)</f>
        <v/>
      </c>
      <c r="G13" s="5" t="n"/>
    </row>
    <row r="14">
      <c r="B14" s="19" t="inlineStr">
        <is>
          <t>Simulasi Unit D</t>
        </is>
      </c>
      <c r="C14" s="30" t="n">
        <v>46208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Kontrak Proyek</t>
        </is>
      </c>
      <c r="C20" s="14" t="inlineStr">
        <is>
          <t>Tanggal Mulai</t>
        </is>
      </c>
      <c r="E20" s="27" t="inlineStr">
        <is>
          <t>Persoalan Tes #1: Tentukan tanggal hasil pergeseran dari tanggal awal di C21 sejauh 2 periode ke depan menggunakan fungsi WORKDAY!</t>
        </is>
      </c>
    </row>
    <row r="21">
      <c r="B21" s="19" t="inlineStr">
        <is>
          <t>Cabang Jakarta</t>
        </is>
      </c>
      <c r="C21" s="30" t="n">
        <v>46037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46091</v>
      </c>
      <c r="E22" s="28" t="n"/>
      <c r="F22" s="29">
        <f>IF(ISBLANK(E22), "⏳ Belum Diisi (Ketik Rumus di Sel Kuning E22)", IF(E22='99_KUNCI_JAWABAN'!F395,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46162</v>
      </c>
    </row>
    <row r="24">
      <c r="B24" s="19" t="inlineStr">
        <is>
          <t>Cabang Medan</t>
        </is>
      </c>
      <c r="C24" s="30" t="n">
        <v>46208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Kontrak Proyek</t>
        </is>
      </c>
      <c r="C28" s="14" t="inlineStr">
        <is>
          <t>Tanggal Mulai</t>
        </is>
      </c>
      <c r="E28" s="27" t="inlineStr">
        <is>
          <t>Persoalan Tes #2: Tentukan tanggal hasil pergeseran dari tanggal awal di C29 sejauh 3 periode ke depan menggunakan fungsi WORKDAY!</t>
        </is>
      </c>
    </row>
    <row r="29">
      <c r="B29" s="19" t="inlineStr">
        <is>
          <t>Budi Santoso</t>
        </is>
      </c>
      <c r="C29" s="30" t="n">
        <v>46037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46091</v>
      </c>
      <c r="E30" s="28" t="n"/>
      <c r="F30" s="29">
        <f>IF(ISBLANK(E30), "⏳ Belum Diisi (Ketik Rumus di Sel Kuning E30)", IF(E30='99_KUNCI_JAWABAN'!F396,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46162</v>
      </c>
    </row>
    <row r="32">
      <c r="B32" s="19" t="inlineStr">
        <is>
          <t>Rina Wijaya</t>
        </is>
      </c>
      <c r="C32" s="30" t="n">
        <v>46208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Kontrak Proyek</t>
        </is>
      </c>
      <c r="C36" s="14" t="inlineStr">
        <is>
          <t>Tanggal Mulai</t>
        </is>
      </c>
      <c r="E36" s="27" t="inlineStr">
        <is>
          <t>Persoalan Tes #3: Tentukan tanggal hasil pergeseran dari tanggal awal di C37 sejauh 4 periode ke depan menggunakan fungsi WORKDAY!</t>
        </is>
      </c>
    </row>
    <row r="37">
      <c r="B37" s="19" t="inlineStr">
        <is>
          <t>Gudang Blok A</t>
        </is>
      </c>
      <c r="C37" s="30" t="n">
        <v>46037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46091</v>
      </c>
      <c r="E38" s="28" t="n"/>
      <c r="F38" s="29">
        <f>IF(ISBLANK(E38), "⏳ Belum Diisi (Ketik Rumus di Sel Kuning E38)", IF(E38='99_KUNCI_JAWABAN'!F397,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46162</v>
      </c>
    </row>
    <row r="40">
      <c r="B40" s="19" t="inlineStr">
        <is>
          <t>Gudang Blok D</t>
        </is>
      </c>
      <c r="C40" s="30" t="n">
        <v>46208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Kontrak Proyek</t>
        </is>
      </c>
      <c r="C44" s="14" t="inlineStr">
        <is>
          <t>Tanggal Mulai</t>
        </is>
      </c>
      <c r="E44" s="27" t="inlineStr">
        <is>
          <t>Persoalan Tes #4: Tentukan tanggal hasil pergeseran dari tanggal awal di C45 sejauh 5 periode ke depan menggunakan fungsi WORKDAY!</t>
        </is>
      </c>
    </row>
    <row r="45">
      <c r="B45" s="19" t="inlineStr">
        <is>
          <t>Toko Elektronik</t>
        </is>
      </c>
      <c r="C45" s="30" t="n">
        <v>46037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46091</v>
      </c>
      <c r="E46" s="28" t="n"/>
      <c r="F46" s="29">
        <f>IF(ISBLANK(E46), "⏳ Belum Diisi (Ketik Rumus di Sel Kuning E46)", IF(E46='99_KUNCI_JAWABAN'!F398,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46162</v>
      </c>
    </row>
    <row r="48">
      <c r="B48" s="19" t="inlineStr">
        <is>
          <t>Toko Servis</t>
        </is>
      </c>
      <c r="C48" s="30" t="n">
        <v>46208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Kontrak Proyek</t>
        </is>
      </c>
      <c r="C52" s="14" t="inlineStr">
        <is>
          <t>Tanggal Mulai</t>
        </is>
      </c>
      <c r="E52" s="27" t="inlineStr">
        <is>
          <t>Persoalan Tes #5: Tentukan tanggal hasil pergeseran dari tanggal awal di C53 sejauh 6 periode ke depan menggunakan fungsi WORKDAY!</t>
        </is>
      </c>
    </row>
    <row r="53">
      <c r="B53" s="19" t="inlineStr">
        <is>
          <t>Kelas 10 IPA</t>
        </is>
      </c>
      <c r="C53" s="30" t="n">
        <v>46037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46091</v>
      </c>
      <c r="E54" s="28" t="n"/>
      <c r="F54" s="29">
        <f>IF(ISBLANK(E54), "⏳ Belum Diisi (Ketik Rumus di Sel Kuning E54)", IF(E54='99_KUNCI_JAWABAN'!F399,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46162</v>
      </c>
    </row>
    <row r="56">
      <c r="B56" s="19" t="inlineStr">
        <is>
          <t>Kelas Unggulan</t>
        </is>
      </c>
      <c r="C56" s="30" t="n">
        <v>46208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#080 — RUMUS EXCEL: WEEKDAY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(WEEKDAY)</t>
        </is>
      </c>
    </row>
    <row r="5" ht="21" customHeight="1">
      <c r="B5" s="14" t="inlineStr">
        <is>
          <t>Nama Rumus Excel</t>
        </is>
      </c>
      <c r="C5" s="15">
        <f>WEEKDAY(...)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WEEKDAY(tanggal)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angka hari dalam seminggu (1 = Minggu, 2 = Senin, ..., 7 = Sabtu) untuk mengecek apakah transaksi jatuh di akhir pekan.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WEEKDAY DI SINI)</t>
        </is>
      </c>
    </row>
    <row r="10">
      <c r="B10" s="18" t="inlineStr">
        <is>
          <t>Agenda Kantor</t>
        </is>
      </c>
      <c r="C10" s="18" t="inlineStr">
        <is>
          <t>Tanggal Kegiatan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46188</v>
      </c>
      <c r="E11" s="20" t="inlineStr">
        <is>
          <t>Contoh Soal:</t>
        </is>
      </c>
      <c r="F11" s="21" t="inlineStr">
        <is>
          <t>Ambil nilai WEEKDAY dari tanggal kegiatan di sel C11 menggunakan fungsi WEEKDAY!</t>
        </is>
      </c>
      <c r="G11" s="5" t="n"/>
    </row>
    <row r="12">
      <c r="B12" s="19" t="inlineStr">
        <is>
          <t>Simulasi Unit B</t>
        </is>
      </c>
      <c r="C12" s="30" t="n">
        <v>46193</v>
      </c>
      <c r="E12" s="20" t="inlineStr">
        <is>
          <t>Contoh Rumus Benar:</t>
        </is>
      </c>
      <c r="F12" s="22" t="inlineStr">
        <is>
          <t>'=WEEKDAY(C11)</t>
        </is>
      </c>
      <c r="G12" s="5" t="n"/>
    </row>
    <row r="13">
      <c r="B13" s="19" t="inlineStr">
        <is>
          <t>Simulasi Unit C</t>
        </is>
      </c>
      <c r="C13" s="30" t="n">
        <v>46251</v>
      </c>
      <c r="E13" s="20" t="inlineStr">
        <is>
          <t>Contoh Hasil Benar:</t>
        </is>
      </c>
      <c r="F13" s="23">
        <f>WEEKDAY(C11)</f>
        <v/>
      </c>
      <c r="G13" s="5" t="n"/>
    </row>
    <row r="14">
      <c r="B14" s="19" t="inlineStr">
        <is>
          <t>Simulasi Unit D</t>
        </is>
      </c>
      <c r="C14" s="30" t="n">
        <v>46381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Agenda Kantor</t>
        </is>
      </c>
      <c r="C20" s="14" t="inlineStr">
        <is>
          <t>Tanggal Kegiatan</t>
        </is>
      </c>
      <c r="E20" s="27" t="inlineStr">
        <is>
          <t>Persoalan Tes #1: Ambil nilai WEEKDAY dari tanggal kegiatan di sel C21 menggunakan fungsi WEEKDAY!</t>
        </is>
      </c>
    </row>
    <row r="21">
      <c r="B21" s="19" t="inlineStr">
        <is>
          <t>Cabang Jakarta</t>
        </is>
      </c>
      <c r="C21" s="30" t="n">
        <v>46032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46193</v>
      </c>
      <c r="E22" s="28" t="n"/>
      <c r="F22" s="29">
        <f>IF(ISBLANK(E22), "⏳ Belum Diisi (Ketik Rumus di Sel Kuning E22)", IF(E22='99_KUNCI_JAWABAN'!F400,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46251</v>
      </c>
    </row>
    <row r="24">
      <c r="B24" s="19" t="inlineStr">
        <is>
          <t>Cabang Medan</t>
        </is>
      </c>
      <c r="C24" s="30" t="n">
        <v>46381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Agenda Kantor</t>
        </is>
      </c>
      <c r="C28" s="14" t="inlineStr">
        <is>
          <t>Tanggal Kegiatan</t>
        </is>
      </c>
      <c r="E28" s="27" t="inlineStr">
        <is>
          <t>Persoalan Tes #2: Ambil nilai WEEKDAY dari tanggal kegiatan di sel C29 menggunakan fungsi WEEKDAY!</t>
        </is>
      </c>
    </row>
    <row r="29">
      <c r="B29" s="19" t="inlineStr">
        <is>
          <t>Budi Santoso</t>
        </is>
      </c>
      <c r="C29" s="30" t="n">
        <v>46064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46193</v>
      </c>
      <c r="E30" s="28" t="n"/>
      <c r="F30" s="29">
        <f>IF(ISBLANK(E30), "⏳ Belum Diisi (Ketik Rumus di Sel Kuning E30)", IF(E30='99_KUNCI_JAWABAN'!F401,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46251</v>
      </c>
    </row>
    <row r="32">
      <c r="B32" s="19" t="inlineStr">
        <is>
          <t>Rina Wijaya</t>
        </is>
      </c>
      <c r="C32" s="30" t="n">
        <v>46381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Agenda Kantor</t>
        </is>
      </c>
      <c r="C36" s="14" t="inlineStr">
        <is>
          <t>Tanggal Kegiatan</t>
        </is>
      </c>
      <c r="E36" s="27" t="inlineStr">
        <is>
          <t>Persoalan Tes #3: Ambil nilai WEEKDAY dari tanggal kegiatan di sel C37 menggunakan fungsi WEEKDAY!</t>
        </is>
      </c>
    </row>
    <row r="37">
      <c r="B37" s="19" t="inlineStr">
        <is>
          <t>Gudang Blok A</t>
        </is>
      </c>
      <c r="C37" s="30" t="n">
        <v>46093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46193</v>
      </c>
      <c r="E38" s="28" t="n"/>
      <c r="F38" s="29">
        <f>IF(ISBLANK(E38), "⏳ Belum Diisi (Ketik Rumus di Sel Kuning E38)", IF(E38='99_KUNCI_JAWABAN'!F402,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46251</v>
      </c>
    </row>
    <row r="40">
      <c r="B40" s="19" t="inlineStr">
        <is>
          <t>Gudang Blok D</t>
        </is>
      </c>
      <c r="C40" s="30" t="n">
        <v>46381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Agenda Kantor</t>
        </is>
      </c>
      <c r="C44" s="14" t="inlineStr">
        <is>
          <t>Tanggal Kegiatan</t>
        </is>
      </c>
      <c r="E44" s="27" t="inlineStr">
        <is>
          <t>Persoalan Tes #4: Ambil nilai WEEKDAY dari tanggal kegiatan di sel C45 menggunakan fungsi WEEKDAY!</t>
        </is>
      </c>
    </row>
    <row r="45">
      <c r="B45" s="19" t="inlineStr">
        <is>
          <t>Toko Elektronik</t>
        </is>
      </c>
      <c r="C45" s="30" t="n">
        <v>46125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46193</v>
      </c>
      <c r="E46" s="28" t="n"/>
      <c r="F46" s="29">
        <f>IF(ISBLANK(E46), "⏳ Belum Diisi (Ketik Rumus di Sel Kuning E46)", IF(E46='99_KUNCI_JAWABAN'!F403,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46251</v>
      </c>
    </row>
    <row r="48">
      <c r="B48" s="19" t="inlineStr">
        <is>
          <t>Toko Servis</t>
        </is>
      </c>
      <c r="C48" s="30" t="n">
        <v>46381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Agenda Kantor</t>
        </is>
      </c>
      <c r="C52" s="14" t="inlineStr">
        <is>
          <t>Tanggal Kegiatan</t>
        </is>
      </c>
      <c r="E52" s="27" t="inlineStr">
        <is>
          <t>Persoalan Tes #5: Ambil nilai WEEKDAY dari tanggal kegiatan di sel C53 menggunakan fungsi WEEKDAY!</t>
        </is>
      </c>
    </row>
    <row r="53">
      <c r="B53" s="19" t="inlineStr">
        <is>
          <t>Kelas 10 IPA</t>
        </is>
      </c>
      <c r="C53" s="30" t="n">
        <v>46156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46193</v>
      </c>
      <c r="E54" s="28" t="n"/>
      <c r="F54" s="29">
        <f>IF(ISBLANK(E54), "⏳ Belum Diisi (Ketik Rumus di Sel Kuning E54)", IF(E54='99_KUNCI_JAWABAN'!F404,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46251</v>
      </c>
    </row>
    <row r="56">
      <c r="B56" s="19" t="inlineStr">
        <is>
          <t>Kelas Unggulan</t>
        </is>
      </c>
      <c r="C56" s="30" t="n">
        <v>46381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#081 — RUMUS EXCEL: WEEKNUM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(WEEKNUM)</t>
        </is>
      </c>
    </row>
    <row r="5" ht="21" customHeight="1">
      <c r="B5" s="14" t="inlineStr">
        <is>
          <t>Nama Rumus Excel</t>
        </is>
      </c>
      <c r="C5" s="15">
        <f>WEEKNUM(...)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WEEKNUM(tanggal)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Memberitahu tanggal tersebut berada pada Minggu ke-berapa di dalam kalender tahun berjalan (Minggu 1 s/d 52).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WEEKNUM DI SINI)</t>
        </is>
      </c>
    </row>
    <row r="10">
      <c r="B10" s="18" t="inlineStr">
        <is>
          <t>Agenda Kantor</t>
        </is>
      </c>
      <c r="C10" s="18" t="inlineStr">
        <is>
          <t>Tanggal Kegiatan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0" t="n">
        <v>46188</v>
      </c>
      <c r="E11" s="20" t="inlineStr">
        <is>
          <t>Contoh Soal:</t>
        </is>
      </c>
      <c r="F11" s="21" t="inlineStr">
        <is>
          <t>Ambil nilai WEEKNUM dari tanggal kegiatan di sel C11 menggunakan fungsi WEEKNUM!</t>
        </is>
      </c>
      <c r="G11" s="5" t="n"/>
    </row>
    <row r="12">
      <c r="B12" s="19" t="inlineStr">
        <is>
          <t>Simulasi Unit B</t>
        </is>
      </c>
      <c r="C12" s="30" t="n">
        <v>46193</v>
      </c>
      <c r="E12" s="20" t="inlineStr">
        <is>
          <t>Contoh Rumus Benar:</t>
        </is>
      </c>
      <c r="F12" s="22" t="inlineStr">
        <is>
          <t>'=WEEKNUM(C11)</t>
        </is>
      </c>
      <c r="G12" s="5" t="n"/>
    </row>
    <row r="13">
      <c r="B13" s="19" t="inlineStr">
        <is>
          <t>Simulasi Unit C</t>
        </is>
      </c>
      <c r="C13" s="30" t="n">
        <v>46251</v>
      </c>
      <c r="E13" s="20" t="inlineStr">
        <is>
          <t>Contoh Hasil Benar:</t>
        </is>
      </c>
      <c r="F13" s="23">
        <f>WEEKNUM(C11)</f>
        <v/>
      </c>
      <c r="G13" s="5" t="n"/>
    </row>
    <row r="14">
      <c r="B14" s="19" t="inlineStr">
        <is>
          <t>Simulasi Unit D</t>
        </is>
      </c>
      <c r="C14" s="30" t="n">
        <v>46381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Agenda Kantor</t>
        </is>
      </c>
      <c r="C20" s="14" t="inlineStr">
        <is>
          <t>Tanggal Kegiatan</t>
        </is>
      </c>
      <c r="E20" s="27" t="inlineStr">
        <is>
          <t>Persoalan Tes #1: Ambil nilai WEEKNUM dari tanggal kegiatan di sel C21 menggunakan fungsi WEEKNUM!</t>
        </is>
      </c>
    </row>
    <row r="21">
      <c r="B21" s="19" t="inlineStr">
        <is>
          <t>Cabang Jakarta</t>
        </is>
      </c>
      <c r="C21" s="30" t="n">
        <v>46032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0" t="n">
        <v>46193</v>
      </c>
      <c r="E22" s="28" t="n"/>
      <c r="F22" s="29">
        <f>IF(ISBLANK(E22), "⏳ Belum Diisi (Ketik Rumus di Sel Kuning E22)", IF(E22='99_KUNCI_JAWABAN'!F405,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0" t="n">
        <v>46251</v>
      </c>
    </row>
    <row r="24">
      <c r="B24" s="19" t="inlineStr">
        <is>
          <t>Cabang Medan</t>
        </is>
      </c>
      <c r="C24" s="30" t="n">
        <v>46381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Agenda Kantor</t>
        </is>
      </c>
      <c r="C28" s="14" t="inlineStr">
        <is>
          <t>Tanggal Kegiatan</t>
        </is>
      </c>
      <c r="E28" s="27" t="inlineStr">
        <is>
          <t>Persoalan Tes #2: Ambil nilai WEEKNUM dari tanggal kegiatan di sel C29 menggunakan fungsi WEEKNUM!</t>
        </is>
      </c>
    </row>
    <row r="29">
      <c r="B29" s="19" t="inlineStr">
        <is>
          <t>Budi Santoso</t>
        </is>
      </c>
      <c r="C29" s="30" t="n">
        <v>46064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0" t="n">
        <v>46193</v>
      </c>
      <c r="E30" s="28" t="n"/>
      <c r="F30" s="29">
        <f>IF(ISBLANK(E30), "⏳ Belum Diisi (Ketik Rumus di Sel Kuning E30)", IF(E30='99_KUNCI_JAWABAN'!F406,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0" t="n">
        <v>46251</v>
      </c>
    </row>
    <row r="32">
      <c r="B32" s="19" t="inlineStr">
        <is>
          <t>Rina Wijaya</t>
        </is>
      </c>
      <c r="C32" s="30" t="n">
        <v>46381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Agenda Kantor</t>
        </is>
      </c>
      <c r="C36" s="14" t="inlineStr">
        <is>
          <t>Tanggal Kegiatan</t>
        </is>
      </c>
      <c r="E36" s="27" t="inlineStr">
        <is>
          <t>Persoalan Tes #3: Ambil nilai WEEKNUM dari tanggal kegiatan di sel C37 menggunakan fungsi WEEKNUM!</t>
        </is>
      </c>
    </row>
    <row r="37">
      <c r="B37" s="19" t="inlineStr">
        <is>
          <t>Gudang Blok A</t>
        </is>
      </c>
      <c r="C37" s="30" t="n">
        <v>46093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0" t="n">
        <v>46193</v>
      </c>
      <c r="E38" s="28" t="n"/>
      <c r="F38" s="29">
        <f>IF(ISBLANK(E38), "⏳ Belum Diisi (Ketik Rumus di Sel Kuning E38)", IF(E38='99_KUNCI_JAWABAN'!F407,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0" t="n">
        <v>46251</v>
      </c>
    </row>
    <row r="40">
      <c r="B40" s="19" t="inlineStr">
        <is>
          <t>Gudang Blok D</t>
        </is>
      </c>
      <c r="C40" s="30" t="n">
        <v>46381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Agenda Kantor</t>
        </is>
      </c>
      <c r="C44" s="14" t="inlineStr">
        <is>
          <t>Tanggal Kegiatan</t>
        </is>
      </c>
      <c r="E44" s="27" t="inlineStr">
        <is>
          <t>Persoalan Tes #4: Ambil nilai WEEKNUM dari tanggal kegiatan di sel C45 menggunakan fungsi WEEKNUM!</t>
        </is>
      </c>
    </row>
    <row r="45">
      <c r="B45" s="19" t="inlineStr">
        <is>
          <t>Toko Elektronik</t>
        </is>
      </c>
      <c r="C45" s="30" t="n">
        <v>46125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0" t="n">
        <v>46193</v>
      </c>
      <c r="E46" s="28" t="n"/>
      <c r="F46" s="29">
        <f>IF(ISBLANK(E46), "⏳ Belum Diisi (Ketik Rumus di Sel Kuning E46)", IF(E46='99_KUNCI_JAWABAN'!F408,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0" t="n">
        <v>46251</v>
      </c>
    </row>
    <row r="48">
      <c r="B48" s="19" t="inlineStr">
        <is>
          <t>Toko Servis</t>
        </is>
      </c>
      <c r="C48" s="30" t="n">
        <v>46381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Agenda Kantor</t>
        </is>
      </c>
      <c r="C52" s="14" t="inlineStr">
        <is>
          <t>Tanggal Kegiatan</t>
        </is>
      </c>
      <c r="E52" s="27" t="inlineStr">
        <is>
          <t>Persoalan Tes #5: Ambil nilai WEEKNUM dari tanggal kegiatan di sel C53 menggunakan fungsi WEEKNUM!</t>
        </is>
      </c>
    </row>
    <row r="53">
      <c r="B53" s="19" t="inlineStr">
        <is>
          <t>Kelas 10 IPA</t>
        </is>
      </c>
      <c r="C53" s="30" t="n">
        <v>46156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0" t="n">
        <v>46193</v>
      </c>
      <c r="E54" s="28" t="n"/>
      <c r="F54" s="29">
        <f>IF(ISBLANK(E54), "⏳ Belum Diisi (Ketik Rumus di Sel Kuning E54)", IF(E54='99_KUNCI_JAWABAN'!F409,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0" t="n">
        <v>46251</v>
      </c>
    </row>
    <row r="56">
      <c r="B56" s="19" t="inlineStr">
        <is>
          <t>Kelas Unggulan</t>
        </is>
      </c>
      <c r="C56" s="30" t="n">
        <v>46381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#082 — RUMUS EXCEL: HOUR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(HOUR)</t>
        </is>
      </c>
    </row>
    <row r="5" ht="21" customHeight="1">
      <c r="B5" s="14" t="inlineStr">
        <is>
          <t>Nama Rumus Excel</t>
        </is>
      </c>
      <c r="C5" s="15">
        <f>HOUR(...)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HOUR(waktu)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JAM (0 sampai 23) dari data waktu absensi masuk/pulang.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HOUR DI SINI)</t>
        </is>
      </c>
    </row>
    <row r="10">
      <c r="B10" s="18" t="inlineStr">
        <is>
          <t>Nama Pegawai</t>
        </is>
      </c>
      <c r="C10" s="18" t="inlineStr">
        <is>
          <t>Waktu Absensi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1" t="n">
        <v>0.5282407407407408</v>
      </c>
      <c r="E11" s="20" t="inlineStr">
        <is>
          <t>Contoh Soal:</t>
        </is>
      </c>
      <c r="F11" s="21" t="inlineStr">
        <is>
          <t>Ekstrak komponen HOUR dari waktu absensi di sel C11 menggunakan fungsi HOUR!</t>
        </is>
      </c>
      <c r="G11" s="5" t="n"/>
    </row>
    <row r="12">
      <c r="B12" s="19" t="inlineStr">
        <is>
          <t>Simulasi Unit B</t>
        </is>
      </c>
      <c r="C12" s="31" t="n">
        <v>0.4063657407407407</v>
      </c>
      <c r="E12" s="20" t="inlineStr">
        <is>
          <t>Contoh Rumus Benar:</t>
        </is>
      </c>
      <c r="F12" s="22" t="inlineStr">
        <is>
          <t>'=HOUR(C11)</t>
        </is>
      </c>
      <c r="G12" s="5" t="n"/>
    </row>
    <row r="13">
      <c r="B13" s="19" t="inlineStr">
        <is>
          <t>Simulasi Unit C</t>
        </is>
      </c>
      <c r="C13" s="31" t="n">
        <v>0.5560763888888889</v>
      </c>
      <c r="E13" s="20" t="inlineStr">
        <is>
          <t>Contoh Hasil Benar:</t>
        </is>
      </c>
      <c r="F13" s="23">
        <f>HOUR(C11)</f>
        <v/>
      </c>
      <c r="G13" s="5" t="n"/>
    </row>
    <row r="14">
      <c r="B14" s="19" t="inlineStr">
        <is>
          <t>Simulasi Unit D</t>
        </is>
      </c>
      <c r="C14" s="31" t="n">
        <v>0.7118055555555556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Pegawai</t>
        </is>
      </c>
      <c r="C20" s="14" t="inlineStr">
        <is>
          <t>Waktu Absensi</t>
        </is>
      </c>
      <c r="E20" s="27" t="inlineStr">
        <is>
          <t>Persoalan Tes #1: Ekstrak komponen HOUR dari waktu absensi di sel C21 menggunakan fungsi HOUR!</t>
        </is>
      </c>
    </row>
    <row r="21">
      <c r="B21" s="19" t="inlineStr">
        <is>
          <t>Cabang Jakarta</t>
        </is>
      </c>
      <c r="C21" s="31" t="n">
        <v>0.2987847222222222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1" t="n">
        <v>0.4063657407407407</v>
      </c>
      <c r="E22" s="28" t="n"/>
      <c r="F22" s="29">
        <f>IF(ISBLANK(E22), "⏳ Belum Diisi (Ketik Rumus di Sel Kuning E22)", IF(E22='99_KUNCI_JAWABAN'!F410,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1" t="n">
        <v>0.5560763888888889</v>
      </c>
    </row>
    <row r="24">
      <c r="B24" s="19" t="inlineStr">
        <is>
          <t>Cabang Medan</t>
        </is>
      </c>
      <c r="C24" s="31" t="n">
        <v>0.7118055555555556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Pegawai</t>
        </is>
      </c>
      <c r="C28" s="14" t="inlineStr">
        <is>
          <t>Waktu Absensi</t>
        </is>
      </c>
      <c r="E28" s="27" t="inlineStr">
        <is>
          <t>Persoalan Tes #2: Ekstrak komponen HOUR dari waktu absensi di sel C29 menggunakan fungsi HOUR!</t>
        </is>
      </c>
    </row>
    <row r="29">
      <c r="B29" s="19" t="inlineStr">
        <is>
          <t>Budi Santoso</t>
        </is>
      </c>
      <c r="C29" s="31" t="n">
        <v>0.3446759259259259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1" t="n">
        <v>0.4063657407407407</v>
      </c>
      <c r="E30" s="28" t="n"/>
      <c r="F30" s="29">
        <f>IF(ISBLANK(E30), "⏳ Belum Diisi (Ketik Rumus di Sel Kuning E30)", IF(E30='99_KUNCI_JAWABAN'!F411,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1" t="n">
        <v>0.5560763888888889</v>
      </c>
    </row>
    <row r="32">
      <c r="B32" s="19" t="inlineStr">
        <is>
          <t>Rina Wijaya</t>
        </is>
      </c>
      <c r="C32" s="31" t="n">
        <v>0.7118055555555556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Pegawai</t>
        </is>
      </c>
      <c r="C36" s="14" t="inlineStr">
        <is>
          <t>Waktu Absensi</t>
        </is>
      </c>
      <c r="E36" s="27" t="inlineStr">
        <is>
          <t>Persoalan Tes #3: Ekstrak komponen HOUR dari waktu absensi di sel C37 menggunakan fungsi HOUR!</t>
        </is>
      </c>
    </row>
    <row r="37">
      <c r="B37" s="19" t="inlineStr">
        <is>
          <t>Gudang Blok A</t>
        </is>
      </c>
      <c r="C37" s="31" t="n">
        <v>0.3905671296296296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1" t="n">
        <v>0.4063657407407407</v>
      </c>
      <c r="E38" s="28" t="n"/>
      <c r="F38" s="29">
        <f>IF(ISBLANK(E38), "⏳ Belum Diisi (Ketik Rumus di Sel Kuning E38)", IF(E38='99_KUNCI_JAWABAN'!F412,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1" t="n">
        <v>0.5560763888888889</v>
      </c>
    </row>
    <row r="40">
      <c r="B40" s="19" t="inlineStr">
        <is>
          <t>Gudang Blok D</t>
        </is>
      </c>
      <c r="C40" s="31" t="n">
        <v>0.7118055555555556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Pegawai</t>
        </is>
      </c>
      <c r="C44" s="14" t="inlineStr">
        <is>
          <t>Waktu Absensi</t>
        </is>
      </c>
      <c r="E44" s="27" t="inlineStr">
        <is>
          <t>Persoalan Tes #4: Ekstrak komponen HOUR dari waktu absensi di sel C45 menggunakan fungsi HOUR!</t>
        </is>
      </c>
    </row>
    <row r="45">
      <c r="B45" s="19" t="inlineStr">
        <is>
          <t>Toko Elektronik</t>
        </is>
      </c>
      <c r="C45" s="31" t="n">
        <v>0.4364583333333333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1" t="n">
        <v>0.4063657407407407</v>
      </c>
      <c r="E46" s="28" t="n"/>
      <c r="F46" s="29">
        <f>IF(ISBLANK(E46), "⏳ Belum Diisi (Ketik Rumus di Sel Kuning E46)", IF(E46='99_KUNCI_JAWABAN'!F413,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1" t="n">
        <v>0.5560763888888889</v>
      </c>
    </row>
    <row r="48">
      <c r="B48" s="19" t="inlineStr">
        <is>
          <t>Toko Servis</t>
        </is>
      </c>
      <c r="C48" s="31" t="n">
        <v>0.7118055555555556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Pegawai</t>
        </is>
      </c>
      <c r="C52" s="14" t="inlineStr">
        <is>
          <t>Waktu Absensi</t>
        </is>
      </c>
      <c r="E52" s="27" t="inlineStr">
        <is>
          <t>Persoalan Tes #5: Ekstrak komponen HOUR dari waktu absensi di sel C53 menggunakan fungsi HOUR!</t>
        </is>
      </c>
    </row>
    <row r="53">
      <c r="B53" s="19" t="inlineStr">
        <is>
          <t>Kelas 10 IPA</t>
        </is>
      </c>
      <c r="C53" s="31" t="n">
        <v>0.482349537037037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1" t="n">
        <v>0.4063657407407407</v>
      </c>
      <c r="E54" s="28" t="n"/>
      <c r="F54" s="29">
        <f>IF(ISBLANK(E54), "⏳ Belum Diisi (Ketik Rumus di Sel Kuning E54)", IF(E54='99_KUNCI_JAWABAN'!F414,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1" t="n">
        <v>0.5560763888888889</v>
      </c>
    </row>
    <row r="56">
      <c r="B56" s="19" t="inlineStr">
        <is>
          <t>Kelas Unggulan</t>
        </is>
      </c>
      <c r="C56" s="31" t="n">
        <v>0.7118055555555556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#083 — RUMUS EXCEL: MINUTE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(MINUTE)</t>
        </is>
      </c>
    </row>
    <row r="5" ht="21" customHeight="1">
      <c r="B5" s="14" t="inlineStr">
        <is>
          <t>Nama Rumus Excel</t>
        </is>
      </c>
      <c r="C5" s="15">
        <f>MINUTE(...)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MINUTE(waktu)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MENIT (0 sampai 59) dari data waktu absensi untuk menghitung menit keterlambatan.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MINUTE DI SINI)</t>
        </is>
      </c>
    </row>
    <row r="10">
      <c r="B10" s="18" t="inlineStr">
        <is>
          <t>Nama Pegawai</t>
        </is>
      </c>
      <c r="C10" s="18" t="inlineStr">
        <is>
          <t>Waktu Absensi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1" t="n">
        <v>0.5282407407407408</v>
      </c>
      <c r="E11" s="20" t="inlineStr">
        <is>
          <t>Contoh Soal:</t>
        </is>
      </c>
      <c r="F11" s="21" t="inlineStr">
        <is>
          <t>Ekstrak komponen MINUTE dari waktu absensi di sel C11 menggunakan fungsi MINUTE!</t>
        </is>
      </c>
      <c r="G11" s="5" t="n"/>
    </row>
    <row r="12">
      <c r="B12" s="19" t="inlineStr">
        <is>
          <t>Simulasi Unit B</t>
        </is>
      </c>
      <c r="C12" s="31" t="n">
        <v>0.4063657407407407</v>
      </c>
      <c r="E12" s="20" t="inlineStr">
        <is>
          <t>Contoh Rumus Benar:</t>
        </is>
      </c>
      <c r="F12" s="22" t="inlineStr">
        <is>
          <t>'=MINUTE(C11)</t>
        </is>
      </c>
      <c r="G12" s="5" t="n"/>
    </row>
    <row r="13">
      <c r="B13" s="19" t="inlineStr">
        <is>
          <t>Simulasi Unit C</t>
        </is>
      </c>
      <c r="C13" s="31" t="n">
        <v>0.5560763888888889</v>
      </c>
      <c r="E13" s="20" t="inlineStr">
        <is>
          <t>Contoh Hasil Benar:</t>
        </is>
      </c>
      <c r="F13" s="23">
        <f>MINUTE(C11)</f>
        <v/>
      </c>
      <c r="G13" s="5" t="n"/>
    </row>
    <row r="14">
      <c r="B14" s="19" t="inlineStr">
        <is>
          <t>Simulasi Unit D</t>
        </is>
      </c>
      <c r="C14" s="31" t="n">
        <v>0.7118055555555556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Pegawai</t>
        </is>
      </c>
      <c r="C20" s="14" t="inlineStr">
        <is>
          <t>Waktu Absensi</t>
        </is>
      </c>
      <c r="E20" s="27" t="inlineStr">
        <is>
          <t>Persoalan Tes #1: Ekstrak komponen MINUTE dari waktu absensi di sel C21 menggunakan fungsi MINUTE!</t>
        </is>
      </c>
    </row>
    <row r="21">
      <c r="B21" s="19" t="inlineStr">
        <is>
          <t>Cabang Jakarta</t>
        </is>
      </c>
      <c r="C21" s="31" t="n">
        <v>0.2987847222222222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1" t="n">
        <v>0.4063657407407407</v>
      </c>
      <c r="E22" s="28" t="n"/>
      <c r="F22" s="29">
        <f>IF(ISBLANK(E22), "⏳ Belum Diisi (Ketik Rumus di Sel Kuning E22)", IF(E22='99_KUNCI_JAWABAN'!F415,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1" t="n">
        <v>0.5560763888888889</v>
      </c>
    </row>
    <row r="24">
      <c r="B24" s="19" t="inlineStr">
        <is>
          <t>Cabang Medan</t>
        </is>
      </c>
      <c r="C24" s="31" t="n">
        <v>0.7118055555555556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Pegawai</t>
        </is>
      </c>
      <c r="C28" s="14" t="inlineStr">
        <is>
          <t>Waktu Absensi</t>
        </is>
      </c>
      <c r="E28" s="27" t="inlineStr">
        <is>
          <t>Persoalan Tes #2: Ekstrak komponen MINUTE dari waktu absensi di sel C29 menggunakan fungsi MINUTE!</t>
        </is>
      </c>
    </row>
    <row r="29">
      <c r="B29" s="19" t="inlineStr">
        <is>
          <t>Budi Santoso</t>
        </is>
      </c>
      <c r="C29" s="31" t="n">
        <v>0.3446759259259259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1" t="n">
        <v>0.4063657407407407</v>
      </c>
      <c r="E30" s="28" t="n"/>
      <c r="F30" s="29">
        <f>IF(ISBLANK(E30), "⏳ Belum Diisi (Ketik Rumus di Sel Kuning E30)", IF(E30='99_KUNCI_JAWABAN'!F416,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1" t="n">
        <v>0.5560763888888889</v>
      </c>
    </row>
    <row r="32">
      <c r="B32" s="19" t="inlineStr">
        <is>
          <t>Rina Wijaya</t>
        </is>
      </c>
      <c r="C32" s="31" t="n">
        <v>0.7118055555555556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Pegawai</t>
        </is>
      </c>
      <c r="C36" s="14" t="inlineStr">
        <is>
          <t>Waktu Absensi</t>
        </is>
      </c>
      <c r="E36" s="27" t="inlineStr">
        <is>
          <t>Persoalan Tes #3: Ekstrak komponen MINUTE dari waktu absensi di sel C37 menggunakan fungsi MINUTE!</t>
        </is>
      </c>
    </row>
    <row r="37">
      <c r="B37" s="19" t="inlineStr">
        <is>
          <t>Gudang Blok A</t>
        </is>
      </c>
      <c r="C37" s="31" t="n">
        <v>0.3905671296296296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1" t="n">
        <v>0.4063657407407407</v>
      </c>
      <c r="E38" s="28" t="n"/>
      <c r="F38" s="29">
        <f>IF(ISBLANK(E38), "⏳ Belum Diisi (Ketik Rumus di Sel Kuning E38)", IF(E38='99_KUNCI_JAWABAN'!F417,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1" t="n">
        <v>0.5560763888888889</v>
      </c>
    </row>
    <row r="40">
      <c r="B40" s="19" t="inlineStr">
        <is>
          <t>Gudang Blok D</t>
        </is>
      </c>
      <c r="C40" s="31" t="n">
        <v>0.7118055555555556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Pegawai</t>
        </is>
      </c>
      <c r="C44" s="14" t="inlineStr">
        <is>
          <t>Waktu Absensi</t>
        </is>
      </c>
      <c r="E44" s="27" t="inlineStr">
        <is>
          <t>Persoalan Tes #4: Ekstrak komponen MINUTE dari waktu absensi di sel C45 menggunakan fungsi MINUTE!</t>
        </is>
      </c>
    </row>
    <row r="45">
      <c r="B45" s="19" t="inlineStr">
        <is>
          <t>Toko Elektronik</t>
        </is>
      </c>
      <c r="C45" s="31" t="n">
        <v>0.4364583333333333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1" t="n">
        <v>0.4063657407407407</v>
      </c>
      <c r="E46" s="28" t="n"/>
      <c r="F46" s="29">
        <f>IF(ISBLANK(E46), "⏳ Belum Diisi (Ketik Rumus di Sel Kuning E46)", IF(E46='99_KUNCI_JAWABAN'!F418,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1" t="n">
        <v>0.5560763888888889</v>
      </c>
    </row>
    <row r="48">
      <c r="B48" s="19" t="inlineStr">
        <is>
          <t>Toko Servis</t>
        </is>
      </c>
      <c r="C48" s="31" t="n">
        <v>0.7118055555555556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Pegawai</t>
        </is>
      </c>
      <c r="C52" s="14" t="inlineStr">
        <is>
          <t>Waktu Absensi</t>
        </is>
      </c>
      <c r="E52" s="27" t="inlineStr">
        <is>
          <t>Persoalan Tes #5: Ekstrak komponen MINUTE dari waktu absensi di sel C53 menggunakan fungsi MINUTE!</t>
        </is>
      </c>
    </row>
    <row r="53">
      <c r="B53" s="19" t="inlineStr">
        <is>
          <t>Kelas 10 IPA</t>
        </is>
      </c>
      <c r="C53" s="31" t="n">
        <v>0.482349537037037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1" t="n">
        <v>0.4063657407407407</v>
      </c>
      <c r="E54" s="28" t="n"/>
      <c r="F54" s="29">
        <f>IF(ISBLANK(E54), "⏳ Belum Diisi (Ketik Rumus di Sel Kuning E54)", IF(E54='99_KUNCI_JAWABAN'!F419,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1" t="n">
        <v>0.5560763888888889</v>
      </c>
    </row>
    <row r="56">
      <c r="B56" s="19" t="inlineStr">
        <is>
          <t>Kelas Unggulan</t>
        </is>
      </c>
      <c r="C56" s="31" t="n">
        <v>0.7118055555555556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#084 — RUMUS EXCEL: SECOND   |   Kategori: 5. Tanggal &amp; Waktu HRD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(SECOND)</t>
        </is>
      </c>
    </row>
    <row r="5" ht="21" customHeight="1">
      <c r="B5" s="14" t="inlineStr">
        <is>
          <t>Nama Rumus Excel</t>
        </is>
      </c>
      <c r="C5" s="15">
        <f>SECOND(...)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SECOND(waktu)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Mengambil angka DETIK (0 sampai 59) dari catatan waktu.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SECOND DI SINI)</t>
        </is>
      </c>
    </row>
    <row r="10">
      <c r="B10" s="18" t="inlineStr">
        <is>
          <t>Nama Pegawai</t>
        </is>
      </c>
      <c r="C10" s="18" t="inlineStr">
        <is>
          <t>Waktu Absensi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31" t="n">
        <v>0.5282407407407408</v>
      </c>
      <c r="E11" s="20" t="inlineStr">
        <is>
          <t>Contoh Soal:</t>
        </is>
      </c>
      <c r="F11" s="21" t="inlineStr">
        <is>
          <t>Ekstrak komponen SECOND dari waktu absensi di sel C11 menggunakan fungsi SECOND!</t>
        </is>
      </c>
      <c r="G11" s="5" t="n"/>
    </row>
    <row r="12">
      <c r="B12" s="19" t="inlineStr">
        <is>
          <t>Simulasi Unit B</t>
        </is>
      </c>
      <c r="C12" s="31" t="n">
        <v>0.4063657407407407</v>
      </c>
      <c r="E12" s="20" t="inlineStr">
        <is>
          <t>Contoh Rumus Benar:</t>
        </is>
      </c>
      <c r="F12" s="22" t="inlineStr">
        <is>
          <t>'=SECOND(C11)</t>
        </is>
      </c>
      <c r="G12" s="5" t="n"/>
    </row>
    <row r="13">
      <c r="B13" s="19" t="inlineStr">
        <is>
          <t>Simulasi Unit C</t>
        </is>
      </c>
      <c r="C13" s="31" t="n">
        <v>0.5560763888888889</v>
      </c>
      <c r="E13" s="20" t="inlineStr">
        <is>
          <t>Contoh Hasil Benar:</t>
        </is>
      </c>
      <c r="F13" s="23">
        <f>SECOND(C11)</f>
        <v/>
      </c>
      <c r="G13" s="5" t="n"/>
    </row>
    <row r="14">
      <c r="B14" s="19" t="inlineStr">
        <is>
          <t>Simulasi Unit D</t>
        </is>
      </c>
      <c r="C14" s="31" t="n">
        <v>0.7118055555555556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Pegawai</t>
        </is>
      </c>
      <c r="C20" s="14" t="inlineStr">
        <is>
          <t>Waktu Absensi</t>
        </is>
      </c>
      <c r="E20" s="27" t="inlineStr">
        <is>
          <t>Persoalan Tes #1: Ekstrak komponen SECOND dari waktu absensi di sel C21 menggunakan fungsi SECOND!</t>
        </is>
      </c>
    </row>
    <row r="21">
      <c r="B21" s="19" t="inlineStr">
        <is>
          <t>Cabang Jakarta</t>
        </is>
      </c>
      <c r="C21" s="31" t="n">
        <v>0.2987847222222222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31" t="n">
        <v>0.4063657407407407</v>
      </c>
      <c r="E22" s="28" t="n"/>
      <c r="F22" s="29">
        <f>IF(ISBLANK(E22), "⏳ Belum Diisi (Ketik Rumus di Sel Kuning E22)", IF(E22='99_KUNCI_JAWABAN'!F420,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31" t="n">
        <v>0.5560763888888889</v>
      </c>
    </row>
    <row r="24">
      <c r="B24" s="19" t="inlineStr">
        <is>
          <t>Cabang Medan</t>
        </is>
      </c>
      <c r="C24" s="31" t="n">
        <v>0.7118055555555556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Pegawai</t>
        </is>
      </c>
      <c r="C28" s="14" t="inlineStr">
        <is>
          <t>Waktu Absensi</t>
        </is>
      </c>
      <c r="E28" s="27" t="inlineStr">
        <is>
          <t>Persoalan Tes #2: Ekstrak komponen SECOND dari waktu absensi di sel C29 menggunakan fungsi SECOND!</t>
        </is>
      </c>
    </row>
    <row r="29">
      <c r="B29" s="19" t="inlineStr">
        <is>
          <t>Budi Santoso</t>
        </is>
      </c>
      <c r="C29" s="31" t="n">
        <v>0.3446759259259259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31" t="n">
        <v>0.4063657407407407</v>
      </c>
      <c r="E30" s="28" t="n"/>
      <c r="F30" s="29">
        <f>IF(ISBLANK(E30), "⏳ Belum Diisi (Ketik Rumus di Sel Kuning E30)", IF(E30='99_KUNCI_JAWABAN'!F421,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31" t="n">
        <v>0.5560763888888889</v>
      </c>
    </row>
    <row r="32">
      <c r="B32" s="19" t="inlineStr">
        <is>
          <t>Rina Wijaya</t>
        </is>
      </c>
      <c r="C32" s="31" t="n">
        <v>0.7118055555555556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Pegawai</t>
        </is>
      </c>
      <c r="C36" s="14" t="inlineStr">
        <is>
          <t>Waktu Absensi</t>
        </is>
      </c>
      <c r="E36" s="27" t="inlineStr">
        <is>
          <t>Persoalan Tes #3: Ekstrak komponen SECOND dari waktu absensi di sel C37 menggunakan fungsi SECOND!</t>
        </is>
      </c>
    </row>
    <row r="37">
      <c r="B37" s="19" t="inlineStr">
        <is>
          <t>Gudang Blok A</t>
        </is>
      </c>
      <c r="C37" s="31" t="n">
        <v>0.3905671296296296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31" t="n">
        <v>0.4063657407407407</v>
      </c>
      <c r="E38" s="28" t="n"/>
      <c r="F38" s="29">
        <f>IF(ISBLANK(E38), "⏳ Belum Diisi (Ketik Rumus di Sel Kuning E38)", IF(E38='99_KUNCI_JAWABAN'!F422,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31" t="n">
        <v>0.5560763888888889</v>
      </c>
    </row>
    <row r="40">
      <c r="B40" s="19" t="inlineStr">
        <is>
          <t>Gudang Blok D</t>
        </is>
      </c>
      <c r="C40" s="31" t="n">
        <v>0.7118055555555556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Pegawai</t>
        </is>
      </c>
      <c r="C44" s="14" t="inlineStr">
        <is>
          <t>Waktu Absensi</t>
        </is>
      </c>
      <c r="E44" s="27" t="inlineStr">
        <is>
          <t>Persoalan Tes #4: Ekstrak komponen SECOND dari waktu absensi di sel C45 menggunakan fungsi SECOND!</t>
        </is>
      </c>
    </row>
    <row r="45">
      <c r="B45" s="19" t="inlineStr">
        <is>
          <t>Toko Elektronik</t>
        </is>
      </c>
      <c r="C45" s="31" t="n">
        <v>0.4364583333333333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31" t="n">
        <v>0.4063657407407407</v>
      </c>
      <c r="E46" s="28" t="n"/>
      <c r="F46" s="29">
        <f>IF(ISBLANK(E46), "⏳ Belum Diisi (Ketik Rumus di Sel Kuning E46)", IF(E46='99_KUNCI_JAWABAN'!F423,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31" t="n">
        <v>0.5560763888888889</v>
      </c>
    </row>
    <row r="48">
      <c r="B48" s="19" t="inlineStr">
        <is>
          <t>Toko Servis</t>
        </is>
      </c>
      <c r="C48" s="31" t="n">
        <v>0.7118055555555556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Pegawai</t>
        </is>
      </c>
      <c r="C52" s="14" t="inlineStr">
        <is>
          <t>Waktu Absensi</t>
        </is>
      </c>
      <c r="E52" s="27" t="inlineStr">
        <is>
          <t>Persoalan Tes #5: Ekstrak komponen SECOND dari waktu absensi di sel C53 menggunakan fungsi SECOND!</t>
        </is>
      </c>
    </row>
    <row r="53">
      <c r="B53" s="19" t="inlineStr">
        <is>
          <t>Kelas 10 IPA</t>
        </is>
      </c>
      <c r="C53" s="31" t="n">
        <v>0.482349537037037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31" t="n">
        <v>0.4063657407407407</v>
      </c>
      <c r="E54" s="28" t="n"/>
      <c r="F54" s="29">
        <f>IF(ISBLANK(E54), "⏳ Belum Diisi (Ketik Rumus di Sel Kuning E54)", IF(E54='99_KUNCI_JAWABAN'!F424,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31" t="n">
        <v>0.5560763888888889</v>
      </c>
    </row>
    <row r="56">
      <c r="B56" s="19" t="inlineStr">
        <is>
          <t>Kelas Unggulan</t>
        </is>
      </c>
      <c r="C56" s="31" t="n">
        <v>0.7118055555555556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#085 — RUMUS EXCEL: PMT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(PMT)</t>
        </is>
      </c>
    </row>
    <row r="5" ht="21" customHeight="1">
      <c r="B5" s="14" t="inlineStr">
        <is>
          <t>Nama Rumus Excel</t>
        </is>
      </c>
      <c r="C5" s="15">
        <f>PMT(...)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PMT(bunga_per_periode, total_periode, nilai_pinjaman)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besaran cicilan tetap bulanan (KPR Rumah, Kredit Mobil, atau Pinjaman Bank) berdasarkan suku bunga dan tenor.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PMT DI SINI)</t>
        </is>
      </c>
    </row>
    <row r="10">
      <c r="B10" s="18" t="inlineStr">
        <is>
          <t>Program Kredit</t>
        </is>
      </c>
      <c r="C10" s="18" t="inlineStr">
        <is>
          <t>Nilai Pokok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72000000</v>
      </c>
      <c r="E11" s="20" t="inlineStr">
        <is>
          <t>Contoh Soal:</t>
        </is>
      </c>
      <c r="F11" s="21" t="inlineStr">
        <is>
          <t>Hitung nilai PMT untuk suku bunga 0.01 (1%), total tenor 12 periode, dan nilai pokok -C11!</t>
        </is>
      </c>
      <c r="G11" s="5" t="n"/>
    </row>
    <row r="12">
      <c r="B12" s="19" t="inlineStr">
        <is>
          <t>Simulasi Unit B</t>
        </is>
      </c>
      <c r="C12" s="19" t="n">
        <v>24000000</v>
      </c>
      <c r="E12" s="20" t="inlineStr">
        <is>
          <t>Contoh Rumus Benar:</t>
        </is>
      </c>
      <c r="F12" s="22" t="inlineStr">
        <is>
          <t>'=PMT(0.01, 12, -C11)</t>
        </is>
      </c>
      <c r="G12" s="5" t="n"/>
    </row>
    <row r="13">
      <c r="B13" s="19" t="inlineStr">
        <is>
          <t>Simulasi Unit C</t>
        </is>
      </c>
      <c r="C13" s="19" t="n">
        <v>36000000</v>
      </c>
      <c r="E13" s="20" t="inlineStr">
        <is>
          <t>Contoh Hasil Benar:</t>
        </is>
      </c>
      <c r="F13" s="23">
        <f>PMT(0.01, 12, -C11)</f>
        <v/>
      </c>
      <c r="G13" s="5" t="n"/>
    </row>
    <row r="14">
      <c r="B14" s="19" t="inlineStr">
        <is>
          <t>Simulasi Unit D</t>
        </is>
      </c>
      <c r="C14" s="19" t="n">
        <v>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Program Kredit</t>
        </is>
      </c>
      <c r="C20" s="14" t="inlineStr">
        <is>
          <t>Nilai Pokok (Rp)</t>
        </is>
      </c>
      <c r="E20" s="27" t="inlineStr">
        <is>
          <t>Persoalan Tes #1: Hitung nilai PMT untuk suku bunga 0.01 (1%), total tenor 12 periode, dan nilai pokok -C21!</t>
        </is>
      </c>
    </row>
    <row r="21">
      <c r="B21" s="19" t="inlineStr">
        <is>
          <t>Cabang Jakarta</t>
        </is>
      </c>
      <c r="C21" s="19" t="n">
        <v>12000000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24000000</v>
      </c>
      <c r="E22" s="28" t="n"/>
      <c r="F22" s="29">
        <f>IF(ISBLANK(E22), "⏳ Belum Diisi (Ketik Rumus di Sel Kuning E22)", IF(E22='99_KUNCI_JAWABAN'!F425,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36000000</v>
      </c>
    </row>
    <row r="24">
      <c r="B24" s="19" t="inlineStr">
        <is>
          <t>Cabang Medan</t>
        </is>
      </c>
      <c r="C24" s="19" t="n">
        <v>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Program Kredit</t>
        </is>
      </c>
      <c r="C28" s="14" t="inlineStr">
        <is>
          <t>Nilai Pokok (Rp)</t>
        </is>
      </c>
      <c r="E28" s="27" t="inlineStr">
        <is>
          <t>Persoalan Tes #2: Hitung nilai PMT untuk suku bunga 0.01 (1%), total tenor 12 periode, dan nilai pokok -C29!</t>
        </is>
      </c>
    </row>
    <row r="29">
      <c r="B29" s="19" t="inlineStr">
        <is>
          <t>Budi Santoso</t>
        </is>
      </c>
      <c r="C29" s="19" t="n">
        <v>24000000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24000000</v>
      </c>
      <c r="E30" s="28" t="n"/>
      <c r="F30" s="29">
        <f>IF(ISBLANK(E30), "⏳ Belum Diisi (Ketik Rumus di Sel Kuning E30)", IF(E30='99_KUNCI_JAWABAN'!F426,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36000000</v>
      </c>
    </row>
    <row r="32">
      <c r="B32" s="19" t="inlineStr">
        <is>
          <t>Rina Wijaya</t>
        </is>
      </c>
      <c r="C32" s="19" t="n">
        <v>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Program Kredit</t>
        </is>
      </c>
      <c r="C36" s="14" t="inlineStr">
        <is>
          <t>Nilai Pokok (Rp)</t>
        </is>
      </c>
      <c r="E36" s="27" t="inlineStr">
        <is>
          <t>Persoalan Tes #3: Hitung nilai PMT untuk suku bunga 0.01 (1%), total tenor 12 periode, dan nilai pokok -C37!</t>
        </is>
      </c>
    </row>
    <row r="37">
      <c r="B37" s="19" t="inlineStr">
        <is>
          <t>Gudang Blok A</t>
        </is>
      </c>
      <c r="C37" s="19" t="n">
        <v>36000000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24000000</v>
      </c>
      <c r="E38" s="28" t="n"/>
      <c r="F38" s="29">
        <f>IF(ISBLANK(E38), "⏳ Belum Diisi (Ketik Rumus di Sel Kuning E38)", IF(E38='99_KUNCI_JAWABAN'!F427,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36000000</v>
      </c>
    </row>
    <row r="40">
      <c r="B40" s="19" t="inlineStr">
        <is>
          <t>Gudang Blok D</t>
        </is>
      </c>
      <c r="C40" s="19" t="n">
        <v>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Program Kredit</t>
        </is>
      </c>
      <c r="C44" s="14" t="inlineStr">
        <is>
          <t>Nilai Pokok (Rp)</t>
        </is>
      </c>
      <c r="E44" s="27" t="inlineStr">
        <is>
          <t>Persoalan Tes #4: Hitung nilai PMT untuk suku bunga 0.01 (1%), total tenor 12 periode, dan nilai pokok -C45!</t>
        </is>
      </c>
    </row>
    <row r="45">
      <c r="B45" s="19" t="inlineStr">
        <is>
          <t>Toko Elektronik</t>
        </is>
      </c>
      <c r="C45" s="19" t="n">
        <v>48000000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24000000</v>
      </c>
      <c r="E46" s="28" t="n"/>
      <c r="F46" s="29">
        <f>IF(ISBLANK(E46), "⏳ Belum Diisi (Ketik Rumus di Sel Kuning E46)", IF(E46='99_KUNCI_JAWABAN'!F428,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36000000</v>
      </c>
    </row>
    <row r="48">
      <c r="B48" s="19" t="inlineStr">
        <is>
          <t>Toko Servis</t>
        </is>
      </c>
      <c r="C48" s="19" t="n">
        <v>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Program Kredit</t>
        </is>
      </c>
      <c r="C52" s="14" t="inlineStr">
        <is>
          <t>Nilai Pokok (Rp)</t>
        </is>
      </c>
      <c r="E52" s="27" t="inlineStr">
        <is>
          <t>Persoalan Tes #5: Hitung nilai PMT untuk suku bunga 0.01 (1%), total tenor 12 periode, dan nilai pokok -C53!</t>
        </is>
      </c>
    </row>
    <row r="53">
      <c r="B53" s="19" t="inlineStr">
        <is>
          <t>Kelas 10 IPA</t>
        </is>
      </c>
      <c r="C53" s="19" t="n">
        <v>60000000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24000000</v>
      </c>
      <c r="E54" s="28" t="n"/>
      <c r="F54" s="29">
        <f>IF(ISBLANK(E54), "⏳ Belum Diisi (Ketik Rumus di Sel Kuning E54)", IF(E54='99_KUNCI_JAWABAN'!F429,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36000000</v>
      </c>
    </row>
    <row r="56">
      <c r="B56" s="19" t="inlineStr">
        <is>
          <t>Kelas Unggulan</t>
        </is>
      </c>
      <c r="C56" s="19" t="n">
        <v>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#086 — RUMUS EXCEL: IPMT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(IPMT)</t>
        </is>
      </c>
    </row>
    <row r="5" ht="21" customHeight="1">
      <c r="B5" s="14" t="inlineStr">
        <is>
          <t>Nama Rumus Excel</t>
        </is>
      </c>
      <c r="C5" s="15">
        <f>IPMT(...)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IPMT(bunga, periode_ke, total_periode, nilai_pinjaman)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porsi BUNGA saja yang harus dibayar pada bulan/periode cicilan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IPMT DI SINI)</t>
        </is>
      </c>
    </row>
    <row r="10">
      <c r="B10" s="18" t="inlineStr">
        <is>
          <t>Program Kredit</t>
        </is>
      </c>
      <c r="C10" s="18" t="inlineStr">
        <is>
          <t>Nilai Pokok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72000000</v>
      </c>
      <c r="E11" s="20" t="inlineStr">
        <is>
          <t>Contoh Soal:</t>
        </is>
      </c>
      <c r="F11" s="21" t="inlineStr">
        <is>
          <t>Hitung nilai IPMT untuk suku bunga 0.01 (1%), periode ke-1, total tenor 12 bulan, dan pokok pinjaman -C11!</t>
        </is>
      </c>
      <c r="G11" s="5" t="n"/>
    </row>
    <row r="12">
      <c r="B12" s="19" t="inlineStr">
        <is>
          <t>Simulasi Unit B</t>
        </is>
      </c>
      <c r="C12" s="19" t="n">
        <v>24000000</v>
      </c>
      <c r="E12" s="20" t="inlineStr">
        <is>
          <t>Contoh Rumus Benar:</t>
        </is>
      </c>
      <c r="F12" s="22" t="inlineStr">
        <is>
          <t>'=IPMT(0.01, 1, 12, -C11)</t>
        </is>
      </c>
      <c r="G12" s="5" t="n"/>
    </row>
    <row r="13">
      <c r="B13" s="19" t="inlineStr">
        <is>
          <t>Simulasi Unit C</t>
        </is>
      </c>
      <c r="C13" s="19" t="n">
        <v>36000000</v>
      </c>
      <c r="E13" s="20" t="inlineStr">
        <is>
          <t>Contoh Hasil Benar:</t>
        </is>
      </c>
      <c r="F13" s="23">
        <f>IPMT(0.01, 1, 12, -C11)</f>
        <v/>
      </c>
      <c r="G13" s="5" t="n"/>
    </row>
    <row r="14">
      <c r="B14" s="19" t="inlineStr">
        <is>
          <t>Simulasi Unit D</t>
        </is>
      </c>
      <c r="C14" s="19" t="n">
        <v>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Program Kredit</t>
        </is>
      </c>
      <c r="C20" s="14" t="inlineStr">
        <is>
          <t>Nilai Pokok (Rp)</t>
        </is>
      </c>
      <c r="E20" s="27" t="inlineStr">
        <is>
          <t>Persoalan Tes #1: Hitung nilai IPMT untuk suku bunga 0.01 (1%), periode ke-1, total tenor 12 bulan, dan pokok pinjaman -C21!</t>
        </is>
      </c>
    </row>
    <row r="21">
      <c r="B21" s="19" t="inlineStr">
        <is>
          <t>Cabang Jakarta</t>
        </is>
      </c>
      <c r="C21" s="19" t="n">
        <v>12000000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24000000</v>
      </c>
      <c r="E22" s="28" t="n"/>
      <c r="F22" s="29">
        <f>IF(ISBLANK(E22), "⏳ Belum Diisi (Ketik Rumus di Sel Kuning E22)", IF(E22='99_KUNCI_JAWABAN'!F430,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36000000</v>
      </c>
    </row>
    <row r="24">
      <c r="B24" s="19" t="inlineStr">
        <is>
          <t>Cabang Medan</t>
        </is>
      </c>
      <c r="C24" s="19" t="n">
        <v>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Program Kredit</t>
        </is>
      </c>
      <c r="C28" s="14" t="inlineStr">
        <is>
          <t>Nilai Pokok (Rp)</t>
        </is>
      </c>
      <c r="E28" s="27" t="inlineStr">
        <is>
          <t>Persoalan Tes #2: Hitung nilai IPMT untuk suku bunga 0.01 (1%), periode ke-1, total tenor 12 bulan, dan pokok pinjaman -C29!</t>
        </is>
      </c>
    </row>
    <row r="29">
      <c r="B29" s="19" t="inlineStr">
        <is>
          <t>Budi Santoso</t>
        </is>
      </c>
      <c r="C29" s="19" t="n">
        <v>24000000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24000000</v>
      </c>
      <c r="E30" s="28" t="n"/>
      <c r="F30" s="29">
        <f>IF(ISBLANK(E30), "⏳ Belum Diisi (Ketik Rumus di Sel Kuning E30)", IF(E30='99_KUNCI_JAWABAN'!F431,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36000000</v>
      </c>
    </row>
    <row r="32">
      <c r="B32" s="19" t="inlineStr">
        <is>
          <t>Rina Wijaya</t>
        </is>
      </c>
      <c r="C32" s="19" t="n">
        <v>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Program Kredit</t>
        </is>
      </c>
      <c r="C36" s="14" t="inlineStr">
        <is>
          <t>Nilai Pokok (Rp)</t>
        </is>
      </c>
      <c r="E36" s="27" t="inlineStr">
        <is>
          <t>Persoalan Tes #3: Hitung nilai IPMT untuk suku bunga 0.01 (1%), periode ke-1, total tenor 12 bulan, dan pokok pinjaman -C37!</t>
        </is>
      </c>
    </row>
    <row r="37">
      <c r="B37" s="19" t="inlineStr">
        <is>
          <t>Gudang Blok A</t>
        </is>
      </c>
      <c r="C37" s="19" t="n">
        <v>36000000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24000000</v>
      </c>
      <c r="E38" s="28" t="n"/>
      <c r="F38" s="29">
        <f>IF(ISBLANK(E38), "⏳ Belum Diisi (Ketik Rumus di Sel Kuning E38)", IF(E38='99_KUNCI_JAWABAN'!F432,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36000000</v>
      </c>
    </row>
    <row r="40">
      <c r="B40" s="19" t="inlineStr">
        <is>
          <t>Gudang Blok D</t>
        </is>
      </c>
      <c r="C40" s="19" t="n">
        <v>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Program Kredit</t>
        </is>
      </c>
      <c r="C44" s="14" t="inlineStr">
        <is>
          <t>Nilai Pokok (Rp)</t>
        </is>
      </c>
      <c r="E44" s="27" t="inlineStr">
        <is>
          <t>Persoalan Tes #4: Hitung nilai IPMT untuk suku bunga 0.01 (1%), periode ke-1, total tenor 12 bulan, dan pokok pinjaman -C45!</t>
        </is>
      </c>
    </row>
    <row r="45">
      <c r="B45" s="19" t="inlineStr">
        <is>
          <t>Toko Elektronik</t>
        </is>
      </c>
      <c r="C45" s="19" t="n">
        <v>48000000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24000000</v>
      </c>
      <c r="E46" s="28" t="n"/>
      <c r="F46" s="29">
        <f>IF(ISBLANK(E46), "⏳ Belum Diisi (Ketik Rumus di Sel Kuning E46)", IF(E46='99_KUNCI_JAWABAN'!F433,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36000000</v>
      </c>
    </row>
    <row r="48">
      <c r="B48" s="19" t="inlineStr">
        <is>
          <t>Toko Servis</t>
        </is>
      </c>
      <c r="C48" s="19" t="n">
        <v>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Program Kredit</t>
        </is>
      </c>
      <c r="C52" s="14" t="inlineStr">
        <is>
          <t>Nilai Pokok (Rp)</t>
        </is>
      </c>
      <c r="E52" s="27" t="inlineStr">
        <is>
          <t>Persoalan Tes #5: Hitung nilai IPMT untuk suku bunga 0.01 (1%), periode ke-1, total tenor 12 bulan, dan pokok pinjaman -C53!</t>
        </is>
      </c>
    </row>
    <row r="53">
      <c r="B53" s="19" t="inlineStr">
        <is>
          <t>Kelas 10 IPA</t>
        </is>
      </c>
      <c r="C53" s="19" t="n">
        <v>60000000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24000000</v>
      </c>
      <c r="E54" s="28" t="n"/>
      <c r="F54" s="29">
        <f>IF(ISBLANK(E54), "⏳ Belum Diisi (Ketik Rumus di Sel Kuning E54)", IF(E54='99_KUNCI_JAWABAN'!F434,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36000000</v>
      </c>
    </row>
    <row r="56">
      <c r="B56" s="19" t="inlineStr">
        <is>
          <t>Kelas Unggulan</t>
        </is>
      </c>
      <c r="C56" s="19" t="n">
        <v>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#087 — RUMUS EXCEL: PPMT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(PPMT)</t>
        </is>
      </c>
    </row>
    <row r="5" ht="21" customHeight="1">
      <c r="B5" s="14" t="inlineStr">
        <is>
          <t>Nama Rumus Excel</t>
        </is>
      </c>
      <c r="C5" s="15">
        <f>PPMT(...)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PPMT(bunga, periode_ke, total_periode, nilai_pinjaman)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porsi POKOK PINJAMAN yang terbayar pada bulan/periode cicilan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PPMT DI SINI)</t>
        </is>
      </c>
    </row>
    <row r="10">
      <c r="B10" s="18" t="inlineStr">
        <is>
          <t>Program Kredit</t>
        </is>
      </c>
      <c r="C10" s="18" t="inlineStr">
        <is>
          <t>Nilai Pokok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72000000</v>
      </c>
      <c r="E11" s="20" t="inlineStr">
        <is>
          <t>Contoh Soal:</t>
        </is>
      </c>
      <c r="F11" s="21" t="inlineStr">
        <is>
          <t>Hitung nilai PPMT untuk suku bunga 0.01 (1%), periode ke-1, total tenor 12 bulan, dan pokok pinjaman -C11!</t>
        </is>
      </c>
      <c r="G11" s="5" t="n"/>
    </row>
    <row r="12">
      <c r="B12" s="19" t="inlineStr">
        <is>
          <t>Simulasi Unit B</t>
        </is>
      </c>
      <c r="C12" s="19" t="n">
        <v>24000000</v>
      </c>
      <c r="E12" s="20" t="inlineStr">
        <is>
          <t>Contoh Rumus Benar:</t>
        </is>
      </c>
      <c r="F12" s="22" t="inlineStr">
        <is>
          <t>'=PPMT(0.01, 1, 12, -C11)</t>
        </is>
      </c>
      <c r="G12" s="5" t="n"/>
    </row>
    <row r="13">
      <c r="B13" s="19" t="inlineStr">
        <is>
          <t>Simulasi Unit C</t>
        </is>
      </c>
      <c r="C13" s="19" t="n">
        <v>36000000</v>
      </c>
      <c r="E13" s="20" t="inlineStr">
        <is>
          <t>Contoh Hasil Benar:</t>
        </is>
      </c>
      <c r="F13" s="23">
        <f>PPMT(0.01, 1, 12, -C11)</f>
        <v/>
      </c>
      <c r="G13" s="5" t="n"/>
    </row>
    <row r="14">
      <c r="B14" s="19" t="inlineStr">
        <is>
          <t>Simulasi Unit D</t>
        </is>
      </c>
      <c r="C14" s="19" t="n">
        <v>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Program Kredit</t>
        </is>
      </c>
      <c r="C20" s="14" t="inlineStr">
        <is>
          <t>Nilai Pokok (Rp)</t>
        </is>
      </c>
      <c r="E20" s="27" t="inlineStr">
        <is>
          <t>Persoalan Tes #1: Hitung nilai PPMT untuk suku bunga 0.01 (1%), periode ke-1, total tenor 12 bulan, dan pokok pinjaman -C21!</t>
        </is>
      </c>
    </row>
    <row r="21">
      <c r="B21" s="19" t="inlineStr">
        <is>
          <t>Cabang Jakarta</t>
        </is>
      </c>
      <c r="C21" s="19" t="n">
        <v>12000000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24000000</v>
      </c>
      <c r="E22" s="28" t="n"/>
      <c r="F22" s="29">
        <f>IF(ISBLANK(E22), "⏳ Belum Diisi (Ketik Rumus di Sel Kuning E22)", IF(E22='99_KUNCI_JAWABAN'!F435,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36000000</v>
      </c>
    </row>
    <row r="24">
      <c r="B24" s="19" t="inlineStr">
        <is>
          <t>Cabang Medan</t>
        </is>
      </c>
      <c r="C24" s="19" t="n">
        <v>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Program Kredit</t>
        </is>
      </c>
      <c r="C28" s="14" t="inlineStr">
        <is>
          <t>Nilai Pokok (Rp)</t>
        </is>
      </c>
      <c r="E28" s="27" t="inlineStr">
        <is>
          <t>Persoalan Tes #2: Hitung nilai PPMT untuk suku bunga 0.01 (1%), periode ke-1, total tenor 12 bulan, dan pokok pinjaman -C29!</t>
        </is>
      </c>
    </row>
    <row r="29">
      <c r="B29" s="19" t="inlineStr">
        <is>
          <t>Budi Santoso</t>
        </is>
      </c>
      <c r="C29" s="19" t="n">
        <v>24000000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24000000</v>
      </c>
      <c r="E30" s="28" t="n"/>
      <c r="F30" s="29">
        <f>IF(ISBLANK(E30), "⏳ Belum Diisi (Ketik Rumus di Sel Kuning E30)", IF(E30='99_KUNCI_JAWABAN'!F436,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36000000</v>
      </c>
    </row>
    <row r="32">
      <c r="B32" s="19" t="inlineStr">
        <is>
          <t>Rina Wijaya</t>
        </is>
      </c>
      <c r="C32" s="19" t="n">
        <v>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Program Kredit</t>
        </is>
      </c>
      <c r="C36" s="14" t="inlineStr">
        <is>
          <t>Nilai Pokok (Rp)</t>
        </is>
      </c>
      <c r="E36" s="27" t="inlineStr">
        <is>
          <t>Persoalan Tes #3: Hitung nilai PPMT untuk suku bunga 0.01 (1%), periode ke-1, total tenor 12 bulan, dan pokok pinjaman -C37!</t>
        </is>
      </c>
    </row>
    <row r="37">
      <c r="B37" s="19" t="inlineStr">
        <is>
          <t>Gudang Blok A</t>
        </is>
      </c>
      <c r="C37" s="19" t="n">
        <v>36000000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24000000</v>
      </c>
      <c r="E38" s="28" t="n"/>
      <c r="F38" s="29">
        <f>IF(ISBLANK(E38), "⏳ Belum Diisi (Ketik Rumus di Sel Kuning E38)", IF(E38='99_KUNCI_JAWABAN'!F437,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36000000</v>
      </c>
    </row>
    <row r="40">
      <c r="B40" s="19" t="inlineStr">
        <is>
          <t>Gudang Blok D</t>
        </is>
      </c>
      <c r="C40" s="19" t="n">
        <v>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Program Kredit</t>
        </is>
      </c>
      <c r="C44" s="14" t="inlineStr">
        <is>
          <t>Nilai Pokok (Rp)</t>
        </is>
      </c>
      <c r="E44" s="27" t="inlineStr">
        <is>
          <t>Persoalan Tes #4: Hitung nilai PPMT untuk suku bunga 0.01 (1%), periode ke-1, total tenor 12 bulan, dan pokok pinjaman -C45!</t>
        </is>
      </c>
    </row>
    <row r="45">
      <c r="B45" s="19" t="inlineStr">
        <is>
          <t>Toko Elektronik</t>
        </is>
      </c>
      <c r="C45" s="19" t="n">
        <v>48000000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24000000</v>
      </c>
      <c r="E46" s="28" t="n"/>
      <c r="F46" s="29">
        <f>IF(ISBLANK(E46), "⏳ Belum Diisi (Ketik Rumus di Sel Kuning E46)", IF(E46='99_KUNCI_JAWABAN'!F438,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36000000</v>
      </c>
    </row>
    <row r="48">
      <c r="B48" s="19" t="inlineStr">
        <is>
          <t>Toko Servis</t>
        </is>
      </c>
      <c r="C48" s="19" t="n">
        <v>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Program Kredit</t>
        </is>
      </c>
      <c r="C52" s="14" t="inlineStr">
        <is>
          <t>Nilai Pokok (Rp)</t>
        </is>
      </c>
      <c r="E52" s="27" t="inlineStr">
        <is>
          <t>Persoalan Tes #5: Hitung nilai PPMT untuk suku bunga 0.01 (1%), periode ke-1, total tenor 12 bulan, dan pokok pinjaman -C53!</t>
        </is>
      </c>
    </row>
    <row r="53">
      <c r="B53" s="19" t="inlineStr">
        <is>
          <t>Kelas 10 IPA</t>
        </is>
      </c>
      <c r="C53" s="19" t="n">
        <v>60000000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24000000</v>
      </c>
      <c r="E54" s="28" t="n"/>
      <c r="F54" s="29">
        <f>IF(ISBLANK(E54), "⏳ Belum Diisi (Ketik Rumus di Sel Kuning E54)", IF(E54='99_KUNCI_JAWABAN'!F439,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36000000</v>
      </c>
    </row>
    <row r="56">
      <c r="B56" s="19" t="inlineStr">
        <is>
          <t>Kelas Unggulan</t>
        </is>
      </c>
      <c r="C56" s="19" t="n">
        <v>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#088 — RUMUS EXCEL: FV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(FV)</t>
        </is>
      </c>
    </row>
    <row r="5" ht="21" customHeight="1">
      <c r="B5" s="14" t="inlineStr">
        <is>
          <t>Nama Rumus Excel</t>
        </is>
      </c>
      <c r="C5" s="15">
        <f>FV(...)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FV(bunga, total_periode, setoran_rutin)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Future Value: Menghitung nilai total tabungan atau investasi di masa depan jika kita rutin menabung setiap periode.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FV DI SINI)</t>
        </is>
      </c>
    </row>
    <row r="10">
      <c r="B10" s="18" t="inlineStr">
        <is>
          <t>Program Kredit</t>
        </is>
      </c>
      <c r="C10" s="18" t="inlineStr">
        <is>
          <t>Nilai Pokok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72000000</v>
      </c>
      <c r="E11" s="20" t="inlineStr">
        <is>
          <t>Contoh Soal:</t>
        </is>
      </c>
      <c r="F11" s="21" t="inlineStr">
        <is>
          <t>Hitung nilai FV untuk suku bunga 0.01 (1%), total tenor 12 periode, dan nilai pokok -C11!</t>
        </is>
      </c>
      <c r="G11" s="5" t="n"/>
    </row>
    <row r="12">
      <c r="B12" s="19" t="inlineStr">
        <is>
          <t>Simulasi Unit B</t>
        </is>
      </c>
      <c r="C12" s="19" t="n">
        <v>24000000</v>
      </c>
      <c r="E12" s="20" t="inlineStr">
        <is>
          <t>Contoh Rumus Benar:</t>
        </is>
      </c>
      <c r="F12" s="22" t="inlineStr">
        <is>
          <t>'=FV(0.01, 12, -C11)</t>
        </is>
      </c>
      <c r="G12" s="5" t="n"/>
    </row>
    <row r="13">
      <c r="B13" s="19" t="inlineStr">
        <is>
          <t>Simulasi Unit C</t>
        </is>
      </c>
      <c r="C13" s="19" t="n">
        <v>36000000</v>
      </c>
      <c r="E13" s="20" t="inlineStr">
        <is>
          <t>Contoh Hasil Benar:</t>
        </is>
      </c>
      <c r="F13" s="23">
        <f>FV(0.01, 12, -C11)</f>
        <v/>
      </c>
      <c r="G13" s="5" t="n"/>
    </row>
    <row r="14">
      <c r="B14" s="19" t="inlineStr">
        <is>
          <t>Simulasi Unit D</t>
        </is>
      </c>
      <c r="C14" s="19" t="n">
        <v>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Program Kredit</t>
        </is>
      </c>
      <c r="C20" s="14" t="inlineStr">
        <is>
          <t>Nilai Pokok (Rp)</t>
        </is>
      </c>
      <c r="E20" s="27" t="inlineStr">
        <is>
          <t>Persoalan Tes #1: Hitung nilai FV untuk suku bunga 0.01 (1%), total tenor 12 periode, dan nilai pokok -C21!</t>
        </is>
      </c>
    </row>
    <row r="21">
      <c r="B21" s="19" t="inlineStr">
        <is>
          <t>Cabang Jakarta</t>
        </is>
      </c>
      <c r="C21" s="19" t="n">
        <v>12000000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24000000</v>
      </c>
      <c r="E22" s="28" t="n"/>
      <c r="F22" s="29">
        <f>IF(ISBLANK(E22), "⏳ Belum Diisi (Ketik Rumus di Sel Kuning E22)", IF(E22='99_KUNCI_JAWABAN'!F440,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36000000</v>
      </c>
    </row>
    <row r="24">
      <c r="B24" s="19" t="inlineStr">
        <is>
          <t>Cabang Medan</t>
        </is>
      </c>
      <c r="C24" s="19" t="n">
        <v>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Program Kredit</t>
        </is>
      </c>
      <c r="C28" s="14" t="inlineStr">
        <is>
          <t>Nilai Pokok (Rp)</t>
        </is>
      </c>
      <c r="E28" s="27" t="inlineStr">
        <is>
          <t>Persoalan Tes #2: Hitung nilai FV untuk suku bunga 0.01 (1%), total tenor 12 periode, dan nilai pokok -C29!</t>
        </is>
      </c>
    </row>
    <row r="29">
      <c r="B29" s="19" t="inlineStr">
        <is>
          <t>Budi Santoso</t>
        </is>
      </c>
      <c r="C29" s="19" t="n">
        <v>24000000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24000000</v>
      </c>
      <c r="E30" s="28" t="n"/>
      <c r="F30" s="29">
        <f>IF(ISBLANK(E30), "⏳ Belum Diisi (Ketik Rumus di Sel Kuning E30)", IF(E30='99_KUNCI_JAWABAN'!F441,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36000000</v>
      </c>
    </row>
    <row r="32">
      <c r="B32" s="19" t="inlineStr">
        <is>
          <t>Rina Wijaya</t>
        </is>
      </c>
      <c r="C32" s="19" t="n">
        <v>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Program Kredit</t>
        </is>
      </c>
      <c r="C36" s="14" t="inlineStr">
        <is>
          <t>Nilai Pokok (Rp)</t>
        </is>
      </c>
      <c r="E36" s="27" t="inlineStr">
        <is>
          <t>Persoalan Tes #3: Hitung nilai FV untuk suku bunga 0.01 (1%), total tenor 12 periode, dan nilai pokok -C37!</t>
        </is>
      </c>
    </row>
    <row r="37">
      <c r="B37" s="19" t="inlineStr">
        <is>
          <t>Gudang Blok A</t>
        </is>
      </c>
      <c r="C37" s="19" t="n">
        <v>36000000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24000000</v>
      </c>
      <c r="E38" s="28" t="n"/>
      <c r="F38" s="29">
        <f>IF(ISBLANK(E38), "⏳ Belum Diisi (Ketik Rumus di Sel Kuning E38)", IF(E38='99_KUNCI_JAWABAN'!F442,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36000000</v>
      </c>
    </row>
    <row r="40">
      <c r="B40" s="19" t="inlineStr">
        <is>
          <t>Gudang Blok D</t>
        </is>
      </c>
      <c r="C40" s="19" t="n">
        <v>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Program Kredit</t>
        </is>
      </c>
      <c r="C44" s="14" t="inlineStr">
        <is>
          <t>Nilai Pokok (Rp)</t>
        </is>
      </c>
      <c r="E44" s="27" t="inlineStr">
        <is>
          <t>Persoalan Tes #4: Hitung nilai FV untuk suku bunga 0.01 (1%), total tenor 12 periode, dan nilai pokok -C45!</t>
        </is>
      </c>
    </row>
    <row r="45">
      <c r="B45" s="19" t="inlineStr">
        <is>
          <t>Toko Elektronik</t>
        </is>
      </c>
      <c r="C45" s="19" t="n">
        <v>48000000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24000000</v>
      </c>
      <c r="E46" s="28" t="n"/>
      <c r="F46" s="29">
        <f>IF(ISBLANK(E46), "⏳ Belum Diisi (Ketik Rumus di Sel Kuning E46)", IF(E46='99_KUNCI_JAWABAN'!F443,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36000000</v>
      </c>
    </row>
    <row r="48">
      <c r="B48" s="19" t="inlineStr">
        <is>
          <t>Toko Servis</t>
        </is>
      </c>
      <c r="C48" s="19" t="n">
        <v>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Program Kredit</t>
        </is>
      </c>
      <c r="C52" s="14" t="inlineStr">
        <is>
          <t>Nilai Pokok (Rp)</t>
        </is>
      </c>
      <c r="E52" s="27" t="inlineStr">
        <is>
          <t>Persoalan Tes #5: Hitung nilai FV untuk suku bunga 0.01 (1%), total tenor 12 periode, dan nilai pokok -C53!</t>
        </is>
      </c>
    </row>
    <row r="53">
      <c r="B53" s="19" t="inlineStr">
        <is>
          <t>Kelas 10 IPA</t>
        </is>
      </c>
      <c r="C53" s="19" t="n">
        <v>60000000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24000000</v>
      </c>
      <c r="E54" s="28" t="n"/>
      <c r="F54" s="29">
        <f>IF(ISBLANK(E54), "⏳ Belum Diisi (Ketik Rumus di Sel Kuning E54)", IF(E54='99_KUNCI_JAWABAN'!F444,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36000000</v>
      </c>
    </row>
    <row r="56">
      <c r="B56" s="19" t="inlineStr">
        <is>
          <t>Kelas Unggulan</t>
        </is>
      </c>
      <c r="C56" s="19" t="n">
        <v>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#089 — RUMUS EXCEL: PV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(PV)</t>
        </is>
      </c>
    </row>
    <row r="5" ht="21" customHeight="1">
      <c r="B5" s="14" t="inlineStr">
        <is>
          <t>Nama Rumus Excel</t>
        </is>
      </c>
      <c r="C5" s="15">
        <f>PV(...)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PV(bunga, total_periode, cicilan_per_periode)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Present Value: Menghitung berapa nilai uang sekarang dari rangkaian pembayaran masa depan.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PV DI SINI)</t>
        </is>
      </c>
    </row>
    <row r="10">
      <c r="B10" s="18" t="inlineStr">
        <is>
          <t>Program Kredit</t>
        </is>
      </c>
      <c r="C10" s="18" t="inlineStr">
        <is>
          <t>Nilai Pokok (Rp)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72000000</v>
      </c>
      <c r="E11" s="20" t="inlineStr">
        <is>
          <t>Contoh Soal:</t>
        </is>
      </c>
      <c r="F11" s="21" t="inlineStr">
        <is>
          <t>Hitung nilai PV untuk suku bunga 0.01 (1%), total tenor 12 periode, dan nilai pokok -C11!</t>
        </is>
      </c>
      <c r="G11" s="5" t="n"/>
    </row>
    <row r="12">
      <c r="B12" s="19" t="inlineStr">
        <is>
          <t>Simulasi Unit B</t>
        </is>
      </c>
      <c r="C12" s="19" t="n">
        <v>24000000</v>
      </c>
      <c r="E12" s="20" t="inlineStr">
        <is>
          <t>Contoh Rumus Benar:</t>
        </is>
      </c>
      <c r="F12" s="22" t="inlineStr">
        <is>
          <t>'=PV(0.01, 12, -C11)</t>
        </is>
      </c>
      <c r="G12" s="5" t="n"/>
    </row>
    <row r="13">
      <c r="B13" s="19" t="inlineStr">
        <is>
          <t>Simulasi Unit C</t>
        </is>
      </c>
      <c r="C13" s="19" t="n">
        <v>36000000</v>
      </c>
      <c r="E13" s="20" t="inlineStr">
        <is>
          <t>Contoh Hasil Benar:</t>
        </is>
      </c>
      <c r="F13" s="23">
        <f>PV(0.01, 12, -C11)</f>
        <v/>
      </c>
      <c r="G13" s="5" t="n"/>
    </row>
    <row r="14">
      <c r="B14" s="19" t="inlineStr">
        <is>
          <t>Simulasi Unit D</t>
        </is>
      </c>
      <c r="C14" s="19" t="n">
        <v>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Program Kredit</t>
        </is>
      </c>
      <c r="C20" s="14" t="inlineStr">
        <is>
          <t>Nilai Pokok (Rp)</t>
        </is>
      </c>
      <c r="E20" s="27" t="inlineStr">
        <is>
          <t>Persoalan Tes #1: Hitung nilai PV untuk suku bunga 0.01 (1%), total tenor 12 periode, dan nilai pokok -C21!</t>
        </is>
      </c>
    </row>
    <row r="21">
      <c r="B21" s="19" t="inlineStr">
        <is>
          <t>Cabang Jakarta</t>
        </is>
      </c>
      <c r="C21" s="19" t="n">
        <v>12000000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24000000</v>
      </c>
      <c r="E22" s="28" t="n"/>
      <c r="F22" s="29">
        <f>IF(ISBLANK(E22), "⏳ Belum Diisi (Ketik Rumus di Sel Kuning E22)", IF(E22='99_KUNCI_JAWABAN'!F445,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36000000</v>
      </c>
    </row>
    <row r="24">
      <c r="B24" s="19" t="inlineStr">
        <is>
          <t>Cabang Medan</t>
        </is>
      </c>
      <c r="C24" s="19" t="n">
        <v>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Program Kredit</t>
        </is>
      </c>
      <c r="C28" s="14" t="inlineStr">
        <is>
          <t>Nilai Pokok (Rp)</t>
        </is>
      </c>
      <c r="E28" s="27" t="inlineStr">
        <is>
          <t>Persoalan Tes #2: Hitung nilai PV untuk suku bunga 0.01 (1%), total tenor 12 periode, dan nilai pokok -C29!</t>
        </is>
      </c>
    </row>
    <row r="29">
      <c r="B29" s="19" t="inlineStr">
        <is>
          <t>Budi Santoso</t>
        </is>
      </c>
      <c r="C29" s="19" t="n">
        <v>24000000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24000000</v>
      </c>
      <c r="E30" s="28" t="n"/>
      <c r="F30" s="29">
        <f>IF(ISBLANK(E30), "⏳ Belum Diisi (Ketik Rumus di Sel Kuning E30)", IF(E30='99_KUNCI_JAWABAN'!F446,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36000000</v>
      </c>
    </row>
    <row r="32">
      <c r="B32" s="19" t="inlineStr">
        <is>
          <t>Rina Wijaya</t>
        </is>
      </c>
      <c r="C32" s="19" t="n">
        <v>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Program Kredit</t>
        </is>
      </c>
      <c r="C36" s="14" t="inlineStr">
        <is>
          <t>Nilai Pokok (Rp)</t>
        </is>
      </c>
      <c r="E36" s="27" t="inlineStr">
        <is>
          <t>Persoalan Tes #3: Hitung nilai PV untuk suku bunga 0.01 (1%), total tenor 12 periode, dan nilai pokok -C37!</t>
        </is>
      </c>
    </row>
    <row r="37">
      <c r="B37" s="19" t="inlineStr">
        <is>
          <t>Gudang Blok A</t>
        </is>
      </c>
      <c r="C37" s="19" t="n">
        <v>36000000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24000000</v>
      </c>
      <c r="E38" s="28" t="n"/>
      <c r="F38" s="29">
        <f>IF(ISBLANK(E38), "⏳ Belum Diisi (Ketik Rumus di Sel Kuning E38)", IF(E38='99_KUNCI_JAWABAN'!F447,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36000000</v>
      </c>
    </row>
    <row r="40">
      <c r="B40" s="19" t="inlineStr">
        <is>
          <t>Gudang Blok D</t>
        </is>
      </c>
      <c r="C40" s="19" t="n">
        <v>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Program Kredit</t>
        </is>
      </c>
      <c r="C44" s="14" t="inlineStr">
        <is>
          <t>Nilai Pokok (Rp)</t>
        </is>
      </c>
      <c r="E44" s="27" t="inlineStr">
        <is>
          <t>Persoalan Tes #4: Hitung nilai PV untuk suku bunga 0.01 (1%), total tenor 12 periode, dan nilai pokok -C45!</t>
        </is>
      </c>
    </row>
    <row r="45">
      <c r="B45" s="19" t="inlineStr">
        <is>
          <t>Toko Elektronik</t>
        </is>
      </c>
      <c r="C45" s="19" t="n">
        <v>48000000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24000000</v>
      </c>
      <c r="E46" s="28" t="n"/>
      <c r="F46" s="29">
        <f>IF(ISBLANK(E46), "⏳ Belum Diisi (Ketik Rumus di Sel Kuning E46)", IF(E46='99_KUNCI_JAWABAN'!F448,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36000000</v>
      </c>
    </row>
    <row r="48">
      <c r="B48" s="19" t="inlineStr">
        <is>
          <t>Toko Servis</t>
        </is>
      </c>
      <c r="C48" s="19" t="n">
        <v>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Program Kredit</t>
        </is>
      </c>
      <c r="C52" s="14" t="inlineStr">
        <is>
          <t>Nilai Pokok (Rp)</t>
        </is>
      </c>
      <c r="E52" s="27" t="inlineStr">
        <is>
          <t>Persoalan Tes #5: Hitung nilai PV untuk suku bunga 0.01 (1%), total tenor 12 periode, dan nilai pokok -C53!</t>
        </is>
      </c>
    </row>
    <row r="53">
      <c r="B53" s="19" t="inlineStr">
        <is>
          <t>Kelas 10 IPA</t>
        </is>
      </c>
      <c r="C53" s="19" t="n">
        <v>60000000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24000000</v>
      </c>
      <c r="E54" s="28" t="n"/>
      <c r="F54" s="29">
        <f>IF(ISBLANK(E54), "⏳ Belum Diisi (Ketik Rumus di Sel Kuning E54)", IF(E54='99_KUNCI_JAWABAN'!F449,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36000000</v>
      </c>
    </row>
    <row r="56">
      <c r="B56" s="19" t="inlineStr">
        <is>
          <t>Kelas Unggulan</t>
        </is>
      </c>
      <c r="C56" s="19" t="n">
        <v>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#090 — RUMUS EXCEL: NPV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(NPV)</t>
        </is>
      </c>
    </row>
    <row r="5" ht="21" customHeight="1">
      <c r="B5" s="14" t="inlineStr">
        <is>
          <t>Nama Rumus Excel</t>
        </is>
      </c>
      <c r="C5" s="15">
        <f>NPV(...)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NPV(suku_diskonto, arus_kas1, arus_kas2,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Net Present Value: Mengukur apakah sebuah proyek bisnis menguntungkan (layak jalan) dibanding bunga deposito.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NPV DI SINI)</t>
        </is>
      </c>
    </row>
    <row r="10">
      <c r="B10" s="18" t="inlineStr">
        <is>
          <t>Periode Arus Kas</t>
        </is>
      </c>
      <c r="C10" s="18" t="inlineStr">
        <is>
          <t>Nilai Arus Kas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6000000</v>
      </c>
      <c r="E11" s="20" t="inlineStr">
        <is>
          <t>Contoh Soal:</t>
        </is>
      </c>
      <c r="F11" s="21" t="inlineStr">
        <is>
          <t>Hitung Net Present Value dengan suku bunga diskonto 10% (0.1) untuk arus kas pada rentang C11:C14 menggunakan fungsi NPV!</t>
        </is>
      </c>
      <c r="G11" s="5" t="n"/>
    </row>
    <row r="12">
      <c r="B12" s="19" t="inlineStr">
        <is>
          <t>Simulasi Unit B</t>
        </is>
      </c>
      <c r="C12" s="19" t="n">
        <v>9000000</v>
      </c>
      <c r="E12" s="20" t="inlineStr">
        <is>
          <t>Contoh Rumus Benar:</t>
        </is>
      </c>
      <c r="F12" s="22" t="inlineStr">
        <is>
          <t>'=NPV(0.1, C11:C14)</t>
        </is>
      </c>
      <c r="G12" s="5" t="n"/>
    </row>
    <row r="13">
      <c r="B13" s="19" t="inlineStr">
        <is>
          <t>Simulasi Unit C</t>
        </is>
      </c>
      <c r="C13" s="19" t="n">
        <v>10800000</v>
      </c>
      <c r="E13" s="20" t="inlineStr">
        <is>
          <t>Contoh Hasil Benar:</t>
        </is>
      </c>
      <c r="F13" s="23">
        <f>NPV(0.1, C11:C14)</f>
        <v/>
      </c>
      <c r="G13" s="5" t="n"/>
    </row>
    <row r="14">
      <c r="B14" s="19" t="inlineStr">
        <is>
          <t>Simulasi Unit D</t>
        </is>
      </c>
      <c r="C14" s="19" t="n">
        <v>13200000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Periode Arus Kas</t>
        </is>
      </c>
      <c r="C20" s="14" t="inlineStr">
        <is>
          <t>Nilai Arus Kas</t>
        </is>
      </c>
      <c r="E20" s="27" t="inlineStr">
        <is>
          <t>Persoalan Tes #1: Hitung Net Present Value dengan suku bunga diskonto 10% (0.1) untuk arus kas pada rentang C21:C24 menggunakan fungsi NPV!</t>
        </is>
      </c>
    </row>
    <row r="21">
      <c r="B21" s="19" t="inlineStr">
        <is>
          <t>Cabang Jakarta</t>
        </is>
      </c>
      <c r="C21" s="19" t="n">
        <v>1000000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1500000</v>
      </c>
      <c r="E22" s="28" t="n"/>
      <c r="F22" s="29">
        <f>IF(ISBLANK(E22), "⏳ Belum Diisi (Ketik Rumus di Sel Kuning E22)", IF(E22='99_KUNCI_JAWABAN'!F450,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1800000</v>
      </c>
    </row>
    <row r="24">
      <c r="B24" s="19" t="inlineStr">
        <is>
          <t>Cabang Medan</t>
        </is>
      </c>
      <c r="C24" s="19" t="n">
        <v>2200000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Periode Arus Kas</t>
        </is>
      </c>
      <c r="C28" s="14" t="inlineStr">
        <is>
          <t>Nilai Arus Kas</t>
        </is>
      </c>
      <c r="E28" s="27" t="inlineStr">
        <is>
          <t>Persoalan Tes #2: Hitung Net Present Value dengan suku bunga diskonto 10% (0.1) untuk arus kas pada rentang C29:C32 menggunakan fungsi NPV!</t>
        </is>
      </c>
    </row>
    <row r="29">
      <c r="B29" s="19" t="inlineStr">
        <is>
          <t>Budi Santoso</t>
        </is>
      </c>
      <c r="C29" s="19" t="n">
        <v>2000000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3000000</v>
      </c>
      <c r="E30" s="28" t="n"/>
      <c r="F30" s="29">
        <f>IF(ISBLANK(E30), "⏳ Belum Diisi (Ketik Rumus di Sel Kuning E30)", IF(E30='99_KUNCI_JAWABAN'!F451,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3600000</v>
      </c>
    </row>
    <row r="32">
      <c r="B32" s="19" t="inlineStr">
        <is>
          <t>Rina Wijaya</t>
        </is>
      </c>
      <c r="C32" s="19" t="n">
        <v>4400000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Periode Arus Kas</t>
        </is>
      </c>
      <c r="C36" s="14" t="inlineStr">
        <is>
          <t>Nilai Arus Kas</t>
        </is>
      </c>
      <c r="E36" s="27" t="inlineStr">
        <is>
          <t>Persoalan Tes #3: Hitung Net Present Value dengan suku bunga diskonto 10% (0.1) untuk arus kas pada rentang C37:C40 menggunakan fungsi NPV!</t>
        </is>
      </c>
    </row>
    <row r="37">
      <c r="B37" s="19" t="inlineStr">
        <is>
          <t>Gudang Blok A</t>
        </is>
      </c>
      <c r="C37" s="19" t="n">
        <v>3000000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4500000</v>
      </c>
      <c r="E38" s="28" t="n"/>
      <c r="F38" s="29">
        <f>IF(ISBLANK(E38), "⏳ Belum Diisi (Ketik Rumus di Sel Kuning E38)", IF(E38='99_KUNCI_JAWABAN'!F452,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5400000</v>
      </c>
    </row>
    <row r="40">
      <c r="B40" s="19" t="inlineStr">
        <is>
          <t>Gudang Blok D</t>
        </is>
      </c>
      <c r="C40" s="19" t="n">
        <v>6600000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Periode Arus Kas</t>
        </is>
      </c>
      <c r="C44" s="14" t="inlineStr">
        <is>
          <t>Nilai Arus Kas</t>
        </is>
      </c>
      <c r="E44" s="27" t="inlineStr">
        <is>
          <t>Persoalan Tes #4: Hitung Net Present Value dengan suku bunga diskonto 10% (0.1) untuk arus kas pada rentang C45:C48 menggunakan fungsi NPV!</t>
        </is>
      </c>
    </row>
    <row r="45">
      <c r="B45" s="19" t="inlineStr">
        <is>
          <t>Toko Elektronik</t>
        </is>
      </c>
      <c r="C45" s="19" t="n">
        <v>4000000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6000000</v>
      </c>
      <c r="E46" s="28" t="n"/>
      <c r="F46" s="29">
        <f>IF(ISBLANK(E46), "⏳ Belum Diisi (Ketik Rumus di Sel Kuning E46)", IF(E46='99_KUNCI_JAWABAN'!F453,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7200000</v>
      </c>
    </row>
    <row r="48">
      <c r="B48" s="19" t="inlineStr">
        <is>
          <t>Toko Servis</t>
        </is>
      </c>
      <c r="C48" s="19" t="n">
        <v>8800000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Periode Arus Kas</t>
        </is>
      </c>
      <c r="C52" s="14" t="inlineStr">
        <is>
          <t>Nilai Arus Kas</t>
        </is>
      </c>
      <c r="E52" s="27" t="inlineStr">
        <is>
          <t>Persoalan Tes #5: Hitung Net Present Value dengan suku bunga diskonto 10% (0.1) untuk arus kas pada rentang C53:C56 menggunakan fungsi NPV!</t>
        </is>
      </c>
    </row>
    <row r="53">
      <c r="B53" s="19" t="inlineStr">
        <is>
          <t>Kelas 10 IPA</t>
        </is>
      </c>
      <c r="C53" s="19" t="n">
        <v>5000000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7500000</v>
      </c>
      <c r="E54" s="28" t="n"/>
      <c r="F54" s="29">
        <f>IF(ISBLANK(E54), "⏳ Belum Diisi (Ketik Rumus di Sel Kuning E54)", IF(E54='99_KUNCI_JAWABAN'!F454,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9000000</v>
      </c>
    </row>
    <row r="56">
      <c r="B56" s="19" t="inlineStr">
        <is>
          <t>Kelas Unggulan</t>
        </is>
      </c>
      <c r="C56" s="19" t="n">
        <v>11000000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#091 — RUMUS EXCEL: IRR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(IRR)</t>
        </is>
      </c>
    </row>
    <row r="5" ht="21" customHeight="1">
      <c r="B5" s="14" t="inlineStr">
        <is>
          <t>Nama Rumus Excel</t>
        </is>
      </c>
      <c r="C5" s="15">
        <f>IRR(...)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IRR(range_arus_kas)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Internal Rate of Return: Menghitung persentase tingkat pengembalian modal dari arus kas keluar dan masuk.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IRR DI SINI)</t>
        </is>
      </c>
    </row>
    <row r="10">
      <c r="B10" s="18" t="inlineStr">
        <is>
          <t>Tahun Proyek</t>
        </is>
      </c>
      <c r="C10" s="18" t="inlineStr">
        <is>
          <t>Arus Kas (Keluar/Masuk)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Modal Awal</t>
        </is>
      </c>
      <c r="C11" s="19" t="n">
        <v>-12000000</v>
      </c>
      <c r="E11" s="20" t="inlineStr">
        <is>
          <t>Contoh Soal:</t>
        </is>
      </c>
      <c r="F11" s="21" t="inlineStr">
        <is>
          <t>Hitung tingkat pengembalian internal (Internal Rate of Return) dari arus kas investasi pada rentang C11:C14 menggunakan fungsi IRR!</t>
        </is>
      </c>
      <c r="G11" s="5" t="n"/>
    </row>
    <row r="12">
      <c r="B12" s="19" t="inlineStr">
        <is>
          <t>Tahun 1</t>
        </is>
      </c>
      <c r="C12" s="19" t="n">
        <v>4800000</v>
      </c>
      <c r="E12" s="20" t="inlineStr">
        <is>
          <t>Contoh Rumus Benar:</t>
        </is>
      </c>
      <c r="F12" s="22" t="inlineStr">
        <is>
          <t>'=IRR(C11:C14)</t>
        </is>
      </c>
      <c r="G12" s="5" t="n"/>
    </row>
    <row r="13">
      <c r="B13" s="19" t="inlineStr">
        <is>
          <t>Tahun 2</t>
        </is>
      </c>
      <c r="C13" s="19" t="n">
        <v>5700000</v>
      </c>
      <c r="E13" s="20" t="inlineStr">
        <is>
          <t>Contoh Hasil Benar:</t>
        </is>
      </c>
      <c r="F13" s="23">
        <f>IRR(C11:C14)</f>
        <v/>
      </c>
      <c r="G13" s="5" t="n"/>
    </row>
    <row r="14">
      <c r="B14" s="19" t="inlineStr">
        <is>
          <t>Tahun 3</t>
        </is>
      </c>
      <c r="C14" s="19" t="n">
        <v>6600000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Tahun Proyek</t>
        </is>
      </c>
      <c r="C20" s="14" t="inlineStr">
        <is>
          <t>Arus Kas (Keluar/Masuk)</t>
        </is>
      </c>
      <c r="E20" s="27" t="inlineStr">
        <is>
          <t>Persoalan Tes #1: Hitung tingkat pengembalian internal (Internal Rate of Return) dari arus kas investasi pada rentang C21:C24 menggunakan fungsi IRR!</t>
        </is>
      </c>
    </row>
    <row r="21">
      <c r="B21" s="19" t="inlineStr">
        <is>
          <t>Modal Awal</t>
        </is>
      </c>
      <c r="C21" s="19" t="n">
        <v>-2000000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Tahun 1</t>
        </is>
      </c>
      <c r="C22" s="19" t="n">
        <v>800000</v>
      </c>
      <c r="E22" s="28" t="n"/>
      <c r="F22" s="29">
        <f>IF(ISBLANK(E22), "⏳ Belum Diisi (Ketik Rumus di Sel Kuning E22)", IF(E22='99_KUNCI_JAWABAN'!F455, "✅ BENAR! JAWABAN TES TEPAT!", "❌ Belum Tepat (Cek Sheet Akhir: 99_KUNCI_JAWABAN)"))</f>
        <v/>
      </c>
      <c r="G22" s="5" t="n"/>
    </row>
    <row r="23">
      <c r="B23" s="19" t="inlineStr">
        <is>
          <t>Tahun 2</t>
        </is>
      </c>
      <c r="C23" s="19" t="n">
        <v>950000</v>
      </c>
    </row>
    <row r="24">
      <c r="B24" s="19" t="inlineStr">
        <is>
          <t>Tahun 3</t>
        </is>
      </c>
      <c r="C24" s="19" t="n">
        <v>1100000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Tahun Proyek</t>
        </is>
      </c>
      <c r="C28" s="14" t="inlineStr">
        <is>
          <t>Arus Kas (Keluar/Masuk)</t>
        </is>
      </c>
      <c r="E28" s="27" t="inlineStr">
        <is>
          <t>Persoalan Tes #2: Hitung tingkat pengembalian internal (Internal Rate of Return) dari arus kas investasi pada rentang C29:C32 menggunakan fungsi IRR!</t>
        </is>
      </c>
    </row>
    <row r="29">
      <c r="B29" s="19" t="inlineStr">
        <is>
          <t>Modal Awal</t>
        </is>
      </c>
      <c r="C29" s="19" t="n">
        <v>-4000000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Tahun 1</t>
        </is>
      </c>
      <c r="C30" s="19" t="n">
        <v>1600000</v>
      </c>
      <c r="E30" s="28" t="n"/>
      <c r="F30" s="29">
        <f>IF(ISBLANK(E30), "⏳ Belum Diisi (Ketik Rumus di Sel Kuning E30)", IF(E30='99_KUNCI_JAWABAN'!F456, "✅ BENAR! JAWABAN TES TEPAT!", "❌ Belum Tepat (Cek Sheet Akhir: 99_KUNCI_JAWABAN)"))</f>
        <v/>
      </c>
      <c r="G30" s="5" t="n"/>
    </row>
    <row r="31">
      <c r="B31" s="19" t="inlineStr">
        <is>
          <t>Tahun 2</t>
        </is>
      </c>
      <c r="C31" s="19" t="n">
        <v>1900000</v>
      </c>
    </row>
    <row r="32">
      <c r="B32" s="19" t="inlineStr">
        <is>
          <t>Tahun 3</t>
        </is>
      </c>
      <c r="C32" s="19" t="n">
        <v>2200000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Tahun Proyek</t>
        </is>
      </c>
      <c r="C36" s="14" t="inlineStr">
        <is>
          <t>Arus Kas (Keluar/Masuk)</t>
        </is>
      </c>
      <c r="E36" s="27" t="inlineStr">
        <is>
          <t>Persoalan Tes #3: Hitung tingkat pengembalian internal (Internal Rate of Return) dari arus kas investasi pada rentang C37:C40 menggunakan fungsi IRR!</t>
        </is>
      </c>
    </row>
    <row r="37">
      <c r="B37" s="19" t="inlineStr">
        <is>
          <t>Modal Awal</t>
        </is>
      </c>
      <c r="C37" s="19" t="n">
        <v>-6000000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Tahun 1</t>
        </is>
      </c>
      <c r="C38" s="19" t="n">
        <v>2400000</v>
      </c>
      <c r="E38" s="28" t="n"/>
      <c r="F38" s="29">
        <f>IF(ISBLANK(E38), "⏳ Belum Diisi (Ketik Rumus di Sel Kuning E38)", IF(E38='99_KUNCI_JAWABAN'!F457, "✅ BENAR! JAWABAN TES TEPAT!", "❌ Belum Tepat (Cek Sheet Akhir: 99_KUNCI_JAWABAN)"))</f>
        <v/>
      </c>
      <c r="G38" s="5" t="n"/>
    </row>
    <row r="39">
      <c r="B39" s="19" t="inlineStr">
        <is>
          <t>Tahun 2</t>
        </is>
      </c>
      <c r="C39" s="19" t="n">
        <v>2850000</v>
      </c>
    </row>
    <row r="40">
      <c r="B40" s="19" t="inlineStr">
        <is>
          <t>Tahun 3</t>
        </is>
      </c>
      <c r="C40" s="19" t="n">
        <v>3300000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Tahun Proyek</t>
        </is>
      </c>
      <c r="C44" s="14" t="inlineStr">
        <is>
          <t>Arus Kas (Keluar/Masuk)</t>
        </is>
      </c>
      <c r="E44" s="27" t="inlineStr">
        <is>
          <t>Persoalan Tes #4: Hitung tingkat pengembalian internal (Internal Rate of Return) dari arus kas investasi pada rentang C45:C48 menggunakan fungsi IRR!</t>
        </is>
      </c>
    </row>
    <row r="45">
      <c r="B45" s="19" t="inlineStr">
        <is>
          <t>Modal Awal</t>
        </is>
      </c>
      <c r="C45" s="19" t="n">
        <v>-8000000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Tahun 1</t>
        </is>
      </c>
      <c r="C46" s="19" t="n">
        <v>3200000</v>
      </c>
      <c r="E46" s="28" t="n"/>
      <c r="F46" s="29">
        <f>IF(ISBLANK(E46), "⏳ Belum Diisi (Ketik Rumus di Sel Kuning E46)", IF(E46='99_KUNCI_JAWABAN'!F458, "✅ BENAR! JAWABAN TES TEPAT!", "❌ Belum Tepat (Cek Sheet Akhir: 99_KUNCI_JAWABAN)"))</f>
        <v/>
      </c>
      <c r="G46" s="5" t="n"/>
    </row>
    <row r="47">
      <c r="B47" s="19" t="inlineStr">
        <is>
          <t>Tahun 2</t>
        </is>
      </c>
      <c r="C47" s="19" t="n">
        <v>3800000</v>
      </c>
    </row>
    <row r="48">
      <c r="B48" s="19" t="inlineStr">
        <is>
          <t>Tahun 3</t>
        </is>
      </c>
      <c r="C48" s="19" t="n">
        <v>4400000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Tahun Proyek</t>
        </is>
      </c>
      <c r="C52" s="14" t="inlineStr">
        <is>
          <t>Arus Kas (Keluar/Masuk)</t>
        </is>
      </c>
      <c r="E52" s="27" t="inlineStr">
        <is>
          <t>Persoalan Tes #5: Hitung tingkat pengembalian internal (Internal Rate of Return) dari arus kas investasi pada rentang C53:C56 menggunakan fungsi IRR!</t>
        </is>
      </c>
    </row>
    <row r="53">
      <c r="B53" s="19" t="inlineStr">
        <is>
          <t>Modal Awal</t>
        </is>
      </c>
      <c r="C53" s="19" t="n">
        <v>-10000000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Tahun 1</t>
        </is>
      </c>
      <c r="C54" s="19" t="n">
        <v>4000000</v>
      </c>
      <c r="E54" s="28" t="n"/>
      <c r="F54" s="29">
        <f>IF(ISBLANK(E54), "⏳ Belum Diisi (Ketik Rumus di Sel Kuning E54)", IF(E54='99_KUNCI_JAWABAN'!F459, "✅ BENAR! JAWABAN TES TEPAT!", "❌ Belum Tepat (Cek Sheet Akhir: 99_KUNCI_JAWABAN)"))</f>
        <v/>
      </c>
      <c r="G54" s="5" t="n"/>
    </row>
    <row r="55">
      <c r="B55" s="19" t="inlineStr">
        <is>
          <t>Tahun 2</t>
        </is>
      </c>
      <c r="C55" s="19" t="n">
        <v>4750000</v>
      </c>
    </row>
    <row r="56">
      <c r="B56" s="19" t="inlineStr">
        <is>
          <t>Tahun 3</t>
        </is>
      </c>
      <c r="C56" s="19" t="n">
        <v>5500000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#092 — RUMUS EXCEL: SLN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(SLN)</t>
        </is>
      </c>
    </row>
    <row r="5" ht="21" customHeight="1">
      <c r="B5" s="14" t="inlineStr">
        <is>
          <t>Nama Rumus Excel</t>
        </is>
      </c>
      <c r="C5" s="15">
        <f>SLN(...)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SLN(harga_beli, nilai_sisa, umur_ekonomis)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Straight-Line Depreciation: Menghitung biaya penyusutan aset (mesin/kendaraan kantor) secara rata setiap tahunnya.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SLN DI SINI)</t>
        </is>
      </c>
    </row>
    <row r="10">
      <c r="B10" s="18" t="inlineStr">
        <is>
          <t>Nama Aset Mesin</t>
        </is>
      </c>
      <c r="C10" s="18" t="inlineStr">
        <is>
          <t>Harga Perolehan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300000000</v>
      </c>
      <c r="E11" s="20" t="inlineStr">
        <is>
          <t>Contoh Soal:</t>
        </is>
      </c>
      <c r="F11" s="21" t="inlineStr">
        <is>
          <t>Hitung penyusutan garis lurus (SLN) dengan harga perolehan di C11, nilai residu 5000000, dan masa pakai 5 tahun!</t>
        </is>
      </c>
      <c r="G11" s="5" t="n"/>
    </row>
    <row r="12">
      <c r="B12" s="19" t="inlineStr">
        <is>
          <t>Simulasi Unit B</t>
        </is>
      </c>
      <c r="C12" s="19" t="n">
        <v>80000000</v>
      </c>
      <c r="E12" s="20" t="inlineStr">
        <is>
          <t>Contoh Rumus Benar:</t>
        </is>
      </c>
      <c r="F12" s="22" t="inlineStr">
        <is>
          <t>'=SLN(C11, 5000000, 5)</t>
        </is>
      </c>
      <c r="G12" s="5" t="n"/>
    </row>
    <row r="13">
      <c r="B13" s="19" t="inlineStr">
        <is>
          <t>Simulasi Unit C</t>
        </is>
      </c>
      <c r="C13" s="19" t="n">
        <v>120000000</v>
      </c>
      <c r="E13" s="20" t="inlineStr">
        <is>
          <t>Contoh Hasil Benar:</t>
        </is>
      </c>
      <c r="F13" s="23">
        <f>SLN(C11, 5000000, 5)</f>
        <v/>
      </c>
      <c r="G13" s="5" t="n"/>
    </row>
    <row r="14">
      <c r="B14" s="19" t="inlineStr">
        <is>
          <t>Simulasi Unit D</t>
        </is>
      </c>
      <c r="C14" s="19" t="n">
        <v>150000000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Aset Mesin</t>
        </is>
      </c>
      <c r="C20" s="14" t="inlineStr">
        <is>
          <t>Harga Perolehan</t>
        </is>
      </c>
      <c r="E20" s="27" t="inlineStr">
        <is>
          <t>Persoalan Tes #1: Hitung penyusutan garis lurus (SLN) dengan harga perolehan di C21, nilai residu 5000000, dan masa pakai 5 tahun!</t>
        </is>
      </c>
    </row>
    <row r="21">
      <c r="B21" s="19" t="inlineStr">
        <is>
          <t>Cabang Jakarta</t>
        </is>
      </c>
      <c r="C21" s="19" t="n">
        <v>50000000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80000000</v>
      </c>
      <c r="E22" s="28" t="n"/>
      <c r="F22" s="29">
        <f>IF(ISBLANK(E22), "⏳ Belum Diisi (Ketik Rumus di Sel Kuning E22)", IF(E22='99_KUNCI_JAWABAN'!F460,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120000000</v>
      </c>
    </row>
    <row r="24">
      <c r="B24" s="19" t="inlineStr">
        <is>
          <t>Cabang Medan</t>
        </is>
      </c>
      <c r="C24" s="19" t="n">
        <v>150000000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Aset Mesin</t>
        </is>
      </c>
      <c r="C28" s="14" t="inlineStr">
        <is>
          <t>Harga Perolehan</t>
        </is>
      </c>
      <c r="E28" s="27" t="inlineStr">
        <is>
          <t>Persoalan Tes #2: Hitung penyusutan garis lurus (SLN) dengan harga perolehan di C29, nilai residu 5000000, dan masa pakai 5 tahun!</t>
        </is>
      </c>
    </row>
    <row r="29">
      <c r="B29" s="19" t="inlineStr">
        <is>
          <t>Budi Santoso</t>
        </is>
      </c>
      <c r="C29" s="19" t="n">
        <v>100000000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80000000</v>
      </c>
      <c r="E30" s="28" t="n"/>
      <c r="F30" s="29">
        <f>IF(ISBLANK(E30), "⏳ Belum Diisi (Ketik Rumus di Sel Kuning E30)", IF(E30='99_KUNCI_JAWABAN'!F461,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120000000</v>
      </c>
    </row>
    <row r="32">
      <c r="B32" s="19" t="inlineStr">
        <is>
          <t>Rina Wijaya</t>
        </is>
      </c>
      <c r="C32" s="19" t="n">
        <v>150000000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Aset Mesin</t>
        </is>
      </c>
      <c r="C36" s="14" t="inlineStr">
        <is>
          <t>Harga Perolehan</t>
        </is>
      </c>
      <c r="E36" s="27" t="inlineStr">
        <is>
          <t>Persoalan Tes #3: Hitung penyusutan garis lurus (SLN) dengan harga perolehan di C37, nilai residu 5000000, dan masa pakai 5 tahun!</t>
        </is>
      </c>
    </row>
    <row r="37">
      <c r="B37" s="19" t="inlineStr">
        <is>
          <t>Gudang Blok A</t>
        </is>
      </c>
      <c r="C37" s="19" t="n">
        <v>150000000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80000000</v>
      </c>
      <c r="E38" s="28" t="n"/>
      <c r="F38" s="29">
        <f>IF(ISBLANK(E38), "⏳ Belum Diisi (Ketik Rumus di Sel Kuning E38)", IF(E38='99_KUNCI_JAWABAN'!F462,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120000000</v>
      </c>
    </row>
    <row r="40">
      <c r="B40" s="19" t="inlineStr">
        <is>
          <t>Gudang Blok D</t>
        </is>
      </c>
      <c r="C40" s="19" t="n">
        <v>150000000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Aset Mesin</t>
        </is>
      </c>
      <c r="C44" s="14" t="inlineStr">
        <is>
          <t>Harga Perolehan</t>
        </is>
      </c>
      <c r="E44" s="27" t="inlineStr">
        <is>
          <t>Persoalan Tes #4: Hitung penyusutan garis lurus (SLN) dengan harga perolehan di C45, nilai residu 5000000, dan masa pakai 5 tahun!</t>
        </is>
      </c>
    </row>
    <row r="45">
      <c r="B45" s="19" t="inlineStr">
        <is>
          <t>Toko Elektronik</t>
        </is>
      </c>
      <c r="C45" s="19" t="n">
        <v>200000000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80000000</v>
      </c>
      <c r="E46" s="28" t="n"/>
      <c r="F46" s="29">
        <f>IF(ISBLANK(E46), "⏳ Belum Diisi (Ketik Rumus di Sel Kuning E46)", IF(E46='99_KUNCI_JAWABAN'!F463,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120000000</v>
      </c>
    </row>
    <row r="48">
      <c r="B48" s="19" t="inlineStr">
        <is>
          <t>Toko Servis</t>
        </is>
      </c>
      <c r="C48" s="19" t="n">
        <v>150000000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Aset Mesin</t>
        </is>
      </c>
      <c r="C52" s="14" t="inlineStr">
        <is>
          <t>Harga Perolehan</t>
        </is>
      </c>
      <c r="E52" s="27" t="inlineStr">
        <is>
          <t>Persoalan Tes #5: Hitung penyusutan garis lurus (SLN) dengan harga perolehan di C53, nilai residu 5000000, dan masa pakai 5 tahun!</t>
        </is>
      </c>
    </row>
    <row r="53">
      <c r="B53" s="19" t="inlineStr">
        <is>
          <t>Kelas 10 IPA</t>
        </is>
      </c>
      <c r="C53" s="19" t="n">
        <v>250000000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80000000</v>
      </c>
      <c r="E54" s="28" t="n"/>
      <c r="F54" s="29">
        <f>IF(ISBLANK(E54), "⏳ Belum Diisi (Ketik Rumus di Sel Kuning E54)", IF(E54='99_KUNCI_JAWABAN'!F464,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120000000</v>
      </c>
    </row>
    <row r="56">
      <c r="B56" s="19" t="inlineStr">
        <is>
          <t>Kelas Unggulan</t>
        </is>
      </c>
      <c r="C56" s="19" t="n">
        <v>150000000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#093 — RUMUS EXCEL: DB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(DB)</t>
        </is>
      </c>
    </row>
    <row r="5" ht="21" customHeight="1">
      <c r="B5" s="14" t="inlineStr">
        <is>
          <t>Nama Rumus Excel</t>
        </is>
      </c>
      <c r="C5" s="15">
        <f>DB(...)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DB(harga_beli, nilai_sisa, umur, periode)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Declining Balance: Menghitung penyusutan aset dengan metode saldo menurun dari tahun ke tahun.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DB DI SINI)</t>
        </is>
      </c>
    </row>
    <row r="10">
      <c r="B10" s="18" t="inlineStr">
        <is>
          <t>Nama Aset Mesin</t>
        </is>
      </c>
      <c r="C10" s="18" t="inlineStr">
        <is>
          <t>Harga Perolehan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300000000</v>
      </c>
      <c r="E11" s="20" t="inlineStr">
        <is>
          <t>Contoh Soal:</t>
        </is>
      </c>
      <c r="F11" s="21" t="inlineStr">
        <is>
          <t>Hitung beban penyusutan DB dengan harga perolehan di C11, nilai residu 5000000, umur 5 tahun, untuk periode tahun ke-1!</t>
        </is>
      </c>
      <c r="G11" s="5" t="n"/>
    </row>
    <row r="12">
      <c r="B12" s="19" t="inlineStr">
        <is>
          <t>Simulasi Unit B</t>
        </is>
      </c>
      <c r="C12" s="19" t="n">
        <v>80000000</v>
      </c>
      <c r="E12" s="20" t="inlineStr">
        <is>
          <t>Contoh Rumus Benar:</t>
        </is>
      </c>
      <c r="F12" s="22" t="inlineStr">
        <is>
          <t>'=DB(C11, 5000000, 5, 1)</t>
        </is>
      </c>
      <c r="G12" s="5" t="n"/>
    </row>
    <row r="13">
      <c r="B13" s="19" t="inlineStr">
        <is>
          <t>Simulasi Unit C</t>
        </is>
      </c>
      <c r="C13" s="19" t="n">
        <v>120000000</v>
      </c>
      <c r="E13" s="20" t="inlineStr">
        <is>
          <t>Contoh Hasil Benar:</t>
        </is>
      </c>
      <c r="F13" s="23">
        <f>DB(C11, 5000000, 5, 1)</f>
        <v/>
      </c>
      <c r="G13" s="5" t="n"/>
    </row>
    <row r="14">
      <c r="B14" s="19" t="inlineStr">
        <is>
          <t>Simulasi Unit D</t>
        </is>
      </c>
      <c r="C14" s="19" t="n">
        <v>150000000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Aset Mesin</t>
        </is>
      </c>
      <c r="C20" s="14" t="inlineStr">
        <is>
          <t>Harga Perolehan</t>
        </is>
      </c>
      <c r="E20" s="27" t="inlineStr">
        <is>
          <t>Persoalan Tes #1: Hitung beban penyusutan DB dengan harga perolehan di C21, nilai residu 5000000, umur 5 tahun, untuk periode tahun ke-1!</t>
        </is>
      </c>
    </row>
    <row r="21">
      <c r="B21" s="19" t="inlineStr">
        <is>
          <t>Cabang Jakarta</t>
        </is>
      </c>
      <c r="C21" s="19" t="n">
        <v>50000000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80000000</v>
      </c>
      <c r="E22" s="28" t="n"/>
      <c r="F22" s="29">
        <f>IF(ISBLANK(E22), "⏳ Belum Diisi (Ketik Rumus di Sel Kuning E22)", IF(E22='99_KUNCI_JAWABAN'!F465,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120000000</v>
      </c>
    </row>
    <row r="24">
      <c r="B24" s="19" t="inlineStr">
        <is>
          <t>Cabang Medan</t>
        </is>
      </c>
      <c r="C24" s="19" t="n">
        <v>150000000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Aset Mesin</t>
        </is>
      </c>
      <c r="C28" s="14" t="inlineStr">
        <is>
          <t>Harga Perolehan</t>
        </is>
      </c>
      <c r="E28" s="27" t="inlineStr">
        <is>
          <t>Persoalan Tes #2: Hitung beban penyusutan DB dengan harga perolehan di C29, nilai residu 5000000, umur 5 tahun, untuk periode tahun ke-1!</t>
        </is>
      </c>
    </row>
    <row r="29">
      <c r="B29" s="19" t="inlineStr">
        <is>
          <t>Budi Santoso</t>
        </is>
      </c>
      <c r="C29" s="19" t="n">
        <v>100000000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80000000</v>
      </c>
      <c r="E30" s="28" t="n"/>
      <c r="F30" s="29">
        <f>IF(ISBLANK(E30), "⏳ Belum Diisi (Ketik Rumus di Sel Kuning E30)", IF(E30='99_KUNCI_JAWABAN'!F466,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120000000</v>
      </c>
    </row>
    <row r="32">
      <c r="B32" s="19" t="inlineStr">
        <is>
          <t>Rina Wijaya</t>
        </is>
      </c>
      <c r="C32" s="19" t="n">
        <v>150000000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Aset Mesin</t>
        </is>
      </c>
      <c r="C36" s="14" t="inlineStr">
        <is>
          <t>Harga Perolehan</t>
        </is>
      </c>
      <c r="E36" s="27" t="inlineStr">
        <is>
          <t>Persoalan Tes #3: Hitung beban penyusutan DB dengan harga perolehan di C37, nilai residu 5000000, umur 5 tahun, untuk periode tahun ke-1!</t>
        </is>
      </c>
    </row>
    <row r="37">
      <c r="B37" s="19" t="inlineStr">
        <is>
          <t>Gudang Blok A</t>
        </is>
      </c>
      <c r="C37" s="19" t="n">
        <v>150000000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80000000</v>
      </c>
      <c r="E38" s="28" t="n"/>
      <c r="F38" s="29">
        <f>IF(ISBLANK(E38), "⏳ Belum Diisi (Ketik Rumus di Sel Kuning E38)", IF(E38='99_KUNCI_JAWABAN'!F467,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120000000</v>
      </c>
    </row>
    <row r="40">
      <c r="B40" s="19" t="inlineStr">
        <is>
          <t>Gudang Blok D</t>
        </is>
      </c>
      <c r="C40" s="19" t="n">
        <v>150000000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Aset Mesin</t>
        </is>
      </c>
      <c r="C44" s="14" t="inlineStr">
        <is>
          <t>Harga Perolehan</t>
        </is>
      </c>
      <c r="E44" s="27" t="inlineStr">
        <is>
          <t>Persoalan Tes #4: Hitung beban penyusutan DB dengan harga perolehan di C45, nilai residu 5000000, umur 5 tahun, untuk periode tahun ke-1!</t>
        </is>
      </c>
    </row>
    <row r="45">
      <c r="B45" s="19" t="inlineStr">
        <is>
          <t>Toko Elektronik</t>
        </is>
      </c>
      <c r="C45" s="19" t="n">
        <v>200000000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80000000</v>
      </c>
      <c r="E46" s="28" t="n"/>
      <c r="F46" s="29">
        <f>IF(ISBLANK(E46), "⏳ Belum Diisi (Ketik Rumus di Sel Kuning E46)", IF(E46='99_KUNCI_JAWABAN'!F468,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120000000</v>
      </c>
    </row>
    <row r="48">
      <c r="B48" s="19" t="inlineStr">
        <is>
          <t>Toko Servis</t>
        </is>
      </c>
      <c r="C48" s="19" t="n">
        <v>150000000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Aset Mesin</t>
        </is>
      </c>
      <c r="C52" s="14" t="inlineStr">
        <is>
          <t>Harga Perolehan</t>
        </is>
      </c>
      <c r="E52" s="27" t="inlineStr">
        <is>
          <t>Persoalan Tes #5: Hitung beban penyusutan DB dengan harga perolehan di C53, nilai residu 5000000, umur 5 tahun, untuk periode tahun ke-1!</t>
        </is>
      </c>
    </row>
    <row r="53">
      <c r="B53" s="19" t="inlineStr">
        <is>
          <t>Kelas 10 IPA</t>
        </is>
      </c>
      <c r="C53" s="19" t="n">
        <v>250000000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80000000</v>
      </c>
      <c r="E54" s="28" t="n"/>
      <c r="F54" s="29">
        <f>IF(ISBLANK(E54), "⏳ Belum Diisi (Ketik Rumus di Sel Kuning E54)", IF(E54='99_KUNCI_JAWABAN'!F469,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120000000</v>
      </c>
    </row>
    <row r="56">
      <c r="B56" s="19" t="inlineStr">
        <is>
          <t>Kelas Unggulan</t>
        </is>
      </c>
      <c r="C56" s="19" t="n">
        <v>150000000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#094 — RUMUS EXCEL: SYD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(SYD)</t>
        </is>
      </c>
    </row>
    <row r="5" ht="21" customHeight="1">
      <c r="B5" s="14" t="inlineStr">
        <is>
          <t>Nama Rumus Excel</t>
        </is>
      </c>
      <c r="C5" s="15">
        <f>SYD(...)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SYD(harga_beli, nilai_sisa, umur, periode)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Sum-of-Years' Digits: Menghitung depresiasi aset berdasarkan jumlah angka tahun umur ekonomis.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SYD DI SINI)</t>
        </is>
      </c>
    </row>
    <row r="10">
      <c r="B10" s="18" t="inlineStr">
        <is>
          <t>Nama Aset Mesin</t>
        </is>
      </c>
      <c r="C10" s="18" t="inlineStr">
        <is>
          <t>Harga Perolehan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300000000</v>
      </c>
      <c r="E11" s="20" t="inlineStr">
        <is>
          <t>Contoh Soal:</t>
        </is>
      </c>
      <c r="F11" s="21" t="inlineStr">
        <is>
          <t>Hitung beban penyusutan SYD dengan harga perolehan di C11, nilai residu 5000000, umur 5 tahun, untuk periode tahun ke-1!</t>
        </is>
      </c>
      <c r="G11" s="5" t="n"/>
    </row>
    <row r="12">
      <c r="B12" s="19" t="inlineStr">
        <is>
          <t>Simulasi Unit B</t>
        </is>
      </c>
      <c r="C12" s="19" t="n">
        <v>80000000</v>
      </c>
      <c r="E12" s="20" t="inlineStr">
        <is>
          <t>Contoh Rumus Benar:</t>
        </is>
      </c>
      <c r="F12" s="22" t="inlineStr">
        <is>
          <t>'=SYD(C11, 5000000, 5, 1)</t>
        </is>
      </c>
      <c r="G12" s="5" t="n"/>
    </row>
    <row r="13">
      <c r="B13" s="19" t="inlineStr">
        <is>
          <t>Simulasi Unit C</t>
        </is>
      </c>
      <c r="C13" s="19" t="n">
        <v>120000000</v>
      </c>
      <c r="E13" s="20" t="inlineStr">
        <is>
          <t>Contoh Hasil Benar:</t>
        </is>
      </c>
      <c r="F13" s="23">
        <f>SYD(C11, 5000000, 5, 1)</f>
        <v/>
      </c>
      <c r="G13" s="5" t="n"/>
    </row>
    <row r="14">
      <c r="B14" s="19" t="inlineStr">
        <is>
          <t>Simulasi Unit D</t>
        </is>
      </c>
      <c r="C14" s="19" t="n">
        <v>150000000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Aset Mesin</t>
        </is>
      </c>
      <c r="C20" s="14" t="inlineStr">
        <is>
          <t>Harga Perolehan</t>
        </is>
      </c>
      <c r="E20" s="27" t="inlineStr">
        <is>
          <t>Persoalan Tes #1: Hitung beban penyusutan SYD dengan harga perolehan di C21, nilai residu 5000000, umur 5 tahun, untuk periode tahun ke-1!</t>
        </is>
      </c>
    </row>
    <row r="21">
      <c r="B21" s="19" t="inlineStr">
        <is>
          <t>Cabang Jakarta</t>
        </is>
      </c>
      <c r="C21" s="19" t="n">
        <v>50000000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80000000</v>
      </c>
      <c r="E22" s="28" t="n"/>
      <c r="F22" s="29">
        <f>IF(ISBLANK(E22), "⏳ Belum Diisi (Ketik Rumus di Sel Kuning E22)", IF(E22='99_KUNCI_JAWABAN'!F470,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120000000</v>
      </c>
    </row>
    <row r="24">
      <c r="B24" s="19" t="inlineStr">
        <is>
          <t>Cabang Medan</t>
        </is>
      </c>
      <c r="C24" s="19" t="n">
        <v>150000000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Aset Mesin</t>
        </is>
      </c>
      <c r="C28" s="14" t="inlineStr">
        <is>
          <t>Harga Perolehan</t>
        </is>
      </c>
      <c r="E28" s="27" t="inlineStr">
        <is>
          <t>Persoalan Tes #2: Hitung beban penyusutan SYD dengan harga perolehan di C29, nilai residu 5000000, umur 5 tahun, untuk periode tahun ke-1!</t>
        </is>
      </c>
    </row>
    <row r="29">
      <c r="B29" s="19" t="inlineStr">
        <is>
          <t>Budi Santoso</t>
        </is>
      </c>
      <c r="C29" s="19" t="n">
        <v>100000000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80000000</v>
      </c>
      <c r="E30" s="28" t="n"/>
      <c r="F30" s="29">
        <f>IF(ISBLANK(E30), "⏳ Belum Diisi (Ketik Rumus di Sel Kuning E30)", IF(E30='99_KUNCI_JAWABAN'!F471,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120000000</v>
      </c>
    </row>
    <row r="32">
      <c r="B32" s="19" t="inlineStr">
        <is>
          <t>Rina Wijaya</t>
        </is>
      </c>
      <c r="C32" s="19" t="n">
        <v>150000000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Aset Mesin</t>
        </is>
      </c>
      <c r="C36" s="14" t="inlineStr">
        <is>
          <t>Harga Perolehan</t>
        </is>
      </c>
      <c r="E36" s="27" t="inlineStr">
        <is>
          <t>Persoalan Tes #3: Hitung beban penyusutan SYD dengan harga perolehan di C37, nilai residu 5000000, umur 5 tahun, untuk periode tahun ke-1!</t>
        </is>
      </c>
    </row>
    <row r="37">
      <c r="B37" s="19" t="inlineStr">
        <is>
          <t>Gudang Blok A</t>
        </is>
      </c>
      <c r="C37" s="19" t="n">
        <v>150000000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80000000</v>
      </c>
      <c r="E38" s="28" t="n"/>
      <c r="F38" s="29">
        <f>IF(ISBLANK(E38), "⏳ Belum Diisi (Ketik Rumus di Sel Kuning E38)", IF(E38='99_KUNCI_JAWABAN'!F472,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120000000</v>
      </c>
    </row>
    <row r="40">
      <c r="B40" s="19" t="inlineStr">
        <is>
          <t>Gudang Blok D</t>
        </is>
      </c>
      <c r="C40" s="19" t="n">
        <v>150000000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Aset Mesin</t>
        </is>
      </c>
      <c r="C44" s="14" t="inlineStr">
        <is>
          <t>Harga Perolehan</t>
        </is>
      </c>
      <c r="E44" s="27" t="inlineStr">
        <is>
          <t>Persoalan Tes #4: Hitung beban penyusutan SYD dengan harga perolehan di C45, nilai residu 5000000, umur 5 tahun, untuk periode tahun ke-1!</t>
        </is>
      </c>
    </row>
    <row r="45">
      <c r="B45" s="19" t="inlineStr">
        <is>
          <t>Toko Elektronik</t>
        </is>
      </c>
      <c r="C45" s="19" t="n">
        <v>200000000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80000000</v>
      </c>
      <c r="E46" s="28" t="n"/>
      <c r="F46" s="29">
        <f>IF(ISBLANK(E46), "⏳ Belum Diisi (Ketik Rumus di Sel Kuning E46)", IF(E46='99_KUNCI_JAWABAN'!F473,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120000000</v>
      </c>
    </row>
    <row r="48">
      <c r="B48" s="19" t="inlineStr">
        <is>
          <t>Toko Servis</t>
        </is>
      </c>
      <c r="C48" s="19" t="n">
        <v>150000000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Aset Mesin</t>
        </is>
      </c>
      <c r="C52" s="14" t="inlineStr">
        <is>
          <t>Harga Perolehan</t>
        </is>
      </c>
      <c r="E52" s="27" t="inlineStr">
        <is>
          <t>Persoalan Tes #5: Hitung beban penyusutan SYD dengan harga perolehan di C53, nilai residu 5000000, umur 5 tahun, untuk periode tahun ke-1!</t>
        </is>
      </c>
    </row>
    <row r="53">
      <c r="B53" s="19" t="inlineStr">
        <is>
          <t>Kelas 10 IPA</t>
        </is>
      </c>
      <c r="C53" s="19" t="n">
        <v>250000000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80000000</v>
      </c>
      <c r="E54" s="28" t="n"/>
      <c r="F54" s="29">
        <f>IF(ISBLANK(E54), "⏳ Belum Diisi (Ketik Rumus di Sel Kuning E54)", IF(E54='99_KUNCI_JAWABAN'!F474,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120000000</v>
      </c>
    </row>
    <row r="56">
      <c r="B56" s="19" t="inlineStr">
        <is>
          <t>Kelas Unggulan</t>
        </is>
      </c>
      <c r="C56" s="19" t="n">
        <v>150000000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#095 — RUMUS EXCEL: EFFECT   |   Kategori: 6. Keuangan &amp; Investasi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(EFFECT)</t>
        </is>
      </c>
    </row>
    <row r="5" ht="21" customHeight="1">
      <c r="B5" s="14" t="inlineStr">
        <is>
          <t>Nama Rumus Excel</t>
        </is>
      </c>
      <c r="C5" s="15">
        <f>EFFECT(...)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EFFECT(bunga_nominal_tahunan, frekuensi_majemuk_per_tahun)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suku bunga efektif tahunan sebenarnya jika bunga dimajemukkan (compounded) tiap bulan.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EFFECT DI SINI)</t>
        </is>
      </c>
    </row>
    <row r="10">
      <c r="B10" s="18" t="inlineStr">
        <is>
          <t>Jenis Pinjaman</t>
        </is>
      </c>
      <c r="C10" s="18" t="inlineStr">
        <is>
          <t>Bunga Nominal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0.13</v>
      </c>
      <c r="E11" s="20" t="inlineStr">
        <is>
          <t>Contoh Soal:</t>
        </is>
      </c>
      <c r="F11" s="21" t="inlineStr">
        <is>
          <t>Hitung bunga efektif tahunan dari suku bunga nominal di C11 dengan frekuensi majemuk 12 kali per tahun menggunakan fungsi EFFECT!</t>
        </is>
      </c>
      <c r="G11" s="5" t="n"/>
    </row>
    <row r="12">
      <c r="B12" s="19" t="inlineStr">
        <is>
          <t>Simulasi Unit B</t>
        </is>
      </c>
      <c r="C12" s="19" t="n">
        <v>0.1</v>
      </c>
      <c r="E12" s="20" t="inlineStr">
        <is>
          <t>Contoh Rumus Benar:</t>
        </is>
      </c>
      <c r="F12" s="22" t="inlineStr">
        <is>
          <t>'=EFFECT(C11, 12)</t>
        </is>
      </c>
      <c r="G12" s="5" t="n"/>
    </row>
    <row r="13">
      <c r="B13" s="19" t="inlineStr">
        <is>
          <t>Simulasi Unit C</t>
        </is>
      </c>
      <c r="C13" s="19" t="n">
        <v>0.12</v>
      </c>
      <c r="E13" s="20" t="inlineStr">
        <is>
          <t>Contoh Hasil Benar:</t>
        </is>
      </c>
      <c r="F13" s="23">
        <f>EFFECT(C11, 12)</f>
        <v/>
      </c>
      <c r="G13" s="5" t="n"/>
    </row>
    <row r="14">
      <c r="B14" s="19" t="inlineStr">
        <is>
          <t>Simulasi Unit D</t>
        </is>
      </c>
      <c r="C14" s="19" t="n">
        <v>0.15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Jenis Pinjaman</t>
        </is>
      </c>
      <c r="C20" s="14" t="inlineStr">
        <is>
          <t>Bunga Nominal</t>
        </is>
      </c>
      <c r="E20" s="27" t="inlineStr">
        <is>
          <t>Persoalan Tes #1: Hitung bunga efektif tahunan dari suku bunga nominal di C21 dengan frekuensi majemuk 12 kali per tahun menggunakan fungsi EFFECT!</t>
        </is>
      </c>
    </row>
    <row r="21">
      <c r="B21" s="19" t="inlineStr">
        <is>
          <t>Cabang Jakarta</t>
        </is>
      </c>
      <c r="C21" s="19" t="n">
        <v>0.08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0.1</v>
      </c>
      <c r="E22" s="28" t="n"/>
      <c r="F22" s="29">
        <f>IF(ISBLANK(E22), "⏳ Belum Diisi (Ketik Rumus di Sel Kuning E22)", IF(E22='99_KUNCI_JAWABAN'!F475,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0.12</v>
      </c>
    </row>
    <row r="24">
      <c r="B24" s="19" t="inlineStr">
        <is>
          <t>Cabang Medan</t>
        </is>
      </c>
      <c r="C24" s="19" t="n">
        <v>0.15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Jenis Pinjaman</t>
        </is>
      </c>
      <c r="C28" s="14" t="inlineStr">
        <is>
          <t>Bunga Nominal</t>
        </is>
      </c>
      <c r="E28" s="27" t="inlineStr">
        <is>
          <t>Persoalan Tes #2: Hitung bunga efektif tahunan dari suku bunga nominal di C29 dengan frekuensi majemuk 12 kali per tahun menggunakan fungsi EFFECT!</t>
        </is>
      </c>
    </row>
    <row r="29">
      <c r="B29" s="19" t="inlineStr">
        <is>
          <t>Budi Santoso</t>
        </is>
      </c>
      <c r="C29" s="19" t="n">
        <v>0.09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0.1</v>
      </c>
      <c r="E30" s="28" t="n"/>
      <c r="F30" s="29">
        <f>IF(ISBLANK(E30), "⏳ Belum Diisi (Ketik Rumus di Sel Kuning E30)", IF(E30='99_KUNCI_JAWABAN'!F476,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0.12</v>
      </c>
    </row>
    <row r="32">
      <c r="B32" s="19" t="inlineStr">
        <is>
          <t>Rina Wijaya</t>
        </is>
      </c>
      <c r="C32" s="19" t="n">
        <v>0.15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Jenis Pinjaman</t>
        </is>
      </c>
      <c r="C36" s="14" t="inlineStr">
        <is>
          <t>Bunga Nominal</t>
        </is>
      </c>
      <c r="E36" s="27" t="inlineStr">
        <is>
          <t>Persoalan Tes #3: Hitung bunga efektif tahunan dari suku bunga nominal di C37 dengan frekuensi majemuk 12 kali per tahun menggunakan fungsi EFFECT!</t>
        </is>
      </c>
    </row>
    <row r="37">
      <c r="B37" s="19" t="inlineStr">
        <is>
          <t>Gudang Blok A</t>
        </is>
      </c>
      <c r="C37" s="19" t="n">
        <v>0.1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0.1</v>
      </c>
      <c r="E38" s="28" t="n"/>
      <c r="F38" s="29">
        <f>IF(ISBLANK(E38), "⏳ Belum Diisi (Ketik Rumus di Sel Kuning E38)", IF(E38='99_KUNCI_JAWABAN'!F477,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0.12</v>
      </c>
    </row>
    <row r="40">
      <c r="B40" s="19" t="inlineStr">
        <is>
          <t>Gudang Blok D</t>
        </is>
      </c>
      <c r="C40" s="19" t="n">
        <v>0.15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Jenis Pinjaman</t>
        </is>
      </c>
      <c r="C44" s="14" t="inlineStr">
        <is>
          <t>Bunga Nominal</t>
        </is>
      </c>
      <c r="E44" s="27" t="inlineStr">
        <is>
          <t>Persoalan Tes #4: Hitung bunga efektif tahunan dari suku bunga nominal di C45 dengan frekuensi majemuk 12 kali per tahun menggunakan fungsi EFFECT!</t>
        </is>
      </c>
    </row>
    <row r="45">
      <c r="B45" s="19" t="inlineStr">
        <is>
          <t>Toko Elektronik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0.1</v>
      </c>
      <c r="E46" s="28" t="n"/>
      <c r="F46" s="29">
        <f>IF(ISBLANK(E46), "⏳ Belum Diisi (Ketik Rumus di Sel Kuning E46)", IF(E46='99_KUNCI_JAWABAN'!F478,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0.12</v>
      </c>
    </row>
    <row r="48">
      <c r="B48" s="19" t="inlineStr">
        <is>
          <t>Toko Servis</t>
        </is>
      </c>
      <c r="C48" s="19" t="n">
        <v>0.15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Jenis Pinjaman</t>
        </is>
      </c>
      <c r="C52" s="14" t="inlineStr">
        <is>
          <t>Bunga Nominal</t>
        </is>
      </c>
      <c r="E52" s="27" t="inlineStr">
        <is>
          <t>Persoalan Tes #5: Hitung bunga efektif tahunan dari suku bunga nominal di C53 dengan frekuensi majemuk 12 kali per tahun menggunakan fungsi EFFECT!</t>
        </is>
      </c>
    </row>
    <row r="53">
      <c r="B53" s="19" t="inlineStr">
        <is>
          <t>Kelas 10 IPA</t>
        </is>
      </c>
      <c r="C53" s="19" t="n">
        <v>0.12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0.1</v>
      </c>
      <c r="E54" s="28" t="n"/>
      <c r="F54" s="29">
        <f>IF(ISBLANK(E54), "⏳ Belum Diisi (Ketik Rumus di Sel Kuning E54)", IF(E54='99_KUNCI_JAWABAN'!F479,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0.12</v>
      </c>
    </row>
    <row r="56">
      <c r="B56" s="19" t="inlineStr">
        <is>
          <t>Kelas Unggulan</t>
        </is>
      </c>
      <c r="C56" s="19" t="n">
        <v>0.15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#096 — RUMUS EXCEL: ISBLANK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(ISBLANK)</t>
        </is>
      </c>
    </row>
    <row r="5" ht="21" customHeight="1">
      <c r="B5" s="14" t="inlineStr">
        <is>
          <t>Nama Rumus Excel</t>
        </is>
      </c>
      <c r="C5" s="15">
        <f>ISBLANK(...)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ISBLANK(sel)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sebuah sel benar-benar KOSONG (menghasilkan TRUE jika kosong, FALSE jika sudah diisi).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ISBLANK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ISBLANK!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'=ISBLANK(C11)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ISBLANK(C11)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ISBLANK!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IF(E22='99_KUNCI_JAWABAN'!F480,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ISBLANK!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IF(E30='99_KUNCI_JAWABAN'!F481,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ISBLANK!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IF(E38='99_KUNCI_JAWABAN'!F482,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ISBLANK!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IF(E46='99_KUNCI_JAWABAN'!F483,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ISBLANK!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IF(E54='99_KUNCI_JAWABAN'!F484,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#097 — RUMUS EXCEL: ISNUMBER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(ISNUMBER)</t>
        </is>
      </c>
    </row>
    <row r="5" ht="21" customHeight="1">
      <c r="B5" s="14" t="inlineStr">
        <is>
          <t>Nama Rumus Excel</t>
        </is>
      </c>
      <c r="C5" s="15">
        <f>ISNUMBER(...)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ISNUMBER(sel)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isi sel berupa ANGKA murni atau tanggal (TRUE jika angka, FALSE jika teks).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ISNUMBER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ISNUMBER!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'=ISNUMBER(C11)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ISNUMBER(C11)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ISNUMBER!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IF(E22='99_KUNCI_JAWABAN'!F485,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ISNUMBER!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IF(E30='99_KUNCI_JAWABAN'!F486,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ISNUMBER!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IF(E38='99_KUNCI_JAWABAN'!F487,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ISNUMBER!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IF(E46='99_KUNCI_JAWABAN'!F488,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ISNUMBER!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IF(E54='99_KUNCI_JAWABAN'!F489,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#098 — RUMUS EXCEL: ISTEXT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(ISTEXT)</t>
        </is>
      </c>
    </row>
    <row r="5" ht="21" customHeight="1">
      <c r="B5" s="14" t="inlineStr">
        <is>
          <t>Nama Rumus Excel</t>
        </is>
      </c>
      <c r="C5" s="15">
        <f>ISTEXT(...)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ISTEXT(sel)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isi sel berupa tulisan TEKS (TRUE jika teks, FALSE jika angka).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ISTEXT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ISTEXT!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'=ISTEXT(C11)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ISTEXT(C11)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ISTEXT!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IF(E22='99_KUNCI_JAWABAN'!F490,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ISTEXT!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IF(E30='99_KUNCI_JAWABAN'!F491,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ISTEXT!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IF(E38='99_KUNCI_JAWABAN'!F492,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ISTEXT!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IF(E46='99_KUNCI_JAWABAN'!F493,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ISTEXT!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IF(E54='99_KUNCI_JAWABAN'!F494,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#099 — RUMUS EXCEL: ISERROR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(ISERROR)</t>
        </is>
      </c>
    </row>
    <row r="5" ht="21" customHeight="1">
      <c r="B5" s="14" t="inlineStr">
        <is>
          <t>Nama Rumus Excel</t>
        </is>
      </c>
      <c r="C5" s="15">
        <f>ISERROR(...)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ISERROR(nilai)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Mendeteksi apakah suatu sel mengalami error jenis apa pun (#N/A, #VALUE!, #DIV/0!, dll).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ISERROR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ISERROR!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'=ISERROR(C11)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ISERROR(C11)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ISERROR!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IF(E22='99_KUNCI_JAWABAN'!F495,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ISERROR!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IF(E30='99_KUNCI_JAWABAN'!F496,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ISERROR!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IF(E38='99_KUNCI_JAWABAN'!F497,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ISERROR!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IF(E46='99_KUNCI_JAWABAN'!F498,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ISERROR!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IF(E54='99_KUNCI_JAWABAN'!F499,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#100 — RUMUS EXCEL: ISNA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(ISNA)</t>
        </is>
      </c>
    </row>
    <row r="5" ht="21" customHeight="1">
      <c r="B5" s="14" t="inlineStr">
        <is>
          <t>Nama Rumus Excel</t>
        </is>
      </c>
      <c r="C5" s="15">
        <f>ISNA(...)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ISNA(nilai)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Mendeteksi secara spesifik apakah sel mengalami error #N/A (Data Tidak Ditemukan).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ISNA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ISNA!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'=ISNA(C11)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ISNA(C11)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ISNA!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ISNA!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ISNA!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ISNA!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ISNA!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#101 — RUMUS EXCEL: ISEVEN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(ISEVEN)</t>
        </is>
      </c>
    </row>
    <row r="5" ht="21" customHeight="1">
      <c r="B5" s="14" t="inlineStr">
        <is>
          <t>Nama Rumus Excel</t>
        </is>
      </c>
      <c r="C5" s="15">
        <f>ISEVEN(...)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ISEVEN(angka)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angka di dalam sel adalah bilangan GENAP (TRUE jika genap, FALSE jika ganjil). Cocok untuk ganjil-genap plat nomor!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ISEVEN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ISEVEN!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'=ISEVEN(C11)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ISEVEN(C11)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ISEVEN!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ISEVEN!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ISEVEN!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ISEVEN!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ISEVEN!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#102 — RUMUS EXCEL: ISODD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(ISODD)</t>
        </is>
      </c>
    </row>
    <row r="5" ht="21" customHeight="1">
      <c r="B5" s="14" t="inlineStr">
        <is>
          <t>Nama Rumus Excel</t>
        </is>
      </c>
      <c r="C5" s="15">
        <f>ISODD(...)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ISODD(angka)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angka di dalam sel adalah bilangan GANJIL (TRUE jika ganjil).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ISODD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ISODD!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'=ISODD(C11)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ISODD(C11)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ISODD!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ISODD!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ISODD!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ISODD!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ISODD!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#103 — RUMUS EXCEL: ISLOGICAL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(ISLOGICAL)</t>
        </is>
      </c>
    </row>
    <row r="5" ht="21" customHeight="1">
      <c r="B5" s="14" t="inlineStr">
        <is>
          <t>Nama Rumus Excel</t>
        </is>
      </c>
      <c r="C5" s="15">
        <f>ISLOGICAL(...)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ISLOGICAL(sel)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Mengecek apakah sel berisi nilai logika boolean (TRUE atau FALSE).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ISLOGICAL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ISLOGICAL!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'=ISLOGICAL(C11)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ISLOGICAL(C11)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ISLOGICAL!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ISLOGICAL!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ISLOGICAL!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ISLOGICAL!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ISLOGICAL!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#104 — RUMUS EXCEL: N   |   Kategori: 7. Audit &amp; Informasi Sel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(N)</t>
        </is>
      </c>
    </row>
    <row r="5" ht="21" customHeight="1">
      <c r="B5" s="14" t="inlineStr">
        <is>
          <t>Nama Rumus Excel</t>
        </is>
      </c>
      <c r="C5" s="15">
        <f>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N(nilai)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Mengonversi isi sel menjadi angka: angka tetap angka, TRUE jadi 1, FALSE jadi 0, dan teks berubah menjadi 0.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 DI SINI)</t>
        </is>
      </c>
    </row>
    <row r="10">
      <c r="B10" s="18" t="inlineStr">
        <is>
          <t>Pos Pemeriksaan</t>
        </is>
      </c>
      <c r="C10" s="18" t="inlineStr">
        <is>
          <t>Isi Sel Uji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Periksa status isi sel C11 menggunakan fungsi audit informasi N!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'=N(C11)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N(C11)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Pos Pemeriksaan</t>
        </is>
      </c>
      <c r="C20" s="14" t="inlineStr">
        <is>
          <t>Isi Sel Uji</t>
        </is>
      </c>
      <c r="E20" s="27" t="inlineStr">
        <is>
          <t>Persoalan Tes #1: Periksa status isi sel C21 menggunakan fungsi audit informasi N!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Pos Pemeriksaan</t>
        </is>
      </c>
      <c r="C28" s="14" t="inlineStr">
        <is>
          <t>Isi Sel Uji</t>
        </is>
      </c>
      <c r="E28" s="27" t="inlineStr">
        <is>
          <t>Persoalan Tes #2: Periksa status isi sel C29 menggunakan fungsi audit informasi N!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Pos Pemeriksaan</t>
        </is>
      </c>
      <c r="C36" s="14" t="inlineStr">
        <is>
          <t>Isi Sel Uji</t>
        </is>
      </c>
      <c r="E36" s="27" t="inlineStr">
        <is>
          <t>Persoalan Tes #3: Periksa status isi sel C37 menggunakan fungsi audit informasi N!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Pos Pemeriksaan</t>
        </is>
      </c>
      <c r="C44" s="14" t="inlineStr">
        <is>
          <t>Isi Sel Uji</t>
        </is>
      </c>
      <c r="E44" s="27" t="inlineStr">
        <is>
          <t>Persoalan Tes #4: Periksa status isi sel C45 menggunakan fungsi audit informasi N!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Pos Pemeriksaan</t>
        </is>
      </c>
      <c r="C52" s="14" t="inlineStr">
        <is>
          <t>Isi Sel Uji</t>
        </is>
      </c>
      <c r="E52" s="27" t="inlineStr">
        <is>
          <t>Persoalan Tes #5: Periksa status isi sel C53 menggunakan fungsi audit informasi N!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#105 — RUMUS EXCEL: AVEDEV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(AVEDEV)</t>
        </is>
      </c>
    </row>
    <row r="5" ht="21" customHeight="1">
      <c r="B5" s="14" t="inlineStr">
        <is>
          <t>Nama Rumus Excel</t>
        </is>
      </c>
      <c r="C5" s="15">
        <f>AVEDEV(...)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AVEDEV(range_data)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simpangan mutlak data dari nilai rata-ratanya.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AVEDEV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AVEDEV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'=AVEDEV(C11:C14)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AVEDEV(C11:C14)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AVEDEV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AVEDEV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AVEDEV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AVEDEV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AVEDEV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#106 — RUMUS EXCEL: AVERAGE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(AVERAGE)</t>
        </is>
      </c>
    </row>
    <row r="5" ht="21" customHeight="1">
      <c r="B5" s="14" t="inlineStr">
        <is>
          <t>Nama Rumus Excel</t>
        </is>
      </c>
      <c r="C5" s="15">
        <f>AVERAGE(...)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AVERAGE(range_data)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RATA-RATA (Mean) dari sekumpulan angka.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AVERAGE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AVERAGE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'=AVERAGE(C11:C14)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AVERAGE(C11:C14)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AVERAGE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AVERAGE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AVERAGE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AVERAGE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AVERAGE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#107 — RUMUS EXCEL: AVERAGEA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(AVERAGEA)</t>
        </is>
      </c>
    </row>
    <row r="5" ht="21" customHeight="1">
      <c r="B5" s="14" t="inlineStr">
        <is>
          <t>Nama Rumus Excel</t>
        </is>
      </c>
      <c r="C5" s="15">
        <f>AVERAGEA(...)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AVERAGEA(range_data)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dengan menyertakan sel teks (dihitung 0) dan logika.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AVERAGEA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AVERAGEA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'=AVERAGEA(C11:C14)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AVERAGEA(C11:C14)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AVERAGEA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IF(E22='99_KUNCI_JAWABAN'!F535,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AVERAGEA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IF(E30='99_KUNCI_JAWABAN'!F536,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AVERAGEA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IF(E38='99_KUNCI_JAWABAN'!F537,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AVERAGEA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IF(E46='99_KUNCI_JAWABAN'!F538,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AVERAGEA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IF(E54='99_KUNCI_JAWABAN'!F539,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#108 — RUMUS EXCEL: AVERAGEIF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(AVERAGEIF)</t>
        </is>
      </c>
    </row>
    <row r="5" ht="21" customHeight="1">
      <c r="B5" s="14" t="inlineStr">
        <is>
          <t>Nama Rumus Excel</t>
        </is>
      </c>
      <c r="C5" s="15">
        <f>AVERAGEIF(...)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AVERAGEIF(range_syarat, syarat, [range_rata2])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HANYA untuk baris yang memenuhi 1 syarat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AVERAGEIF DI SINI)</t>
        </is>
      </c>
    </row>
    <row r="10">
      <c r="B10" s="18" t="inlineStr">
        <is>
          <t>Kategori Lokasi</t>
        </is>
      </c>
      <c r="C10" s="18" t="inlineStr">
        <is>
          <t>Nilai Transaksi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Pusat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AVERAGEIF untuk mengolah data khusus kategori "Pusat" saja (rentang kategori di B11:B14 dan rentang nilai di C11:C14)!</t>
        </is>
      </c>
      <c r="G11" s="5" t="n"/>
    </row>
    <row r="12">
      <c r="B12" s="19" t="inlineStr">
        <is>
          <t>Cabang</t>
        </is>
      </c>
      <c r="C12" s="19" t="n">
        <v>750000</v>
      </c>
      <c r="E12" s="20" t="inlineStr">
        <is>
          <t>Contoh Rumus Benar:</t>
        </is>
      </c>
      <c r="F12" s="22" t="inlineStr">
        <is>
          <t>'=AVERAGEIF(B11:B14, "Pusat", C11:C14)</t>
        </is>
      </c>
      <c r="G12" s="5" t="n"/>
    </row>
    <row r="13">
      <c r="B13" s="19" t="inlineStr">
        <is>
          <t>Pusat</t>
        </is>
      </c>
      <c r="C13" s="19" t="n">
        <v>600000</v>
      </c>
      <c r="E13" s="20" t="inlineStr">
        <is>
          <t>Contoh Hasil Benar:</t>
        </is>
      </c>
      <c r="F13" s="23">
        <f>AVERAGEIF(B11:B14, "Pusat", C11:C14)</f>
        <v/>
      </c>
      <c r="G13" s="5" t="n"/>
    </row>
    <row r="14">
      <c r="B14" s="19" t="inlineStr">
        <is>
          <t>Cabang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Kategori Lokasi</t>
        </is>
      </c>
      <c r="C20" s="14" t="inlineStr">
        <is>
          <t>Nilai Transaksi</t>
        </is>
      </c>
      <c r="E20" s="27" t="inlineStr">
        <is>
          <t>Persoalan Tes #1: Gunakan fungsi AVERAGEIF untuk mengolah data khusus kategori "Pusat" saja (rentang kategori di B21:B24 dan rentang nilai di C21:C24)!</t>
        </is>
      </c>
    </row>
    <row r="21">
      <c r="B21" s="19" t="inlineStr">
        <is>
          <t>Pusat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</t>
        </is>
      </c>
      <c r="C22" s="19" t="n">
        <v>1850000</v>
      </c>
      <c r="E22" s="28" t="n"/>
      <c r="F22" s="29">
        <f>IF(ISBLANK(E22), "⏳ Belum Diisi (Ketik Rumus di Sel Kuning E22)", IF(E22='99_KUNCI_JAWABAN'!F540, "✅ BENAR! JAWABAN TES TEPAT!", "❌ Belum Tepat (Cek Sheet Akhir: 99_KUNCI_JAWABAN)"))</f>
        <v/>
      </c>
      <c r="G22" s="5" t="n"/>
    </row>
    <row r="23">
      <c r="B23" s="19" t="inlineStr">
        <is>
          <t>Pusat</t>
        </is>
      </c>
      <c r="C23" s="19" t="n">
        <v>2100000</v>
      </c>
    </row>
    <row r="24">
      <c r="B24" s="19" t="inlineStr">
        <is>
          <t>Cabang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Kategori Lokasi</t>
        </is>
      </c>
      <c r="C28" s="14" t="inlineStr">
        <is>
          <t>Nilai Transaksi</t>
        </is>
      </c>
      <c r="E28" s="27" t="inlineStr">
        <is>
          <t>Persoalan Tes #2: Gunakan fungsi AVERAGEIF untuk mengolah data khusus kategori "Pusat" saja (rentang kategori di B29:B32 dan rentang nilai di C29:C32)!</t>
        </is>
      </c>
    </row>
    <row r="29">
      <c r="B29" s="19" t="inlineStr">
        <is>
          <t>Pusat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Cabang</t>
        </is>
      </c>
      <c r="C30" s="19" t="n">
        <v>5200000</v>
      </c>
      <c r="E30" s="28" t="n"/>
      <c r="F30" s="29">
        <f>IF(ISBLANK(E30), "⏳ Belum Diisi (Ketik Rumus di Sel Kuning E30)", IF(E30='99_KUNCI_JAWABAN'!F541, "✅ BENAR! JAWABAN TES TEPAT!", "❌ Belum Tepat (Cek Sheet Akhir: 99_KUNCI_JAWABAN)"))</f>
        <v/>
      </c>
      <c r="G30" s="5" t="n"/>
    </row>
    <row r="31">
      <c r="B31" s="19" t="inlineStr">
        <is>
          <t>Pusat</t>
        </is>
      </c>
      <c r="C31" s="19" t="n">
        <v>4800000</v>
      </c>
    </row>
    <row r="32">
      <c r="B32" s="19" t="inlineStr">
        <is>
          <t>Cabang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Kategori Lokasi</t>
        </is>
      </c>
      <c r="C36" s="14" t="inlineStr">
        <is>
          <t>Nilai Transaksi</t>
        </is>
      </c>
      <c r="E36" s="27" t="inlineStr">
        <is>
          <t>Persoalan Tes #3: Gunakan fungsi AVERAGEIF untuk mengolah data khusus kategori "Pusat" saja (rentang kategori di B37:B40 dan rentang nilai di C37:C40)!</t>
        </is>
      </c>
    </row>
    <row r="37">
      <c r="B37" s="19" t="inlineStr">
        <is>
          <t>Pusat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Cabang</t>
        </is>
      </c>
      <c r="C38" s="19" t="n">
        <v>380</v>
      </c>
      <c r="E38" s="28" t="n"/>
      <c r="F38" s="29">
        <f>IF(ISBLANK(E38), "⏳ Belum Diisi (Ketik Rumus di Sel Kuning E38)", IF(E38='99_KUNCI_JAWABAN'!F542, "✅ BENAR! JAWABAN TES TEPAT!", "❌ Belum Tepat (Cek Sheet Akhir: 99_KUNCI_JAWABAN)"))</f>
        <v/>
      </c>
      <c r="G38" s="5" t="n"/>
    </row>
    <row r="39">
      <c r="B39" s="19" t="inlineStr">
        <is>
          <t>Pusat</t>
        </is>
      </c>
      <c r="C39" s="19" t="n">
        <v>195</v>
      </c>
    </row>
    <row r="40">
      <c r="B40" s="19" t="inlineStr">
        <is>
          <t>Cabang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Kategori Lokasi</t>
        </is>
      </c>
      <c r="C44" s="14" t="inlineStr">
        <is>
          <t>Nilai Transaksi</t>
        </is>
      </c>
      <c r="E44" s="27" t="inlineStr">
        <is>
          <t>Persoalan Tes #4: Gunakan fungsi AVERAGEIF untuk mengolah data khusus kategori "Pusat" saja (rentang kategori di B45:B48 dan rentang nilai di C45:C48)!</t>
        </is>
      </c>
    </row>
    <row r="45">
      <c r="B45" s="19" t="inlineStr">
        <is>
          <t>Pusat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Cabang</t>
        </is>
      </c>
      <c r="C46" s="19" t="n">
        <v>92</v>
      </c>
      <c r="E46" s="28" t="n"/>
      <c r="F46" s="29">
        <f>IF(ISBLANK(E46), "⏳ Belum Diisi (Ketik Rumus di Sel Kuning E46)", IF(E46='99_KUNCI_JAWABAN'!F543, "✅ BENAR! JAWABAN TES TEPAT!", "❌ Belum Tepat (Cek Sheet Akhir: 99_KUNCI_JAWABAN)"))</f>
        <v/>
      </c>
      <c r="G46" s="5" t="n"/>
    </row>
    <row r="47">
      <c r="B47" s="19" t="inlineStr">
        <is>
          <t>Pusat</t>
        </is>
      </c>
      <c r="C47" s="19" t="n">
        <v>78</v>
      </c>
    </row>
    <row r="48">
      <c r="B48" s="19" t="inlineStr">
        <is>
          <t>Cabang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Kategori Lokasi</t>
        </is>
      </c>
      <c r="C52" s="14" t="inlineStr">
        <is>
          <t>Nilai Transaksi</t>
        </is>
      </c>
      <c r="E52" s="27" t="inlineStr">
        <is>
          <t>Persoalan Tes #5: Gunakan fungsi AVERAGEIF untuk mengolah data khusus kategori "Pusat" saja (rentang kategori di B53:B56 dan rentang nilai di C53:C56)!</t>
        </is>
      </c>
    </row>
    <row r="53">
      <c r="B53" s="19" t="inlineStr">
        <is>
          <t>Pusat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Cabang</t>
        </is>
      </c>
      <c r="C54" s="19" t="n">
        <v>88</v>
      </c>
      <c r="E54" s="28" t="n"/>
      <c r="F54" s="29">
        <f>IF(ISBLANK(E54), "⏳ Belum Diisi (Ketik Rumus di Sel Kuning E54)", IF(E54='99_KUNCI_JAWABAN'!F544, "✅ BENAR! JAWABAN TES TEPAT!", "❌ Belum Tepat (Cek Sheet Akhir: 99_KUNCI_JAWABAN)"))</f>
        <v/>
      </c>
      <c r="G54" s="5" t="n"/>
    </row>
    <row r="55">
      <c r="B55" s="19" t="inlineStr">
        <is>
          <t>Pusat</t>
        </is>
      </c>
      <c r="C55" s="19" t="n">
        <v>91</v>
      </c>
    </row>
    <row r="56">
      <c r="B56" s="19" t="inlineStr">
        <is>
          <t>Cabang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#109 — RUMUS EXCEL: AVERAGEIFS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(AVERAGEIFS)</t>
        </is>
      </c>
    </row>
    <row r="5" ht="21" customHeight="1">
      <c r="B5" s="14" t="inlineStr">
        <is>
          <t>Nama Rumus Excel</t>
        </is>
      </c>
      <c r="C5" s="15">
        <f>AVERAGEIFS(...)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AVERAGEIFS(range_rata2, range_syarat1, syarat1, ...)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dengan banyak syarat sekaligus.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AVERAGEIFS DI SINI)</t>
        </is>
      </c>
    </row>
    <row r="10">
      <c r="B10" s="18" t="inlineStr">
        <is>
          <t>Status Unit</t>
        </is>
      </c>
      <c r="C10" s="18" t="inlineStr">
        <is>
          <t>Nilai Realisasi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Aktif</t>
        </is>
      </c>
      <c r="C11" s="19" t="n">
        <v>500000</v>
      </c>
      <c r="E11" s="20" t="inlineStr">
        <is>
          <t>Contoh Soal:</t>
        </is>
      </c>
      <c r="F11" s="21" t="inlineStr">
        <is>
          <t>Gunakan fungsi AVERAGEIFS untuk mengolah nilai di C11:C14 khusus baris yang berstatus "Aktif" pada kolom B11:B14!</t>
        </is>
      </c>
      <c r="G11" s="5" t="n"/>
    </row>
    <row r="12">
      <c r="B12" s="19" t="inlineStr">
        <is>
          <t>Aktif</t>
        </is>
      </c>
      <c r="C12" s="19" t="n">
        <v>750000</v>
      </c>
      <c r="E12" s="20" t="inlineStr">
        <is>
          <t>Contoh Rumus Benar:</t>
        </is>
      </c>
      <c r="F12" s="22" t="inlineStr">
        <is>
          <t>'=AVERAGEIFS(C11:C14, B11:B14, "Aktif")</t>
        </is>
      </c>
      <c r="G12" s="5" t="n"/>
    </row>
    <row r="13">
      <c r="B13" s="19" t="inlineStr">
        <is>
          <t>Nonaktif</t>
        </is>
      </c>
      <c r="C13" s="19" t="n">
        <v>600000</v>
      </c>
      <c r="E13" s="20" t="inlineStr">
        <is>
          <t>Contoh Hasil Benar:</t>
        </is>
      </c>
      <c r="F13" s="23">
        <f>AVERAGEIFS(C11:C14, B11:B14, "Aktif")</f>
        <v/>
      </c>
      <c r="G13" s="5" t="n"/>
    </row>
    <row r="14">
      <c r="B14" s="19" t="inlineStr">
        <is>
          <t>Aktif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Status Unit</t>
        </is>
      </c>
      <c r="C20" s="14" t="inlineStr">
        <is>
          <t>Nilai Realisasi</t>
        </is>
      </c>
      <c r="E20" s="27" t="inlineStr">
        <is>
          <t>Persoalan Tes #1: Gunakan fungsi AVERAGEIFS untuk mengolah nilai di C21:C24 khusus baris yang berstatus "Aktif" pada kolom B21:B24!</t>
        </is>
      </c>
    </row>
    <row r="21">
      <c r="B21" s="19" t="inlineStr">
        <is>
          <t>Aktif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Aktif</t>
        </is>
      </c>
      <c r="C22" s="19" t="n">
        <v>1850000</v>
      </c>
      <c r="E22" s="28" t="n"/>
      <c r="F22" s="29">
        <f>IF(ISBLANK(E22), "⏳ Belum Diisi (Ketik Rumus di Sel Kuning E22)", IF(E22='99_KUNCI_JAWABAN'!F545, "✅ BENAR! JAWABAN TES TEPAT!", "❌ Belum Tepat (Cek Sheet Akhir: 99_KUNCI_JAWABAN)"))</f>
        <v/>
      </c>
      <c r="G22" s="5" t="n"/>
    </row>
    <row r="23">
      <c r="B23" s="19" t="inlineStr">
        <is>
          <t>Nonaktif</t>
        </is>
      </c>
      <c r="C23" s="19" t="n">
        <v>2100000</v>
      </c>
    </row>
    <row r="24">
      <c r="B24" s="19" t="inlineStr">
        <is>
          <t>Aktif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Status Unit</t>
        </is>
      </c>
      <c r="C28" s="14" t="inlineStr">
        <is>
          <t>Nilai Realisasi</t>
        </is>
      </c>
      <c r="E28" s="27" t="inlineStr">
        <is>
          <t>Persoalan Tes #2: Gunakan fungsi AVERAGEIFS untuk mengolah nilai di C29:C32 khusus baris yang berstatus "Aktif" pada kolom B29:B32!</t>
        </is>
      </c>
    </row>
    <row r="29">
      <c r="B29" s="19" t="inlineStr">
        <is>
          <t>Aktif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Aktif</t>
        </is>
      </c>
      <c r="C30" s="19" t="n">
        <v>5200000</v>
      </c>
      <c r="E30" s="28" t="n"/>
      <c r="F30" s="29">
        <f>IF(ISBLANK(E30), "⏳ Belum Diisi (Ketik Rumus di Sel Kuning E30)", IF(E30='99_KUNCI_JAWABAN'!F546, "✅ BENAR! JAWABAN TES TEPAT!", "❌ Belum Tepat (Cek Sheet Akhir: 99_KUNCI_JAWABAN)"))</f>
        <v/>
      </c>
      <c r="G30" s="5" t="n"/>
    </row>
    <row r="31">
      <c r="B31" s="19" t="inlineStr">
        <is>
          <t>Nonaktif</t>
        </is>
      </c>
      <c r="C31" s="19" t="n">
        <v>4800000</v>
      </c>
    </row>
    <row r="32">
      <c r="B32" s="19" t="inlineStr">
        <is>
          <t>Aktif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Status Unit</t>
        </is>
      </c>
      <c r="C36" s="14" t="inlineStr">
        <is>
          <t>Nilai Realisasi</t>
        </is>
      </c>
      <c r="E36" s="27" t="inlineStr">
        <is>
          <t>Persoalan Tes #3: Gunakan fungsi AVERAGEIFS untuk mengolah nilai di C37:C40 khusus baris yang berstatus "Aktif" pada kolom B37:B40!</t>
        </is>
      </c>
    </row>
    <row r="37">
      <c r="B37" s="19" t="inlineStr">
        <is>
          <t>Aktif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Aktif</t>
        </is>
      </c>
      <c r="C38" s="19" t="n">
        <v>380</v>
      </c>
      <c r="E38" s="28" t="n"/>
      <c r="F38" s="29">
        <f>IF(ISBLANK(E38), "⏳ Belum Diisi (Ketik Rumus di Sel Kuning E38)", IF(E38='99_KUNCI_JAWABAN'!F547, "✅ BENAR! JAWABAN TES TEPAT!", "❌ Belum Tepat (Cek Sheet Akhir: 99_KUNCI_JAWABAN)"))</f>
        <v/>
      </c>
      <c r="G38" s="5" t="n"/>
    </row>
    <row r="39">
      <c r="B39" s="19" t="inlineStr">
        <is>
          <t>Nonaktif</t>
        </is>
      </c>
      <c r="C39" s="19" t="n">
        <v>195</v>
      </c>
    </row>
    <row r="40">
      <c r="B40" s="19" t="inlineStr">
        <is>
          <t>Aktif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Status Unit</t>
        </is>
      </c>
      <c r="C44" s="14" t="inlineStr">
        <is>
          <t>Nilai Realisasi</t>
        </is>
      </c>
      <c r="E44" s="27" t="inlineStr">
        <is>
          <t>Persoalan Tes #4: Gunakan fungsi AVERAGEIFS untuk mengolah nilai di C45:C48 khusus baris yang berstatus "Aktif" pada kolom B45:B48!</t>
        </is>
      </c>
    </row>
    <row r="45">
      <c r="B45" s="19" t="inlineStr">
        <is>
          <t>Aktif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Aktif</t>
        </is>
      </c>
      <c r="C46" s="19" t="n">
        <v>92</v>
      </c>
      <c r="E46" s="28" t="n"/>
      <c r="F46" s="29">
        <f>IF(ISBLANK(E46), "⏳ Belum Diisi (Ketik Rumus di Sel Kuning E46)", IF(E46='99_KUNCI_JAWABAN'!F548, "✅ BENAR! JAWABAN TES TEPAT!", "❌ Belum Tepat (Cek Sheet Akhir: 99_KUNCI_JAWABAN)"))</f>
        <v/>
      </c>
      <c r="G46" s="5" t="n"/>
    </row>
    <row r="47">
      <c r="B47" s="19" t="inlineStr">
        <is>
          <t>Nonaktif</t>
        </is>
      </c>
      <c r="C47" s="19" t="n">
        <v>78</v>
      </c>
    </row>
    <row r="48">
      <c r="B48" s="19" t="inlineStr">
        <is>
          <t>Aktif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Status Unit</t>
        </is>
      </c>
      <c r="C52" s="14" t="inlineStr">
        <is>
          <t>Nilai Realisasi</t>
        </is>
      </c>
      <c r="E52" s="27" t="inlineStr">
        <is>
          <t>Persoalan Tes #5: Gunakan fungsi AVERAGEIFS untuk mengolah nilai di C53:C56 khusus baris yang berstatus "Aktif" pada kolom B53:B56!</t>
        </is>
      </c>
    </row>
    <row r="53">
      <c r="B53" s="19" t="inlineStr">
        <is>
          <t>Aktif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Aktif</t>
        </is>
      </c>
      <c r="C54" s="19" t="n">
        <v>88</v>
      </c>
      <c r="E54" s="28" t="n"/>
      <c r="F54" s="29">
        <f>IF(ISBLANK(E54), "⏳ Belum Diisi (Ketik Rumus di Sel Kuning E54)", IF(E54='99_KUNCI_JAWABAN'!F549, "✅ BENAR! JAWABAN TES TEPAT!", "❌ Belum Tepat (Cek Sheet Akhir: 99_KUNCI_JAWABAN)"))</f>
        <v/>
      </c>
      <c r="G54" s="5" t="n"/>
    </row>
    <row r="55">
      <c r="B55" s="19" t="inlineStr">
        <is>
          <t>Nonaktif</t>
        </is>
      </c>
      <c r="C55" s="19" t="n">
        <v>91</v>
      </c>
    </row>
    <row r="56">
      <c r="B56" s="19" t="inlineStr">
        <is>
          <t>Aktif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#110 — RUMUS EXCEL: BETA.DIST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(BETA.DIST)</t>
        </is>
      </c>
    </row>
    <row r="5" ht="21" customHeight="1">
      <c r="B5" s="14" t="inlineStr">
        <is>
          <t>Nama Rumus Excel</t>
        </is>
      </c>
      <c r="C5" s="15">
        <f>BETA.DIST(...)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BETA.DIST(x, alpha, beta,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fungsi distribusi probabilitas Beta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BETA.DIST DI SINI)</t>
        </is>
      </c>
    </row>
    <row r="10">
      <c r="B10" s="18" t="inlineStr">
        <is>
          <t>Parameter Beta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0.8</v>
      </c>
      <c r="E11" s="20" t="inlineStr">
        <is>
          <t>Contoh Soal:</t>
        </is>
      </c>
      <c r="F11" s="21" t="inlineStr">
        <is>
          <t>Hitung distribusi Beta kumulatif menggunakan fungsi BETA.DIST dengan argumen C11, C12, C13, dan TRUE!</t>
        </is>
      </c>
      <c r="G11" s="5" t="n"/>
    </row>
    <row r="12">
      <c r="B12" s="19" t="inlineStr">
        <is>
          <t>Alpha (C12)</t>
        </is>
      </c>
      <c r="C12" s="19" t="n">
        <v>2</v>
      </c>
      <c r="E12" s="20" t="inlineStr">
        <is>
          <t>Contoh Rumus Benar:</t>
        </is>
      </c>
      <c r="F12" s="22" t="inlineStr">
        <is>
          <t>'=BETA.DIST(C11, C12, C13, TRUE)</t>
        </is>
      </c>
      <c r="G12" s="5" t="n"/>
    </row>
    <row r="13">
      <c r="B13" s="19" t="inlineStr">
        <is>
          <t>Beta (C13)</t>
        </is>
      </c>
      <c r="C13" s="19" t="n">
        <v>5</v>
      </c>
      <c r="E13" s="20" t="inlineStr">
        <is>
          <t>Contoh Hasil Benar:</t>
        </is>
      </c>
      <c r="F13" s="23">
        <f>BETA.DIST(C11,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Beta</t>
        </is>
      </c>
      <c r="C20" s="14" t="inlineStr">
        <is>
          <t>Nilai Input</t>
        </is>
      </c>
      <c r="E20" s="27" t="inlineStr">
        <is>
          <t>Persoalan Tes #1: Hitung distribusi Beta kumulatif menggunakan fungsi BETA.DIST dengan argumen C21, C22, C23, dan TRUE!</t>
        </is>
      </c>
    </row>
    <row r="21">
      <c r="B21" s="19" t="inlineStr">
        <is>
          <t>Nilai X (C21)</t>
        </is>
      </c>
      <c r="C21" s="19" t="n">
        <v>0.3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Alpha (C22)</t>
        </is>
      </c>
      <c r="C22" s="19" t="n">
        <v>2</v>
      </c>
      <c r="E22" s="28" t="n"/>
      <c r="F22" s="29">
        <f>IF(ISBLANK(E22), "⏳ Belum Diisi (Ketik Rumus di Sel Kuning E22)", IF(E22='99_KUNCI_JAWABAN'!F550, "✅ BENAR! JAWABAN TES TEPAT!", "❌ Belum Tepat (Cek Sheet Akhir: 99_KUNCI_JAWABAN)"))</f>
        <v/>
      </c>
      <c r="G22" s="5" t="n"/>
    </row>
    <row r="23">
      <c r="B23" s="19" t="inlineStr">
        <is>
          <t>Beta (C23)</t>
        </is>
      </c>
      <c r="C23" s="19" t="n">
        <v>5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Beta</t>
        </is>
      </c>
      <c r="C28" s="14" t="inlineStr">
        <is>
          <t>Nilai Input</t>
        </is>
      </c>
      <c r="E28" s="27" t="inlineStr">
        <is>
          <t>Persoalan Tes #2: Hitung distribusi Beta kumulatif menggunakan fungsi BETA.DIST dengan argumen C29, C30, C31, dan TRUE!</t>
        </is>
      </c>
    </row>
    <row r="29">
      <c r="B29" s="19" t="inlineStr">
        <is>
          <t>Nilai X (C29)</t>
        </is>
      </c>
      <c r="C29" s="19" t="n">
        <v>0.4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Alpha (C30)</t>
        </is>
      </c>
      <c r="C30" s="19" t="n">
        <v>2</v>
      </c>
      <c r="E30" s="28" t="n"/>
      <c r="F30" s="29">
        <f>IF(ISBLANK(E30), "⏳ Belum Diisi (Ketik Rumus di Sel Kuning E30)", IF(E30='99_KUNCI_JAWABAN'!F551, "✅ BENAR! JAWABAN TES TEPAT!", "❌ Belum Tepat (Cek Sheet Akhir: 99_KUNCI_JAWABAN)"))</f>
        <v/>
      </c>
      <c r="G30" s="5" t="n"/>
    </row>
    <row r="31">
      <c r="B31" s="19" t="inlineStr">
        <is>
          <t>Beta (C31)</t>
        </is>
      </c>
      <c r="C31" s="19" t="n">
        <v>5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Beta</t>
        </is>
      </c>
      <c r="C36" s="14" t="inlineStr">
        <is>
          <t>Nilai Input</t>
        </is>
      </c>
      <c r="E36" s="27" t="inlineStr">
        <is>
          <t>Persoalan Tes #3: Hitung distribusi Beta kumulatif menggunakan fungsi BETA.DIST dengan argumen C37, C38, C39, dan TRUE!</t>
        </is>
      </c>
    </row>
    <row r="37">
      <c r="B37" s="19" t="inlineStr">
        <is>
          <t>Nilai X (C37)</t>
        </is>
      </c>
      <c r="C37" s="19" t="n">
        <v>0.5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Alpha (C38)</t>
        </is>
      </c>
      <c r="C38" s="19" t="n">
        <v>2</v>
      </c>
      <c r="E38" s="28" t="n"/>
      <c r="F38" s="29">
        <f>IF(ISBLANK(E38), "⏳ Belum Diisi (Ketik Rumus di Sel Kuning E38)", IF(E38='99_KUNCI_JAWABAN'!F552, "✅ BENAR! JAWABAN TES TEPAT!", "❌ Belum Tepat (Cek Sheet Akhir: 99_KUNCI_JAWABAN)"))</f>
        <v/>
      </c>
      <c r="G38" s="5" t="n"/>
    </row>
    <row r="39">
      <c r="B39" s="19" t="inlineStr">
        <is>
          <t>Beta (C39)</t>
        </is>
      </c>
      <c r="C39" s="19" t="n">
        <v>5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Beta</t>
        </is>
      </c>
      <c r="C44" s="14" t="inlineStr">
        <is>
          <t>Nilai Input</t>
        </is>
      </c>
      <c r="E44" s="27" t="inlineStr">
        <is>
          <t>Persoalan Tes #4: Hitung distribusi Beta kumulatif menggunakan fungsi BETA.DIST dengan argumen C45, C46, C47, dan TRUE!</t>
        </is>
      </c>
    </row>
    <row r="45">
      <c r="B45" s="19" t="inlineStr">
        <is>
          <t>Nilai X (C45)</t>
        </is>
      </c>
      <c r="C45" s="19" t="n">
        <v>0.6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Alpha (C46)</t>
        </is>
      </c>
      <c r="C46" s="19" t="n">
        <v>2</v>
      </c>
      <c r="E46" s="28" t="n"/>
      <c r="F46" s="29">
        <f>IF(ISBLANK(E46), "⏳ Belum Diisi (Ketik Rumus di Sel Kuning E46)", IF(E46='99_KUNCI_JAWABAN'!F553, "✅ BENAR! JAWABAN TES TEPAT!", "❌ Belum Tepat (Cek Sheet Akhir: 99_KUNCI_JAWABAN)"))</f>
        <v/>
      </c>
      <c r="G46" s="5" t="n"/>
    </row>
    <row r="47">
      <c r="B47" s="19" t="inlineStr">
        <is>
          <t>Beta (C47)</t>
        </is>
      </c>
      <c r="C47" s="19" t="n">
        <v>5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Beta</t>
        </is>
      </c>
      <c r="C52" s="14" t="inlineStr">
        <is>
          <t>Nilai Input</t>
        </is>
      </c>
      <c r="E52" s="27" t="inlineStr">
        <is>
          <t>Persoalan Tes #5: Hitung distribusi Beta kumulatif menggunakan fungsi BETA.DIST dengan argumen C53, C54, C55, dan TRUE!</t>
        </is>
      </c>
    </row>
    <row r="53">
      <c r="B53" s="19" t="inlineStr">
        <is>
          <t>Nilai X (C53)</t>
        </is>
      </c>
      <c r="C53" s="19" t="n">
        <v>0.7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Alpha (C54)</t>
        </is>
      </c>
      <c r="C54" s="19" t="n">
        <v>2</v>
      </c>
      <c r="E54" s="28" t="n"/>
      <c r="F54" s="29">
        <f>IF(ISBLANK(E54), "⏳ Belum Diisi (Ketik Rumus di Sel Kuning E54)", IF(E54='99_KUNCI_JAWABAN'!F554, "✅ BENAR! JAWABAN TES TEPAT!", "❌ Belum Tepat (Cek Sheet Akhir: 99_KUNCI_JAWABAN)"))</f>
        <v/>
      </c>
      <c r="G54" s="5" t="n"/>
    </row>
    <row r="55">
      <c r="B55" s="19" t="inlineStr">
        <is>
          <t>Beta (C55)</t>
        </is>
      </c>
      <c r="C55" s="19" t="n">
        <v>5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#111 — RUMUS EXCEL: BETA.INV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(BETA.INV)</t>
        </is>
      </c>
    </row>
    <row r="5" ht="21" customHeight="1">
      <c r="B5" s="14" t="inlineStr">
        <is>
          <t>Nama Rumus Excel</t>
        </is>
      </c>
      <c r="C5" s="15">
        <f>BETA.INV(...)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BETA.INV(probabilitas, alpha, beta)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invers dari fungsi distribusi probabilitas Beta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BETA.INV DI SINI)</t>
        </is>
      </c>
    </row>
    <row r="10">
      <c r="B10" s="18" t="inlineStr">
        <is>
          <t>Parameter Beta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0.8</v>
      </c>
      <c r="E11" s="20" t="inlineStr">
        <is>
          <t>Contoh Soal:</t>
        </is>
      </c>
      <c r="F11" s="21" t="inlineStr">
        <is>
          <t>Hitung nilai invers distribusi Beta menggunakan fungsi BETA.INV dengan argumen C11, C12, dan C13!</t>
        </is>
      </c>
      <c r="G11" s="5" t="n"/>
    </row>
    <row r="12">
      <c r="B12" s="19" t="inlineStr">
        <is>
          <t>Alpha (C12)</t>
        </is>
      </c>
      <c r="C12" s="19" t="n">
        <v>2</v>
      </c>
      <c r="E12" s="20" t="inlineStr">
        <is>
          <t>Contoh Rumus Benar:</t>
        </is>
      </c>
      <c r="F12" s="22" t="inlineStr">
        <is>
          <t>'=BETA.INV(C11, C12, C13)</t>
        </is>
      </c>
      <c r="G12" s="5" t="n"/>
    </row>
    <row r="13">
      <c r="B13" s="19" t="inlineStr">
        <is>
          <t>Beta (C13)</t>
        </is>
      </c>
      <c r="C13" s="19" t="n">
        <v>5</v>
      </c>
      <c r="E13" s="20" t="inlineStr">
        <is>
          <t>Contoh Hasil Benar:</t>
        </is>
      </c>
      <c r="F13" s="23">
        <f>BETA.INV(C11,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Beta</t>
        </is>
      </c>
      <c r="C20" s="14" t="inlineStr">
        <is>
          <t>Nilai Input</t>
        </is>
      </c>
      <c r="E20" s="27" t="inlineStr">
        <is>
          <t>Persoalan Tes #1: Hitung nilai invers distribusi Beta menggunakan fungsi BETA.INV dengan argumen C21, C22, dan C23!</t>
        </is>
      </c>
    </row>
    <row r="21">
      <c r="B21" s="19" t="inlineStr">
        <is>
          <t>Probabilitas (C21)</t>
        </is>
      </c>
      <c r="C21" s="19" t="n">
        <v>0.3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Alpha (C22)</t>
        </is>
      </c>
      <c r="C22" s="19" t="n">
        <v>2</v>
      </c>
      <c r="E22" s="28" t="n"/>
      <c r="F22" s="29">
        <f>IF(ISBLANK(E22), "⏳ Belum Diisi (Ketik Rumus di Sel Kuning E22)", IF(E22='99_KUNCI_JAWABAN'!F555, "✅ BENAR! JAWABAN TES TEPAT!", "❌ Belum Tepat (Cek Sheet Akhir: 99_KUNCI_JAWABAN)"))</f>
        <v/>
      </c>
      <c r="G22" s="5" t="n"/>
    </row>
    <row r="23">
      <c r="B23" s="19" t="inlineStr">
        <is>
          <t>Beta (C23)</t>
        </is>
      </c>
      <c r="C23" s="19" t="n">
        <v>5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Beta</t>
        </is>
      </c>
      <c r="C28" s="14" t="inlineStr">
        <is>
          <t>Nilai Input</t>
        </is>
      </c>
      <c r="E28" s="27" t="inlineStr">
        <is>
          <t>Persoalan Tes #2: Hitung nilai invers distribusi Beta menggunakan fungsi BETA.INV dengan argumen C29, C30, dan C31!</t>
        </is>
      </c>
    </row>
    <row r="29">
      <c r="B29" s="19" t="inlineStr">
        <is>
          <t>Probabilitas (C29)</t>
        </is>
      </c>
      <c r="C29" s="19" t="n">
        <v>0.4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Alpha (C30)</t>
        </is>
      </c>
      <c r="C30" s="19" t="n">
        <v>2</v>
      </c>
      <c r="E30" s="28" t="n"/>
      <c r="F30" s="29">
        <f>IF(ISBLANK(E30), "⏳ Belum Diisi (Ketik Rumus di Sel Kuning E30)", IF(E30='99_KUNCI_JAWABAN'!F556, "✅ BENAR! JAWABAN TES TEPAT!", "❌ Belum Tepat (Cek Sheet Akhir: 99_KUNCI_JAWABAN)"))</f>
        <v/>
      </c>
      <c r="G30" s="5" t="n"/>
    </row>
    <row r="31">
      <c r="B31" s="19" t="inlineStr">
        <is>
          <t>Beta (C31)</t>
        </is>
      </c>
      <c r="C31" s="19" t="n">
        <v>5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Beta</t>
        </is>
      </c>
      <c r="C36" s="14" t="inlineStr">
        <is>
          <t>Nilai Input</t>
        </is>
      </c>
      <c r="E36" s="27" t="inlineStr">
        <is>
          <t>Persoalan Tes #3: Hitung nilai invers distribusi Beta menggunakan fungsi BETA.INV dengan argumen C37, C38, dan C39!</t>
        </is>
      </c>
    </row>
    <row r="37">
      <c r="B37" s="19" t="inlineStr">
        <is>
          <t>Probabilitas (C37)</t>
        </is>
      </c>
      <c r="C37" s="19" t="n">
        <v>0.5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Alpha (C38)</t>
        </is>
      </c>
      <c r="C38" s="19" t="n">
        <v>2</v>
      </c>
      <c r="E38" s="28" t="n"/>
      <c r="F38" s="29">
        <f>IF(ISBLANK(E38), "⏳ Belum Diisi (Ketik Rumus di Sel Kuning E38)", IF(E38='99_KUNCI_JAWABAN'!F557, "✅ BENAR! JAWABAN TES TEPAT!", "❌ Belum Tepat (Cek Sheet Akhir: 99_KUNCI_JAWABAN)"))</f>
        <v/>
      </c>
      <c r="G38" s="5" t="n"/>
    </row>
    <row r="39">
      <c r="B39" s="19" t="inlineStr">
        <is>
          <t>Beta (C39)</t>
        </is>
      </c>
      <c r="C39" s="19" t="n">
        <v>5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Beta</t>
        </is>
      </c>
      <c r="C44" s="14" t="inlineStr">
        <is>
          <t>Nilai Input</t>
        </is>
      </c>
      <c r="E44" s="27" t="inlineStr">
        <is>
          <t>Persoalan Tes #4: Hitung nilai invers distribusi Beta menggunakan fungsi BETA.INV dengan argumen C45, C46, dan C47!</t>
        </is>
      </c>
    </row>
    <row r="45">
      <c r="B45" s="19" t="inlineStr">
        <is>
          <t>Probabilitas (C45)</t>
        </is>
      </c>
      <c r="C45" s="19" t="n">
        <v>0.6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Alpha (C46)</t>
        </is>
      </c>
      <c r="C46" s="19" t="n">
        <v>2</v>
      </c>
      <c r="E46" s="28" t="n"/>
      <c r="F46" s="29">
        <f>IF(ISBLANK(E46), "⏳ Belum Diisi (Ketik Rumus di Sel Kuning E46)", IF(E46='99_KUNCI_JAWABAN'!F558, "✅ BENAR! JAWABAN TES TEPAT!", "❌ Belum Tepat (Cek Sheet Akhir: 99_KUNCI_JAWABAN)"))</f>
        <v/>
      </c>
      <c r="G46" s="5" t="n"/>
    </row>
    <row r="47">
      <c r="B47" s="19" t="inlineStr">
        <is>
          <t>Beta (C47)</t>
        </is>
      </c>
      <c r="C47" s="19" t="n">
        <v>5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Beta</t>
        </is>
      </c>
      <c r="C52" s="14" t="inlineStr">
        <is>
          <t>Nilai Input</t>
        </is>
      </c>
      <c r="E52" s="27" t="inlineStr">
        <is>
          <t>Persoalan Tes #5: Hitung nilai invers distribusi Beta menggunakan fungsi BETA.INV dengan argumen C53, C54, dan C55!</t>
        </is>
      </c>
    </row>
    <row r="53">
      <c r="B53" s="19" t="inlineStr">
        <is>
          <t>Probabilitas (C53)</t>
        </is>
      </c>
      <c r="C53" s="19" t="n">
        <v>0.7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Alpha (C54)</t>
        </is>
      </c>
      <c r="C54" s="19" t="n">
        <v>2</v>
      </c>
      <c r="E54" s="28" t="n"/>
      <c r="F54" s="29">
        <f>IF(ISBLANK(E54), "⏳ Belum Diisi (Ketik Rumus di Sel Kuning E54)", IF(E54='99_KUNCI_JAWABAN'!F559, "✅ BENAR! JAWABAN TES TEPAT!", "❌ Belum Tepat (Cek Sheet Akhir: 99_KUNCI_JAWABAN)"))</f>
        <v/>
      </c>
      <c r="G54" s="5" t="n"/>
    </row>
    <row r="55">
      <c r="B55" s="19" t="inlineStr">
        <is>
          <t>Beta (C55)</t>
        </is>
      </c>
      <c r="C55" s="19" t="n">
        <v>5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#112 — RUMUS EXCEL: BINOM.DIST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(BINOM.DIST)</t>
        </is>
      </c>
    </row>
    <row r="5" ht="21" customHeight="1">
      <c r="B5" s="14" t="inlineStr">
        <is>
          <t>Nama Rumus Excel</t>
        </is>
      </c>
      <c r="C5" s="15">
        <f>BINOM.DIST(...)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BINOM.DIST(sukses, cobaan, prob_sukses,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peluang distribusi Binomial dari sejumlah percobaan independen.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BINOM.DIST DI SINI)</t>
        </is>
      </c>
    </row>
    <row r="10">
      <c r="B10" s="18" t="inlineStr">
        <is>
          <t>Parameter Binomial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Jumlah Sukses/Gagal (C11)</t>
        </is>
      </c>
      <c r="C11" s="19" t="n">
        <v>4</v>
      </c>
      <c r="E11" s="20" t="inlineStr">
        <is>
          <t>Contoh Soal:</t>
        </is>
      </c>
      <c r="F11" s="21" t="inlineStr">
        <is>
          <t>Hitung peluang distribusi kumulatif (TRUE) menggunakan fungsi BINOM.DIST dengan argumen C11, C12, C13, dan TRUE!</t>
        </is>
      </c>
      <c r="G11" s="5" t="n"/>
    </row>
    <row r="12">
      <c r="B12" s="19" t="inlineStr">
        <is>
          <t>Total Percobaan (C12)</t>
        </is>
      </c>
      <c r="C12" s="19" t="n">
        <v>15</v>
      </c>
      <c r="E12" s="20" t="inlineStr">
        <is>
          <t>Contoh Rumus Benar:</t>
        </is>
      </c>
      <c r="F12" s="22" t="inlineStr">
        <is>
          <t>'=BINOM.DIST(C11, C12, C13, TRUE)</t>
        </is>
      </c>
      <c r="G12" s="5" t="n"/>
    </row>
    <row r="13">
      <c r="B13" s="19" t="inlineStr">
        <is>
          <t>Peluang Sukses (C13)</t>
        </is>
      </c>
      <c r="C13" s="19" t="n">
        <v>0.5</v>
      </c>
      <c r="E13" s="20" t="inlineStr">
        <is>
          <t>Contoh Hasil Benar:</t>
        </is>
      </c>
      <c r="F13" s="23">
        <f>BINOM.DIST(C11,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Binomial</t>
        </is>
      </c>
      <c r="C20" s="14" t="inlineStr">
        <is>
          <t>Nilai Input</t>
        </is>
      </c>
      <c r="E20" s="27" t="inlineStr">
        <is>
          <t>Persoalan Tes #1: Hitung peluang distribusi kumulatif (TRUE) menggunakan fungsi BINOM.DIST dengan argumen C21, C22, C23, dan TRUE!</t>
        </is>
      </c>
    </row>
    <row r="21">
      <c r="B21" s="19" t="inlineStr">
        <is>
          <t>Jumlah Sukses/Gagal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Total Percobaan (C22)</t>
        </is>
      </c>
      <c r="C22" s="19" t="n">
        <v>10</v>
      </c>
      <c r="E22" s="28" t="n"/>
      <c r="F22" s="29">
        <f>IF(ISBLANK(E22), "⏳ Belum Diisi (Ketik Rumus di Sel Kuning E22)", IF(E22='99_KUNCI_JAWABAN'!F560, "✅ BENAR! JAWABAN TES TEPAT!", "❌ Belum Tepat (Cek Sheet Akhir: 99_KUNCI_JAWABAN)"))</f>
        <v/>
      </c>
      <c r="G22" s="5" t="n"/>
    </row>
    <row r="23">
      <c r="B23" s="19" t="inlineStr">
        <is>
          <t>Peluang Sukses (C23)</t>
        </is>
      </c>
      <c r="C23" s="19" t="n">
        <v>0.5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Binomial</t>
        </is>
      </c>
      <c r="C28" s="14" t="inlineStr">
        <is>
          <t>Nilai Input</t>
        </is>
      </c>
      <c r="E28" s="27" t="inlineStr">
        <is>
          <t>Persoalan Tes #2: Hitung peluang distribusi kumulatif (TRUE) menggunakan fungsi BINOM.DIST dengan argumen C29, C30, C31, dan TRUE!</t>
        </is>
      </c>
    </row>
    <row r="29">
      <c r="B29" s="19" t="inlineStr">
        <is>
          <t>Jumlah Sukses/Gagal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Total Percobaan (C30)</t>
        </is>
      </c>
      <c r="C30" s="19" t="n">
        <v>11</v>
      </c>
      <c r="E30" s="28" t="n"/>
      <c r="F30" s="29">
        <f>IF(ISBLANK(E30), "⏳ Belum Diisi (Ketik Rumus di Sel Kuning E30)", IF(E30='99_KUNCI_JAWABAN'!F561, "✅ BENAR! JAWABAN TES TEPAT!", "❌ Belum Tepat (Cek Sheet Akhir: 99_KUNCI_JAWABAN)"))</f>
        <v/>
      </c>
      <c r="G30" s="5" t="n"/>
    </row>
    <row r="31">
      <c r="B31" s="19" t="inlineStr">
        <is>
          <t>Peluang Sukses (C31)</t>
        </is>
      </c>
      <c r="C31" s="19" t="n">
        <v>0.5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Binomial</t>
        </is>
      </c>
      <c r="C36" s="14" t="inlineStr">
        <is>
          <t>Nilai Input</t>
        </is>
      </c>
      <c r="E36" s="27" t="inlineStr">
        <is>
          <t>Persoalan Tes #3: Hitung peluang distribusi kumulatif (TRUE) menggunakan fungsi BINOM.DIST dengan argumen C37, C38, C39, dan TRUE!</t>
        </is>
      </c>
    </row>
    <row r="37">
      <c r="B37" s="19" t="inlineStr">
        <is>
          <t>Jumlah Sukses/Gagal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Total Percobaan (C38)</t>
        </is>
      </c>
      <c r="C38" s="19" t="n">
        <v>12</v>
      </c>
      <c r="E38" s="28" t="n"/>
      <c r="F38" s="29">
        <f>IF(ISBLANK(E38), "⏳ Belum Diisi (Ketik Rumus di Sel Kuning E38)", IF(E38='99_KUNCI_JAWABAN'!F562, "✅ BENAR! JAWABAN TES TEPAT!", "❌ Belum Tepat (Cek Sheet Akhir: 99_KUNCI_JAWABAN)"))</f>
        <v/>
      </c>
      <c r="G38" s="5" t="n"/>
    </row>
    <row r="39">
      <c r="B39" s="19" t="inlineStr">
        <is>
          <t>Peluang Sukses (C39)</t>
        </is>
      </c>
      <c r="C39" s="19" t="n">
        <v>0.5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Binomial</t>
        </is>
      </c>
      <c r="C44" s="14" t="inlineStr">
        <is>
          <t>Nilai Input</t>
        </is>
      </c>
      <c r="E44" s="27" t="inlineStr">
        <is>
          <t>Persoalan Tes #4: Hitung peluang distribusi kumulatif (TRUE) menggunakan fungsi BINOM.DIST dengan argumen C45, C46, C47, dan TRUE!</t>
        </is>
      </c>
    </row>
    <row r="45">
      <c r="B45" s="19" t="inlineStr">
        <is>
          <t>Jumlah Sukses/Gagal (C45)</t>
        </is>
      </c>
      <c r="C45" s="19" t="n">
        <v>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Total Percobaan (C46)</t>
        </is>
      </c>
      <c r="C46" s="19" t="n">
        <v>13</v>
      </c>
      <c r="E46" s="28" t="n"/>
      <c r="F46" s="29">
        <f>IF(ISBLANK(E46), "⏳ Belum Diisi (Ketik Rumus di Sel Kuning E46)", IF(E46='99_KUNCI_JAWABAN'!F563, "✅ BENAR! JAWABAN TES TEPAT!", "❌ Belum Tepat (Cek Sheet Akhir: 99_KUNCI_JAWABAN)"))</f>
        <v/>
      </c>
      <c r="G46" s="5" t="n"/>
    </row>
    <row r="47">
      <c r="B47" s="19" t="inlineStr">
        <is>
          <t>Peluang Sukses (C47)</t>
        </is>
      </c>
      <c r="C47" s="19" t="n">
        <v>0.5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Binomial</t>
        </is>
      </c>
      <c r="C52" s="14" t="inlineStr">
        <is>
          <t>Nilai Input</t>
        </is>
      </c>
      <c r="E52" s="27" t="inlineStr">
        <is>
          <t>Persoalan Tes #5: Hitung peluang distribusi kumulatif (TRUE) menggunakan fungsi BINOM.DIST dengan argumen C53, C54, C55, dan TRUE!</t>
        </is>
      </c>
    </row>
    <row r="53">
      <c r="B53" s="19" t="inlineStr">
        <is>
          <t>Jumlah Sukses/Gagal (C53)</t>
        </is>
      </c>
      <c r="C53" s="19" t="n">
        <v>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Total Percobaan (C54)</t>
        </is>
      </c>
      <c r="C54" s="19" t="n">
        <v>14</v>
      </c>
      <c r="E54" s="28" t="n"/>
      <c r="F54" s="29">
        <f>IF(ISBLANK(E54), "⏳ Belum Diisi (Ketik Rumus di Sel Kuning E54)", IF(E54='99_KUNCI_JAWABAN'!F564, "✅ BENAR! JAWABAN TES TEPAT!", "❌ Belum Tepat (Cek Sheet Akhir: 99_KUNCI_JAWABAN)"))</f>
        <v/>
      </c>
      <c r="G54" s="5" t="n"/>
    </row>
    <row r="55">
      <c r="B55" s="19" t="inlineStr">
        <is>
          <t>Peluang Sukses (C55)</t>
        </is>
      </c>
      <c r="C55" s="19" t="n">
        <v>0.5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#113 — RUMUS EXCEL: BINOM.INV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(BINOM.INV)</t>
        </is>
      </c>
    </row>
    <row r="5" ht="21" customHeight="1">
      <c r="B5" s="14" t="inlineStr">
        <is>
          <t>Nama Rumus Excel</t>
        </is>
      </c>
      <c r="C5" s="15">
        <f>BINOM.INV(...)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BINOM.INV(cobaan, prob_sukses, alpha)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terkecil sehingga distribusi binomial kumulatif &gt;= alpha.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BINOM.INV DI SINI)</t>
        </is>
      </c>
    </row>
    <row r="10">
      <c r="B10" s="18" t="inlineStr">
        <is>
          <t>Parameter Binomial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Total Percobaan (C11)</t>
        </is>
      </c>
      <c r="C11" s="19" t="n">
        <v>20</v>
      </c>
      <c r="E11" s="20" t="inlineStr">
        <is>
          <t>Contoh Soal:</t>
        </is>
      </c>
      <c r="F11" s="21" t="inlineStr">
        <is>
          <t>Cari nilai batas kritis binomial menggunakan fungsi BINOM.INV dengan argumen berurutan C11, C12, dan C13!</t>
        </is>
      </c>
      <c r="G11" s="5" t="n"/>
    </row>
    <row r="12">
      <c r="B12" s="19" t="inlineStr">
        <is>
          <t>Peluang Sukses (C12)</t>
        </is>
      </c>
      <c r="C12" s="19" t="n">
        <v>0.5</v>
      </c>
      <c r="E12" s="20" t="inlineStr">
        <is>
          <t>Contoh Rumus Benar:</t>
        </is>
      </c>
      <c r="F12" s="22" t="inlineStr">
        <is>
          <t>'=BINOM.INV(C11, C12, C13)</t>
        </is>
      </c>
      <c r="G12" s="5" t="n"/>
    </row>
    <row r="13">
      <c r="B13" s="19" t="inlineStr">
        <is>
          <t>Alpha Kriteria (C13)</t>
        </is>
      </c>
      <c r="C13" s="19" t="n">
        <v>0.75</v>
      </c>
      <c r="E13" s="20" t="inlineStr">
        <is>
          <t>Contoh Hasil Benar:</t>
        </is>
      </c>
      <c r="F13" s="23">
        <f>BINOM.INV(C11,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Binomial</t>
        </is>
      </c>
      <c r="C20" s="14" t="inlineStr">
        <is>
          <t>Nilai Input</t>
        </is>
      </c>
      <c r="E20" s="27" t="inlineStr">
        <is>
          <t>Persoalan Tes #1: Cari nilai batas kritis binomial menggunakan fungsi BINOM.INV dengan argumen berurutan C21, C22, dan C23!</t>
        </is>
      </c>
    </row>
    <row r="21">
      <c r="B21" s="19" t="inlineStr">
        <is>
          <t>Total Percobaan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Peluang Sukses (C22)</t>
        </is>
      </c>
      <c r="C22" s="19" t="n">
        <v>0.5</v>
      </c>
      <c r="E22" s="28" t="n"/>
      <c r="F22" s="29">
        <f>IF(ISBLANK(E22), "⏳ Belum Diisi (Ketik Rumus di Sel Kuning E22)", IF(E22='99_KUNCI_JAWABAN'!F565, "✅ BENAR! JAWABAN TES TEPAT!", "❌ Belum Tepat (Cek Sheet Akhir: 99_KUNCI_JAWABAN)"))</f>
        <v/>
      </c>
      <c r="G22" s="5" t="n"/>
    </row>
    <row r="23">
      <c r="B23" s="19" t="inlineStr">
        <is>
          <t>Alpha Kriteria (C23)</t>
        </is>
      </c>
      <c r="C23" s="19" t="n">
        <v>0.5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Binomial</t>
        </is>
      </c>
      <c r="C28" s="14" t="inlineStr">
        <is>
          <t>Nilai Input</t>
        </is>
      </c>
      <c r="E28" s="27" t="inlineStr">
        <is>
          <t>Persoalan Tes #2: Cari nilai batas kritis binomial menggunakan fungsi BINOM.INV dengan argumen berurutan C29, C30, dan C31!</t>
        </is>
      </c>
    </row>
    <row r="29">
      <c r="B29" s="19" t="inlineStr">
        <is>
          <t>Total Percobaan (C29)</t>
        </is>
      </c>
      <c r="C29" s="19" t="n">
        <v>12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Peluang Sukses (C30)</t>
        </is>
      </c>
      <c r="C30" s="19" t="n">
        <v>0.5</v>
      </c>
      <c r="E30" s="28" t="n"/>
      <c r="F30" s="29">
        <f>IF(ISBLANK(E30), "⏳ Belum Diisi (Ketik Rumus di Sel Kuning E30)", IF(E30='99_KUNCI_JAWABAN'!F566, "✅ BENAR! JAWABAN TES TEPAT!", "❌ Belum Tepat (Cek Sheet Akhir: 99_KUNCI_JAWABAN)"))</f>
        <v/>
      </c>
      <c r="G30" s="5" t="n"/>
    </row>
    <row r="31">
      <c r="B31" s="19" t="inlineStr">
        <is>
          <t>Alpha Kriteria (C31)</t>
        </is>
      </c>
      <c r="C31" s="19" t="n">
        <v>0.55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Binomial</t>
        </is>
      </c>
      <c r="C36" s="14" t="inlineStr">
        <is>
          <t>Nilai Input</t>
        </is>
      </c>
      <c r="E36" s="27" t="inlineStr">
        <is>
          <t>Persoalan Tes #3: Cari nilai batas kritis binomial menggunakan fungsi BINOM.INV dengan argumen berurutan C37, C38, dan C39!</t>
        </is>
      </c>
    </row>
    <row r="37">
      <c r="B37" s="19" t="inlineStr">
        <is>
          <t>Total Percobaan (C37)</t>
        </is>
      </c>
      <c r="C37" s="19" t="n">
        <v>14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Peluang Sukses (C38)</t>
        </is>
      </c>
      <c r="C38" s="19" t="n">
        <v>0.5</v>
      </c>
      <c r="E38" s="28" t="n"/>
      <c r="F38" s="29">
        <f>IF(ISBLANK(E38), "⏳ Belum Diisi (Ketik Rumus di Sel Kuning E38)", IF(E38='99_KUNCI_JAWABAN'!F567, "✅ BENAR! JAWABAN TES TEPAT!", "❌ Belum Tepat (Cek Sheet Akhir: 99_KUNCI_JAWABAN)"))</f>
        <v/>
      </c>
      <c r="G38" s="5" t="n"/>
    </row>
    <row r="39">
      <c r="B39" s="19" t="inlineStr">
        <is>
          <t>Alpha Kriteria (C39)</t>
        </is>
      </c>
      <c r="C39" s="19" t="n">
        <v>0.6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Binomial</t>
        </is>
      </c>
      <c r="C44" s="14" t="inlineStr">
        <is>
          <t>Nilai Input</t>
        </is>
      </c>
      <c r="E44" s="27" t="inlineStr">
        <is>
          <t>Persoalan Tes #4: Cari nilai batas kritis binomial menggunakan fungsi BINOM.INV dengan argumen berurutan C45, C46, dan C47!</t>
        </is>
      </c>
    </row>
    <row r="45">
      <c r="B45" s="19" t="inlineStr">
        <is>
          <t>Total Percobaan (C45)</t>
        </is>
      </c>
      <c r="C45" s="19" t="n">
        <v>16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Peluang Sukses (C46)</t>
        </is>
      </c>
      <c r="C46" s="19" t="n">
        <v>0.5</v>
      </c>
      <c r="E46" s="28" t="n"/>
      <c r="F46" s="29">
        <f>IF(ISBLANK(E46), "⏳ Belum Diisi (Ketik Rumus di Sel Kuning E46)", IF(E46='99_KUNCI_JAWABAN'!F568, "✅ BENAR! JAWABAN TES TEPAT!", "❌ Belum Tepat (Cek Sheet Akhir: 99_KUNCI_JAWABAN)"))</f>
        <v/>
      </c>
      <c r="G46" s="5" t="n"/>
    </row>
    <row r="47">
      <c r="B47" s="19" t="inlineStr">
        <is>
          <t>Alpha Kriteria (C47)</t>
        </is>
      </c>
      <c r="C47" s="19" t="n">
        <v>0.65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Binomial</t>
        </is>
      </c>
      <c r="C52" s="14" t="inlineStr">
        <is>
          <t>Nilai Input</t>
        </is>
      </c>
      <c r="E52" s="27" t="inlineStr">
        <is>
          <t>Persoalan Tes #5: Cari nilai batas kritis binomial menggunakan fungsi BINOM.INV dengan argumen berurutan C53, C54, dan C55!</t>
        </is>
      </c>
    </row>
    <row r="53">
      <c r="B53" s="19" t="inlineStr">
        <is>
          <t>Total Percobaan (C53)</t>
        </is>
      </c>
      <c r="C53" s="19" t="n">
        <v>18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Peluang Sukses (C54)</t>
        </is>
      </c>
      <c r="C54" s="19" t="n">
        <v>0.5</v>
      </c>
      <c r="E54" s="28" t="n"/>
      <c r="F54" s="29">
        <f>IF(ISBLANK(E54), "⏳ Belum Diisi (Ketik Rumus di Sel Kuning E54)", IF(E54='99_KUNCI_JAWABAN'!F569, "✅ BENAR! JAWABAN TES TEPAT!", "❌ Belum Tepat (Cek Sheet Akhir: 99_KUNCI_JAWABAN)"))</f>
        <v/>
      </c>
      <c r="G54" s="5" t="n"/>
    </row>
    <row r="55">
      <c r="B55" s="19" t="inlineStr">
        <is>
          <t>Alpha Kriteria (C55)</t>
        </is>
      </c>
      <c r="C55" s="19" t="n">
        <v>0.7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#114 — RUMUS EXCEL: CHISQ.DIST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(CHISQ.DIST)</t>
        </is>
      </c>
    </row>
    <row r="5" ht="21" customHeight="1">
      <c r="B5" s="14" t="inlineStr">
        <is>
          <t>Nama Rumus Excel</t>
        </is>
      </c>
      <c r="C5" s="15">
        <f>CHISQ.DIST(...)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CHISQ.DIST(x, deg_freedom,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distribusi probabilitas Chi-Square sisi kiri.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CHISQ.DIST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7</v>
      </c>
      <c r="E11" s="20" t="inlineStr">
        <is>
          <t>Contoh Soal:</t>
        </is>
      </c>
      <c r="F11" s="21" t="inlineStr">
        <is>
          <t>Hitung nilai distribusi kumulatif (TRUE) menggunakan fungsi CHISQ.DIST dengan argumen C11, C12, dan TRUE!</t>
        </is>
      </c>
      <c r="G11" s="5" t="n"/>
    </row>
    <row r="12">
      <c r="B12" s="19" t="inlineStr">
        <is>
          <t>Derajat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'=CHISQ.DIST(C11, C12, TRUE)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CHISQ.DIST(C11, C12, TRUE)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CHISQ.DIST dengan argumen C21, C22, dan TRUE!</t>
        </is>
      </c>
    </row>
    <row r="21">
      <c r="B21" s="19" t="inlineStr">
        <is>
          <t>Nilai X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/ Mean (C22)</t>
        </is>
      </c>
      <c r="C22" s="19" t="n">
        <v>5</v>
      </c>
      <c r="E22" s="28" t="n"/>
      <c r="F22" s="29">
        <f>IF(ISBLANK(E22), "⏳ Belum Diisi (Ketik Rumus di Sel Kuning E22)", IF(E22='99_KUNCI_JAWABAN'!F570,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CHISQ.DIST dengan argumen C29, C30, dan TRUE!</t>
        </is>
      </c>
    </row>
    <row r="29">
      <c r="B29" s="19" t="inlineStr">
        <is>
          <t>Nilai X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/ Mean (C30)</t>
        </is>
      </c>
      <c r="C30" s="19" t="n">
        <v>6</v>
      </c>
      <c r="E30" s="28" t="n"/>
      <c r="F30" s="29">
        <f>IF(ISBLANK(E30), "⏳ Belum Diisi (Ketik Rumus di Sel Kuning E30)", IF(E30='99_KUNCI_JAWABAN'!F571,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CHISQ.DIST dengan argumen C37, C38, dan TRUE!</t>
        </is>
      </c>
    </row>
    <row r="37">
      <c r="B37" s="19" t="inlineStr">
        <is>
          <t>Nilai X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/ Mean (C38)</t>
        </is>
      </c>
      <c r="C38" s="19" t="n">
        <v>7</v>
      </c>
      <c r="E38" s="28" t="n"/>
      <c r="F38" s="29">
        <f>IF(ISBLANK(E38), "⏳ Belum Diisi (Ketik Rumus di Sel Kuning E38)", IF(E38='99_KUNCI_JAWABAN'!F572,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CHISQ.DIST dengan argumen C45, C46, dan TRUE!</t>
        </is>
      </c>
    </row>
    <row r="45">
      <c r="B45" s="19" t="inlineStr">
        <is>
          <t>Nilai X (C45)</t>
        </is>
      </c>
      <c r="C45" s="19" t="n">
        <v>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/ Mean (C46)</t>
        </is>
      </c>
      <c r="C46" s="19" t="n">
        <v>8</v>
      </c>
      <c r="E46" s="28" t="n"/>
      <c r="F46" s="29">
        <f>IF(ISBLANK(E46), "⏳ Belum Diisi (Ketik Rumus di Sel Kuning E46)", IF(E46='99_KUNCI_JAWABAN'!F573,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CHISQ.DIST dengan argumen C53, C54, dan TRUE!</t>
        </is>
      </c>
    </row>
    <row r="53">
      <c r="B53" s="19" t="inlineStr">
        <is>
          <t>Nilai X (C53)</t>
        </is>
      </c>
      <c r="C53" s="19" t="n">
        <v>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/ Mean (C54)</t>
        </is>
      </c>
      <c r="C54" s="19" t="n">
        <v>9</v>
      </c>
      <c r="E54" s="28" t="n"/>
      <c r="F54" s="29">
        <f>IF(ISBLANK(E54), "⏳ Belum Diisi (Ketik Rumus di Sel Kuning E54)", IF(E54='99_KUNCI_JAWABAN'!F574,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#115 — RUMUS EXCEL: CHISQ.DIST.RT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(CHISQ.DIST.RT)</t>
        </is>
      </c>
    </row>
    <row r="5" ht="21" customHeight="1">
      <c r="B5" s="14" t="inlineStr">
        <is>
          <t>Nama Rumus Excel</t>
        </is>
      </c>
      <c r="C5" s="15">
        <f>CHISQ.DIST.RT(...)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CHISQ.DIST.RT(x,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probabilitas ekor kanan (Right-Tailed) dari distribusi Chi-Square.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CHISQ.DIST.RT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Uji X (C11)</t>
        </is>
      </c>
      <c r="C11" s="19" t="n">
        <v>3</v>
      </c>
      <c r="E11" s="20" t="inlineStr">
        <is>
          <t>Contoh Soal:</t>
        </is>
      </c>
      <c r="F11" s="21" t="inlineStr">
        <is>
          <t>Hitung nilai probabilitas distribusi menggunakan fungsi CHISQ.DIST.RT dengan argumen nilai X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'=CHISQ.DIST.RT(C11,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CHISQ.DIST.RT(C11,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probabilitas distribusi menggunakan fungsi CHISQ.DIST.RT dengan argumen nilai X di C21 dan derajat kebebasan di C22!</t>
        </is>
      </c>
    </row>
    <row r="21">
      <c r="B21" s="19" t="inlineStr">
        <is>
          <t>Nilai Uji X (C21)</t>
        </is>
      </c>
      <c r="C21" s="19" t="n">
        <v>1.5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IF(E22='99_KUNCI_JAWABAN'!F575,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probabilitas distribusi menggunakan fungsi CHISQ.DIST.RT dengan argumen nilai X di C29 dan derajat kebebasan di C30!</t>
        </is>
      </c>
    </row>
    <row r="29">
      <c r="B29" s="19" t="inlineStr">
        <is>
          <t>Nilai Uji X (C29)</t>
        </is>
      </c>
      <c r="C29" s="19" t="n">
        <v>1.8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IF(E30='99_KUNCI_JAWABAN'!F576,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probabilitas distribusi menggunakan fungsi CHISQ.DIST.RT dengan argumen nilai X di C37 dan derajat kebebasan di C38!</t>
        </is>
      </c>
    </row>
    <row r="37">
      <c r="B37" s="19" t="inlineStr">
        <is>
          <t>Nilai Uji X (C37)</t>
        </is>
      </c>
      <c r="C37" s="19" t="n">
        <v>2.1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IF(E38='99_KUNCI_JAWABAN'!F577,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probabilitas distribusi menggunakan fungsi CHISQ.DIST.RT dengan argumen nilai X di C45 dan derajat kebebasan di C46!</t>
        </is>
      </c>
    </row>
    <row r="45">
      <c r="B45" s="19" t="inlineStr">
        <is>
          <t>Nilai Uji X (C45)</t>
        </is>
      </c>
      <c r="C45" s="19" t="n">
        <v>2.4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IF(E46='99_KUNCI_JAWABAN'!F578,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probabilitas distribusi menggunakan fungsi CHISQ.DIST.RT dengan argumen nilai X di C53 dan derajat kebebasan di C54!</t>
        </is>
      </c>
    </row>
    <row r="53">
      <c r="B53" s="19" t="inlineStr">
        <is>
          <t>Nilai Uji X (C53)</t>
        </is>
      </c>
      <c r="C53" s="19" t="n">
        <v>2.7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IF(E54='99_KUNCI_JAWABAN'!F579,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#116 — RUMUS EXCEL: CHISQ.INV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(CHISQ.INV)</t>
        </is>
      </c>
    </row>
    <row r="5" ht="21" customHeight="1">
      <c r="B5" s="14" t="inlineStr">
        <is>
          <t>Nama Rumus Excel</t>
        </is>
      </c>
      <c r="C5" s="15">
        <f>CHISQ.INV(...)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CHISQ.INV(probabilitas,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invers probabilitas ekor kiri dari distribusi Chi-Square.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CHISQ.INV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menggunakan fungsi CHISQ.INV dengan probabilitas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'=CHISQ.INV(C11,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CHISQ.INV(C11,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CHISQ.INV dengan probabilitas di C21 dan derajat kebebasan di C22!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IF(E22='99_KUNCI_JAWABAN'!F580,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CHISQ.INV dengan probabilitas di C29 dan derajat kebebasan di C30!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IF(E30='99_KUNCI_JAWABAN'!F581,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CHISQ.INV dengan probabilitas di C37 dan derajat kebebasan di C38!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IF(E38='99_KUNCI_JAWABAN'!F582,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CHISQ.INV dengan probabilitas di C45 dan derajat kebebasan di C46!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IF(E46='99_KUNCI_JAWABAN'!F583,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CHISQ.INV dengan probabilitas di C53 dan derajat kebebasan di C54!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IF(E54='99_KUNCI_JAWABAN'!F584,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#117 — RUMUS EXCEL: CHISQ.RT.INV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(CHISQ.RT.INV)</t>
        </is>
      </c>
    </row>
    <row r="5" ht="21" customHeight="1">
      <c r="B5" s="14" t="inlineStr">
        <is>
          <t>Nama Rumus Excel</t>
        </is>
      </c>
      <c r="C5" s="15">
        <f>CHISQ.RT.INV(...)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CHISQ.INV.RT(probabilitas,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invers probabilitas ekor kanan dari distribusi Chi-Square.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CHISQ.RT.INV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menggunakan fungsi CHISQ.INV.RT dengan probabilitas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'=CHISQ.INV.RT(C11,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CHISQ.INV.RT(C11,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CHISQ.INV.RT dengan probabilitas di C21 dan derajat kebebasan di C22!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IF(E22='99_KUNCI_JAWABAN'!F585,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CHISQ.INV.RT dengan probabilitas di C29 dan derajat kebebasan di C30!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IF(E30='99_KUNCI_JAWABAN'!F586,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CHISQ.INV.RT dengan probabilitas di C37 dan derajat kebebasan di C38!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IF(E38='99_KUNCI_JAWABAN'!F587,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CHISQ.INV.RT dengan probabilitas di C45 dan derajat kebebasan di C46!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IF(E46='99_KUNCI_JAWABAN'!F588,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CHISQ.INV.RT dengan probabilitas di C53 dan derajat kebebasan di C54!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IF(E54='99_KUNCI_JAWABAN'!F589,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#118 — RUMUS EXCEL: CHITEST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(CHITEST)</t>
        </is>
      </c>
    </row>
    <row r="5" ht="21" customHeight="1">
      <c r="B5" s="14" t="inlineStr">
        <is>
          <t>Nama Rumus Excel</t>
        </is>
      </c>
      <c r="C5" s="15">
        <f>CHITEST(...)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CHITEST(aktual_range, harapan_range)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uji independensi Chi-Square antara data aktual dan ekspektasi.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CHITEST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CHITEST!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'=CHITEST(B11:B14,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CHITEST(B11:B14,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CHITEST!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IF(E22='99_KUNCI_JAWABAN'!F590,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CHITEST!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IF(E30='99_KUNCI_JAWABAN'!F591,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CHITEST!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IF(E38='99_KUNCI_JAWABAN'!F592,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CHITEST!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IF(E46='99_KUNCI_JAWABAN'!F593,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CHITEST!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IF(E54='99_KUNCI_JAWABAN'!F594,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#119 — RUMUS EXCEL: CONFIDENCE.NORM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(CONFIDENCE.NORM)</t>
        </is>
      </c>
    </row>
    <row r="5" ht="21" customHeight="1">
      <c r="B5" s="14" t="inlineStr">
        <is>
          <t>Nama Rumus Excel</t>
        </is>
      </c>
      <c r="C5" s="15">
        <f>CONFIDENCE.NORM(...)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CONFIDENCE.NORM(alpha, standard_dev, size)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rentang kepercayaan (margin of error) rata-rata populasi dengan distribusi normal.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CONFIDENCE.NORM DI SINI)</t>
        </is>
      </c>
    </row>
    <row r="10">
      <c r="B10" s="18" t="inlineStr">
        <is>
          <t>Parameter Kepercayaan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Alpha (C11)</t>
        </is>
      </c>
      <c r="C11" s="19" t="n">
        <v>0.05</v>
      </c>
      <c r="E11" s="20" t="inlineStr">
        <is>
          <t>Contoh Soal:</t>
        </is>
      </c>
      <c r="F11" s="21" t="inlineStr">
        <is>
          <t>Hitung rentang kepercayaan menggunakan fungsi CONFIDENCE.NORM dengan Alpha di C11, Standar Deviasi di C12, dan Ukuran Sampel di C13!</t>
        </is>
      </c>
      <c r="G11" s="5" t="n"/>
    </row>
    <row r="12">
      <c r="B12" s="19" t="inlineStr">
        <is>
          <t>Standar Deviasi (C12)</t>
        </is>
      </c>
      <c r="C12" s="19" t="n">
        <v>5</v>
      </c>
      <c r="E12" s="20" t="inlineStr">
        <is>
          <t>Contoh Rumus Benar:</t>
        </is>
      </c>
      <c r="F12" s="22" t="inlineStr">
        <is>
          <t>'=CONFIDENCE.NORM(C11, C12, C13)</t>
        </is>
      </c>
      <c r="G12" s="5" t="n"/>
    </row>
    <row r="13">
      <c r="B13" s="19" t="inlineStr">
        <is>
          <t>Ukuran Sampel n (C13)</t>
        </is>
      </c>
      <c r="C13" s="19" t="n">
        <v>90</v>
      </c>
      <c r="E13" s="20" t="inlineStr">
        <is>
          <t>Contoh Hasil Benar:</t>
        </is>
      </c>
      <c r="F13" s="23">
        <f>CONFIDENCE.NORM(C11,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Kepercayaan</t>
        </is>
      </c>
      <c r="C20" s="14" t="inlineStr">
        <is>
          <t>Nilai Input</t>
        </is>
      </c>
      <c r="E20" s="27" t="inlineStr">
        <is>
          <t>Persoalan Tes #1: Hitung rentang kepercayaan menggunakan fungsi CONFIDENCE.NORM dengan Alpha di C21, Standar Deviasi di C22, dan Ukuran Sampel di C23!</t>
        </is>
      </c>
    </row>
    <row r="21">
      <c r="B21" s="19" t="inlineStr">
        <is>
          <t>Alpha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Standar Deviasi (C22)</t>
        </is>
      </c>
      <c r="C22" s="19" t="n">
        <v>2.5</v>
      </c>
      <c r="E22" s="28" t="n"/>
      <c r="F22" s="29">
        <f>IF(ISBLANK(E22), "⏳ Belum Diisi (Ketik Rumus di Sel Kuning E22)", IF(E22='99_KUNCI_JAWABAN'!F595, "✅ BENAR! JAWABAN TES TEPAT!", "❌ Belum Tepat (Cek Sheet Akhir: 99_KUNCI_JAWABAN)"))</f>
        <v/>
      </c>
      <c r="G22" s="5" t="n"/>
    </row>
    <row r="23">
      <c r="B23" s="19" t="inlineStr">
        <is>
          <t>Ukuran Sampel n (C23)</t>
        </is>
      </c>
      <c r="C23" s="19" t="n">
        <v>40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Kepercayaan</t>
        </is>
      </c>
      <c r="C28" s="14" t="inlineStr">
        <is>
          <t>Nilai Input</t>
        </is>
      </c>
      <c r="E28" s="27" t="inlineStr">
        <is>
          <t>Persoalan Tes #2: Hitung rentang kepercayaan menggunakan fungsi CONFIDENCE.NORM dengan Alpha di C29, Standar Deviasi di C30, dan Ukuran Sampel di C31!</t>
        </is>
      </c>
    </row>
    <row r="29">
      <c r="B29" s="19" t="inlineStr">
        <is>
          <t>Alpha (C29)</t>
        </is>
      </c>
      <c r="C29" s="19" t="n">
        <v>0.05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Standar Deviasi (C30)</t>
        </is>
      </c>
      <c r="C30" s="19" t="n">
        <v>3</v>
      </c>
      <c r="E30" s="28" t="n"/>
      <c r="F30" s="29">
        <f>IF(ISBLANK(E30), "⏳ Belum Diisi (Ketik Rumus di Sel Kuning E30)", IF(E30='99_KUNCI_JAWABAN'!F596, "✅ BENAR! JAWABAN TES TEPAT!", "❌ Belum Tepat (Cek Sheet Akhir: 99_KUNCI_JAWABAN)"))</f>
        <v/>
      </c>
      <c r="G30" s="5" t="n"/>
    </row>
    <row r="31">
      <c r="B31" s="19" t="inlineStr">
        <is>
          <t>Ukuran Sampel n (C31)</t>
        </is>
      </c>
      <c r="C31" s="19" t="n">
        <v>50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Kepercayaan</t>
        </is>
      </c>
      <c r="C36" s="14" t="inlineStr">
        <is>
          <t>Nilai Input</t>
        </is>
      </c>
      <c r="E36" s="27" t="inlineStr">
        <is>
          <t>Persoalan Tes #3: Hitung rentang kepercayaan menggunakan fungsi CONFIDENCE.NORM dengan Alpha di C37, Standar Deviasi di C38, dan Ukuran Sampel di C39!</t>
        </is>
      </c>
    </row>
    <row r="37">
      <c r="B37" s="19" t="inlineStr">
        <is>
          <t>Alpha (C37)</t>
        </is>
      </c>
      <c r="C37" s="19" t="n">
        <v>0.05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Standar Deviasi (C38)</t>
        </is>
      </c>
      <c r="C38" s="19" t="n">
        <v>3.5</v>
      </c>
      <c r="E38" s="28" t="n"/>
      <c r="F38" s="29">
        <f>IF(ISBLANK(E38), "⏳ Belum Diisi (Ketik Rumus di Sel Kuning E38)", IF(E38='99_KUNCI_JAWABAN'!F597, "✅ BENAR! JAWABAN TES TEPAT!", "❌ Belum Tepat (Cek Sheet Akhir: 99_KUNCI_JAWABAN)"))</f>
        <v/>
      </c>
      <c r="G38" s="5" t="n"/>
    </row>
    <row r="39">
      <c r="B39" s="19" t="inlineStr">
        <is>
          <t>Ukuran Sampel n (C39)</t>
        </is>
      </c>
      <c r="C39" s="19" t="n">
        <v>60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Kepercayaan</t>
        </is>
      </c>
      <c r="C44" s="14" t="inlineStr">
        <is>
          <t>Nilai Input</t>
        </is>
      </c>
      <c r="E44" s="27" t="inlineStr">
        <is>
          <t>Persoalan Tes #4: Hitung rentang kepercayaan menggunakan fungsi CONFIDENCE.NORM dengan Alpha di C45, Standar Deviasi di C46, dan Ukuran Sampel di C47!</t>
        </is>
      </c>
    </row>
    <row r="45">
      <c r="B45" s="19" t="inlineStr">
        <is>
          <t>Alpha (C45)</t>
        </is>
      </c>
      <c r="C45" s="19" t="n">
        <v>0.05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Standar Deviasi (C46)</t>
        </is>
      </c>
      <c r="C46" s="19" t="n">
        <v>4</v>
      </c>
      <c r="E46" s="28" t="n"/>
      <c r="F46" s="29">
        <f>IF(ISBLANK(E46), "⏳ Belum Diisi (Ketik Rumus di Sel Kuning E46)", IF(E46='99_KUNCI_JAWABAN'!F598, "✅ BENAR! JAWABAN TES TEPAT!", "❌ Belum Tepat (Cek Sheet Akhir: 99_KUNCI_JAWABAN)"))</f>
        <v/>
      </c>
      <c r="G46" s="5" t="n"/>
    </row>
    <row r="47">
      <c r="B47" s="19" t="inlineStr">
        <is>
          <t>Ukuran Sampel n (C47)</t>
        </is>
      </c>
      <c r="C47" s="19" t="n">
        <v>70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Kepercayaan</t>
        </is>
      </c>
      <c r="C52" s="14" t="inlineStr">
        <is>
          <t>Nilai Input</t>
        </is>
      </c>
      <c r="E52" s="27" t="inlineStr">
        <is>
          <t>Persoalan Tes #5: Hitung rentang kepercayaan menggunakan fungsi CONFIDENCE.NORM dengan Alpha di C53, Standar Deviasi di C54, dan Ukuran Sampel di C55!</t>
        </is>
      </c>
    </row>
    <row r="53">
      <c r="B53" s="19" t="inlineStr">
        <is>
          <t>Alpha (C53)</t>
        </is>
      </c>
      <c r="C53" s="19" t="n">
        <v>0.05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Standar Deviasi (C54)</t>
        </is>
      </c>
      <c r="C54" s="19" t="n">
        <v>4.5</v>
      </c>
      <c r="E54" s="28" t="n"/>
      <c r="F54" s="29">
        <f>IF(ISBLANK(E54), "⏳ Belum Diisi (Ketik Rumus di Sel Kuning E54)", IF(E54='99_KUNCI_JAWABAN'!F599, "✅ BENAR! JAWABAN TES TEPAT!", "❌ Belum Tepat (Cek Sheet Akhir: 99_KUNCI_JAWABAN)"))</f>
        <v/>
      </c>
      <c r="G54" s="5" t="n"/>
    </row>
    <row r="55">
      <c r="B55" s="19" t="inlineStr">
        <is>
          <t>Ukuran Sampel n (C55)</t>
        </is>
      </c>
      <c r="C55" s="19" t="n">
        <v>80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#120 — RUMUS EXCEL: CONFIDENCE.T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(CONFIDENCE.T)</t>
        </is>
      </c>
    </row>
    <row r="5" ht="21" customHeight="1">
      <c r="B5" s="14" t="inlineStr">
        <is>
          <t>Nama Rumus Excel</t>
        </is>
      </c>
      <c r="C5" s="15">
        <f>CONFIDENCE.T(...)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CONFIDENCE.T(alpha, standard_dev, size)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rentang kepercayaan rata-rata populasi dengan distribusi Student's 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CONFIDENCE.T DI SINI)</t>
        </is>
      </c>
    </row>
    <row r="10">
      <c r="B10" s="18" t="inlineStr">
        <is>
          <t>Parameter Kepercayaan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Alpha (C11)</t>
        </is>
      </c>
      <c r="C11" s="19" t="n">
        <v>0.05</v>
      </c>
      <c r="E11" s="20" t="inlineStr">
        <is>
          <t>Contoh Soal:</t>
        </is>
      </c>
      <c r="F11" s="21" t="inlineStr">
        <is>
          <t>Hitung rentang kepercayaan menggunakan fungsi CONFIDENCE.T dengan Alpha di C11, Standar Deviasi di C12, dan Ukuran Sampel di C13!</t>
        </is>
      </c>
      <c r="G11" s="5" t="n"/>
    </row>
    <row r="12">
      <c r="B12" s="19" t="inlineStr">
        <is>
          <t>Standar Deviasi (C12)</t>
        </is>
      </c>
      <c r="C12" s="19" t="n">
        <v>5</v>
      </c>
      <c r="E12" s="20" t="inlineStr">
        <is>
          <t>Contoh Rumus Benar:</t>
        </is>
      </c>
      <c r="F12" s="22" t="inlineStr">
        <is>
          <t>'=CONFIDENCE.T(C11, C12, C13)</t>
        </is>
      </c>
      <c r="G12" s="5" t="n"/>
    </row>
    <row r="13">
      <c r="B13" s="19" t="inlineStr">
        <is>
          <t>Ukuran Sampel n (C13)</t>
        </is>
      </c>
      <c r="C13" s="19" t="n">
        <v>90</v>
      </c>
      <c r="E13" s="20" t="inlineStr">
        <is>
          <t>Contoh Hasil Benar:</t>
        </is>
      </c>
      <c r="F13" s="23">
        <f>CONFIDENCE.T(C11,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Kepercayaan</t>
        </is>
      </c>
      <c r="C20" s="14" t="inlineStr">
        <is>
          <t>Nilai Input</t>
        </is>
      </c>
      <c r="E20" s="27" t="inlineStr">
        <is>
          <t>Persoalan Tes #1: Hitung rentang kepercayaan menggunakan fungsi CONFIDENCE.T dengan Alpha di C21, Standar Deviasi di C22, dan Ukuran Sampel di C23!</t>
        </is>
      </c>
    </row>
    <row r="21">
      <c r="B21" s="19" t="inlineStr">
        <is>
          <t>Alpha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Standar Deviasi (C22)</t>
        </is>
      </c>
      <c r="C22" s="19" t="n">
        <v>2.5</v>
      </c>
      <c r="E22" s="28" t="n"/>
      <c r="F22" s="29">
        <f>IF(ISBLANK(E22), "⏳ Belum Diisi (Ketik Rumus di Sel Kuning E22)", IF(E22='99_KUNCI_JAWABAN'!F600, "✅ BENAR! JAWABAN TES TEPAT!", "❌ Belum Tepat (Cek Sheet Akhir: 99_KUNCI_JAWABAN)"))</f>
        <v/>
      </c>
      <c r="G22" s="5" t="n"/>
    </row>
    <row r="23">
      <c r="B23" s="19" t="inlineStr">
        <is>
          <t>Ukuran Sampel n (C23)</t>
        </is>
      </c>
      <c r="C23" s="19" t="n">
        <v>40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Kepercayaan</t>
        </is>
      </c>
      <c r="C28" s="14" t="inlineStr">
        <is>
          <t>Nilai Input</t>
        </is>
      </c>
      <c r="E28" s="27" t="inlineStr">
        <is>
          <t>Persoalan Tes #2: Hitung rentang kepercayaan menggunakan fungsi CONFIDENCE.T dengan Alpha di C29, Standar Deviasi di C30, dan Ukuran Sampel di C31!</t>
        </is>
      </c>
    </row>
    <row r="29">
      <c r="B29" s="19" t="inlineStr">
        <is>
          <t>Alpha (C29)</t>
        </is>
      </c>
      <c r="C29" s="19" t="n">
        <v>0.05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Standar Deviasi (C30)</t>
        </is>
      </c>
      <c r="C30" s="19" t="n">
        <v>3</v>
      </c>
      <c r="E30" s="28" t="n"/>
      <c r="F30" s="29">
        <f>IF(ISBLANK(E30), "⏳ Belum Diisi (Ketik Rumus di Sel Kuning E30)", IF(E30='99_KUNCI_JAWABAN'!F601, "✅ BENAR! JAWABAN TES TEPAT!", "❌ Belum Tepat (Cek Sheet Akhir: 99_KUNCI_JAWABAN)"))</f>
        <v/>
      </c>
      <c r="G30" s="5" t="n"/>
    </row>
    <row r="31">
      <c r="B31" s="19" t="inlineStr">
        <is>
          <t>Ukuran Sampel n (C31)</t>
        </is>
      </c>
      <c r="C31" s="19" t="n">
        <v>50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Kepercayaan</t>
        </is>
      </c>
      <c r="C36" s="14" t="inlineStr">
        <is>
          <t>Nilai Input</t>
        </is>
      </c>
      <c r="E36" s="27" t="inlineStr">
        <is>
          <t>Persoalan Tes #3: Hitung rentang kepercayaan menggunakan fungsi CONFIDENCE.T dengan Alpha di C37, Standar Deviasi di C38, dan Ukuran Sampel di C39!</t>
        </is>
      </c>
    </row>
    <row r="37">
      <c r="B37" s="19" t="inlineStr">
        <is>
          <t>Alpha (C37)</t>
        </is>
      </c>
      <c r="C37" s="19" t="n">
        <v>0.05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Standar Deviasi (C38)</t>
        </is>
      </c>
      <c r="C38" s="19" t="n">
        <v>3.5</v>
      </c>
      <c r="E38" s="28" t="n"/>
      <c r="F38" s="29">
        <f>IF(ISBLANK(E38), "⏳ Belum Diisi (Ketik Rumus di Sel Kuning E38)", IF(E38='99_KUNCI_JAWABAN'!F602, "✅ BENAR! JAWABAN TES TEPAT!", "❌ Belum Tepat (Cek Sheet Akhir: 99_KUNCI_JAWABAN)"))</f>
        <v/>
      </c>
      <c r="G38" s="5" t="n"/>
    </row>
    <row r="39">
      <c r="B39" s="19" t="inlineStr">
        <is>
          <t>Ukuran Sampel n (C39)</t>
        </is>
      </c>
      <c r="C39" s="19" t="n">
        <v>60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Kepercayaan</t>
        </is>
      </c>
      <c r="C44" s="14" t="inlineStr">
        <is>
          <t>Nilai Input</t>
        </is>
      </c>
      <c r="E44" s="27" t="inlineStr">
        <is>
          <t>Persoalan Tes #4: Hitung rentang kepercayaan menggunakan fungsi CONFIDENCE.T dengan Alpha di C45, Standar Deviasi di C46, dan Ukuran Sampel di C47!</t>
        </is>
      </c>
    </row>
    <row r="45">
      <c r="B45" s="19" t="inlineStr">
        <is>
          <t>Alpha (C45)</t>
        </is>
      </c>
      <c r="C45" s="19" t="n">
        <v>0.05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Standar Deviasi (C46)</t>
        </is>
      </c>
      <c r="C46" s="19" t="n">
        <v>4</v>
      </c>
      <c r="E46" s="28" t="n"/>
      <c r="F46" s="29">
        <f>IF(ISBLANK(E46), "⏳ Belum Diisi (Ketik Rumus di Sel Kuning E46)", IF(E46='99_KUNCI_JAWABAN'!F603, "✅ BENAR! JAWABAN TES TEPAT!", "❌ Belum Tepat (Cek Sheet Akhir: 99_KUNCI_JAWABAN)"))</f>
        <v/>
      </c>
      <c r="G46" s="5" t="n"/>
    </row>
    <row r="47">
      <c r="B47" s="19" t="inlineStr">
        <is>
          <t>Ukuran Sampel n (C47)</t>
        </is>
      </c>
      <c r="C47" s="19" t="n">
        <v>70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Kepercayaan</t>
        </is>
      </c>
      <c r="C52" s="14" t="inlineStr">
        <is>
          <t>Nilai Input</t>
        </is>
      </c>
      <c r="E52" s="27" t="inlineStr">
        <is>
          <t>Persoalan Tes #5: Hitung rentang kepercayaan menggunakan fungsi CONFIDENCE.T dengan Alpha di C53, Standar Deviasi di C54, dan Ukuran Sampel di C55!</t>
        </is>
      </c>
    </row>
    <row r="53">
      <c r="B53" s="19" t="inlineStr">
        <is>
          <t>Alpha (C53)</t>
        </is>
      </c>
      <c r="C53" s="19" t="n">
        <v>0.05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Standar Deviasi (C54)</t>
        </is>
      </c>
      <c r="C54" s="19" t="n">
        <v>4.5</v>
      </c>
      <c r="E54" s="28" t="n"/>
      <c r="F54" s="29">
        <f>IF(ISBLANK(E54), "⏳ Belum Diisi (Ketik Rumus di Sel Kuning E54)", IF(E54='99_KUNCI_JAWABAN'!F604, "✅ BENAR! JAWABAN TES TEPAT!", "❌ Belum Tepat (Cek Sheet Akhir: 99_KUNCI_JAWABAN)"))</f>
        <v/>
      </c>
      <c r="G54" s="5" t="n"/>
    </row>
    <row r="55">
      <c r="B55" s="19" t="inlineStr">
        <is>
          <t>Ukuran Sampel n (C55)</t>
        </is>
      </c>
      <c r="C55" s="19" t="n">
        <v>80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#121 — RUMUS EXCEL: CORREL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(CORREL)</t>
        </is>
      </c>
    </row>
    <row r="5" ht="21" customHeight="1">
      <c r="B5" s="14" t="inlineStr">
        <is>
          <t>Nama Rumus Excel</t>
        </is>
      </c>
      <c r="C5" s="15">
        <f>CORREL(...)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CORREL(range_x, range_y)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Mengukur koefisien korelasi (-1 s/d +1) antara dua variabel.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CORREL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CORREL!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'=CORREL(B11:B14,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CORREL(B11:B14,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CORREL!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IF(E22='99_KUNCI_JAWABAN'!F605,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CORREL!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IF(E30='99_KUNCI_JAWABAN'!F606,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CORREL!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IF(E38='99_KUNCI_JAWABAN'!F607,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CORREL!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IF(E46='99_KUNCI_JAWABAN'!F608,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CORREL!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IF(E54='99_KUNCI_JAWABAN'!F609,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#122 — RUMUS EXCEL: COUNT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(COUNT)</t>
        </is>
      </c>
    </row>
    <row r="5" ht="21" customHeight="1">
      <c r="B5" s="14" t="inlineStr">
        <is>
          <t>Nama Rumus Excel</t>
        </is>
      </c>
      <c r="C5" s="15">
        <f>COUNT(...)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COUNT(range_data)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ada berapa banyak sel yang berisi ANGKA saja.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COUNT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COUNT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'=COUNT(C11:C14)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COUNT(C11:C14)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COUNT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IF(E22='99_KUNCI_JAWABAN'!F610,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COUNT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IF(E30='99_KUNCI_JAWABAN'!F611,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COUNT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IF(E38='99_KUNCI_JAWABAN'!F612,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COUNT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IF(E46='99_KUNCI_JAWABAN'!F613,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COUNT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IF(E54='99_KUNCI_JAWABAN'!F614,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#123 — RUMUS EXCEL: COUNTA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(COUNTA)</t>
        </is>
      </c>
    </row>
    <row r="5" ht="21" customHeight="1">
      <c r="B5" s="14" t="inlineStr">
        <is>
          <t>Nama Rumus Excel</t>
        </is>
      </c>
      <c r="C5" s="15">
        <f>COUNTA(...)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COUNTA(range_data)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berapa banyak sel yang TIDAK KOSONG (berisi angka maupun teks).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COUNTA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COUNTA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'=COUNTA(C11:C14)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COUNTA(C11:C14)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COUNTA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IF(E22='99_KUNCI_JAWABAN'!F615,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COUNTA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IF(E30='99_KUNCI_JAWABAN'!F616,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COUNTA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IF(E38='99_KUNCI_JAWABAN'!F617,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COUNTA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IF(E46='99_KUNCI_JAWABAN'!F618,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COUNTA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IF(E54='99_KUNCI_JAWABAN'!F619,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#124 — RUMUS EXCEL: COUNTBLANK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(COUNTBLANK)</t>
        </is>
      </c>
    </row>
    <row r="5" ht="21" customHeight="1">
      <c r="B5" s="14" t="inlineStr">
        <is>
          <t>Nama Rumus Excel</t>
        </is>
      </c>
      <c r="C5" s="15">
        <f>COUNTBLANK(...)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COUNTBLANK(range_data)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berapa banyak sel yang masih KOSONG (belum diisi).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COUNTBLANK DI SINI)</t>
        </is>
      </c>
    </row>
    <row r="10">
      <c r="B10" s="18" t="inlineStr">
        <is>
          <t>Unit / Peserta</t>
        </is>
      </c>
      <c r="C10" s="18" t="inlineStr">
        <is>
          <t>Data Terisi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berapa banyak sel yang masih kosong pada rentang data C11:C14 menggunakan fungsi COUNTBLANK!</t>
        </is>
      </c>
      <c r="G11" s="5" t="n"/>
    </row>
    <row r="12">
      <c r="B12" s="19" t="inlineStr">
        <is>
          <t>Simulasi Unit B</t>
        </is>
      </c>
      <c r="C12" s="19" t="inlineStr"/>
      <c r="E12" s="20" t="inlineStr">
        <is>
          <t>Contoh Rumus Benar:</t>
        </is>
      </c>
      <c r="F12" s="22" t="inlineStr">
        <is>
          <t>'=COUNTBLANK(C11:C14)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COUNTBLANK(C11:C14)</f>
        <v/>
      </c>
      <c r="G13" s="5" t="n"/>
    </row>
    <row r="14">
      <c r="B14" s="19" t="inlineStr">
        <is>
          <t>Simulasi Unit D</t>
        </is>
      </c>
      <c r="C14" s="19" t="inlineStr"/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Unit / Peserta</t>
        </is>
      </c>
      <c r="C20" s="14" t="inlineStr">
        <is>
          <t>Data Terisi</t>
        </is>
      </c>
      <c r="E20" s="27" t="inlineStr">
        <is>
          <t>Persoalan Tes #1: Hitung berapa banyak sel yang masih kosong pada rentang data C21:C24 menggunakan fungsi COUNTBLANK!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inlineStr"/>
      <c r="E22" s="28" t="n"/>
      <c r="F22" s="29">
        <f>IF(ISBLANK(E22), "⏳ Belum Diisi (Ketik Rumus di Sel Kuning E22)", IF(E22='99_KUNCI_JAWABAN'!F620,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inlineStr"/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Unit / Peserta</t>
        </is>
      </c>
      <c r="C28" s="14" t="inlineStr">
        <is>
          <t>Data Terisi</t>
        </is>
      </c>
      <c r="E28" s="27" t="inlineStr">
        <is>
          <t>Persoalan Tes #2: Hitung berapa banyak sel yang masih kosong pada rentang data C29:C32 menggunakan fungsi COUNTBLANK!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inlineStr"/>
      <c r="E30" s="28" t="n"/>
      <c r="F30" s="29">
        <f>IF(ISBLANK(E30), "⏳ Belum Diisi (Ketik Rumus di Sel Kuning E30)", IF(E30='99_KUNCI_JAWABAN'!F621,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inlineStr"/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Unit / Peserta</t>
        </is>
      </c>
      <c r="C36" s="14" t="inlineStr">
        <is>
          <t>Data Terisi</t>
        </is>
      </c>
      <c r="E36" s="27" t="inlineStr">
        <is>
          <t>Persoalan Tes #3: Hitung berapa banyak sel yang masih kosong pada rentang data C37:C40 menggunakan fungsi COUNTBLANK!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inlineStr"/>
      <c r="E38" s="28" t="n"/>
      <c r="F38" s="29">
        <f>IF(ISBLANK(E38), "⏳ Belum Diisi (Ketik Rumus di Sel Kuning E38)", IF(E38='99_KUNCI_JAWABAN'!F622,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inlineStr"/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Unit / Peserta</t>
        </is>
      </c>
      <c r="C44" s="14" t="inlineStr">
        <is>
          <t>Data Terisi</t>
        </is>
      </c>
      <c r="E44" s="27" t="inlineStr">
        <is>
          <t>Persoalan Tes #4: Hitung berapa banyak sel yang masih kosong pada rentang data C45:C48 menggunakan fungsi COUNTBLANK!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inlineStr"/>
      <c r="E46" s="28" t="n"/>
      <c r="F46" s="29">
        <f>IF(ISBLANK(E46), "⏳ Belum Diisi (Ketik Rumus di Sel Kuning E46)", IF(E46='99_KUNCI_JAWABAN'!F623,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inlineStr"/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Unit / Peserta</t>
        </is>
      </c>
      <c r="C52" s="14" t="inlineStr">
        <is>
          <t>Data Terisi</t>
        </is>
      </c>
      <c r="E52" s="27" t="inlineStr">
        <is>
          <t>Persoalan Tes #5: Hitung berapa banyak sel yang masih kosong pada rentang data C53:C56 menggunakan fungsi COUNTBLANK!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inlineStr"/>
      <c r="E54" s="28" t="n"/>
      <c r="F54" s="29">
        <f>IF(ISBLANK(E54), "⏳ Belum Diisi (Ketik Rumus di Sel Kuning E54)", IF(E54='99_KUNCI_JAWABAN'!F624,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inlineStr"/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#125 — RUMUS EXCEL: COUNTIF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(COUNTIF)</t>
        </is>
      </c>
    </row>
    <row r="5" ht="21" customHeight="1">
      <c r="B5" s="14" t="inlineStr">
        <is>
          <t>Nama Rumus Excel</t>
        </is>
      </c>
      <c r="C5" s="15">
        <f>COUNTIF(...)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COUNTIF(range_data, syarat)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jumlah sel yang memenuhi 1 kriteria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COUNTIF DI SINI)</t>
        </is>
      </c>
    </row>
    <row r="10">
      <c r="B10" s="18" t="inlineStr">
        <is>
          <t>Status Evaluasi</t>
        </is>
      </c>
      <c r="C10" s="18" t="inlineStr">
        <is>
          <t>Skor 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Lulus</t>
        </is>
      </c>
      <c r="C11" s="19" t="n">
        <v>90</v>
      </c>
      <c r="E11" s="20" t="inlineStr">
        <is>
          <t>Contoh Soal:</t>
        </is>
      </c>
      <c r="F11" s="21" t="inlineStr">
        <is>
          <t>Hitung berapa banyak peserta yang berstatus "Lulus" pada rentang B11:B14 menggunakan fungsi COUNTIF!</t>
        </is>
      </c>
      <c r="G11" s="5" t="n"/>
    </row>
    <row r="12">
      <c r="B12" s="19" t="inlineStr">
        <is>
          <t>Remedial</t>
        </is>
      </c>
      <c r="C12" s="19" t="n">
        <v>65</v>
      </c>
      <c r="E12" s="20" t="inlineStr">
        <is>
          <t>Contoh Rumus Benar:</t>
        </is>
      </c>
      <c r="F12" s="22" t="inlineStr">
        <is>
          <t>'=COUNTIF(B11:B14, "Lulus")</t>
        </is>
      </c>
      <c r="G12" s="5" t="n"/>
    </row>
    <row r="13">
      <c r="B13" s="19" t="inlineStr">
        <is>
          <t>Lulus</t>
        </is>
      </c>
      <c r="C13" s="19" t="n">
        <v>90</v>
      </c>
      <c r="E13" s="20" t="inlineStr">
        <is>
          <t>Contoh Hasil Benar:</t>
        </is>
      </c>
      <c r="F13" s="23">
        <f>COUNTIF(B11:B14, "Lulus")</f>
        <v/>
      </c>
      <c r="G13" s="5" t="n"/>
    </row>
    <row r="14">
      <c r="B14" s="19" t="inlineStr">
        <is>
          <t>Lulus</t>
        </is>
      </c>
      <c r="C14" s="19" t="n">
        <v>88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Status Evaluasi</t>
        </is>
      </c>
      <c r="C20" s="14" t="inlineStr">
        <is>
          <t>Skor Nilai</t>
        </is>
      </c>
      <c r="E20" s="27" t="inlineStr">
        <is>
          <t>Persoalan Tes #1: Hitung berapa banyak peserta yang berstatus "Lulus" pada rentang B21:B24 menggunakan fungsi COUNTIF!</t>
        </is>
      </c>
    </row>
    <row r="21">
      <c r="B21" s="19" t="inlineStr">
        <is>
          <t>Lulus</t>
        </is>
      </c>
      <c r="C21" s="19" t="n">
        <v>85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Remedial</t>
        </is>
      </c>
      <c r="C22" s="19" t="n">
        <v>65</v>
      </c>
      <c r="E22" s="28" t="n"/>
      <c r="F22" s="29">
        <f>IF(ISBLANK(E22), "⏳ Belum Diisi (Ketik Rumus di Sel Kuning E22)", IF(E22='99_KUNCI_JAWABAN'!F625, "✅ BENAR! JAWABAN TES TEPAT!", "❌ Belum Tepat (Cek Sheet Akhir: 99_KUNCI_JAWABAN)"))</f>
        <v/>
      </c>
      <c r="G22" s="5" t="n"/>
    </row>
    <row r="23">
      <c r="B23" s="19" t="inlineStr">
        <is>
          <t>Lulus</t>
        </is>
      </c>
      <c r="C23" s="19" t="n">
        <v>90</v>
      </c>
    </row>
    <row r="24">
      <c r="B24" s="19" t="inlineStr">
        <is>
          <t>Lulus</t>
        </is>
      </c>
      <c r="C24" s="19" t="n">
        <v>88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Status Evaluasi</t>
        </is>
      </c>
      <c r="C28" s="14" t="inlineStr">
        <is>
          <t>Skor Nilai</t>
        </is>
      </c>
      <c r="E28" s="27" t="inlineStr">
        <is>
          <t>Persoalan Tes #2: Hitung berapa banyak peserta yang berstatus "Lulus" pada rentang B29:B32 menggunakan fungsi COUNTIF!</t>
        </is>
      </c>
    </row>
    <row r="29">
      <c r="B29" s="19" t="inlineStr">
        <is>
          <t>Lulus</t>
        </is>
      </c>
      <c r="C29" s="19" t="n">
        <v>86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Remedial</t>
        </is>
      </c>
      <c r="C30" s="19" t="n">
        <v>65</v>
      </c>
      <c r="E30" s="28" t="n"/>
      <c r="F30" s="29">
        <f>IF(ISBLANK(E30), "⏳ Belum Diisi (Ketik Rumus di Sel Kuning E30)", IF(E30='99_KUNCI_JAWABAN'!F626, "✅ BENAR! JAWABAN TES TEPAT!", "❌ Belum Tepat (Cek Sheet Akhir: 99_KUNCI_JAWABAN)"))</f>
        <v/>
      </c>
      <c r="G30" s="5" t="n"/>
    </row>
    <row r="31">
      <c r="B31" s="19" t="inlineStr">
        <is>
          <t>Lulus</t>
        </is>
      </c>
      <c r="C31" s="19" t="n">
        <v>90</v>
      </c>
    </row>
    <row r="32">
      <c r="B32" s="19" t="inlineStr">
        <is>
          <t>Lulus</t>
        </is>
      </c>
      <c r="C32" s="19" t="n">
        <v>88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Status Evaluasi</t>
        </is>
      </c>
      <c r="C36" s="14" t="inlineStr">
        <is>
          <t>Skor Nilai</t>
        </is>
      </c>
      <c r="E36" s="27" t="inlineStr">
        <is>
          <t>Persoalan Tes #3: Hitung berapa banyak peserta yang berstatus "Lulus" pada rentang B37:B40 menggunakan fungsi COUNTIF!</t>
        </is>
      </c>
    </row>
    <row r="37">
      <c r="B37" s="19" t="inlineStr">
        <is>
          <t>Lulus</t>
        </is>
      </c>
      <c r="C37" s="19" t="n">
        <v>87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Remedial</t>
        </is>
      </c>
      <c r="C38" s="19" t="n">
        <v>65</v>
      </c>
      <c r="E38" s="28" t="n"/>
      <c r="F38" s="29">
        <f>IF(ISBLANK(E38), "⏳ Belum Diisi (Ketik Rumus di Sel Kuning E38)", IF(E38='99_KUNCI_JAWABAN'!F627, "✅ BENAR! JAWABAN TES TEPAT!", "❌ Belum Tepat (Cek Sheet Akhir: 99_KUNCI_JAWABAN)"))</f>
        <v/>
      </c>
      <c r="G38" s="5" t="n"/>
    </row>
    <row r="39">
      <c r="B39" s="19" t="inlineStr">
        <is>
          <t>Lulus</t>
        </is>
      </c>
      <c r="C39" s="19" t="n">
        <v>90</v>
      </c>
    </row>
    <row r="40">
      <c r="B40" s="19" t="inlineStr">
        <is>
          <t>Lulus</t>
        </is>
      </c>
      <c r="C40" s="19" t="n">
        <v>88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Status Evaluasi</t>
        </is>
      </c>
      <c r="C44" s="14" t="inlineStr">
        <is>
          <t>Skor Nilai</t>
        </is>
      </c>
      <c r="E44" s="27" t="inlineStr">
        <is>
          <t>Persoalan Tes #4: Hitung berapa banyak peserta yang berstatus "Lulus" pada rentang B45:B48 menggunakan fungsi COUNTIF!</t>
        </is>
      </c>
    </row>
    <row r="45">
      <c r="B45" s="19" t="inlineStr">
        <is>
          <t>Lulus</t>
        </is>
      </c>
      <c r="C45" s="19" t="n">
        <v>88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Remedial</t>
        </is>
      </c>
      <c r="C46" s="19" t="n">
        <v>65</v>
      </c>
      <c r="E46" s="28" t="n"/>
      <c r="F46" s="29">
        <f>IF(ISBLANK(E46), "⏳ Belum Diisi (Ketik Rumus di Sel Kuning E46)", IF(E46='99_KUNCI_JAWABAN'!F628, "✅ BENAR! JAWABAN TES TEPAT!", "❌ Belum Tepat (Cek Sheet Akhir: 99_KUNCI_JAWABAN)"))</f>
        <v/>
      </c>
      <c r="G46" s="5" t="n"/>
    </row>
    <row r="47">
      <c r="B47" s="19" t="inlineStr">
        <is>
          <t>Lulus</t>
        </is>
      </c>
      <c r="C47" s="19" t="n">
        <v>90</v>
      </c>
    </row>
    <row r="48">
      <c r="B48" s="19" t="inlineStr">
        <is>
          <t>Lulus</t>
        </is>
      </c>
      <c r="C48" s="19" t="n">
        <v>88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Status Evaluasi</t>
        </is>
      </c>
      <c r="C52" s="14" t="inlineStr">
        <is>
          <t>Skor Nilai</t>
        </is>
      </c>
      <c r="E52" s="27" t="inlineStr">
        <is>
          <t>Persoalan Tes #5: Hitung berapa banyak peserta yang berstatus "Lulus" pada rentang B53:B56 menggunakan fungsi COUNTIF!</t>
        </is>
      </c>
    </row>
    <row r="53">
      <c r="B53" s="19" t="inlineStr">
        <is>
          <t>Lulus</t>
        </is>
      </c>
      <c r="C53" s="19" t="n">
        <v>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Remedial</t>
        </is>
      </c>
      <c r="C54" s="19" t="n">
        <v>65</v>
      </c>
      <c r="E54" s="28" t="n"/>
      <c r="F54" s="29">
        <f>IF(ISBLANK(E54), "⏳ Belum Diisi (Ketik Rumus di Sel Kuning E54)", IF(E54='99_KUNCI_JAWABAN'!F629, "✅ BENAR! JAWABAN TES TEPAT!", "❌ Belum Tepat (Cek Sheet Akhir: 99_KUNCI_JAWABAN)"))</f>
        <v/>
      </c>
      <c r="G54" s="5" t="n"/>
    </row>
    <row r="55">
      <c r="B55" s="19" t="inlineStr">
        <is>
          <t>Lulus</t>
        </is>
      </c>
      <c r="C55" s="19" t="n">
        <v>90</v>
      </c>
    </row>
    <row r="56">
      <c r="B56" s="19" t="inlineStr">
        <is>
          <t>Lulus</t>
        </is>
      </c>
      <c r="C56" s="19" t="n">
        <v>88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#126 — RUMUS EXCEL: COUNTIFS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(COUNTIFS)</t>
        </is>
      </c>
    </row>
    <row r="5" ht="21" customHeight="1">
      <c r="B5" s="14" t="inlineStr">
        <is>
          <t>Nama Rumus Excel</t>
        </is>
      </c>
      <c r="C5" s="15">
        <f>COUNTIFS(...)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COUNTIFS(range1, syarat1, range2, syarat2)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jumlah baris data yang memenuhi banyak kriteria sekaligus.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COUNTIFS DI SINI)</t>
        </is>
      </c>
    </row>
    <row r="10">
      <c r="B10" s="18" t="inlineStr">
        <is>
          <t>Status Evaluasi</t>
        </is>
      </c>
      <c r="C10" s="18" t="inlineStr">
        <is>
          <t>Skor Nilai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Lulus</t>
        </is>
      </c>
      <c r="C11" s="19" t="n">
        <v>90</v>
      </c>
      <c r="E11" s="20" t="inlineStr">
        <is>
          <t>Contoh Soal:</t>
        </is>
      </c>
      <c r="F11" s="21" t="inlineStr">
        <is>
          <t>Hitung berapa banyak peserta yang berstatus "Lulus" di B11:B14 sekaligus memiliki skor minimal 80 ("&gt;=80") di C11:C14 menggunakan fungsi COUNTIFS!</t>
        </is>
      </c>
      <c r="G11" s="5" t="n"/>
    </row>
    <row r="12">
      <c r="B12" s="19" t="inlineStr">
        <is>
          <t>Remedial</t>
        </is>
      </c>
      <c r="C12" s="19" t="n">
        <v>65</v>
      </c>
      <c r="E12" s="20" t="inlineStr">
        <is>
          <t>Contoh Rumus Benar:</t>
        </is>
      </c>
      <c r="F12" s="22" t="inlineStr">
        <is>
          <t>'=COUNTIFS(B11:B14, "Lulus", C11:C14, "&gt;=80")</t>
        </is>
      </c>
      <c r="G12" s="5" t="n"/>
    </row>
    <row r="13">
      <c r="B13" s="19" t="inlineStr">
        <is>
          <t>Lulus</t>
        </is>
      </c>
      <c r="C13" s="19" t="n">
        <v>90</v>
      </c>
      <c r="E13" s="20" t="inlineStr">
        <is>
          <t>Contoh Hasil Benar:</t>
        </is>
      </c>
      <c r="F13" s="23">
        <f>COUNTIFS(B11:B14, "Lulus", C11:C14, "&gt;=80")</f>
        <v/>
      </c>
      <c r="G13" s="5" t="n"/>
    </row>
    <row r="14">
      <c r="B14" s="19" t="inlineStr">
        <is>
          <t>Lulus</t>
        </is>
      </c>
      <c r="C14" s="19" t="n">
        <v>88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Status Evaluasi</t>
        </is>
      </c>
      <c r="C20" s="14" t="inlineStr">
        <is>
          <t>Skor Nilai</t>
        </is>
      </c>
      <c r="E20" s="27" t="inlineStr">
        <is>
          <t>Persoalan Tes #1: Hitung berapa banyak peserta yang berstatus "Lulus" di B21:B24 sekaligus memiliki skor minimal 80 ("&gt;=80") di C21:C24 menggunakan fungsi COUNTIFS!</t>
        </is>
      </c>
    </row>
    <row r="21">
      <c r="B21" s="19" t="inlineStr">
        <is>
          <t>Lulus</t>
        </is>
      </c>
      <c r="C21" s="19" t="n">
        <v>85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Remedial</t>
        </is>
      </c>
      <c r="C22" s="19" t="n">
        <v>65</v>
      </c>
      <c r="E22" s="28" t="n"/>
      <c r="F22" s="29">
        <f>IF(ISBLANK(E22), "⏳ Belum Diisi (Ketik Rumus di Sel Kuning E22)", IF(E22='99_KUNCI_JAWABAN'!F630, "✅ BENAR! JAWABAN TES TEPAT!", "❌ Belum Tepat (Cek Sheet Akhir: 99_KUNCI_JAWABAN)"))</f>
        <v/>
      </c>
      <c r="G22" s="5" t="n"/>
    </row>
    <row r="23">
      <c r="B23" s="19" t="inlineStr">
        <is>
          <t>Lulus</t>
        </is>
      </c>
      <c r="C23" s="19" t="n">
        <v>90</v>
      </c>
    </row>
    <row r="24">
      <c r="B24" s="19" t="inlineStr">
        <is>
          <t>Lulus</t>
        </is>
      </c>
      <c r="C24" s="19" t="n">
        <v>88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Status Evaluasi</t>
        </is>
      </c>
      <c r="C28" s="14" t="inlineStr">
        <is>
          <t>Skor Nilai</t>
        </is>
      </c>
      <c r="E28" s="27" t="inlineStr">
        <is>
          <t>Persoalan Tes #2: Hitung berapa banyak peserta yang berstatus "Lulus" di B29:B32 sekaligus memiliki skor minimal 80 ("&gt;=80") di C29:C32 menggunakan fungsi COUNTIFS!</t>
        </is>
      </c>
    </row>
    <row r="29">
      <c r="B29" s="19" t="inlineStr">
        <is>
          <t>Lulus</t>
        </is>
      </c>
      <c r="C29" s="19" t="n">
        <v>86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Remedial</t>
        </is>
      </c>
      <c r="C30" s="19" t="n">
        <v>65</v>
      </c>
      <c r="E30" s="28" t="n"/>
      <c r="F30" s="29">
        <f>IF(ISBLANK(E30), "⏳ Belum Diisi (Ketik Rumus di Sel Kuning E30)", IF(E30='99_KUNCI_JAWABAN'!F631, "✅ BENAR! JAWABAN TES TEPAT!", "❌ Belum Tepat (Cek Sheet Akhir: 99_KUNCI_JAWABAN)"))</f>
        <v/>
      </c>
      <c r="G30" s="5" t="n"/>
    </row>
    <row r="31">
      <c r="B31" s="19" t="inlineStr">
        <is>
          <t>Lulus</t>
        </is>
      </c>
      <c r="C31" s="19" t="n">
        <v>90</v>
      </c>
    </row>
    <row r="32">
      <c r="B32" s="19" t="inlineStr">
        <is>
          <t>Lulus</t>
        </is>
      </c>
      <c r="C32" s="19" t="n">
        <v>88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Status Evaluasi</t>
        </is>
      </c>
      <c r="C36" s="14" t="inlineStr">
        <is>
          <t>Skor Nilai</t>
        </is>
      </c>
      <c r="E36" s="27" t="inlineStr">
        <is>
          <t>Persoalan Tes #3: Hitung berapa banyak peserta yang berstatus "Lulus" di B37:B40 sekaligus memiliki skor minimal 80 ("&gt;=80") di C37:C40 menggunakan fungsi COUNTIFS!</t>
        </is>
      </c>
    </row>
    <row r="37">
      <c r="B37" s="19" t="inlineStr">
        <is>
          <t>Lulus</t>
        </is>
      </c>
      <c r="C37" s="19" t="n">
        <v>87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Remedial</t>
        </is>
      </c>
      <c r="C38" s="19" t="n">
        <v>65</v>
      </c>
      <c r="E38" s="28" t="n"/>
      <c r="F38" s="29">
        <f>IF(ISBLANK(E38), "⏳ Belum Diisi (Ketik Rumus di Sel Kuning E38)", IF(E38='99_KUNCI_JAWABAN'!F632, "✅ BENAR! JAWABAN TES TEPAT!", "❌ Belum Tepat (Cek Sheet Akhir: 99_KUNCI_JAWABAN)"))</f>
        <v/>
      </c>
      <c r="G38" s="5" t="n"/>
    </row>
    <row r="39">
      <c r="B39" s="19" t="inlineStr">
        <is>
          <t>Lulus</t>
        </is>
      </c>
      <c r="C39" s="19" t="n">
        <v>90</v>
      </c>
    </row>
    <row r="40">
      <c r="B40" s="19" t="inlineStr">
        <is>
          <t>Lulus</t>
        </is>
      </c>
      <c r="C40" s="19" t="n">
        <v>88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Status Evaluasi</t>
        </is>
      </c>
      <c r="C44" s="14" t="inlineStr">
        <is>
          <t>Skor Nilai</t>
        </is>
      </c>
      <c r="E44" s="27" t="inlineStr">
        <is>
          <t>Persoalan Tes #4: Hitung berapa banyak peserta yang berstatus "Lulus" di B45:B48 sekaligus memiliki skor minimal 80 ("&gt;=80") di C45:C48 menggunakan fungsi COUNTIFS!</t>
        </is>
      </c>
    </row>
    <row r="45">
      <c r="B45" s="19" t="inlineStr">
        <is>
          <t>Lulus</t>
        </is>
      </c>
      <c r="C45" s="19" t="n">
        <v>88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Remedial</t>
        </is>
      </c>
      <c r="C46" s="19" t="n">
        <v>65</v>
      </c>
      <c r="E46" s="28" t="n"/>
      <c r="F46" s="29">
        <f>IF(ISBLANK(E46), "⏳ Belum Diisi (Ketik Rumus di Sel Kuning E46)", IF(E46='99_KUNCI_JAWABAN'!F633, "✅ BENAR! JAWABAN TES TEPAT!", "❌ Belum Tepat (Cek Sheet Akhir: 99_KUNCI_JAWABAN)"))</f>
        <v/>
      </c>
      <c r="G46" s="5" t="n"/>
    </row>
    <row r="47">
      <c r="B47" s="19" t="inlineStr">
        <is>
          <t>Lulus</t>
        </is>
      </c>
      <c r="C47" s="19" t="n">
        <v>90</v>
      </c>
    </row>
    <row r="48">
      <c r="B48" s="19" t="inlineStr">
        <is>
          <t>Lulus</t>
        </is>
      </c>
      <c r="C48" s="19" t="n">
        <v>88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Status Evaluasi</t>
        </is>
      </c>
      <c r="C52" s="14" t="inlineStr">
        <is>
          <t>Skor Nilai</t>
        </is>
      </c>
      <c r="E52" s="27" t="inlineStr">
        <is>
          <t>Persoalan Tes #5: Hitung berapa banyak peserta yang berstatus "Lulus" di B53:B56 sekaligus memiliki skor minimal 80 ("&gt;=80") di C53:C56 menggunakan fungsi COUNTIFS!</t>
        </is>
      </c>
    </row>
    <row r="53">
      <c r="B53" s="19" t="inlineStr">
        <is>
          <t>Lulus</t>
        </is>
      </c>
      <c r="C53" s="19" t="n">
        <v>89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Remedial</t>
        </is>
      </c>
      <c r="C54" s="19" t="n">
        <v>65</v>
      </c>
      <c r="E54" s="28" t="n"/>
      <c r="F54" s="29">
        <f>IF(ISBLANK(E54), "⏳ Belum Diisi (Ketik Rumus di Sel Kuning E54)", IF(E54='99_KUNCI_JAWABAN'!F634, "✅ BENAR! JAWABAN TES TEPAT!", "❌ Belum Tepat (Cek Sheet Akhir: 99_KUNCI_JAWABAN)"))</f>
        <v/>
      </c>
      <c r="G54" s="5" t="n"/>
    </row>
    <row r="55">
      <c r="B55" s="19" t="inlineStr">
        <is>
          <t>Lulus</t>
        </is>
      </c>
      <c r="C55" s="19" t="n">
        <v>90</v>
      </c>
    </row>
    <row r="56">
      <c r="B56" s="19" t="inlineStr">
        <is>
          <t>Lulus</t>
        </is>
      </c>
      <c r="C56" s="19" t="n">
        <v>88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#127 — RUMUS EXCEL: COVARIANCE.P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(COVARIANCE.P)</t>
        </is>
      </c>
    </row>
    <row r="5" ht="21" customHeight="1">
      <c r="B5" s="14" t="inlineStr">
        <is>
          <t>Nama Rumus Excel</t>
        </is>
      </c>
      <c r="C5" s="15">
        <f>COVARIANCE.P(...)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COVARIANCE.P(range_x, range_y)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kovarians populasi antara dua 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COVARIANCE.P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COVARIANCE.P!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'=COVARIANCE.P(B11:B14,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COVARIANCE.P(B11:B14,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COVARIANCE.P!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IF(E22='99_KUNCI_JAWABAN'!F635,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COVARIANCE.P!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IF(E30='99_KUNCI_JAWABAN'!F636,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COVARIANCE.P!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IF(E38='99_KUNCI_JAWABAN'!F637,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COVARIANCE.P!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IF(E46='99_KUNCI_JAWABAN'!F638,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COVARIANCE.P!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IF(E54='99_KUNCI_JAWABAN'!F639,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#128 — RUMUS EXCEL: COVARIANCE.T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(COVARIANCE.T)</t>
        </is>
      </c>
    </row>
    <row r="5" ht="21" customHeight="1">
      <c r="B5" s="14" t="inlineStr">
        <is>
          <t>Nama Rumus Excel</t>
        </is>
      </c>
      <c r="C5" s="15">
        <f>COVARIANCE.T(...)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COVARIANCE.S(range_x, range_y)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kovarians sampel antara dua variabel pengamatan.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COVARIANCE.T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COVARIANCE.T!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'=COVARIANCE.S(B11:B14,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COVARIANCE.S(B11:B14,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COVARIANCE.T!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IF(E22='99_KUNCI_JAWABAN'!F640,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COVARIANCE.T!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IF(E30='99_KUNCI_JAWABAN'!F641,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COVARIANCE.T!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IF(E38='99_KUNCI_JAWABAN'!F642,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COVARIANCE.T!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IF(E46='99_KUNCI_JAWABAN'!F643,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COVARIANCE.T!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IF(E54='99_KUNCI_JAWABAN'!F644,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#129 — RUMUS EXCEL: CRITBINOM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(CRITBINOM)</t>
        </is>
      </c>
    </row>
    <row r="5" ht="21" customHeight="1">
      <c r="B5" s="14" t="inlineStr">
        <is>
          <t>Nama Rumus Excel</t>
        </is>
      </c>
      <c r="C5" s="15">
        <f>CRITBINOM(...)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CRITBINOM(cobaan, prob_sukses, alpha)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batas kritis distribusi binomial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CRITBINOM DI SINI)</t>
        </is>
      </c>
    </row>
    <row r="10">
      <c r="B10" s="18" t="inlineStr">
        <is>
          <t>Parameter Binomial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Total Percobaan (C11)</t>
        </is>
      </c>
      <c r="C11" s="19" t="n">
        <v>20</v>
      </c>
      <c r="E11" s="20" t="inlineStr">
        <is>
          <t>Contoh Soal:</t>
        </is>
      </c>
      <c r="F11" s="21" t="inlineStr">
        <is>
          <t>Cari nilai batas kritis binomial menggunakan fungsi CRITBINOM dengan argumen berurutan C11, C12, dan C13!</t>
        </is>
      </c>
      <c r="G11" s="5" t="n"/>
    </row>
    <row r="12">
      <c r="B12" s="19" t="inlineStr">
        <is>
          <t>Peluang Sukses (C12)</t>
        </is>
      </c>
      <c r="C12" s="19" t="n">
        <v>0.5</v>
      </c>
      <c r="E12" s="20" t="inlineStr">
        <is>
          <t>Contoh Rumus Benar:</t>
        </is>
      </c>
      <c r="F12" s="22" t="inlineStr">
        <is>
          <t>'=CRITBINOM(C11, C12, C13)</t>
        </is>
      </c>
      <c r="G12" s="5" t="n"/>
    </row>
    <row r="13">
      <c r="B13" s="19" t="inlineStr">
        <is>
          <t>Alpha Kriteria (C13)</t>
        </is>
      </c>
      <c r="C13" s="19" t="n">
        <v>0.75</v>
      </c>
      <c r="E13" s="20" t="inlineStr">
        <is>
          <t>Contoh Hasil Benar:</t>
        </is>
      </c>
      <c r="F13" s="23">
        <f>CRITBINOM(C11,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Binomial</t>
        </is>
      </c>
      <c r="C20" s="14" t="inlineStr">
        <is>
          <t>Nilai Input</t>
        </is>
      </c>
      <c r="E20" s="27" t="inlineStr">
        <is>
          <t>Persoalan Tes #1: Cari nilai batas kritis binomial menggunakan fungsi CRITBINOM dengan argumen berurutan C21, C22, dan C23!</t>
        </is>
      </c>
    </row>
    <row r="21">
      <c r="B21" s="19" t="inlineStr">
        <is>
          <t>Total Percobaan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Peluang Sukses (C22)</t>
        </is>
      </c>
      <c r="C22" s="19" t="n">
        <v>0.5</v>
      </c>
      <c r="E22" s="28" t="n"/>
      <c r="F22" s="29">
        <f>IF(ISBLANK(E22), "⏳ Belum Diisi (Ketik Rumus di Sel Kuning E22)", IF(E22='99_KUNCI_JAWABAN'!F645, "✅ BENAR! JAWABAN TES TEPAT!", "❌ Belum Tepat (Cek Sheet Akhir: 99_KUNCI_JAWABAN)"))</f>
        <v/>
      </c>
      <c r="G22" s="5" t="n"/>
    </row>
    <row r="23">
      <c r="B23" s="19" t="inlineStr">
        <is>
          <t>Alpha Kriteria (C23)</t>
        </is>
      </c>
      <c r="C23" s="19" t="n">
        <v>0.5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Binomial</t>
        </is>
      </c>
      <c r="C28" s="14" t="inlineStr">
        <is>
          <t>Nilai Input</t>
        </is>
      </c>
      <c r="E28" s="27" t="inlineStr">
        <is>
          <t>Persoalan Tes #2: Cari nilai batas kritis binomial menggunakan fungsi CRITBINOM dengan argumen berurutan C29, C30, dan C31!</t>
        </is>
      </c>
    </row>
    <row r="29">
      <c r="B29" s="19" t="inlineStr">
        <is>
          <t>Total Percobaan (C29)</t>
        </is>
      </c>
      <c r="C29" s="19" t="n">
        <v>12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Peluang Sukses (C30)</t>
        </is>
      </c>
      <c r="C30" s="19" t="n">
        <v>0.5</v>
      </c>
      <c r="E30" s="28" t="n"/>
      <c r="F30" s="29">
        <f>IF(ISBLANK(E30), "⏳ Belum Diisi (Ketik Rumus di Sel Kuning E30)", IF(E30='99_KUNCI_JAWABAN'!F646, "✅ BENAR! JAWABAN TES TEPAT!", "❌ Belum Tepat (Cek Sheet Akhir: 99_KUNCI_JAWABAN)"))</f>
        <v/>
      </c>
      <c r="G30" s="5" t="n"/>
    </row>
    <row r="31">
      <c r="B31" s="19" t="inlineStr">
        <is>
          <t>Alpha Kriteria (C31)</t>
        </is>
      </c>
      <c r="C31" s="19" t="n">
        <v>0.55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Binomial</t>
        </is>
      </c>
      <c r="C36" s="14" t="inlineStr">
        <is>
          <t>Nilai Input</t>
        </is>
      </c>
      <c r="E36" s="27" t="inlineStr">
        <is>
          <t>Persoalan Tes #3: Cari nilai batas kritis binomial menggunakan fungsi CRITBINOM dengan argumen berurutan C37, C38, dan C39!</t>
        </is>
      </c>
    </row>
    <row r="37">
      <c r="B37" s="19" t="inlineStr">
        <is>
          <t>Total Percobaan (C37)</t>
        </is>
      </c>
      <c r="C37" s="19" t="n">
        <v>14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Peluang Sukses (C38)</t>
        </is>
      </c>
      <c r="C38" s="19" t="n">
        <v>0.5</v>
      </c>
      <c r="E38" s="28" t="n"/>
      <c r="F38" s="29">
        <f>IF(ISBLANK(E38), "⏳ Belum Diisi (Ketik Rumus di Sel Kuning E38)", IF(E38='99_KUNCI_JAWABAN'!F647, "✅ BENAR! JAWABAN TES TEPAT!", "❌ Belum Tepat (Cek Sheet Akhir: 99_KUNCI_JAWABAN)"))</f>
        <v/>
      </c>
      <c r="G38" s="5" t="n"/>
    </row>
    <row r="39">
      <c r="B39" s="19" t="inlineStr">
        <is>
          <t>Alpha Kriteria (C39)</t>
        </is>
      </c>
      <c r="C39" s="19" t="n">
        <v>0.6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Binomial</t>
        </is>
      </c>
      <c r="C44" s="14" t="inlineStr">
        <is>
          <t>Nilai Input</t>
        </is>
      </c>
      <c r="E44" s="27" t="inlineStr">
        <is>
          <t>Persoalan Tes #4: Cari nilai batas kritis binomial menggunakan fungsi CRITBINOM dengan argumen berurutan C45, C46, dan C47!</t>
        </is>
      </c>
    </row>
    <row r="45">
      <c r="B45" s="19" t="inlineStr">
        <is>
          <t>Total Percobaan (C45)</t>
        </is>
      </c>
      <c r="C45" s="19" t="n">
        <v>16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Peluang Sukses (C46)</t>
        </is>
      </c>
      <c r="C46" s="19" t="n">
        <v>0.5</v>
      </c>
      <c r="E46" s="28" t="n"/>
      <c r="F46" s="29">
        <f>IF(ISBLANK(E46), "⏳ Belum Diisi (Ketik Rumus di Sel Kuning E46)", IF(E46='99_KUNCI_JAWABAN'!F648, "✅ BENAR! JAWABAN TES TEPAT!", "❌ Belum Tepat (Cek Sheet Akhir: 99_KUNCI_JAWABAN)"))</f>
        <v/>
      </c>
      <c r="G46" s="5" t="n"/>
    </row>
    <row r="47">
      <c r="B47" s="19" t="inlineStr">
        <is>
          <t>Alpha Kriteria (C47)</t>
        </is>
      </c>
      <c r="C47" s="19" t="n">
        <v>0.65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Binomial</t>
        </is>
      </c>
      <c r="C52" s="14" t="inlineStr">
        <is>
          <t>Nilai Input</t>
        </is>
      </c>
      <c r="E52" s="27" t="inlineStr">
        <is>
          <t>Persoalan Tes #5: Cari nilai batas kritis binomial menggunakan fungsi CRITBINOM dengan argumen berurutan C53, C54, dan C55!</t>
        </is>
      </c>
    </row>
    <row r="53">
      <c r="B53" s="19" t="inlineStr">
        <is>
          <t>Total Percobaan (C53)</t>
        </is>
      </c>
      <c r="C53" s="19" t="n">
        <v>18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Peluang Sukses (C54)</t>
        </is>
      </c>
      <c r="C54" s="19" t="n">
        <v>0.5</v>
      </c>
      <c r="E54" s="28" t="n"/>
      <c r="F54" s="29">
        <f>IF(ISBLANK(E54), "⏳ Belum Diisi (Ketik Rumus di Sel Kuning E54)", IF(E54='99_KUNCI_JAWABAN'!F649, "✅ BENAR! JAWABAN TES TEPAT!", "❌ Belum Tepat (Cek Sheet Akhir: 99_KUNCI_JAWABAN)"))</f>
        <v/>
      </c>
      <c r="G54" s="5" t="n"/>
    </row>
    <row r="55">
      <c r="B55" s="19" t="inlineStr">
        <is>
          <t>Alpha Kriteria (C55)</t>
        </is>
      </c>
      <c r="C55" s="19" t="n">
        <v>0.7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#130 — RUMUS EXCEL: DEVSQ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(DEVSQ)</t>
        </is>
      </c>
    </row>
    <row r="5" ht="21" customHeight="1">
      <c r="B5" s="14" t="inlineStr">
        <is>
          <t>Nama Rumus Excel</t>
        </is>
      </c>
      <c r="C5" s="15">
        <f>DEVSQ(...)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DEVSQ(range_data)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jumlah kuadrat simpangan data dari rata-ratanya.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DEVSQ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DEVSQ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'=DEVSQ(C11:C14)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DEVSQ(C11:C14)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DEVSQ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IF(E22='99_KUNCI_JAWABAN'!F650,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DEVSQ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IF(E30='99_KUNCI_JAWABAN'!F651,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DEVSQ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IF(E38='99_KUNCI_JAWABAN'!F652,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DEVSQ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IF(E46='99_KUNCI_JAWABAN'!F653,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DEVSQ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IF(E54='99_KUNCI_JAWABAN'!F654,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#131 — RUMUS EXCEL: EXPON.DIST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(EXPON.DIST)</t>
        </is>
      </c>
    </row>
    <row r="5" ht="21" customHeight="1">
      <c r="B5" s="14" t="inlineStr">
        <is>
          <t>Nama Rumus Excel</t>
        </is>
      </c>
      <c r="C5" s="15">
        <f>EXPON.DIST(...)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EXPON.DIST(x, lambda,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eksponensial (untuk memodelkan waktu tunggu antar-kejadian).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EXPON.DIST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7</v>
      </c>
      <c r="E11" s="20" t="inlineStr">
        <is>
          <t>Contoh Soal:</t>
        </is>
      </c>
      <c r="F11" s="21" t="inlineStr">
        <is>
          <t>Hitung nilai distribusi kumulatif (TRUE) menggunakan fungsi EXPON.DIST dengan argumen C11, C12, dan TRUE!</t>
        </is>
      </c>
      <c r="G11" s="5" t="n"/>
    </row>
    <row r="12">
      <c r="B12" s="19" t="inlineStr">
        <is>
          <t>Derajat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'=EXPON.DIST(C11, C12, TRUE)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EXPON.DIST(C11, C12, TRUE)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EXPON.DIST dengan argumen C21, C22, dan TRUE!</t>
        </is>
      </c>
    </row>
    <row r="21">
      <c r="B21" s="19" t="inlineStr">
        <is>
          <t>Nilai X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/ Mean (C22)</t>
        </is>
      </c>
      <c r="C22" s="19" t="n">
        <v>5</v>
      </c>
      <c r="E22" s="28" t="n"/>
      <c r="F22" s="29">
        <f>IF(ISBLANK(E22), "⏳ Belum Diisi (Ketik Rumus di Sel Kuning E22)", IF(E22='99_KUNCI_JAWABAN'!F655,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EXPON.DIST dengan argumen C29, C30, dan TRUE!</t>
        </is>
      </c>
    </row>
    <row r="29">
      <c r="B29" s="19" t="inlineStr">
        <is>
          <t>Nilai X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/ Mean (C30)</t>
        </is>
      </c>
      <c r="C30" s="19" t="n">
        <v>6</v>
      </c>
      <c r="E30" s="28" t="n"/>
      <c r="F30" s="29">
        <f>IF(ISBLANK(E30), "⏳ Belum Diisi (Ketik Rumus di Sel Kuning E30)", IF(E30='99_KUNCI_JAWABAN'!F656,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EXPON.DIST dengan argumen C37, C38, dan TRUE!</t>
        </is>
      </c>
    </row>
    <row r="37">
      <c r="B37" s="19" t="inlineStr">
        <is>
          <t>Nilai X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/ Mean (C38)</t>
        </is>
      </c>
      <c r="C38" s="19" t="n">
        <v>7</v>
      </c>
      <c r="E38" s="28" t="n"/>
      <c r="F38" s="29">
        <f>IF(ISBLANK(E38), "⏳ Belum Diisi (Ketik Rumus di Sel Kuning E38)", IF(E38='99_KUNCI_JAWABAN'!F657,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EXPON.DIST dengan argumen C45, C46, dan TRUE!</t>
        </is>
      </c>
    </row>
    <row r="45">
      <c r="B45" s="19" t="inlineStr">
        <is>
          <t>Nilai X (C45)</t>
        </is>
      </c>
      <c r="C45" s="19" t="n">
        <v>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/ Mean (C46)</t>
        </is>
      </c>
      <c r="C46" s="19" t="n">
        <v>8</v>
      </c>
      <c r="E46" s="28" t="n"/>
      <c r="F46" s="29">
        <f>IF(ISBLANK(E46), "⏳ Belum Diisi (Ketik Rumus di Sel Kuning E46)", IF(E46='99_KUNCI_JAWABAN'!F658,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EXPON.DIST dengan argumen C53, C54, dan TRUE!</t>
        </is>
      </c>
    </row>
    <row r="53">
      <c r="B53" s="19" t="inlineStr">
        <is>
          <t>Nilai X (C53)</t>
        </is>
      </c>
      <c r="C53" s="19" t="n">
        <v>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/ Mean (C54)</t>
        </is>
      </c>
      <c r="C54" s="19" t="n">
        <v>9</v>
      </c>
      <c r="E54" s="28" t="n"/>
      <c r="F54" s="29">
        <f>IF(ISBLANK(E54), "⏳ Belum Diisi (Ketik Rumus di Sel Kuning E54)", IF(E54='99_KUNCI_JAWABAN'!F659,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#132 — RUMUS EXCEL: F.DIST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(F.DIST)</t>
        </is>
      </c>
    </row>
    <row r="5" ht="21" customHeight="1">
      <c r="B5" s="14" t="inlineStr">
        <is>
          <t>Nama Rumus Excel</t>
        </is>
      </c>
      <c r="C5" s="15">
        <f>F.DIST(...)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F.DIST(x, deg_freedom1, deg_freedom2,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probabilitas F untuk membandingkan tingkat keragaman.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F.DIST DI SINI)</t>
        </is>
      </c>
    </row>
    <row r="10">
      <c r="B10" s="18" t="inlineStr">
        <is>
          <t>Parameter F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2.8</v>
      </c>
      <c r="E11" s="20" t="inlineStr">
        <is>
          <t>Contoh Soal:</t>
        </is>
      </c>
      <c r="F11" s="21" t="inlineStr">
        <is>
          <t>Hitung distribusi F kumulatif menggunakan fungsi F.DIST dengan argumen C11, C12, C13, dan TRUE!</t>
        </is>
      </c>
      <c r="G11" s="5" t="n"/>
    </row>
    <row r="12">
      <c r="B12" s="19" t="inlineStr">
        <is>
          <t>Deg Freedom 1 (C12)</t>
        </is>
      </c>
      <c r="C12" s="19" t="n">
        <v>4</v>
      </c>
      <c r="E12" s="20" t="inlineStr">
        <is>
          <t>Contoh Rumus Benar:</t>
        </is>
      </c>
      <c r="F12" s="22" t="inlineStr">
        <is>
          <t>'=F.DIST(C11, C12, C13, TRUE)</t>
        </is>
      </c>
      <c r="G12" s="5" t="n"/>
    </row>
    <row r="13">
      <c r="B13" s="19" t="inlineStr">
        <is>
          <t>Deg Freedom 2 (C13)</t>
        </is>
      </c>
      <c r="C13" s="19" t="n">
        <v>15</v>
      </c>
      <c r="E13" s="20" t="inlineStr">
        <is>
          <t>Contoh Hasil Benar:</t>
        </is>
      </c>
      <c r="F13" s="23">
        <f>F.DIST(C11,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F</t>
        </is>
      </c>
      <c r="C20" s="14" t="inlineStr">
        <is>
          <t>Nilai Input</t>
        </is>
      </c>
      <c r="E20" s="27" t="inlineStr">
        <is>
          <t>Persoalan Tes #1: Hitung distribusi F kumulatif menggunakan fungsi F.DIST dengan argumen C21, C22, C23, dan TRUE!</t>
        </is>
      </c>
    </row>
    <row r="21">
      <c r="B21" s="19" t="inlineStr">
        <is>
          <t>Nilai X (C21)</t>
        </is>
      </c>
      <c r="C21" s="19" t="n">
        <v>1.8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Deg Freedom 1 (C22)</t>
        </is>
      </c>
      <c r="C22" s="19" t="n">
        <v>4</v>
      </c>
      <c r="E22" s="28" t="n"/>
      <c r="F22" s="29">
        <f>IF(ISBLANK(E22), "⏳ Belum Diisi (Ketik Rumus di Sel Kuning E22)", IF(E22='99_KUNCI_JAWABAN'!F660, "✅ BENAR! JAWABAN TES TEPAT!", "❌ Belum Tepat (Cek Sheet Akhir: 99_KUNCI_JAWABAN)"))</f>
        <v/>
      </c>
      <c r="G22" s="5" t="n"/>
    </row>
    <row r="23">
      <c r="B23" s="19" t="inlineStr">
        <is>
          <t>Deg Freedom 2 (C23)</t>
        </is>
      </c>
      <c r="C23" s="19" t="n">
        <v>10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F</t>
        </is>
      </c>
      <c r="C28" s="14" t="inlineStr">
        <is>
          <t>Nilai Input</t>
        </is>
      </c>
      <c r="E28" s="27" t="inlineStr">
        <is>
          <t>Persoalan Tes #2: Hitung distribusi F kumulatif menggunakan fungsi F.DIST dengan argumen C29, C30, C31, dan TRUE!</t>
        </is>
      </c>
    </row>
    <row r="29">
      <c r="B29" s="19" t="inlineStr">
        <is>
          <t>Nilai X (C29)</t>
        </is>
      </c>
      <c r="C29" s="19" t="n">
        <v>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Deg Freedom 1 (C30)</t>
        </is>
      </c>
      <c r="C30" s="19" t="n">
        <v>4</v>
      </c>
      <c r="E30" s="28" t="n"/>
      <c r="F30" s="29">
        <f>IF(ISBLANK(E30), "⏳ Belum Diisi (Ketik Rumus di Sel Kuning E30)", IF(E30='99_KUNCI_JAWABAN'!F661, "✅ BENAR! JAWABAN TES TEPAT!", "❌ Belum Tepat (Cek Sheet Akhir: 99_KUNCI_JAWABAN)"))</f>
        <v/>
      </c>
      <c r="G30" s="5" t="n"/>
    </row>
    <row r="31">
      <c r="B31" s="19" t="inlineStr">
        <is>
          <t>Deg Freedom 2 (C31)</t>
        </is>
      </c>
      <c r="C31" s="19" t="n">
        <v>11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F</t>
        </is>
      </c>
      <c r="C36" s="14" t="inlineStr">
        <is>
          <t>Nilai Input</t>
        </is>
      </c>
      <c r="E36" s="27" t="inlineStr">
        <is>
          <t>Persoalan Tes #3: Hitung distribusi F kumulatif menggunakan fungsi F.DIST dengan argumen C37, C38, C39, dan TRUE!</t>
        </is>
      </c>
    </row>
    <row r="37">
      <c r="B37" s="19" t="inlineStr">
        <is>
          <t>Nilai X (C37)</t>
        </is>
      </c>
      <c r="C37" s="19" t="n">
        <v>2.2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Deg Freedom 1 (C38)</t>
        </is>
      </c>
      <c r="C38" s="19" t="n">
        <v>4</v>
      </c>
      <c r="E38" s="28" t="n"/>
      <c r="F38" s="29">
        <f>IF(ISBLANK(E38), "⏳ Belum Diisi (Ketik Rumus di Sel Kuning E38)", IF(E38='99_KUNCI_JAWABAN'!F662, "✅ BENAR! JAWABAN TES TEPAT!", "❌ Belum Tepat (Cek Sheet Akhir: 99_KUNCI_JAWABAN)"))</f>
        <v/>
      </c>
      <c r="G38" s="5" t="n"/>
    </row>
    <row r="39">
      <c r="B39" s="19" t="inlineStr">
        <is>
          <t>Deg Freedom 2 (C39)</t>
        </is>
      </c>
      <c r="C39" s="19" t="n">
        <v>12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F</t>
        </is>
      </c>
      <c r="C44" s="14" t="inlineStr">
        <is>
          <t>Nilai Input</t>
        </is>
      </c>
      <c r="E44" s="27" t="inlineStr">
        <is>
          <t>Persoalan Tes #4: Hitung distribusi F kumulatif menggunakan fungsi F.DIST dengan argumen C45, C46, C47, dan TRUE!</t>
        </is>
      </c>
    </row>
    <row r="45">
      <c r="B45" s="19" t="inlineStr">
        <is>
          <t>Nilai X (C45)</t>
        </is>
      </c>
      <c r="C45" s="19" t="n">
        <v>2.4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Deg Freedom 1 (C46)</t>
        </is>
      </c>
      <c r="C46" s="19" t="n">
        <v>4</v>
      </c>
      <c r="E46" s="28" t="n"/>
      <c r="F46" s="29">
        <f>IF(ISBLANK(E46), "⏳ Belum Diisi (Ketik Rumus di Sel Kuning E46)", IF(E46='99_KUNCI_JAWABAN'!F663, "✅ BENAR! JAWABAN TES TEPAT!", "❌ Belum Tepat (Cek Sheet Akhir: 99_KUNCI_JAWABAN)"))</f>
        <v/>
      </c>
      <c r="G46" s="5" t="n"/>
    </row>
    <row r="47">
      <c r="B47" s="19" t="inlineStr">
        <is>
          <t>Deg Freedom 2 (C47)</t>
        </is>
      </c>
      <c r="C47" s="19" t="n">
        <v>13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F</t>
        </is>
      </c>
      <c r="C52" s="14" t="inlineStr">
        <is>
          <t>Nilai Input</t>
        </is>
      </c>
      <c r="E52" s="27" t="inlineStr">
        <is>
          <t>Persoalan Tes #5: Hitung distribusi F kumulatif menggunakan fungsi F.DIST dengan argumen C53, C54, C55, dan TRUE!</t>
        </is>
      </c>
    </row>
    <row r="53">
      <c r="B53" s="19" t="inlineStr">
        <is>
          <t>Nilai X (C53)</t>
        </is>
      </c>
      <c r="C53" s="19" t="n">
        <v>2.6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Deg Freedom 1 (C54)</t>
        </is>
      </c>
      <c r="C54" s="19" t="n">
        <v>4</v>
      </c>
      <c r="E54" s="28" t="n"/>
      <c r="F54" s="29">
        <f>IF(ISBLANK(E54), "⏳ Belum Diisi (Ketik Rumus di Sel Kuning E54)", IF(E54='99_KUNCI_JAWABAN'!F664, "✅ BENAR! JAWABAN TES TEPAT!", "❌ Belum Tepat (Cek Sheet Akhir: 99_KUNCI_JAWABAN)"))</f>
        <v/>
      </c>
      <c r="G54" s="5" t="n"/>
    </row>
    <row r="55">
      <c r="B55" s="19" t="inlineStr">
        <is>
          <t>Deg Freedom 2 (C55)</t>
        </is>
      </c>
      <c r="C55" s="19" t="n">
        <v>14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#133 — RUMUS EXCEL: F.DIST.RT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(F.DIST.RT)</t>
        </is>
      </c>
    </row>
    <row r="5" ht="21" customHeight="1">
      <c r="B5" s="14" t="inlineStr">
        <is>
          <t>Nama Rumus Excel</t>
        </is>
      </c>
      <c r="C5" s="15">
        <f>F.DIST.RT(...)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F.DIST.RT(x, deg_freedom1, deg_freedom2)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probabilitas F ekor kanan (Right-Tailed).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F.DIST.RT DI SINI)</t>
        </is>
      </c>
    </row>
    <row r="10">
      <c r="B10" s="18" t="inlineStr">
        <is>
          <t>Parameter F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2.8</v>
      </c>
      <c r="E11" s="20" t="inlineStr">
        <is>
          <t>Contoh Soal:</t>
        </is>
      </c>
      <c r="F11" s="21" t="inlineStr">
        <is>
          <t>Hitung probabilitas distribusi F ekor kanan menggunakan fungsi F.DIST.RT dengan argumen C11, C12, dan C13!</t>
        </is>
      </c>
      <c r="G11" s="5" t="n"/>
    </row>
    <row r="12">
      <c r="B12" s="19" t="inlineStr">
        <is>
          <t>Deg Freedom 1 (C12)</t>
        </is>
      </c>
      <c r="C12" s="19" t="n">
        <v>4</v>
      </c>
      <c r="E12" s="20" t="inlineStr">
        <is>
          <t>Contoh Rumus Benar:</t>
        </is>
      </c>
      <c r="F12" s="22" t="inlineStr">
        <is>
          <t>'=F.DIST.RT(C11, C12, C13)</t>
        </is>
      </c>
      <c r="G12" s="5" t="n"/>
    </row>
    <row r="13">
      <c r="B13" s="19" t="inlineStr">
        <is>
          <t>Deg Freedom 2 (C13)</t>
        </is>
      </c>
      <c r="C13" s="19" t="n">
        <v>15</v>
      </c>
      <c r="E13" s="20" t="inlineStr">
        <is>
          <t>Contoh Hasil Benar:</t>
        </is>
      </c>
      <c r="F13" s="23">
        <f>F.DIST.RT(C11,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F</t>
        </is>
      </c>
      <c r="C20" s="14" t="inlineStr">
        <is>
          <t>Nilai Input</t>
        </is>
      </c>
      <c r="E20" s="27" t="inlineStr">
        <is>
          <t>Persoalan Tes #1: Hitung probabilitas distribusi F ekor kanan menggunakan fungsi F.DIST.RT dengan argumen C21, C22, dan C23!</t>
        </is>
      </c>
    </row>
    <row r="21">
      <c r="B21" s="19" t="inlineStr">
        <is>
          <t>Nilai X (C21)</t>
        </is>
      </c>
      <c r="C21" s="19" t="n">
        <v>1.8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Deg Freedom 1 (C22)</t>
        </is>
      </c>
      <c r="C22" s="19" t="n">
        <v>4</v>
      </c>
      <c r="E22" s="28" t="n"/>
      <c r="F22" s="29">
        <f>IF(ISBLANK(E22), "⏳ Belum Diisi (Ketik Rumus di Sel Kuning E22)", IF(E22='99_KUNCI_JAWABAN'!F665, "✅ BENAR! JAWABAN TES TEPAT!", "❌ Belum Tepat (Cek Sheet Akhir: 99_KUNCI_JAWABAN)"))</f>
        <v/>
      </c>
      <c r="G22" s="5" t="n"/>
    </row>
    <row r="23">
      <c r="B23" s="19" t="inlineStr">
        <is>
          <t>Deg Freedom 2 (C23)</t>
        </is>
      </c>
      <c r="C23" s="19" t="n">
        <v>10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F</t>
        </is>
      </c>
      <c r="C28" s="14" t="inlineStr">
        <is>
          <t>Nilai Input</t>
        </is>
      </c>
      <c r="E28" s="27" t="inlineStr">
        <is>
          <t>Persoalan Tes #2: Hitung probabilitas distribusi F ekor kanan menggunakan fungsi F.DIST.RT dengan argumen C29, C30, dan C31!</t>
        </is>
      </c>
    </row>
    <row r="29">
      <c r="B29" s="19" t="inlineStr">
        <is>
          <t>Nilai X (C29)</t>
        </is>
      </c>
      <c r="C29" s="19" t="n">
        <v>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Deg Freedom 1 (C30)</t>
        </is>
      </c>
      <c r="C30" s="19" t="n">
        <v>4</v>
      </c>
      <c r="E30" s="28" t="n"/>
      <c r="F30" s="29">
        <f>IF(ISBLANK(E30), "⏳ Belum Diisi (Ketik Rumus di Sel Kuning E30)", IF(E30='99_KUNCI_JAWABAN'!F666, "✅ BENAR! JAWABAN TES TEPAT!", "❌ Belum Tepat (Cek Sheet Akhir: 99_KUNCI_JAWABAN)"))</f>
        <v/>
      </c>
      <c r="G30" s="5" t="n"/>
    </row>
    <row r="31">
      <c r="B31" s="19" t="inlineStr">
        <is>
          <t>Deg Freedom 2 (C31)</t>
        </is>
      </c>
      <c r="C31" s="19" t="n">
        <v>11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F</t>
        </is>
      </c>
      <c r="C36" s="14" t="inlineStr">
        <is>
          <t>Nilai Input</t>
        </is>
      </c>
      <c r="E36" s="27" t="inlineStr">
        <is>
          <t>Persoalan Tes #3: Hitung probabilitas distribusi F ekor kanan menggunakan fungsi F.DIST.RT dengan argumen C37, C38, dan C39!</t>
        </is>
      </c>
    </row>
    <row r="37">
      <c r="B37" s="19" t="inlineStr">
        <is>
          <t>Nilai X (C37)</t>
        </is>
      </c>
      <c r="C37" s="19" t="n">
        <v>2.2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Deg Freedom 1 (C38)</t>
        </is>
      </c>
      <c r="C38" s="19" t="n">
        <v>4</v>
      </c>
      <c r="E38" s="28" t="n"/>
      <c r="F38" s="29">
        <f>IF(ISBLANK(E38), "⏳ Belum Diisi (Ketik Rumus di Sel Kuning E38)", IF(E38='99_KUNCI_JAWABAN'!F667, "✅ BENAR! JAWABAN TES TEPAT!", "❌ Belum Tepat (Cek Sheet Akhir: 99_KUNCI_JAWABAN)"))</f>
        <v/>
      </c>
      <c r="G38" s="5" t="n"/>
    </row>
    <row r="39">
      <c r="B39" s="19" t="inlineStr">
        <is>
          <t>Deg Freedom 2 (C39)</t>
        </is>
      </c>
      <c r="C39" s="19" t="n">
        <v>12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F</t>
        </is>
      </c>
      <c r="C44" s="14" t="inlineStr">
        <is>
          <t>Nilai Input</t>
        </is>
      </c>
      <c r="E44" s="27" t="inlineStr">
        <is>
          <t>Persoalan Tes #4: Hitung probabilitas distribusi F ekor kanan menggunakan fungsi F.DIST.RT dengan argumen C45, C46, dan C47!</t>
        </is>
      </c>
    </row>
    <row r="45">
      <c r="B45" s="19" t="inlineStr">
        <is>
          <t>Nilai X (C45)</t>
        </is>
      </c>
      <c r="C45" s="19" t="n">
        <v>2.4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Deg Freedom 1 (C46)</t>
        </is>
      </c>
      <c r="C46" s="19" t="n">
        <v>4</v>
      </c>
      <c r="E46" s="28" t="n"/>
      <c r="F46" s="29">
        <f>IF(ISBLANK(E46), "⏳ Belum Diisi (Ketik Rumus di Sel Kuning E46)", IF(E46='99_KUNCI_JAWABAN'!F668, "✅ BENAR! JAWABAN TES TEPAT!", "❌ Belum Tepat (Cek Sheet Akhir: 99_KUNCI_JAWABAN)"))</f>
        <v/>
      </c>
      <c r="G46" s="5" t="n"/>
    </row>
    <row r="47">
      <c r="B47" s="19" t="inlineStr">
        <is>
          <t>Deg Freedom 2 (C47)</t>
        </is>
      </c>
      <c r="C47" s="19" t="n">
        <v>13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F</t>
        </is>
      </c>
      <c r="C52" s="14" t="inlineStr">
        <is>
          <t>Nilai Input</t>
        </is>
      </c>
      <c r="E52" s="27" t="inlineStr">
        <is>
          <t>Persoalan Tes #5: Hitung probabilitas distribusi F ekor kanan menggunakan fungsi F.DIST.RT dengan argumen C53, C54, dan C55!</t>
        </is>
      </c>
    </row>
    <row r="53">
      <c r="B53" s="19" t="inlineStr">
        <is>
          <t>Nilai X (C53)</t>
        </is>
      </c>
      <c r="C53" s="19" t="n">
        <v>2.6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Deg Freedom 1 (C54)</t>
        </is>
      </c>
      <c r="C54" s="19" t="n">
        <v>4</v>
      </c>
      <c r="E54" s="28" t="n"/>
      <c r="F54" s="29">
        <f>IF(ISBLANK(E54), "⏳ Belum Diisi (Ketik Rumus di Sel Kuning E54)", IF(E54='99_KUNCI_JAWABAN'!F669, "✅ BENAR! JAWABAN TES TEPAT!", "❌ Belum Tepat (Cek Sheet Akhir: 99_KUNCI_JAWABAN)"))</f>
        <v/>
      </c>
      <c r="G54" s="5" t="n"/>
    </row>
    <row r="55">
      <c r="B55" s="19" t="inlineStr">
        <is>
          <t>Deg Freedom 2 (C55)</t>
        </is>
      </c>
      <c r="C55" s="19" t="n">
        <v>14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#134 — RUMUS EXCEL: F.INV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(F.INV)</t>
        </is>
      </c>
    </row>
    <row r="5" ht="21" customHeight="1">
      <c r="B5" s="14" t="inlineStr">
        <is>
          <t>Nama Rumus Excel</t>
        </is>
      </c>
      <c r="C5" s="15">
        <f>F.INV(...)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F.INV(probabilitas, deg_freedom1, deg_freedom2)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invers dari distribusi probabilitas F ekor kiri.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F.INV DI SINI)</t>
        </is>
      </c>
    </row>
    <row r="10">
      <c r="B10" s="18" t="inlineStr">
        <is>
          <t>Parameter F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F menggunakan fungsi F.INV dengan argumen berurutan C11, C12, dan C13!</t>
        </is>
      </c>
      <c r="G11" s="5" t="n"/>
    </row>
    <row r="12">
      <c r="B12" s="19" t="inlineStr">
        <is>
          <t>Deg Freedom 1 (C12)</t>
        </is>
      </c>
      <c r="C12" s="19" t="n">
        <v>4</v>
      </c>
      <c r="E12" s="20" t="inlineStr">
        <is>
          <t>Contoh Rumus Benar:</t>
        </is>
      </c>
      <c r="F12" s="22" t="inlineStr">
        <is>
          <t>'=F.INV(C11, C12, C13)</t>
        </is>
      </c>
      <c r="G12" s="5" t="n"/>
    </row>
    <row r="13">
      <c r="B13" s="19" t="inlineStr">
        <is>
          <t>Deg Freedom 2 (C13)</t>
        </is>
      </c>
      <c r="C13" s="19" t="n">
        <v>15</v>
      </c>
      <c r="E13" s="20" t="inlineStr">
        <is>
          <t>Contoh Hasil Benar:</t>
        </is>
      </c>
      <c r="F13" s="23">
        <f>F.INV(C11,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F</t>
        </is>
      </c>
      <c r="C20" s="14" t="inlineStr">
        <is>
          <t>Nilai Input</t>
        </is>
      </c>
      <c r="E20" s="27" t="inlineStr">
        <is>
          <t>Persoalan Tes #1: Hitung nilai invers distribusi F menggunakan fungsi F.INV dengan argumen berurutan C21, C22, dan C23!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Deg Freedom 1 (C22)</t>
        </is>
      </c>
      <c r="C22" s="19" t="n">
        <v>4</v>
      </c>
      <c r="E22" s="28" t="n"/>
      <c r="F22" s="29">
        <f>IF(ISBLANK(E22), "⏳ Belum Diisi (Ketik Rumus di Sel Kuning E22)", IF(E22='99_KUNCI_JAWABAN'!F670, "✅ BENAR! JAWABAN TES TEPAT!", "❌ Belum Tepat (Cek Sheet Akhir: 99_KUNCI_JAWABAN)"))</f>
        <v/>
      </c>
      <c r="G22" s="5" t="n"/>
    </row>
    <row r="23">
      <c r="B23" s="19" t="inlineStr">
        <is>
          <t>Deg Freedom 2 (C23)</t>
        </is>
      </c>
      <c r="C23" s="19" t="n">
        <v>10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F</t>
        </is>
      </c>
      <c r="C28" s="14" t="inlineStr">
        <is>
          <t>Nilai Input</t>
        </is>
      </c>
      <c r="E28" s="27" t="inlineStr">
        <is>
          <t>Persoalan Tes #2: Hitung nilai invers distribusi F menggunakan fungsi F.INV dengan argumen berurutan C29, C30, dan C31!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Deg Freedom 1 (C30)</t>
        </is>
      </c>
      <c r="C30" s="19" t="n">
        <v>4</v>
      </c>
      <c r="E30" s="28" t="n"/>
      <c r="F30" s="29">
        <f>IF(ISBLANK(E30), "⏳ Belum Diisi (Ketik Rumus di Sel Kuning E30)", IF(E30='99_KUNCI_JAWABAN'!F671, "✅ BENAR! JAWABAN TES TEPAT!", "❌ Belum Tepat (Cek Sheet Akhir: 99_KUNCI_JAWABAN)"))</f>
        <v/>
      </c>
      <c r="G30" s="5" t="n"/>
    </row>
    <row r="31">
      <c r="B31" s="19" t="inlineStr">
        <is>
          <t>Deg Freedom 2 (C31)</t>
        </is>
      </c>
      <c r="C31" s="19" t="n">
        <v>11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F</t>
        </is>
      </c>
      <c r="C36" s="14" t="inlineStr">
        <is>
          <t>Nilai Input</t>
        </is>
      </c>
      <c r="E36" s="27" t="inlineStr">
        <is>
          <t>Persoalan Tes #3: Hitung nilai invers distribusi F menggunakan fungsi F.INV dengan argumen berurutan C37, C38, dan C39!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Deg Freedom 1 (C38)</t>
        </is>
      </c>
      <c r="C38" s="19" t="n">
        <v>4</v>
      </c>
      <c r="E38" s="28" t="n"/>
      <c r="F38" s="29">
        <f>IF(ISBLANK(E38), "⏳ Belum Diisi (Ketik Rumus di Sel Kuning E38)", IF(E38='99_KUNCI_JAWABAN'!F672, "✅ BENAR! JAWABAN TES TEPAT!", "❌ Belum Tepat (Cek Sheet Akhir: 99_KUNCI_JAWABAN)"))</f>
        <v/>
      </c>
      <c r="G38" s="5" t="n"/>
    </row>
    <row r="39">
      <c r="B39" s="19" t="inlineStr">
        <is>
          <t>Deg Freedom 2 (C39)</t>
        </is>
      </c>
      <c r="C39" s="19" t="n">
        <v>12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F</t>
        </is>
      </c>
      <c r="C44" s="14" t="inlineStr">
        <is>
          <t>Nilai Input</t>
        </is>
      </c>
      <c r="E44" s="27" t="inlineStr">
        <is>
          <t>Persoalan Tes #4: Hitung nilai invers distribusi F menggunakan fungsi F.INV dengan argumen berurutan C45, C46, dan C47!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Deg Freedom 1 (C46)</t>
        </is>
      </c>
      <c r="C46" s="19" t="n">
        <v>4</v>
      </c>
      <c r="E46" s="28" t="n"/>
      <c r="F46" s="29">
        <f>IF(ISBLANK(E46), "⏳ Belum Diisi (Ketik Rumus di Sel Kuning E46)", IF(E46='99_KUNCI_JAWABAN'!F673, "✅ BENAR! JAWABAN TES TEPAT!", "❌ Belum Tepat (Cek Sheet Akhir: 99_KUNCI_JAWABAN)"))</f>
        <v/>
      </c>
      <c r="G46" s="5" t="n"/>
    </row>
    <row r="47">
      <c r="B47" s="19" t="inlineStr">
        <is>
          <t>Deg Freedom 2 (C47)</t>
        </is>
      </c>
      <c r="C47" s="19" t="n">
        <v>13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F</t>
        </is>
      </c>
      <c r="C52" s="14" t="inlineStr">
        <is>
          <t>Nilai Input</t>
        </is>
      </c>
      <c r="E52" s="27" t="inlineStr">
        <is>
          <t>Persoalan Tes #5: Hitung nilai invers distribusi F menggunakan fungsi F.INV dengan argumen berurutan C53, C54, dan C55!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Deg Freedom 1 (C54)</t>
        </is>
      </c>
      <c r="C54" s="19" t="n">
        <v>4</v>
      </c>
      <c r="E54" s="28" t="n"/>
      <c r="F54" s="29">
        <f>IF(ISBLANK(E54), "⏳ Belum Diisi (Ketik Rumus di Sel Kuning E54)", IF(E54='99_KUNCI_JAWABAN'!F674, "✅ BENAR! JAWABAN TES TEPAT!", "❌ Belum Tepat (Cek Sheet Akhir: 99_KUNCI_JAWABAN)"))</f>
        <v/>
      </c>
      <c r="G54" s="5" t="n"/>
    </row>
    <row r="55">
      <c r="B55" s="19" t="inlineStr">
        <is>
          <t>Deg Freedom 2 (C55)</t>
        </is>
      </c>
      <c r="C55" s="19" t="n">
        <v>14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#135 — RUMUS EXCEL: F.INV.RT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(F.INV.RT)</t>
        </is>
      </c>
    </row>
    <row r="5" ht="21" customHeight="1">
      <c r="B5" s="14" t="inlineStr">
        <is>
          <t>Nama Rumus Excel</t>
        </is>
      </c>
      <c r="C5" s="15">
        <f>F.INV.RT(...)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F.INV.RT(probabilitas, deg_freedom1, deg_freedom2)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invers dari distribusi probabilitas F ekor kanan.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F.INV.RT DI SINI)</t>
        </is>
      </c>
    </row>
    <row r="10">
      <c r="B10" s="18" t="inlineStr">
        <is>
          <t>Parameter F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F menggunakan fungsi F.INV.RT dengan argumen berurutan C11, C12, dan C13!</t>
        </is>
      </c>
      <c r="G11" s="5" t="n"/>
    </row>
    <row r="12">
      <c r="B12" s="19" t="inlineStr">
        <is>
          <t>Deg Freedom 1 (C12)</t>
        </is>
      </c>
      <c r="C12" s="19" t="n">
        <v>4</v>
      </c>
      <c r="E12" s="20" t="inlineStr">
        <is>
          <t>Contoh Rumus Benar:</t>
        </is>
      </c>
      <c r="F12" s="22" t="inlineStr">
        <is>
          <t>'=F.INV.RT(C11, C12, C13)</t>
        </is>
      </c>
      <c r="G12" s="5" t="n"/>
    </row>
    <row r="13">
      <c r="B13" s="19" t="inlineStr">
        <is>
          <t>Deg Freedom 2 (C13)</t>
        </is>
      </c>
      <c r="C13" s="19" t="n">
        <v>15</v>
      </c>
      <c r="E13" s="20" t="inlineStr">
        <is>
          <t>Contoh Hasil Benar:</t>
        </is>
      </c>
      <c r="F13" s="23">
        <f>F.INV.RT(C11,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F</t>
        </is>
      </c>
      <c r="C20" s="14" t="inlineStr">
        <is>
          <t>Nilai Input</t>
        </is>
      </c>
      <c r="E20" s="27" t="inlineStr">
        <is>
          <t>Persoalan Tes #1: Hitung nilai invers distribusi F menggunakan fungsi F.INV.RT dengan argumen berurutan C21, C22, dan C23!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Deg Freedom 1 (C22)</t>
        </is>
      </c>
      <c r="C22" s="19" t="n">
        <v>4</v>
      </c>
      <c r="E22" s="28" t="n"/>
      <c r="F22" s="29">
        <f>IF(ISBLANK(E22), "⏳ Belum Diisi (Ketik Rumus di Sel Kuning E22)", IF(E22='99_KUNCI_JAWABAN'!F675, "✅ BENAR! JAWABAN TES TEPAT!", "❌ Belum Tepat (Cek Sheet Akhir: 99_KUNCI_JAWABAN)"))</f>
        <v/>
      </c>
      <c r="G22" s="5" t="n"/>
    </row>
    <row r="23">
      <c r="B23" s="19" t="inlineStr">
        <is>
          <t>Deg Freedom 2 (C23)</t>
        </is>
      </c>
      <c r="C23" s="19" t="n">
        <v>10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F</t>
        </is>
      </c>
      <c r="C28" s="14" t="inlineStr">
        <is>
          <t>Nilai Input</t>
        </is>
      </c>
      <c r="E28" s="27" t="inlineStr">
        <is>
          <t>Persoalan Tes #2: Hitung nilai invers distribusi F menggunakan fungsi F.INV.RT dengan argumen berurutan C29, C30, dan C31!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Deg Freedom 1 (C30)</t>
        </is>
      </c>
      <c r="C30" s="19" t="n">
        <v>4</v>
      </c>
      <c r="E30" s="28" t="n"/>
      <c r="F30" s="29">
        <f>IF(ISBLANK(E30), "⏳ Belum Diisi (Ketik Rumus di Sel Kuning E30)", IF(E30='99_KUNCI_JAWABAN'!F676, "✅ BENAR! JAWABAN TES TEPAT!", "❌ Belum Tepat (Cek Sheet Akhir: 99_KUNCI_JAWABAN)"))</f>
        <v/>
      </c>
      <c r="G30" s="5" t="n"/>
    </row>
    <row r="31">
      <c r="B31" s="19" t="inlineStr">
        <is>
          <t>Deg Freedom 2 (C31)</t>
        </is>
      </c>
      <c r="C31" s="19" t="n">
        <v>11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F</t>
        </is>
      </c>
      <c r="C36" s="14" t="inlineStr">
        <is>
          <t>Nilai Input</t>
        </is>
      </c>
      <c r="E36" s="27" t="inlineStr">
        <is>
          <t>Persoalan Tes #3: Hitung nilai invers distribusi F menggunakan fungsi F.INV.RT dengan argumen berurutan C37, C38, dan C39!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Deg Freedom 1 (C38)</t>
        </is>
      </c>
      <c r="C38" s="19" t="n">
        <v>4</v>
      </c>
      <c r="E38" s="28" t="n"/>
      <c r="F38" s="29">
        <f>IF(ISBLANK(E38), "⏳ Belum Diisi (Ketik Rumus di Sel Kuning E38)", IF(E38='99_KUNCI_JAWABAN'!F677, "✅ BENAR! JAWABAN TES TEPAT!", "❌ Belum Tepat (Cek Sheet Akhir: 99_KUNCI_JAWABAN)"))</f>
        <v/>
      </c>
      <c r="G38" s="5" t="n"/>
    </row>
    <row r="39">
      <c r="B39" s="19" t="inlineStr">
        <is>
          <t>Deg Freedom 2 (C39)</t>
        </is>
      </c>
      <c r="C39" s="19" t="n">
        <v>12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F</t>
        </is>
      </c>
      <c r="C44" s="14" t="inlineStr">
        <is>
          <t>Nilai Input</t>
        </is>
      </c>
      <c r="E44" s="27" t="inlineStr">
        <is>
          <t>Persoalan Tes #4: Hitung nilai invers distribusi F menggunakan fungsi F.INV.RT dengan argumen berurutan C45, C46, dan C47!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Deg Freedom 1 (C46)</t>
        </is>
      </c>
      <c r="C46" s="19" t="n">
        <v>4</v>
      </c>
      <c r="E46" s="28" t="n"/>
      <c r="F46" s="29">
        <f>IF(ISBLANK(E46), "⏳ Belum Diisi (Ketik Rumus di Sel Kuning E46)", IF(E46='99_KUNCI_JAWABAN'!F678, "✅ BENAR! JAWABAN TES TEPAT!", "❌ Belum Tepat (Cek Sheet Akhir: 99_KUNCI_JAWABAN)"))</f>
        <v/>
      </c>
      <c r="G46" s="5" t="n"/>
    </row>
    <row r="47">
      <c r="B47" s="19" t="inlineStr">
        <is>
          <t>Deg Freedom 2 (C47)</t>
        </is>
      </c>
      <c r="C47" s="19" t="n">
        <v>13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F</t>
        </is>
      </c>
      <c r="C52" s="14" t="inlineStr">
        <is>
          <t>Nilai Input</t>
        </is>
      </c>
      <c r="E52" s="27" t="inlineStr">
        <is>
          <t>Persoalan Tes #5: Hitung nilai invers distribusi F menggunakan fungsi F.INV.RT dengan argumen berurutan C53, C54, dan C55!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Deg Freedom 1 (C54)</t>
        </is>
      </c>
      <c r="C54" s="19" t="n">
        <v>4</v>
      </c>
      <c r="E54" s="28" t="n"/>
      <c r="F54" s="29">
        <f>IF(ISBLANK(E54), "⏳ Belum Diisi (Ketik Rumus di Sel Kuning E54)", IF(E54='99_KUNCI_JAWABAN'!F679, "✅ BENAR! JAWABAN TES TEPAT!", "❌ Belum Tepat (Cek Sheet Akhir: 99_KUNCI_JAWABAN)"))</f>
        <v/>
      </c>
      <c r="G54" s="5" t="n"/>
    </row>
    <row r="55">
      <c r="B55" s="19" t="inlineStr">
        <is>
          <t>Deg Freedom 2 (C55)</t>
        </is>
      </c>
      <c r="C55" s="19" t="n">
        <v>14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#136 — RUMUS EXCEL: FTEST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(FTEST)</t>
        </is>
      </c>
    </row>
    <row r="5" ht="21" customHeight="1">
      <c r="B5" s="14" t="inlineStr">
        <is>
          <t>Nama Rumus Excel</t>
        </is>
      </c>
      <c r="C5" s="15">
        <f>FTEST(...)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FTEST(array1, array2)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hasil uji-F untuk membandingkan varians dari dua sampel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FTEST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FTEST!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'=FTEST(B11:B14,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FTEST(B11:B14,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FTEST!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IF(E22='99_KUNCI_JAWABAN'!F680,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FTEST!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IF(E30='99_KUNCI_JAWABAN'!F681,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FTEST!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IF(E38='99_KUNCI_JAWABAN'!F682,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FTEST!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IF(E46='99_KUNCI_JAWABAN'!F683,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FTEST!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IF(E54='99_KUNCI_JAWABAN'!F684,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#137 — RUMUS EXCEL: FISHER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(FISHER)</t>
        </is>
      </c>
    </row>
    <row r="5" ht="21" customHeight="1">
      <c r="B5" s="14" t="inlineStr">
        <is>
          <t>Nama Rumus Excel</t>
        </is>
      </c>
      <c r="C5" s="15">
        <f>FISHER(...)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FISHER(x)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transformasi Fisher pada nilai koefisien korelasi r (-1 &lt; x &lt; 1).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FISHER DI SINI)</t>
        </is>
      </c>
    </row>
    <row r="10">
      <c r="B10" s="18" t="inlineStr">
        <is>
          <t>Parameter Statistik</t>
        </is>
      </c>
      <c r="C10" s="18" t="inlineStr">
        <is>
          <t>Nilai Koefisien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0.75</v>
      </c>
      <c r="E11" s="20" t="inlineStr">
        <is>
          <t>Contoh Soal:</t>
        </is>
      </c>
      <c r="F11" s="21" t="inlineStr">
        <is>
          <t>Hitung hasil transformasi FISHER untuk nilai koefisien pada sel C11 (0.75)!</t>
        </is>
      </c>
      <c r="G11" s="5" t="n"/>
    </row>
    <row r="12">
      <c r="B12" s="19" t="inlineStr">
        <is>
          <t>Simulasi Unit B</t>
        </is>
      </c>
      <c r="C12" s="19" t="n">
        <v>0.4</v>
      </c>
      <c r="E12" s="20" t="inlineStr">
        <is>
          <t>Contoh Rumus Benar:</t>
        </is>
      </c>
      <c r="F12" s="22" t="inlineStr">
        <is>
          <t>'=FISHER(C11)</t>
        </is>
      </c>
      <c r="G12" s="5" t="n"/>
    </row>
    <row r="13">
      <c r="B13" s="19" t="inlineStr">
        <is>
          <t>Simulasi Unit C</t>
        </is>
      </c>
      <c r="C13" s="19" t="n">
        <v>0.5</v>
      </c>
      <c r="E13" s="20" t="inlineStr">
        <is>
          <t>Contoh Hasil Benar:</t>
        </is>
      </c>
      <c r="F13" s="23">
        <f>FISHER(C11)</f>
        <v/>
      </c>
      <c r="G13" s="5" t="n"/>
    </row>
    <row r="14">
      <c r="B14" s="19" t="inlineStr">
        <is>
          <t>Simulasi Unit D</t>
        </is>
      </c>
      <c r="C14" s="19" t="n">
        <v>0.6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Statistik</t>
        </is>
      </c>
      <c r="C20" s="14" t="inlineStr">
        <is>
          <t>Nilai Koefisien</t>
        </is>
      </c>
      <c r="E20" s="27" t="inlineStr">
        <is>
          <t>Persoalan Tes #1: Hitung hasil transformasi FISHER untuk nilai koefisien pada sel C21 (0.25)!</t>
        </is>
      </c>
    </row>
    <row r="21">
      <c r="B21" s="19" t="inlineStr">
        <is>
          <t>Cabang Jakarta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0.4</v>
      </c>
      <c r="E22" s="28" t="n"/>
      <c r="F22" s="29">
        <f>IF(ISBLANK(E22), "⏳ Belum Diisi (Ketik Rumus di Sel Kuning E22)", IF(E22='99_KUNCI_JAWABAN'!F685,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0.5</v>
      </c>
    </row>
    <row r="24">
      <c r="B24" s="19" t="inlineStr">
        <is>
          <t>Cabang Medan</t>
        </is>
      </c>
      <c r="C24" s="19" t="n">
        <v>0.6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Statistik</t>
        </is>
      </c>
      <c r="C28" s="14" t="inlineStr">
        <is>
          <t>Nilai Koefisien</t>
        </is>
      </c>
      <c r="E28" s="27" t="inlineStr">
        <is>
          <t>Persoalan Tes #2: Hitung hasil transformasi FISHER untuk nilai koefisien pada sel C29 (0.35)!</t>
        </is>
      </c>
    </row>
    <row r="29">
      <c r="B29" s="19" t="inlineStr">
        <is>
          <t>Budi Santoso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0.4</v>
      </c>
      <c r="E30" s="28" t="n"/>
      <c r="F30" s="29">
        <f>IF(ISBLANK(E30), "⏳ Belum Diisi (Ketik Rumus di Sel Kuning E30)", IF(E30='99_KUNCI_JAWABAN'!F686,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0.5</v>
      </c>
    </row>
    <row r="32">
      <c r="B32" s="19" t="inlineStr">
        <is>
          <t>Rina Wijaya</t>
        </is>
      </c>
      <c r="C32" s="19" t="n">
        <v>0.6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Statistik</t>
        </is>
      </c>
      <c r="C36" s="14" t="inlineStr">
        <is>
          <t>Nilai Koefisien</t>
        </is>
      </c>
      <c r="E36" s="27" t="inlineStr">
        <is>
          <t>Persoalan Tes #3: Hitung hasil transformasi FISHER untuk nilai koefisien pada sel C37 (0.45)!</t>
        </is>
      </c>
    </row>
    <row r="37">
      <c r="B37" s="19" t="inlineStr">
        <is>
          <t>Gudang Blok A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0.4</v>
      </c>
      <c r="E38" s="28" t="n"/>
      <c r="F38" s="29">
        <f>IF(ISBLANK(E38), "⏳ Belum Diisi (Ketik Rumus di Sel Kuning E38)", IF(E38='99_KUNCI_JAWABAN'!F687,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0.5</v>
      </c>
    </row>
    <row r="40">
      <c r="B40" s="19" t="inlineStr">
        <is>
          <t>Gudang Blok D</t>
        </is>
      </c>
      <c r="C40" s="19" t="n">
        <v>0.6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Statistik</t>
        </is>
      </c>
      <c r="C44" s="14" t="inlineStr">
        <is>
          <t>Nilai Koefisien</t>
        </is>
      </c>
      <c r="E44" s="27" t="inlineStr">
        <is>
          <t>Persoalan Tes #4: Hitung hasil transformasi FISHER untuk nilai koefisien pada sel C45 (0.55)!</t>
        </is>
      </c>
    </row>
    <row r="45">
      <c r="B45" s="19" t="inlineStr">
        <is>
          <t>Toko Elektronik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0.4</v>
      </c>
      <c r="E46" s="28" t="n"/>
      <c r="F46" s="29">
        <f>IF(ISBLANK(E46), "⏳ Belum Diisi (Ketik Rumus di Sel Kuning E46)", IF(E46='99_KUNCI_JAWABAN'!F688,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0.5</v>
      </c>
    </row>
    <row r="48">
      <c r="B48" s="19" t="inlineStr">
        <is>
          <t>Toko Servis</t>
        </is>
      </c>
      <c r="C48" s="19" t="n">
        <v>0.6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Statistik</t>
        </is>
      </c>
      <c r="C52" s="14" t="inlineStr">
        <is>
          <t>Nilai Koefisien</t>
        </is>
      </c>
      <c r="E52" s="27" t="inlineStr">
        <is>
          <t>Persoalan Tes #5: Hitung hasil transformasi FISHER untuk nilai koefisien pada sel C53 (0.65)!</t>
        </is>
      </c>
    </row>
    <row r="53">
      <c r="B53" s="19" t="inlineStr">
        <is>
          <t>Kelas 10 IPA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0.4</v>
      </c>
      <c r="E54" s="28" t="n"/>
      <c r="F54" s="29">
        <f>IF(ISBLANK(E54), "⏳ Belum Diisi (Ketik Rumus di Sel Kuning E54)", IF(E54='99_KUNCI_JAWABAN'!F689,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0.5</v>
      </c>
    </row>
    <row r="56">
      <c r="B56" s="19" t="inlineStr">
        <is>
          <t>Kelas Unggulan</t>
        </is>
      </c>
      <c r="C56" s="19" t="n">
        <v>0.6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#138 — RUMUS EXCEL: FISHER.INV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(FISHER.INV)</t>
        </is>
      </c>
    </row>
    <row r="5" ht="21" customHeight="1">
      <c r="B5" s="14" t="inlineStr">
        <is>
          <t>Nama Rumus Excel</t>
        </is>
      </c>
      <c r="C5" s="15">
        <f>FISHER.INV(...)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FISHERINV(y)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kebalikan (invers) dari transformasi Fisher.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FISHER.INV DI SINI)</t>
        </is>
      </c>
    </row>
    <row r="10">
      <c r="B10" s="18" t="inlineStr">
        <is>
          <t>Parameter Statistik</t>
        </is>
      </c>
      <c r="C10" s="18" t="inlineStr">
        <is>
          <t>Nilai Koefisien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0.75</v>
      </c>
      <c r="E11" s="20" t="inlineStr">
        <is>
          <t>Contoh Soal:</t>
        </is>
      </c>
      <c r="F11" s="21" t="inlineStr">
        <is>
          <t>Hitung hasil transformasi FISHERINV untuk nilai koefisien pada sel C11 (0.75)!</t>
        </is>
      </c>
      <c r="G11" s="5" t="n"/>
    </row>
    <row r="12">
      <c r="B12" s="19" t="inlineStr">
        <is>
          <t>Simulasi Unit B</t>
        </is>
      </c>
      <c r="C12" s="19" t="n">
        <v>0.4</v>
      </c>
      <c r="E12" s="20" t="inlineStr">
        <is>
          <t>Contoh Rumus Benar:</t>
        </is>
      </c>
      <c r="F12" s="22" t="inlineStr">
        <is>
          <t>'=FISHERINV(C11)</t>
        </is>
      </c>
      <c r="G12" s="5" t="n"/>
    </row>
    <row r="13">
      <c r="B13" s="19" t="inlineStr">
        <is>
          <t>Simulasi Unit C</t>
        </is>
      </c>
      <c r="C13" s="19" t="n">
        <v>0.5</v>
      </c>
      <c r="E13" s="20" t="inlineStr">
        <is>
          <t>Contoh Hasil Benar:</t>
        </is>
      </c>
      <c r="F13" s="23">
        <f>FISHERINV(C11)</f>
        <v/>
      </c>
      <c r="G13" s="5" t="n"/>
    </row>
    <row r="14">
      <c r="B14" s="19" t="inlineStr">
        <is>
          <t>Simulasi Unit D</t>
        </is>
      </c>
      <c r="C14" s="19" t="n">
        <v>0.6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Statistik</t>
        </is>
      </c>
      <c r="C20" s="14" t="inlineStr">
        <is>
          <t>Nilai Koefisien</t>
        </is>
      </c>
      <c r="E20" s="27" t="inlineStr">
        <is>
          <t>Persoalan Tes #1: Hitung hasil transformasi FISHERINV untuk nilai koefisien pada sel C21 (0.25)!</t>
        </is>
      </c>
    </row>
    <row r="21">
      <c r="B21" s="19" t="inlineStr">
        <is>
          <t>Cabang Jakarta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0.4</v>
      </c>
      <c r="E22" s="28" t="n"/>
      <c r="F22" s="29">
        <f>IF(ISBLANK(E22), "⏳ Belum Diisi (Ketik Rumus di Sel Kuning E22)", IF(E22='99_KUNCI_JAWABAN'!F690,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0.5</v>
      </c>
    </row>
    <row r="24">
      <c r="B24" s="19" t="inlineStr">
        <is>
          <t>Cabang Medan</t>
        </is>
      </c>
      <c r="C24" s="19" t="n">
        <v>0.6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Statistik</t>
        </is>
      </c>
      <c r="C28" s="14" t="inlineStr">
        <is>
          <t>Nilai Koefisien</t>
        </is>
      </c>
      <c r="E28" s="27" t="inlineStr">
        <is>
          <t>Persoalan Tes #2: Hitung hasil transformasi FISHERINV untuk nilai koefisien pada sel C29 (0.35)!</t>
        </is>
      </c>
    </row>
    <row r="29">
      <c r="B29" s="19" t="inlineStr">
        <is>
          <t>Budi Santoso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0.4</v>
      </c>
      <c r="E30" s="28" t="n"/>
      <c r="F30" s="29">
        <f>IF(ISBLANK(E30), "⏳ Belum Diisi (Ketik Rumus di Sel Kuning E30)", IF(E30='99_KUNCI_JAWABAN'!F691,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0.5</v>
      </c>
    </row>
    <row r="32">
      <c r="B32" s="19" t="inlineStr">
        <is>
          <t>Rina Wijaya</t>
        </is>
      </c>
      <c r="C32" s="19" t="n">
        <v>0.6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Statistik</t>
        </is>
      </c>
      <c r="C36" s="14" t="inlineStr">
        <is>
          <t>Nilai Koefisien</t>
        </is>
      </c>
      <c r="E36" s="27" t="inlineStr">
        <is>
          <t>Persoalan Tes #3: Hitung hasil transformasi FISHERINV untuk nilai koefisien pada sel C37 (0.45)!</t>
        </is>
      </c>
    </row>
    <row r="37">
      <c r="B37" s="19" t="inlineStr">
        <is>
          <t>Gudang Blok A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0.4</v>
      </c>
      <c r="E38" s="28" t="n"/>
      <c r="F38" s="29">
        <f>IF(ISBLANK(E38), "⏳ Belum Diisi (Ketik Rumus di Sel Kuning E38)", IF(E38='99_KUNCI_JAWABAN'!F692,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0.5</v>
      </c>
    </row>
    <row r="40">
      <c r="B40" s="19" t="inlineStr">
        <is>
          <t>Gudang Blok D</t>
        </is>
      </c>
      <c r="C40" s="19" t="n">
        <v>0.6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Statistik</t>
        </is>
      </c>
      <c r="C44" s="14" t="inlineStr">
        <is>
          <t>Nilai Koefisien</t>
        </is>
      </c>
      <c r="E44" s="27" t="inlineStr">
        <is>
          <t>Persoalan Tes #4: Hitung hasil transformasi FISHERINV untuk nilai koefisien pada sel C45 (0.55)!</t>
        </is>
      </c>
    </row>
    <row r="45">
      <c r="B45" s="19" t="inlineStr">
        <is>
          <t>Toko Elektronik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0.4</v>
      </c>
      <c r="E46" s="28" t="n"/>
      <c r="F46" s="29">
        <f>IF(ISBLANK(E46), "⏳ Belum Diisi (Ketik Rumus di Sel Kuning E46)", IF(E46='99_KUNCI_JAWABAN'!F693,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0.5</v>
      </c>
    </row>
    <row r="48">
      <c r="B48" s="19" t="inlineStr">
        <is>
          <t>Toko Servis</t>
        </is>
      </c>
      <c r="C48" s="19" t="n">
        <v>0.6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Statistik</t>
        </is>
      </c>
      <c r="C52" s="14" t="inlineStr">
        <is>
          <t>Nilai Koefisien</t>
        </is>
      </c>
      <c r="E52" s="27" t="inlineStr">
        <is>
          <t>Persoalan Tes #5: Hitung hasil transformasi FISHERINV untuk nilai koefisien pada sel C53 (0.65)!</t>
        </is>
      </c>
    </row>
    <row r="53">
      <c r="B53" s="19" t="inlineStr">
        <is>
          <t>Kelas 10 IPA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0.4</v>
      </c>
      <c r="E54" s="28" t="n"/>
      <c r="F54" s="29">
        <f>IF(ISBLANK(E54), "⏳ Belum Diisi (Ketik Rumus di Sel Kuning E54)", IF(E54='99_KUNCI_JAWABAN'!F694,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0.5</v>
      </c>
    </row>
    <row r="56">
      <c r="B56" s="19" t="inlineStr">
        <is>
          <t>Kelas Unggulan</t>
        </is>
      </c>
      <c r="C56" s="19" t="n">
        <v>0.6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#139 — RUMUS EXCEL: FORECAST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(FORECAST)</t>
        </is>
      </c>
    </row>
    <row r="5" ht="21" customHeight="1">
      <c r="B5" s="14" t="inlineStr">
        <is>
          <t>Nama Rumus Excel</t>
        </is>
      </c>
      <c r="C5" s="15">
        <f>FORECAST(...)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FORECAST(target_x, range_y, range_x)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Meramal nilai masa depan berdasarkan tren regresi linear.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FORECAST DI SINI)</t>
        </is>
      </c>
    </row>
    <row r="10">
      <c r="B10" s="18" t="inlineStr">
        <is>
          <t>Periode Bulan (X)</t>
        </is>
      </c>
      <c r="C10" s="18" t="inlineStr">
        <is>
          <t>Omzet Juta (Y)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1</v>
      </c>
      <c r="C11" s="19" t="n">
        <v>600</v>
      </c>
      <c r="E11" s="20" t="inlineStr">
        <is>
          <t>Contoh Soal:</t>
        </is>
      </c>
      <c r="F11" s="21" t="inlineStr">
        <is>
          <t>Ramal nilai pada target periode ke-5 berdasarkan data historis Y (C11:C14) dan periode X (B11:B14) menggunakan fungsi FORECAST!</t>
        </is>
      </c>
      <c r="G11" s="5" t="n"/>
    </row>
    <row r="12">
      <c r="B12" s="19" t="n">
        <v>2</v>
      </c>
      <c r="C12" s="19" t="n">
        <v>810</v>
      </c>
      <c r="E12" s="20" t="inlineStr">
        <is>
          <t>Contoh Rumus Benar:</t>
        </is>
      </c>
      <c r="F12" s="22" t="inlineStr">
        <is>
          <t>'=FORECAST(5, C11:C14, B11:B14)</t>
        </is>
      </c>
      <c r="G12" s="5" t="n"/>
    </row>
    <row r="13">
      <c r="B13" s="19" t="n">
        <v>3</v>
      </c>
      <c r="C13" s="19" t="n">
        <v>1020</v>
      </c>
      <c r="E13" s="20" t="inlineStr">
        <is>
          <t>Contoh Hasil Benar:</t>
        </is>
      </c>
      <c r="F13" s="23">
        <f>FORECAST(5, C11:C14, B11:B14)</f>
        <v/>
      </c>
      <c r="G13" s="5" t="n"/>
    </row>
    <row r="14">
      <c r="B14" s="19" t="n">
        <v>4</v>
      </c>
      <c r="C14" s="19" t="n">
        <v>1230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Periode Bulan (X)</t>
        </is>
      </c>
      <c r="C20" s="14" t="inlineStr">
        <is>
          <t>Omzet Juta (Y)</t>
        </is>
      </c>
      <c r="E20" s="27" t="inlineStr">
        <is>
          <t>Persoalan Tes #1: Ramal nilai pada target periode ke-5 berdasarkan data historis Y (C21:C24) dan periode X (B21:B24) menggunakan fungsi FORECAST!</t>
        </is>
      </c>
    </row>
    <row r="21">
      <c r="B21" s="19" t="n">
        <v>1</v>
      </c>
      <c r="C21" s="19" t="n">
        <v>100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</v>
      </c>
      <c r="C22" s="19" t="n">
        <v>135</v>
      </c>
      <c r="E22" s="28" t="n"/>
      <c r="F22" s="29">
        <f>IF(ISBLANK(E22), "⏳ Belum Diisi (Ketik Rumus di Sel Kuning E22)", IF(E22='99_KUNCI_JAWABAN'!F695, "✅ BENAR! JAWABAN TES TEPAT!", "❌ Belum Tepat (Cek Sheet Akhir: 99_KUNCI_JAWABAN)"))</f>
        <v/>
      </c>
      <c r="G22" s="5" t="n"/>
    </row>
    <row r="23">
      <c r="B23" s="19" t="n">
        <v>3</v>
      </c>
      <c r="C23" s="19" t="n">
        <v>170</v>
      </c>
    </row>
    <row r="24">
      <c r="B24" s="19" t="n">
        <v>4</v>
      </c>
      <c r="C24" s="19" t="n">
        <v>205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Periode Bulan (X)</t>
        </is>
      </c>
      <c r="C28" s="14" t="inlineStr">
        <is>
          <t>Omzet Juta (Y)</t>
        </is>
      </c>
      <c r="E28" s="27" t="inlineStr">
        <is>
          <t>Persoalan Tes #2: Ramal nilai pada target periode ke-5 berdasarkan data historis Y (C29:C32) dan periode X (B29:B32) menggunakan fungsi FORECAST!</t>
        </is>
      </c>
    </row>
    <row r="29">
      <c r="B29" s="19" t="n">
        <v>1</v>
      </c>
      <c r="C29" s="19" t="n">
        <v>200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2</v>
      </c>
      <c r="C30" s="19" t="n">
        <v>270</v>
      </c>
      <c r="E30" s="28" t="n"/>
      <c r="F30" s="29">
        <f>IF(ISBLANK(E30), "⏳ Belum Diisi (Ketik Rumus di Sel Kuning E30)", IF(E30='99_KUNCI_JAWABAN'!F696, "✅ BENAR! JAWABAN TES TEPAT!", "❌ Belum Tepat (Cek Sheet Akhir: 99_KUNCI_JAWABAN)"))</f>
        <v/>
      </c>
      <c r="G30" s="5" t="n"/>
    </row>
    <row r="31">
      <c r="B31" s="19" t="n">
        <v>3</v>
      </c>
      <c r="C31" s="19" t="n">
        <v>340</v>
      </c>
    </row>
    <row r="32">
      <c r="B32" s="19" t="n">
        <v>4</v>
      </c>
      <c r="C32" s="19" t="n">
        <v>410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Periode Bulan (X)</t>
        </is>
      </c>
      <c r="C36" s="14" t="inlineStr">
        <is>
          <t>Omzet Juta (Y)</t>
        </is>
      </c>
      <c r="E36" s="27" t="inlineStr">
        <is>
          <t>Persoalan Tes #3: Ramal nilai pada target periode ke-5 berdasarkan data historis Y (C37:C40) dan periode X (B37:B40) menggunakan fungsi FORECAST!</t>
        </is>
      </c>
    </row>
    <row r="37">
      <c r="B37" s="19" t="n">
        <v>1</v>
      </c>
      <c r="C37" s="19" t="n">
        <v>300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2</v>
      </c>
      <c r="C38" s="19" t="n">
        <v>405</v>
      </c>
      <c r="E38" s="28" t="n"/>
      <c r="F38" s="29">
        <f>IF(ISBLANK(E38), "⏳ Belum Diisi (Ketik Rumus di Sel Kuning E38)", IF(E38='99_KUNCI_JAWABAN'!F697, "✅ BENAR! JAWABAN TES TEPAT!", "❌ Belum Tepat (Cek Sheet Akhir: 99_KUNCI_JAWABAN)"))</f>
        <v/>
      </c>
      <c r="G38" s="5" t="n"/>
    </row>
    <row r="39">
      <c r="B39" s="19" t="n">
        <v>3</v>
      </c>
      <c r="C39" s="19" t="n">
        <v>510</v>
      </c>
    </row>
    <row r="40">
      <c r="B40" s="19" t="n">
        <v>4</v>
      </c>
      <c r="C40" s="19" t="n">
        <v>615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Periode Bulan (X)</t>
        </is>
      </c>
      <c r="C44" s="14" t="inlineStr">
        <is>
          <t>Omzet Juta (Y)</t>
        </is>
      </c>
      <c r="E44" s="27" t="inlineStr">
        <is>
          <t>Persoalan Tes #4: Ramal nilai pada target periode ke-5 berdasarkan data historis Y (C45:C48) dan periode X (B45:B48) menggunakan fungsi FORECAST!</t>
        </is>
      </c>
    </row>
    <row r="45">
      <c r="B45" s="19" t="n">
        <v>1</v>
      </c>
      <c r="C45" s="19" t="n">
        <v>400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2</v>
      </c>
      <c r="C46" s="19" t="n">
        <v>540</v>
      </c>
      <c r="E46" s="28" t="n"/>
      <c r="F46" s="29">
        <f>IF(ISBLANK(E46), "⏳ Belum Diisi (Ketik Rumus di Sel Kuning E46)", IF(E46='99_KUNCI_JAWABAN'!F698, "✅ BENAR! JAWABAN TES TEPAT!", "❌ Belum Tepat (Cek Sheet Akhir: 99_KUNCI_JAWABAN)"))</f>
        <v/>
      </c>
      <c r="G46" s="5" t="n"/>
    </row>
    <row r="47">
      <c r="B47" s="19" t="n">
        <v>3</v>
      </c>
      <c r="C47" s="19" t="n">
        <v>680</v>
      </c>
    </row>
    <row r="48">
      <c r="B48" s="19" t="n">
        <v>4</v>
      </c>
      <c r="C48" s="19" t="n">
        <v>820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Periode Bulan (X)</t>
        </is>
      </c>
      <c r="C52" s="14" t="inlineStr">
        <is>
          <t>Omzet Juta (Y)</t>
        </is>
      </c>
      <c r="E52" s="27" t="inlineStr">
        <is>
          <t>Persoalan Tes #5: Ramal nilai pada target periode ke-5 berdasarkan data historis Y (C53:C56) dan periode X (B53:B56) menggunakan fungsi FORECAST!</t>
        </is>
      </c>
    </row>
    <row r="53">
      <c r="B53" s="19" t="n">
        <v>1</v>
      </c>
      <c r="C53" s="19" t="n">
        <v>500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2</v>
      </c>
      <c r="C54" s="19" t="n">
        <v>675</v>
      </c>
      <c r="E54" s="28" t="n"/>
      <c r="F54" s="29">
        <f>IF(ISBLANK(E54), "⏳ Belum Diisi (Ketik Rumus di Sel Kuning E54)", IF(E54='99_KUNCI_JAWABAN'!F699, "✅ BENAR! JAWABAN TES TEPAT!", "❌ Belum Tepat (Cek Sheet Akhir: 99_KUNCI_JAWABAN)"))</f>
        <v/>
      </c>
      <c r="G54" s="5" t="n"/>
    </row>
    <row r="55">
      <c r="B55" s="19" t="n">
        <v>3</v>
      </c>
      <c r="C55" s="19" t="n">
        <v>850</v>
      </c>
    </row>
    <row r="56">
      <c r="B56" s="19" t="n">
        <v>4</v>
      </c>
      <c r="C56" s="19" t="n">
        <v>1025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#140 — RUMUS EXCEL: FREQUENCY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(FREQUENCY)</t>
        </is>
      </c>
    </row>
    <row r="5" ht="21" customHeight="1">
      <c r="B5" s="14" t="inlineStr">
        <is>
          <t>Nama Rumus Excel</t>
        </is>
      </c>
      <c r="C5" s="15">
        <f>FREQUENCY(...)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FREQUENCY(data_array, bins_array)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frekuensi kemunculan data berdasarkan batas interval.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FREQUENCY DI SINI)</t>
        </is>
      </c>
    </row>
    <row r="10">
      <c r="B10" s="18" t="inlineStr">
        <is>
          <t>Data Skor (B)</t>
        </is>
      </c>
      <c r="C10" s="18" t="inlineStr">
        <is>
          <t>Batas Interval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75</v>
      </c>
      <c r="C11" s="19" t="n">
        <v>78</v>
      </c>
      <c r="E11" s="20" t="inlineStr">
        <is>
          <t>Contoh Soal:</t>
        </is>
      </c>
      <c r="F11" s="21" t="inlineStr">
        <is>
          <t>Hitung frekuensi data pada rentang B11:B14 terhadap batas kelas di sel C11 menggunakan fungsi FREQUENCY!</t>
        </is>
      </c>
      <c r="G11" s="5" t="n"/>
    </row>
    <row r="12">
      <c r="B12" s="19" t="n">
        <v>82</v>
      </c>
      <c r="C12" s="19" t="n">
        <v>85</v>
      </c>
      <c r="E12" s="20" t="inlineStr">
        <is>
          <t>Contoh Rumus Benar:</t>
        </is>
      </c>
      <c r="F12" s="22" t="inlineStr">
        <is>
          <t>'=FREQUENCY(B11:B14, C11)</t>
        </is>
      </c>
      <c r="G12" s="5" t="n"/>
    </row>
    <row r="13">
      <c r="B13" s="19" t="n">
        <v>75</v>
      </c>
      <c r="C13" s="19" t="n">
        <v>95</v>
      </c>
      <c r="E13" s="20" t="inlineStr">
        <is>
          <t>Contoh Hasil Benar:</t>
        </is>
      </c>
      <c r="F13" s="23">
        <f>FREQUENCY(B11:B14, C11)</f>
        <v/>
      </c>
      <c r="G13" s="5" t="n"/>
    </row>
    <row r="14">
      <c r="B14" s="19" t="n">
        <v>90</v>
      </c>
      <c r="C14" s="19" t="n">
        <v>100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Skor (B)</t>
        </is>
      </c>
      <c r="C20" s="14" t="inlineStr">
        <is>
          <t>Batas Interval (C)</t>
        </is>
      </c>
      <c r="E20" s="27" t="inlineStr">
        <is>
          <t>Persoalan Tes #1: Hitung frekuensi data pada rentang B21:B24 terhadap batas kelas di sel C21 menggunakan fungsi FREQUENCY!</t>
        </is>
      </c>
    </row>
    <row r="21">
      <c r="B21" s="19" t="n">
        <v>70</v>
      </c>
      <c r="C21" s="19" t="n">
        <v>78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82</v>
      </c>
      <c r="C22" s="19" t="n">
        <v>85</v>
      </c>
      <c r="E22" s="28" t="n"/>
      <c r="F22" s="29">
        <f>IF(ISBLANK(E22), "⏳ Belum Diisi (Ketik Rumus di Sel Kuning E22)", IF(E22='99_KUNCI_JAWABAN'!F700, "✅ BENAR! JAWABAN TES TEPAT!", "❌ Belum Tepat (Cek Sheet Akhir: 99_KUNCI_JAWABAN)"))</f>
        <v/>
      </c>
      <c r="G22" s="5" t="n"/>
    </row>
    <row r="23">
      <c r="B23" s="19" t="n">
        <v>75</v>
      </c>
      <c r="C23" s="19" t="n">
        <v>95</v>
      </c>
    </row>
    <row r="24">
      <c r="B24" s="19" t="n">
        <v>90</v>
      </c>
      <c r="C24" s="19" t="n">
        <v>100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Skor (B)</t>
        </is>
      </c>
      <c r="C28" s="14" t="inlineStr">
        <is>
          <t>Batas Interval (C)</t>
        </is>
      </c>
      <c r="E28" s="27" t="inlineStr">
        <is>
          <t>Persoalan Tes #2: Hitung frekuensi data pada rentang B29:B32 terhadap batas kelas di sel C29 menggunakan fungsi FREQUENCY!</t>
        </is>
      </c>
    </row>
    <row r="29">
      <c r="B29" s="19" t="n">
        <v>71</v>
      </c>
      <c r="C29" s="19" t="n">
        <v>78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82</v>
      </c>
      <c r="C30" s="19" t="n">
        <v>85</v>
      </c>
      <c r="E30" s="28" t="n"/>
      <c r="F30" s="29">
        <f>IF(ISBLANK(E30), "⏳ Belum Diisi (Ketik Rumus di Sel Kuning E30)", IF(E30='99_KUNCI_JAWABAN'!F701, "✅ BENAR! JAWABAN TES TEPAT!", "❌ Belum Tepat (Cek Sheet Akhir: 99_KUNCI_JAWABAN)"))</f>
        <v/>
      </c>
      <c r="G30" s="5" t="n"/>
    </row>
    <row r="31">
      <c r="B31" s="19" t="n">
        <v>75</v>
      </c>
      <c r="C31" s="19" t="n">
        <v>95</v>
      </c>
    </row>
    <row r="32">
      <c r="B32" s="19" t="n">
        <v>90</v>
      </c>
      <c r="C32" s="19" t="n">
        <v>100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Skor (B)</t>
        </is>
      </c>
      <c r="C36" s="14" t="inlineStr">
        <is>
          <t>Batas Interval (C)</t>
        </is>
      </c>
      <c r="E36" s="27" t="inlineStr">
        <is>
          <t>Persoalan Tes #3: Hitung frekuensi data pada rentang B37:B40 terhadap batas kelas di sel C37 menggunakan fungsi FREQUENCY!</t>
        </is>
      </c>
    </row>
    <row r="37">
      <c r="B37" s="19" t="n">
        <v>72</v>
      </c>
      <c r="C37" s="19" t="n">
        <v>78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82</v>
      </c>
      <c r="C38" s="19" t="n">
        <v>85</v>
      </c>
      <c r="E38" s="28" t="n"/>
      <c r="F38" s="29">
        <f>IF(ISBLANK(E38), "⏳ Belum Diisi (Ketik Rumus di Sel Kuning E38)", IF(E38='99_KUNCI_JAWABAN'!F702, "✅ BENAR! JAWABAN TES TEPAT!", "❌ Belum Tepat (Cek Sheet Akhir: 99_KUNCI_JAWABAN)"))</f>
        <v/>
      </c>
      <c r="G38" s="5" t="n"/>
    </row>
    <row r="39">
      <c r="B39" s="19" t="n">
        <v>75</v>
      </c>
      <c r="C39" s="19" t="n">
        <v>95</v>
      </c>
    </row>
    <row r="40">
      <c r="B40" s="19" t="n">
        <v>90</v>
      </c>
      <c r="C40" s="19" t="n">
        <v>100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Skor (B)</t>
        </is>
      </c>
      <c r="C44" s="14" t="inlineStr">
        <is>
          <t>Batas Interval (C)</t>
        </is>
      </c>
      <c r="E44" s="27" t="inlineStr">
        <is>
          <t>Persoalan Tes #4: Hitung frekuensi data pada rentang B45:B48 terhadap batas kelas di sel C45 menggunakan fungsi FREQUENCY!</t>
        </is>
      </c>
    </row>
    <row r="45">
      <c r="B45" s="19" t="n">
        <v>73</v>
      </c>
      <c r="C45" s="19" t="n">
        <v>78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82</v>
      </c>
      <c r="C46" s="19" t="n">
        <v>85</v>
      </c>
      <c r="E46" s="28" t="n"/>
      <c r="F46" s="29">
        <f>IF(ISBLANK(E46), "⏳ Belum Diisi (Ketik Rumus di Sel Kuning E46)", IF(E46='99_KUNCI_JAWABAN'!F703, "✅ BENAR! JAWABAN TES TEPAT!", "❌ Belum Tepat (Cek Sheet Akhir: 99_KUNCI_JAWABAN)"))</f>
        <v/>
      </c>
      <c r="G46" s="5" t="n"/>
    </row>
    <row r="47">
      <c r="B47" s="19" t="n">
        <v>75</v>
      </c>
      <c r="C47" s="19" t="n">
        <v>95</v>
      </c>
    </row>
    <row r="48">
      <c r="B48" s="19" t="n">
        <v>90</v>
      </c>
      <c r="C48" s="19" t="n">
        <v>100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Skor (B)</t>
        </is>
      </c>
      <c r="C52" s="14" t="inlineStr">
        <is>
          <t>Batas Interval (C)</t>
        </is>
      </c>
      <c r="E52" s="27" t="inlineStr">
        <is>
          <t>Persoalan Tes #5: Hitung frekuensi data pada rentang B53:B56 terhadap batas kelas di sel C53 menggunakan fungsi FREQUENCY!</t>
        </is>
      </c>
    </row>
    <row r="53">
      <c r="B53" s="19" t="n">
        <v>74</v>
      </c>
      <c r="C53" s="19" t="n">
        <v>78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82</v>
      </c>
      <c r="C54" s="19" t="n">
        <v>85</v>
      </c>
      <c r="E54" s="28" t="n"/>
      <c r="F54" s="29">
        <f>IF(ISBLANK(E54), "⏳ Belum Diisi (Ketik Rumus di Sel Kuning E54)", IF(E54='99_KUNCI_JAWABAN'!F704, "✅ BENAR! JAWABAN TES TEPAT!", "❌ Belum Tepat (Cek Sheet Akhir: 99_KUNCI_JAWABAN)"))</f>
        <v/>
      </c>
      <c r="G54" s="5" t="n"/>
    </row>
    <row r="55">
      <c r="B55" s="19" t="n">
        <v>75</v>
      </c>
      <c r="C55" s="19" t="n">
        <v>95</v>
      </c>
    </row>
    <row r="56">
      <c r="B56" s="19" t="n">
        <v>90</v>
      </c>
      <c r="C56" s="19" t="n">
        <v>100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#141 — RUMUS EXCEL: GAMMADIST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(GAMMADIST)</t>
        </is>
      </c>
    </row>
    <row r="5" ht="21" customHeight="1">
      <c r="B5" s="14" t="inlineStr">
        <is>
          <t>Nama Rumus Excel</t>
        </is>
      </c>
      <c r="C5" s="15">
        <f>GAMMADIST(...)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GAMMA.DIST(x, alpha, beta,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Gamma untuk analisis variabel yang memiliki kemencengan.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GAMMADIST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15</v>
      </c>
      <c r="E11" s="20" t="inlineStr">
        <is>
          <t>Contoh Soal:</t>
        </is>
      </c>
      <c r="F11" s="21" t="inlineStr">
        <is>
          <t>Hitung nilai distribusi kumulatif (TRUE) menggunakan fungsi GAMMA.DIST dengan argumen berurutan C11, C12, C13, dan TRUE!</t>
        </is>
      </c>
      <c r="G11" s="5" t="n"/>
    </row>
    <row r="12">
      <c r="B12" s="19" t="inlineStr">
        <is>
          <t>Parameter 1 / Mean (C12)</t>
        </is>
      </c>
      <c r="C12" s="19" t="n">
        <v>8</v>
      </c>
      <c r="E12" s="20" t="inlineStr">
        <is>
          <t>Contoh Rumus Benar:</t>
        </is>
      </c>
      <c r="F12" s="22" t="inlineStr">
        <is>
          <t>'=GAMMA.DIST(C11, C12, C13, TRUE)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GAMMA.DIST(C11,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GAMMA.DIST dengan argumen berurutan C21, C22, C23, dan TRUE!</t>
        </is>
      </c>
    </row>
    <row r="21">
      <c r="B21" s="19" t="inlineStr">
        <is>
          <t>Nilai X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8</v>
      </c>
      <c r="E22" s="28" t="n"/>
      <c r="F22" s="29">
        <f>IF(ISBLANK(E22), "⏳ Belum Diisi (Ketik Rumus di Sel Kuning E22)", IF(E22='99_KUNCI_JAWABAN'!F705,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GAMMA.DIST dengan argumen berurutan C29, C30, C31, dan TRUE!</t>
        </is>
      </c>
    </row>
    <row r="29">
      <c r="B29" s="19" t="inlineStr">
        <is>
          <t>Nilai X (C29)</t>
        </is>
      </c>
      <c r="C29" s="19" t="n">
        <v>11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8</v>
      </c>
      <c r="E30" s="28" t="n"/>
      <c r="F30" s="29">
        <f>IF(ISBLANK(E30), "⏳ Belum Diisi (Ketik Rumus di Sel Kuning E30)", IF(E30='99_KUNCI_JAWABAN'!F706,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GAMMA.DIST dengan argumen berurutan C37, C38, C39, dan TRUE!</t>
        </is>
      </c>
    </row>
    <row r="37">
      <c r="B37" s="19" t="inlineStr">
        <is>
          <t>Nilai X (C37)</t>
        </is>
      </c>
      <c r="C37" s="19" t="n">
        <v>12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8</v>
      </c>
      <c r="E38" s="28" t="n"/>
      <c r="F38" s="29">
        <f>IF(ISBLANK(E38), "⏳ Belum Diisi (Ketik Rumus di Sel Kuning E38)", IF(E38='99_KUNCI_JAWABAN'!F707,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GAMMA.DIST dengan argumen berurutan C45, C46, C47, dan TRUE!</t>
        </is>
      </c>
    </row>
    <row r="45">
      <c r="B45" s="19" t="inlineStr">
        <is>
          <t>Nilai X (C45)</t>
        </is>
      </c>
      <c r="C45" s="19" t="n">
        <v>13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8</v>
      </c>
      <c r="E46" s="28" t="n"/>
      <c r="F46" s="29">
        <f>IF(ISBLANK(E46), "⏳ Belum Diisi (Ketik Rumus di Sel Kuning E46)", IF(E46='99_KUNCI_JAWABAN'!F708,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GAMMA.DIST dengan argumen berurutan C53, C54, C55, dan TRUE!</t>
        </is>
      </c>
    </row>
    <row r="53">
      <c r="B53" s="19" t="inlineStr">
        <is>
          <t>Nilai X (C53)</t>
        </is>
      </c>
      <c r="C53" s="19" t="n">
        <v>14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8</v>
      </c>
      <c r="E54" s="28" t="n"/>
      <c r="F54" s="29">
        <f>IF(ISBLANK(E54), "⏳ Belum Diisi (Ketik Rumus di Sel Kuning E54)", IF(E54='99_KUNCI_JAWABAN'!F709,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#142 — RUMUS EXCEL: GAMMAINV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(GAMMAINV)</t>
        </is>
      </c>
    </row>
    <row r="5" ht="21" customHeight="1">
      <c r="B5" s="14" t="inlineStr">
        <is>
          <t>Nama Rumus Excel</t>
        </is>
      </c>
      <c r="C5" s="15">
        <f>GAMMAINV(...)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GAMMA.INV(probabilitas, alpha, beta)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invers dari distribusi Gamma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GAMMAINV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0.75</v>
      </c>
      <c r="E11" s="20" t="inlineStr">
        <is>
          <t>Contoh Soal:</t>
        </is>
      </c>
      <c r="F11" s="21" t="inlineStr">
        <is>
          <t>Hitung nilai invers distribusi menggunakan fungsi GAMMA.INV dengan argumen berurutan C11, C12, dan C13!</t>
        </is>
      </c>
      <c r="G11" s="5" t="n"/>
    </row>
    <row r="12">
      <c r="B12" s="19" t="inlineStr">
        <is>
          <t>Parameter 1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'=GAMMA.INV(C11, C12, C13)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GAMMA.INV(C11,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GAMMA.INV dengan argumen berurutan C21, C22, dan C23!</t>
        </is>
      </c>
    </row>
    <row r="21">
      <c r="B21" s="19" t="inlineStr">
        <is>
          <t>Probabilitas (C21)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10</v>
      </c>
      <c r="E22" s="28" t="n"/>
      <c r="F22" s="29">
        <f>IF(ISBLANK(E22), "⏳ Belum Diisi (Ketik Rumus di Sel Kuning E22)", IF(E22='99_KUNCI_JAWABAN'!F710,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GAMMA.INV dengan argumen berurutan C29, C30, dan C31!</t>
        </is>
      </c>
    </row>
    <row r="29">
      <c r="B29" s="19" t="inlineStr">
        <is>
          <t>Probabilitas (C29)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10</v>
      </c>
      <c r="E30" s="28" t="n"/>
      <c r="F30" s="29">
        <f>IF(ISBLANK(E30), "⏳ Belum Diisi (Ketik Rumus di Sel Kuning E30)", IF(E30='99_KUNCI_JAWABAN'!F711,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GAMMA.INV dengan argumen berurutan C37, C38, dan C39!</t>
        </is>
      </c>
    </row>
    <row r="37">
      <c r="B37" s="19" t="inlineStr">
        <is>
          <t>Probabilitas (C37)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10</v>
      </c>
      <c r="E38" s="28" t="n"/>
      <c r="F38" s="29">
        <f>IF(ISBLANK(E38), "⏳ Belum Diisi (Ketik Rumus di Sel Kuning E38)", IF(E38='99_KUNCI_JAWABAN'!F712,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GAMMA.INV dengan argumen berurutan C45, C46, dan C47!</t>
        </is>
      </c>
    </row>
    <row r="45">
      <c r="B45" s="19" t="inlineStr">
        <is>
          <t>Probabilitas (C45)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10</v>
      </c>
      <c r="E46" s="28" t="n"/>
      <c r="F46" s="29">
        <f>IF(ISBLANK(E46), "⏳ Belum Diisi (Ketik Rumus di Sel Kuning E46)", IF(E46='99_KUNCI_JAWABAN'!F713,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GAMMA.INV dengan argumen berurutan C53, C54, dan C55!</t>
        </is>
      </c>
    </row>
    <row r="53">
      <c r="B53" s="19" t="inlineStr">
        <is>
          <t>Probabilitas (C53)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10</v>
      </c>
      <c r="E54" s="28" t="n"/>
      <c r="F54" s="29">
        <f>IF(ISBLANK(E54), "⏳ Belum Diisi (Ketik Rumus di Sel Kuning E54)", IF(E54='99_KUNCI_JAWABAN'!F714,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#143 — RUMUS EXCEL: GAMMALN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(GAMMALN)</t>
        </is>
      </c>
    </row>
    <row r="5" ht="21" customHeight="1">
      <c r="B5" s="14" t="inlineStr">
        <is>
          <t>Nama Rumus Excel</t>
        </is>
      </c>
      <c r="C5" s="15">
        <f>GAMMALN(...)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GAMMALN(x)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logaritma natural dari fungsi Gamma Γ(x).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GAMMALN DI SINI)</t>
        </is>
      </c>
    </row>
    <row r="10">
      <c r="B10" s="18" t="inlineStr">
        <is>
          <t>Parameter Uji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3</v>
      </c>
      <c r="E11" s="20" t="inlineStr">
        <is>
          <t>Contoh Soal:</t>
        </is>
      </c>
      <c r="F11" s="21" t="inlineStr">
        <is>
          <t>Hitung hasil fungsi GAMMALN untuk nilai input pada sel C11 (3)!</t>
        </is>
      </c>
      <c r="G11" s="5" t="n"/>
    </row>
    <row r="12">
      <c r="B12" s="19" t="inlineStr">
        <is>
          <t>Simulasi Unit B</t>
        </is>
      </c>
      <c r="C12" s="19" t="n">
        <v>5</v>
      </c>
      <c r="E12" s="20" t="inlineStr">
        <is>
          <t>Contoh Rumus Benar:</t>
        </is>
      </c>
      <c r="F12" s="22" t="inlineStr">
        <is>
          <t>'=GAMMALN(C11)</t>
        </is>
      </c>
      <c r="G12" s="5" t="n"/>
    </row>
    <row r="13">
      <c r="B13" s="19" t="inlineStr">
        <is>
          <t>Simulasi Unit C</t>
        </is>
      </c>
      <c r="C13" s="19" t="n">
        <v>6</v>
      </c>
      <c r="E13" s="20" t="inlineStr">
        <is>
          <t>Contoh Hasil Benar:</t>
        </is>
      </c>
      <c r="F13" s="23">
        <f>GAMMALN(C11)</f>
        <v/>
      </c>
      <c r="G13" s="5" t="n"/>
    </row>
    <row r="14">
      <c r="B14" s="19" t="inlineStr">
        <is>
          <t>Simulasi Unit D</t>
        </is>
      </c>
      <c r="C14" s="19" t="n">
        <v>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Uji</t>
        </is>
      </c>
      <c r="C20" s="14" t="inlineStr">
        <is>
          <t>Nilai Input</t>
        </is>
      </c>
      <c r="E20" s="27" t="inlineStr">
        <is>
          <t>Persoalan Tes #1: Hitung hasil fungsi GAMMALN untuk nilai input pada sel C21 (3)!</t>
        </is>
      </c>
    </row>
    <row r="21">
      <c r="B21" s="19" t="inlineStr">
        <is>
          <t>Cabang Jakarta</t>
        </is>
      </c>
      <c r="C21" s="19" t="n">
        <v>3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5</v>
      </c>
      <c r="E22" s="28" t="n"/>
      <c r="F22" s="29">
        <f>IF(ISBLANK(E22), "⏳ Belum Diisi (Ketik Rumus di Sel Kuning E22)", IF(E22='99_KUNCI_JAWABAN'!F715,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6</v>
      </c>
    </row>
    <row r="24">
      <c r="B24" s="19" t="inlineStr">
        <is>
          <t>Cabang Medan</t>
        </is>
      </c>
      <c r="C24" s="19" t="n">
        <v>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Uji</t>
        </is>
      </c>
      <c r="C28" s="14" t="inlineStr">
        <is>
          <t>Nilai Input</t>
        </is>
      </c>
      <c r="E28" s="27" t="inlineStr">
        <is>
          <t>Persoalan Tes #2: Hitung hasil fungsi GAMMALN untuk nilai input pada sel C29 (4)!</t>
        </is>
      </c>
    </row>
    <row r="29">
      <c r="B29" s="19" t="inlineStr">
        <is>
          <t>Budi Santoso</t>
        </is>
      </c>
      <c r="C29" s="19" t="n">
        <v>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</v>
      </c>
      <c r="E30" s="28" t="n"/>
      <c r="F30" s="29">
        <f>IF(ISBLANK(E30), "⏳ Belum Diisi (Ketik Rumus di Sel Kuning E30)", IF(E30='99_KUNCI_JAWABAN'!F716,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6</v>
      </c>
    </row>
    <row r="32">
      <c r="B32" s="19" t="inlineStr">
        <is>
          <t>Rina Wijaya</t>
        </is>
      </c>
      <c r="C32" s="19" t="n">
        <v>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Uji</t>
        </is>
      </c>
      <c r="C36" s="14" t="inlineStr">
        <is>
          <t>Nilai Input</t>
        </is>
      </c>
      <c r="E36" s="27" t="inlineStr">
        <is>
          <t>Persoalan Tes #3: Hitung hasil fungsi GAMMALN untuk nilai input pada sel C37 (5)!</t>
        </is>
      </c>
    </row>
    <row r="37">
      <c r="B37" s="19" t="inlineStr">
        <is>
          <t>Gudang Blok A</t>
        </is>
      </c>
      <c r="C37" s="19" t="n">
        <v>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5</v>
      </c>
      <c r="E38" s="28" t="n"/>
      <c r="F38" s="29">
        <f>IF(ISBLANK(E38), "⏳ Belum Diisi (Ketik Rumus di Sel Kuning E38)", IF(E38='99_KUNCI_JAWABAN'!F717,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6</v>
      </c>
    </row>
    <row r="40">
      <c r="B40" s="19" t="inlineStr">
        <is>
          <t>Gudang Blok D</t>
        </is>
      </c>
      <c r="C40" s="19" t="n">
        <v>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Uji</t>
        </is>
      </c>
      <c r="C44" s="14" t="inlineStr">
        <is>
          <t>Nilai Input</t>
        </is>
      </c>
      <c r="E44" s="27" t="inlineStr">
        <is>
          <t>Persoalan Tes #4: Hitung hasil fungsi GAMMALN untuk nilai input pada sel C45 (6)!</t>
        </is>
      </c>
    </row>
    <row r="45">
      <c r="B45" s="19" t="inlineStr">
        <is>
          <t>Toko Elektronik</t>
        </is>
      </c>
      <c r="C45" s="19" t="n">
        <v>6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5</v>
      </c>
      <c r="E46" s="28" t="n"/>
      <c r="F46" s="29">
        <f>IF(ISBLANK(E46), "⏳ Belum Diisi (Ketik Rumus di Sel Kuning E46)", IF(E46='99_KUNCI_JAWABAN'!F718,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6</v>
      </c>
    </row>
    <row r="48">
      <c r="B48" s="19" t="inlineStr">
        <is>
          <t>Toko Servis</t>
        </is>
      </c>
      <c r="C48" s="19" t="n">
        <v>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Uji</t>
        </is>
      </c>
      <c r="C52" s="14" t="inlineStr">
        <is>
          <t>Nilai Input</t>
        </is>
      </c>
      <c r="E52" s="27" t="inlineStr">
        <is>
          <t>Persoalan Tes #5: Hitung hasil fungsi GAMMALN untuk nilai input pada sel C53 (7)!</t>
        </is>
      </c>
    </row>
    <row r="53">
      <c r="B53" s="19" t="inlineStr">
        <is>
          <t>Kelas 10 IPA</t>
        </is>
      </c>
      <c r="C53" s="19" t="n">
        <v>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5</v>
      </c>
      <c r="E54" s="28" t="n"/>
      <c r="F54" s="29">
        <f>IF(ISBLANK(E54), "⏳ Belum Diisi (Ketik Rumus di Sel Kuning E54)", IF(E54='99_KUNCI_JAWABAN'!F719,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6</v>
      </c>
    </row>
    <row r="56">
      <c r="B56" s="19" t="inlineStr">
        <is>
          <t>Kelas Unggulan</t>
        </is>
      </c>
      <c r="C56" s="19" t="n">
        <v>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#144 — RUMUS EXCEL: GEOMEAN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(GEOMEAN)</t>
        </is>
      </c>
    </row>
    <row r="5" ht="21" customHeight="1">
      <c r="B5" s="14" t="inlineStr">
        <is>
          <t>Nama Rumus Excel</t>
        </is>
      </c>
      <c r="C5" s="15">
        <f>GEOMEAN(...)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GEOMEAN(range_data)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Geometrik untuk laju pertumbuhan majemuk.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GEOMEAN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GEOMEAN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'=GEOMEAN(C11:C14)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GEOMEAN(C11:C14)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GEOMEAN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GEOMEAN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GEOMEAN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GEOMEAN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GEOMEAN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#145 — RUMUS EXCEL: GROWTH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(GROWTH)</t>
        </is>
      </c>
    </row>
    <row r="5" ht="21" customHeight="1">
      <c r="B5" s="14" t="inlineStr">
        <is>
          <t>Nama Rumus Excel</t>
        </is>
      </c>
      <c r="C5" s="15">
        <f>GROWTH(...)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GROWTH(range_y, range_x, target_x)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Memprediksi pertumbuhan eksponensial berdasarkan data historis.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GROWTH DI SINI)</t>
        </is>
      </c>
    </row>
    <row r="10">
      <c r="B10" s="18" t="inlineStr">
        <is>
          <t>Periode (X)</t>
        </is>
      </c>
      <c r="C10" s="18" t="inlineStr">
        <is>
          <t>Realisasi (Y)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1</v>
      </c>
      <c r="C11" s="19" t="n">
        <v>600</v>
      </c>
      <c r="E11" s="20" t="inlineStr">
        <is>
          <t>Contoh Soal:</t>
        </is>
      </c>
      <c r="F11" s="21" t="inlineStr">
        <is>
          <t>Prediksi nilai periode ke-5 berdasarkan deret hasil Y (C11:C14) dan periode X (B11:B14) menggunakan fungsi GROWTH!</t>
        </is>
      </c>
      <c r="G11" s="5" t="n"/>
    </row>
    <row r="12">
      <c r="B12" s="19" t="n">
        <v>2</v>
      </c>
      <c r="C12" s="19" t="n">
        <v>720</v>
      </c>
      <c r="E12" s="20" t="inlineStr">
        <is>
          <t>Contoh Rumus Benar:</t>
        </is>
      </c>
      <c r="F12" s="22" t="inlineStr">
        <is>
          <t>'=GROWTH(C11:C14, B11:B14, 5)</t>
        </is>
      </c>
      <c r="G12" s="5" t="n"/>
    </row>
    <row r="13">
      <c r="B13" s="19" t="n">
        <v>3</v>
      </c>
      <c r="C13" s="19" t="n">
        <v>870</v>
      </c>
      <c r="E13" s="20" t="inlineStr">
        <is>
          <t>Contoh Hasil Benar:</t>
        </is>
      </c>
      <c r="F13" s="23">
        <f>GROWTH(C11:C14, B11:B14, 5)</f>
        <v/>
      </c>
      <c r="G13" s="5" t="n"/>
    </row>
    <row r="14">
      <c r="B14" s="19" t="n">
        <v>4</v>
      </c>
      <c r="C14" s="19" t="n">
        <v>1050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Periode (X)</t>
        </is>
      </c>
      <c r="C20" s="14" t="inlineStr">
        <is>
          <t>Realisasi (Y)</t>
        </is>
      </c>
      <c r="E20" s="27" t="inlineStr">
        <is>
          <t>Persoalan Tes #1: Prediksi nilai periode ke-5 berdasarkan deret hasil Y (C21:C24) dan periode X (B21:B24) menggunakan fungsi GROWTH!</t>
        </is>
      </c>
    </row>
    <row r="21">
      <c r="B21" s="19" t="n">
        <v>1</v>
      </c>
      <c r="C21" s="19" t="n">
        <v>100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</v>
      </c>
      <c r="C22" s="19" t="n">
        <v>120</v>
      </c>
      <c r="E22" s="28" t="n"/>
      <c r="F22" s="29">
        <f>IF(ISBLANK(E22), "⏳ Belum Diisi (Ketik Rumus di Sel Kuning E22)", IF(E22='99_KUNCI_JAWABAN'!F725, "✅ BENAR! JAWABAN TES TEPAT!", "❌ Belum Tepat (Cek Sheet Akhir: 99_KUNCI_JAWABAN)"))</f>
        <v/>
      </c>
      <c r="G22" s="5" t="n"/>
    </row>
    <row r="23">
      <c r="B23" s="19" t="n">
        <v>3</v>
      </c>
      <c r="C23" s="19" t="n">
        <v>145</v>
      </c>
    </row>
    <row r="24">
      <c r="B24" s="19" t="n">
        <v>4</v>
      </c>
      <c r="C24" s="19" t="n">
        <v>175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Periode (X)</t>
        </is>
      </c>
      <c r="C28" s="14" t="inlineStr">
        <is>
          <t>Realisasi (Y)</t>
        </is>
      </c>
      <c r="E28" s="27" t="inlineStr">
        <is>
          <t>Persoalan Tes #2: Prediksi nilai periode ke-5 berdasarkan deret hasil Y (C29:C32) dan periode X (B29:B32) menggunakan fungsi GROWTH!</t>
        </is>
      </c>
    </row>
    <row r="29">
      <c r="B29" s="19" t="n">
        <v>1</v>
      </c>
      <c r="C29" s="19" t="n">
        <v>200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2</v>
      </c>
      <c r="C30" s="19" t="n">
        <v>240</v>
      </c>
      <c r="E30" s="28" t="n"/>
      <c r="F30" s="29">
        <f>IF(ISBLANK(E30), "⏳ Belum Diisi (Ketik Rumus di Sel Kuning E30)", IF(E30='99_KUNCI_JAWABAN'!F726, "✅ BENAR! JAWABAN TES TEPAT!", "❌ Belum Tepat (Cek Sheet Akhir: 99_KUNCI_JAWABAN)"))</f>
        <v/>
      </c>
      <c r="G30" s="5" t="n"/>
    </row>
    <row r="31">
      <c r="B31" s="19" t="n">
        <v>3</v>
      </c>
      <c r="C31" s="19" t="n">
        <v>290</v>
      </c>
    </row>
    <row r="32">
      <c r="B32" s="19" t="n">
        <v>4</v>
      </c>
      <c r="C32" s="19" t="n">
        <v>350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Periode (X)</t>
        </is>
      </c>
      <c r="C36" s="14" t="inlineStr">
        <is>
          <t>Realisasi (Y)</t>
        </is>
      </c>
      <c r="E36" s="27" t="inlineStr">
        <is>
          <t>Persoalan Tes #3: Prediksi nilai periode ke-5 berdasarkan deret hasil Y (C37:C40) dan periode X (B37:B40) menggunakan fungsi GROWTH!</t>
        </is>
      </c>
    </row>
    <row r="37">
      <c r="B37" s="19" t="n">
        <v>1</v>
      </c>
      <c r="C37" s="19" t="n">
        <v>300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2</v>
      </c>
      <c r="C38" s="19" t="n">
        <v>360</v>
      </c>
      <c r="E38" s="28" t="n"/>
      <c r="F38" s="29">
        <f>IF(ISBLANK(E38), "⏳ Belum Diisi (Ketik Rumus di Sel Kuning E38)", IF(E38='99_KUNCI_JAWABAN'!F727, "✅ BENAR! JAWABAN TES TEPAT!", "❌ Belum Tepat (Cek Sheet Akhir: 99_KUNCI_JAWABAN)"))</f>
        <v/>
      </c>
      <c r="G38" s="5" t="n"/>
    </row>
    <row r="39">
      <c r="B39" s="19" t="n">
        <v>3</v>
      </c>
      <c r="C39" s="19" t="n">
        <v>435</v>
      </c>
    </row>
    <row r="40">
      <c r="B40" s="19" t="n">
        <v>4</v>
      </c>
      <c r="C40" s="19" t="n">
        <v>525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Periode (X)</t>
        </is>
      </c>
      <c r="C44" s="14" t="inlineStr">
        <is>
          <t>Realisasi (Y)</t>
        </is>
      </c>
      <c r="E44" s="27" t="inlineStr">
        <is>
          <t>Persoalan Tes #4: Prediksi nilai periode ke-5 berdasarkan deret hasil Y (C45:C48) dan periode X (B45:B48) menggunakan fungsi GROWTH!</t>
        </is>
      </c>
    </row>
    <row r="45">
      <c r="B45" s="19" t="n">
        <v>1</v>
      </c>
      <c r="C45" s="19" t="n">
        <v>400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2</v>
      </c>
      <c r="C46" s="19" t="n">
        <v>480</v>
      </c>
      <c r="E46" s="28" t="n"/>
      <c r="F46" s="29">
        <f>IF(ISBLANK(E46), "⏳ Belum Diisi (Ketik Rumus di Sel Kuning E46)", IF(E46='99_KUNCI_JAWABAN'!F728, "✅ BENAR! JAWABAN TES TEPAT!", "❌ Belum Tepat (Cek Sheet Akhir: 99_KUNCI_JAWABAN)"))</f>
        <v/>
      </c>
      <c r="G46" s="5" t="n"/>
    </row>
    <row r="47">
      <c r="B47" s="19" t="n">
        <v>3</v>
      </c>
      <c r="C47" s="19" t="n">
        <v>580</v>
      </c>
    </row>
    <row r="48">
      <c r="B48" s="19" t="n">
        <v>4</v>
      </c>
      <c r="C48" s="19" t="n">
        <v>700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Periode (X)</t>
        </is>
      </c>
      <c r="C52" s="14" t="inlineStr">
        <is>
          <t>Realisasi (Y)</t>
        </is>
      </c>
      <c r="E52" s="27" t="inlineStr">
        <is>
          <t>Persoalan Tes #5: Prediksi nilai periode ke-5 berdasarkan deret hasil Y (C53:C56) dan periode X (B53:B56) menggunakan fungsi GROWTH!</t>
        </is>
      </c>
    </row>
    <row r="53">
      <c r="B53" s="19" t="n">
        <v>1</v>
      </c>
      <c r="C53" s="19" t="n">
        <v>500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2</v>
      </c>
      <c r="C54" s="19" t="n">
        <v>600</v>
      </c>
      <c r="E54" s="28" t="n"/>
      <c r="F54" s="29">
        <f>IF(ISBLANK(E54), "⏳ Belum Diisi (Ketik Rumus di Sel Kuning E54)", IF(E54='99_KUNCI_JAWABAN'!F729, "✅ BENAR! JAWABAN TES TEPAT!", "❌ Belum Tepat (Cek Sheet Akhir: 99_KUNCI_JAWABAN)"))</f>
        <v/>
      </c>
      <c r="G54" s="5" t="n"/>
    </row>
    <row r="55">
      <c r="B55" s="19" t="n">
        <v>3</v>
      </c>
      <c r="C55" s="19" t="n">
        <v>725</v>
      </c>
    </row>
    <row r="56">
      <c r="B56" s="19" t="n">
        <v>4</v>
      </c>
      <c r="C56" s="19" t="n">
        <v>875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#146 — RUMUS EXCEL: HARMEAN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(HARMEAN)</t>
        </is>
      </c>
    </row>
    <row r="5" ht="21" customHeight="1">
      <c r="B5" s="14" t="inlineStr">
        <is>
          <t>Nama Rumus Excel</t>
        </is>
      </c>
      <c r="C5" s="15">
        <f>HARMEAN(...)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HARMEAN(range_data)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Harmonik untuk laju atau kecepatan rata-rata.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HARMEAN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HARMEAN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'=HARMEAN(C11:C14)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HARMEAN(C11:C14)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HARMEAN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HARMEAN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HARMEAN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HARMEAN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HARMEAN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#147 — RUMUS EXCEL: HYPGEOMDIST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(HYPGEOMDIST)</t>
        </is>
      </c>
    </row>
    <row r="5" ht="21" customHeight="1">
      <c r="B5" s="14" t="inlineStr">
        <is>
          <t>Nama Rumus Excel</t>
        </is>
      </c>
      <c r="C5" s="15">
        <f>HYPGEOMDIST(...)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HYPGEOM.DIST(sampel_s, ukuran_sampel, pop_s, ukuran_pop,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peluang distribusi Hipergeometrik (pengambilan sampel tanpa pengembalian).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HYPGEOMDIST DI SINI)</t>
        </is>
      </c>
    </row>
    <row r="10">
      <c r="B10" s="18" t="inlineStr">
        <is>
          <t>Parameter Hipergeometrik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Sukses Sampel (C11)</t>
        </is>
      </c>
      <c r="C11" s="19" t="n">
        <v>2</v>
      </c>
      <c r="E11" s="20" t="inlineStr">
        <is>
          <t>Contoh Soal:</t>
        </is>
      </c>
      <c r="F11" s="21" t="inlineStr">
        <is>
          <t>Hitung distribusi hipergeometrik kumulatif menggunakan fungsi HYPGEOM.DIST dengan argumen C11, C12, C13, C14, dan TRUE!</t>
        </is>
      </c>
      <c r="G11" s="5" t="n"/>
    </row>
    <row r="12">
      <c r="B12" s="19" t="inlineStr">
        <is>
          <t>Ukuran Sampel (C12)</t>
        </is>
      </c>
      <c r="C12" s="19" t="n">
        <v>4</v>
      </c>
      <c r="E12" s="20" t="inlineStr">
        <is>
          <t>Contoh Rumus Benar:</t>
        </is>
      </c>
      <c r="F12" s="22" t="inlineStr">
        <is>
          <t>'=HYPGEOM.DIST(C11, C12, C13, C14, TRUE)</t>
        </is>
      </c>
      <c r="G12" s="5" t="n"/>
    </row>
    <row r="13">
      <c r="B13" s="19" t="inlineStr">
        <is>
          <t>Sukses Populasi (C13)</t>
        </is>
      </c>
      <c r="C13" s="19" t="n">
        <v>4</v>
      </c>
      <c r="E13" s="20" t="inlineStr">
        <is>
          <t>Contoh Hasil Benar:</t>
        </is>
      </c>
      <c r="F13" s="23">
        <f>HYPGEOM.DIST(C11, C12, C13, C14, TRUE)</f>
        <v/>
      </c>
      <c r="G13" s="5" t="n"/>
    </row>
    <row r="14">
      <c r="B14" s="19" t="inlineStr">
        <is>
          <t>Ukuran Populasi (C14)</t>
        </is>
      </c>
      <c r="C14" s="19" t="n">
        <v>15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Hipergeometrik</t>
        </is>
      </c>
      <c r="C20" s="14" t="inlineStr">
        <is>
          <t>Nilai Input</t>
        </is>
      </c>
      <c r="E20" s="27" t="inlineStr">
        <is>
          <t>Persoalan Tes #1: Hitung distribusi hipergeometrik kumulatif menggunakan fungsi HYPGEOM.DIST dengan argumen C21, C22, C23, C24, dan TRUE!</t>
        </is>
      </c>
    </row>
    <row r="21">
      <c r="B21" s="19" t="inlineStr">
        <is>
          <t>Sukses Sampel (C21)</t>
        </is>
      </c>
      <c r="C21" s="19" t="n">
        <v>1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Ukuran Sampel (C22)</t>
        </is>
      </c>
      <c r="C22" s="19" t="n">
        <v>4</v>
      </c>
      <c r="E22" s="28" t="n"/>
      <c r="F22" s="29">
        <f>IF(ISBLANK(E22), "⏳ Belum Diisi (Ketik Rumus di Sel Kuning E22)", IF(E22='99_KUNCI_JAWABAN'!F735, "✅ BENAR! JAWABAN TES TEPAT!", "❌ Belum Tepat (Cek Sheet Akhir: 99_KUNCI_JAWABAN)"))</f>
        <v/>
      </c>
      <c r="G22" s="5" t="n"/>
    </row>
    <row r="23">
      <c r="B23" s="19" t="inlineStr">
        <is>
          <t>Sukses Populasi (C23)</t>
        </is>
      </c>
      <c r="C23" s="19" t="n">
        <v>4</v>
      </c>
    </row>
    <row r="24">
      <c r="B24" s="19" t="inlineStr">
        <is>
          <t>Ukuran Populasi (C24)</t>
        </is>
      </c>
      <c r="C24" s="19" t="n">
        <v>10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Hipergeometrik</t>
        </is>
      </c>
      <c r="C28" s="14" t="inlineStr">
        <is>
          <t>Nilai Input</t>
        </is>
      </c>
      <c r="E28" s="27" t="inlineStr">
        <is>
          <t>Persoalan Tes #2: Hitung distribusi hipergeometrik kumulatif menggunakan fungsi HYPGEOM.DIST dengan argumen C29, C30, C31, C32, dan TRUE!</t>
        </is>
      </c>
    </row>
    <row r="29">
      <c r="B29" s="19" t="inlineStr">
        <is>
          <t>Sukses Sampel (C29)</t>
        </is>
      </c>
      <c r="C29" s="19" t="n">
        <v>2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Ukuran Sampel (C30)</t>
        </is>
      </c>
      <c r="C30" s="19" t="n">
        <v>4</v>
      </c>
      <c r="E30" s="28" t="n"/>
      <c r="F30" s="29">
        <f>IF(ISBLANK(E30), "⏳ Belum Diisi (Ketik Rumus di Sel Kuning E30)", IF(E30='99_KUNCI_JAWABAN'!F736, "✅ BENAR! JAWABAN TES TEPAT!", "❌ Belum Tepat (Cek Sheet Akhir: 99_KUNCI_JAWABAN)"))</f>
        <v/>
      </c>
      <c r="G30" s="5" t="n"/>
    </row>
    <row r="31">
      <c r="B31" s="19" t="inlineStr">
        <is>
          <t>Sukses Populasi (C31)</t>
        </is>
      </c>
      <c r="C31" s="19" t="n">
        <v>4</v>
      </c>
    </row>
    <row r="32">
      <c r="B32" s="19" t="inlineStr">
        <is>
          <t>Ukuran Populasi (C32)</t>
        </is>
      </c>
      <c r="C32" s="19" t="n">
        <v>11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Hipergeometrik</t>
        </is>
      </c>
      <c r="C36" s="14" t="inlineStr">
        <is>
          <t>Nilai Input</t>
        </is>
      </c>
      <c r="E36" s="27" t="inlineStr">
        <is>
          <t>Persoalan Tes #3: Hitung distribusi hipergeometrik kumulatif menggunakan fungsi HYPGEOM.DIST dengan argumen C37, C38, C39, C40, dan TRUE!</t>
        </is>
      </c>
    </row>
    <row r="37">
      <c r="B37" s="19" t="inlineStr">
        <is>
          <t>Sukses Sampel (C37)</t>
        </is>
      </c>
      <c r="C37" s="19" t="n">
        <v>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Ukuran Sampel (C38)</t>
        </is>
      </c>
      <c r="C38" s="19" t="n">
        <v>4</v>
      </c>
      <c r="E38" s="28" t="n"/>
      <c r="F38" s="29">
        <f>IF(ISBLANK(E38), "⏳ Belum Diisi (Ketik Rumus di Sel Kuning E38)", IF(E38='99_KUNCI_JAWABAN'!F737, "✅ BENAR! JAWABAN TES TEPAT!", "❌ Belum Tepat (Cek Sheet Akhir: 99_KUNCI_JAWABAN)"))</f>
        <v/>
      </c>
      <c r="G38" s="5" t="n"/>
    </row>
    <row r="39">
      <c r="B39" s="19" t="inlineStr">
        <is>
          <t>Sukses Populasi (C39)</t>
        </is>
      </c>
      <c r="C39" s="19" t="n">
        <v>4</v>
      </c>
    </row>
    <row r="40">
      <c r="B40" s="19" t="inlineStr">
        <is>
          <t>Ukuran Populasi (C40)</t>
        </is>
      </c>
      <c r="C40" s="19" t="n">
        <v>12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Hipergeometrik</t>
        </is>
      </c>
      <c r="C44" s="14" t="inlineStr">
        <is>
          <t>Nilai Input</t>
        </is>
      </c>
      <c r="E44" s="27" t="inlineStr">
        <is>
          <t>Persoalan Tes #4: Hitung distribusi hipergeometrik kumulatif menggunakan fungsi HYPGEOM.DIST dengan argumen C45, C46, C47, C48, dan TRUE!</t>
        </is>
      </c>
    </row>
    <row r="45">
      <c r="B45" s="19" t="inlineStr">
        <is>
          <t>Sukses Sampel (C45)</t>
        </is>
      </c>
      <c r="C45" s="19" t="n">
        <v>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Ukuran Sampel (C46)</t>
        </is>
      </c>
      <c r="C46" s="19" t="n">
        <v>4</v>
      </c>
      <c r="E46" s="28" t="n"/>
      <c r="F46" s="29">
        <f>IF(ISBLANK(E46), "⏳ Belum Diisi (Ketik Rumus di Sel Kuning E46)", IF(E46='99_KUNCI_JAWABAN'!F738, "✅ BENAR! JAWABAN TES TEPAT!", "❌ Belum Tepat (Cek Sheet Akhir: 99_KUNCI_JAWABAN)"))</f>
        <v/>
      </c>
      <c r="G46" s="5" t="n"/>
    </row>
    <row r="47">
      <c r="B47" s="19" t="inlineStr">
        <is>
          <t>Sukses Populasi (C47)</t>
        </is>
      </c>
      <c r="C47" s="19" t="n">
        <v>4</v>
      </c>
    </row>
    <row r="48">
      <c r="B48" s="19" t="inlineStr">
        <is>
          <t>Ukuran Populasi (C48)</t>
        </is>
      </c>
      <c r="C48" s="19" t="n">
        <v>13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Hipergeometrik</t>
        </is>
      </c>
      <c r="C52" s="14" t="inlineStr">
        <is>
          <t>Nilai Input</t>
        </is>
      </c>
      <c r="E52" s="27" t="inlineStr">
        <is>
          <t>Persoalan Tes #5: Hitung distribusi hipergeometrik kumulatif menggunakan fungsi HYPGEOM.DIST dengan argumen C53, C54, C55, C56, dan TRUE!</t>
        </is>
      </c>
    </row>
    <row r="53">
      <c r="B53" s="19" t="inlineStr">
        <is>
          <t>Sukses Sampel (C53)</t>
        </is>
      </c>
      <c r="C53" s="19" t="n">
        <v>1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Ukuran Sampel (C54)</t>
        </is>
      </c>
      <c r="C54" s="19" t="n">
        <v>4</v>
      </c>
      <c r="E54" s="28" t="n"/>
      <c r="F54" s="29">
        <f>IF(ISBLANK(E54), "⏳ Belum Diisi (Ketik Rumus di Sel Kuning E54)", IF(E54='99_KUNCI_JAWABAN'!F739, "✅ BENAR! JAWABAN TES TEPAT!", "❌ Belum Tepat (Cek Sheet Akhir: 99_KUNCI_JAWABAN)"))</f>
        <v/>
      </c>
      <c r="G54" s="5" t="n"/>
    </row>
    <row r="55">
      <c r="B55" s="19" t="inlineStr">
        <is>
          <t>Sukses Populasi (C55)</t>
        </is>
      </c>
      <c r="C55" s="19" t="n">
        <v>4</v>
      </c>
    </row>
    <row r="56">
      <c r="B56" s="19" t="inlineStr">
        <is>
          <t>Ukuran Populasi (C56)</t>
        </is>
      </c>
      <c r="C56" s="19" t="n">
        <v>14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#148 — RUMUS EXCEL: INTERCEPT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(INTERCEPT)</t>
        </is>
      </c>
    </row>
    <row r="5" ht="21" customHeight="1">
      <c r="B5" s="14" t="inlineStr">
        <is>
          <t>Nama Rumus Excel</t>
        </is>
      </c>
      <c r="C5" s="15">
        <f>INTERCEPT(...)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INTERCEPT(range_y, range_x)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titik potong sumbu Y pada garis regresi linear.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INTERCEPT DI SINI)</t>
        </is>
      </c>
    </row>
    <row r="10">
      <c r="B10" s="18" t="inlineStr">
        <is>
          <t>Variabel X (Biaya)</t>
        </is>
      </c>
      <c r="C10" s="18" t="inlineStr">
        <is>
          <t>Variabel Y (Hasil)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regresi linear dengan menempatkan rentang hasil Y (C11:C14) dan rentang variabel X (B11:B14) menggunakan fungsi INTERCEPT!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'=INTERCEPT(C11:C14, B11:B14)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INTERCEPT(C11:C14, B11:B14)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Variabel X (Biaya)</t>
        </is>
      </c>
      <c r="C20" s="14" t="inlineStr">
        <is>
          <t>Variabel Y (Hasil)</t>
        </is>
      </c>
      <c r="E20" s="27" t="inlineStr">
        <is>
          <t>Persoalan Tes #1: Analisis regresi linear dengan menempatkan rentang hasil Y (C21:C24) dan rentang variabel X (B21:B24) menggunakan fungsi INTERCEPT!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IF(E22='99_KUNCI_JAWABAN'!F740,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Variabel X (Biaya)</t>
        </is>
      </c>
      <c r="C28" s="14" t="inlineStr">
        <is>
          <t>Variabel Y (Hasil)</t>
        </is>
      </c>
      <c r="E28" s="27" t="inlineStr">
        <is>
          <t>Persoalan Tes #2: Analisis regresi linear dengan menempatkan rentang hasil Y (C29:C32) dan rentang variabel X (B29:B32) menggunakan fungsi INTERCEPT!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IF(E30='99_KUNCI_JAWABAN'!F741,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Variabel X (Biaya)</t>
        </is>
      </c>
      <c r="C36" s="14" t="inlineStr">
        <is>
          <t>Variabel Y (Hasil)</t>
        </is>
      </c>
      <c r="E36" s="27" t="inlineStr">
        <is>
          <t>Persoalan Tes #3: Analisis regresi linear dengan menempatkan rentang hasil Y (C37:C40) dan rentang variabel X (B37:B40) menggunakan fungsi INTERCEPT!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IF(E38='99_KUNCI_JAWABAN'!F742,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Variabel X (Biaya)</t>
        </is>
      </c>
      <c r="C44" s="14" t="inlineStr">
        <is>
          <t>Variabel Y (Hasil)</t>
        </is>
      </c>
      <c r="E44" s="27" t="inlineStr">
        <is>
          <t>Persoalan Tes #4: Analisis regresi linear dengan menempatkan rentang hasil Y (C45:C48) dan rentang variabel X (B45:B48) menggunakan fungsi INTERCEPT!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IF(E46='99_KUNCI_JAWABAN'!F743,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Variabel X (Biaya)</t>
        </is>
      </c>
      <c r="C52" s="14" t="inlineStr">
        <is>
          <t>Variabel Y (Hasil)</t>
        </is>
      </c>
      <c r="E52" s="27" t="inlineStr">
        <is>
          <t>Persoalan Tes #5: Analisis regresi linear dengan menempatkan rentang hasil Y (C53:C56) dan rentang variabel X (B53:B56) menggunakan fungsi INTERCEPT!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IF(E54='99_KUNCI_JAWABAN'!F744,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#149 — RUMUS EXCEL: KURT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(KURT)</t>
        </is>
      </c>
    </row>
    <row r="5" ht="21" customHeight="1">
      <c r="B5" s="14" t="inlineStr">
        <is>
          <t>Nama Rumus Excel</t>
        </is>
      </c>
      <c r="C5" s="15">
        <f>KURT(...)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KURT(range_data)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Mengukur keruncingan (Kurtosis) distribusi data statistik.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KURT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KURT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'=KURT(C11:C14)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KURT(C11:C14)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KURT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IF(E22='99_KUNCI_JAWABAN'!F745,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KURT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IF(E30='99_KUNCI_JAWABAN'!F746,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KURT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IF(E38='99_KUNCI_JAWABAN'!F747,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KURT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IF(E46='99_KUNCI_JAWABAN'!F748,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KURT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IF(E54='99_KUNCI_JAWABAN'!F749,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#150 — RUMUS EXCEL: LARGE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(LARGE)</t>
        </is>
      </c>
    </row>
    <row r="5" ht="21" customHeight="1">
      <c r="B5" s="14" t="inlineStr">
        <is>
          <t>Nama Rumus Excel</t>
        </is>
      </c>
      <c r="C5" s="15">
        <f>LARGE(...)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LARGE(range_data, k)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terbesar ke-k (Juara ke-1, Juara ke-2, atau Juara ke-3).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LARGE DI SINI)</t>
        </is>
      </c>
    </row>
    <row r="10">
      <c r="B10" s="18" t="inlineStr">
        <is>
          <t>Peserta / Cabang</t>
        </is>
      </c>
      <c r="C10" s="18" t="inlineStr">
        <is>
          <t>Skor Capaian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Temukan nilai pada urutan ke-3 dari rentang data C11:C14 menggunakan fungsi LARGE!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'=LARGE(C11:C14, 3)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LARGE(C11:C14, 3)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Peserta / Cabang</t>
        </is>
      </c>
      <c r="C20" s="14" t="inlineStr">
        <is>
          <t>Skor Capaian</t>
        </is>
      </c>
      <c r="E20" s="27" t="inlineStr">
        <is>
          <t>Persoalan Tes #1: Temukan nilai pada urutan ke-1 dari rentang data C21:C24 menggunakan fungsi LARGE!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IF(E22='99_KUNCI_JAWABAN'!F750,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Peserta / Cabang</t>
        </is>
      </c>
      <c r="C28" s="14" t="inlineStr">
        <is>
          <t>Skor Capaian</t>
        </is>
      </c>
      <c r="E28" s="27" t="inlineStr">
        <is>
          <t>Persoalan Tes #2: Temukan nilai pada urutan ke-2 dari rentang data C29:C32 menggunakan fungsi LARGE!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IF(E30='99_KUNCI_JAWABAN'!F751,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Peserta / Cabang</t>
        </is>
      </c>
      <c r="C36" s="14" t="inlineStr">
        <is>
          <t>Skor Capaian</t>
        </is>
      </c>
      <c r="E36" s="27" t="inlineStr">
        <is>
          <t>Persoalan Tes #3: Temukan nilai pada urutan ke-3 dari rentang data C37:C40 menggunakan fungsi LARGE!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IF(E38='99_KUNCI_JAWABAN'!F752,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Peserta / Cabang</t>
        </is>
      </c>
      <c r="C44" s="14" t="inlineStr">
        <is>
          <t>Skor Capaian</t>
        </is>
      </c>
      <c r="E44" s="27" t="inlineStr">
        <is>
          <t>Persoalan Tes #4: Temukan nilai pada urutan ke-1 dari rentang data C45:C48 menggunakan fungsi LARGE!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IF(E46='99_KUNCI_JAWABAN'!F753,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Peserta / Cabang</t>
        </is>
      </c>
      <c r="C52" s="14" t="inlineStr">
        <is>
          <t>Skor Capaian</t>
        </is>
      </c>
      <c r="E52" s="27" t="inlineStr">
        <is>
          <t>Persoalan Tes #5: Temukan nilai pada urutan ke-2 dari rentang data C53:C56 menggunakan fungsi LARGE!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IF(E54='99_KUNCI_JAWABAN'!F754,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#151 — RUMUS EXCEL: LOGNORM.DIST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(LOGNORM.DIST)</t>
        </is>
      </c>
    </row>
    <row r="5" ht="21" customHeight="1">
      <c r="B5" s="14" t="inlineStr">
        <is>
          <t>Nama Rumus Excel</t>
        </is>
      </c>
      <c r="C5" s="15">
        <f>LOGNORM.DIST(...)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LOGNORM.DIST(x, mean, standard_dev,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lognormal kumulatif dari variabel x.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LOGNORM.DIST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15</v>
      </c>
      <c r="E11" s="20" t="inlineStr">
        <is>
          <t>Contoh Soal:</t>
        </is>
      </c>
      <c r="F11" s="21" t="inlineStr">
        <is>
          <t>Hitung nilai distribusi kumulatif (TRUE) menggunakan fungsi LOGNORM.DIST dengan argumen berurutan C11, C12, C13, dan TRUE!</t>
        </is>
      </c>
      <c r="G11" s="5" t="n"/>
    </row>
    <row r="12">
      <c r="B12" s="19" t="inlineStr">
        <is>
          <t>Parameter 1 / Mean (C12)</t>
        </is>
      </c>
      <c r="C12" s="19" t="n">
        <v>8</v>
      </c>
      <c r="E12" s="20" t="inlineStr">
        <is>
          <t>Contoh Rumus Benar:</t>
        </is>
      </c>
      <c r="F12" s="22" t="inlineStr">
        <is>
          <t>'=LOGNORM.DIST(C11, C12, C13, TRUE)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LOGNORM.DIST(C11,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LOGNORM.DIST dengan argumen berurutan C21, C22, C23, dan TRUE!</t>
        </is>
      </c>
    </row>
    <row r="21">
      <c r="B21" s="19" t="inlineStr">
        <is>
          <t>Nilai X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8</v>
      </c>
      <c r="E22" s="28" t="n"/>
      <c r="F22" s="29">
        <f>IF(ISBLANK(E22), "⏳ Belum Diisi (Ketik Rumus di Sel Kuning E22)", IF(E22='99_KUNCI_JAWABAN'!F755,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LOGNORM.DIST dengan argumen berurutan C29, C30, C31, dan TRUE!</t>
        </is>
      </c>
    </row>
    <row r="29">
      <c r="B29" s="19" t="inlineStr">
        <is>
          <t>Nilai X (C29)</t>
        </is>
      </c>
      <c r="C29" s="19" t="n">
        <v>11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8</v>
      </c>
      <c r="E30" s="28" t="n"/>
      <c r="F30" s="29">
        <f>IF(ISBLANK(E30), "⏳ Belum Diisi (Ketik Rumus di Sel Kuning E30)", IF(E30='99_KUNCI_JAWABAN'!F756,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LOGNORM.DIST dengan argumen berurutan C37, C38, C39, dan TRUE!</t>
        </is>
      </c>
    </row>
    <row r="37">
      <c r="B37" s="19" t="inlineStr">
        <is>
          <t>Nilai X (C37)</t>
        </is>
      </c>
      <c r="C37" s="19" t="n">
        <v>12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8</v>
      </c>
      <c r="E38" s="28" t="n"/>
      <c r="F38" s="29">
        <f>IF(ISBLANK(E38), "⏳ Belum Diisi (Ketik Rumus di Sel Kuning E38)", IF(E38='99_KUNCI_JAWABAN'!F757,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LOGNORM.DIST dengan argumen berurutan C45, C46, C47, dan TRUE!</t>
        </is>
      </c>
    </row>
    <row r="45">
      <c r="B45" s="19" t="inlineStr">
        <is>
          <t>Nilai X (C45)</t>
        </is>
      </c>
      <c r="C45" s="19" t="n">
        <v>13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8</v>
      </c>
      <c r="E46" s="28" t="n"/>
      <c r="F46" s="29">
        <f>IF(ISBLANK(E46), "⏳ Belum Diisi (Ketik Rumus di Sel Kuning E46)", IF(E46='99_KUNCI_JAWABAN'!F758,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LOGNORM.DIST dengan argumen berurutan C53, C54, C55, dan TRUE!</t>
        </is>
      </c>
    </row>
    <row r="53">
      <c r="B53" s="19" t="inlineStr">
        <is>
          <t>Nilai X (C53)</t>
        </is>
      </c>
      <c r="C53" s="19" t="n">
        <v>14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8</v>
      </c>
      <c r="E54" s="28" t="n"/>
      <c r="F54" s="29">
        <f>IF(ISBLANK(E54), "⏳ Belum Diisi (Ketik Rumus di Sel Kuning E54)", IF(E54='99_KUNCI_JAWABAN'!F759,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#152 — RUMUS EXCEL: LOGINV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(LOGINV)</t>
        </is>
      </c>
    </row>
    <row r="5" ht="21" customHeight="1">
      <c r="B5" s="14" t="inlineStr">
        <is>
          <t>Nama Rumus Excel</t>
        </is>
      </c>
      <c r="C5" s="15">
        <f>LOGINV(...)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LOGNORM.INV(probabilitas, mean, standard_dev)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invers dari distribusi lognormal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LOGINV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0.75</v>
      </c>
      <c r="E11" s="20" t="inlineStr">
        <is>
          <t>Contoh Soal:</t>
        </is>
      </c>
      <c r="F11" s="21" t="inlineStr">
        <is>
          <t>Hitung nilai invers distribusi menggunakan fungsi LOGNORM.INV dengan argumen berurutan C11, C12, dan C13!</t>
        </is>
      </c>
      <c r="G11" s="5" t="n"/>
    </row>
    <row r="12">
      <c r="B12" s="19" t="inlineStr">
        <is>
          <t>Parameter 1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'=LOGNORM.INV(C11, C12, C13)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LOGNORM.INV(C11,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LOGNORM.INV dengan argumen berurutan C21, C22, dan C23!</t>
        </is>
      </c>
    </row>
    <row r="21">
      <c r="B21" s="19" t="inlineStr">
        <is>
          <t>Probabilitas (C21)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10</v>
      </c>
      <c r="E22" s="28" t="n"/>
      <c r="F22" s="29">
        <f>IF(ISBLANK(E22), "⏳ Belum Diisi (Ketik Rumus di Sel Kuning E22)", IF(E22='99_KUNCI_JAWABAN'!F760,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LOGNORM.INV dengan argumen berurutan C29, C30, dan C31!</t>
        </is>
      </c>
    </row>
    <row r="29">
      <c r="B29" s="19" t="inlineStr">
        <is>
          <t>Probabilitas (C29)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10</v>
      </c>
      <c r="E30" s="28" t="n"/>
      <c r="F30" s="29">
        <f>IF(ISBLANK(E30), "⏳ Belum Diisi (Ketik Rumus di Sel Kuning E30)", IF(E30='99_KUNCI_JAWABAN'!F761,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LOGNORM.INV dengan argumen berurutan C37, C38, dan C39!</t>
        </is>
      </c>
    </row>
    <row r="37">
      <c r="B37" s="19" t="inlineStr">
        <is>
          <t>Probabilitas (C37)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10</v>
      </c>
      <c r="E38" s="28" t="n"/>
      <c r="F38" s="29">
        <f>IF(ISBLANK(E38), "⏳ Belum Diisi (Ketik Rumus di Sel Kuning E38)", IF(E38='99_KUNCI_JAWABAN'!F762,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LOGNORM.INV dengan argumen berurutan C45, C46, dan C47!</t>
        </is>
      </c>
    </row>
    <row r="45">
      <c r="B45" s="19" t="inlineStr">
        <is>
          <t>Probabilitas (C45)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10</v>
      </c>
      <c r="E46" s="28" t="n"/>
      <c r="F46" s="29">
        <f>IF(ISBLANK(E46), "⏳ Belum Diisi (Ketik Rumus di Sel Kuning E46)", IF(E46='99_KUNCI_JAWABAN'!F763,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LOGNORM.INV dengan argumen berurutan C53, C54, dan C55!</t>
        </is>
      </c>
    </row>
    <row r="53">
      <c r="B53" s="19" t="inlineStr">
        <is>
          <t>Probabilitas (C53)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10</v>
      </c>
      <c r="E54" s="28" t="n"/>
      <c r="F54" s="29">
        <f>IF(ISBLANK(E54), "⏳ Belum Diisi (Ketik Rumus di Sel Kuning E54)", IF(E54='99_KUNCI_JAWABAN'!F764,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#153 — RUMUS EXCEL: MAX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(MAX)</t>
        </is>
      </c>
    </row>
    <row r="5" ht="21" customHeight="1">
      <c r="B5" s="14" t="inlineStr">
        <is>
          <t>Nama Rumus Excel</t>
        </is>
      </c>
      <c r="C5" s="15">
        <f>MAX(...)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MAX(range_data)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PALING TINGGI (Maksimum / Rekor Juara 1) dari sekumpulan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MAX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MAX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'=MAX(C11:C14)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MAX(C11:C14)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MAX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MAX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MAX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MAX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MAX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#154 — RUMUS EXCEL: MAXA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(MAXA)</t>
        </is>
      </c>
    </row>
    <row r="5" ht="21" customHeight="1">
      <c r="B5" s="14" t="inlineStr">
        <is>
          <t>Nama Rumus Excel</t>
        </is>
      </c>
      <c r="C5" s="15">
        <f>MAXA(...)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MAXA(range_data)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maksimum dengan menyertakan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MAXA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MAXA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'=MAXA(C11:C14)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MAXA(C11:C14)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MAXA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MAXA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MAXA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MAXA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MAXA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#155 — RUMUS EXCEL: MEDIAN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(MEDIAN)</t>
        </is>
      </c>
    </row>
    <row r="5" ht="21" customHeight="1">
      <c r="B5" s="14" t="inlineStr">
        <is>
          <t>Nama Rumus Excel</t>
        </is>
      </c>
      <c r="C5" s="15">
        <f>MEDIAN(...)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MEDIAN(range_data)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TENGAH setelah data diurutkan dari terkecil ke terbesar.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MEDIAN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MEDIAN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'=MEDIAN(C11:C14)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MEDIAN(C11:C14)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MEDIAN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IF(E22='99_KUNCI_JAWABAN'!F775,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MEDIAN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IF(E30='99_KUNCI_JAWABAN'!F776,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MEDIAN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IF(E38='99_KUNCI_JAWABAN'!F777,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MEDIAN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IF(E46='99_KUNCI_JAWABAN'!F778,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MEDIAN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IF(E54='99_KUNCI_JAWABAN'!F779,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#156 — RUMUS EXCEL: MIN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(MIN)</t>
        </is>
      </c>
    </row>
    <row r="5" ht="21" customHeight="1">
      <c r="B5" s="14" t="inlineStr">
        <is>
          <t>Nama Rumus Excel</t>
        </is>
      </c>
      <c r="C5" s="15">
        <f>MIN(...)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MIN(range_data)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PALING RENDAH (Minimum) dari sekumpulan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MIN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MIN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'=MIN(C11:C14)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MIN(C11:C14)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MIN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MIN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MIN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MIN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MIN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#157 — RUMUS EXCEL: MINA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(MINA)</t>
        </is>
      </c>
    </row>
    <row r="5" ht="21" customHeight="1">
      <c r="B5" s="14" t="inlineStr">
        <is>
          <t>Nama Rumus Excel</t>
        </is>
      </c>
      <c r="C5" s="15">
        <f>MINA(...)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MINA(range_data)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minimum dengan menyertakan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MINA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MINA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'=MINA(C11:C14)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MINA(C11:C14)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MINA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MINA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MINA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MINA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MINA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#158 — RUMUS EXCEL: MODE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(MODE)</t>
        </is>
      </c>
    </row>
    <row r="5" ht="21" customHeight="1">
      <c r="B5" s="14" t="inlineStr">
        <is>
          <t>Nama Rumus Excel</t>
        </is>
      </c>
      <c r="C5" s="15">
        <f>MODE(...)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MODE(range_data)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angka yang PALING SERING MUNCUL (Modus) di dalam daftar.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MODE DI SINI)</t>
        </is>
      </c>
    </row>
    <row r="10">
      <c r="B10" s="18" t="inlineStr">
        <is>
          <t>Sampel Observasi</t>
        </is>
      </c>
      <c r="C10" s="18" t="inlineStr">
        <is>
          <t>Nilai Frekuensi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Cari nilai yang paling sering muncul (modus) pada rentang data C11:C14 menggunakan fungsi MODE!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'=MODE(C11:C14)</t>
        </is>
      </c>
      <c r="G12" s="5" t="n"/>
    </row>
    <row r="13">
      <c r="B13" s="19" t="inlineStr">
        <is>
          <t>Simulasi Unit C</t>
        </is>
      </c>
      <c r="C13" s="19" t="n">
        <v>500000</v>
      </c>
      <c r="E13" s="20" t="inlineStr">
        <is>
          <t>Contoh Hasil Benar:</t>
        </is>
      </c>
      <c r="F13" s="23">
        <f>MODE(C11:C14)</f>
        <v/>
      </c>
      <c r="G13" s="5" t="n"/>
    </row>
    <row r="14">
      <c r="B14" s="19" t="inlineStr">
        <is>
          <t>Simulasi Unit D</t>
        </is>
      </c>
      <c r="C14" s="19" t="n">
        <v>600000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Observasi</t>
        </is>
      </c>
      <c r="C20" s="14" t="inlineStr">
        <is>
          <t>Nilai Frekuensi</t>
        </is>
      </c>
      <c r="E20" s="27" t="inlineStr">
        <is>
          <t>Persoalan Tes #1: Cari nilai yang paling sering muncul (modus) pada rentang data C21:C24 menggunakan fungsi MODE!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IF(E22='99_KUNCI_JAWABAN'!F790,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1250000</v>
      </c>
    </row>
    <row r="24">
      <c r="B24" s="19" t="inlineStr">
        <is>
          <t>Cabang Medan</t>
        </is>
      </c>
      <c r="C24" s="19" t="n">
        <v>2100000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Observasi</t>
        </is>
      </c>
      <c r="C28" s="14" t="inlineStr">
        <is>
          <t>Nilai Frekuensi</t>
        </is>
      </c>
      <c r="E28" s="27" t="inlineStr">
        <is>
          <t>Persoalan Tes #2: Cari nilai yang paling sering muncul (modus) pada rentang data C29:C32 menggunakan fungsi MODE!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IF(E30='99_KUNCI_JAWABAN'!F791,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4500000</v>
      </c>
    </row>
    <row r="32">
      <c r="B32" s="19" t="inlineStr">
        <is>
          <t>Rina Wijaya</t>
        </is>
      </c>
      <c r="C32" s="19" t="n">
        <v>4800000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Observasi</t>
        </is>
      </c>
      <c r="C36" s="14" t="inlineStr">
        <is>
          <t>Nilai Frekuensi</t>
        </is>
      </c>
      <c r="E36" s="27" t="inlineStr">
        <is>
          <t>Persoalan Tes #3: Cari nilai yang paling sering muncul (modus) pada rentang data C37:C40 menggunakan fungsi MODE!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IF(E38='99_KUNCI_JAWABAN'!F792,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240</v>
      </c>
    </row>
    <row r="40">
      <c r="B40" s="19" t="inlineStr">
        <is>
          <t>Gudang Blok D</t>
        </is>
      </c>
      <c r="C40" s="19" t="n">
        <v>195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Observasi</t>
        </is>
      </c>
      <c r="C44" s="14" t="inlineStr">
        <is>
          <t>Nilai Frekuensi</t>
        </is>
      </c>
      <c r="E44" s="27" t="inlineStr">
        <is>
          <t>Persoalan Tes #4: Cari nilai yang paling sering muncul (modus) pada rentang data C45:C48 menggunakan fungsi MODE!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IF(E46='99_KUNCI_JAWABAN'!F793,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85</v>
      </c>
    </row>
    <row r="48">
      <c r="B48" s="19" t="inlineStr">
        <is>
          <t>Toko Servis</t>
        </is>
      </c>
      <c r="C48" s="19" t="n">
        <v>78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Observasi</t>
        </is>
      </c>
      <c r="C52" s="14" t="inlineStr">
        <is>
          <t>Nilai Frekuensi</t>
        </is>
      </c>
      <c r="E52" s="27" t="inlineStr">
        <is>
          <t>Persoalan Tes #5: Cari nilai yang paling sering muncul (modus) pada rentang data C53:C56 menggunakan fungsi MODE!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IF(E54='99_KUNCI_JAWABAN'!F794,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82</v>
      </c>
    </row>
    <row r="56">
      <c r="B56" s="19" t="inlineStr">
        <is>
          <t>Kelas Unggulan</t>
        </is>
      </c>
      <c r="C56" s="19" t="n">
        <v>91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#159 — RUMUS EXCEL: NEGBINOM.DIST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(NEGBINOM.DIST)</t>
        </is>
      </c>
    </row>
    <row r="5" ht="21" customHeight="1">
      <c r="B5" s="14" t="inlineStr">
        <is>
          <t>Nama Rumus Excel</t>
        </is>
      </c>
      <c r="C5" s="15">
        <f>NEGBINOM.DIST(...)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NEGBINOM.DIST(gagal, sukses, prob_sukses,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Binomial Negatif (peluang jumlah kegagalan sebelum sukses ke-r).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NEGBINOM.DIST DI SINI)</t>
        </is>
      </c>
    </row>
    <row r="10">
      <c r="B10" s="18" t="inlineStr">
        <is>
          <t>Parameter Binomial</t>
        </is>
      </c>
      <c r="C10" s="18" t="inlineStr">
        <is>
          <t>Nilai Input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Jumlah Sukses/Gagal (C11)</t>
        </is>
      </c>
      <c r="C11" s="19" t="n">
        <v>4</v>
      </c>
      <c r="E11" s="20" t="inlineStr">
        <is>
          <t>Contoh Soal:</t>
        </is>
      </c>
      <c r="F11" s="21" t="inlineStr">
        <is>
          <t>Hitung peluang distribusi kumulatif (TRUE) menggunakan fungsi NEGBINOM.DIST dengan argumen C11, C12, C13, dan TRUE!</t>
        </is>
      </c>
      <c r="G11" s="5" t="n"/>
    </row>
    <row r="12">
      <c r="B12" s="19" t="inlineStr">
        <is>
          <t>Total Percobaan (C12)</t>
        </is>
      </c>
      <c r="C12" s="19" t="n">
        <v>15</v>
      </c>
      <c r="E12" s="20" t="inlineStr">
        <is>
          <t>Contoh Rumus Benar:</t>
        </is>
      </c>
      <c r="F12" s="22" t="inlineStr">
        <is>
          <t>'=NEGBINOM.DIST(C11, C12, C13, TRUE)</t>
        </is>
      </c>
      <c r="G12" s="5" t="n"/>
    </row>
    <row r="13">
      <c r="B13" s="19" t="inlineStr">
        <is>
          <t>Peluang Sukses (C13)</t>
        </is>
      </c>
      <c r="C13" s="19" t="n">
        <v>0.5</v>
      </c>
      <c r="E13" s="20" t="inlineStr">
        <is>
          <t>Contoh Hasil Benar:</t>
        </is>
      </c>
      <c r="F13" s="23">
        <f>NEGBINOM.DIST(C11,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Binomial</t>
        </is>
      </c>
      <c r="C20" s="14" t="inlineStr">
        <is>
          <t>Nilai Input</t>
        </is>
      </c>
      <c r="E20" s="27" t="inlineStr">
        <is>
          <t>Persoalan Tes #1: Hitung peluang distribusi kumulatif (TRUE) menggunakan fungsi NEGBINOM.DIST dengan argumen C21, C22, C23, dan TRUE!</t>
        </is>
      </c>
    </row>
    <row r="21">
      <c r="B21" s="19" t="inlineStr">
        <is>
          <t>Jumlah Sukses/Gagal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Total Percobaan (C22)</t>
        </is>
      </c>
      <c r="C22" s="19" t="n">
        <v>10</v>
      </c>
      <c r="E22" s="28" t="n"/>
      <c r="F22" s="29">
        <f>IF(ISBLANK(E22), "⏳ Belum Diisi (Ketik Rumus di Sel Kuning E22)", IF(E22='99_KUNCI_JAWABAN'!F795, "✅ BENAR! JAWABAN TES TEPAT!", "❌ Belum Tepat (Cek Sheet Akhir: 99_KUNCI_JAWABAN)"))</f>
        <v/>
      </c>
      <c r="G22" s="5" t="n"/>
    </row>
    <row r="23">
      <c r="B23" s="19" t="inlineStr">
        <is>
          <t>Peluang Sukses (C23)</t>
        </is>
      </c>
      <c r="C23" s="19" t="n">
        <v>0.5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Binomial</t>
        </is>
      </c>
      <c r="C28" s="14" t="inlineStr">
        <is>
          <t>Nilai Input</t>
        </is>
      </c>
      <c r="E28" s="27" t="inlineStr">
        <is>
          <t>Persoalan Tes #2: Hitung peluang distribusi kumulatif (TRUE) menggunakan fungsi NEGBINOM.DIST dengan argumen C29, C30, C31, dan TRUE!</t>
        </is>
      </c>
    </row>
    <row r="29">
      <c r="B29" s="19" t="inlineStr">
        <is>
          <t>Jumlah Sukses/Gagal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Total Percobaan (C30)</t>
        </is>
      </c>
      <c r="C30" s="19" t="n">
        <v>11</v>
      </c>
      <c r="E30" s="28" t="n"/>
      <c r="F30" s="29">
        <f>IF(ISBLANK(E30), "⏳ Belum Diisi (Ketik Rumus di Sel Kuning E30)", IF(E30='99_KUNCI_JAWABAN'!F796, "✅ BENAR! JAWABAN TES TEPAT!", "❌ Belum Tepat (Cek Sheet Akhir: 99_KUNCI_JAWABAN)"))</f>
        <v/>
      </c>
      <c r="G30" s="5" t="n"/>
    </row>
    <row r="31">
      <c r="B31" s="19" t="inlineStr">
        <is>
          <t>Peluang Sukses (C31)</t>
        </is>
      </c>
      <c r="C31" s="19" t="n">
        <v>0.5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Binomial</t>
        </is>
      </c>
      <c r="C36" s="14" t="inlineStr">
        <is>
          <t>Nilai Input</t>
        </is>
      </c>
      <c r="E36" s="27" t="inlineStr">
        <is>
          <t>Persoalan Tes #3: Hitung peluang distribusi kumulatif (TRUE) menggunakan fungsi NEGBINOM.DIST dengan argumen C37, C38, C39, dan TRUE!</t>
        </is>
      </c>
    </row>
    <row r="37">
      <c r="B37" s="19" t="inlineStr">
        <is>
          <t>Jumlah Sukses/Gagal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Total Percobaan (C38)</t>
        </is>
      </c>
      <c r="C38" s="19" t="n">
        <v>12</v>
      </c>
      <c r="E38" s="28" t="n"/>
      <c r="F38" s="29">
        <f>IF(ISBLANK(E38), "⏳ Belum Diisi (Ketik Rumus di Sel Kuning E38)", IF(E38='99_KUNCI_JAWABAN'!F797, "✅ BENAR! JAWABAN TES TEPAT!", "❌ Belum Tepat (Cek Sheet Akhir: 99_KUNCI_JAWABAN)"))</f>
        <v/>
      </c>
      <c r="G38" s="5" t="n"/>
    </row>
    <row r="39">
      <c r="B39" s="19" t="inlineStr">
        <is>
          <t>Peluang Sukses (C39)</t>
        </is>
      </c>
      <c r="C39" s="19" t="n">
        <v>0.5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Binomial</t>
        </is>
      </c>
      <c r="C44" s="14" t="inlineStr">
        <is>
          <t>Nilai Input</t>
        </is>
      </c>
      <c r="E44" s="27" t="inlineStr">
        <is>
          <t>Persoalan Tes #4: Hitung peluang distribusi kumulatif (TRUE) menggunakan fungsi NEGBINOM.DIST dengan argumen C45, C46, C47, dan TRUE!</t>
        </is>
      </c>
    </row>
    <row r="45">
      <c r="B45" s="19" t="inlineStr">
        <is>
          <t>Jumlah Sukses/Gagal (C45)</t>
        </is>
      </c>
      <c r="C45" s="19" t="n">
        <v>2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Total Percobaan (C46)</t>
        </is>
      </c>
      <c r="C46" s="19" t="n">
        <v>13</v>
      </c>
      <c r="E46" s="28" t="n"/>
      <c r="F46" s="29">
        <f>IF(ISBLANK(E46), "⏳ Belum Diisi (Ketik Rumus di Sel Kuning E46)", IF(E46='99_KUNCI_JAWABAN'!F798, "✅ BENAR! JAWABAN TES TEPAT!", "❌ Belum Tepat (Cek Sheet Akhir: 99_KUNCI_JAWABAN)"))</f>
        <v/>
      </c>
      <c r="G46" s="5" t="n"/>
    </row>
    <row r="47">
      <c r="B47" s="19" t="inlineStr">
        <is>
          <t>Peluang Sukses (C47)</t>
        </is>
      </c>
      <c r="C47" s="19" t="n">
        <v>0.5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Binomial</t>
        </is>
      </c>
      <c r="C52" s="14" t="inlineStr">
        <is>
          <t>Nilai Input</t>
        </is>
      </c>
      <c r="E52" s="27" t="inlineStr">
        <is>
          <t>Persoalan Tes #5: Hitung peluang distribusi kumulatif (TRUE) menggunakan fungsi NEGBINOM.DIST dengan argumen C53, C54, C55, dan TRUE!</t>
        </is>
      </c>
    </row>
    <row r="53">
      <c r="B53" s="19" t="inlineStr">
        <is>
          <t>Jumlah Sukses/Gagal (C53)</t>
        </is>
      </c>
      <c r="C53" s="19" t="n">
        <v>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Total Percobaan (C54)</t>
        </is>
      </c>
      <c r="C54" s="19" t="n">
        <v>14</v>
      </c>
      <c r="E54" s="28" t="n"/>
      <c r="F54" s="29">
        <f>IF(ISBLANK(E54), "⏳ Belum Diisi (Ketik Rumus di Sel Kuning E54)", IF(E54='99_KUNCI_JAWABAN'!F799, "✅ BENAR! JAWABAN TES TEPAT!", "❌ Belum Tepat (Cek Sheet Akhir: 99_KUNCI_JAWABAN)"))</f>
        <v/>
      </c>
      <c r="G54" s="5" t="n"/>
    </row>
    <row r="55">
      <c r="B55" s="19" t="inlineStr">
        <is>
          <t>Peluang Sukses (C55)</t>
        </is>
      </c>
      <c r="C55" s="19" t="n">
        <v>0.5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#160 — RUMUS EXCEL: NORM.DIST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(NORM.DIST)</t>
        </is>
      </c>
    </row>
    <row r="5" ht="21" customHeight="1">
      <c r="B5" s="14" t="inlineStr">
        <is>
          <t>Nama Rumus Excel</t>
        </is>
      </c>
      <c r="C5" s="15">
        <f>NORM.DIST(...)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NORM.DIST(x, mean, standard_dev,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distribusi normal untuk rata-rata dan simpangan baku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NORM.DIST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15</v>
      </c>
      <c r="E11" s="20" t="inlineStr">
        <is>
          <t>Contoh Soal:</t>
        </is>
      </c>
      <c r="F11" s="21" t="inlineStr">
        <is>
          <t>Hitung nilai distribusi kumulatif (TRUE) menggunakan fungsi NORM.DIST dengan argumen berurutan C11, C12, C13, dan TRUE!</t>
        </is>
      </c>
      <c r="G11" s="5" t="n"/>
    </row>
    <row r="12">
      <c r="B12" s="19" t="inlineStr">
        <is>
          <t>Parameter 1 / Mean (C12)</t>
        </is>
      </c>
      <c r="C12" s="19" t="n">
        <v>8</v>
      </c>
      <c r="E12" s="20" t="inlineStr">
        <is>
          <t>Contoh Rumus Benar:</t>
        </is>
      </c>
      <c r="F12" s="22" t="inlineStr">
        <is>
          <t>'=NORM.DIST(C11, C12, C13, TRUE)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NORM.DIST(C11,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NORM.DIST dengan argumen berurutan C21, C22, C23, dan TRUE!</t>
        </is>
      </c>
    </row>
    <row r="21">
      <c r="B21" s="19" t="inlineStr">
        <is>
          <t>Nilai X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8</v>
      </c>
      <c r="E22" s="28" t="n"/>
      <c r="F22" s="29">
        <f>IF(ISBLANK(E22), "⏳ Belum Diisi (Ketik Rumus di Sel Kuning E22)", IF(E22='99_KUNCI_JAWABAN'!F800,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NORM.DIST dengan argumen berurutan C29, C30, C31, dan TRUE!</t>
        </is>
      </c>
    </row>
    <row r="29">
      <c r="B29" s="19" t="inlineStr">
        <is>
          <t>Nilai X (C29)</t>
        </is>
      </c>
      <c r="C29" s="19" t="n">
        <v>11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8</v>
      </c>
      <c r="E30" s="28" t="n"/>
      <c r="F30" s="29">
        <f>IF(ISBLANK(E30), "⏳ Belum Diisi (Ketik Rumus di Sel Kuning E30)", IF(E30='99_KUNCI_JAWABAN'!F801,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NORM.DIST dengan argumen berurutan C37, C38, C39, dan TRUE!</t>
        </is>
      </c>
    </row>
    <row r="37">
      <c r="B37" s="19" t="inlineStr">
        <is>
          <t>Nilai X (C37)</t>
        </is>
      </c>
      <c r="C37" s="19" t="n">
        <v>12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8</v>
      </c>
      <c r="E38" s="28" t="n"/>
      <c r="F38" s="29">
        <f>IF(ISBLANK(E38), "⏳ Belum Diisi (Ketik Rumus di Sel Kuning E38)", IF(E38='99_KUNCI_JAWABAN'!F802,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NORM.DIST dengan argumen berurutan C45, C46, C47, dan TRUE!</t>
        </is>
      </c>
    </row>
    <row r="45">
      <c r="B45" s="19" t="inlineStr">
        <is>
          <t>Nilai X (C45)</t>
        </is>
      </c>
      <c r="C45" s="19" t="n">
        <v>13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8</v>
      </c>
      <c r="E46" s="28" t="n"/>
      <c r="F46" s="29">
        <f>IF(ISBLANK(E46), "⏳ Belum Diisi (Ketik Rumus di Sel Kuning E46)", IF(E46='99_KUNCI_JAWABAN'!F803,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NORM.DIST dengan argumen berurutan C53, C54, C55, dan TRUE!</t>
        </is>
      </c>
    </row>
    <row r="53">
      <c r="B53" s="19" t="inlineStr">
        <is>
          <t>Nilai X (C53)</t>
        </is>
      </c>
      <c r="C53" s="19" t="n">
        <v>14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8</v>
      </c>
      <c r="E54" s="28" t="n"/>
      <c r="F54" s="29">
        <f>IF(ISBLANK(E54), "⏳ Belum Diisi (Ketik Rumus di Sel Kuning E54)", IF(E54='99_KUNCI_JAWABAN'!F804,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#161 — RUMUS EXCEL: NORM.INV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(NORM.INV)</t>
        </is>
      </c>
    </row>
    <row r="5" ht="21" customHeight="1">
      <c r="B5" s="14" t="inlineStr">
        <is>
          <t>Nama Rumus Excel</t>
        </is>
      </c>
      <c r="C5" s="15">
        <f>NORM.INV(...)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NORM.INV(probabilitas, mean, standard_dev)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invers dari distribusi normal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NORM.INV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0.75</v>
      </c>
      <c r="E11" s="20" t="inlineStr">
        <is>
          <t>Contoh Soal:</t>
        </is>
      </c>
      <c r="F11" s="21" t="inlineStr">
        <is>
          <t>Hitung nilai invers distribusi menggunakan fungsi NORM.INV dengan argumen berurutan C11, C12, dan C13!</t>
        </is>
      </c>
      <c r="G11" s="5" t="n"/>
    </row>
    <row r="12">
      <c r="B12" s="19" t="inlineStr">
        <is>
          <t>Parameter 1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'=NORM.INV(C11, C12, C13)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NORM.INV(C11,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NORM.INV dengan argumen berurutan C21, C22, dan C23!</t>
        </is>
      </c>
    </row>
    <row r="21">
      <c r="B21" s="19" t="inlineStr">
        <is>
          <t>Probabilitas (C21)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10</v>
      </c>
      <c r="E22" s="28" t="n"/>
      <c r="F22" s="29">
        <f>IF(ISBLANK(E22), "⏳ Belum Diisi (Ketik Rumus di Sel Kuning E22)", IF(E22='99_KUNCI_JAWABAN'!F805,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NORM.INV dengan argumen berurutan C29, C30, dan C31!</t>
        </is>
      </c>
    </row>
    <row r="29">
      <c r="B29" s="19" t="inlineStr">
        <is>
          <t>Probabilitas (C29)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10</v>
      </c>
      <c r="E30" s="28" t="n"/>
      <c r="F30" s="29">
        <f>IF(ISBLANK(E30), "⏳ Belum Diisi (Ketik Rumus di Sel Kuning E30)", IF(E30='99_KUNCI_JAWABAN'!F806,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NORM.INV dengan argumen berurutan C37, C38, dan C39!</t>
        </is>
      </c>
    </row>
    <row r="37">
      <c r="B37" s="19" t="inlineStr">
        <is>
          <t>Probabilitas (C37)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10</v>
      </c>
      <c r="E38" s="28" t="n"/>
      <c r="F38" s="29">
        <f>IF(ISBLANK(E38), "⏳ Belum Diisi (Ketik Rumus di Sel Kuning E38)", IF(E38='99_KUNCI_JAWABAN'!F807,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NORM.INV dengan argumen berurutan C45, C46, dan C47!</t>
        </is>
      </c>
    </row>
    <row r="45">
      <c r="B45" s="19" t="inlineStr">
        <is>
          <t>Probabilitas (C45)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10</v>
      </c>
      <c r="E46" s="28" t="n"/>
      <c r="F46" s="29">
        <f>IF(ISBLANK(E46), "⏳ Belum Diisi (Ketik Rumus di Sel Kuning E46)", IF(E46='99_KUNCI_JAWABAN'!F808,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NORM.INV dengan argumen berurutan C53, C54, dan C55!</t>
        </is>
      </c>
    </row>
    <row r="53">
      <c r="B53" s="19" t="inlineStr">
        <is>
          <t>Probabilitas (C53)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10</v>
      </c>
      <c r="E54" s="28" t="n"/>
      <c r="F54" s="29">
        <f>IF(ISBLANK(E54), "⏳ Belum Diisi (Ketik Rumus di Sel Kuning E54)", IF(E54='99_KUNCI_JAWABAN'!F809,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#162 — RUMUS EXCEL: NORM.S.DIST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(NORM.S.DIST)</t>
        </is>
      </c>
    </row>
    <row r="5" ht="21" customHeight="1">
      <c r="B5" s="14" t="inlineStr">
        <is>
          <t>Nama Rumus Excel</t>
        </is>
      </c>
      <c r="C5" s="15">
        <f>NORM.S.DIST(...)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NORM.S.DIST(z,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distribusi normal standar (rata-rata = 0 dan standar deviasi = 1).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NORM.S.DIST DI SINI)</t>
        </is>
      </c>
    </row>
    <row r="10">
      <c r="B10" s="18" t="inlineStr">
        <is>
          <t>Parameter Z</t>
        </is>
      </c>
      <c r="C10" s="18" t="inlineStr">
        <is>
          <t>Skor Z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1.75</v>
      </c>
      <c r="E11" s="20" t="inlineStr">
        <is>
          <t>Contoh Soal:</t>
        </is>
      </c>
      <c r="F11" s="21" t="inlineStr">
        <is>
          <t>Hitung nilai distribusi normal standar kumulatif (TRUE) untuk skor-Z di sel C11 (1.75) menggunakan fungsi NORM.S.DIST!</t>
        </is>
      </c>
      <c r="G11" s="5" t="n"/>
    </row>
    <row r="12">
      <c r="B12" s="19" t="inlineStr">
        <is>
          <t>Simulasi Unit B</t>
        </is>
      </c>
      <c r="C12" s="19" t="n">
        <v>1</v>
      </c>
      <c r="E12" s="20" t="inlineStr">
        <is>
          <t>Contoh Rumus Benar:</t>
        </is>
      </c>
      <c r="F12" s="22" t="inlineStr">
        <is>
          <t>'=NORM.S.DIST(C11, TRUE)</t>
        </is>
      </c>
      <c r="G12" s="5" t="n"/>
    </row>
    <row r="13">
      <c r="B13" s="19" t="inlineStr">
        <is>
          <t>Simulasi Unit C</t>
        </is>
      </c>
      <c r="C13" s="19" t="n">
        <v>1.5</v>
      </c>
      <c r="E13" s="20" t="inlineStr">
        <is>
          <t>Contoh Hasil Benar:</t>
        </is>
      </c>
      <c r="F13" s="23">
        <f>NORM.S.DIST(C11, TRUE)</f>
        <v/>
      </c>
      <c r="G13" s="5" t="n"/>
    </row>
    <row r="14">
      <c r="B14" s="19" t="inlineStr">
        <is>
          <t>Simulasi Unit D</t>
        </is>
      </c>
      <c r="C14" s="19" t="n">
        <v>1.96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Z</t>
        </is>
      </c>
      <c r="C20" s="14" t="inlineStr">
        <is>
          <t>Skor Z</t>
        </is>
      </c>
      <c r="E20" s="27" t="inlineStr">
        <is>
          <t>Persoalan Tes #1: Hitung nilai distribusi normal standar kumulatif (TRUE) untuk skor-Z di sel C21 (0.5) menggunakan fungsi NORM.S.DIST!</t>
        </is>
      </c>
    </row>
    <row r="21">
      <c r="B21" s="19" t="inlineStr">
        <is>
          <t>Cabang Jakarta</t>
        </is>
      </c>
      <c r="C21" s="19" t="n">
        <v>0.5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</v>
      </c>
      <c r="E22" s="28" t="n"/>
      <c r="F22" s="29">
        <f>IF(ISBLANK(E22), "⏳ Belum Diisi (Ketik Rumus di Sel Kuning E22)", IF(E22='99_KUNCI_JAWABAN'!F810,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1.5</v>
      </c>
    </row>
    <row r="24">
      <c r="B24" s="19" t="inlineStr">
        <is>
          <t>Cabang Medan</t>
        </is>
      </c>
      <c r="C24" s="19" t="n">
        <v>1.96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Z</t>
        </is>
      </c>
      <c r="C28" s="14" t="inlineStr">
        <is>
          <t>Skor Z</t>
        </is>
      </c>
      <c r="E28" s="27" t="inlineStr">
        <is>
          <t>Persoalan Tes #2: Hitung nilai distribusi normal standar kumulatif (TRUE) untuk skor-Z di sel C29 (0.75) menggunakan fungsi NORM.S.DIST!</t>
        </is>
      </c>
    </row>
    <row r="29">
      <c r="B29" s="19" t="inlineStr">
        <is>
          <t>Budi Santoso</t>
        </is>
      </c>
      <c r="C29" s="19" t="n">
        <v>0.75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1</v>
      </c>
      <c r="E30" s="28" t="n"/>
      <c r="F30" s="29">
        <f>IF(ISBLANK(E30), "⏳ Belum Diisi (Ketik Rumus di Sel Kuning E30)", IF(E30='99_KUNCI_JAWABAN'!F811,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1.5</v>
      </c>
    </row>
    <row r="32">
      <c r="B32" s="19" t="inlineStr">
        <is>
          <t>Rina Wijaya</t>
        </is>
      </c>
      <c r="C32" s="19" t="n">
        <v>1.96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Z</t>
        </is>
      </c>
      <c r="C36" s="14" t="inlineStr">
        <is>
          <t>Skor Z</t>
        </is>
      </c>
      <c r="E36" s="27" t="inlineStr">
        <is>
          <t>Persoalan Tes #3: Hitung nilai distribusi normal standar kumulatif (TRUE) untuk skor-Z di sel C37 (1.0) menggunakan fungsi NORM.S.DIST!</t>
        </is>
      </c>
    </row>
    <row r="37">
      <c r="B37" s="19" t="inlineStr">
        <is>
          <t>Gudang Blok A</t>
        </is>
      </c>
      <c r="C37" s="19" t="n">
        <v>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1</v>
      </c>
      <c r="E38" s="28" t="n"/>
      <c r="F38" s="29">
        <f>IF(ISBLANK(E38), "⏳ Belum Diisi (Ketik Rumus di Sel Kuning E38)", IF(E38='99_KUNCI_JAWABAN'!F812,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1.5</v>
      </c>
    </row>
    <row r="40">
      <c r="B40" s="19" t="inlineStr">
        <is>
          <t>Gudang Blok D</t>
        </is>
      </c>
      <c r="C40" s="19" t="n">
        <v>1.96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Z</t>
        </is>
      </c>
      <c r="C44" s="14" t="inlineStr">
        <is>
          <t>Skor Z</t>
        </is>
      </c>
      <c r="E44" s="27" t="inlineStr">
        <is>
          <t>Persoalan Tes #4: Hitung nilai distribusi normal standar kumulatif (TRUE) untuk skor-Z di sel C45 (1.25) menggunakan fungsi NORM.S.DIST!</t>
        </is>
      </c>
    </row>
    <row r="45">
      <c r="B45" s="19" t="inlineStr">
        <is>
          <t>Toko Elektronik</t>
        </is>
      </c>
      <c r="C45" s="19" t="n">
        <v>1.25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1</v>
      </c>
      <c r="E46" s="28" t="n"/>
      <c r="F46" s="29">
        <f>IF(ISBLANK(E46), "⏳ Belum Diisi (Ketik Rumus di Sel Kuning E46)", IF(E46='99_KUNCI_JAWABAN'!F813,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1.5</v>
      </c>
    </row>
    <row r="48">
      <c r="B48" s="19" t="inlineStr">
        <is>
          <t>Toko Servis</t>
        </is>
      </c>
      <c r="C48" s="19" t="n">
        <v>1.96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Z</t>
        </is>
      </c>
      <c r="C52" s="14" t="inlineStr">
        <is>
          <t>Skor Z</t>
        </is>
      </c>
      <c r="E52" s="27" t="inlineStr">
        <is>
          <t>Persoalan Tes #5: Hitung nilai distribusi normal standar kumulatif (TRUE) untuk skor-Z di sel C53 (1.5) menggunakan fungsi NORM.S.DIST!</t>
        </is>
      </c>
    </row>
    <row r="53">
      <c r="B53" s="19" t="inlineStr">
        <is>
          <t>Kelas 10 IPA</t>
        </is>
      </c>
      <c r="C53" s="19" t="n">
        <v>1.5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1</v>
      </c>
      <c r="E54" s="28" t="n"/>
      <c r="F54" s="29">
        <f>IF(ISBLANK(E54), "⏳ Belum Diisi (Ketik Rumus di Sel Kuning E54)", IF(E54='99_KUNCI_JAWABAN'!F814,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1.5</v>
      </c>
    </row>
    <row r="56">
      <c r="B56" s="19" t="inlineStr">
        <is>
          <t>Kelas Unggulan</t>
        </is>
      </c>
      <c r="C56" s="19" t="n">
        <v>1.96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#163 — RUMUS EXCEL: NORM.S.INV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(NORM.S.INV)</t>
        </is>
      </c>
    </row>
    <row r="5" ht="21" customHeight="1">
      <c r="B5" s="14" t="inlineStr">
        <is>
          <t>Nama Rumus Excel</t>
        </is>
      </c>
      <c r="C5" s="15">
        <f>NORM.S.INV(...)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NORM.S.INV(probabilitas)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Z dari kebalikan distribusi normal standar kumulatif.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NORM.S.INV DI SINI)</t>
        </is>
      </c>
    </row>
    <row r="10">
      <c r="B10" s="18" t="inlineStr">
        <is>
          <t>Parameter Statistik</t>
        </is>
      </c>
      <c r="C10" s="18" t="inlineStr">
        <is>
          <t>Nilai Koefisien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0.75</v>
      </c>
      <c r="E11" s="20" t="inlineStr">
        <is>
          <t>Contoh Soal:</t>
        </is>
      </c>
      <c r="F11" s="21" t="inlineStr">
        <is>
          <t>Hitung hasil transformasi NORM.S.INV untuk nilai koefisien pada sel C11 (0.75)!</t>
        </is>
      </c>
      <c r="G11" s="5" t="n"/>
    </row>
    <row r="12">
      <c r="B12" s="19" t="inlineStr">
        <is>
          <t>Simulasi Unit B</t>
        </is>
      </c>
      <c r="C12" s="19" t="n">
        <v>0.4</v>
      </c>
      <c r="E12" s="20" t="inlineStr">
        <is>
          <t>Contoh Rumus Benar:</t>
        </is>
      </c>
      <c r="F12" s="22" t="inlineStr">
        <is>
          <t>'=NORM.S.INV(C11)</t>
        </is>
      </c>
      <c r="G12" s="5" t="n"/>
    </row>
    <row r="13">
      <c r="B13" s="19" t="inlineStr">
        <is>
          <t>Simulasi Unit C</t>
        </is>
      </c>
      <c r="C13" s="19" t="n">
        <v>0.5</v>
      </c>
      <c r="E13" s="20" t="inlineStr">
        <is>
          <t>Contoh Hasil Benar:</t>
        </is>
      </c>
      <c r="F13" s="23">
        <f>NORM.S.INV(C11)</f>
        <v/>
      </c>
      <c r="G13" s="5" t="n"/>
    </row>
    <row r="14">
      <c r="B14" s="19" t="inlineStr">
        <is>
          <t>Simulasi Unit D</t>
        </is>
      </c>
      <c r="C14" s="19" t="n">
        <v>0.6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Statistik</t>
        </is>
      </c>
      <c r="C20" s="14" t="inlineStr">
        <is>
          <t>Nilai Koefisien</t>
        </is>
      </c>
      <c r="E20" s="27" t="inlineStr">
        <is>
          <t>Persoalan Tes #1: Hitung hasil transformasi NORM.S.INV untuk nilai koefisien pada sel C21 (0.25)!</t>
        </is>
      </c>
    </row>
    <row r="21">
      <c r="B21" s="19" t="inlineStr">
        <is>
          <t>Cabang Jakarta</t>
        </is>
      </c>
      <c r="C21" s="19" t="n">
        <v>0.25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0.4</v>
      </c>
      <c r="E22" s="28" t="n"/>
      <c r="F22" s="29">
        <f>IF(ISBLANK(E22), "⏳ Belum Diisi (Ketik Rumus di Sel Kuning E22)", IF(E22='99_KUNCI_JAWABAN'!F815,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0.5</v>
      </c>
    </row>
    <row r="24">
      <c r="B24" s="19" t="inlineStr">
        <is>
          <t>Cabang Medan</t>
        </is>
      </c>
      <c r="C24" s="19" t="n">
        <v>0.6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Statistik</t>
        </is>
      </c>
      <c r="C28" s="14" t="inlineStr">
        <is>
          <t>Nilai Koefisien</t>
        </is>
      </c>
      <c r="E28" s="27" t="inlineStr">
        <is>
          <t>Persoalan Tes #2: Hitung hasil transformasi NORM.S.INV untuk nilai koefisien pada sel C29 (0.35)!</t>
        </is>
      </c>
    </row>
    <row r="29">
      <c r="B29" s="19" t="inlineStr">
        <is>
          <t>Budi Santoso</t>
        </is>
      </c>
      <c r="C29" s="19" t="n">
        <v>0.35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0.4</v>
      </c>
      <c r="E30" s="28" t="n"/>
      <c r="F30" s="29">
        <f>IF(ISBLANK(E30), "⏳ Belum Diisi (Ketik Rumus di Sel Kuning E30)", IF(E30='99_KUNCI_JAWABAN'!F816,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0.5</v>
      </c>
    </row>
    <row r="32">
      <c r="B32" s="19" t="inlineStr">
        <is>
          <t>Rina Wijaya</t>
        </is>
      </c>
      <c r="C32" s="19" t="n">
        <v>0.6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Statistik</t>
        </is>
      </c>
      <c r="C36" s="14" t="inlineStr">
        <is>
          <t>Nilai Koefisien</t>
        </is>
      </c>
      <c r="E36" s="27" t="inlineStr">
        <is>
          <t>Persoalan Tes #3: Hitung hasil transformasi NORM.S.INV untuk nilai koefisien pada sel C37 (0.45)!</t>
        </is>
      </c>
    </row>
    <row r="37">
      <c r="B37" s="19" t="inlineStr">
        <is>
          <t>Gudang Blok A</t>
        </is>
      </c>
      <c r="C37" s="19" t="n">
        <v>0.45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0.4</v>
      </c>
      <c r="E38" s="28" t="n"/>
      <c r="F38" s="29">
        <f>IF(ISBLANK(E38), "⏳ Belum Diisi (Ketik Rumus di Sel Kuning E38)", IF(E38='99_KUNCI_JAWABAN'!F817,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0.5</v>
      </c>
    </row>
    <row r="40">
      <c r="B40" s="19" t="inlineStr">
        <is>
          <t>Gudang Blok D</t>
        </is>
      </c>
      <c r="C40" s="19" t="n">
        <v>0.6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Statistik</t>
        </is>
      </c>
      <c r="C44" s="14" t="inlineStr">
        <is>
          <t>Nilai Koefisien</t>
        </is>
      </c>
      <c r="E44" s="27" t="inlineStr">
        <is>
          <t>Persoalan Tes #4: Hitung hasil transformasi NORM.S.INV untuk nilai koefisien pada sel C45 (0.55)!</t>
        </is>
      </c>
    </row>
    <row r="45">
      <c r="B45" s="19" t="inlineStr">
        <is>
          <t>Toko Elektronik</t>
        </is>
      </c>
      <c r="C45" s="19" t="n">
        <v>0.55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0.4</v>
      </c>
      <c r="E46" s="28" t="n"/>
      <c r="F46" s="29">
        <f>IF(ISBLANK(E46), "⏳ Belum Diisi (Ketik Rumus di Sel Kuning E46)", IF(E46='99_KUNCI_JAWABAN'!F818,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0.5</v>
      </c>
    </row>
    <row r="48">
      <c r="B48" s="19" t="inlineStr">
        <is>
          <t>Toko Servis</t>
        </is>
      </c>
      <c r="C48" s="19" t="n">
        <v>0.6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Statistik</t>
        </is>
      </c>
      <c r="C52" s="14" t="inlineStr">
        <is>
          <t>Nilai Koefisien</t>
        </is>
      </c>
      <c r="E52" s="27" t="inlineStr">
        <is>
          <t>Persoalan Tes #5: Hitung hasil transformasi NORM.S.INV untuk nilai koefisien pada sel C53 (0.65)!</t>
        </is>
      </c>
    </row>
    <row r="53">
      <c r="B53" s="19" t="inlineStr">
        <is>
          <t>Kelas 10 IPA</t>
        </is>
      </c>
      <c r="C53" s="19" t="n">
        <v>0.65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0.4</v>
      </c>
      <c r="E54" s="28" t="n"/>
      <c r="F54" s="29">
        <f>IF(ISBLANK(E54), "⏳ Belum Diisi (Ketik Rumus di Sel Kuning E54)", IF(E54='99_KUNCI_JAWABAN'!F819,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0.5</v>
      </c>
    </row>
    <row r="56">
      <c r="B56" s="19" t="inlineStr">
        <is>
          <t>Kelas Unggulan</t>
        </is>
      </c>
      <c r="C56" s="19" t="n">
        <v>0.6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#164 — RUMUS EXCEL: PEARSON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(PEARSON)</t>
        </is>
      </c>
    </row>
    <row r="5" ht="21" customHeight="1">
      <c r="B5" s="14" t="inlineStr">
        <is>
          <t>Nama Rumus Excel</t>
        </is>
      </c>
      <c r="C5" s="15">
        <f>PEARSON(...)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PEARSON(range_x, range_y)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koefisien korelasi Pearson antara dua 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PEARSON DI SINI)</t>
        </is>
      </c>
    </row>
    <row r="10">
      <c r="B10" s="18" t="inlineStr">
        <is>
          <t>Data Variabel 1</t>
        </is>
      </c>
      <c r="C10" s="18" t="inlineStr">
        <is>
          <t>Data Variabel 2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hubungan antara data pertama (B11:B14) dan data kedua (C11:C14) menggunakan fungsi PEARSON!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'=PEARSON(B11:B14, C11:C14)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PEARSON(B11:B14, C11:C14)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Data Variabel 1</t>
        </is>
      </c>
      <c r="C20" s="14" t="inlineStr">
        <is>
          <t>Data Variabel 2</t>
        </is>
      </c>
      <c r="E20" s="27" t="inlineStr">
        <is>
          <t>Persoalan Tes #1: Analisis hubungan antara data pertama (B21:B24) dan data kedua (C21:C24) menggunakan fungsi PEARSON!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IF(E22='99_KUNCI_JAWABAN'!F820,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Data Variabel 1</t>
        </is>
      </c>
      <c r="C28" s="14" t="inlineStr">
        <is>
          <t>Data Variabel 2</t>
        </is>
      </c>
      <c r="E28" s="27" t="inlineStr">
        <is>
          <t>Persoalan Tes #2: Analisis hubungan antara data pertama (B29:B32) dan data kedua (C29:C32) menggunakan fungsi PEARSON!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IF(E30='99_KUNCI_JAWABAN'!F821,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Data Variabel 1</t>
        </is>
      </c>
      <c r="C36" s="14" t="inlineStr">
        <is>
          <t>Data Variabel 2</t>
        </is>
      </c>
      <c r="E36" s="27" t="inlineStr">
        <is>
          <t>Persoalan Tes #3: Analisis hubungan antara data pertama (B37:B40) dan data kedua (C37:C40) menggunakan fungsi PEARSON!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IF(E38='99_KUNCI_JAWABAN'!F822,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Data Variabel 1</t>
        </is>
      </c>
      <c r="C44" s="14" t="inlineStr">
        <is>
          <t>Data Variabel 2</t>
        </is>
      </c>
      <c r="E44" s="27" t="inlineStr">
        <is>
          <t>Persoalan Tes #4: Analisis hubungan antara data pertama (B45:B48) dan data kedua (C45:C48) menggunakan fungsi PEARSON!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IF(E46='99_KUNCI_JAWABAN'!F823,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Data Variabel 1</t>
        </is>
      </c>
      <c r="C52" s="14" t="inlineStr">
        <is>
          <t>Data Variabel 2</t>
        </is>
      </c>
      <c r="E52" s="27" t="inlineStr">
        <is>
          <t>Persoalan Tes #5: Analisis hubungan antara data pertama (B53:B56) dan data kedua (C53:C56) menggunakan fungsi PEARSON!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IF(E54='99_KUNCI_JAWABAN'!F824,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#165 — RUMUS EXCEL: PERCENTILE.EXC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(PERCENTILE.EXC)</t>
        </is>
      </c>
    </row>
    <row r="5" ht="21" customHeight="1">
      <c r="B5" s="14" t="inlineStr">
        <is>
          <t>Nama Rumus Excel</t>
        </is>
      </c>
      <c r="C5" s="15">
        <f>PERCENTILE.EXC(...)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PERCENTILE.EXC(range_data, k)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persentil eksklusif dari distribusi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PERCENTILE.EXC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nilai persentil k = 0.5 (50%) dari rentang data C11:C14 menggunakan fungsi PERCENTILE.EXC!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'=PERCENTILE.EXC(C11:C14, 0.5)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PERCENTILE.EXC(C11:C14, 0.5)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nilai persentil k = 0.5 (50%) dari rentang data C21:C24 menggunakan fungsi PERCENTILE.EXC!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IF(E22='99_KUNCI_JAWABAN'!F825,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nilai persentil k = 0.5 (50%) dari rentang data C29:C32 menggunakan fungsi PERCENTILE.EXC!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IF(E30='99_KUNCI_JAWABAN'!F826,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nilai persentil k = 0.5 (50%) dari rentang data C37:C40 menggunakan fungsi PERCENTILE.EXC!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IF(E38='99_KUNCI_JAWABAN'!F827,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nilai persentil k = 0.5 (50%) dari rentang data C45:C48 menggunakan fungsi PERCENTILE.EXC!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IF(E46='99_KUNCI_JAWABAN'!F828,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nilai persentil k = 0.5 (50%) dari rentang data C53:C56 menggunakan fungsi PERCENTILE.EXC!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IF(E54='99_KUNCI_JAWABAN'!F829,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#166 — RUMUS EXCEL: PERCENTILE.INC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(PERCENTILE.INC)</t>
        </is>
      </c>
    </row>
    <row r="5" ht="21" customHeight="1">
      <c r="B5" s="14" t="inlineStr">
        <is>
          <t>Nama Rumus Excel</t>
        </is>
      </c>
      <c r="C5" s="15">
        <f>PERCENTILE.INC(...)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PERCENTILE.INC(range_data, k)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persentil inklusif (0 s/d 1) dari distribusi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PERCENTILE.INC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nilai persentil k = 0.5 (50%) dari rentang data C11:C14 menggunakan fungsi PERCENTILE.INC!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'=PERCENTILE.INC(C11:C14, 0.5)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PERCENTILE.INC(C11:C14, 0.5)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nilai persentil k = 0.5 (50%) dari rentang data C21:C24 menggunakan fungsi PERCENTILE.INC!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IF(E22='99_KUNCI_JAWABAN'!F830,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nilai persentil k = 0.5 (50%) dari rentang data C29:C32 menggunakan fungsi PERCENTILE.INC!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IF(E30='99_KUNCI_JAWABAN'!F831,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nilai persentil k = 0.5 (50%) dari rentang data C37:C40 menggunakan fungsi PERCENTILE.INC!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IF(E38='99_KUNCI_JAWABAN'!F832,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nilai persentil k = 0.5 (50%) dari rentang data C45:C48 menggunakan fungsi PERCENTILE.INC!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IF(E46='99_KUNCI_JAWABAN'!F833,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nilai persentil k = 0.5 (50%) dari rentang data C53:C56 menggunakan fungsi PERCENTILE.INC!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IF(E54='99_KUNCI_JAWABAN'!F834,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#167 — RUMUS EXCEL: PERCENTRANK.EXC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(PERCENTRANK.EXC)</t>
        </is>
      </c>
    </row>
    <row r="5" ht="21" customHeight="1">
      <c r="B5" s="14" t="inlineStr">
        <is>
          <t>Nama Rumus Excel</t>
        </is>
      </c>
      <c r="C5" s="15">
        <f>PERCENTRANK.EXC(...)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PERCENTRANK.EXC(range_data, 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peringkat persentase eksklusif suatu nilai di dalam 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PERCENTRANK.EXC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peringkat persentase dari nilai di sel C12 terhadap rentang C11:C14 menggunakan fungsi PERCENTRANK.EXC!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'=PERCENTRANK.EXC(C11:C14, C12)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PERCENTRANK.EXC(C11:C14, C12)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peringkat persentase dari nilai di sel C22 terhadap rentang C21:C24 menggunakan fungsi PERCENTRANK.EXC!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IF(E22='99_KUNCI_JAWABAN'!F835,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peringkat persentase dari nilai di sel C30 terhadap rentang C29:C32 menggunakan fungsi PERCENTRANK.EXC!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IF(E30='99_KUNCI_JAWABAN'!F836,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peringkat persentase dari nilai di sel C38 terhadap rentang C37:C40 menggunakan fungsi PERCENTRANK.EXC!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IF(E38='99_KUNCI_JAWABAN'!F837,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peringkat persentase dari nilai di sel C46 terhadap rentang C45:C48 menggunakan fungsi PERCENTRANK.EXC!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IF(E46='99_KUNCI_JAWABAN'!F838,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peringkat persentase dari nilai di sel C54 terhadap rentang C53:C56 menggunakan fungsi PERCENTRANK.EXC!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IF(E54='99_KUNCI_JAWABAN'!F839,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#168 — RUMUS EXCEL: PERCENTRANK.INC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(PERCENTRANK.INC)</t>
        </is>
      </c>
    </row>
    <row r="5" ht="21" customHeight="1">
      <c r="B5" s="14" t="inlineStr">
        <is>
          <t>Nama Rumus Excel</t>
        </is>
      </c>
      <c r="C5" s="15">
        <f>PERCENTRANK.INC(...)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PERCENTRANK.INC(range_data, 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peringkat persentase inklusif suatu nilai di dalam kumpulan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PERCENTRANK.INC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peringkat persentase dari nilai di sel C12 terhadap rentang C11:C14 menggunakan fungsi PERCENTRANK.INC!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'=PERCENTRANK.INC(C11:C14, C12)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PERCENTRANK.INC(C11:C14, C12)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peringkat persentase dari nilai di sel C22 terhadap rentang C21:C24 menggunakan fungsi PERCENTRANK.INC!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IF(E22='99_KUNCI_JAWABAN'!F840,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peringkat persentase dari nilai di sel C30 terhadap rentang C29:C32 menggunakan fungsi PERCENTRANK.INC!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IF(E30='99_KUNCI_JAWABAN'!F841,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peringkat persentase dari nilai di sel C38 terhadap rentang C37:C40 menggunakan fungsi PERCENTRANK.INC!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IF(E38='99_KUNCI_JAWABAN'!F842,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peringkat persentase dari nilai di sel C46 terhadap rentang C45:C48 menggunakan fungsi PERCENTRANK.INC!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IF(E46='99_KUNCI_JAWABAN'!F843,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peringkat persentase dari nilai di sel C54 terhadap rentang C53:C56 menggunakan fungsi PERCENTRANK.INC!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IF(E54='99_KUNCI_JAWABAN'!F844,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#169 — RUMUS EXCEL: PERMUT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(PERMUT)</t>
        </is>
      </c>
    </row>
    <row r="5" ht="21" customHeight="1">
      <c r="B5" s="14" t="inlineStr">
        <is>
          <t>Nama Rumus Excel</t>
        </is>
      </c>
      <c r="C5" s="15">
        <f>PERMUT(...)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PERMUT(jumlah_objek, jumlah_dipilih)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banyaknya susunan permutasi objek yang memperhatikan urutan.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PERMUT DI SINI)</t>
        </is>
      </c>
    </row>
    <row r="10">
      <c r="B10" s="18" t="inlineStr">
        <is>
          <t>Total Objek (B)</t>
        </is>
      </c>
      <c r="C10" s="18" t="inlineStr">
        <is>
          <t>Jumlah Dipilih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13</v>
      </c>
      <c r="C11" s="19" t="n">
        <v>3</v>
      </c>
      <c r="E11" s="20" t="inlineStr">
        <is>
          <t>Contoh Soal:</t>
        </is>
      </c>
      <c r="F11" s="21" t="inlineStr">
        <is>
          <t>Hitung jumlah permutasi untuk total objek di B11 (13) yang diambil sebanyak C11 (3) menggunakan fungsi PERMUT!</t>
        </is>
      </c>
      <c r="G11" s="5" t="n"/>
    </row>
    <row r="12">
      <c r="B12" s="19" t="n">
        <v>10</v>
      </c>
      <c r="C12" s="19" t="n">
        <v>3</v>
      </c>
      <c r="E12" s="20" t="inlineStr">
        <is>
          <t>Contoh Rumus Benar:</t>
        </is>
      </c>
      <c r="F12" s="22" t="inlineStr">
        <is>
          <t>'=PERMUT(B11, C11)</t>
        </is>
      </c>
      <c r="G12" s="5" t="n"/>
    </row>
    <row r="13">
      <c r="B13" s="19" t="n">
        <v>6</v>
      </c>
      <c r="C13" s="19" t="n">
        <v>2</v>
      </c>
      <c r="E13" s="20" t="inlineStr">
        <is>
          <t>Contoh Hasil Benar:</t>
        </is>
      </c>
      <c r="F13" s="23">
        <f>PERMUT(B11, C11)</f>
        <v/>
      </c>
      <c r="G13" s="5" t="n"/>
    </row>
    <row r="14">
      <c r="B14" s="19" t="n">
        <v>12</v>
      </c>
      <c r="C14" s="19" t="n">
        <v>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Total Objek (B)</t>
        </is>
      </c>
      <c r="C20" s="14" t="inlineStr">
        <is>
          <t>Jumlah Dipilih (C)</t>
        </is>
      </c>
      <c r="E20" s="27" t="inlineStr">
        <is>
          <t>Persoalan Tes #1: Hitung jumlah permutasi untuk total objek di B21 (8) yang diambil sebanyak C21 (2) menggunakan fungsi PERMUT!</t>
        </is>
      </c>
    </row>
    <row r="21">
      <c r="B21" s="19" t="n">
        <v>8</v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10</v>
      </c>
      <c r="C22" s="19" t="n">
        <v>3</v>
      </c>
      <c r="E22" s="28" t="n"/>
      <c r="F22" s="29">
        <f>IF(ISBLANK(E22), "⏳ Belum Diisi (Ketik Rumus di Sel Kuning E22)", IF(E22='99_KUNCI_JAWABAN'!F845, "✅ BENAR! JAWABAN TES TEPAT!", "❌ Belum Tepat (Cek Sheet Akhir: 99_KUNCI_JAWABAN)"))</f>
        <v/>
      </c>
      <c r="G22" s="5" t="n"/>
    </row>
    <row r="23">
      <c r="B23" s="19" t="n">
        <v>6</v>
      </c>
      <c r="C23" s="19" t="n">
        <v>2</v>
      </c>
    </row>
    <row r="24">
      <c r="B24" s="19" t="n">
        <v>12</v>
      </c>
      <c r="C24" s="19" t="n">
        <v>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Total Objek (B)</t>
        </is>
      </c>
      <c r="C28" s="14" t="inlineStr">
        <is>
          <t>Jumlah Dipilih (C)</t>
        </is>
      </c>
      <c r="E28" s="27" t="inlineStr">
        <is>
          <t>Persoalan Tes #2: Hitung jumlah permutasi untuk total objek di B29 (9) yang diambil sebanyak C29 (3) menggunakan fungsi PERMUT!</t>
        </is>
      </c>
    </row>
    <row r="29">
      <c r="B29" s="19" t="n">
        <v>9</v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10</v>
      </c>
      <c r="C30" s="19" t="n">
        <v>3</v>
      </c>
      <c r="E30" s="28" t="n"/>
      <c r="F30" s="29">
        <f>IF(ISBLANK(E30), "⏳ Belum Diisi (Ketik Rumus di Sel Kuning E30)", IF(E30='99_KUNCI_JAWABAN'!F846, "✅ BENAR! JAWABAN TES TEPAT!", "❌ Belum Tepat (Cek Sheet Akhir: 99_KUNCI_JAWABAN)"))</f>
        <v/>
      </c>
      <c r="G30" s="5" t="n"/>
    </row>
    <row r="31">
      <c r="B31" s="19" t="n">
        <v>6</v>
      </c>
      <c r="C31" s="19" t="n">
        <v>2</v>
      </c>
    </row>
    <row r="32">
      <c r="B32" s="19" t="n">
        <v>12</v>
      </c>
      <c r="C32" s="19" t="n">
        <v>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Total Objek (B)</t>
        </is>
      </c>
      <c r="C36" s="14" t="inlineStr">
        <is>
          <t>Jumlah Dipilih (C)</t>
        </is>
      </c>
      <c r="E36" s="27" t="inlineStr">
        <is>
          <t>Persoalan Tes #3: Hitung jumlah permutasi untuk total objek di B37 (10) yang diambil sebanyak C37 (2) menggunakan fungsi PERMUT!</t>
        </is>
      </c>
    </row>
    <row r="37">
      <c r="B37" s="19" t="n">
        <v>10</v>
      </c>
      <c r="C37" s="19" t="n">
        <v>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10</v>
      </c>
      <c r="C38" s="19" t="n">
        <v>3</v>
      </c>
      <c r="E38" s="28" t="n"/>
      <c r="F38" s="29">
        <f>IF(ISBLANK(E38), "⏳ Belum Diisi (Ketik Rumus di Sel Kuning E38)", IF(E38='99_KUNCI_JAWABAN'!F847, "✅ BENAR! JAWABAN TES TEPAT!", "❌ Belum Tepat (Cek Sheet Akhir: 99_KUNCI_JAWABAN)"))</f>
        <v/>
      </c>
      <c r="G38" s="5" t="n"/>
    </row>
    <row r="39">
      <c r="B39" s="19" t="n">
        <v>6</v>
      </c>
      <c r="C39" s="19" t="n">
        <v>2</v>
      </c>
    </row>
    <row r="40">
      <c r="B40" s="19" t="n">
        <v>12</v>
      </c>
      <c r="C40" s="19" t="n">
        <v>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Total Objek (B)</t>
        </is>
      </c>
      <c r="C44" s="14" t="inlineStr">
        <is>
          <t>Jumlah Dipilih (C)</t>
        </is>
      </c>
      <c r="E44" s="27" t="inlineStr">
        <is>
          <t>Persoalan Tes #4: Hitung jumlah permutasi untuk total objek di B45 (11) yang diambil sebanyak C45 (3) menggunakan fungsi PERMUT!</t>
        </is>
      </c>
    </row>
    <row r="45">
      <c r="B45" s="19" t="n">
        <v>11</v>
      </c>
      <c r="C45" s="19" t="n">
        <v>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10</v>
      </c>
      <c r="C46" s="19" t="n">
        <v>3</v>
      </c>
      <c r="E46" s="28" t="n"/>
      <c r="F46" s="29">
        <f>IF(ISBLANK(E46), "⏳ Belum Diisi (Ketik Rumus di Sel Kuning E46)", IF(E46='99_KUNCI_JAWABAN'!F848, "✅ BENAR! JAWABAN TES TEPAT!", "❌ Belum Tepat (Cek Sheet Akhir: 99_KUNCI_JAWABAN)"))</f>
        <v/>
      </c>
      <c r="G46" s="5" t="n"/>
    </row>
    <row r="47">
      <c r="B47" s="19" t="n">
        <v>6</v>
      </c>
      <c r="C47" s="19" t="n">
        <v>2</v>
      </c>
    </row>
    <row r="48">
      <c r="B48" s="19" t="n">
        <v>12</v>
      </c>
      <c r="C48" s="19" t="n">
        <v>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Total Objek (B)</t>
        </is>
      </c>
      <c r="C52" s="14" t="inlineStr">
        <is>
          <t>Jumlah Dipilih (C)</t>
        </is>
      </c>
      <c r="E52" s="27" t="inlineStr">
        <is>
          <t>Persoalan Tes #5: Hitung jumlah permutasi untuk total objek di B53 (12) yang diambil sebanyak C53 (2) menggunakan fungsi PERMUT!</t>
        </is>
      </c>
    </row>
    <row r="53">
      <c r="B53" s="19" t="n">
        <v>12</v>
      </c>
      <c r="C53" s="19" t="n">
        <v>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</v>
      </c>
      <c r="C54" s="19" t="n">
        <v>3</v>
      </c>
      <c r="E54" s="28" t="n"/>
      <c r="F54" s="29">
        <f>IF(ISBLANK(E54), "⏳ Belum Diisi (Ketik Rumus di Sel Kuning E54)", IF(E54='99_KUNCI_JAWABAN'!F849, "✅ BENAR! JAWABAN TES TEPAT!", "❌ Belum Tepat (Cek Sheet Akhir: 99_KUNCI_JAWABAN)"))</f>
        <v/>
      </c>
      <c r="G54" s="5" t="n"/>
    </row>
    <row r="55">
      <c r="B55" s="19" t="n">
        <v>6</v>
      </c>
      <c r="C55" s="19" t="n">
        <v>2</v>
      </c>
    </row>
    <row r="56">
      <c r="B56" s="19" t="n">
        <v>12</v>
      </c>
      <c r="C56" s="19" t="n">
        <v>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#170 — RUMUS EXCEL: POISSON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(POISSON)</t>
        </is>
      </c>
    </row>
    <row r="5" ht="21" customHeight="1">
      <c r="B5" s="14" t="inlineStr">
        <is>
          <t>Nama Rumus Excel</t>
        </is>
      </c>
      <c r="C5" s="15">
        <f>POISSON(...)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POISSON(x, mean,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peluang Poisson (jumlah kejadian dalam selang waktu tertentu).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POISSON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7</v>
      </c>
      <c r="E11" s="20" t="inlineStr">
        <is>
          <t>Contoh Soal:</t>
        </is>
      </c>
      <c r="F11" s="21" t="inlineStr">
        <is>
          <t>Hitung nilai distribusi kumulatif (TRUE) menggunakan fungsi POISSON dengan argumen C11, C12, dan TRUE!</t>
        </is>
      </c>
      <c r="G11" s="5" t="n"/>
    </row>
    <row r="12">
      <c r="B12" s="19" t="inlineStr">
        <is>
          <t>Derajat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'=POISSON(C11, C12, TRUE)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POISSON(C11, C12, TRUE)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POISSON dengan argumen C21, C22, dan TRUE!</t>
        </is>
      </c>
    </row>
    <row r="21">
      <c r="B21" s="19" t="inlineStr">
        <is>
          <t>Nilai X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/ Mean (C22)</t>
        </is>
      </c>
      <c r="C22" s="19" t="n">
        <v>5</v>
      </c>
      <c r="E22" s="28" t="n"/>
      <c r="F22" s="29">
        <f>IF(ISBLANK(E22), "⏳ Belum Diisi (Ketik Rumus di Sel Kuning E22)", IF(E22='99_KUNCI_JAWABAN'!F850,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POISSON dengan argumen C29, C30, dan TRUE!</t>
        </is>
      </c>
    </row>
    <row r="29">
      <c r="B29" s="19" t="inlineStr">
        <is>
          <t>Nilai X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/ Mean (C30)</t>
        </is>
      </c>
      <c r="C30" s="19" t="n">
        <v>6</v>
      </c>
      <c r="E30" s="28" t="n"/>
      <c r="F30" s="29">
        <f>IF(ISBLANK(E30), "⏳ Belum Diisi (Ketik Rumus di Sel Kuning E30)", IF(E30='99_KUNCI_JAWABAN'!F851,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POISSON dengan argumen C37, C38, dan TRUE!</t>
        </is>
      </c>
    </row>
    <row r="37">
      <c r="B37" s="19" t="inlineStr">
        <is>
          <t>Nilai X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/ Mean (C38)</t>
        </is>
      </c>
      <c r="C38" s="19" t="n">
        <v>7</v>
      </c>
      <c r="E38" s="28" t="n"/>
      <c r="F38" s="29">
        <f>IF(ISBLANK(E38), "⏳ Belum Diisi (Ketik Rumus di Sel Kuning E38)", IF(E38='99_KUNCI_JAWABAN'!F852,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POISSON dengan argumen C45, C46, dan TRUE!</t>
        </is>
      </c>
    </row>
    <row r="45">
      <c r="B45" s="19" t="inlineStr">
        <is>
          <t>Nilai X (C45)</t>
        </is>
      </c>
      <c r="C45" s="19" t="n">
        <v>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/ Mean (C46)</t>
        </is>
      </c>
      <c r="C46" s="19" t="n">
        <v>8</v>
      </c>
      <c r="E46" s="28" t="n"/>
      <c r="F46" s="29">
        <f>IF(ISBLANK(E46), "⏳ Belum Diisi (Ketik Rumus di Sel Kuning E46)", IF(E46='99_KUNCI_JAWABAN'!F853,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POISSON dengan argumen C53, C54, dan TRUE!</t>
        </is>
      </c>
    </row>
    <row r="53">
      <c r="B53" s="19" t="inlineStr">
        <is>
          <t>Nilai X (C53)</t>
        </is>
      </c>
      <c r="C53" s="19" t="n">
        <v>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/ Mean (C54)</t>
        </is>
      </c>
      <c r="C54" s="19" t="n">
        <v>9</v>
      </c>
      <c r="E54" s="28" t="n"/>
      <c r="F54" s="29">
        <f>IF(ISBLANK(E54), "⏳ Belum Diisi (Ketik Rumus di Sel Kuning E54)", IF(E54='99_KUNCI_JAWABAN'!F854,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#171 — RUMUS EXCEL: PROB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(PROB)</t>
        </is>
      </c>
    </row>
    <row r="5" ht="21" customHeight="1">
      <c r="B5" s="14" t="inlineStr">
        <is>
          <t>Nama Rumus Excel</t>
        </is>
      </c>
      <c r="C5" s="15">
        <f>PROB(...)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PROB(range_x, range_prob, batas_bawah)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peluang bahwa nilai berada pada titik atau rentang tertentu.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PROB DI SINI)</t>
        </is>
      </c>
    </row>
    <row r="10">
      <c r="B10" s="18" t="inlineStr">
        <is>
          <t>Nilai Kejadian X</t>
        </is>
      </c>
      <c r="C10" s="18" t="inlineStr">
        <is>
          <t>Peluang P(X)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1</v>
      </c>
      <c r="C11" s="19" t="n">
        <v>0.15</v>
      </c>
      <c r="E11" s="20" t="inlineStr">
        <is>
          <t>Contoh Soal:</t>
        </is>
      </c>
      <c r="F11" s="21" t="inlineStr">
        <is>
          <t>Hitung peluang terjadinya nilai 2 berdasarkan daftar kejadian di B11:B14 dan daftar peluang di C11:C14 menggunakan fungsi PROB!</t>
        </is>
      </c>
      <c r="G11" s="5" t="n"/>
    </row>
    <row r="12">
      <c r="B12" s="19" t="n">
        <v>2</v>
      </c>
      <c r="C12" s="19" t="n">
        <v>0.35</v>
      </c>
      <c r="E12" s="20" t="inlineStr">
        <is>
          <t>Contoh Rumus Benar:</t>
        </is>
      </c>
      <c r="F12" s="22" t="inlineStr">
        <is>
          <t>'=PROB(B11:B14, C11:C14, 2)</t>
        </is>
      </c>
      <c r="G12" s="5" t="n"/>
    </row>
    <row r="13">
      <c r="B13" s="19" t="n">
        <v>3</v>
      </c>
      <c r="C13" s="19" t="n">
        <v>0.3</v>
      </c>
      <c r="E13" s="20" t="inlineStr">
        <is>
          <t>Contoh Hasil Benar:</t>
        </is>
      </c>
      <c r="F13" s="23">
        <f>PROB(B11:B14, C11:C14, 2)</f>
        <v/>
      </c>
      <c r="G13" s="5" t="n"/>
    </row>
    <row r="14">
      <c r="B14" s="19" t="n">
        <v>4</v>
      </c>
      <c r="C14" s="19" t="n">
        <v>0.2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Nilai Kejadian X</t>
        </is>
      </c>
      <c r="C20" s="14" t="inlineStr">
        <is>
          <t>Peluang P(X)</t>
        </is>
      </c>
      <c r="E20" s="27" t="inlineStr">
        <is>
          <t>Persoalan Tes #1: Hitung peluang terjadinya nilai 2 berdasarkan daftar kejadian di B21:B24 dan daftar peluang di C21:C24 menggunakan fungsi PROB!</t>
        </is>
      </c>
    </row>
    <row r="21">
      <c r="B21" s="19" t="n">
        <v>1</v>
      </c>
      <c r="C21" s="19" t="n">
        <v>0.15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</v>
      </c>
      <c r="C22" s="19" t="n">
        <v>0.35</v>
      </c>
      <c r="E22" s="28" t="n"/>
      <c r="F22" s="29">
        <f>IF(ISBLANK(E22), "⏳ Belum Diisi (Ketik Rumus di Sel Kuning E22)", IF(E22='99_KUNCI_JAWABAN'!F855, "✅ BENAR! JAWABAN TES TEPAT!", "❌ Belum Tepat (Cek Sheet Akhir: 99_KUNCI_JAWABAN)"))</f>
        <v/>
      </c>
      <c r="G22" s="5" t="n"/>
    </row>
    <row r="23">
      <c r="B23" s="19" t="n">
        <v>3</v>
      </c>
      <c r="C23" s="19" t="n">
        <v>0.3</v>
      </c>
    </row>
    <row r="24">
      <c r="B24" s="19" t="n">
        <v>4</v>
      </c>
      <c r="C24" s="19" t="n">
        <v>0.2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Nilai Kejadian X</t>
        </is>
      </c>
      <c r="C28" s="14" t="inlineStr">
        <is>
          <t>Peluang P(X)</t>
        </is>
      </c>
      <c r="E28" s="27" t="inlineStr">
        <is>
          <t>Persoalan Tes #2: Hitung peluang terjadinya nilai 2 berdasarkan daftar kejadian di B29:B32 dan daftar peluang di C29:C32 menggunakan fungsi PROB!</t>
        </is>
      </c>
    </row>
    <row r="29">
      <c r="B29" s="19" t="n">
        <v>1</v>
      </c>
      <c r="C29" s="19" t="n">
        <v>0.15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2</v>
      </c>
      <c r="C30" s="19" t="n">
        <v>0.35</v>
      </c>
      <c r="E30" s="28" t="n"/>
      <c r="F30" s="29">
        <f>IF(ISBLANK(E30), "⏳ Belum Diisi (Ketik Rumus di Sel Kuning E30)", IF(E30='99_KUNCI_JAWABAN'!F856, "✅ BENAR! JAWABAN TES TEPAT!", "❌ Belum Tepat (Cek Sheet Akhir: 99_KUNCI_JAWABAN)"))</f>
        <v/>
      </c>
      <c r="G30" s="5" t="n"/>
    </row>
    <row r="31">
      <c r="B31" s="19" t="n">
        <v>3</v>
      </c>
      <c r="C31" s="19" t="n">
        <v>0.3</v>
      </c>
    </row>
    <row r="32">
      <c r="B32" s="19" t="n">
        <v>4</v>
      </c>
      <c r="C32" s="19" t="n">
        <v>0.2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Nilai Kejadian X</t>
        </is>
      </c>
      <c r="C36" s="14" t="inlineStr">
        <is>
          <t>Peluang P(X)</t>
        </is>
      </c>
      <c r="E36" s="27" t="inlineStr">
        <is>
          <t>Persoalan Tes #3: Hitung peluang terjadinya nilai 2 berdasarkan daftar kejadian di B37:B40 dan daftar peluang di C37:C40 menggunakan fungsi PROB!</t>
        </is>
      </c>
    </row>
    <row r="37">
      <c r="B37" s="19" t="n">
        <v>1</v>
      </c>
      <c r="C37" s="19" t="n">
        <v>0.15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2</v>
      </c>
      <c r="C38" s="19" t="n">
        <v>0.35</v>
      </c>
      <c r="E38" s="28" t="n"/>
      <c r="F38" s="29">
        <f>IF(ISBLANK(E38), "⏳ Belum Diisi (Ketik Rumus di Sel Kuning E38)", IF(E38='99_KUNCI_JAWABAN'!F857, "✅ BENAR! JAWABAN TES TEPAT!", "❌ Belum Tepat (Cek Sheet Akhir: 99_KUNCI_JAWABAN)"))</f>
        <v/>
      </c>
      <c r="G38" s="5" t="n"/>
    </row>
    <row r="39">
      <c r="B39" s="19" t="n">
        <v>3</v>
      </c>
      <c r="C39" s="19" t="n">
        <v>0.3</v>
      </c>
    </row>
    <row r="40">
      <c r="B40" s="19" t="n">
        <v>4</v>
      </c>
      <c r="C40" s="19" t="n">
        <v>0.2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Nilai Kejadian X</t>
        </is>
      </c>
      <c r="C44" s="14" t="inlineStr">
        <is>
          <t>Peluang P(X)</t>
        </is>
      </c>
      <c r="E44" s="27" t="inlineStr">
        <is>
          <t>Persoalan Tes #4: Hitung peluang terjadinya nilai 2 berdasarkan daftar kejadian di B45:B48 dan daftar peluang di C45:C48 menggunakan fungsi PROB!</t>
        </is>
      </c>
    </row>
    <row r="45">
      <c r="B45" s="19" t="n">
        <v>1</v>
      </c>
      <c r="C45" s="19" t="n">
        <v>0.15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2</v>
      </c>
      <c r="C46" s="19" t="n">
        <v>0.35</v>
      </c>
      <c r="E46" s="28" t="n"/>
      <c r="F46" s="29">
        <f>IF(ISBLANK(E46), "⏳ Belum Diisi (Ketik Rumus di Sel Kuning E46)", IF(E46='99_KUNCI_JAWABAN'!F858, "✅ BENAR! JAWABAN TES TEPAT!", "❌ Belum Tepat (Cek Sheet Akhir: 99_KUNCI_JAWABAN)"))</f>
        <v/>
      </c>
      <c r="G46" s="5" t="n"/>
    </row>
    <row r="47">
      <c r="B47" s="19" t="n">
        <v>3</v>
      </c>
      <c r="C47" s="19" t="n">
        <v>0.3</v>
      </c>
    </row>
    <row r="48">
      <c r="B48" s="19" t="n">
        <v>4</v>
      </c>
      <c r="C48" s="19" t="n">
        <v>0.2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Nilai Kejadian X</t>
        </is>
      </c>
      <c r="C52" s="14" t="inlineStr">
        <is>
          <t>Peluang P(X)</t>
        </is>
      </c>
      <c r="E52" s="27" t="inlineStr">
        <is>
          <t>Persoalan Tes #5: Hitung peluang terjadinya nilai 2 berdasarkan daftar kejadian di B53:B56 dan daftar peluang di C53:C56 menggunakan fungsi PROB!</t>
        </is>
      </c>
    </row>
    <row r="53">
      <c r="B53" s="19" t="n">
        <v>1</v>
      </c>
      <c r="C53" s="19" t="n">
        <v>0.15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2</v>
      </c>
      <c r="C54" s="19" t="n">
        <v>0.35</v>
      </c>
      <c r="E54" s="28" t="n"/>
      <c r="F54" s="29">
        <f>IF(ISBLANK(E54), "⏳ Belum Diisi (Ketik Rumus di Sel Kuning E54)", IF(E54='99_KUNCI_JAWABAN'!F859, "✅ BENAR! JAWABAN TES TEPAT!", "❌ Belum Tepat (Cek Sheet Akhir: 99_KUNCI_JAWABAN)"))</f>
        <v/>
      </c>
      <c r="G54" s="5" t="n"/>
    </row>
    <row r="55">
      <c r="B55" s="19" t="n">
        <v>3</v>
      </c>
      <c r="C55" s="19" t="n">
        <v>0.3</v>
      </c>
    </row>
    <row r="56">
      <c r="B56" s="19" t="n">
        <v>4</v>
      </c>
      <c r="C56" s="19" t="n">
        <v>0.2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#172 — RUMUS EXCEL: QUARTILE.EXC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(QUARTILE.EXC)</t>
        </is>
      </c>
    </row>
    <row r="5" ht="21" customHeight="1">
      <c r="B5" s="14" t="inlineStr">
        <is>
          <t>Nama Rumus Excel</t>
        </is>
      </c>
      <c r="C5" s="15">
        <f>QUARTILE.EXC(...)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QUARTILE.EXC(range_data, kuartil)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Kuartil eksklusif (1, 2, atau 3) dari rentang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QUARTILE.EXC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nilai Kuartil ke-1 dari rentang data C11:C14 menggunakan fungsi QUARTILE.EXC!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'=QUARTILE.EXC(C11:C14, 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QUARTILE.EXC(C11:C14, 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nilai Kuartil ke-1 dari rentang data C21:C24 menggunakan fungsi QUARTILE.EXC!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IF(E22='99_KUNCI_JAWABAN'!F860,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nilai Kuartil ke-1 dari rentang data C29:C32 menggunakan fungsi QUARTILE.EXC!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IF(E30='99_KUNCI_JAWABAN'!F861,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nilai Kuartil ke-1 dari rentang data C37:C40 menggunakan fungsi QUARTILE.EXC!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IF(E38='99_KUNCI_JAWABAN'!F862,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nilai Kuartil ke-1 dari rentang data C45:C48 menggunakan fungsi QUARTILE.EXC!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IF(E46='99_KUNCI_JAWABAN'!F863,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nilai Kuartil ke-1 dari rentang data C53:C56 menggunakan fungsi QUARTILE.EXC!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IF(E54='99_KUNCI_JAWABAN'!F864,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#173 — RUMUS EXCEL: QUARTILE.INC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(QUARTILE.INC)</t>
        </is>
      </c>
    </row>
    <row r="5" ht="21" customHeight="1">
      <c r="B5" s="14" t="inlineStr">
        <is>
          <t>Nama Rumus Excel</t>
        </is>
      </c>
      <c r="C5" s="15">
        <f>QUARTILE.INC(...)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QUARTILE.INC(range_data, kuartil)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Kuartil inklusif (1=Kuartil Bawah, 2=Median, 3=Kuartil Atas).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QUARTILE.INC DI SINI)</t>
        </is>
      </c>
    </row>
    <row r="10">
      <c r="B10" s="18" t="inlineStr">
        <is>
          <t>Sampel Data</t>
        </is>
      </c>
      <c r="C10" s="18" t="inlineStr">
        <is>
          <t>Nilai Skor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nilai Kuartil ke-1 dari rentang data C11:C14 menggunakan fungsi QUARTILE.INC!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'=QUARTILE.INC(C11:C14, 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QUARTILE.INC(C11:C14, 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Data</t>
        </is>
      </c>
      <c r="C20" s="14" t="inlineStr">
        <is>
          <t>Nilai Skor</t>
        </is>
      </c>
      <c r="E20" s="27" t="inlineStr">
        <is>
          <t>Persoalan Tes #1: Hitung nilai Kuartil ke-1 dari rentang data C21:C24 menggunakan fungsi QUARTILE.INC!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Data</t>
        </is>
      </c>
      <c r="C28" s="14" t="inlineStr">
        <is>
          <t>Nilai Skor</t>
        </is>
      </c>
      <c r="E28" s="27" t="inlineStr">
        <is>
          <t>Persoalan Tes #2: Hitung nilai Kuartil ke-1 dari rentang data C29:C32 menggunakan fungsi QUARTILE.INC!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Data</t>
        </is>
      </c>
      <c r="C36" s="14" t="inlineStr">
        <is>
          <t>Nilai Skor</t>
        </is>
      </c>
      <c r="E36" s="27" t="inlineStr">
        <is>
          <t>Persoalan Tes #3: Hitung nilai Kuartil ke-1 dari rentang data C37:C40 menggunakan fungsi QUARTILE.INC!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Data</t>
        </is>
      </c>
      <c r="C44" s="14" t="inlineStr">
        <is>
          <t>Nilai Skor</t>
        </is>
      </c>
      <c r="E44" s="27" t="inlineStr">
        <is>
          <t>Persoalan Tes #4: Hitung nilai Kuartil ke-1 dari rentang data C45:C48 menggunakan fungsi QUARTILE.INC!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Data</t>
        </is>
      </c>
      <c r="C52" s="14" t="inlineStr">
        <is>
          <t>Nilai Skor</t>
        </is>
      </c>
      <c r="E52" s="27" t="inlineStr">
        <is>
          <t>Persoalan Tes #5: Hitung nilai Kuartil ke-1 dari rentang data C53:C56 menggunakan fungsi QUARTILE.INC!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#174 — RUMUS EXCEL: RANK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(RANK)</t>
        </is>
      </c>
    </row>
    <row r="5" ht="21" customHeight="1">
      <c r="B5" s="14" t="inlineStr">
        <is>
          <t>Nama Rumus Excel</t>
        </is>
      </c>
      <c r="C5" s="15">
        <f>RANK(...)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RANK(angka, range_referensi)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Menentukan peringkat juara ke-berapa suatu angka dibandingkan seluruh daftar.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RANK DI SINI)</t>
        </is>
      </c>
    </row>
    <row r="10">
      <c r="B10" s="18" t="inlineStr">
        <is>
          <t>Nama Cabang</t>
        </is>
      </c>
      <c r="C10" s="18" t="inlineStr">
        <is>
          <t>Omzet Cabang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Tentukan peringkat nilai sel C11 di dalam daftar referensi C11:C14 menggunakan fungsi RANK!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'=RANK(C11, 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RANK(C11, 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Cabang</t>
        </is>
      </c>
      <c r="C20" s="14" t="inlineStr">
        <is>
          <t>Omzet Cabang</t>
        </is>
      </c>
      <c r="E20" s="27" t="inlineStr">
        <is>
          <t>Persoalan Tes #1: Tentukan peringkat nilai sel C21 di dalam daftar referensi C21:C24 menggunakan fungsi RANK!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Cabang</t>
        </is>
      </c>
      <c r="C28" s="14" t="inlineStr">
        <is>
          <t>Omzet Cabang</t>
        </is>
      </c>
      <c r="E28" s="27" t="inlineStr">
        <is>
          <t>Persoalan Tes #2: Tentukan peringkat nilai sel C29 di dalam daftar referensi C29:C32 menggunakan fungsi RANK!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Cabang</t>
        </is>
      </c>
      <c r="C36" s="14" t="inlineStr">
        <is>
          <t>Omzet Cabang</t>
        </is>
      </c>
      <c r="E36" s="27" t="inlineStr">
        <is>
          <t>Persoalan Tes #3: Tentukan peringkat nilai sel C37 di dalam daftar referensi C37:C40 menggunakan fungsi RANK!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Cabang</t>
        </is>
      </c>
      <c r="C44" s="14" t="inlineStr">
        <is>
          <t>Omzet Cabang</t>
        </is>
      </c>
      <c r="E44" s="27" t="inlineStr">
        <is>
          <t>Persoalan Tes #4: Tentukan peringkat nilai sel C45 di dalam daftar referensi C45:C48 menggunakan fungsi RANK!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Cabang</t>
        </is>
      </c>
      <c r="C52" s="14" t="inlineStr">
        <is>
          <t>Omzet Cabang</t>
        </is>
      </c>
      <c r="E52" s="27" t="inlineStr">
        <is>
          <t>Persoalan Tes #5: Tentukan peringkat nilai sel C53 di dalam daftar referensi C53:C56 menggunakan fungsi RANK!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#175 — RUMUS EXCEL: RSQ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(RSQ)</t>
        </is>
      </c>
    </row>
    <row r="5" ht="21" customHeight="1">
      <c r="B5" s="14" t="inlineStr">
        <is>
          <t>Nama Rumus Excel</t>
        </is>
      </c>
      <c r="C5" s="15">
        <f>RSQ(...)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RSQ(range_y, range_x)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R-Squared (Koefisien Determinasi) regresi linear.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RSQ DI SINI)</t>
        </is>
      </c>
    </row>
    <row r="10">
      <c r="B10" s="18" t="inlineStr">
        <is>
          <t>Variabel X (Biaya)</t>
        </is>
      </c>
      <c r="C10" s="18" t="inlineStr">
        <is>
          <t>Variabel Y (Hasil)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regresi linear dengan menempatkan rentang hasil Y (C11:C14) dan rentang variabel X (B11:B14) menggunakan fungsi RSQ!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'=RSQ(C11:C14, B11:B14)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RSQ(C11:C14, B11:B14)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Variabel X (Biaya)</t>
        </is>
      </c>
      <c r="C20" s="14" t="inlineStr">
        <is>
          <t>Variabel Y (Hasil)</t>
        </is>
      </c>
      <c r="E20" s="27" t="inlineStr">
        <is>
          <t>Persoalan Tes #1: Analisis regresi linear dengan menempatkan rentang hasil Y (C21:C24) dan rentang variabel X (B21:B24) menggunakan fungsi RSQ!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IF(E22='99_KUNCI_JAWABAN'!F875,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Variabel X (Biaya)</t>
        </is>
      </c>
      <c r="C28" s="14" t="inlineStr">
        <is>
          <t>Variabel Y (Hasil)</t>
        </is>
      </c>
      <c r="E28" s="27" t="inlineStr">
        <is>
          <t>Persoalan Tes #2: Analisis regresi linear dengan menempatkan rentang hasil Y (C29:C32) dan rentang variabel X (B29:B32) menggunakan fungsi RSQ!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IF(E30='99_KUNCI_JAWABAN'!F876,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Variabel X (Biaya)</t>
        </is>
      </c>
      <c r="C36" s="14" t="inlineStr">
        <is>
          <t>Variabel Y (Hasil)</t>
        </is>
      </c>
      <c r="E36" s="27" t="inlineStr">
        <is>
          <t>Persoalan Tes #3: Analisis regresi linear dengan menempatkan rentang hasil Y (C37:C40) dan rentang variabel X (B37:B40) menggunakan fungsi RSQ!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IF(E38='99_KUNCI_JAWABAN'!F877,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Variabel X (Biaya)</t>
        </is>
      </c>
      <c r="C44" s="14" t="inlineStr">
        <is>
          <t>Variabel Y (Hasil)</t>
        </is>
      </c>
      <c r="E44" s="27" t="inlineStr">
        <is>
          <t>Persoalan Tes #4: Analisis regresi linear dengan menempatkan rentang hasil Y (C45:C48) dan rentang variabel X (B45:B48) menggunakan fungsi RSQ!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IF(E46='99_KUNCI_JAWABAN'!F878,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Variabel X (Biaya)</t>
        </is>
      </c>
      <c r="C52" s="14" t="inlineStr">
        <is>
          <t>Variabel Y (Hasil)</t>
        </is>
      </c>
      <c r="E52" s="27" t="inlineStr">
        <is>
          <t>Persoalan Tes #5: Analisis regresi linear dengan menempatkan rentang hasil Y (C53:C56) dan rentang variabel X (B53:B56) menggunakan fungsi RSQ!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IF(E54='99_KUNCI_JAWABAN'!F879,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#176 — RUMUS EXCEL: SKEW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(SKEW)</t>
        </is>
      </c>
    </row>
    <row r="5" ht="21" customHeight="1">
      <c r="B5" s="14" t="inlineStr">
        <is>
          <t>Nama Rumus Excel</t>
        </is>
      </c>
      <c r="C5" s="15">
        <f>SKEW(...)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SKEW(range_data)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Mengukur kemencengan (Skewness) distribusi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SKEW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SKEW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'=SKEW(C11:C14)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SKEW(C11:C14)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SKEW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SKEW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SKEW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SKEW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SKEW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#177 — RUMUS EXCEL: SLOPE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(SLOPE)</t>
        </is>
      </c>
    </row>
    <row r="5" ht="21" customHeight="1">
      <c r="B5" s="14" t="inlineStr">
        <is>
          <t>Nama Rumus Excel</t>
        </is>
      </c>
      <c r="C5" s="15">
        <f>SLOPE(...)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SLOPE(range_y, range_x)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kemiringan garis tren regresi linear.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SLOPE DI SINI)</t>
        </is>
      </c>
    </row>
    <row r="10">
      <c r="B10" s="18" t="inlineStr">
        <is>
          <t>Variabel X (Biaya)</t>
        </is>
      </c>
      <c r="C10" s="18" t="inlineStr">
        <is>
          <t>Variabel Y (Hasil)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regresi linear dengan menempatkan rentang hasil Y (C11:C14) dan rentang variabel X (B11:B14) menggunakan fungsi SLOPE!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'=SLOPE(C11:C14, B11:B14)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SLOPE(C11:C14, B11:B14)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Variabel X (Biaya)</t>
        </is>
      </c>
      <c r="C20" s="14" t="inlineStr">
        <is>
          <t>Variabel Y (Hasil)</t>
        </is>
      </c>
      <c r="E20" s="27" t="inlineStr">
        <is>
          <t>Persoalan Tes #1: Analisis regresi linear dengan menempatkan rentang hasil Y (C21:C24) dan rentang variabel X (B21:B24) menggunakan fungsi SLOPE!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IF(E22='99_KUNCI_JAWABAN'!F885,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Variabel X (Biaya)</t>
        </is>
      </c>
      <c r="C28" s="14" t="inlineStr">
        <is>
          <t>Variabel Y (Hasil)</t>
        </is>
      </c>
      <c r="E28" s="27" t="inlineStr">
        <is>
          <t>Persoalan Tes #2: Analisis regresi linear dengan menempatkan rentang hasil Y (C29:C32) dan rentang variabel X (B29:B32) menggunakan fungsi SLOPE!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IF(E30='99_KUNCI_JAWABAN'!F886,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Variabel X (Biaya)</t>
        </is>
      </c>
      <c r="C36" s="14" t="inlineStr">
        <is>
          <t>Variabel Y (Hasil)</t>
        </is>
      </c>
      <c r="E36" s="27" t="inlineStr">
        <is>
          <t>Persoalan Tes #3: Analisis regresi linear dengan menempatkan rentang hasil Y (C37:C40) dan rentang variabel X (B37:B40) menggunakan fungsi SLOPE!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IF(E38='99_KUNCI_JAWABAN'!F887,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Variabel X (Biaya)</t>
        </is>
      </c>
      <c r="C44" s="14" t="inlineStr">
        <is>
          <t>Variabel Y (Hasil)</t>
        </is>
      </c>
      <c r="E44" s="27" t="inlineStr">
        <is>
          <t>Persoalan Tes #4: Analisis regresi linear dengan menempatkan rentang hasil Y (C45:C48) dan rentang variabel X (B45:B48) menggunakan fungsi SLOPE!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IF(E46='99_KUNCI_JAWABAN'!F888,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Variabel X (Biaya)</t>
        </is>
      </c>
      <c r="C52" s="14" t="inlineStr">
        <is>
          <t>Variabel Y (Hasil)</t>
        </is>
      </c>
      <c r="E52" s="27" t="inlineStr">
        <is>
          <t>Persoalan Tes #5: Analisis regresi linear dengan menempatkan rentang hasil Y (C53:C56) dan rentang variabel X (B53:B56) menggunakan fungsi SLOPE!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IF(E54='99_KUNCI_JAWABAN'!F889,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#178 — RUMUS EXCEL: SMALL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(SMALL)</t>
        </is>
      </c>
    </row>
    <row r="5" ht="21" customHeight="1">
      <c r="B5" s="14" t="inlineStr">
        <is>
          <t>Nama Rumus Excel</t>
        </is>
      </c>
      <c r="C5" s="15">
        <f>SMALL(...)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SMALL(range_data, k)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Mencari nilai terkecil ke-k (urutan paling bawah ke-1, ke-2, ke-3).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SMALL DI SINI)</t>
        </is>
      </c>
    </row>
    <row r="10">
      <c r="B10" s="18" t="inlineStr">
        <is>
          <t>Peserta / Cabang</t>
        </is>
      </c>
      <c r="C10" s="18" t="inlineStr">
        <is>
          <t>Skor Capaian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Temukan nilai pada urutan ke-3 dari rentang data C11:C14 menggunakan fungsi SMALL!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'=SMALL(C11:C14, 3)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SMALL(C11:C14, 3)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Peserta / Cabang</t>
        </is>
      </c>
      <c r="C20" s="14" t="inlineStr">
        <is>
          <t>Skor Capaian</t>
        </is>
      </c>
      <c r="E20" s="27" t="inlineStr">
        <is>
          <t>Persoalan Tes #1: Temukan nilai pada urutan ke-1 dari rentang data C21:C24 menggunakan fungsi SMALL!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IF(E22='99_KUNCI_JAWABAN'!F890,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Peserta / Cabang</t>
        </is>
      </c>
      <c r="C28" s="14" t="inlineStr">
        <is>
          <t>Skor Capaian</t>
        </is>
      </c>
      <c r="E28" s="27" t="inlineStr">
        <is>
          <t>Persoalan Tes #2: Temukan nilai pada urutan ke-2 dari rentang data C29:C32 menggunakan fungsi SMALL!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IF(E30='99_KUNCI_JAWABAN'!F891,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Peserta / Cabang</t>
        </is>
      </c>
      <c r="C36" s="14" t="inlineStr">
        <is>
          <t>Skor Capaian</t>
        </is>
      </c>
      <c r="E36" s="27" t="inlineStr">
        <is>
          <t>Persoalan Tes #3: Temukan nilai pada urutan ke-3 dari rentang data C37:C40 menggunakan fungsi SMALL!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IF(E38='99_KUNCI_JAWABAN'!F892,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Peserta / Cabang</t>
        </is>
      </c>
      <c r="C44" s="14" t="inlineStr">
        <is>
          <t>Skor Capaian</t>
        </is>
      </c>
      <c r="E44" s="27" t="inlineStr">
        <is>
          <t>Persoalan Tes #4: Temukan nilai pada urutan ke-1 dari rentang data C45:C48 menggunakan fungsi SMALL!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IF(E46='99_KUNCI_JAWABAN'!F893,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Peserta / Cabang</t>
        </is>
      </c>
      <c r="C52" s="14" t="inlineStr">
        <is>
          <t>Skor Capaian</t>
        </is>
      </c>
      <c r="E52" s="27" t="inlineStr">
        <is>
          <t>Persoalan Tes #5: Temukan nilai pada urutan ke-2 dari rentang data C53:C56 menggunakan fungsi SMALL!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IF(E54='99_KUNCI_JAWABAN'!F894,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#179 — RUMUS EXCEL: STANDARDIZE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(STANDARDIZE)</t>
        </is>
      </c>
    </row>
    <row r="5" ht="21" customHeight="1">
      <c r="B5" s="14" t="inlineStr">
        <is>
          <t>Nama Rumus Excel</t>
        </is>
      </c>
      <c r="C5" s="15">
        <f>STANDARDIZE(...)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STANDARDIZE(x, mean, standard_dev)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baku (Z-score) dari distribusi yang memiliki rata-rata dan simpangan baku.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STANDARDIZE DI SINI)</t>
        </is>
      </c>
    </row>
    <row r="10">
      <c r="B10" s="18" t="inlineStr">
        <is>
          <t>Parameter Input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92</v>
      </c>
      <c r="E11" s="20" t="inlineStr">
        <is>
          <t>Contoh Soal:</t>
        </is>
      </c>
      <c r="F11" s="21" t="inlineStr">
        <is>
          <t>Hitung nilai baku Z-score menggunakan fungsi STANDARDIZE dengan parameter X di C11, Mean di C12, dan Standar Deviasi di C13!</t>
        </is>
      </c>
      <c r="G11" s="5" t="n"/>
    </row>
    <row r="12">
      <c r="B12" s="19" t="inlineStr">
        <is>
          <t>Rata-rata Mean (C12)</t>
        </is>
      </c>
      <c r="C12" s="19" t="n">
        <v>75</v>
      </c>
      <c r="E12" s="20" t="inlineStr">
        <is>
          <t>Contoh Rumus Benar:</t>
        </is>
      </c>
      <c r="F12" s="22" t="inlineStr">
        <is>
          <t>'=STANDARDIZE(C11, C12, C13)</t>
        </is>
      </c>
      <c r="G12" s="5" t="n"/>
    </row>
    <row r="13">
      <c r="B13" s="19" t="inlineStr">
        <is>
          <t>Simpangan Baku SD (C13)</t>
        </is>
      </c>
      <c r="C13" s="19" t="n">
        <v>10</v>
      </c>
      <c r="E13" s="20" t="inlineStr">
        <is>
          <t>Contoh Hasil Benar:</t>
        </is>
      </c>
      <c r="F13" s="23">
        <f>STANDARDIZE(C11, C12, C13)</f>
        <v/>
      </c>
      <c r="G13" s="5" t="n"/>
    </row>
    <row r="14">
      <c r="B14" s="19" t="inlineStr">
        <is>
          <t>Cadangan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Parameter Input</t>
        </is>
      </c>
      <c r="C20" s="14" t="inlineStr">
        <is>
          <t>Nilai Parameter</t>
        </is>
      </c>
      <c r="E20" s="27" t="inlineStr">
        <is>
          <t>Persoalan Tes #1: Hitung nilai baku Z-score menggunakan fungsi STANDARDIZE dengan parameter X di C21, Mean di C22, dan Standar Deviasi di C23!</t>
        </is>
      </c>
    </row>
    <row r="21">
      <c r="B21" s="19" t="inlineStr">
        <is>
          <t>Nilai X (C21)</t>
        </is>
      </c>
      <c r="C21" s="19" t="n">
        <v>82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Rata-rata Mean (C22)</t>
        </is>
      </c>
      <c r="C22" s="19" t="n">
        <v>75</v>
      </c>
      <c r="E22" s="28" t="n"/>
      <c r="F22" s="29">
        <f>IF(ISBLANK(E22), "⏳ Belum Diisi (Ketik Rumus di Sel Kuning E22)", IF(E22='99_KUNCI_JAWABAN'!F895, "✅ BENAR! JAWABAN TES TEPAT!", "❌ Belum Tepat (Cek Sheet Akhir: 99_KUNCI_JAWABAN)"))</f>
        <v/>
      </c>
      <c r="G22" s="5" t="n"/>
    </row>
    <row r="23">
      <c r="B23" s="19" t="inlineStr">
        <is>
          <t>Simpangan Baku SD (C23)</t>
        </is>
      </c>
      <c r="C23" s="19" t="n">
        <v>10</v>
      </c>
    </row>
    <row r="24">
      <c r="B24" s="19" t="inlineStr">
        <is>
          <t>Cadangan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Parameter Input</t>
        </is>
      </c>
      <c r="C28" s="14" t="inlineStr">
        <is>
          <t>Nilai Parameter</t>
        </is>
      </c>
      <c r="E28" s="27" t="inlineStr">
        <is>
          <t>Persoalan Tes #2: Hitung nilai baku Z-score menggunakan fungsi STANDARDIZE dengan parameter X di C29, Mean di C30, dan Standar Deviasi di C31!</t>
        </is>
      </c>
    </row>
    <row r="29">
      <c r="B29" s="19" t="inlineStr">
        <is>
          <t>Nilai X (C29)</t>
        </is>
      </c>
      <c r="C29" s="19" t="n">
        <v>84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Rata-rata Mean (C30)</t>
        </is>
      </c>
      <c r="C30" s="19" t="n">
        <v>75</v>
      </c>
      <c r="E30" s="28" t="n"/>
      <c r="F30" s="29">
        <f>IF(ISBLANK(E30), "⏳ Belum Diisi (Ketik Rumus di Sel Kuning E30)", IF(E30='99_KUNCI_JAWABAN'!F896, "✅ BENAR! JAWABAN TES TEPAT!", "❌ Belum Tepat (Cek Sheet Akhir: 99_KUNCI_JAWABAN)"))</f>
        <v/>
      </c>
      <c r="G30" s="5" t="n"/>
    </row>
    <row r="31">
      <c r="B31" s="19" t="inlineStr">
        <is>
          <t>Simpangan Baku SD (C31)</t>
        </is>
      </c>
      <c r="C31" s="19" t="n">
        <v>10</v>
      </c>
    </row>
    <row r="32">
      <c r="B32" s="19" t="inlineStr">
        <is>
          <t>Cadangan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Parameter Input</t>
        </is>
      </c>
      <c r="C36" s="14" t="inlineStr">
        <is>
          <t>Nilai Parameter</t>
        </is>
      </c>
      <c r="E36" s="27" t="inlineStr">
        <is>
          <t>Persoalan Tes #3: Hitung nilai baku Z-score menggunakan fungsi STANDARDIZE dengan parameter X di C37, Mean di C38, dan Standar Deviasi di C39!</t>
        </is>
      </c>
    </row>
    <row r="37">
      <c r="B37" s="19" t="inlineStr">
        <is>
          <t>Nilai X (C37)</t>
        </is>
      </c>
      <c r="C37" s="19" t="n">
        <v>86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Rata-rata Mean (C38)</t>
        </is>
      </c>
      <c r="C38" s="19" t="n">
        <v>75</v>
      </c>
      <c r="E38" s="28" t="n"/>
      <c r="F38" s="29">
        <f>IF(ISBLANK(E38), "⏳ Belum Diisi (Ketik Rumus di Sel Kuning E38)", IF(E38='99_KUNCI_JAWABAN'!F897, "✅ BENAR! JAWABAN TES TEPAT!", "❌ Belum Tepat (Cek Sheet Akhir: 99_KUNCI_JAWABAN)"))</f>
        <v/>
      </c>
      <c r="G38" s="5" t="n"/>
    </row>
    <row r="39">
      <c r="B39" s="19" t="inlineStr">
        <is>
          <t>Simpangan Baku SD (C39)</t>
        </is>
      </c>
      <c r="C39" s="19" t="n">
        <v>10</v>
      </c>
    </row>
    <row r="40">
      <c r="B40" s="19" t="inlineStr">
        <is>
          <t>Cadangan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Parameter Input</t>
        </is>
      </c>
      <c r="C44" s="14" t="inlineStr">
        <is>
          <t>Nilai Parameter</t>
        </is>
      </c>
      <c r="E44" s="27" t="inlineStr">
        <is>
          <t>Persoalan Tes #4: Hitung nilai baku Z-score menggunakan fungsi STANDARDIZE dengan parameter X di C45, Mean di C46, dan Standar Deviasi di C47!</t>
        </is>
      </c>
    </row>
    <row r="45">
      <c r="B45" s="19" t="inlineStr">
        <is>
          <t>Nilai X (C45)</t>
        </is>
      </c>
      <c r="C45" s="19" t="n">
        <v>88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Rata-rata Mean (C46)</t>
        </is>
      </c>
      <c r="C46" s="19" t="n">
        <v>75</v>
      </c>
      <c r="E46" s="28" t="n"/>
      <c r="F46" s="29">
        <f>IF(ISBLANK(E46), "⏳ Belum Diisi (Ketik Rumus di Sel Kuning E46)", IF(E46='99_KUNCI_JAWABAN'!F898, "✅ BENAR! JAWABAN TES TEPAT!", "❌ Belum Tepat (Cek Sheet Akhir: 99_KUNCI_JAWABAN)"))</f>
        <v/>
      </c>
      <c r="G46" s="5" t="n"/>
    </row>
    <row r="47">
      <c r="B47" s="19" t="inlineStr">
        <is>
          <t>Simpangan Baku SD (C47)</t>
        </is>
      </c>
      <c r="C47" s="19" t="n">
        <v>10</v>
      </c>
    </row>
    <row r="48">
      <c r="B48" s="19" t="inlineStr">
        <is>
          <t>Cadangan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Parameter Input</t>
        </is>
      </c>
      <c r="C52" s="14" t="inlineStr">
        <is>
          <t>Nilai Parameter</t>
        </is>
      </c>
      <c r="E52" s="27" t="inlineStr">
        <is>
          <t>Persoalan Tes #5: Hitung nilai baku Z-score menggunakan fungsi STANDARDIZE dengan parameter X di C53, Mean di C54, dan Standar Deviasi di C55!</t>
        </is>
      </c>
    </row>
    <row r="53">
      <c r="B53" s="19" t="inlineStr">
        <is>
          <t>Nilai X (C53)</t>
        </is>
      </c>
      <c r="C53" s="19" t="n">
        <v>90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Rata-rata Mean (C54)</t>
        </is>
      </c>
      <c r="C54" s="19" t="n">
        <v>75</v>
      </c>
      <c r="E54" s="28" t="n"/>
      <c r="F54" s="29">
        <f>IF(ISBLANK(E54), "⏳ Belum Diisi (Ketik Rumus di Sel Kuning E54)", IF(E54='99_KUNCI_JAWABAN'!F899, "✅ BENAR! JAWABAN TES TEPAT!", "❌ Belum Tepat (Cek Sheet Akhir: 99_KUNCI_JAWABAN)"))</f>
        <v/>
      </c>
      <c r="G54" s="5" t="n"/>
    </row>
    <row r="55">
      <c r="B55" s="19" t="inlineStr">
        <is>
          <t>Simpangan Baku SD (C55)</t>
        </is>
      </c>
      <c r="C55" s="19" t="n">
        <v>10</v>
      </c>
    </row>
    <row r="56">
      <c r="B56" s="19" t="inlineStr">
        <is>
          <t>Cadangan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#180 — RUMUS EXCEL: STDEV.P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(STDEV.P)</t>
        </is>
      </c>
    </row>
    <row r="5" ht="21" customHeight="1">
      <c r="B5" s="14" t="inlineStr">
        <is>
          <t>Nama Rumus Excel</t>
        </is>
      </c>
      <c r="C5" s="15">
        <f>STDEV.P(...)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STDEV.P(range_populasi)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Deviasi untuk seluruh populasi penuh.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STDEV.P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STDEV.P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'=STDEV.P(C11:C14)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STDEV.P(C11:C14)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STDEV.P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IF(E22='99_KUNCI_JAWABAN'!F900,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STDEV.P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IF(E30='99_KUNCI_JAWABAN'!F901,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STDEV.P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IF(E38='99_KUNCI_JAWABAN'!F902,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STDEV.P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IF(E46='99_KUNCI_JAWABAN'!F903,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STDEV.P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IF(E54='99_KUNCI_JAWABAN'!F904,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#181 — RUMUS EXCEL: STDEV.S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(STDEV.S)</t>
        </is>
      </c>
    </row>
    <row r="5" ht="21" customHeight="1">
      <c r="B5" s="14" t="inlineStr">
        <is>
          <t>Nama Rumus Excel</t>
        </is>
      </c>
      <c r="C5" s="15">
        <f>STDEV.S(...)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STDEV.S(range_sampel)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Deviasi (simpangan baku) dari sampel data.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STDEV.S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STDEV.S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'=STDEV.S(C11:C14)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STDEV.S(C11:C14)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STDEV.S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IF(E22='99_KUNCI_JAWABAN'!F905,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STDEV.S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IF(E30='99_KUNCI_JAWABAN'!F906,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STDEV.S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IF(E38='99_KUNCI_JAWABAN'!F907,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STDEV.S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IF(E46='99_KUNCI_JAWABAN'!F908,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STDEV.S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IF(E54='99_KUNCI_JAWABAN'!F909,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#182 — RUMUS EXCEL: STDEVA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(STDEVA)</t>
        </is>
      </c>
    </row>
    <row r="5" ht="21" customHeight="1">
      <c r="B5" s="14" t="inlineStr">
        <is>
          <t>Nama Rumus Excel</t>
        </is>
      </c>
      <c r="C5" s="15">
        <f>STDEVA(...)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STDEVA(range_sampel)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deviasi sampel termasuk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STDEVA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STDEVA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'=STDEVA(C11:C14)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STDEVA(C11:C14)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STDEVA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IF(E22='99_KUNCI_JAWABAN'!F910,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STDEVA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IF(E30='99_KUNCI_JAWABAN'!F911,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STDEVA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IF(E38='99_KUNCI_JAWABAN'!F912,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STDEVA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IF(E46='99_KUNCI_JAWABAN'!F913,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STDEVA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IF(E54='99_KUNCI_JAWABAN'!F914,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#183 — RUMUS EXCEL: STDEVP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(STDEVP)</t>
        </is>
      </c>
    </row>
    <row r="5" ht="21" customHeight="1">
      <c r="B5" s="14" t="inlineStr">
        <is>
          <t>Nama Rumus Excel</t>
        </is>
      </c>
      <c r="C5" s="15">
        <f>STDEVP(...)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STDEVP(range_populasi)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deviasi populasi penuh (fungsi kompatibilitas).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STDEVP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STDEVP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'=STDEVP(C11:C14)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STDEVP(C11:C14)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STDEVP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IF(E22='99_KUNCI_JAWABAN'!F915,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STDEVP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IF(E30='99_KUNCI_JAWABAN'!F916,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STDEVP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IF(E38='99_KUNCI_JAWABAN'!F917,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STDEVP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IF(E46='99_KUNCI_JAWABAN'!F918,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STDEVP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IF(E54='99_KUNCI_JAWABAN'!F919,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#184 — RUMUS EXCEL: STDEVPA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(STDEVPA)</t>
        </is>
      </c>
    </row>
    <row r="5" ht="21" customHeight="1">
      <c r="B5" s="14" t="inlineStr">
        <is>
          <t>Nama Rumus Excel</t>
        </is>
      </c>
      <c r="C5" s="15">
        <f>STDEVPA(...)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STDEVPA(range_populasi)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deviasi populasi termasuk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STDEVPA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STDEVPA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'=STDEVPA(C11:C14)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STDEVPA(C11:C14)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STDEVPA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IF(E22='99_KUNCI_JAWABAN'!F920,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STDEVPA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IF(E30='99_KUNCI_JAWABAN'!F921,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STDEVPA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IF(E38='99_KUNCI_JAWABAN'!F922,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STDEVPA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IF(E46='99_KUNCI_JAWABAN'!F923,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STDEVPA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IF(E54='99_KUNCI_JAWABAN'!F924,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#185 — RUMUS EXCEL: STEYX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(STEYX)</t>
        </is>
      </c>
    </row>
    <row r="5" ht="21" customHeight="1">
      <c r="B5" s="14" t="inlineStr">
        <is>
          <t>Nama Rumus Excel</t>
        </is>
      </c>
      <c r="C5" s="15">
        <f>STEYX(...)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STEYX(range_y, range_x)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standar error dari prediksi regresi Y terhadap X.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STEYX DI SINI)</t>
        </is>
      </c>
    </row>
    <row r="10">
      <c r="B10" s="18" t="inlineStr">
        <is>
          <t>Variabel X (Biaya)</t>
        </is>
      </c>
      <c r="C10" s="18" t="inlineStr">
        <is>
          <t>Variabel Y (Hasil)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60</v>
      </c>
      <c r="C11" s="19" t="n">
        <v>90</v>
      </c>
      <c r="E11" s="20" t="inlineStr">
        <is>
          <t>Contoh Soal:</t>
        </is>
      </c>
      <c r="F11" s="21" t="inlineStr">
        <is>
          <t>Analisis regresi linear dengan menempatkan rentang hasil Y (C11:C14) dan rentang variabel X (B11:B14) menggunakan fungsi STEYX!</t>
        </is>
      </c>
      <c r="G11" s="5" t="n"/>
    </row>
    <row r="12">
      <c r="B12" s="19" t="n">
        <v>120</v>
      </c>
      <c r="C12" s="19" t="n">
        <v>168</v>
      </c>
      <c r="E12" s="20" t="inlineStr">
        <is>
          <t>Contoh Rumus Benar:</t>
        </is>
      </c>
      <c r="F12" s="22" t="inlineStr">
        <is>
          <t>'=STEYX(C11:C14, B11:B14)</t>
        </is>
      </c>
      <c r="G12" s="5" t="n"/>
    </row>
    <row r="13">
      <c r="B13" s="19" t="n">
        <v>210</v>
      </c>
      <c r="C13" s="19" t="n">
        <v>240</v>
      </c>
      <c r="E13" s="20" t="inlineStr">
        <is>
          <t>Contoh Hasil Benar:</t>
        </is>
      </c>
      <c r="F13" s="23">
        <f>STEYX(C11:C14, B11:B14)</f>
        <v/>
      </c>
      <c r="G13" s="5" t="n"/>
    </row>
    <row r="14">
      <c r="B14" s="19" t="n">
        <v>300</v>
      </c>
      <c r="C14" s="19" t="n">
        <v>348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Variabel X (Biaya)</t>
        </is>
      </c>
      <c r="C20" s="14" t="inlineStr">
        <is>
          <t>Variabel Y (Hasil)</t>
        </is>
      </c>
      <c r="E20" s="27" t="inlineStr">
        <is>
          <t>Persoalan Tes #1: Analisis regresi linear dengan menempatkan rentang hasil Y (C21:C24) dan rentang variabel X (B21:B24) menggunakan fungsi STEYX!</t>
        </is>
      </c>
    </row>
    <row r="21">
      <c r="B21" s="19" t="n">
        <v>10</v>
      </c>
      <c r="C21" s="19" t="n">
        <v>15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20</v>
      </c>
      <c r="C22" s="19" t="n">
        <v>28</v>
      </c>
      <c r="E22" s="28" t="n"/>
      <c r="F22" s="29">
        <f>IF(ISBLANK(E22), "⏳ Belum Diisi (Ketik Rumus di Sel Kuning E22)", IF(E22='99_KUNCI_JAWABAN'!F925, "✅ BENAR! JAWABAN TES TEPAT!", "❌ Belum Tepat (Cek Sheet Akhir: 99_KUNCI_JAWABAN)"))</f>
        <v/>
      </c>
      <c r="G22" s="5" t="n"/>
    </row>
    <row r="23">
      <c r="B23" s="19" t="n">
        <v>35</v>
      </c>
      <c r="C23" s="19" t="n">
        <v>40</v>
      </c>
    </row>
    <row r="24">
      <c r="B24" s="19" t="n">
        <v>50</v>
      </c>
      <c r="C24" s="19" t="n">
        <v>58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Variabel X (Biaya)</t>
        </is>
      </c>
      <c r="C28" s="14" t="inlineStr">
        <is>
          <t>Variabel Y (Hasil)</t>
        </is>
      </c>
      <c r="E28" s="27" t="inlineStr">
        <is>
          <t>Persoalan Tes #2: Analisis regresi linear dengan menempatkan rentang hasil Y (C29:C32) dan rentang variabel X (B29:B32) menggunakan fungsi STEYX!</t>
        </is>
      </c>
    </row>
    <row r="29">
      <c r="B29" s="19" t="n">
        <v>20</v>
      </c>
      <c r="C29" s="19" t="n">
        <v>30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40</v>
      </c>
      <c r="C30" s="19" t="n">
        <v>56</v>
      </c>
      <c r="E30" s="28" t="n"/>
      <c r="F30" s="29">
        <f>IF(ISBLANK(E30), "⏳ Belum Diisi (Ketik Rumus di Sel Kuning E30)", IF(E30='99_KUNCI_JAWABAN'!F926, "✅ BENAR! JAWABAN TES TEPAT!", "❌ Belum Tepat (Cek Sheet Akhir: 99_KUNCI_JAWABAN)"))</f>
        <v/>
      </c>
      <c r="G30" s="5" t="n"/>
    </row>
    <row r="31">
      <c r="B31" s="19" t="n">
        <v>70</v>
      </c>
      <c r="C31" s="19" t="n">
        <v>80</v>
      </c>
    </row>
    <row r="32">
      <c r="B32" s="19" t="n">
        <v>100</v>
      </c>
      <c r="C32" s="19" t="n">
        <v>116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Variabel X (Biaya)</t>
        </is>
      </c>
      <c r="C36" s="14" t="inlineStr">
        <is>
          <t>Variabel Y (Hasil)</t>
        </is>
      </c>
      <c r="E36" s="27" t="inlineStr">
        <is>
          <t>Persoalan Tes #3: Analisis regresi linear dengan menempatkan rentang hasil Y (C37:C40) dan rentang variabel X (B37:B40) menggunakan fungsi STEYX!</t>
        </is>
      </c>
    </row>
    <row r="37">
      <c r="B37" s="19" t="n">
        <v>30</v>
      </c>
      <c r="C37" s="19" t="n">
        <v>45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60</v>
      </c>
      <c r="C38" s="19" t="n">
        <v>84</v>
      </c>
      <c r="E38" s="28" t="n"/>
      <c r="F38" s="29">
        <f>IF(ISBLANK(E38), "⏳ Belum Diisi (Ketik Rumus di Sel Kuning E38)", IF(E38='99_KUNCI_JAWABAN'!F927, "✅ BENAR! JAWABAN TES TEPAT!", "❌ Belum Tepat (Cek Sheet Akhir: 99_KUNCI_JAWABAN)"))</f>
        <v/>
      </c>
      <c r="G38" s="5" t="n"/>
    </row>
    <row r="39">
      <c r="B39" s="19" t="n">
        <v>105</v>
      </c>
      <c r="C39" s="19" t="n">
        <v>120</v>
      </c>
    </row>
    <row r="40">
      <c r="B40" s="19" t="n">
        <v>150</v>
      </c>
      <c r="C40" s="19" t="n">
        <v>174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Variabel X (Biaya)</t>
        </is>
      </c>
      <c r="C44" s="14" t="inlineStr">
        <is>
          <t>Variabel Y (Hasil)</t>
        </is>
      </c>
      <c r="E44" s="27" t="inlineStr">
        <is>
          <t>Persoalan Tes #4: Analisis regresi linear dengan menempatkan rentang hasil Y (C45:C48) dan rentang variabel X (B45:B48) menggunakan fungsi STEYX!</t>
        </is>
      </c>
    </row>
    <row r="45">
      <c r="B45" s="19" t="n">
        <v>40</v>
      </c>
      <c r="C45" s="19" t="n">
        <v>60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80</v>
      </c>
      <c r="C46" s="19" t="n">
        <v>112</v>
      </c>
      <c r="E46" s="28" t="n"/>
      <c r="F46" s="29">
        <f>IF(ISBLANK(E46), "⏳ Belum Diisi (Ketik Rumus di Sel Kuning E46)", IF(E46='99_KUNCI_JAWABAN'!F928, "✅ BENAR! JAWABAN TES TEPAT!", "❌ Belum Tepat (Cek Sheet Akhir: 99_KUNCI_JAWABAN)"))</f>
        <v/>
      </c>
      <c r="G46" s="5" t="n"/>
    </row>
    <row r="47">
      <c r="B47" s="19" t="n">
        <v>140</v>
      </c>
      <c r="C47" s="19" t="n">
        <v>160</v>
      </c>
    </row>
    <row r="48">
      <c r="B48" s="19" t="n">
        <v>200</v>
      </c>
      <c r="C48" s="19" t="n">
        <v>232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Variabel X (Biaya)</t>
        </is>
      </c>
      <c r="C52" s="14" t="inlineStr">
        <is>
          <t>Variabel Y (Hasil)</t>
        </is>
      </c>
      <c r="E52" s="27" t="inlineStr">
        <is>
          <t>Persoalan Tes #5: Analisis regresi linear dengan menempatkan rentang hasil Y (C53:C56) dan rentang variabel X (B53:B56) menggunakan fungsi STEYX!</t>
        </is>
      </c>
    </row>
    <row r="53">
      <c r="B53" s="19" t="n">
        <v>50</v>
      </c>
      <c r="C53" s="19" t="n">
        <v>75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100</v>
      </c>
      <c r="C54" s="19" t="n">
        <v>140</v>
      </c>
      <c r="E54" s="28" t="n"/>
      <c r="F54" s="29">
        <f>IF(ISBLANK(E54), "⏳ Belum Diisi (Ketik Rumus di Sel Kuning E54)", IF(E54='99_KUNCI_JAWABAN'!F929, "✅ BENAR! JAWABAN TES TEPAT!", "❌ Belum Tepat (Cek Sheet Akhir: 99_KUNCI_JAWABAN)"))</f>
        <v/>
      </c>
      <c r="G54" s="5" t="n"/>
    </row>
    <row r="55">
      <c r="B55" s="19" t="n">
        <v>175</v>
      </c>
      <c r="C55" s="19" t="n">
        <v>200</v>
      </c>
    </row>
    <row r="56">
      <c r="B56" s="19" t="n">
        <v>250</v>
      </c>
      <c r="C56" s="19" t="n">
        <v>290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#186 — RUMUS EXCEL: T.DIST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(T.DIST)</t>
        </is>
      </c>
    </row>
    <row r="5" ht="21" customHeight="1">
      <c r="B5" s="14" t="inlineStr">
        <is>
          <t>Nama Rumus Excel</t>
        </is>
      </c>
      <c r="C5" s="15">
        <f>T.DIST(...)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T.DIST(x, deg_freedom,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distribusi Student's t sisi kiri.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T.DIST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7</v>
      </c>
      <c r="E11" s="20" t="inlineStr">
        <is>
          <t>Contoh Soal:</t>
        </is>
      </c>
      <c r="F11" s="21" t="inlineStr">
        <is>
          <t>Hitung nilai distribusi kumulatif (TRUE) menggunakan fungsi T.DIST dengan argumen C11, C12, dan TRUE!</t>
        </is>
      </c>
      <c r="G11" s="5" t="n"/>
    </row>
    <row r="12">
      <c r="B12" s="19" t="inlineStr">
        <is>
          <t>Derajat / Mean (C12)</t>
        </is>
      </c>
      <c r="C12" s="19" t="n">
        <v>10</v>
      </c>
      <c r="E12" s="20" t="inlineStr">
        <is>
          <t>Contoh Rumus Benar:</t>
        </is>
      </c>
      <c r="F12" s="22" t="inlineStr">
        <is>
          <t>'=T.DIST(C11, C12, TRUE)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T.DIST(C11, C12, TRUE)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T.DIST dengan argumen C21, C22, dan TRUE!</t>
        </is>
      </c>
    </row>
    <row r="21">
      <c r="B21" s="19" t="inlineStr">
        <is>
          <t>Nilai X (C21)</t>
        </is>
      </c>
      <c r="C21" s="19" t="n">
        <v>2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/ Mean (C22)</t>
        </is>
      </c>
      <c r="C22" s="19" t="n">
        <v>5</v>
      </c>
      <c r="E22" s="28" t="n"/>
      <c r="F22" s="29">
        <f>IF(ISBLANK(E22), "⏳ Belum Diisi (Ketik Rumus di Sel Kuning E22)", IF(E22='99_KUNCI_JAWABAN'!F930,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T.DIST dengan argumen C29, C30, dan TRUE!</t>
        </is>
      </c>
    </row>
    <row r="29">
      <c r="B29" s="19" t="inlineStr">
        <is>
          <t>Nilai X (C29)</t>
        </is>
      </c>
      <c r="C29" s="19" t="n">
        <v>3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/ Mean (C30)</t>
        </is>
      </c>
      <c r="C30" s="19" t="n">
        <v>6</v>
      </c>
      <c r="E30" s="28" t="n"/>
      <c r="F30" s="29">
        <f>IF(ISBLANK(E30), "⏳ Belum Diisi (Ketik Rumus di Sel Kuning E30)", IF(E30='99_KUNCI_JAWABAN'!F931,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T.DIST dengan argumen C37, C38, dan TRUE!</t>
        </is>
      </c>
    </row>
    <row r="37">
      <c r="B37" s="19" t="inlineStr">
        <is>
          <t>Nilai X (C37)</t>
        </is>
      </c>
      <c r="C37" s="19" t="n">
        <v>4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/ Mean (C38)</t>
        </is>
      </c>
      <c r="C38" s="19" t="n">
        <v>7</v>
      </c>
      <c r="E38" s="28" t="n"/>
      <c r="F38" s="29">
        <f>IF(ISBLANK(E38), "⏳ Belum Diisi (Ketik Rumus di Sel Kuning E38)", IF(E38='99_KUNCI_JAWABAN'!F932,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T.DIST dengan argumen C45, C46, dan TRUE!</t>
        </is>
      </c>
    </row>
    <row r="45">
      <c r="B45" s="19" t="inlineStr">
        <is>
          <t>Nilai X (C45)</t>
        </is>
      </c>
      <c r="C45" s="19" t="n">
        <v>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/ Mean (C46)</t>
        </is>
      </c>
      <c r="C46" s="19" t="n">
        <v>8</v>
      </c>
      <c r="E46" s="28" t="n"/>
      <c r="F46" s="29">
        <f>IF(ISBLANK(E46), "⏳ Belum Diisi (Ketik Rumus di Sel Kuning E46)", IF(E46='99_KUNCI_JAWABAN'!F933,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T.DIST dengan argumen C53, C54, dan TRUE!</t>
        </is>
      </c>
    </row>
    <row r="53">
      <c r="B53" s="19" t="inlineStr">
        <is>
          <t>Nilai X (C53)</t>
        </is>
      </c>
      <c r="C53" s="19" t="n">
        <v>6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/ Mean (C54)</t>
        </is>
      </c>
      <c r="C54" s="19" t="n">
        <v>9</v>
      </c>
      <c r="E54" s="28" t="n"/>
      <c r="F54" s="29">
        <f>IF(ISBLANK(E54), "⏳ Belum Diisi (Ketik Rumus di Sel Kuning E54)", IF(E54='99_KUNCI_JAWABAN'!F934,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#187 — RUMUS EXCEL: T.DIST.2T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(T.DIST.2T)</t>
        </is>
      </c>
    </row>
    <row r="5" ht="21" customHeight="1">
      <c r="B5" s="14" t="inlineStr">
        <is>
          <t>Nama Rumus Excel</t>
        </is>
      </c>
      <c r="C5" s="15">
        <f>T.DIST.2T(...)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T.DIST.2T(x,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probabilitas dua sisi (Two-Tailed) dari distribusi Student's 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T.DIST.2T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Uji X (C11)</t>
        </is>
      </c>
      <c r="C11" s="19" t="n">
        <v>3</v>
      </c>
      <c r="E11" s="20" t="inlineStr">
        <is>
          <t>Contoh Soal:</t>
        </is>
      </c>
      <c r="F11" s="21" t="inlineStr">
        <is>
          <t>Hitung nilai probabilitas distribusi menggunakan fungsi T.DIST.2T dengan argumen nilai X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'=T.DIST.2T(C11,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T.DIST.2T(C11,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probabilitas distribusi menggunakan fungsi T.DIST.2T dengan argumen nilai X di C21 dan derajat kebebasan di C22!</t>
        </is>
      </c>
    </row>
    <row r="21">
      <c r="B21" s="19" t="inlineStr">
        <is>
          <t>Nilai Uji X (C21)</t>
        </is>
      </c>
      <c r="C21" s="19" t="n">
        <v>1.5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IF(E22='99_KUNCI_JAWABAN'!F935,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probabilitas distribusi menggunakan fungsi T.DIST.2T dengan argumen nilai X di C29 dan derajat kebebasan di C30!</t>
        </is>
      </c>
    </row>
    <row r="29">
      <c r="B29" s="19" t="inlineStr">
        <is>
          <t>Nilai Uji X (C29)</t>
        </is>
      </c>
      <c r="C29" s="19" t="n">
        <v>1.8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IF(E30='99_KUNCI_JAWABAN'!F936,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probabilitas distribusi menggunakan fungsi T.DIST.2T dengan argumen nilai X di C37 dan derajat kebebasan di C38!</t>
        </is>
      </c>
    </row>
    <row r="37">
      <c r="B37" s="19" t="inlineStr">
        <is>
          <t>Nilai Uji X (C37)</t>
        </is>
      </c>
      <c r="C37" s="19" t="n">
        <v>2.1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IF(E38='99_KUNCI_JAWABAN'!F937,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probabilitas distribusi menggunakan fungsi T.DIST.2T dengan argumen nilai X di C45 dan derajat kebebasan di C46!</t>
        </is>
      </c>
    </row>
    <row r="45">
      <c r="B45" s="19" t="inlineStr">
        <is>
          <t>Nilai Uji X (C45)</t>
        </is>
      </c>
      <c r="C45" s="19" t="n">
        <v>2.4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IF(E46='99_KUNCI_JAWABAN'!F938,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probabilitas distribusi menggunakan fungsi T.DIST.2T dengan argumen nilai X di C53 dan derajat kebebasan di C54!</t>
        </is>
      </c>
    </row>
    <row r="53">
      <c r="B53" s="19" t="inlineStr">
        <is>
          <t>Nilai Uji X (C53)</t>
        </is>
      </c>
      <c r="C53" s="19" t="n">
        <v>2.7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IF(E54='99_KUNCI_JAWABAN'!F939,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#188 — RUMUS EXCEL: T.DIST.RT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(T.DIST.RT)</t>
        </is>
      </c>
    </row>
    <row r="5" ht="21" customHeight="1">
      <c r="B5" s="14" t="inlineStr">
        <is>
          <t>Nama Rumus Excel</t>
        </is>
      </c>
      <c r="C5" s="15">
        <f>T.DIST.RT(...)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T.DIST.RT(x,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probabilitas ekor kanan (Right-Tailed) dari distribusi Student's 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T.DIST.RT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Uji X (C11)</t>
        </is>
      </c>
      <c r="C11" s="19" t="n">
        <v>3</v>
      </c>
      <c r="E11" s="20" t="inlineStr">
        <is>
          <t>Contoh Soal:</t>
        </is>
      </c>
      <c r="F11" s="21" t="inlineStr">
        <is>
          <t>Hitung nilai probabilitas distribusi menggunakan fungsi T.DIST.RT dengan argumen nilai X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'=T.DIST.RT(C11,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T.DIST.RT(C11,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probabilitas distribusi menggunakan fungsi T.DIST.RT dengan argumen nilai X di C21 dan derajat kebebasan di C22!</t>
        </is>
      </c>
    </row>
    <row r="21">
      <c r="B21" s="19" t="inlineStr">
        <is>
          <t>Nilai Uji X (C21)</t>
        </is>
      </c>
      <c r="C21" s="19" t="n">
        <v>1.5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IF(E22='99_KUNCI_JAWABAN'!F940,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probabilitas distribusi menggunakan fungsi T.DIST.RT dengan argumen nilai X di C29 dan derajat kebebasan di C30!</t>
        </is>
      </c>
    </row>
    <row r="29">
      <c r="B29" s="19" t="inlineStr">
        <is>
          <t>Nilai Uji X (C29)</t>
        </is>
      </c>
      <c r="C29" s="19" t="n">
        <v>1.8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IF(E30='99_KUNCI_JAWABAN'!F941,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probabilitas distribusi menggunakan fungsi T.DIST.RT dengan argumen nilai X di C37 dan derajat kebebasan di C38!</t>
        </is>
      </c>
    </row>
    <row r="37">
      <c r="B37" s="19" t="inlineStr">
        <is>
          <t>Nilai Uji X (C37)</t>
        </is>
      </c>
      <c r="C37" s="19" t="n">
        <v>2.1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IF(E38='99_KUNCI_JAWABAN'!F942,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probabilitas distribusi menggunakan fungsi T.DIST.RT dengan argumen nilai X di C45 dan derajat kebebasan di C46!</t>
        </is>
      </c>
    </row>
    <row r="45">
      <c r="B45" s="19" t="inlineStr">
        <is>
          <t>Nilai Uji X (C45)</t>
        </is>
      </c>
      <c r="C45" s="19" t="n">
        <v>2.4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IF(E46='99_KUNCI_JAWABAN'!F943,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probabilitas distribusi menggunakan fungsi T.DIST.RT dengan argumen nilai X di C53 dan derajat kebebasan di C54!</t>
        </is>
      </c>
    </row>
    <row r="53">
      <c r="B53" s="19" t="inlineStr">
        <is>
          <t>Nilai Uji X (C53)</t>
        </is>
      </c>
      <c r="C53" s="19" t="n">
        <v>2.7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IF(E54='99_KUNCI_JAWABAN'!F944,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#189 — RUMUS EXCEL: T.INV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(T.INV)</t>
        </is>
      </c>
    </row>
    <row r="5" ht="21" customHeight="1">
      <c r="B5" s="14" t="inlineStr">
        <is>
          <t>Nama Rumus Excel</t>
        </is>
      </c>
      <c r="C5" s="15">
        <f>T.INV(...)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T.INV(probabilitas,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t (invers ekor kiri) dari distribusi Student's 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T.INV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menggunakan fungsi T.INV dengan probabilitas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'=T.INV(C11,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T.INV(C11,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T.INV dengan probabilitas di C21 dan derajat kebebasan di C22!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IF(E22='99_KUNCI_JAWABAN'!F945,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T.INV dengan probabilitas di C29 dan derajat kebebasan di C30!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IF(E30='99_KUNCI_JAWABAN'!F946,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T.INV dengan probabilitas di C37 dan derajat kebebasan di C38!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IF(E38='99_KUNCI_JAWABAN'!F947,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T.INV dengan probabilitas di C45 dan derajat kebebasan di C46!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IF(E46='99_KUNCI_JAWABAN'!F948,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T.INV dengan probabilitas di C53 dan derajat kebebasan di C54!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IF(E54='99_KUNCI_JAWABAN'!F949,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#190 — RUMUS EXCEL: T.INV.2T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(T.INV.2T)</t>
        </is>
      </c>
    </row>
    <row r="5" ht="21" customHeight="1">
      <c r="B5" s="14" t="inlineStr">
        <is>
          <t>Nama Rumus Excel</t>
        </is>
      </c>
      <c r="C5" s="15">
        <f>T.INV.2T(...)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T.INV.2T(probabilitas, deg_freedom)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Menghasilkan nilai t (invers dua sisi) dari distribusi Student's t.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T.INV.2T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Probabilitas (C11)</t>
        </is>
      </c>
      <c r="C11" s="19" t="n">
        <v>0.15</v>
      </c>
      <c r="E11" s="20" t="inlineStr">
        <is>
          <t>Contoh Soal:</t>
        </is>
      </c>
      <c r="F11" s="21" t="inlineStr">
        <is>
          <t>Hitung nilai invers distribusi menggunakan fungsi T.INV.2T dengan probabilitas di C11 dan derajat kebebasan di C12!</t>
        </is>
      </c>
      <c r="G11" s="5" t="n"/>
    </row>
    <row r="12">
      <c r="B12" s="19" t="inlineStr">
        <is>
          <t>Derajat Kebebasan (C12)</t>
        </is>
      </c>
      <c r="C12" s="19" t="n">
        <v>13</v>
      </c>
      <c r="E12" s="20" t="inlineStr">
        <is>
          <t>Contoh Rumus Benar:</t>
        </is>
      </c>
      <c r="F12" s="22" t="inlineStr">
        <is>
          <t>'=T.INV.2T(C11, C12)</t>
        </is>
      </c>
      <c r="G12" s="5" t="n"/>
    </row>
    <row r="13">
      <c r="B13" s="19" t="inlineStr">
        <is>
          <t>Cadangan 1</t>
        </is>
      </c>
      <c r="C13" s="19" t="n">
        <v>1</v>
      </c>
      <c r="E13" s="20" t="inlineStr">
        <is>
          <t>Contoh Hasil Benar:</t>
        </is>
      </c>
      <c r="F13" s="23">
        <f>T.INV.2T(C11, C12)</f>
        <v/>
      </c>
      <c r="G13" s="5" t="n"/>
    </row>
    <row r="14">
      <c r="B14" s="19" t="inlineStr">
        <is>
          <t>Cadangan 2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invers distribusi menggunakan fungsi T.INV.2T dengan probabilitas di C21 dan derajat kebebasan di C22!</t>
        </is>
      </c>
    </row>
    <row r="21">
      <c r="B21" s="19" t="inlineStr">
        <is>
          <t>Probabilitas (C21)</t>
        </is>
      </c>
      <c r="C21" s="19" t="n">
        <v>0.05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Derajat Kebebasan (C22)</t>
        </is>
      </c>
      <c r="C22" s="19" t="n">
        <v>8</v>
      </c>
      <c r="E22" s="28" t="n"/>
      <c r="F22" s="29">
        <f>IF(ISBLANK(E22), "⏳ Belum Diisi (Ketik Rumus di Sel Kuning E22)", IF(E22='99_KUNCI_JAWABAN'!F950, "✅ BENAR! JAWABAN TES TEPAT!", "❌ Belum Tepat (Cek Sheet Akhir: 99_KUNCI_JAWABAN)"))</f>
        <v/>
      </c>
      <c r="G22" s="5" t="n"/>
    </row>
    <row r="23">
      <c r="B23" s="19" t="inlineStr">
        <is>
          <t>Cadangan 1</t>
        </is>
      </c>
      <c r="C23" s="19" t="n">
        <v>1</v>
      </c>
    </row>
    <row r="24">
      <c r="B24" s="19" t="inlineStr">
        <is>
          <t>Cadangan 2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invers distribusi menggunakan fungsi T.INV.2T dengan probabilitas di C29 dan derajat kebebasan di C30!</t>
        </is>
      </c>
    </row>
    <row r="29">
      <c r="B29" s="19" t="inlineStr">
        <is>
          <t>Probabilitas (C29)</t>
        </is>
      </c>
      <c r="C29" s="19" t="n">
        <v>0.07000000000000001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Derajat Kebebasan (C30)</t>
        </is>
      </c>
      <c r="C30" s="19" t="n">
        <v>9</v>
      </c>
      <c r="E30" s="28" t="n"/>
      <c r="F30" s="29">
        <f>IF(ISBLANK(E30), "⏳ Belum Diisi (Ketik Rumus di Sel Kuning E30)", IF(E30='99_KUNCI_JAWABAN'!F951, "✅ BENAR! JAWABAN TES TEPAT!", "❌ Belum Tepat (Cek Sheet Akhir: 99_KUNCI_JAWABAN)"))</f>
        <v/>
      </c>
      <c r="G30" s="5" t="n"/>
    </row>
    <row r="31">
      <c r="B31" s="19" t="inlineStr">
        <is>
          <t>Cadangan 1</t>
        </is>
      </c>
      <c r="C31" s="19" t="n">
        <v>1</v>
      </c>
    </row>
    <row r="32">
      <c r="B32" s="19" t="inlineStr">
        <is>
          <t>Cadangan 2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invers distribusi menggunakan fungsi T.INV.2T dengan probabilitas di C37 dan derajat kebebasan di C38!</t>
        </is>
      </c>
    </row>
    <row r="37">
      <c r="B37" s="19" t="inlineStr">
        <is>
          <t>Probabilitas (C37)</t>
        </is>
      </c>
      <c r="C37" s="19" t="n">
        <v>0.09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Derajat Kebebasan (C38)</t>
        </is>
      </c>
      <c r="C38" s="19" t="n">
        <v>10</v>
      </c>
      <c r="E38" s="28" t="n"/>
      <c r="F38" s="29">
        <f>IF(ISBLANK(E38), "⏳ Belum Diisi (Ketik Rumus di Sel Kuning E38)", IF(E38='99_KUNCI_JAWABAN'!F952, "✅ BENAR! JAWABAN TES TEPAT!", "❌ Belum Tepat (Cek Sheet Akhir: 99_KUNCI_JAWABAN)"))</f>
        <v/>
      </c>
      <c r="G38" s="5" t="n"/>
    </row>
    <row r="39">
      <c r="B39" s="19" t="inlineStr">
        <is>
          <t>Cadangan 1</t>
        </is>
      </c>
      <c r="C39" s="19" t="n">
        <v>1</v>
      </c>
    </row>
    <row r="40">
      <c r="B40" s="19" t="inlineStr">
        <is>
          <t>Cadangan 2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invers distribusi menggunakan fungsi T.INV.2T dengan probabilitas di C45 dan derajat kebebasan di C46!</t>
        </is>
      </c>
    </row>
    <row r="45">
      <c r="B45" s="19" t="inlineStr">
        <is>
          <t>Probabilitas (C45)</t>
        </is>
      </c>
      <c r="C45" s="19" t="n">
        <v>0.11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Derajat Kebebasan (C46)</t>
        </is>
      </c>
      <c r="C46" s="19" t="n">
        <v>11</v>
      </c>
      <c r="E46" s="28" t="n"/>
      <c r="F46" s="29">
        <f>IF(ISBLANK(E46), "⏳ Belum Diisi (Ketik Rumus di Sel Kuning E46)", IF(E46='99_KUNCI_JAWABAN'!F953, "✅ BENAR! JAWABAN TES TEPAT!", "❌ Belum Tepat (Cek Sheet Akhir: 99_KUNCI_JAWABAN)"))</f>
        <v/>
      </c>
      <c r="G46" s="5" t="n"/>
    </row>
    <row r="47">
      <c r="B47" s="19" t="inlineStr">
        <is>
          <t>Cadangan 1</t>
        </is>
      </c>
      <c r="C47" s="19" t="n">
        <v>1</v>
      </c>
    </row>
    <row r="48">
      <c r="B48" s="19" t="inlineStr">
        <is>
          <t>Cadangan 2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invers distribusi menggunakan fungsi T.INV.2T dengan probabilitas di C53 dan derajat kebebasan di C54!</t>
        </is>
      </c>
    </row>
    <row r="53">
      <c r="B53" s="19" t="inlineStr">
        <is>
          <t>Probabilitas (C53)</t>
        </is>
      </c>
      <c r="C53" s="19" t="n">
        <v>0.13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Derajat Kebebasan (C54)</t>
        </is>
      </c>
      <c r="C54" s="19" t="n">
        <v>12</v>
      </c>
      <c r="E54" s="28" t="n"/>
      <c r="F54" s="29">
        <f>IF(ISBLANK(E54), "⏳ Belum Diisi (Ketik Rumus di Sel Kuning E54)", IF(E54='99_KUNCI_JAWABAN'!F954, "✅ BENAR! JAWABAN TES TEPAT!", "❌ Belum Tepat (Cek Sheet Akhir: 99_KUNCI_JAWABAN)"))</f>
        <v/>
      </c>
      <c r="G54" s="5" t="n"/>
    </row>
    <row r="55">
      <c r="B55" s="19" t="inlineStr">
        <is>
          <t>Cadangan 1</t>
        </is>
      </c>
      <c r="C55" s="19" t="n">
        <v>1</v>
      </c>
    </row>
    <row r="56">
      <c r="B56" s="19" t="inlineStr">
        <is>
          <t>Cadangan 2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#191 — RUMUS EXCEL: TREND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(TREND)</t>
        </is>
      </c>
    </row>
    <row r="5" ht="21" customHeight="1">
      <c r="B5" s="14" t="inlineStr">
        <is>
          <t>Nama Rumus Excel</t>
        </is>
      </c>
      <c r="C5" s="15">
        <f>TREND(...)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TREND(range_y, range_x, target_x)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tren linear berdasarkan metode kuadrat terkecil.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TREND DI SINI)</t>
        </is>
      </c>
    </row>
    <row r="10">
      <c r="B10" s="18" t="inlineStr">
        <is>
          <t>Periode (X)</t>
        </is>
      </c>
      <c r="C10" s="18" t="inlineStr">
        <is>
          <t>Realisasi (Y)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1</v>
      </c>
      <c r="C11" s="19" t="n">
        <v>600</v>
      </c>
      <c r="E11" s="20" t="inlineStr">
        <is>
          <t>Contoh Soal:</t>
        </is>
      </c>
      <c r="F11" s="21" t="inlineStr">
        <is>
          <t>Prediksi nilai periode ke-5 berdasarkan deret hasil Y (C11:C14) dan periode X (B11:B14) menggunakan fungsi TREND!</t>
        </is>
      </c>
      <c r="G11" s="5" t="n"/>
    </row>
    <row r="12">
      <c r="B12" s="19" t="n">
        <v>2</v>
      </c>
      <c r="C12" s="19" t="n">
        <v>720</v>
      </c>
      <c r="E12" s="20" t="inlineStr">
        <is>
          <t>Contoh Rumus Benar:</t>
        </is>
      </c>
      <c r="F12" s="22" t="inlineStr">
        <is>
          <t>'=TREND(C11:C14, B11:B14, 5)</t>
        </is>
      </c>
      <c r="G12" s="5" t="n"/>
    </row>
    <row r="13">
      <c r="B13" s="19" t="n">
        <v>3</v>
      </c>
      <c r="C13" s="19" t="n">
        <v>870</v>
      </c>
      <c r="E13" s="20" t="inlineStr">
        <is>
          <t>Contoh Hasil Benar:</t>
        </is>
      </c>
      <c r="F13" s="23">
        <f>TREND(C11:C14, B11:B14, 5)</f>
        <v/>
      </c>
      <c r="G13" s="5" t="n"/>
    </row>
    <row r="14">
      <c r="B14" s="19" t="n">
        <v>4</v>
      </c>
      <c r="C14" s="19" t="n">
        <v>1050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Periode (X)</t>
        </is>
      </c>
      <c r="C20" s="14" t="inlineStr">
        <is>
          <t>Realisasi (Y)</t>
        </is>
      </c>
      <c r="E20" s="27" t="inlineStr">
        <is>
          <t>Persoalan Tes #1: Prediksi nilai periode ke-5 berdasarkan deret hasil Y (C21:C24) dan periode X (B21:B24) menggunakan fungsi TREND!</t>
        </is>
      </c>
    </row>
    <row r="21">
      <c r="B21" s="19" t="n">
        <v>1</v>
      </c>
      <c r="C21" s="19" t="n">
        <v>100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2</v>
      </c>
      <c r="C22" s="19" t="n">
        <v>120</v>
      </c>
      <c r="E22" s="28" t="n"/>
      <c r="F22" s="29">
        <f>IF(ISBLANK(E22), "⏳ Belum Diisi (Ketik Rumus di Sel Kuning E22)", IF(E22='99_KUNCI_JAWABAN'!F955, "✅ BENAR! JAWABAN TES TEPAT!", "❌ Belum Tepat (Cek Sheet Akhir: 99_KUNCI_JAWABAN)"))</f>
        <v/>
      </c>
      <c r="G22" s="5" t="n"/>
    </row>
    <row r="23">
      <c r="B23" s="19" t="n">
        <v>3</v>
      </c>
      <c r="C23" s="19" t="n">
        <v>145</v>
      </c>
    </row>
    <row r="24">
      <c r="B24" s="19" t="n">
        <v>4</v>
      </c>
      <c r="C24" s="19" t="n">
        <v>175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Periode (X)</t>
        </is>
      </c>
      <c r="C28" s="14" t="inlineStr">
        <is>
          <t>Realisasi (Y)</t>
        </is>
      </c>
      <c r="E28" s="27" t="inlineStr">
        <is>
          <t>Persoalan Tes #2: Prediksi nilai periode ke-5 berdasarkan deret hasil Y (C29:C32) dan periode X (B29:B32) menggunakan fungsi TREND!</t>
        </is>
      </c>
    </row>
    <row r="29">
      <c r="B29" s="19" t="n">
        <v>1</v>
      </c>
      <c r="C29" s="19" t="n">
        <v>200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2</v>
      </c>
      <c r="C30" s="19" t="n">
        <v>240</v>
      </c>
      <c r="E30" s="28" t="n"/>
      <c r="F30" s="29">
        <f>IF(ISBLANK(E30), "⏳ Belum Diisi (Ketik Rumus di Sel Kuning E30)", IF(E30='99_KUNCI_JAWABAN'!F956, "✅ BENAR! JAWABAN TES TEPAT!", "❌ Belum Tepat (Cek Sheet Akhir: 99_KUNCI_JAWABAN)"))</f>
        <v/>
      </c>
      <c r="G30" s="5" t="n"/>
    </row>
    <row r="31">
      <c r="B31" s="19" t="n">
        <v>3</v>
      </c>
      <c r="C31" s="19" t="n">
        <v>290</v>
      </c>
    </row>
    <row r="32">
      <c r="B32" s="19" t="n">
        <v>4</v>
      </c>
      <c r="C32" s="19" t="n">
        <v>350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Periode (X)</t>
        </is>
      </c>
      <c r="C36" s="14" t="inlineStr">
        <is>
          <t>Realisasi (Y)</t>
        </is>
      </c>
      <c r="E36" s="27" t="inlineStr">
        <is>
          <t>Persoalan Tes #3: Prediksi nilai periode ke-5 berdasarkan deret hasil Y (C37:C40) dan periode X (B37:B40) menggunakan fungsi TREND!</t>
        </is>
      </c>
    </row>
    <row r="37">
      <c r="B37" s="19" t="n">
        <v>1</v>
      </c>
      <c r="C37" s="19" t="n">
        <v>300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2</v>
      </c>
      <c r="C38" s="19" t="n">
        <v>360</v>
      </c>
      <c r="E38" s="28" t="n"/>
      <c r="F38" s="29">
        <f>IF(ISBLANK(E38), "⏳ Belum Diisi (Ketik Rumus di Sel Kuning E38)", IF(E38='99_KUNCI_JAWABAN'!F957, "✅ BENAR! JAWABAN TES TEPAT!", "❌ Belum Tepat (Cek Sheet Akhir: 99_KUNCI_JAWABAN)"))</f>
        <v/>
      </c>
      <c r="G38" s="5" t="n"/>
    </row>
    <row r="39">
      <c r="B39" s="19" t="n">
        <v>3</v>
      </c>
      <c r="C39" s="19" t="n">
        <v>435</v>
      </c>
    </row>
    <row r="40">
      <c r="B40" s="19" t="n">
        <v>4</v>
      </c>
      <c r="C40" s="19" t="n">
        <v>525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Periode (X)</t>
        </is>
      </c>
      <c r="C44" s="14" t="inlineStr">
        <is>
          <t>Realisasi (Y)</t>
        </is>
      </c>
      <c r="E44" s="27" t="inlineStr">
        <is>
          <t>Persoalan Tes #4: Prediksi nilai periode ke-5 berdasarkan deret hasil Y (C45:C48) dan periode X (B45:B48) menggunakan fungsi TREND!</t>
        </is>
      </c>
    </row>
    <row r="45">
      <c r="B45" s="19" t="n">
        <v>1</v>
      </c>
      <c r="C45" s="19" t="n">
        <v>400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2</v>
      </c>
      <c r="C46" s="19" t="n">
        <v>480</v>
      </c>
      <c r="E46" s="28" t="n"/>
      <c r="F46" s="29">
        <f>IF(ISBLANK(E46), "⏳ Belum Diisi (Ketik Rumus di Sel Kuning E46)", IF(E46='99_KUNCI_JAWABAN'!F958, "✅ BENAR! JAWABAN TES TEPAT!", "❌ Belum Tepat (Cek Sheet Akhir: 99_KUNCI_JAWABAN)"))</f>
        <v/>
      </c>
      <c r="G46" s="5" t="n"/>
    </row>
    <row r="47">
      <c r="B47" s="19" t="n">
        <v>3</v>
      </c>
      <c r="C47" s="19" t="n">
        <v>580</v>
      </c>
    </row>
    <row r="48">
      <c r="B48" s="19" t="n">
        <v>4</v>
      </c>
      <c r="C48" s="19" t="n">
        <v>700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Periode (X)</t>
        </is>
      </c>
      <c r="C52" s="14" t="inlineStr">
        <is>
          <t>Realisasi (Y)</t>
        </is>
      </c>
      <c r="E52" s="27" t="inlineStr">
        <is>
          <t>Persoalan Tes #5: Prediksi nilai periode ke-5 berdasarkan deret hasil Y (C53:C56) dan periode X (B53:B56) menggunakan fungsi TREND!</t>
        </is>
      </c>
    </row>
    <row r="53">
      <c r="B53" s="19" t="n">
        <v>1</v>
      </c>
      <c r="C53" s="19" t="n">
        <v>500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2</v>
      </c>
      <c r="C54" s="19" t="n">
        <v>600</v>
      </c>
      <c r="E54" s="28" t="n"/>
      <c r="F54" s="29">
        <f>IF(ISBLANK(E54), "⏳ Belum Diisi (Ketik Rumus di Sel Kuning E54)", IF(E54='99_KUNCI_JAWABAN'!F959, "✅ BENAR! JAWABAN TES TEPAT!", "❌ Belum Tepat (Cek Sheet Akhir: 99_KUNCI_JAWABAN)"))</f>
        <v/>
      </c>
      <c r="G54" s="5" t="n"/>
    </row>
    <row r="55">
      <c r="B55" s="19" t="n">
        <v>3</v>
      </c>
      <c r="C55" s="19" t="n">
        <v>725</v>
      </c>
    </row>
    <row r="56">
      <c r="B56" s="19" t="n">
        <v>4</v>
      </c>
      <c r="C56" s="19" t="n">
        <v>875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#192 — RUMUS EXCEL: T.TEST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(T.TEST)</t>
        </is>
      </c>
    </row>
    <row r="5" ht="21" customHeight="1">
      <c r="B5" s="14" t="inlineStr">
        <is>
          <t>Nama Rumus Excel</t>
        </is>
      </c>
      <c r="C5" s="15">
        <f>T.TEST(...)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T.TEST(array1, array2, tails, type)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peluang yang terkait dengan uji-t Student (Student's t-Test).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T.TEST DI SINI)</t>
        </is>
      </c>
    </row>
    <row r="10">
      <c r="B10" s="18" t="inlineStr">
        <is>
          <t>Kelompok Sebelum (B)</t>
        </is>
      </c>
      <c r="C10" s="18" t="inlineStr">
        <is>
          <t>Kelompok Sesudah (C)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n">
        <v>80</v>
      </c>
      <c r="C11" s="19" t="n">
        <v>75</v>
      </c>
      <c r="E11" s="20" t="inlineStr">
        <is>
          <t>Contoh Soal:</t>
        </is>
      </c>
      <c r="F11" s="21" t="inlineStr">
        <is>
          <t>Hitung uji-t berpasangan (tails = 2, type = 1) antara Kelompok 1 (B11:B14) dan Kelompok 2 (C11:C14) menggunakan fungsi T.TEST!</t>
        </is>
      </c>
      <c r="G11" s="5" t="n"/>
    </row>
    <row r="12">
      <c r="B12" s="19" t="n">
        <v>82</v>
      </c>
      <c r="C12" s="19" t="n">
        <v>78</v>
      </c>
      <c r="E12" s="20" t="inlineStr">
        <is>
          <t>Contoh Rumus Benar:</t>
        </is>
      </c>
      <c r="F12" s="22" t="inlineStr">
        <is>
          <t>'=T.TEST(B11:B14, C11:C14, 2, 1)</t>
        </is>
      </c>
      <c r="G12" s="5" t="n"/>
    </row>
    <row r="13">
      <c r="B13" s="19" t="n">
        <v>88</v>
      </c>
      <c r="C13" s="19" t="n">
        <v>84</v>
      </c>
      <c r="E13" s="20" t="inlineStr">
        <is>
          <t>Contoh Hasil Benar:</t>
        </is>
      </c>
      <c r="F13" s="23">
        <f>T.TEST(B11:B14, C11:C14, 2, 1)</f>
        <v/>
      </c>
      <c r="G13" s="5" t="n"/>
    </row>
    <row r="14">
      <c r="B14" s="19" t="n">
        <v>79</v>
      </c>
      <c r="C14" s="19" t="n">
        <v>74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Kelompok Sebelum (B)</t>
        </is>
      </c>
      <c r="C20" s="14" t="inlineStr">
        <is>
          <t>Kelompok Sesudah (C)</t>
        </is>
      </c>
      <c r="E20" s="27" t="inlineStr">
        <is>
          <t>Persoalan Tes #1: Hitung uji-t berpasangan (tails = 2, type = 1) antara Kelompok 1 (B21:B24) dan Kelompok 2 (C21:C24) menggunakan fungsi T.TEST!</t>
        </is>
      </c>
    </row>
    <row r="21">
      <c r="B21" s="19" t="n">
        <v>75</v>
      </c>
      <c r="C21" s="19" t="n">
        <v>70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n">
        <v>82</v>
      </c>
      <c r="C22" s="19" t="n">
        <v>78</v>
      </c>
      <c r="E22" s="28" t="n"/>
      <c r="F22" s="29">
        <f>IF(ISBLANK(E22), "⏳ Belum Diisi (Ketik Rumus di Sel Kuning E22)", IF(E22='99_KUNCI_JAWABAN'!F960, "✅ BENAR! JAWABAN TES TEPAT!", "❌ Belum Tepat (Cek Sheet Akhir: 99_KUNCI_JAWABAN)"))</f>
        <v/>
      </c>
      <c r="G22" s="5" t="n"/>
    </row>
    <row r="23">
      <c r="B23" s="19" t="n">
        <v>88</v>
      </c>
      <c r="C23" s="19" t="n">
        <v>84</v>
      </c>
    </row>
    <row r="24">
      <c r="B24" s="19" t="n">
        <v>79</v>
      </c>
      <c r="C24" s="19" t="n">
        <v>74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Kelompok Sebelum (B)</t>
        </is>
      </c>
      <c r="C28" s="14" t="inlineStr">
        <is>
          <t>Kelompok Sesudah (C)</t>
        </is>
      </c>
      <c r="E28" s="27" t="inlineStr">
        <is>
          <t>Persoalan Tes #2: Hitung uji-t berpasangan (tails = 2, type = 1) antara Kelompok 1 (B29:B32) dan Kelompok 2 (C29:C32) menggunakan fungsi T.TEST!</t>
        </is>
      </c>
    </row>
    <row r="29">
      <c r="B29" s="19" t="n">
        <v>76</v>
      </c>
      <c r="C29" s="19" t="n">
        <v>71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n">
        <v>82</v>
      </c>
      <c r="C30" s="19" t="n">
        <v>78</v>
      </c>
      <c r="E30" s="28" t="n"/>
      <c r="F30" s="29">
        <f>IF(ISBLANK(E30), "⏳ Belum Diisi (Ketik Rumus di Sel Kuning E30)", IF(E30='99_KUNCI_JAWABAN'!F961, "✅ BENAR! JAWABAN TES TEPAT!", "❌ Belum Tepat (Cek Sheet Akhir: 99_KUNCI_JAWABAN)"))</f>
        <v/>
      </c>
      <c r="G30" s="5" t="n"/>
    </row>
    <row r="31">
      <c r="B31" s="19" t="n">
        <v>88</v>
      </c>
      <c r="C31" s="19" t="n">
        <v>84</v>
      </c>
    </row>
    <row r="32">
      <c r="B32" s="19" t="n">
        <v>79</v>
      </c>
      <c r="C32" s="19" t="n">
        <v>74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Kelompok Sebelum (B)</t>
        </is>
      </c>
      <c r="C36" s="14" t="inlineStr">
        <is>
          <t>Kelompok Sesudah (C)</t>
        </is>
      </c>
      <c r="E36" s="27" t="inlineStr">
        <is>
          <t>Persoalan Tes #3: Hitung uji-t berpasangan (tails = 2, type = 1) antara Kelompok 1 (B37:B40) dan Kelompok 2 (C37:C40) menggunakan fungsi T.TEST!</t>
        </is>
      </c>
    </row>
    <row r="37">
      <c r="B37" s="19" t="n">
        <v>77</v>
      </c>
      <c r="C37" s="19" t="n">
        <v>72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n">
        <v>82</v>
      </c>
      <c r="C38" s="19" t="n">
        <v>78</v>
      </c>
      <c r="E38" s="28" t="n"/>
      <c r="F38" s="29">
        <f>IF(ISBLANK(E38), "⏳ Belum Diisi (Ketik Rumus di Sel Kuning E38)", IF(E38='99_KUNCI_JAWABAN'!F962, "✅ BENAR! JAWABAN TES TEPAT!", "❌ Belum Tepat (Cek Sheet Akhir: 99_KUNCI_JAWABAN)"))</f>
        <v/>
      </c>
      <c r="G38" s="5" t="n"/>
    </row>
    <row r="39">
      <c r="B39" s="19" t="n">
        <v>88</v>
      </c>
      <c r="C39" s="19" t="n">
        <v>84</v>
      </c>
    </row>
    <row r="40">
      <c r="B40" s="19" t="n">
        <v>79</v>
      </c>
      <c r="C40" s="19" t="n">
        <v>74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Kelompok Sebelum (B)</t>
        </is>
      </c>
      <c r="C44" s="14" t="inlineStr">
        <is>
          <t>Kelompok Sesudah (C)</t>
        </is>
      </c>
      <c r="E44" s="27" t="inlineStr">
        <is>
          <t>Persoalan Tes #4: Hitung uji-t berpasangan (tails = 2, type = 1) antara Kelompok 1 (B45:B48) dan Kelompok 2 (C45:C48) menggunakan fungsi T.TEST!</t>
        </is>
      </c>
    </row>
    <row r="45">
      <c r="B45" s="19" t="n">
        <v>78</v>
      </c>
      <c r="C45" s="19" t="n">
        <v>73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n">
        <v>82</v>
      </c>
      <c r="C46" s="19" t="n">
        <v>78</v>
      </c>
      <c r="E46" s="28" t="n"/>
      <c r="F46" s="29">
        <f>IF(ISBLANK(E46), "⏳ Belum Diisi (Ketik Rumus di Sel Kuning E46)", IF(E46='99_KUNCI_JAWABAN'!F963, "✅ BENAR! JAWABAN TES TEPAT!", "❌ Belum Tepat (Cek Sheet Akhir: 99_KUNCI_JAWABAN)"))</f>
        <v/>
      </c>
      <c r="G46" s="5" t="n"/>
    </row>
    <row r="47">
      <c r="B47" s="19" t="n">
        <v>88</v>
      </c>
      <c r="C47" s="19" t="n">
        <v>84</v>
      </c>
    </row>
    <row r="48">
      <c r="B48" s="19" t="n">
        <v>79</v>
      </c>
      <c r="C48" s="19" t="n">
        <v>74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Kelompok Sebelum (B)</t>
        </is>
      </c>
      <c r="C52" s="14" t="inlineStr">
        <is>
          <t>Kelompok Sesudah (C)</t>
        </is>
      </c>
      <c r="E52" s="27" t="inlineStr">
        <is>
          <t>Persoalan Tes #5: Hitung uji-t berpasangan (tails = 2, type = 1) antara Kelompok 1 (B53:B56) dan Kelompok 2 (C53:C56) menggunakan fungsi T.TEST!</t>
        </is>
      </c>
    </row>
    <row r="53">
      <c r="B53" s="19" t="n">
        <v>79</v>
      </c>
      <c r="C53" s="19" t="n">
        <v>74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n">
        <v>82</v>
      </c>
      <c r="C54" s="19" t="n">
        <v>78</v>
      </c>
      <c r="E54" s="28" t="n"/>
      <c r="F54" s="29">
        <f>IF(ISBLANK(E54), "⏳ Belum Diisi (Ketik Rumus di Sel Kuning E54)", IF(E54='99_KUNCI_JAWABAN'!F964, "✅ BENAR! JAWABAN TES TEPAT!", "❌ Belum Tepat (Cek Sheet Akhir: 99_KUNCI_JAWABAN)"))</f>
        <v/>
      </c>
      <c r="G54" s="5" t="n"/>
    </row>
    <row r="55">
      <c r="B55" s="19" t="n">
        <v>88</v>
      </c>
      <c r="C55" s="19" t="n">
        <v>84</v>
      </c>
    </row>
    <row r="56">
      <c r="B56" s="19" t="n">
        <v>79</v>
      </c>
      <c r="C56" s="19" t="n">
        <v>74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#193 — RUMUS EXCEL: TRIMMEAN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(TRIMMEAN)</t>
        </is>
      </c>
    </row>
    <row r="5" ht="21" customHeight="1">
      <c r="B5" s="14" t="inlineStr">
        <is>
          <t>Nama Rumus Excel</t>
        </is>
      </c>
      <c r="C5" s="15">
        <f>TRIMMEAN(...)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TRIMMEAN(range_data, persen_pangkas)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rata-rata adil dengan membuang persentase nilai ekstrem.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TRIMMEAN DI SINI)</t>
        </is>
      </c>
    </row>
    <row r="10">
      <c r="B10" s="18" t="inlineStr">
        <is>
          <t>Juri Penilai</t>
        </is>
      </c>
      <c r="C10" s="18" t="inlineStr">
        <is>
          <t>Skor Penilaian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rata-rata terpangkas dengan proporsi pemangkasan 0.2 (20%) pada rentang C11:C14 menggunakan fungsi TRIMMEAN!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'=TRIMMEAN(C11:C14, 0.2)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TRIMMEAN(C11:C14, 0.2)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Juri Penilai</t>
        </is>
      </c>
      <c r="C20" s="14" t="inlineStr">
        <is>
          <t>Skor Penilaian</t>
        </is>
      </c>
      <c r="E20" s="27" t="inlineStr">
        <is>
          <t>Persoalan Tes #1: Hitung rata-rata terpangkas dengan proporsi pemangkasan 0.2 (20%) pada rentang C21:C24 menggunakan fungsi TRIMMEAN!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IF(E22='99_KUNCI_JAWABAN'!F965,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Juri Penilai</t>
        </is>
      </c>
      <c r="C28" s="14" t="inlineStr">
        <is>
          <t>Skor Penilaian</t>
        </is>
      </c>
      <c r="E28" s="27" t="inlineStr">
        <is>
          <t>Persoalan Tes #2: Hitung rata-rata terpangkas dengan proporsi pemangkasan 0.2 (20%) pada rentang C29:C32 menggunakan fungsi TRIMMEAN!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IF(E30='99_KUNCI_JAWABAN'!F966,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Juri Penilai</t>
        </is>
      </c>
      <c r="C36" s="14" t="inlineStr">
        <is>
          <t>Skor Penilaian</t>
        </is>
      </c>
      <c r="E36" s="27" t="inlineStr">
        <is>
          <t>Persoalan Tes #3: Hitung rata-rata terpangkas dengan proporsi pemangkasan 0.2 (20%) pada rentang C37:C40 menggunakan fungsi TRIMMEAN!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IF(E38='99_KUNCI_JAWABAN'!F967,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Juri Penilai</t>
        </is>
      </c>
      <c r="C44" s="14" t="inlineStr">
        <is>
          <t>Skor Penilaian</t>
        </is>
      </c>
      <c r="E44" s="27" t="inlineStr">
        <is>
          <t>Persoalan Tes #4: Hitung rata-rata terpangkas dengan proporsi pemangkasan 0.2 (20%) pada rentang C45:C48 menggunakan fungsi TRIMMEAN!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IF(E46='99_KUNCI_JAWABAN'!F968,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Juri Penilai</t>
        </is>
      </c>
      <c r="C52" s="14" t="inlineStr">
        <is>
          <t>Skor Penilaian</t>
        </is>
      </c>
      <c r="E52" s="27" t="inlineStr">
        <is>
          <t>Persoalan Tes #5: Hitung rata-rata terpangkas dengan proporsi pemangkasan 0.2 (20%) pada rentang C53:C56 menggunakan fungsi TRIMMEAN!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IF(E54='99_KUNCI_JAWABAN'!F969,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#194 — RUMUS EXCEL: VAR.P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(VAR.P)</t>
        </is>
      </c>
    </row>
    <row r="5" ht="21" customHeight="1">
      <c r="B5" s="14" t="inlineStr">
        <is>
          <t>Nama Rumus Excel</t>
        </is>
      </c>
      <c r="C5" s="15">
        <f>VAR.P(...)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VAR.P(range_populasi)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Varians dari keseluruhan populasi.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VAR.P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VAR.P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'=VAR.P(C11:C14)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VAR.P(C11:C14)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VAR.P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IF(E22='99_KUNCI_JAWABAN'!F970,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VAR.P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IF(E30='99_KUNCI_JAWABAN'!F971,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VAR.P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IF(E38='99_KUNCI_JAWABAN'!F972,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VAR.P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IF(E46='99_KUNCI_JAWABAN'!F973,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VAR.P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IF(E54='99_KUNCI_JAWABAN'!F974,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#195 — RUMUS EXCEL: VAR.S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(VAR.S)</t>
        </is>
      </c>
    </row>
    <row r="5" ht="21" customHeight="1">
      <c r="B5" s="14" t="inlineStr">
        <is>
          <t>Nama Rumus Excel</t>
        </is>
      </c>
      <c r="C5" s="15">
        <f>VAR.S(...)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VAR.S(range_sampel)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Varians (keragaman kuadrat) dari data sampel.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VAR.S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VAR.S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'=VAR.S(C11:C14)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VAR.S(C11:C14)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VAR.S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IF(E22='99_KUNCI_JAWABAN'!F975,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VAR.S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IF(E30='99_KUNCI_JAWABAN'!F976,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VAR.S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IF(E38='99_KUNCI_JAWABAN'!F977,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VAR.S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IF(E46='99_KUNCI_JAWABAN'!F978,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VAR.S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IF(E54='99_KUNCI_JAWABAN'!F979,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#196 — RUMUS EXCEL: VARA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(VARA)</t>
        </is>
      </c>
    </row>
    <row r="5" ht="21" customHeight="1">
      <c r="B5" s="14" t="inlineStr">
        <is>
          <t>Nama Rumus Excel</t>
        </is>
      </c>
      <c r="C5" s="15">
        <f>VARA(...)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VARA(range_sampel)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varians sampel termasuk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VARA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VARA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'=VARA(C11:C14)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VARA(C11:C14)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VARA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IF(E22='99_KUNCI_JAWABAN'!F980,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VARA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IF(E30='99_KUNCI_JAWABAN'!F981,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VARA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IF(E38='99_KUNCI_JAWABAN'!F982,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VARA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IF(E46='99_KUNCI_JAWABAN'!F983,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VARA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IF(E54='99_KUNCI_JAWABAN'!F984,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#197 — RUMUS EXCEL: VARPA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(VARPA)</t>
        </is>
      </c>
    </row>
    <row r="5" ht="21" customHeight="1">
      <c r="B5" s="14" t="inlineStr">
        <is>
          <t>Nama Rumus Excel</t>
        </is>
      </c>
      <c r="C5" s="15">
        <f>VARPA(...)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VARPA(range_populasi)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varians populasi termasuk nilai logika dan teks.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VARPA DI SINI)</t>
        </is>
      </c>
    </row>
    <row r="10">
      <c r="B10" s="18" t="inlineStr">
        <is>
          <t>Nama Unit / Kategori</t>
        </is>
      </c>
      <c r="C10" s="18" t="inlineStr">
        <is>
          <t>Nilai Data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hasil pengolahan fungsi VARPA untuk keempat baris data pada rentang C11:C14!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'=VARPA(C11:C14)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VARPA(C11:C14)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Unit / Kategori</t>
        </is>
      </c>
      <c r="C20" s="14" t="inlineStr">
        <is>
          <t>Nilai Data</t>
        </is>
      </c>
      <c r="E20" s="27" t="inlineStr">
        <is>
          <t>Persoalan Tes #1: Hitung hasil pengolahan fungsi VARPA untuk keempat baris data pada rentang C21:C24!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IF(E22='99_KUNCI_JAWABAN'!F985,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Unit / Kategori</t>
        </is>
      </c>
      <c r="C28" s="14" t="inlineStr">
        <is>
          <t>Nilai Data</t>
        </is>
      </c>
      <c r="E28" s="27" t="inlineStr">
        <is>
          <t>Persoalan Tes #2: Hitung hasil pengolahan fungsi VARPA untuk keempat baris data pada rentang C29:C32!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IF(E30='99_KUNCI_JAWABAN'!F986,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Unit / Kategori</t>
        </is>
      </c>
      <c r="C36" s="14" t="inlineStr">
        <is>
          <t>Nilai Data</t>
        </is>
      </c>
      <c r="E36" s="27" t="inlineStr">
        <is>
          <t>Persoalan Tes #3: Hitung hasil pengolahan fungsi VARPA untuk keempat baris data pada rentang C37:C40!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IF(E38='99_KUNCI_JAWABAN'!F987,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Unit / Kategori</t>
        </is>
      </c>
      <c r="C44" s="14" t="inlineStr">
        <is>
          <t>Nilai Data</t>
        </is>
      </c>
      <c r="E44" s="27" t="inlineStr">
        <is>
          <t>Persoalan Tes #4: Hitung hasil pengolahan fungsi VARPA untuk keempat baris data pada rentang C45:C48!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IF(E46='99_KUNCI_JAWABAN'!F988,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Unit / Kategori</t>
        </is>
      </c>
      <c r="C52" s="14" t="inlineStr">
        <is>
          <t>Nilai Data</t>
        </is>
      </c>
      <c r="E52" s="27" t="inlineStr">
        <is>
          <t>Persoalan Tes #5: Hitung hasil pengolahan fungsi VARPA untuk keempat baris data pada rentang C53:C56!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IF(E54='99_KUNCI_JAWABAN'!F989,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#198 — RUMUS EXCEL: WEIBULL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(WEIBULL)</t>
        </is>
      </c>
    </row>
    <row r="5" ht="21" customHeight="1">
      <c r="B5" s="14" t="inlineStr">
        <is>
          <t>Nama Rumus Excel</t>
        </is>
      </c>
      <c r="C5" s="15">
        <f>WEIBULL(...)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WEIBULL(x, alpha, beta, TRUE)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distribusi Weibull untuk analisis keandalan mesin (reliability / MTBF).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WEIBULL DI SINI)</t>
        </is>
      </c>
    </row>
    <row r="10">
      <c r="B10" s="18" t="inlineStr">
        <is>
          <t>Nama Parameter</t>
        </is>
      </c>
      <c r="C10" s="18" t="inlineStr">
        <is>
          <t>Nilai Parameter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Nilai X (C11)</t>
        </is>
      </c>
      <c r="C11" s="19" t="n">
        <v>15</v>
      </c>
      <c r="E11" s="20" t="inlineStr">
        <is>
          <t>Contoh Soal:</t>
        </is>
      </c>
      <c r="F11" s="21" t="inlineStr">
        <is>
          <t>Hitung nilai distribusi kumulatif (TRUE) menggunakan fungsi WEIBULL dengan argumen berurutan C11, C12, C13, dan TRUE!</t>
        </is>
      </c>
      <c r="G11" s="5" t="n"/>
    </row>
    <row r="12">
      <c r="B12" s="19" t="inlineStr">
        <is>
          <t>Parameter 1 / Mean (C12)</t>
        </is>
      </c>
      <c r="C12" s="19" t="n">
        <v>8</v>
      </c>
      <c r="E12" s="20" t="inlineStr">
        <is>
          <t>Contoh Rumus Benar:</t>
        </is>
      </c>
      <c r="F12" s="22" t="inlineStr">
        <is>
          <t>'=WEIBULL(C11, C12, C13, TRUE)</t>
        </is>
      </c>
      <c r="G12" s="5" t="n"/>
    </row>
    <row r="13">
      <c r="B13" s="19" t="inlineStr">
        <is>
          <t>Parameter 2 / SD (C13)</t>
        </is>
      </c>
      <c r="C13" s="19" t="n">
        <v>2</v>
      </c>
      <c r="E13" s="20" t="inlineStr">
        <is>
          <t>Contoh Hasil Benar:</t>
        </is>
      </c>
      <c r="F13" s="23">
        <f>WEIBULL(C11, C12, C13, TRUE)</f>
        <v/>
      </c>
      <c r="G13" s="5" t="n"/>
    </row>
    <row r="14">
      <c r="B14" s="19" t="inlineStr">
        <is>
          <t>Kumulatif</t>
        </is>
      </c>
      <c r="C14" s="19" t="n">
        <v>1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Nama Parameter</t>
        </is>
      </c>
      <c r="C20" s="14" t="inlineStr">
        <is>
          <t>Nilai Parameter</t>
        </is>
      </c>
      <c r="E20" s="27" t="inlineStr">
        <is>
          <t>Persoalan Tes #1: Hitung nilai distribusi kumulatif (TRUE) menggunakan fungsi WEIBULL dengan argumen berurutan C21, C22, C23, dan TRUE!</t>
        </is>
      </c>
    </row>
    <row r="21">
      <c r="B21" s="19" t="inlineStr">
        <is>
          <t>Nilai X (C21)</t>
        </is>
      </c>
      <c r="C21" s="19" t="n">
        <v>10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Parameter 1 / Mean (C22)</t>
        </is>
      </c>
      <c r="C22" s="19" t="n">
        <v>8</v>
      </c>
      <c r="E22" s="28" t="n"/>
      <c r="F22" s="29">
        <f>IF(ISBLANK(E22), "⏳ Belum Diisi (Ketik Rumus di Sel Kuning E22)", IF(E22='99_KUNCI_JAWABAN'!F990, "✅ BENAR! JAWABAN TES TEPAT!", "❌ Belum Tepat (Cek Sheet Akhir: 99_KUNCI_JAWABAN)"))</f>
        <v/>
      </c>
      <c r="G22" s="5" t="n"/>
    </row>
    <row r="23">
      <c r="B23" s="19" t="inlineStr">
        <is>
          <t>Parameter 2 / SD (C23)</t>
        </is>
      </c>
      <c r="C23" s="19" t="n">
        <v>2</v>
      </c>
    </row>
    <row r="24">
      <c r="B24" s="19" t="inlineStr">
        <is>
          <t>Kumulatif</t>
        </is>
      </c>
      <c r="C24" s="19" t="n">
        <v>1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Nama Parameter</t>
        </is>
      </c>
      <c r="C28" s="14" t="inlineStr">
        <is>
          <t>Nilai Parameter</t>
        </is>
      </c>
      <c r="E28" s="27" t="inlineStr">
        <is>
          <t>Persoalan Tes #2: Hitung nilai distribusi kumulatif (TRUE) menggunakan fungsi WEIBULL dengan argumen berurutan C29, C30, C31, dan TRUE!</t>
        </is>
      </c>
    </row>
    <row r="29">
      <c r="B29" s="19" t="inlineStr">
        <is>
          <t>Nilai X (C29)</t>
        </is>
      </c>
      <c r="C29" s="19" t="n">
        <v>11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Parameter 1 / Mean (C30)</t>
        </is>
      </c>
      <c r="C30" s="19" t="n">
        <v>8</v>
      </c>
      <c r="E30" s="28" t="n"/>
      <c r="F30" s="29">
        <f>IF(ISBLANK(E30), "⏳ Belum Diisi (Ketik Rumus di Sel Kuning E30)", IF(E30='99_KUNCI_JAWABAN'!F991, "✅ BENAR! JAWABAN TES TEPAT!", "❌ Belum Tepat (Cek Sheet Akhir: 99_KUNCI_JAWABAN)"))</f>
        <v/>
      </c>
      <c r="G30" s="5" t="n"/>
    </row>
    <row r="31">
      <c r="B31" s="19" t="inlineStr">
        <is>
          <t>Parameter 2 / SD (C31)</t>
        </is>
      </c>
      <c r="C31" s="19" t="n">
        <v>2</v>
      </c>
    </row>
    <row r="32">
      <c r="B32" s="19" t="inlineStr">
        <is>
          <t>Kumulatif</t>
        </is>
      </c>
      <c r="C32" s="19" t="n">
        <v>1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Nama Parameter</t>
        </is>
      </c>
      <c r="C36" s="14" t="inlineStr">
        <is>
          <t>Nilai Parameter</t>
        </is>
      </c>
      <c r="E36" s="27" t="inlineStr">
        <is>
          <t>Persoalan Tes #3: Hitung nilai distribusi kumulatif (TRUE) menggunakan fungsi WEIBULL dengan argumen berurutan C37, C38, C39, dan TRUE!</t>
        </is>
      </c>
    </row>
    <row r="37">
      <c r="B37" s="19" t="inlineStr">
        <is>
          <t>Nilai X (C37)</t>
        </is>
      </c>
      <c r="C37" s="19" t="n">
        <v>12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Parameter 1 / Mean (C38)</t>
        </is>
      </c>
      <c r="C38" s="19" t="n">
        <v>8</v>
      </c>
      <c r="E38" s="28" t="n"/>
      <c r="F38" s="29">
        <f>IF(ISBLANK(E38), "⏳ Belum Diisi (Ketik Rumus di Sel Kuning E38)", IF(E38='99_KUNCI_JAWABAN'!F992, "✅ BENAR! JAWABAN TES TEPAT!", "❌ Belum Tepat (Cek Sheet Akhir: 99_KUNCI_JAWABAN)"))</f>
        <v/>
      </c>
      <c r="G38" s="5" t="n"/>
    </row>
    <row r="39">
      <c r="B39" s="19" t="inlineStr">
        <is>
          <t>Parameter 2 / SD (C39)</t>
        </is>
      </c>
      <c r="C39" s="19" t="n">
        <v>2</v>
      </c>
    </row>
    <row r="40">
      <c r="B40" s="19" t="inlineStr">
        <is>
          <t>Kumulatif</t>
        </is>
      </c>
      <c r="C40" s="19" t="n">
        <v>1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Nama Parameter</t>
        </is>
      </c>
      <c r="C44" s="14" t="inlineStr">
        <is>
          <t>Nilai Parameter</t>
        </is>
      </c>
      <c r="E44" s="27" t="inlineStr">
        <is>
          <t>Persoalan Tes #4: Hitung nilai distribusi kumulatif (TRUE) menggunakan fungsi WEIBULL dengan argumen berurutan C45, C46, C47, dan TRUE!</t>
        </is>
      </c>
    </row>
    <row r="45">
      <c r="B45" s="19" t="inlineStr">
        <is>
          <t>Nilai X (C45)</t>
        </is>
      </c>
      <c r="C45" s="19" t="n">
        <v>13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Parameter 1 / Mean (C46)</t>
        </is>
      </c>
      <c r="C46" s="19" t="n">
        <v>8</v>
      </c>
      <c r="E46" s="28" t="n"/>
      <c r="F46" s="29">
        <f>IF(ISBLANK(E46), "⏳ Belum Diisi (Ketik Rumus di Sel Kuning E46)", IF(E46='99_KUNCI_JAWABAN'!F993, "✅ BENAR! JAWABAN TES TEPAT!", "❌ Belum Tepat (Cek Sheet Akhir: 99_KUNCI_JAWABAN)"))</f>
        <v/>
      </c>
      <c r="G46" s="5" t="n"/>
    </row>
    <row r="47">
      <c r="B47" s="19" t="inlineStr">
        <is>
          <t>Parameter 2 / SD (C47)</t>
        </is>
      </c>
      <c r="C47" s="19" t="n">
        <v>2</v>
      </c>
    </row>
    <row r="48">
      <c r="B48" s="19" t="inlineStr">
        <is>
          <t>Kumulatif</t>
        </is>
      </c>
      <c r="C48" s="19" t="n">
        <v>1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Nama Parameter</t>
        </is>
      </c>
      <c r="C52" s="14" t="inlineStr">
        <is>
          <t>Nilai Parameter</t>
        </is>
      </c>
      <c r="E52" s="27" t="inlineStr">
        <is>
          <t>Persoalan Tes #5: Hitung nilai distribusi kumulatif (TRUE) menggunakan fungsi WEIBULL dengan argumen berurutan C53, C54, C55, dan TRUE!</t>
        </is>
      </c>
    </row>
    <row r="53">
      <c r="B53" s="19" t="inlineStr">
        <is>
          <t>Nilai X (C53)</t>
        </is>
      </c>
      <c r="C53" s="19" t="n">
        <v>14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Parameter 1 / Mean (C54)</t>
        </is>
      </c>
      <c r="C54" s="19" t="n">
        <v>8</v>
      </c>
      <c r="E54" s="28" t="n"/>
      <c r="F54" s="29">
        <f>IF(ISBLANK(E54), "⏳ Belum Diisi (Ketik Rumus di Sel Kuning E54)", IF(E54='99_KUNCI_JAWABAN'!F994, "✅ BENAR! JAWABAN TES TEPAT!", "❌ Belum Tepat (Cek Sheet Akhir: 99_KUNCI_JAWABAN)"))</f>
        <v/>
      </c>
      <c r="G54" s="5" t="n"/>
    </row>
    <row r="55">
      <c r="B55" s="19" t="inlineStr">
        <is>
          <t>Parameter 2 / SD (C55)</t>
        </is>
      </c>
      <c r="C55" s="19" t="n">
        <v>2</v>
      </c>
    </row>
    <row r="56">
      <c r="B56" s="19" t="inlineStr">
        <is>
          <t>Kumulatif</t>
        </is>
      </c>
      <c r="C56" s="19" t="n">
        <v>1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B1:G5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4" customWidth="1" min="4" max="4"/>
    <col width="34" customWidth="1" min="5" max="5"/>
    <col width="44" customWidth="1" min="6" max="6"/>
    <col width="28" customWidth="1" min="7" max="7"/>
  </cols>
  <sheetData>
    <row r="1" ht="30" customHeight="1">
      <c r="B1" s="10" t="inlineStr">
        <is>
          <t>📊 #199 — RUMUS EXCEL: ZTEST   |   Kategori: 8. Statistik &amp; Analisis Data</t>
        </is>
      </c>
    </row>
    <row r="2" ht="22" customHeight="1">
      <c r="B2" s="11" t="inlineStr">
        <is>
          <t>1 Rumus = 1 Contoh Soal + Jawaban Benar &amp; 5 Soal Tes Mandiri (Kunci Jawaban Ada di Sheet Paling Terakhir)</t>
        </is>
      </c>
      <c r="F2" s="12" t="inlineStr">
        <is>
          <t>⬅️ Ke Daftar Isi (00_DAFTAR_ISI)</t>
        </is>
      </c>
      <c r="G2" s="3" t="inlineStr">
        <is>
          <t>🔑 Ke Kunci Jawaban (Sheet Akhir)</t>
        </is>
      </c>
    </row>
    <row r="4" ht="24" customHeight="1">
      <c r="B4" s="13" t="inlineStr">
        <is>
          <t>1️⃣ IDENTITAS RUMUS &amp; FUNGSINYA BUAT APA? (ZTEST)</t>
        </is>
      </c>
    </row>
    <row r="5" ht="21" customHeight="1">
      <c r="B5" s="14" t="inlineStr">
        <is>
          <t>Nama Rumus Excel</t>
        </is>
      </c>
      <c r="C5" s="15">
        <f>ZTEST(...)</f>
        <v/>
      </c>
      <c r="D5" s="5" t="n"/>
      <c r="E5" s="5" t="n"/>
      <c r="F5" s="5" t="n"/>
      <c r="G5" s="5" t="n"/>
    </row>
    <row r="6" ht="21" customHeight="1">
      <c r="B6" s="14" t="inlineStr">
        <is>
          <t>Sintaks / Pola Umum</t>
        </is>
      </c>
      <c r="C6" s="15">
        <f>ZTEST(range_data, x_uji)</f>
        <v/>
      </c>
      <c r="D6" s="5" t="n"/>
      <c r="E6" s="5" t="n"/>
      <c r="F6" s="5" t="n"/>
      <c r="G6" s="5" t="n"/>
    </row>
    <row r="7" ht="26" customHeight="1">
      <c r="B7" s="14" t="inlineStr">
        <is>
          <t>👶 Fungsinya Buat Apa?</t>
        </is>
      </c>
      <c r="C7" s="16" t="inlineStr">
        <is>
          <t>Menghitung nilai peluang satu sisi dari uji-Z (Z-Test) terhadap rata-rata hipotesis.</t>
        </is>
      </c>
      <c r="D7" s="5" t="n"/>
      <c r="E7" s="5" t="n"/>
      <c r="F7" s="5" t="n"/>
      <c r="G7" s="5" t="n"/>
    </row>
    <row r="9" ht="24" customHeight="1">
      <c r="B9" s="17" t="inlineStr">
        <is>
          <t>2️⃣ 1 CONTOH SOAL &amp; CONTOH JAWABAN BENAR (PELAJARI POLA RUMUS ZTEST DI SINI)</t>
        </is>
      </c>
    </row>
    <row r="10">
      <c r="B10" s="18" t="inlineStr">
        <is>
          <t>Sampel Uji</t>
        </is>
      </c>
      <c r="C10" s="18" t="inlineStr">
        <is>
          <t>Nilai Observasi</t>
        </is>
      </c>
      <c r="E10" s="18" t="inlineStr">
        <is>
          <t>✅ 1 CONTOH SOAL BESERTA CONTOH RUMUS &amp; HASIL JAWABAN BENAR:</t>
        </is>
      </c>
      <c r="F10" s="5" t="n"/>
      <c r="G10" s="5" t="n"/>
    </row>
    <row r="11" ht="28" customHeight="1">
      <c r="B11" s="19" t="inlineStr">
        <is>
          <t>Simulasi Unit A</t>
        </is>
      </c>
      <c r="C11" s="19" t="n">
        <v>500000</v>
      </c>
      <c r="E11" s="20" t="inlineStr">
        <is>
          <t>Contoh Soal:</t>
        </is>
      </c>
      <c r="F11" s="21" t="inlineStr">
        <is>
          <t>Hitung nilai peluang uji-Z pada rentang sampel C11:C14 terhadap nilai uji di sel C11 menggunakan fungsi ZTEST!</t>
        </is>
      </c>
      <c r="G11" s="5" t="n"/>
    </row>
    <row r="12">
      <c r="B12" s="19" t="inlineStr">
        <is>
          <t>Simulasi Unit B</t>
        </is>
      </c>
      <c r="C12" s="19" t="n">
        <v>750000</v>
      </c>
      <c r="E12" s="20" t="inlineStr">
        <is>
          <t>Contoh Rumus Benar:</t>
        </is>
      </c>
      <c r="F12" s="22" t="inlineStr">
        <is>
          <t>'=ZTEST(C11:C14, C11)</t>
        </is>
      </c>
      <c r="G12" s="5" t="n"/>
    </row>
    <row r="13">
      <c r="B13" s="19" t="inlineStr">
        <is>
          <t>Simulasi Unit C</t>
        </is>
      </c>
      <c r="C13" s="19" t="n">
        <v>600000</v>
      </c>
      <c r="E13" s="20" t="inlineStr">
        <is>
          <t>Contoh Hasil Benar:</t>
        </is>
      </c>
      <c r="F13" s="23">
        <f>ZTEST(C11:C14, C11)</f>
        <v/>
      </c>
      <c r="G13" s="5" t="n"/>
    </row>
    <row r="14">
      <c r="B14" s="19" t="inlineStr">
        <is>
          <t>Simulasi Unit D</t>
        </is>
      </c>
      <c r="C14" s="19" t="n">
        <v>950000</v>
      </c>
    </row>
    <row r="16" ht="26" customHeight="1">
      <c r="B16" s="24" t="inlineStr">
        <is>
          <t>3️⃣ 5 SOAL TES DUNIA NYATA — KERJAKAN DI KOTAK KUNING (TANPA KUNCI RUMUS / HASIL DI SINI!)</t>
        </is>
      </c>
    </row>
    <row r="17" ht="20" customHeight="1">
      <c r="B17" s="25" t="inlineStr">
        <is>
          <t>📌 Catatan Tes: Soal Tes #1 s/d #5 di bawah ini tidak menampilkan kunci rumus maupun hasil. Kunci jawaban lengkap tersedia di sheet paling terakhir (99_KUNCI_JAWABAN).</t>
        </is>
      </c>
    </row>
    <row r="19" ht="22" customHeight="1">
      <c r="B19" s="26" t="inlineStr">
        <is>
          <t>📝 SOAL TES #1: Kasus Keuangan &amp; Akuntansi Kantor</t>
        </is>
      </c>
    </row>
    <row r="20" ht="30" customHeight="1">
      <c r="B20" s="14" t="inlineStr">
        <is>
          <t>Sampel Uji</t>
        </is>
      </c>
      <c r="C20" s="14" t="inlineStr">
        <is>
          <t>Nilai Observasi</t>
        </is>
      </c>
      <c r="E20" s="27" t="inlineStr">
        <is>
          <t>Persoalan Tes #1: Hitung nilai peluang uji-Z pada rentang sampel C21:C24 terhadap nilai uji di sel C21 menggunakan fungsi ZTEST!</t>
        </is>
      </c>
    </row>
    <row r="21">
      <c r="B21" s="19" t="inlineStr">
        <is>
          <t>Cabang Jakarta</t>
        </is>
      </c>
      <c r="C21" s="19" t="n">
        <v>1250000</v>
      </c>
      <c r="E21" s="14" t="inlineStr">
        <is>
          <t>✏️ KETIK RUMUS JAWABAN TES DI BAWAH:</t>
        </is>
      </c>
      <c r="F21" s="14" t="inlineStr">
        <is>
          <t>📌 STATUS KOREKSI JAWABAN TES:</t>
        </is>
      </c>
      <c r="G21" s="5" t="n"/>
    </row>
    <row r="22" ht="26" customHeight="1">
      <c r="B22" s="19" t="inlineStr">
        <is>
          <t>Cabang Bandung</t>
        </is>
      </c>
      <c r="C22" s="19" t="n">
        <v>1850000</v>
      </c>
      <c r="E22" s="28" t="n"/>
      <c r="F22" s="29">
        <f>IF(ISBLANK(E22), "⏳ Belum Diisi (Ketik Rumus di Sel Kuning E22)", IF(E22='99_KUNCI_JAWABAN'!F995, "✅ BENAR! JAWABAN TES TEPAT!", "❌ Belum Tepat (Cek Sheet Akhir: 99_KUNCI_JAWABAN)"))</f>
        <v/>
      </c>
      <c r="G22" s="5" t="n"/>
    </row>
    <row r="23">
      <c r="B23" s="19" t="inlineStr">
        <is>
          <t>Cabang Surabaya</t>
        </is>
      </c>
      <c r="C23" s="19" t="n">
        <v>2100000</v>
      </c>
    </row>
    <row r="24">
      <c r="B24" s="19" t="inlineStr">
        <is>
          <t>Cabang Medan</t>
        </is>
      </c>
      <c r="C24" s="19" t="n">
        <v>1600000</v>
      </c>
    </row>
    <row r="27" ht="22" customHeight="1">
      <c r="B27" s="26" t="inlineStr">
        <is>
          <t>📝 SOAL TES #2: Kasus HRD, Gaji &amp; Lembur Karyawan</t>
        </is>
      </c>
    </row>
    <row r="28" ht="30" customHeight="1">
      <c r="B28" s="14" t="inlineStr">
        <is>
          <t>Sampel Uji</t>
        </is>
      </c>
      <c r="C28" s="14" t="inlineStr">
        <is>
          <t>Nilai Observasi</t>
        </is>
      </c>
      <c r="E28" s="27" t="inlineStr">
        <is>
          <t>Persoalan Tes #2: Hitung nilai peluang uji-Z pada rentang sampel C29:C32 terhadap nilai uji di sel C29 menggunakan fungsi ZTEST!</t>
        </is>
      </c>
    </row>
    <row r="29">
      <c r="B29" s="19" t="inlineStr">
        <is>
          <t>Budi Santoso</t>
        </is>
      </c>
      <c r="C29" s="19" t="n">
        <v>4500000</v>
      </c>
      <c r="E29" s="14" t="inlineStr">
        <is>
          <t>✏️ KETIK RUMUS JAWABAN TES DI BAWAH:</t>
        </is>
      </c>
      <c r="F29" s="14" t="inlineStr">
        <is>
          <t>📌 STATUS KOREKSI JAWABAN TES:</t>
        </is>
      </c>
      <c r="G29" s="5" t="n"/>
    </row>
    <row r="30" ht="26" customHeight="1">
      <c r="B30" s="19" t="inlineStr">
        <is>
          <t>Siti Aminah</t>
        </is>
      </c>
      <c r="C30" s="19" t="n">
        <v>5200000</v>
      </c>
      <c r="E30" s="28" t="n"/>
      <c r="F30" s="29">
        <f>IF(ISBLANK(E30), "⏳ Belum Diisi (Ketik Rumus di Sel Kuning E30)", IF(E30='99_KUNCI_JAWABAN'!F996, "✅ BENAR! JAWABAN TES TEPAT!", "❌ Belum Tepat (Cek Sheet Akhir: 99_KUNCI_JAWABAN)"))</f>
        <v/>
      </c>
      <c r="G30" s="5" t="n"/>
    </row>
    <row r="31">
      <c r="B31" s="19" t="inlineStr">
        <is>
          <t>Andi Pratama</t>
        </is>
      </c>
      <c r="C31" s="19" t="n">
        <v>4800000</v>
      </c>
    </row>
    <row r="32">
      <c r="B32" s="19" t="inlineStr">
        <is>
          <t>Rina Wijaya</t>
        </is>
      </c>
      <c r="C32" s="19" t="n">
        <v>6100000</v>
      </c>
    </row>
    <row r="35" ht="22" customHeight="1">
      <c r="B35" s="26" t="inlineStr">
        <is>
          <t>📝 SOAL TES #3: Kasus Logistik &amp; Stok Gudang Utama</t>
        </is>
      </c>
    </row>
    <row r="36" ht="30" customHeight="1">
      <c r="B36" s="14" t="inlineStr">
        <is>
          <t>Sampel Uji</t>
        </is>
      </c>
      <c r="C36" s="14" t="inlineStr">
        <is>
          <t>Nilai Observasi</t>
        </is>
      </c>
      <c r="E36" s="27" t="inlineStr">
        <is>
          <t>Persoalan Tes #3: Hitung nilai peluang uji-Z pada rentang sampel C37:C40 terhadap nilai uji di sel C37 menggunakan fungsi ZTEST!</t>
        </is>
      </c>
    </row>
    <row r="37">
      <c r="B37" s="19" t="inlineStr">
        <is>
          <t>Gudang Blok A</t>
        </is>
      </c>
      <c r="C37" s="19" t="n">
        <v>240</v>
      </c>
      <c r="E37" s="14" t="inlineStr">
        <is>
          <t>✏️ KETIK RUMUS JAWABAN TES DI BAWAH:</t>
        </is>
      </c>
      <c r="F37" s="14" t="inlineStr">
        <is>
          <t>📌 STATUS KOREKSI JAWABAN TES:</t>
        </is>
      </c>
      <c r="G37" s="5" t="n"/>
    </row>
    <row r="38" ht="26" customHeight="1">
      <c r="B38" s="19" t="inlineStr">
        <is>
          <t>Gudang Blok B</t>
        </is>
      </c>
      <c r="C38" s="19" t="n">
        <v>380</v>
      </c>
      <c r="E38" s="28" t="n"/>
      <c r="F38" s="29">
        <f>IF(ISBLANK(E38), "⏳ Belum Diisi (Ketik Rumus di Sel Kuning E38)", IF(E38='99_KUNCI_JAWABAN'!F997, "✅ BENAR! JAWABAN TES TEPAT!", "❌ Belum Tepat (Cek Sheet Akhir: 99_KUNCI_JAWABAN)"))</f>
        <v/>
      </c>
      <c r="G38" s="5" t="n"/>
    </row>
    <row r="39">
      <c r="B39" s="19" t="inlineStr">
        <is>
          <t>Gudang Blok C</t>
        </is>
      </c>
      <c r="C39" s="19" t="n">
        <v>195</v>
      </c>
    </row>
    <row r="40">
      <c r="B40" s="19" t="inlineStr">
        <is>
          <t>Gudang Blok D</t>
        </is>
      </c>
      <c r="C40" s="19" t="n">
        <v>425</v>
      </c>
    </row>
    <row r="43" ht="22" customHeight="1">
      <c r="B43" s="26" t="inlineStr">
        <is>
          <t>📝 SOAL TES #4: Kasus Penjualan Retail &amp; Target Toko</t>
        </is>
      </c>
    </row>
    <row r="44" ht="30" customHeight="1">
      <c r="B44" s="14" t="inlineStr">
        <is>
          <t>Sampel Uji</t>
        </is>
      </c>
      <c r="C44" s="14" t="inlineStr">
        <is>
          <t>Nilai Observasi</t>
        </is>
      </c>
      <c r="E44" s="27" t="inlineStr">
        <is>
          <t>Persoalan Tes #4: Hitung nilai peluang uji-Z pada rentang sampel C45:C48 terhadap nilai uji di sel C45 menggunakan fungsi ZTEST!</t>
        </is>
      </c>
    </row>
    <row r="45">
      <c r="B45" s="19" t="inlineStr">
        <is>
          <t>Toko Elektronik</t>
        </is>
      </c>
      <c r="C45" s="19" t="n">
        <v>85</v>
      </c>
      <c r="E45" s="14" t="inlineStr">
        <is>
          <t>✏️ KETIK RUMUS JAWABAN TES DI BAWAH:</t>
        </is>
      </c>
      <c r="F45" s="14" t="inlineStr">
        <is>
          <t>📌 STATUS KOREKSI JAWABAN TES:</t>
        </is>
      </c>
      <c r="G45" s="5" t="n"/>
    </row>
    <row r="46" ht="26" customHeight="1">
      <c r="B46" s="19" t="inlineStr">
        <is>
          <t>Toko Komputer</t>
        </is>
      </c>
      <c r="C46" s="19" t="n">
        <v>92</v>
      </c>
      <c r="E46" s="28" t="n"/>
      <c r="F46" s="29">
        <f>IF(ISBLANK(E46), "⏳ Belum Diisi (Ketik Rumus di Sel Kuning E46)", IF(E46='99_KUNCI_JAWABAN'!F998, "✅ BENAR! JAWABAN TES TEPAT!", "❌ Belum Tepat (Cek Sheet Akhir: 99_KUNCI_JAWABAN)"))</f>
        <v/>
      </c>
      <c r="G46" s="5" t="n"/>
    </row>
    <row r="47">
      <c r="B47" s="19" t="inlineStr">
        <is>
          <t>Toko Aksesoris</t>
        </is>
      </c>
      <c r="C47" s="19" t="n">
        <v>78</v>
      </c>
    </row>
    <row r="48">
      <c r="B48" s="19" t="inlineStr">
        <is>
          <t>Toko Servis</t>
        </is>
      </c>
      <c r="C48" s="19" t="n">
        <v>95</v>
      </c>
    </row>
    <row r="51" ht="22" customHeight="1">
      <c r="B51" s="26" t="inlineStr">
        <is>
          <t>📝 SOAL TES #5: Kasus Akademik Sekolah &amp; Layanan Publik</t>
        </is>
      </c>
    </row>
    <row r="52" ht="30" customHeight="1">
      <c r="B52" s="14" t="inlineStr">
        <is>
          <t>Sampel Uji</t>
        </is>
      </c>
      <c r="C52" s="14" t="inlineStr">
        <is>
          <t>Nilai Observasi</t>
        </is>
      </c>
      <c r="E52" s="27" t="inlineStr">
        <is>
          <t>Persoalan Tes #5: Hitung nilai peluang uji-Z pada rentang sampel C53:C56 terhadap nilai uji di sel C53 menggunakan fungsi ZTEST!</t>
        </is>
      </c>
    </row>
    <row r="53">
      <c r="B53" s="19" t="inlineStr">
        <is>
          <t>Kelas 10 IPA</t>
        </is>
      </c>
      <c r="C53" s="19" t="n">
        <v>82</v>
      </c>
      <c r="E53" s="14" t="inlineStr">
        <is>
          <t>✏️ KETIK RUMUS JAWABAN TES DI BAWAH:</t>
        </is>
      </c>
      <c r="F53" s="14" t="inlineStr">
        <is>
          <t>📌 STATUS KOREKSI JAWABAN TES:</t>
        </is>
      </c>
      <c r="G53" s="5" t="n"/>
    </row>
    <row r="54" ht="26" customHeight="1">
      <c r="B54" s="19" t="inlineStr">
        <is>
          <t>Kelas 11 IPA</t>
        </is>
      </c>
      <c r="C54" s="19" t="n">
        <v>88</v>
      </c>
      <c r="E54" s="28" t="n"/>
      <c r="F54" s="29">
        <f>IF(ISBLANK(E54), "⏳ Belum Diisi (Ketik Rumus di Sel Kuning E54)", IF(E54='99_KUNCI_JAWABAN'!F999, "✅ BENAR! JAWABAN TES TEPAT!", "❌ Belum Tepat (Cek Sheet Akhir: 99_KUNCI_JAWABAN)"))</f>
        <v/>
      </c>
      <c r="G54" s="5" t="n"/>
    </row>
    <row r="55">
      <c r="B55" s="19" t="inlineStr">
        <is>
          <t>Kelas 12 IPA</t>
        </is>
      </c>
      <c r="C55" s="19" t="n">
        <v>91</v>
      </c>
    </row>
    <row r="56">
      <c r="B56" s="19" t="inlineStr">
        <is>
          <t>Kelas Unggulan</t>
        </is>
      </c>
      <c r="C56" s="19" t="n">
        <v>79</v>
      </c>
    </row>
  </sheetData>
  <mergeCells count="33">
    <mergeCell ref="E10:G10"/>
    <mergeCell ref="F11:G11"/>
    <mergeCell ref="E28:G28"/>
    <mergeCell ref="F29:G29"/>
    <mergeCell ref="C6:G6"/>
    <mergeCell ref="F54:G54"/>
    <mergeCell ref="B17:G17"/>
    <mergeCell ref="B1:G1"/>
    <mergeCell ref="C5:G5"/>
    <mergeCell ref="B19:G19"/>
    <mergeCell ref="F21:G21"/>
    <mergeCell ref="F12:G12"/>
    <mergeCell ref="F30:G30"/>
    <mergeCell ref="E36:G36"/>
    <mergeCell ref="B9:G9"/>
    <mergeCell ref="F45:G45"/>
    <mergeCell ref="B51:G51"/>
    <mergeCell ref="F38:G38"/>
    <mergeCell ref="B35:G35"/>
    <mergeCell ref="B4:G4"/>
    <mergeCell ref="F46:G46"/>
    <mergeCell ref="F22:G22"/>
    <mergeCell ref="B2:E2"/>
    <mergeCell ref="F13:G13"/>
    <mergeCell ref="B16:G16"/>
    <mergeCell ref="F37:G37"/>
    <mergeCell ref="C7:G7"/>
    <mergeCell ref="E52:G52"/>
    <mergeCell ref="B27:G27"/>
    <mergeCell ref="B43:G43"/>
    <mergeCell ref="E44:G44"/>
    <mergeCell ref="E20:G20"/>
    <mergeCell ref="F53:G53"/>
  </mergeCells>
  <hyperlinks>
    <hyperlink xmlns:r="http://schemas.openxmlformats.org/officeDocument/2006/relationships" ref="F2" r:id="rId1"/>
    <hyperlink xmlns:r="http://schemas.openxmlformats.org/officeDocument/2006/relationships" ref="G2" r:id="rId2"/>
  </hyperlink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G99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8" customWidth="1" min="3" max="3"/>
    <col width="16" customWidth="1" min="4" max="4"/>
    <col width="44" customWidth="1" min="5" max="5"/>
    <col width="28" customWidth="1" min="6" max="6"/>
    <col width="65" customWidth="1" min="7" max="7"/>
  </cols>
  <sheetData>
    <row r="1" ht="32" customHeight="1">
      <c r="A1" s="1" t="inlineStr">
        <is>
          <t>🔑 KUNCI JAWABAN LENGKAP SELURUH SOAL TES (199 RUMUS × 5 SOAL TES = 995 SOAL)</t>
        </is>
      </c>
    </row>
    <row r="2" ht="22" customHeight="1">
      <c r="A2" s="2" t="inlineStr">
        <is>
          <t>Gunakan halaman paling terakhir ini untuk memeriksa Kunci Rumus &amp; Hasil Jawaban Benar setelah Anda selesai mengerjakan Soal Tes di masing-masing sheet!</t>
        </is>
      </c>
      <c r="G2" s="12" t="inlineStr">
        <is>
          <t>⬅️ Kembali ke 00_DAFTAR_ISI</t>
        </is>
      </c>
    </row>
    <row r="4" ht="24" customHeight="1">
      <c r="A4" s="32" t="inlineStr">
        <is>
          <t>No</t>
        </is>
      </c>
      <c r="B4" s="32" t="inlineStr">
        <is>
          <t>Nama Rumus (Sheet)</t>
        </is>
      </c>
      <c r="C4" s="32" t="inlineStr">
        <is>
          <t>Nomor Soal Tes</t>
        </is>
      </c>
      <c r="D4" s="32" t="inlineStr">
        <is>
          <t>Sel Kotak Kuning</t>
        </is>
      </c>
      <c r="E4" s="32" t="inlineStr">
        <is>
          <t>🔑 KUNCI RUMUS (YANG HARUS DIKETIK)</t>
        </is>
      </c>
      <c r="F4" s="32" t="inlineStr">
        <is>
          <t>🎯 HASIL JAWABAN BENAR</t>
        </is>
      </c>
      <c r="G4" s="32" t="inlineStr">
        <is>
          <t>Ringkasan Persoalan Tes</t>
        </is>
      </c>
    </row>
    <row r="5">
      <c r="A5" s="5" t="n">
        <v>1</v>
      </c>
      <c r="B5" s="8" t="inlineStr">
        <is>
          <t>SUM</t>
        </is>
      </c>
      <c r="C5" s="6" t="inlineStr">
        <is>
          <t>Soal Tes #1</t>
        </is>
      </c>
      <c r="D5" s="33" t="inlineStr">
        <is>
          <t>SUM!E22</t>
        </is>
      </c>
      <c r="E5" s="22" t="inlineStr">
        <is>
          <t>'=SUM(C21:C24)</t>
        </is>
      </c>
      <c r="F5" s="34">
        <f>SUM('SUM'!C21:C24)</f>
        <v/>
      </c>
      <c r="G5" s="19" t="inlineStr">
        <is>
          <t>Hitung hasil pengolahan fungsi SUM untuk keempat baris data pada rentang C21:C24!</t>
        </is>
      </c>
    </row>
    <row r="6">
      <c r="A6" s="5" t="n">
        <v>2</v>
      </c>
      <c r="B6" s="8" t="inlineStr">
        <is>
          <t>SUM</t>
        </is>
      </c>
      <c r="C6" s="6" t="inlineStr">
        <is>
          <t>Soal Tes #2</t>
        </is>
      </c>
      <c r="D6" s="33" t="inlineStr">
        <is>
          <t>SUM!E30</t>
        </is>
      </c>
      <c r="E6" s="22" t="inlineStr">
        <is>
          <t>'=SUM(C29:C32)</t>
        </is>
      </c>
      <c r="F6" s="34">
        <f>SUM('SUM'!C29:C32)</f>
        <v/>
      </c>
      <c r="G6" s="19" t="inlineStr">
        <is>
          <t>Hitung hasil pengolahan fungsi SUM untuk keempat baris data pada rentang C29:C32!</t>
        </is>
      </c>
    </row>
    <row r="7">
      <c r="A7" s="5" t="n">
        <v>3</v>
      </c>
      <c r="B7" s="8" t="inlineStr">
        <is>
          <t>SUM</t>
        </is>
      </c>
      <c r="C7" s="6" t="inlineStr">
        <is>
          <t>Soal Tes #3</t>
        </is>
      </c>
      <c r="D7" s="33" t="inlineStr">
        <is>
          <t>SUM!E38</t>
        </is>
      </c>
      <c r="E7" s="22" t="inlineStr">
        <is>
          <t>'=SUM(C37:C40)</t>
        </is>
      </c>
      <c r="F7" s="34">
        <f>SUM('SUM'!C37:C40)</f>
        <v/>
      </c>
      <c r="G7" s="19" t="inlineStr">
        <is>
          <t>Hitung hasil pengolahan fungsi SUM untuk keempat baris data pada rentang C37:C40!</t>
        </is>
      </c>
    </row>
    <row r="8">
      <c r="A8" s="5" t="n">
        <v>4</v>
      </c>
      <c r="B8" s="8" t="inlineStr">
        <is>
          <t>SUM</t>
        </is>
      </c>
      <c r="C8" s="6" t="inlineStr">
        <is>
          <t>Soal Tes #4</t>
        </is>
      </c>
      <c r="D8" s="33" t="inlineStr">
        <is>
          <t>SUM!E46</t>
        </is>
      </c>
      <c r="E8" s="22" t="inlineStr">
        <is>
          <t>'=SUM(C45:C48)</t>
        </is>
      </c>
      <c r="F8" s="34">
        <f>SUM('SUM'!C45:C48)</f>
        <v/>
      </c>
      <c r="G8" s="19" t="inlineStr">
        <is>
          <t>Hitung hasil pengolahan fungsi SUM untuk keempat baris data pada rentang C45:C48!</t>
        </is>
      </c>
    </row>
    <row r="9">
      <c r="A9" s="5" t="n">
        <v>5</v>
      </c>
      <c r="B9" s="8" t="inlineStr">
        <is>
          <t>SUM</t>
        </is>
      </c>
      <c r="C9" s="6" t="inlineStr">
        <is>
          <t>Soal Tes #5</t>
        </is>
      </c>
      <c r="D9" s="33" t="inlineStr">
        <is>
          <t>SUM!E54</t>
        </is>
      </c>
      <c r="E9" s="22" t="inlineStr">
        <is>
          <t>'=SUM(C53:C56)</t>
        </is>
      </c>
      <c r="F9" s="34">
        <f>SUM('SUM'!C53:C56)</f>
        <v/>
      </c>
      <c r="G9" s="19" t="inlineStr">
        <is>
          <t>Hitung hasil pengolahan fungsi SUM untuk keempat baris data pada rentang C53:C56!</t>
        </is>
      </c>
    </row>
    <row r="10">
      <c r="A10" s="5" t="n">
        <v>6</v>
      </c>
      <c r="B10" s="8" t="inlineStr">
        <is>
          <t>SUMIF</t>
        </is>
      </c>
      <c r="C10" s="6" t="inlineStr">
        <is>
          <t>Soal Tes #1</t>
        </is>
      </c>
      <c r="D10" s="33" t="inlineStr">
        <is>
          <t>SUMIF!E22</t>
        </is>
      </c>
      <c r="E10" s="22" t="inlineStr">
        <is>
          <t>'=SUMIF(B21:B24, "Pusat", C21:C24)</t>
        </is>
      </c>
      <c r="F10" s="34">
        <f>SUMIF('SUMIF'!B21:B24, "Pusat", 'SUMIF'!C21:C24)</f>
        <v/>
      </c>
      <c r="G10" s="19" t="inlineStr">
        <is>
          <t>Gunakan fungsi SUMIF untuk mengolah data khusus kategori "Pusat" saja (rentang kategori di B21:B24 dan rentang nilai di C21:C24)!</t>
        </is>
      </c>
    </row>
    <row r="11">
      <c r="A11" s="5" t="n">
        <v>7</v>
      </c>
      <c r="B11" s="8" t="inlineStr">
        <is>
          <t>SUMIF</t>
        </is>
      </c>
      <c r="C11" s="6" t="inlineStr">
        <is>
          <t>Soal Tes #2</t>
        </is>
      </c>
      <c r="D11" s="33" t="inlineStr">
        <is>
          <t>SUMIF!E30</t>
        </is>
      </c>
      <c r="E11" s="22" t="inlineStr">
        <is>
          <t>'=SUMIF(B29:B32, "Pusat", C29:C32)</t>
        </is>
      </c>
      <c r="F11" s="34">
        <f>SUMIF('SUMIF'!B29:B32, "Pusat", 'SUMIF'!C29:C32)</f>
        <v/>
      </c>
      <c r="G11" s="19" t="inlineStr">
        <is>
          <t>Gunakan fungsi SUMIF untuk mengolah data khusus kategori "Pusat" saja (rentang kategori di B29:B32 dan rentang nilai di C29:C32)!</t>
        </is>
      </c>
    </row>
    <row r="12">
      <c r="A12" s="5" t="n">
        <v>8</v>
      </c>
      <c r="B12" s="8" t="inlineStr">
        <is>
          <t>SUMIF</t>
        </is>
      </c>
      <c r="C12" s="6" t="inlineStr">
        <is>
          <t>Soal Tes #3</t>
        </is>
      </c>
      <c r="D12" s="33" t="inlineStr">
        <is>
          <t>SUMIF!E38</t>
        </is>
      </c>
      <c r="E12" s="22" t="inlineStr">
        <is>
          <t>'=SUMIF(B37:B40, "Pusat", C37:C40)</t>
        </is>
      </c>
      <c r="F12" s="34">
        <f>SUMIF('SUMIF'!B37:B40, "Pusat", 'SUMIF'!C37:C40)</f>
        <v/>
      </c>
      <c r="G12" s="19" t="inlineStr">
        <is>
          <t>Gunakan fungsi SUMIF untuk mengolah data khusus kategori "Pusat" saja (rentang kategori di B37:B40 dan rentang nilai di C37:C40)!</t>
        </is>
      </c>
    </row>
    <row r="13">
      <c r="A13" s="5" t="n">
        <v>9</v>
      </c>
      <c r="B13" s="8" t="inlineStr">
        <is>
          <t>SUMIF</t>
        </is>
      </c>
      <c r="C13" s="6" t="inlineStr">
        <is>
          <t>Soal Tes #4</t>
        </is>
      </c>
      <c r="D13" s="33" t="inlineStr">
        <is>
          <t>SUMIF!E46</t>
        </is>
      </c>
      <c r="E13" s="22" t="inlineStr">
        <is>
          <t>'=SUMIF(B45:B48, "Pusat", C45:C48)</t>
        </is>
      </c>
      <c r="F13" s="34">
        <f>SUMIF('SUMIF'!B45:B48, "Pusat", 'SUMIF'!C45:C48)</f>
        <v/>
      </c>
      <c r="G13" s="19" t="inlineStr">
        <is>
          <t>Gunakan fungsi SUMIF untuk mengolah data khusus kategori "Pusat" saja (rentang kategori di B45:B48 dan rentang nilai di C45:C48)!</t>
        </is>
      </c>
    </row>
    <row r="14">
      <c r="A14" s="5" t="n">
        <v>10</v>
      </c>
      <c r="B14" s="8" t="inlineStr">
        <is>
          <t>SUMIF</t>
        </is>
      </c>
      <c r="C14" s="6" t="inlineStr">
        <is>
          <t>Soal Tes #5</t>
        </is>
      </c>
      <c r="D14" s="33" t="inlineStr">
        <is>
          <t>SUMIF!E54</t>
        </is>
      </c>
      <c r="E14" s="22" t="inlineStr">
        <is>
          <t>'=SUMIF(B53:B56, "Pusat", C53:C56)</t>
        </is>
      </c>
      <c r="F14" s="34">
        <f>SUMIF('SUMIF'!B53:B56, "Pusat", 'SUMIF'!C53:C56)</f>
        <v/>
      </c>
      <c r="G14" s="19" t="inlineStr">
        <is>
          <t>Gunakan fungsi SUMIF untuk mengolah data khusus kategori "Pusat" saja (rentang kategori di B53:B56 dan rentang nilai di C53:C56)!</t>
        </is>
      </c>
    </row>
    <row r="15">
      <c r="A15" s="5" t="n">
        <v>11</v>
      </c>
      <c r="B15" s="8" t="inlineStr">
        <is>
          <t>SUMIFS</t>
        </is>
      </c>
      <c r="C15" s="6" t="inlineStr">
        <is>
          <t>Soal Tes #1</t>
        </is>
      </c>
      <c r="D15" s="33" t="inlineStr">
        <is>
          <t>SUMIFS!E22</t>
        </is>
      </c>
      <c r="E15" s="22" t="inlineStr">
        <is>
          <t>'=SUMIFS(C21:C24, B21:B24, "Aktif")</t>
        </is>
      </c>
      <c r="F15" s="34">
        <f>SUMIFS('SUMIFS'!C21:C24, 'SUMIFS'!B21:B24, "Aktif")</f>
        <v/>
      </c>
      <c r="G15" s="19" t="inlineStr">
        <is>
          <t>Gunakan fungsi SUMIFS untuk mengolah nilai di C21:C24 khusus baris yang berstatus "Aktif" pada kolom B21:B24!</t>
        </is>
      </c>
    </row>
    <row r="16">
      <c r="A16" s="5" t="n">
        <v>12</v>
      </c>
      <c r="B16" s="8" t="inlineStr">
        <is>
          <t>SUMIFS</t>
        </is>
      </c>
      <c r="C16" s="6" t="inlineStr">
        <is>
          <t>Soal Tes #2</t>
        </is>
      </c>
      <c r="D16" s="33" t="inlineStr">
        <is>
          <t>SUMIFS!E30</t>
        </is>
      </c>
      <c r="E16" s="22" t="inlineStr">
        <is>
          <t>'=SUMIFS(C29:C32, B29:B32, "Aktif")</t>
        </is>
      </c>
      <c r="F16" s="34">
        <f>SUMIFS('SUMIFS'!C29:C32, 'SUMIFS'!B29:B32, "Aktif")</f>
        <v/>
      </c>
      <c r="G16" s="19" t="inlineStr">
        <is>
          <t>Gunakan fungsi SUMIFS untuk mengolah nilai di C29:C32 khusus baris yang berstatus "Aktif" pada kolom B29:B32!</t>
        </is>
      </c>
    </row>
    <row r="17">
      <c r="A17" s="5" t="n">
        <v>13</v>
      </c>
      <c r="B17" s="8" t="inlineStr">
        <is>
          <t>SUMIFS</t>
        </is>
      </c>
      <c r="C17" s="6" t="inlineStr">
        <is>
          <t>Soal Tes #3</t>
        </is>
      </c>
      <c r="D17" s="33" t="inlineStr">
        <is>
          <t>SUMIFS!E38</t>
        </is>
      </c>
      <c r="E17" s="22" t="inlineStr">
        <is>
          <t>'=SUMIFS(C37:C40, B37:B40, "Aktif")</t>
        </is>
      </c>
      <c r="F17" s="34">
        <f>SUMIFS('SUMIFS'!C37:C40, 'SUMIFS'!B37:B40, "Aktif")</f>
        <v/>
      </c>
      <c r="G17" s="19" t="inlineStr">
        <is>
          <t>Gunakan fungsi SUMIFS untuk mengolah nilai di C37:C40 khusus baris yang berstatus "Aktif" pada kolom B37:B40!</t>
        </is>
      </c>
    </row>
    <row r="18">
      <c r="A18" s="5" t="n">
        <v>14</v>
      </c>
      <c r="B18" s="8" t="inlineStr">
        <is>
          <t>SUMIFS</t>
        </is>
      </c>
      <c r="C18" s="6" t="inlineStr">
        <is>
          <t>Soal Tes #4</t>
        </is>
      </c>
      <c r="D18" s="33" t="inlineStr">
        <is>
          <t>SUMIFS!E46</t>
        </is>
      </c>
      <c r="E18" s="22" t="inlineStr">
        <is>
          <t>'=SUMIFS(C45:C48, B45:B48, "Aktif")</t>
        </is>
      </c>
      <c r="F18" s="34">
        <f>SUMIFS('SUMIFS'!C45:C48, 'SUMIFS'!B45:B48, "Aktif")</f>
        <v/>
      </c>
      <c r="G18" s="19" t="inlineStr">
        <is>
          <t>Gunakan fungsi SUMIFS untuk mengolah nilai di C45:C48 khusus baris yang berstatus "Aktif" pada kolom B45:B48!</t>
        </is>
      </c>
    </row>
    <row r="19">
      <c r="A19" s="5" t="n">
        <v>15</v>
      </c>
      <c r="B19" s="8" t="inlineStr">
        <is>
          <t>SUMIFS</t>
        </is>
      </c>
      <c r="C19" s="6" t="inlineStr">
        <is>
          <t>Soal Tes #5</t>
        </is>
      </c>
      <c r="D19" s="33" t="inlineStr">
        <is>
          <t>SUMIFS!E54</t>
        </is>
      </c>
      <c r="E19" s="22" t="inlineStr">
        <is>
          <t>'=SUMIFS(C53:C56, B53:B56, "Aktif")</t>
        </is>
      </c>
      <c r="F19" s="34">
        <f>SUMIFS('SUMIFS'!C53:C56, 'SUMIFS'!B53:B56, "Aktif")</f>
        <v/>
      </c>
      <c r="G19" s="19" t="inlineStr">
        <is>
          <t>Gunakan fungsi SUMIFS untuk mengolah nilai di C53:C56 khusus baris yang berstatus "Aktif" pada kolom B53:B56!</t>
        </is>
      </c>
    </row>
    <row r="20">
      <c r="A20" s="5" t="n">
        <v>16</v>
      </c>
      <c r="B20" s="8" t="inlineStr">
        <is>
          <t>PRODUCT</t>
        </is>
      </c>
      <c r="C20" s="6" t="inlineStr">
        <is>
          <t>Soal Tes #1</t>
        </is>
      </c>
      <c r="D20" s="33" t="inlineStr">
        <is>
          <t>PRODUCT!E22</t>
        </is>
      </c>
      <c r="E20" s="22" t="inlineStr">
        <is>
          <t>'=PRODUCT(C21:C24)</t>
        </is>
      </c>
      <c r="F20" s="34">
        <f>PRODUCT('PRODUCT'!C21:C24)</f>
        <v/>
      </c>
      <c r="G20" s="19" t="inlineStr">
        <is>
          <t>Hitung hasil pengolahan fungsi PRODUCT untuk keempat baris data pada rentang C21:C24!</t>
        </is>
      </c>
    </row>
    <row r="21">
      <c r="A21" s="5" t="n">
        <v>17</v>
      </c>
      <c r="B21" s="8" t="inlineStr">
        <is>
          <t>PRODUCT</t>
        </is>
      </c>
      <c r="C21" s="6" t="inlineStr">
        <is>
          <t>Soal Tes #2</t>
        </is>
      </c>
      <c r="D21" s="33" t="inlineStr">
        <is>
          <t>PRODUCT!E30</t>
        </is>
      </c>
      <c r="E21" s="22" t="inlineStr">
        <is>
          <t>'=PRODUCT(C29:C32)</t>
        </is>
      </c>
      <c r="F21" s="34">
        <f>PRODUCT('PRODUCT'!C29:C32)</f>
        <v/>
      </c>
      <c r="G21" s="19" t="inlineStr">
        <is>
          <t>Hitung hasil pengolahan fungsi PRODUCT untuk keempat baris data pada rentang C29:C32!</t>
        </is>
      </c>
    </row>
    <row r="22">
      <c r="A22" s="5" t="n">
        <v>18</v>
      </c>
      <c r="B22" s="8" t="inlineStr">
        <is>
          <t>PRODUCT</t>
        </is>
      </c>
      <c r="C22" s="6" t="inlineStr">
        <is>
          <t>Soal Tes #3</t>
        </is>
      </c>
      <c r="D22" s="33" t="inlineStr">
        <is>
          <t>PRODUCT!E38</t>
        </is>
      </c>
      <c r="E22" s="22" t="inlineStr">
        <is>
          <t>'=PRODUCT(C37:C40)</t>
        </is>
      </c>
      <c r="F22" s="34">
        <f>PRODUCT('PRODUCT'!C37:C40)</f>
        <v/>
      </c>
      <c r="G22" s="19" t="inlineStr">
        <is>
          <t>Hitung hasil pengolahan fungsi PRODUCT untuk keempat baris data pada rentang C37:C40!</t>
        </is>
      </c>
    </row>
    <row r="23">
      <c r="A23" s="5" t="n">
        <v>19</v>
      </c>
      <c r="B23" s="8" t="inlineStr">
        <is>
          <t>PRODUCT</t>
        </is>
      </c>
      <c r="C23" s="6" t="inlineStr">
        <is>
          <t>Soal Tes #4</t>
        </is>
      </c>
      <c r="D23" s="33" t="inlineStr">
        <is>
          <t>PRODUCT!E46</t>
        </is>
      </c>
      <c r="E23" s="22" t="inlineStr">
        <is>
          <t>'=PRODUCT(C45:C48)</t>
        </is>
      </c>
      <c r="F23" s="34">
        <f>PRODUCT('PRODUCT'!C45:C48)</f>
        <v/>
      </c>
      <c r="G23" s="19" t="inlineStr">
        <is>
          <t>Hitung hasil pengolahan fungsi PRODUCT untuk keempat baris data pada rentang C45:C48!</t>
        </is>
      </c>
    </row>
    <row r="24">
      <c r="A24" s="5" t="n">
        <v>20</v>
      </c>
      <c r="B24" s="8" t="inlineStr">
        <is>
          <t>PRODUCT</t>
        </is>
      </c>
      <c r="C24" s="6" t="inlineStr">
        <is>
          <t>Soal Tes #5</t>
        </is>
      </c>
      <c r="D24" s="33" t="inlineStr">
        <is>
          <t>PRODUCT!E54</t>
        </is>
      </c>
      <c r="E24" s="22" t="inlineStr">
        <is>
          <t>'=PRODUCT(C53:C56)</t>
        </is>
      </c>
      <c r="F24" s="34">
        <f>PRODUCT('PRODUCT'!C53:C56)</f>
        <v/>
      </c>
      <c r="G24" s="19" t="inlineStr">
        <is>
          <t>Hitung hasil pengolahan fungsi PRODUCT untuk keempat baris data pada rentang C53:C56!</t>
        </is>
      </c>
    </row>
    <row r="25">
      <c r="A25" s="5" t="n">
        <v>21</v>
      </c>
      <c r="B25" s="8" t="inlineStr">
        <is>
          <t>SUMPRODUCT</t>
        </is>
      </c>
      <c r="C25" s="6" t="inlineStr">
        <is>
          <t>Soal Tes #1</t>
        </is>
      </c>
      <c r="D25" s="33" t="inlineStr">
        <is>
          <t>SUMPRODUCT!E22</t>
        </is>
      </c>
      <c r="E25" s="22" t="inlineStr">
        <is>
          <t>'=SUMPRODUCT(B21:B24, C21:C24)</t>
        </is>
      </c>
      <c r="F25" s="34">
        <f>SUMPRODUCT('SUMPRODUCT'!B21:B24, 'SUMPRODUCT'!C21:C24)</f>
        <v/>
      </c>
      <c r="G25" s="19" t="inlineStr">
        <is>
          <t>Kalikan kolom Qty Barang (B21:B24) dengan Harga Satuan (C21:C24) lalu jumlahkan totalnya sekaligus menggunakan fungsi SUMPRODUCT!</t>
        </is>
      </c>
    </row>
    <row r="26">
      <c r="A26" s="5" t="n">
        <v>22</v>
      </c>
      <c r="B26" s="8" t="inlineStr">
        <is>
          <t>SUMPRODUCT</t>
        </is>
      </c>
      <c r="C26" s="6" t="inlineStr">
        <is>
          <t>Soal Tes #2</t>
        </is>
      </c>
      <c r="D26" s="33" t="inlineStr">
        <is>
          <t>SUMPRODUCT!E30</t>
        </is>
      </c>
      <c r="E26" s="22" t="inlineStr">
        <is>
          <t>'=SUMPRODUCT(B29:B32, C29:C32)</t>
        </is>
      </c>
      <c r="F26" s="34">
        <f>SUMPRODUCT('SUMPRODUCT'!B29:B32, 'SUMPRODUCT'!C29:C32)</f>
        <v/>
      </c>
      <c r="G26" s="19" t="inlineStr">
        <is>
          <t>Kalikan kolom Qty Barang (B29:B32) dengan Harga Satuan (C29:C32) lalu jumlahkan totalnya sekaligus menggunakan fungsi SUMPRODUCT!</t>
        </is>
      </c>
    </row>
    <row r="27">
      <c r="A27" s="5" t="n">
        <v>23</v>
      </c>
      <c r="B27" s="8" t="inlineStr">
        <is>
          <t>SUMPRODUCT</t>
        </is>
      </c>
      <c r="C27" s="6" t="inlineStr">
        <is>
          <t>Soal Tes #3</t>
        </is>
      </c>
      <c r="D27" s="33" t="inlineStr">
        <is>
          <t>SUMPRODUCT!E38</t>
        </is>
      </c>
      <c r="E27" s="22" t="inlineStr">
        <is>
          <t>'=SUMPRODUCT(B37:B40, C37:C40)</t>
        </is>
      </c>
      <c r="F27" s="34">
        <f>SUMPRODUCT('SUMPRODUCT'!B37:B40, 'SUMPRODUCT'!C37:C40)</f>
        <v/>
      </c>
      <c r="G27" s="19" t="inlineStr">
        <is>
          <t>Kalikan kolom Qty Barang (B37:B40) dengan Harga Satuan (C37:C40) lalu jumlahkan totalnya sekaligus menggunakan fungsi SUMPRODUCT!</t>
        </is>
      </c>
    </row>
    <row r="28">
      <c r="A28" s="5" t="n">
        <v>24</v>
      </c>
      <c r="B28" s="8" t="inlineStr">
        <is>
          <t>SUMPRODUCT</t>
        </is>
      </c>
      <c r="C28" s="6" t="inlineStr">
        <is>
          <t>Soal Tes #4</t>
        </is>
      </c>
      <c r="D28" s="33" t="inlineStr">
        <is>
          <t>SUMPRODUCT!E46</t>
        </is>
      </c>
      <c r="E28" s="22" t="inlineStr">
        <is>
          <t>'=SUMPRODUCT(B45:B48, C45:C48)</t>
        </is>
      </c>
      <c r="F28" s="34">
        <f>SUMPRODUCT('SUMPRODUCT'!B45:B48, 'SUMPRODUCT'!C45:C48)</f>
        <v/>
      </c>
      <c r="G28" s="19" t="inlineStr">
        <is>
          <t>Kalikan kolom Qty Barang (B45:B48) dengan Harga Satuan (C45:C48) lalu jumlahkan totalnya sekaligus menggunakan fungsi SUMPRODUCT!</t>
        </is>
      </c>
    </row>
    <row r="29">
      <c r="A29" s="5" t="n">
        <v>25</v>
      </c>
      <c r="B29" s="8" t="inlineStr">
        <is>
          <t>SUMPRODUCT</t>
        </is>
      </c>
      <c r="C29" s="6" t="inlineStr">
        <is>
          <t>Soal Tes #5</t>
        </is>
      </c>
      <c r="D29" s="33" t="inlineStr">
        <is>
          <t>SUMPRODUCT!E54</t>
        </is>
      </c>
      <c r="E29" s="22" t="inlineStr">
        <is>
          <t>'=SUMPRODUCT(B53:B56, C53:C56)</t>
        </is>
      </c>
      <c r="F29" s="34">
        <f>SUMPRODUCT('SUMPRODUCT'!B53:B56, 'SUMPRODUCT'!C53:C56)</f>
        <v/>
      </c>
      <c r="G29" s="19" t="inlineStr">
        <is>
          <t>Kalikan kolom Qty Barang (B53:B56) dengan Harga Satuan (C53:C56) lalu jumlahkan totalnya sekaligus menggunakan fungsi SUMPRODUCT!</t>
        </is>
      </c>
    </row>
    <row r="30">
      <c r="A30" s="5" t="n">
        <v>26</v>
      </c>
      <c r="B30" s="8" t="inlineStr">
        <is>
          <t>ROUND</t>
        </is>
      </c>
      <c r="C30" s="6" t="inlineStr">
        <is>
          <t>Soal Tes #1</t>
        </is>
      </c>
      <c r="D30" s="33" t="inlineStr">
        <is>
          <t>ROUND!E22</t>
        </is>
      </c>
      <c r="E30" s="22" t="inlineStr">
        <is>
          <t>'=ROUND(C21, 1)</t>
        </is>
      </c>
      <c r="F30" s="34">
        <f>ROUND('ROUND'!C21, 1)</f>
        <v/>
      </c>
      <c r="G30" s="19" t="inlineStr">
        <is>
          <t>Bulatkan nilai desimal pada sel C21 (124.789) menjadi 1 angka di belakang koma menggunakan fungsi ROUND!</t>
        </is>
      </c>
    </row>
    <row r="31">
      <c r="A31" s="5" t="n">
        <v>27</v>
      </c>
      <c r="B31" s="8" t="inlineStr">
        <is>
          <t>ROUND</t>
        </is>
      </c>
      <c r="C31" s="6" t="inlineStr">
        <is>
          <t>Soal Tes #2</t>
        </is>
      </c>
      <c r="D31" s="33" t="inlineStr">
        <is>
          <t>ROUND!E30</t>
        </is>
      </c>
      <c r="E31" s="22" t="inlineStr">
        <is>
          <t>'=ROUND(C29, 1)</t>
        </is>
      </c>
      <c r="F31" s="34">
        <f>ROUND('ROUND'!C29, 1)</f>
        <v/>
      </c>
      <c r="G31" s="19" t="inlineStr">
        <is>
          <t>Bulatkan nilai desimal pada sel C29 (127.889) menjadi 1 angka di belakang koma menggunakan fungsi ROUND!</t>
        </is>
      </c>
    </row>
    <row r="32">
      <c r="A32" s="5" t="n">
        <v>28</v>
      </c>
      <c r="B32" s="8" t="inlineStr">
        <is>
          <t>ROUND</t>
        </is>
      </c>
      <c r="C32" s="6" t="inlineStr">
        <is>
          <t>Soal Tes #3</t>
        </is>
      </c>
      <c r="D32" s="33" t="inlineStr">
        <is>
          <t>ROUND!E38</t>
        </is>
      </c>
      <c r="E32" s="22" t="inlineStr">
        <is>
          <t>'=ROUND(C37, 1)</t>
        </is>
      </c>
      <c r="F32" s="34">
        <f>ROUND('ROUND'!C37, 1)</f>
        <v/>
      </c>
      <c r="G32" s="19" t="inlineStr">
        <is>
          <t>Bulatkan nilai desimal pada sel C37 (130.989) menjadi 1 angka di belakang koma menggunakan fungsi ROUND!</t>
        </is>
      </c>
    </row>
    <row r="33">
      <c r="A33" s="5" t="n">
        <v>29</v>
      </c>
      <c r="B33" s="8" t="inlineStr">
        <is>
          <t>ROUND</t>
        </is>
      </c>
      <c r="C33" s="6" t="inlineStr">
        <is>
          <t>Soal Tes #4</t>
        </is>
      </c>
      <c r="D33" s="33" t="inlineStr">
        <is>
          <t>ROUND!E46</t>
        </is>
      </c>
      <c r="E33" s="22" t="inlineStr">
        <is>
          <t>'=ROUND(C45, 1)</t>
        </is>
      </c>
      <c r="F33" s="34">
        <f>ROUND('ROUND'!C45, 1)</f>
        <v/>
      </c>
      <c r="G33" s="19" t="inlineStr">
        <is>
          <t>Bulatkan nilai desimal pada sel C45 (134.089) menjadi 1 angka di belakang koma menggunakan fungsi ROUND!</t>
        </is>
      </c>
    </row>
    <row r="34">
      <c r="A34" s="5" t="n">
        <v>30</v>
      </c>
      <c r="B34" s="8" t="inlineStr">
        <is>
          <t>ROUND</t>
        </is>
      </c>
      <c r="C34" s="6" t="inlineStr">
        <is>
          <t>Soal Tes #5</t>
        </is>
      </c>
      <c r="D34" s="33" t="inlineStr">
        <is>
          <t>ROUND!E54</t>
        </is>
      </c>
      <c r="E34" s="22" t="inlineStr">
        <is>
          <t>'=ROUND(C53, 1)</t>
        </is>
      </c>
      <c r="F34" s="34">
        <f>ROUND('ROUND'!C53, 1)</f>
        <v/>
      </c>
      <c r="G34" s="19" t="inlineStr">
        <is>
          <t>Bulatkan nilai desimal pada sel C53 (137.189) menjadi 1 angka di belakang koma menggunakan fungsi ROUND!</t>
        </is>
      </c>
    </row>
    <row r="35">
      <c r="A35" s="5" t="n">
        <v>31</v>
      </c>
      <c r="B35" s="8" t="inlineStr">
        <is>
          <t>ROUNDUP</t>
        </is>
      </c>
      <c r="C35" s="6" t="inlineStr">
        <is>
          <t>Soal Tes #1</t>
        </is>
      </c>
      <c r="D35" s="33" t="inlineStr">
        <is>
          <t>ROUNDUP!E22</t>
        </is>
      </c>
      <c r="E35" s="22" t="inlineStr">
        <is>
          <t>'=ROUNDUP(C21, 1)</t>
        </is>
      </c>
      <c r="F35" s="34">
        <f>ROUNDUP('ROUNDUP'!C21, 1)</f>
        <v/>
      </c>
      <c r="G35" s="19" t="inlineStr">
        <is>
          <t>Bulatkan nilai desimal pada sel C21 (124.789) menjadi 1 angka di belakang koma menggunakan fungsi ROUNDUP!</t>
        </is>
      </c>
    </row>
    <row r="36">
      <c r="A36" s="5" t="n">
        <v>32</v>
      </c>
      <c r="B36" s="8" t="inlineStr">
        <is>
          <t>ROUNDUP</t>
        </is>
      </c>
      <c r="C36" s="6" t="inlineStr">
        <is>
          <t>Soal Tes #2</t>
        </is>
      </c>
      <c r="D36" s="33" t="inlineStr">
        <is>
          <t>ROUNDUP!E30</t>
        </is>
      </c>
      <c r="E36" s="22" t="inlineStr">
        <is>
          <t>'=ROUNDUP(C29, 1)</t>
        </is>
      </c>
      <c r="F36" s="34">
        <f>ROUNDUP('ROUNDUP'!C29, 1)</f>
        <v/>
      </c>
      <c r="G36" s="19" t="inlineStr">
        <is>
          <t>Bulatkan nilai desimal pada sel C29 (127.889) menjadi 1 angka di belakang koma menggunakan fungsi ROUNDUP!</t>
        </is>
      </c>
    </row>
    <row r="37">
      <c r="A37" s="5" t="n">
        <v>33</v>
      </c>
      <c r="B37" s="8" t="inlineStr">
        <is>
          <t>ROUNDUP</t>
        </is>
      </c>
      <c r="C37" s="6" t="inlineStr">
        <is>
          <t>Soal Tes #3</t>
        </is>
      </c>
      <c r="D37" s="33" t="inlineStr">
        <is>
          <t>ROUNDUP!E38</t>
        </is>
      </c>
      <c r="E37" s="22" t="inlineStr">
        <is>
          <t>'=ROUNDUP(C37, 1)</t>
        </is>
      </c>
      <c r="F37" s="34">
        <f>ROUNDUP('ROUNDUP'!C37, 1)</f>
        <v/>
      </c>
      <c r="G37" s="19" t="inlineStr">
        <is>
          <t>Bulatkan nilai desimal pada sel C37 (130.989) menjadi 1 angka di belakang koma menggunakan fungsi ROUNDUP!</t>
        </is>
      </c>
    </row>
    <row r="38">
      <c r="A38" s="5" t="n">
        <v>34</v>
      </c>
      <c r="B38" s="8" t="inlineStr">
        <is>
          <t>ROUNDUP</t>
        </is>
      </c>
      <c r="C38" s="6" t="inlineStr">
        <is>
          <t>Soal Tes #4</t>
        </is>
      </c>
      <c r="D38" s="33" t="inlineStr">
        <is>
          <t>ROUNDUP!E46</t>
        </is>
      </c>
      <c r="E38" s="22" t="inlineStr">
        <is>
          <t>'=ROUNDUP(C45, 1)</t>
        </is>
      </c>
      <c r="F38" s="34">
        <f>ROUNDUP('ROUNDUP'!C45, 1)</f>
        <v/>
      </c>
      <c r="G38" s="19" t="inlineStr">
        <is>
          <t>Bulatkan nilai desimal pada sel C45 (134.089) menjadi 1 angka di belakang koma menggunakan fungsi ROUNDUP!</t>
        </is>
      </c>
    </row>
    <row r="39">
      <c r="A39" s="5" t="n">
        <v>35</v>
      </c>
      <c r="B39" s="8" t="inlineStr">
        <is>
          <t>ROUNDUP</t>
        </is>
      </c>
      <c r="C39" s="6" t="inlineStr">
        <is>
          <t>Soal Tes #5</t>
        </is>
      </c>
      <c r="D39" s="33" t="inlineStr">
        <is>
          <t>ROUNDUP!E54</t>
        </is>
      </c>
      <c r="E39" s="22" t="inlineStr">
        <is>
          <t>'=ROUNDUP(C53, 1)</t>
        </is>
      </c>
      <c r="F39" s="34">
        <f>ROUNDUP('ROUNDUP'!C53, 1)</f>
        <v/>
      </c>
      <c r="G39" s="19" t="inlineStr">
        <is>
          <t>Bulatkan nilai desimal pada sel C53 (137.189) menjadi 1 angka di belakang koma menggunakan fungsi ROUNDUP!</t>
        </is>
      </c>
    </row>
    <row r="40">
      <c r="A40" s="5" t="n">
        <v>36</v>
      </c>
      <c r="B40" s="8" t="inlineStr">
        <is>
          <t>ROUNDDOWN</t>
        </is>
      </c>
      <c r="C40" s="6" t="inlineStr">
        <is>
          <t>Soal Tes #1</t>
        </is>
      </c>
      <c r="D40" s="33" t="inlineStr">
        <is>
          <t>ROUNDDOWN!E22</t>
        </is>
      </c>
      <c r="E40" s="22" t="inlineStr">
        <is>
          <t>'=ROUNDDOWN(C21, 1)</t>
        </is>
      </c>
      <c r="F40" s="34">
        <f>ROUNDDOWN('ROUNDDOWN'!C21, 1)</f>
        <v/>
      </c>
      <c r="G40" s="19" t="inlineStr">
        <is>
          <t>Bulatkan nilai desimal pada sel C21 (124.789) menjadi 1 angka di belakang koma menggunakan fungsi ROUNDDOWN!</t>
        </is>
      </c>
    </row>
    <row r="41">
      <c r="A41" s="5" t="n">
        <v>37</v>
      </c>
      <c r="B41" s="8" t="inlineStr">
        <is>
          <t>ROUNDDOWN</t>
        </is>
      </c>
      <c r="C41" s="6" t="inlineStr">
        <is>
          <t>Soal Tes #2</t>
        </is>
      </c>
      <c r="D41" s="33" t="inlineStr">
        <is>
          <t>ROUNDDOWN!E30</t>
        </is>
      </c>
      <c r="E41" s="22" t="inlineStr">
        <is>
          <t>'=ROUNDDOWN(C29, 1)</t>
        </is>
      </c>
      <c r="F41" s="34">
        <f>ROUNDDOWN('ROUNDDOWN'!C29, 1)</f>
        <v/>
      </c>
      <c r="G41" s="19" t="inlineStr">
        <is>
          <t>Bulatkan nilai desimal pada sel C29 (127.889) menjadi 1 angka di belakang koma menggunakan fungsi ROUNDDOWN!</t>
        </is>
      </c>
    </row>
    <row r="42">
      <c r="A42" s="5" t="n">
        <v>38</v>
      </c>
      <c r="B42" s="8" t="inlineStr">
        <is>
          <t>ROUNDDOWN</t>
        </is>
      </c>
      <c r="C42" s="6" t="inlineStr">
        <is>
          <t>Soal Tes #3</t>
        </is>
      </c>
      <c r="D42" s="33" t="inlineStr">
        <is>
          <t>ROUNDDOWN!E38</t>
        </is>
      </c>
      <c r="E42" s="22" t="inlineStr">
        <is>
          <t>'=ROUNDDOWN(C37, 1)</t>
        </is>
      </c>
      <c r="F42" s="34">
        <f>ROUNDDOWN('ROUNDDOWN'!C37, 1)</f>
        <v/>
      </c>
      <c r="G42" s="19" t="inlineStr">
        <is>
          <t>Bulatkan nilai desimal pada sel C37 (130.989) menjadi 1 angka di belakang koma menggunakan fungsi ROUNDDOWN!</t>
        </is>
      </c>
    </row>
    <row r="43">
      <c r="A43" s="5" t="n">
        <v>39</v>
      </c>
      <c r="B43" s="8" t="inlineStr">
        <is>
          <t>ROUNDDOWN</t>
        </is>
      </c>
      <c r="C43" s="6" t="inlineStr">
        <is>
          <t>Soal Tes #4</t>
        </is>
      </c>
      <c r="D43" s="33" t="inlineStr">
        <is>
          <t>ROUNDDOWN!E46</t>
        </is>
      </c>
      <c r="E43" s="22" t="inlineStr">
        <is>
          <t>'=ROUNDDOWN(C45, 1)</t>
        </is>
      </c>
      <c r="F43" s="34">
        <f>ROUNDDOWN('ROUNDDOWN'!C45, 1)</f>
        <v/>
      </c>
      <c r="G43" s="19" t="inlineStr">
        <is>
          <t>Bulatkan nilai desimal pada sel C45 (134.089) menjadi 1 angka di belakang koma menggunakan fungsi ROUNDDOWN!</t>
        </is>
      </c>
    </row>
    <row r="44">
      <c r="A44" s="5" t="n">
        <v>40</v>
      </c>
      <c r="B44" s="8" t="inlineStr">
        <is>
          <t>ROUNDDOWN</t>
        </is>
      </c>
      <c r="C44" s="6" t="inlineStr">
        <is>
          <t>Soal Tes #5</t>
        </is>
      </c>
      <c r="D44" s="33" t="inlineStr">
        <is>
          <t>ROUNDDOWN!E54</t>
        </is>
      </c>
      <c r="E44" s="22" t="inlineStr">
        <is>
          <t>'=ROUNDDOWN(C53, 1)</t>
        </is>
      </c>
      <c r="F44" s="34">
        <f>ROUNDDOWN('ROUNDDOWN'!C53, 1)</f>
        <v/>
      </c>
      <c r="G44" s="19" t="inlineStr">
        <is>
          <t>Bulatkan nilai desimal pada sel C53 (137.189) menjadi 1 angka di belakang koma menggunakan fungsi ROUNDDOWN!</t>
        </is>
      </c>
    </row>
    <row r="45">
      <c r="A45" s="5" t="n">
        <v>41</v>
      </c>
      <c r="B45" s="8" t="inlineStr">
        <is>
          <t>MROUND</t>
        </is>
      </c>
      <c r="C45" s="6" t="inlineStr">
        <is>
          <t>Soal Tes #1</t>
        </is>
      </c>
      <c r="D45" s="33" t="inlineStr">
        <is>
          <t>MROUND!E22</t>
        </is>
      </c>
      <c r="E45" s="22" t="inlineStr">
        <is>
          <t>'=MROUND(C21, 500)</t>
        </is>
      </c>
      <c r="F45" s="34">
        <f>MROUND('MROUND'!C21, 500)</f>
        <v/>
      </c>
      <c r="G45" s="19" t="inlineStr">
        <is>
          <t>Bulatkan nominal uang pada sel C21 ke kelipatan 500 terdekat menggunakan fungsi MROUND!</t>
        </is>
      </c>
    </row>
    <row r="46">
      <c r="A46" s="5" t="n">
        <v>42</v>
      </c>
      <c r="B46" s="8" t="inlineStr">
        <is>
          <t>MROUND</t>
        </is>
      </c>
      <c r="C46" s="6" t="inlineStr">
        <is>
          <t>Soal Tes #2</t>
        </is>
      </c>
      <c r="D46" s="33" t="inlineStr">
        <is>
          <t>MROUND!E30</t>
        </is>
      </c>
      <c r="E46" s="22" t="inlineStr">
        <is>
          <t>'=MROUND(C29, 500)</t>
        </is>
      </c>
      <c r="F46" s="34">
        <f>MROUND('MROUND'!C29, 500)</f>
        <v/>
      </c>
      <c r="G46" s="19" t="inlineStr">
        <is>
          <t>Bulatkan nominal uang pada sel C29 ke kelipatan 500 terdekat menggunakan fungsi MROUND!</t>
        </is>
      </c>
    </row>
    <row r="47">
      <c r="A47" s="5" t="n">
        <v>43</v>
      </c>
      <c r="B47" s="8" t="inlineStr">
        <is>
          <t>MROUND</t>
        </is>
      </c>
      <c r="C47" s="6" t="inlineStr">
        <is>
          <t>Soal Tes #3</t>
        </is>
      </c>
      <c r="D47" s="33" t="inlineStr">
        <is>
          <t>MROUND!E38</t>
        </is>
      </c>
      <c r="E47" s="22" t="inlineStr">
        <is>
          <t>'=MROUND(C37, 500)</t>
        </is>
      </c>
      <c r="F47" s="34">
        <f>MROUND('MROUND'!C37, 500)</f>
        <v/>
      </c>
      <c r="G47" s="19" t="inlineStr">
        <is>
          <t>Bulatkan nominal uang pada sel C37 ke kelipatan 500 terdekat menggunakan fungsi MROUND!</t>
        </is>
      </c>
    </row>
    <row r="48">
      <c r="A48" s="5" t="n">
        <v>44</v>
      </c>
      <c r="B48" s="8" t="inlineStr">
        <is>
          <t>MROUND</t>
        </is>
      </c>
      <c r="C48" s="6" t="inlineStr">
        <is>
          <t>Soal Tes #4</t>
        </is>
      </c>
      <c r="D48" s="33" t="inlineStr">
        <is>
          <t>MROUND!E46</t>
        </is>
      </c>
      <c r="E48" s="22" t="inlineStr">
        <is>
          <t>'=MROUND(C45, 500)</t>
        </is>
      </c>
      <c r="F48" s="34">
        <f>MROUND('MROUND'!C45, 500)</f>
        <v/>
      </c>
      <c r="G48" s="19" t="inlineStr">
        <is>
          <t>Bulatkan nominal uang pada sel C45 ke kelipatan 500 terdekat menggunakan fungsi MROUND!</t>
        </is>
      </c>
    </row>
    <row r="49">
      <c r="A49" s="5" t="n">
        <v>45</v>
      </c>
      <c r="B49" s="8" t="inlineStr">
        <is>
          <t>MROUND</t>
        </is>
      </c>
      <c r="C49" s="6" t="inlineStr">
        <is>
          <t>Soal Tes #5</t>
        </is>
      </c>
      <c r="D49" s="33" t="inlineStr">
        <is>
          <t>MROUND!E54</t>
        </is>
      </c>
      <c r="E49" s="22" t="inlineStr">
        <is>
          <t>'=MROUND(C53, 500)</t>
        </is>
      </c>
      <c r="F49" s="34">
        <f>MROUND('MROUND'!C53, 500)</f>
        <v/>
      </c>
      <c r="G49" s="19" t="inlineStr">
        <is>
          <t>Bulatkan nominal uang pada sel C53 ke kelipatan 500 terdekat menggunakan fungsi MROUND!</t>
        </is>
      </c>
    </row>
    <row r="50">
      <c r="A50" s="5" t="n">
        <v>46</v>
      </c>
      <c r="B50" s="8" t="inlineStr">
        <is>
          <t>CEILING</t>
        </is>
      </c>
      <c r="C50" s="6" t="inlineStr">
        <is>
          <t>Soal Tes #1</t>
        </is>
      </c>
      <c r="D50" s="33" t="inlineStr">
        <is>
          <t>CEILING!E22</t>
        </is>
      </c>
      <c r="E50" s="22" t="inlineStr">
        <is>
          <t>'=CEILING(C21, 500)</t>
        </is>
      </c>
      <c r="F50" s="34">
        <f>CEILING('CEILING'!C21, 500)</f>
        <v/>
      </c>
      <c r="G50" s="19" t="inlineStr">
        <is>
          <t>Bulatkan nominal uang pada sel C21 ke kelipatan 500 terdekat menggunakan fungsi CEILING!</t>
        </is>
      </c>
    </row>
    <row r="51">
      <c r="A51" s="5" t="n">
        <v>47</v>
      </c>
      <c r="B51" s="8" t="inlineStr">
        <is>
          <t>CEILING</t>
        </is>
      </c>
      <c r="C51" s="6" t="inlineStr">
        <is>
          <t>Soal Tes #2</t>
        </is>
      </c>
      <c r="D51" s="33" t="inlineStr">
        <is>
          <t>CEILING!E30</t>
        </is>
      </c>
      <c r="E51" s="22" t="inlineStr">
        <is>
          <t>'=CEILING(C29, 500)</t>
        </is>
      </c>
      <c r="F51" s="34">
        <f>CEILING('CEILING'!C29, 500)</f>
        <v/>
      </c>
      <c r="G51" s="19" t="inlineStr">
        <is>
          <t>Bulatkan nominal uang pada sel C29 ke kelipatan 500 terdekat menggunakan fungsi CEILING!</t>
        </is>
      </c>
    </row>
    <row r="52">
      <c r="A52" s="5" t="n">
        <v>48</v>
      </c>
      <c r="B52" s="8" t="inlineStr">
        <is>
          <t>CEILING</t>
        </is>
      </c>
      <c r="C52" s="6" t="inlineStr">
        <is>
          <t>Soal Tes #3</t>
        </is>
      </c>
      <c r="D52" s="33" t="inlineStr">
        <is>
          <t>CEILING!E38</t>
        </is>
      </c>
      <c r="E52" s="22" t="inlineStr">
        <is>
          <t>'=CEILING(C37, 500)</t>
        </is>
      </c>
      <c r="F52" s="34">
        <f>CEILING('CEILING'!C37, 500)</f>
        <v/>
      </c>
      <c r="G52" s="19" t="inlineStr">
        <is>
          <t>Bulatkan nominal uang pada sel C37 ke kelipatan 500 terdekat menggunakan fungsi CEILING!</t>
        </is>
      </c>
    </row>
    <row r="53">
      <c r="A53" s="5" t="n">
        <v>49</v>
      </c>
      <c r="B53" s="8" t="inlineStr">
        <is>
          <t>CEILING</t>
        </is>
      </c>
      <c r="C53" s="6" t="inlineStr">
        <is>
          <t>Soal Tes #4</t>
        </is>
      </c>
      <c r="D53" s="33" t="inlineStr">
        <is>
          <t>CEILING!E46</t>
        </is>
      </c>
      <c r="E53" s="22" t="inlineStr">
        <is>
          <t>'=CEILING(C45, 500)</t>
        </is>
      </c>
      <c r="F53" s="34">
        <f>CEILING('CEILING'!C45, 500)</f>
        <v/>
      </c>
      <c r="G53" s="19" t="inlineStr">
        <is>
          <t>Bulatkan nominal uang pada sel C45 ke kelipatan 500 terdekat menggunakan fungsi CEILING!</t>
        </is>
      </c>
    </row>
    <row r="54">
      <c r="A54" s="5" t="n">
        <v>50</v>
      </c>
      <c r="B54" s="8" t="inlineStr">
        <is>
          <t>CEILING</t>
        </is>
      </c>
      <c r="C54" s="6" t="inlineStr">
        <is>
          <t>Soal Tes #5</t>
        </is>
      </c>
      <c r="D54" s="33" t="inlineStr">
        <is>
          <t>CEILING!E54</t>
        </is>
      </c>
      <c r="E54" s="22" t="inlineStr">
        <is>
          <t>'=CEILING(C53, 500)</t>
        </is>
      </c>
      <c r="F54" s="34">
        <f>CEILING('CEILING'!C53, 500)</f>
        <v/>
      </c>
      <c r="G54" s="19" t="inlineStr">
        <is>
          <t>Bulatkan nominal uang pada sel C53 ke kelipatan 500 terdekat menggunakan fungsi CEILING!</t>
        </is>
      </c>
    </row>
    <row r="55">
      <c r="A55" s="5" t="n">
        <v>51</v>
      </c>
      <c r="B55" s="8" t="inlineStr">
        <is>
          <t>FLOOR</t>
        </is>
      </c>
      <c r="C55" s="6" t="inlineStr">
        <is>
          <t>Soal Tes #1</t>
        </is>
      </c>
      <c r="D55" s="33" t="inlineStr">
        <is>
          <t>FLOOR!E22</t>
        </is>
      </c>
      <c r="E55" s="22" t="inlineStr">
        <is>
          <t>'=FLOOR(C21, 500)</t>
        </is>
      </c>
      <c r="F55" s="34">
        <f>FLOOR('FLOOR'!C21, 500)</f>
        <v/>
      </c>
      <c r="G55" s="19" t="inlineStr">
        <is>
          <t>Bulatkan nominal uang pada sel C21 ke kelipatan 500 terdekat menggunakan fungsi FLOOR!</t>
        </is>
      </c>
    </row>
    <row r="56">
      <c r="A56" s="5" t="n">
        <v>52</v>
      </c>
      <c r="B56" s="8" t="inlineStr">
        <is>
          <t>FLOOR</t>
        </is>
      </c>
      <c r="C56" s="6" t="inlineStr">
        <is>
          <t>Soal Tes #2</t>
        </is>
      </c>
      <c r="D56" s="33" t="inlineStr">
        <is>
          <t>FLOOR!E30</t>
        </is>
      </c>
      <c r="E56" s="22" t="inlineStr">
        <is>
          <t>'=FLOOR(C29, 500)</t>
        </is>
      </c>
      <c r="F56" s="34">
        <f>FLOOR('FLOOR'!C29, 500)</f>
        <v/>
      </c>
      <c r="G56" s="19" t="inlineStr">
        <is>
          <t>Bulatkan nominal uang pada sel C29 ke kelipatan 500 terdekat menggunakan fungsi FLOOR!</t>
        </is>
      </c>
    </row>
    <row r="57">
      <c r="A57" s="5" t="n">
        <v>53</v>
      </c>
      <c r="B57" s="8" t="inlineStr">
        <is>
          <t>FLOOR</t>
        </is>
      </c>
      <c r="C57" s="6" t="inlineStr">
        <is>
          <t>Soal Tes #3</t>
        </is>
      </c>
      <c r="D57" s="33" t="inlineStr">
        <is>
          <t>FLOOR!E38</t>
        </is>
      </c>
      <c r="E57" s="22" t="inlineStr">
        <is>
          <t>'=FLOOR(C37, 500)</t>
        </is>
      </c>
      <c r="F57" s="34">
        <f>FLOOR('FLOOR'!C37, 500)</f>
        <v/>
      </c>
      <c r="G57" s="19" t="inlineStr">
        <is>
          <t>Bulatkan nominal uang pada sel C37 ke kelipatan 500 terdekat menggunakan fungsi FLOOR!</t>
        </is>
      </c>
    </row>
    <row r="58">
      <c r="A58" s="5" t="n">
        <v>54</v>
      </c>
      <c r="B58" s="8" t="inlineStr">
        <is>
          <t>FLOOR</t>
        </is>
      </c>
      <c r="C58" s="6" t="inlineStr">
        <is>
          <t>Soal Tes #4</t>
        </is>
      </c>
      <c r="D58" s="33" t="inlineStr">
        <is>
          <t>FLOOR!E46</t>
        </is>
      </c>
      <c r="E58" s="22" t="inlineStr">
        <is>
          <t>'=FLOOR(C45, 500)</t>
        </is>
      </c>
      <c r="F58" s="34">
        <f>FLOOR('FLOOR'!C45, 500)</f>
        <v/>
      </c>
      <c r="G58" s="19" t="inlineStr">
        <is>
          <t>Bulatkan nominal uang pada sel C45 ke kelipatan 500 terdekat menggunakan fungsi FLOOR!</t>
        </is>
      </c>
    </row>
    <row r="59">
      <c r="A59" s="5" t="n">
        <v>55</v>
      </c>
      <c r="B59" s="8" t="inlineStr">
        <is>
          <t>FLOOR</t>
        </is>
      </c>
      <c r="C59" s="6" t="inlineStr">
        <is>
          <t>Soal Tes #5</t>
        </is>
      </c>
      <c r="D59" s="33" t="inlineStr">
        <is>
          <t>FLOOR!E54</t>
        </is>
      </c>
      <c r="E59" s="22" t="inlineStr">
        <is>
          <t>'=FLOOR(C53, 500)</t>
        </is>
      </c>
      <c r="F59" s="34">
        <f>FLOOR('FLOOR'!C53, 500)</f>
        <v/>
      </c>
      <c r="G59" s="19" t="inlineStr">
        <is>
          <t>Bulatkan nominal uang pada sel C53 ke kelipatan 500 terdekat menggunakan fungsi FLOOR!</t>
        </is>
      </c>
    </row>
    <row r="60">
      <c r="A60" s="5" t="n">
        <v>56</v>
      </c>
      <c r="B60" s="8" t="inlineStr">
        <is>
          <t>INT</t>
        </is>
      </c>
      <c r="C60" s="6" t="inlineStr">
        <is>
          <t>Soal Tes #1</t>
        </is>
      </c>
      <c r="D60" s="33" t="inlineStr">
        <is>
          <t>INT!E22</t>
        </is>
      </c>
      <c r="E60" s="22" t="inlineStr">
        <is>
          <t>'=INT(C21)</t>
        </is>
      </c>
      <c r="F60" s="34">
        <f>INT('INT'!C21)</f>
        <v/>
      </c>
      <c r="G60" s="19" t="inlineStr">
        <is>
          <t>Bulatkan atau potong nilai desimal pada sel C21 (124.789) menggunakan fungsi INT tanpa argumen tambahan!</t>
        </is>
      </c>
    </row>
    <row r="61">
      <c r="A61" s="5" t="n">
        <v>57</v>
      </c>
      <c r="B61" s="8" t="inlineStr">
        <is>
          <t>INT</t>
        </is>
      </c>
      <c r="C61" s="6" t="inlineStr">
        <is>
          <t>Soal Tes #2</t>
        </is>
      </c>
      <c r="D61" s="33" t="inlineStr">
        <is>
          <t>INT!E30</t>
        </is>
      </c>
      <c r="E61" s="22" t="inlineStr">
        <is>
          <t>'=INT(C29)</t>
        </is>
      </c>
      <c r="F61" s="34">
        <f>INT('INT'!C29)</f>
        <v/>
      </c>
      <c r="G61" s="19" t="inlineStr">
        <is>
          <t>Bulatkan atau potong nilai desimal pada sel C29 (127.889) menggunakan fungsi INT tanpa argumen tambahan!</t>
        </is>
      </c>
    </row>
    <row r="62">
      <c r="A62" s="5" t="n">
        <v>58</v>
      </c>
      <c r="B62" s="8" t="inlineStr">
        <is>
          <t>INT</t>
        </is>
      </c>
      <c r="C62" s="6" t="inlineStr">
        <is>
          <t>Soal Tes #3</t>
        </is>
      </c>
      <c r="D62" s="33" t="inlineStr">
        <is>
          <t>INT!E38</t>
        </is>
      </c>
      <c r="E62" s="22" t="inlineStr">
        <is>
          <t>'=INT(C37)</t>
        </is>
      </c>
      <c r="F62" s="34">
        <f>INT('INT'!C37)</f>
        <v/>
      </c>
      <c r="G62" s="19" t="inlineStr">
        <is>
          <t>Bulatkan atau potong nilai desimal pada sel C37 (130.989) menggunakan fungsi INT tanpa argumen tambahan!</t>
        </is>
      </c>
    </row>
    <row r="63">
      <c r="A63" s="5" t="n">
        <v>59</v>
      </c>
      <c r="B63" s="8" t="inlineStr">
        <is>
          <t>INT</t>
        </is>
      </c>
      <c r="C63" s="6" t="inlineStr">
        <is>
          <t>Soal Tes #4</t>
        </is>
      </c>
      <c r="D63" s="33" t="inlineStr">
        <is>
          <t>INT!E46</t>
        </is>
      </c>
      <c r="E63" s="22" t="inlineStr">
        <is>
          <t>'=INT(C45)</t>
        </is>
      </c>
      <c r="F63" s="34">
        <f>INT('INT'!C45)</f>
        <v/>
      </c>
      <c r="G63" s="19" t="inlineStr">
        <is>
          <t>Bulatkan atau potong nilai desimal pada sel C45 (134.089) menggunakan fungsi INT tanpa argumen tambahan!</t>
        </is>
      </c>
    </row>
    <row r="64">
      <c r="A64" s="5" t="n">
        <v>60</v>
      </c>
      <c r="B64" s="8" t="inlineStr">
        <is>
          <t>INT</t>
        </is>
      </c>
      <c r="C64" s="6" t="inlineStr">
        <is>
          <t>Soal Tes #5</t>
        </is>
      </c>
      <c r="D64" s="33" t="inlineStr">
        <is>
          <t>INT!E54</t>
        </is>
      </c>
      <c r="E64" s="22" t="inlineStr">
        <is>
          <t>'=INT(C53)</t>
        </is>
      </c>
      <c r="F64" s="34">
        <f>INT('INT'!C53)</f>
        <v/>
      </c>
      <c r="G64" s="19" t="inlineStr">
        <is>
          <t>Bulatkan atau potong nilai desimal pada sel C53 (137.189) menggunakan fungsi INT tanpa argumen tambahan!</t>
        </is>
      </c>
    </row>
    <row r="65">
      <c r="A65" s="5" t="n">
        <v>61</v>
      </c>
      <c r="B65" s="8" t="inlineStr">
        <is>
          <t>TRUNC</t>
        </is>
      </c>
      <c r="C65" s="6" t="inlineStr">
        <is>
          <t>Soal Tes #1</t>
        </is>
      </c>
      <c r="D65" s="33" t="inlineStr">
        <is>
          <t>TRUNC!E22</t>
        </is>
      </c>
      <c r="E65" s="22" t="inlineStr">
        <is>
          <t>'=TRUNC(C21)</t>
        </is>
      </c>
      <c r="F65" s="34">
        <f>TRUNC('TRUNC'!C21)</f>
        <v/>
      </c>
      <c r="G65" s="19" t="inlineStr">
        <is>
          <t>Bulatkan atau potong nilai desimal pada sel C21 (124.789) menggunakan fungsi TRUNC tanpa argumen tambahan!</t>
        </is>
      </c>
    </row>
    <row r="66">
      <c r="A66" s="5" t="n">
        <v>62</v>
      </c>
      <c r="B66" s="8" t="inlineStr">
        <is>
          <t>TRUNC</t>
        </is>
      </c>
      <c r="C66" s="6" t="inlineStr">
        <is>
          <t>Soal Tes #2</t>
        </is>
      </c>
      <c r="D66" s="33" t="inlineStr">
        <is>
          <t>TRUNC!E30</t>
        </is>
      </c>
      <c r="E66" s="22" t="inlineStr">
        <is>
          <t>'=TRUNC(C29)</t>
        </is>
      </c>
      <c r="F66" s="34">
        <f>TRUNC('TRUNC'!C29)</f>
        <v/>
      </c>
      <c r="G66" s="19" t="inlineStr">
        <is>
          <t>Bulatkan atau potong nilai desimal pada sel C29 (127.889) menggunakan fungsi TRUNC tanpa argumen tambahan!</t>
        </is>
      </c>
    </row>
    <row r="67">
      <c r="A67" s="5" t="n">
        <v>63</v>
      </c>
      <c r="B67" s="8" t="inlineStr">
        <is>
          <t>TRUNC</t>
        </is>
      </c>
      <c r="C67" s="6" t="inlineStr">
        <is>
          <t>Soal Tes #3</t>
        </is>
      </c>
      <c r="D67" s="33" t="inlineStr">
        <is>
          <t>TRUNC!E38</t>
        </is>
      </c>
      <c r="E67" s="22" t="inlineStr">
        <is>
          <t>'=TRUNC(C37)</t>
        </is>
      </c>
      <c r="F67" s="34">
        <f>TRUNC('TRUNC'!C37)</f>
        <v/>
      </c>
      <c r="G67" s="19" t="inlineStr">
        <is>
          <t>Bulatkan atau potong nilai desimal pada sel C37 (130.989) menggunakan fungsi TRUNC tanpa argumen tambahan!</t>
        </is>
      </c>
    </row>
    <row r="68">
      <c r="A68" s="5" t="n">
        <v>64</v>
      </c>
      <c r="B68" s="8" t="inlineStr">
        <is>
          <t>TRUNC</t>
        </is>
      </c>
      <c r="C68" s="6" t="inlineStr">
        <is>
          <t>Soal Tes #4</t>
        </is>
      </c>
      <c r="D68" s="33" t="inlineStr">
        <is>
          <t>TRUNC!E46</t>
        </is>
      </c>
      <c r="E68" s="22" t="inlineStr">
        <is>
          <t>'=TRUNC(C45)</t>
        </is>
      </c>
      <c r="F68" s="34">
        <f>TRUNC('TRUNC'!C45)</f>
        <v/>
      </c>
      <c r="G68" s="19" t="inlineStr">
        <is>
          <t>Bulatkan atau potong nilai desimal pada sel C45 (134.089) menggunakan fungsi TRUNC tanpa argumen tambahan!</t>
        </is>
      </c>
    </row>
    <row r="69">
      <c r="A69" s="5" t="n">
        <v>65</v>
      </c>
      <c r="B69" s="8" t="inlineStr">
        <is>
          <t>TRUNC</t>
        </is>
      </c>
      <c r="C69" s="6" t="inlineStr">
        <is>
          <t>Soal Tes #5</t>
        </is>
      </c>
      <c r="D69" s="33" t="inlineStr">
        <is>
          <t>TRUNC!E54</t>
        </is>
      </c>
      <c r="E69" s="22" t="inlineStr">
        <is>
          <t>'=TRUNC(C53)</t>
        </is>
      </c>
      <c r="F69" s="34">
        <f>TRUNC('TRUNC'!C53)</f>
        <v/>
      </c>
      <c r="G69" s="19" t="inlineStr">
        <is>
          <t>Bulatkan atau potong nilai desimal pada sel C53 (137.189) menggunakan fungsi TRUNC tanpa argumen tambahan!</t>
        </is>
      </c>
    </row>
    <row r="70">
      <c r="A70" s="5" t="n">
        <v>66</v>
      </c>
      <c r="B70" s="8" t="inlineStr">
        <is>
          <t>MOD</t>
        </is>
      </c>
      <c r="C70" s="6" t="inlineStr">
        <is>
          <t>Soal Tes #1</t>
        </is>
      </c>
      <c r="D70" s="33" t="inlineStr">
        <is>
          <t>MOD!E22</t>
        </is>
      </c>
      <c r="E70" s="22" t="inlineStr">
        <is>
          <t>'=MOD(B21, C21)</t>
        </is>
      </c>
      <c r="F70" s="34">
        <f>MOD('MOD'!B21, 'MOD'!C21)</f>
        <v/>
      </c>
      <c r="G70" s="19" t="inlineStr">
        <is>
          <t>Terapkan fungsi MOD dengan mengambil angka pertama di sel B21 (25) dan angka kedua di sel C21 (4)!</t>
        </is>
      </c>
    </row>
    <row r="71">
      <c r="A71" s="5" t="n">
        <v>67</v>
      </c>
      <c r="B71" s="8" t="inlineStr">
        <is>
          <t>MOD</t>
        </is>
      </c>
      <c r="C71" s="6" t="inlineStr">
        <is>
          <t>Soal Tes #2</t>
        </is>
      </c>
      <c r="D71" s="33" t="inlineStr">
        <is>
          <t>MOD!E30</t>
        </is>
      </c>
      <c r="E71" s="22" t="inlineStr">
        <is>
          <t>'=MOD(B29, C29)</t>
        </is>
      </c>
      <c r="F71" s="34">
        <f>MOD('MOD'!B29, 'MOD'!C29)</f>
        <v/>
      </c>
      <c r="G71" s="19" t="inlineStr">
        <is>
          <t>Terapkan fungsi MOD dengan mengambil angka pertama di sel B29 (31) dan angka kedua di sel C29 (4)!</t>
        </is>
      </c>
    </row>
    <row r="72">
      <c r="A72" s="5" t="n">
        <v>68</v>
      </c>
      <c r="B72" s="8" t="inlineStr">
        <is>
          <t>MOD</t>
        </is>
      </c>
      <c r="C72" s="6" t="inlineStr">
        <is>
          <t>Soal Tes #3</t>
        </is>
      </c>
      <c r="D72" s="33" t="inlineStr">
        <is>
          <t>MOD!E38</t>
        </is>
      </c>
      <c r="E72" s="22" t="inlineStr">
        <is>
          <t>'=MOD(B37, C37)</t>
        </is>
      </c>
      <c r="F72" s="34">
        <f>MOD('MOD'!B37, 'MOD'!C37)</f>
        <v/>
      </c>
      <c r="G72" s="19" t="inlineStr">
        <is>
          <t>Terapkan fungsi MOD dengan mengambil angka pertama di sel B37 (37) dan angka kedua di sel C37 (4)!</t>
        </is>
      </c>
    </row>
    <row r="73">
      <c r="A73" s="5" t="n">
        <v>69</v>
      </c>
      <c r="B73" s="8" t="inlineStr">
        <is>
          <t>MOD</t>
        </is>
      </c>
      <c r="C73" s="6" t="inlineStr">
        <is>
          <t>Soal Tes #4</t>
        </is>
      </c>
      <c r="D73" s="33" t="inlineStr">
        <is>
          <t>MOD!E46</t>
        </is>
      </c>
      <c r="E73" s="22" t="inlineStr">
        <is>
          <t>'=MOD(B45, C45)</t>
        </is>
      </c>
      <c r="F73" s="34">
        <f>MOD('MOD'!B45, 'MOD'!C45)</f>
        <v/>
      </c>
      <c r="G73" s="19" t="inlineStr">
        <is>
          <t>Terapkan fungsi MOD dengan mengambil angka pertama di sel B45 (43) dan angka kedua di sel C45 (4)!</t>
        </is>
      </c>
    </row>
    <row r="74">
      <c r="A74" s="5" t="n">
        <v>70</v>
      </c>
      <c r="B74" s="8" t="inlineStr">
        <is>
          <t>MOD</t>
        </is>
      </c>
      <c r="C74" s="6" t="inlineStr">
        <is>
          <t>Soal Tes #5</t>
        </is>
      </c>
      <c r="D74" s="33" t="inlineStr">
        <is>
          <t>MOD!E54</t>
        </is>
      </c>
      <c r="E74" s="22" t="inlineStr">
        <is>
          <t>'=MOD(B53, C53)</t>
        </is>
      </c>
      <c r="F74" s="34">
        <f>MOD('MOD'!B53, 'MOD'!C53)</f>
        <v/>
      </c>
      <c r="G74" s="19" t="inlineStr">
        <is>
          <t>Terapkan fungsi MOD dengan mengambil angka pertama di sel B53 (49) dan angka kedua di sel C53 (4)!</t>
        </is>
      </c>
    </row>
    <row r="75">
      <c r="A75" s="5" t="n">
        <v>71</v>
      </c>
      <c r="B75" s="8" t="inlineStr">
        <is>
          <t>QUOTIENT</t>
        </is>
      </c>
      <c r="C75" s="6" t="inlineStr">
        <is>
          <t>Soal Tes #1</t>
        </is>
      </c>
      <c r="D75" s="33" t="inlineStr">
        <is>
          <t>QUOTIENT!E22</t>
        </is>
      </c>
      <c r="E75" s="22" t="inlineStr">
        <is>
          <t>'=QUOTIENT(B21, C21)</t>
        </is>
      </c>
      <c r="F75" s="34">
        <f>QUOTIENT('QUOTIENT'!B21, 'QUOTIENT'!C21)</f>
        <v/>
      </c>
      <c r="G75" s="19" t="inlineStr">
        <is>
          <t>Terapkan fungsi QUOTIENT dengan mengambil angka pertama di sel B21 (25) dan angka kedua di sel C21 (4)!</t>
        </is>
      </c>
    </row>
    <row r="76">
      <c r="A76" s="5" t="n">
        <v>72</v>
      </c>
      <c r="B76" s="8" t="inlineStr">
        <is>
          <t>QUOTIENT</t>
        </is>
      </c>
      <c r="C76" s="6" t="inlineStr">
        <is>
          <t>Soal Tes #2</t>
        </is>
      </c>
      <c r="D76" s="33" t="inlineStr">
        <is>
          <t>QUOTIENT!E30</t>
        </is>
      </c>
      <c r="E76" s="22" t="inlineStr">
        <is>
          <t>'=QUOTIENT(B29, C29)</t>
        </is>
      </c>
      <c r="F76" s="34">
        <f>QUOTIENT('QUOTIENT'!B29, 'QUOTIENT'!C29)</f>
        <v/>
      </c>
      <c r="G76" s="19" t="inlineStr">
        <is>
          <t>Terapkan fungsi QUOTIENT dengan mengambil angka pertama di sel B29 (31) dan angka kedua di sel C29 (4)!</t>
        </is>
      </c>
    </row>
    <row r="77">
      <c r="A77" s="5" t="n">
        <v>73</v>
      </c>
      <c r="B77" s="8" t="inlineStr">
        <is>
          <t>QUOTIENT</t>
        </is>
      </c>
      <c r="C77" s="6" t="inlineStr">
        <is>
          <t>Soal Tes #3</t>
        </is>
      </c>
      <c r="D77" s="33" t="inlineStr">
        <is>
          <t>QUOTIENT!E38</t>
        </is>
      </c>
      <c r="E77" s="22" t="inlineStr">
        <is>
          <t>'=QUOTIENT(B37, C37)</t>
        </is>
      </c>
      <c r="F77" s="34">
        <f>QUOTIENT('QUOTIENT'!B37, 'QUOTIENT'!C37)</f>
        <v/>
      </c>
      <c r="G77" s="19" t="inlineStr">
        <is>
          <t>Terapkan fungsi QUOTIENT dengan mengambil angka pertama di sel B37 (37) dan angka kedua di sel C37 (4)!</t>
        </is>
      </c>
    </row>
    <row r="78">
      <c r="A78" s="5" t="n">
        <v>74</v>
      </c>
      <c r="B78" s="8" t="inlineStr">
        <is>
          <t>QUOTIENT</t>
        </is>
      </c>
      <c r="C78" s="6" t="inlineStr">
        <is>
          <t>Soal Tes #4</t>
        </is>
      </c>
      <c r="D78" s="33" t="inlineStr">
        <is>
          <t>QUOTIENT!E46</t>
        </is>
      </c>
      <c r="E78" s="22" t="inlineStr">
        <is>
          <t>'=QUOTIENT(B45, C45)</t>
        </is>
      </c>
      <c r="F78" s="34">
        <f>QUOTIENT('QUOTIENT'!B45, 'QUOTIENT'!C45)</f>
        <v/>
      </c>
      <c r="G78" s="19" t="inlineStr">
        <is>
          <t>Terapkan fungsi QUOTIENT dengan mengambil angka pertama di sel B45 (43) dan angka kedua di sel C45 (4)!</t>
        </is>
      </c>
    </row>
    <row r="79">
      <c r="A79" s="5" t="n">
        <v>75</v>
      </c>
      <c r="B79" s="8" t="inlineStr">
        <is>
          <t>QUOTIENT</t>
        </is>
      </c>
      <c r="C79" s="6" t="inlineStr">
        <is>
          <t>Soal Tes #5</t>
        </is>
      </c>
      <c r="D79" s="33" t="inlineStr">
        <is>
          <t>QUOTIENT!E54</t>
        </is>
      </c>
      <c r="E79" s="22" t="inlineStr">
        <is>
          <t>'=QUOTIENT(B53, C53)</t>
        </is>
      </c>
      <c r="F79" s="34">
        <f>QUOTIENT('QUOTIENT'!B53, 'QUOTIENT'!C53)</f>
        <v/>
      </c>
      <c r="G79" s="19" t="inlineStr">
        <is>
          <t>Terapkan fungsi QUOTIENT dengan mengambil angka pertama di sel B53 (49) dan angka kedua di sel C53 (4)!</t>
        </is>
      </c>
    </row>
    <row r="80">
      <c r="A80" s="5" t="n">
        <v>76</v>
      </c>
      <c r="B80" s="8" t="inlineStr">
        <is>
          <t>ABS</t>
        </is>
      </c>
      <c r="C80" s="6" t="inlineStr">
        <is>
          <t>Soal Tes #1</t>
        </is>
      </c>
      <c r="D80" s="33" t="inlineStr">
        <is>
          <t>ABS!E22</t>
        </is>
      </c>
      <c r="E80" s="22" t="inlineStr">
        <is>
          <t>'=ABS(C21)</t>
        </is>
      </c>
      <c r="F80" s="34">
        <f>ABS('ABS'!C21)</f>
        <v/>
      </c>
      <c r="G80" s="19" t="inlineStr">
        <is>
          <t>Evaluasi nilai selisih pada sel C21 (-150) menggunakan fungsi ABS!</t>
        </is>
      </c>
    </row>
    <row r="81">
      <c r="A81" s="5" t="n">
        <v>77</v>
      </c>
      <c r="B81" s="8" t="inlineStr">
        <is>
          <t>ABS</t>
        </is>
      </c>
      <c r="C81" s="6" t="inlineStr">
        <is>
          <t>Soal Tes #2</t>
        </is>
      </c>
      <c r="D81" s="33" t="inlineStr">
        <is>
          <t>ABS!E30</t>
        </is>
      </c>
      <c r="E81" s="22" t="inlineStr">
        <is>
          <t>'=ABS(C29)</t>
        </is>
      </c>
      <c r="F81" s="34">
        <f>ABS('ABS'!C29)</f>
        <v/>
      </c>
      <c r="G81" s="19" t="inlineStr">
        <is>
          <t>Evaluasi nilai selisih pada sel C29 (-300) menggunakan fungsi ABS!</t>
        </is>
      </c>
    </row>
    <row r="82">
      <c r="A82" s="5" t="n">
        <v>78</v>
      </c>
      <c r="B82" s="8" t="inlineStr">
        <is>
          <t>ABS</t>
        </is>
      </c>
      <c r="C82" s="6" t="inlineStr">
        <is>
          <t>Soal Tes #3</t>
        </is>
      </c>
      <c r="D82" s="33" t="inlineStr">
        <is>
          <t>ABS!E38</t>
        </is>
      </c>
      <c r="E82" s="22" t="inlineStr">
        <is>
          <t>'=ABS(C37)</t>
        </is>
      </c>
      <c r="F82" s="34">
        <f>ABS('ABS'!C37)</f>
        <v/>
      </c>
      <c r="G82" s="19" t="inlineStr">
        <is>
          <t>Evaluasi nilai selisih pada sel C37 (-450) menggunakan fungsi ABS!</t>
        </is>
      </c>
    </row>
    <row r="83">
      <c r="A83" s="5" t="n">
        <v>79</v>
      </c>
      <c r="B83" s="8" t="inlineStr">
        <is>
          <t>ABS</t>
        </is>
      </c>
      <c r="C83" s="6" t="inlineStr">
        <is>
          <t>Soal Tes #4</t>
        </is>
      </c>
      <c r="D83" s="33" t="inlineStr">
        <is>
          <t>ABS!E46</t>
        </is>
      </c>
      <c r="E83" s="22" t="inlineStr">
        <is>
          <t>'=ABS(C45)</t>
        </is>
      </c>
      <c r="F83" s="34">
        <f>ABS('ABS'!C45)</f>
        <v/>
      </c>
      <c r="G83" s="19" t="inlineStr">
        <is>
          <t>Evaluasi nilai selisih pada sel C45 (-600) menggunakan fungsi ABS!</t>
        </is>
      </c>
    </row>
    <row r="84">
      <c r="A84" s="5" t="n">
        <v>80</v>
      </c>
      <c r="B84" s="8" t="inlineStr">
        <is>
          <t>ABS</t>
        </is>
      </c>
      <c r="C84" s="6" t="inlineStr">
        <is>
          <t>Soal Tes #5</t>
        </is>
      </c>
      <c r="D84" s="33" t="inlineStr">
        <is>
          <t>ABS!E54</t>
        </is>
      </c>
      <c r="E84" s="22" t="inlineStr">
        <is>
          <t>'=ABS(C53)</t>
        </is>
      </c>
      <c r="F84" s="34">
        <f>ABS('ABS'!C53)</f>
        <v/>
      </c>
      <c r="G84" s="19" t="inlineStr">
        <is>
          <t>Evaluasi nilai selisih pada sel C53 (-750) menggunakan fungsi ABS!</t>
        </is>
      </c>
    </row>
    <row r="85">
      <c r="A85" s="5" t="n">
        <v>81</v>
      </c>
      <c r="B85" s="8" t="inlineStr">
        <is>
          <t>POWER</t>
        </is>
      </c>
      <c r="C85" s="6" t="inlineStr">
        <is>
          <t>Soal Tes #1</t>
        </is>
      </c>
      <c r="D85" s="33" t="inlineStr">
        <is>
          <t>POWER!E22</t>
        </is>
      </c>
      <c r="E85" s="22" t="inlineStr">
        <is>
          <t>'=POWER(B21, C21)</t>
        </is>
      </c>
      <c r="F85" s="34">
        <f>POWER('POWER'!B21, 'POWER'!C21)</f>
        <v/>
      </c>
      <c r="G85" s="19" t="inlineStr">
        <is>
          <t>Terapkan fungsi POWER dengan mengambil angka pertama di sel B21 (25) dan angka kedua di sel C21 (3)!</t>
        </is>
      </c>
    </row>
    <row r="86">
      <c r="A86" s="5" t="n">
        <v>82</v>
      </c>
      <c r="B86" s="8" t="inlineStr">
        <is>
          <t>POWER</t>
        </is>
      </c>
      <c r="C86" s="6" t="inlineStr">
        <is>
          <t>Soal Tes #2</t>
        </is>
      </c>
      <c r="D86" s="33" t="inlineStr">
        <is>
          <t>POWER!E30</t>
        </is>
      </c>
      <c r="E86" s="22" t="inlineStr">
        <is>
          <t>'=POWER(B29, C29)</t>
        </is>
      </c>
      <c r="F86" s="34">
        <f>POWER('POWER'!B29, 'POWER'!C29)</f>
        <v/>
      </c>
      <c r="G86" s="19" t="inlineStr">
        <is>
          <t>Terapkan fungsi POWER dengan mengambil angka pertama di sel B29 (31) dan angka kedua di sel C29 (3)!</t>
        </is>
      </c>
    </row>
    <row r="87">
      <c r="A87" s="5" t="n">
        <v>83</v>
      </c>
      <c r="B87" s="8" t="inlineStr">
        <is>
          <t>POWER</t>
        </is>
      </c>
      <c r="C87" s="6" t="inlineStr">
        <is>
          <t>Soal Tes #3</t>
        </is>
      </c>
      <c r="D87" s="33" t="inlineStr">
        <is>
          <t>POWER!E38</t>
        </is>
      </c>
      <c r="E87" s="22" t="inlineStr">
        <is>
          <t>'=POWER(B37, C37)</t>
        </is>
      </c>
      <c r="F87" s="34">
        <f>POWER('POWER'!B37, 'POWER'!C37)</f>
        <v/>
      </c>
      <c r="G87" s="19" t="inlineStr">
        <is>
          <t>Terapkan fungsi POWER dengan mengambil angka pertama di sel B37 (37) dan angka kedua di sel C37 (3)!</t>
        </is>
      </c>
    </row>
    <row r="88">
      <c r="A88" s="5" t="n">
        <v>84</v>
      </c>
      <c r="B88" s="8" t="inlineStr">
        <is>
          <t>POWER</t>
        </is>
      </c>
      <c r="C88" s="6" t="inlineStr">
        <is>
          <t>Soal Tes #4</t>
        </is>
      </c>
      <c r="D88" s="33" t="inlineStr">
        <is>
          <t>POWER!E46</t>
        </is>
      </c>
      <c r="E88" s="22" t="inlineStr">
        <is>
          <t>'=POWER(B45, C45)</t>
        </is>
      </c>
      <c r="F88" s="34">
        <f>POWER('POWER'!B45, 'POWER'!C45)</f>
        <v/>
      </c>
      <c r="G88" s="19" t="inlineStr">
        <is>
          <t>Terapkan fungsi POWER dengan mengambil angka pertama di sel B45 (43) dan angka kedua di sel C45 (3)!</t>
        </is>
      </c>
    </row>
    <row r="89">
      <c r="A89" s="5" t="n">
        <v>85</v>
      </c>
      <c r="B89" s="8" t="inlineStr">
        <is>
          <t>POWER</t>
        </is>
      </c>
      <c r="C89" s="6" t="inlineStr">
        <is>
          <t>Soal Tes #5</t>
        </is>
      </c>
      <c r="D89" s="33" t="inlineStr">
        <is>
          <t>POWER!E54</t>
        </is>
      </c>
      <c r="E89" s="22" t="inlineStr">
        <is>
          <t>'=POWER(B53, C53)</t>
        </is>
      </c>
      <c r="F89" s="34">
        <f>POWER('POWER'!B53, 'POWER'!C53)</f>
        <v/>
      </c>
      <c r="G89" s="19" t="inlineStr">
        <is>
          <t>Terapkan fungsi POWER dengan mengambil angka pertama di sel B53 (49) dan angka kedua di sel C53 (3)!</t>
        </is>
      </c>
    </row>
    <row r="90">
      <c r="A90" s="5" t="n">
        <v>86</v>
      </c>
      <c r="B90" s="8" t="inlineStr">
        <is>
          <t>SQRT</t>
        </is>
      </c>
      <c r="C90" s="6" t="inlineStr">
        <is>
          <t>Soal Tes #1</t>
        </is>
      </c>
      <c r="D90" s="33" t="inlineStr">
        <is>
          <t>SQRT!E22</t>
        </is>
      </c>
      <c r="E90" s="22" t="inlineStr">
        <is>
          <t>'=SQRT(C21)</t>
        </is>
      </c>
      <c r="F90" s="34">
        <f>SQRT('SQRT'!C21)</f>
        <v/>
      </c>
      <c r="G90" s="19" t="inlineStr">
        <is>
          <t>Hitung hasil fungsi SQRT untuk nilai input pada sel C21 (16)!</t>
        </is>
      </c>
    </row>
    <row r="91">
      <c r="A91" s="5" t="n">
        <v>87</v>
      </c>
      <c r="B91" s="8" t="inlineStr">
        <is>
          <t>SQRT</t>
        </is>
      </c>
      <c r="C91" s="6" t="inlineStr">
        <is>
          <t>Soal Tes #2</t>
        </is>
      </c>
      <c r="D91" s="33" t="inlineStr">
        <is>
          <t>SQRT!E30</t>
        </is>
      </c>
      <c r="E91" s="22" t="inlineStr">
        <is>
          <t>'=SQRT(C29)</t>
        </is>
      </c>
      <c r="F91" s="34">
        <f>SQRT('SQRT'!C29)</f>
        <v/>
      </c>
      <c r="G91" s="19" t="inlineStr">
        <is>
          <t>Hitung hasil fungsi SQRT untuk nilai input pada sel C29 (25)!</t>
        </is>
      </c>
    </row>
    <row r="92">
      <c r="A92" s="5" t="n">
        <v>88</v>
      </c>
      <c r="B92" s="8" t="inlineStr">
        <is>
          <t>SQRT</t>
        </is>
      </c>
      <c r="C92" s="6" t="inlineStr">
        <is>
          <t>Soal Tes #3</t>
        </is>
      </c>
      <c r="D92" s="33" t="inlineStr">
        <is>
          <t>SQRT!E38</t>
        </is>
      </c>
      <c r="E92" s="22" t="inlineStr">
        <is>
          <t>'=SQRT(C37)</t>
        </is>
      </c>
      <c r="F92" s="34">
        <f>SQRT('SQRT'!C37)</f>
        <v/>
      </c>
      <c r="G92" s="19" t="inlineStr">
        <is>
          <t>Hitung hasil fungsi SQRT untuk nilai input pada sel C37 (36)!</t>
        </is>
      </c>
    </row>
    <row r="93">
      <c r="A93" s="5" t="n">
        <v>89</v>
      </c>
      <c r="B93" s="8" t="inlineStr">
        <is>
          <t>SQRT</t>
        </is>
      </c>
      <c r="C93" s="6" t="inlineStr">
        <is>
          <t>Soal Tes #4</t>
        </is>
      </c>
      <c r="D93" s="33" t="inlineStr">
        <is>
          <t>SQRT!E46</t>
        </is>
      </c>
      <c r="E93" s="22" t="inlineStr">
        <is>
          <t>'=SQRT(C45)</t>
        </is>
      </c>
      <c r="F93" s="34">
        <f>SQRT('SQRT'!C45)</f>
        <v/>
      </c>
      <c r="G93" s="19" t="inlineStr">
        <is>
          <t>Hitung hasil fungsi SQRT untuk nilai input pada sel C45 (49)!</t>
        </is>
      </c>
    </row>
    <row r="94">
      <c r="A94" s="5" t="n">
        <v>90</v>
      </c>
      <c r="B94" s="8" t="inlineStr">
        <is>
          <t>SQRT</t>
        </is>
      </c>
      <c r="C94" s="6" t="inlineStr">
        <is>
          <t>Soal Tes #5</t>
        </is>
      </c>
      <c r="D94" s="33" t="inlineStr">
        <is>
          <t>SQRT!E54</t>
        </is>
      </c>
      <c r="E94" s="22" t="inlineStr">
        <is>
          <t>'=SQRT(C53)</t>
        </is>
      </c>
      <c r="F94" s="34">
        <f>SQRT('SQRT'!C53)</f>
        <v/>
      </c>
      <c r="G94" s="19" t="inlineStr">
        <is>
          <t>Hitung hasil fungsi SQRT untuk nilai input pada sel C53 (64)!</t>
        </is>
      </c>
    </row>
    <row r="95">
      <c r="A95" s="5" t="n">
        <v>91</v>
      </c>
      <c r="B95" s="8" t="inlineStr">
        <is>
          <t>SUBTOTAL</t>
        </is>
      </c>
      <c r="C95" s="6" t="inlineStr">
        <is>
          <t>Soal Tes #1</t>
        </is>
      </c>
      <c r="D95" s="33" t="inlineStr">
        <is>
          <t>SUBTOTAL!E22</t>
        </is>
      </c>
      <c r="E95" s="22" t="inlineStr">
        <is>
          <t>'=SUBTOTAL(9, C21:C24)</t>
        </is>
      </c>
      <c r="F95" s="34">
        <f>SUBTOTAL(9, 'SUBTOTAL'!C21:C24)</f>
        <v/>
      </c>
      <c r="G95" s="19" t="inlineStr">
        <is>
          <t>Hitung total penjumlahan dinamis dengan kode fungsi 9 pada rentang C21:C24 menggunakan fungsi SUBTOTAL!</t>
        </is>
      </c>
    </row>
    <row r="96">
      <c r="A96" s="5" t="n">
        <v>92</v>
      </c>
      <c r="B96" s="8" t="inlineStr">
        <is>
          <t>SUBTOTAL</t>
        </is>
      </c>
      <c r="C96" s="6" t="inlineStr">
        <is>
          <t>Soal Tes #2</t>
        </is>
      </c>
      <c r="D96" s="33" t="inlineStr">
        <is>
          <t>SUBTOTAL!E30</t>
        </is>
      </c>
      <c r="E96" s="22" t="inlineStr">
        <is>
          <t>'=SUBTOTAL(9, C29:C32)</t>
        </is>
      </c>
      <c r="F96" s="34">
        <f>SUBTOTAL(9, 'SUBTOTAL'!C29:C32)</f>
        <v/>
      </c>
      <c r="G96" s="19" t="inlineStr">
        <is>
          <t>Hitung total penjumlahan dinamis dengan kode fungsi 9 pada rentang C29:C32 menggunakan fungsi SUBTOTAL!</t>
        </is>
      </c>
    </row>
    <row r="97">
      <c r="A97" s="5" t="n">
        <v>93</v>
      </c>
      <c r="B97" s="8" t="inlineStr">
        <is>
          <t>SUBTOTAL</t>
        </is>
      </c>
      <c r="C97" s="6" t="inlineStr">
        <is>
          <t>Soal Tes #3</t>
        </is>
      </c>
      <c r="D97" s="33" t="inlineStr">
        <is>
          <t>SUBTOTAL!E38</t>
        </is>
      </c>
      <c r="E97" s="22" t="inlineStr">
        <is>
          <t>'=SUBTOTAL(9, C37:C40)</t>
        </is>
      </c>
      <c r="F97" s="34">
        <f>SUBTOTAL(9, 'SUBTOTAL'!C37:C40)</f>
        <v/>
      </c>
      <c r="G97" s="19" t="inlineStr">
        <is>
          <t>Hitung total penjumlahan dinamis dengan kode fungsi 9 pada rentang C37:C40 menggunakan fungsi SUBTOTAL!</t>
        </is>
      </c>
    </row>
    <row r="98">
      <c r="A98" s="5" t="n">
        <v>94</v>
      </c>
      <c r="B98" s="8" t="inlineStr">
        <is>
          <t>SUBTOTAL</t>
        </is>
      </c>
      <c r="C98" s="6" t="inlineStr">
        <is>
          <t>Soal Tes #4</t>
        </is>
      </c>
      <c r="D98" s="33" t="inlineStr">
        <is>
          <t>SUBTOTAL!E46</t>
        </is>
      </c>
      <c r="E98" s="22" t="inlineStr">
        <is>
          <t>'=SUBTOTAL(9, C45:C48)</t>
        </is>
      </c>
      <c r="F98" s="34">
        <f>SUBTOTAL(9, 'SUBTOTAL'!C45:C48)</f>
        <v/>
      </c>
      <c r="G98" s="19" t="inlineStr">
        <is>
          <t>Hitung total penjumlahan dinamis dengan kode fungsi 9 pada rentang C45:C48 menggunakan fungsi SUBTOTAL!</t>
        </is>
      </c>
    </row>
    <row r="99">
      <c r="A99" s="5" t="n">
        <v>95</v>
      </c>
      <c r="B99" s="8" t="inlineStr">
        <is>
          <t>SUBTOTAL</t>
        </is>
      </c>
      <c r="C99" s="6" t="inlineStr">
        <is>
          <t>Soal Tes #5</t>
        </is>
      </c>
      <c r="D99" s="33" t="inlineStr">
        <is>
          <t>SUBTOTAL!E54</t>
        </is>
      </c>
      <c r="E99" s="22" t="inlineStr">
        <is>
          <t>'=SUBTOTAL(9, C53:C56)</t>
        </is>
      </c>
      <c r="F99" s="34">
        <f>SUBTOTAL(9, 'SUBTOTAL'!C53:C56)</f>
        <v/>
      </c>
      <c r="G99" s="19" t="inlineStr">
        <is>
          <t>Hitung total penjumlahan dinamis dengan kode fungsi 9 pada rentang C53:C56 menggunakan fungsi SUBTOTAL!</t>
        </is>
      </c>
    </row>
    <row r="100">
      <c r="A100" s="5" t="n">
        <v>96</v>
      </c>
      <c r="B100" s="8" t="inlineStr">
        <is>
          <t>AGGREGATE</t>
        </is>
      </c>
      <c r="C100" s="6" t="inlineStr">
        <is>
          <t>Soal Tes #1</t>
        </is>
      </c>
      <c r="D100" s="33" t="inlineStr">
        <is>
          <t>AGGREGATE!E22</t>
        </is>
      </c>
      <c r="E100" s="22" t="inlineStr">
        <is>
          <t>'=AGGREGATE(9, 6, C21:C24)</t>
        </is>
      </c>
      <c r="F100" s="34">
        <f>AGGREGATE(9, 6, 'AGGREGATE'!C21:C24)</f>
        <v/>
      </c>
      <c r="G100" s="19" t="inlineStr">
        <is>
          <t>Hitung penjumlahan (kode fungsi 9) dengan opsi abaikan error (kode opsi 6) pada rentang C21:C24 menggunakan fungsi AGGREGATE!</t>
        </is>
      </c>
    </row>
    <row r="101">
      <c r="A101" s="5" t="n">
        <v>97</v>
      </c>
      <c r="B101" s="8" t="inlineStr">
        <is>
          <t>AGGREGATE</t>
        </is>
      </c>
      <c r="C101" s="6" t="inlineStr">
        <is>
          <t>Soal Tes #2</t>
        </is>
      </c>
      <c r="D101" s="33" t="inlineStr">
        <is>
          <t>AGGREGATE!E30</t>
        </is>
      </c>
      <c r="E101" s="22" t="inlineStr">
        <is>
          <t>'=AGGREGATE(9, 6, C29:C32)</t>
        </is>
      </c>
      <c r="F101" s="34">
        <f>AGGREGATE(9, 6, 'AGGREGATE'!C29:C32)</f>
        <v/>
      </c>
      <c r="G101" s="19" t="inlineStr">
        <is>
          <t>Hitung penjumlahan (kode fungsi 9) dengan opsi abaikan error (kode opsi 6) pada rentang C29:C32 menggunakan fungsi AGGREGATE!</t>
        </is>
      </c>
    </row>
    <row r="102">
      <c r="A102" s="5" t="n">
        <v>98</v>
      </c>
      <c r="B102" s="8" t="inlineStr">
        <is>
          <t>AGGREGATE</t>
        </is>
      </c>
      <c r="C102" s="6" t="inlineStr">
        <is>
          <t>Soal Tes #3</t>
        </is>
      </c>
      <c r="D102" s="33" t="inlineStr">
        <is>
          <t>AGGREGATE!E38</t>
        </is>
      </c>
      <c r="E102" s="22" t="inlineStr">
        <is>
          <t>'=AGGREGATE(9, 6, C37:C40)</t>
        </is>
      </c>
      <c r="F102" s="34">
        <f>AGGREGATE(9, 6, 'AGGREGATE'!C37:C40)</f>
        <v/>
      </c>
      <c r="G102" s="19" t="inlineStr">
        <is>
          <t>Hitung penjumlahan (kode fungsi 9) dengan opsi abaikan error (kode opsi 6) pada rentang C37:C40 menggunakan fungsi AGGREGATE!</t>
        </is>
      </c>
    </row>
    <row r="103">
      <c r="A103" s="5" t="n">
        <v>99</v>
      </c>
      <c r="B103" s="8" t="inlineStr">
        <is>
          <t>AGGREGATE</t>
        </is>
      </c>
      <c r="C103" s="6" t="inlineStr">
        <is>
          <t>Soal Tes #4</t>
        </is>
      </c>
      <c r="D103" s="33" t="inlineStr">
        <is>
          <t>AGGREGATE!E46</t>
        </is>
      </c>
      <c r="E103" s="22" t="inlineStr">
        <is>
          <t>'=AGGREGATE(9, 6, C45:C48)</t>
        </is>
      </c>
      <c r="F103" s="34">
        <f>AGGREGATE(9, 6, 'AGGREGATE'!C45:C48)</f>
        <v/>
      </c>
      <c r="G103" s="19" t="inlineStr">
        <is>
          <t>Hitung penjumlahan (kode fungsi 9) dengan opsi abaikan error (kode opsi 6) pada rentang C45:C48 menggunakan fungsi AGGREGATE!</t>
        </is>
      </c>
    </row>
    <row r="104">
      <c r="A104" s="5" t="n">
        <v>100</v>
      </c>
      <c r="B104" s="8" t="inlineStr">
        <is>
          <t>AGGREGATE</t>
        </is>
      </c>
      <c r="C104" s="6" t="inlineStr">
        <is>
          <t>Soal Tes #5</t>
        </is>
      </c>
      <c r="D104" s="33" t="inlineStr">
        <is>
          <t>AGGREGATE!E54</t>
        </is>
      </c>
      <c r="E104" s="22" t="inlineStr">
        <is>
          <t>'=AGGREGATE(9, 6, C53:C56)</t>
        </is>
      </c>
      <c r="F104" s="34">
        <f>AGGREGATE(9, 6, 'AGGREGATE'!C53:C56)</f>
        <v/>
      </c>
      <c r="G104" s="19" t="inlineStr">
        <is>
          <t>Hitung penjumlahan (kode fungsi 9) dengan opsi abaikan error (kode opsi 6) pada rentang C53:C56 menggunakan fungsi AGGREGATE!</t>
        </is>
      </c>
    </row>
    <row r="105">
      <c r="A105" s="5" t="n">
        <v>101</v>
      </c>
      <c r="B105" s="8" t="inlineStr">
        <is>
          <t>RANDBETWEEN</t>
        </is>
      </c>
      <c r="C105" s="6" t="inlineStr">
        <is>
          <t>Soal Tes #1</t>
        </is>
      </c>
      <c r="D105" s="33" t="inlineStr">
        <is>
          <t>RANDBETWEEN!E22</t>
        </is>
      </c>
      <c r="E105" s="22" t="inlineStr">
        <is>
          <t>'=RANDBETWEEN(C21, C21)</t>
        </is>
      </c>
      <c r="F105" s="34">
        <f>RANDBETWEEN('RANDBETWEEN'!C21, 'RANDBETWEEN'!C21)</f>
        <v/>
      </c>
      <c r="G105" s="19" t="inlineStr">
        <is>
          <t>Gunakan fungsi RANDBETWEEN dengan batas bawah di sel C21 dan batas atas di sel C21!</t>
        </is>
      </c>
    </row>
    <row r="106">
      <c r="A106" s="5" t="n">
        <v>102</v>
      </c>
      <c r="B106" s="8" t="inlineStr">
        <is>
          <t>RANDBETWEEN</t>
        </is>
      </c>
      <c r="C106" s="6" t="inlineStr">
        <is>
          <t>Soal Tes #2</t>
        </is>
      </c>
      <c r="D106" s="33" t="inlineStr">
        <is>
          <t>RANDBETWEEN!E30</t>
        </is>
      </c>
      <c r="E106" s="22" t="inlineStr">
        <is>
          <t>'=RANDBETWEEN(C29, C29)</t>
        </is>
      </c>
      <c r="F106" s="34">
        <f>RANDBETWEEN('RANDBETWEEN'!C29, 'RANDBETWEEN'!C29)</f>
        <v/>
      </c>
      <c r="G106" s="19" t="inlineStr">
        <is>
          <t>Gunakan fungsi RANDBETWEEN dengan batas bawah di sel C29 dan batas atas di sel C29!</t>
        </is>
      </c>
    </row>
    <row r="107">
      <c r="A107" s="5" t="n">
        <v>103</v>
      </c>
      <c r="B107" s="8" t="inlineStr">
        <is>
          <t>RANDBETWEEN</t>
        </is>
      </c>
      <c r="C107" s="6" t="inlineStr">
        <is>
          <t>Soal Tes #3</t>
        </is>
      </c>
      <c r="D107" s="33" t="inlineStr">
        <is>
          <t>RANDBETWEEN!E38</t>
        </is>
      </c>
      <c r="E107" s="22" t="inlineStr">
        <is>
          <t>'=RANDBETWEEN(C37, C37)</t>
        </is>
      </c>
      <c r="F107" s="34">
        <f>RANDBETWEEN('RANDBETWEEN'!C37, 'RANDBETWEEN'!C37)</f>
        <v/>
      </c>
      <c r="G107" s="19" t="inlineStr">
        <is>
          <t>Gunakan fungsi RANDBETWEEN dengan batas bawah di sel C37 dan batas atas di sel C37!</t>
        </is>
      </c>
    </row>
    <row r="108">
      <c r="A108" s="5" t="n">
        <v>104</v>
      </c>
      <c r="B108" s="8" t="inlineStr">
        <is>
          <t>RANDBETWEEN</t>
        </is>
      </c>
      <c r="C108" s="6" t="inlineStr">
        <is>
          <t>Soal Tes #4</t>
        </is>
      </c>
      <c r="D108" s="33" t="inlineStr">
        <is>
          <t>RANDBETWEEN!E46</t>
        </is>
      </c>
      <c r="E108" s="22" t="inlineStr">
        <is>
          <t>'=RANDBETWEEN(C45, C45)</t>
        </is>
      </c>
      <c r="F108" s="34">
        <f>RANDBETWEEN('RANDBETWEEN'!C45, 'RANDBETWEEN'!C45)</f>
        <v/>
      </c>
      <c r="G108" s="19" t="inlineStr">
        <is>
          <t>Gunakan fungsi RANDBETWEEN dengan batas bawah di sel C45 dan batas atas di sel C45!</t>
        </is>
      </c>
    </row>
    <row r="109">
      <c r="A109" s="5" t="n">
        <v>105</v>
      </c>
      <c r="B109" s="8" t="inlineStr">
        <is>
          <t>RANDBETWEEN</t>
        </is>
      </c>
      <c r="C109" s="6" t="inlineStr">
        <is>
          <t>Soal Tes #5</t>
        </is>
      </c>
      <c r="D109" s="33" t="inlineStr">
        <is>
          <t>RANDBETWEEN!E54</t>
        </is>
      </c>
      <c r="E109" s="22" t="inlineStr">
        <is>
          <t>'=RANDBETWEEN(C53, C53)</t>
        </is>
      </c>
      <c r="F109" s="34">
        <f>RANDBETWEEN('RANDBETWEEN'!C53, 'RANDBETWEEN'!C53)</f>
        <v/>
      </c>
      <c r="G109" s="19" t="inlineStr">
        <is>
          <t>Gunakan fungsi RANDBETWEEN dengan batas bawah di sel C53 dan batas atas di sel C53!</t>
        </is>
      </c>
    </row>
    <row r="110">
      <c r="A110" s="5" t="n">
        <v>106</v>
      </c>
      <c r="B110" s="8" t="inlineStr">
        <is>
          <t>SIGN</t>
        </is>
      </c>
      <c r="C110" s="6" t="inlineStr">
        <is>
          <t>Soal Tes #1</t>
        </is>
      </c>
      <c r="D110" s="33" t="inlineStr">
        <is>
          <t>SIGN!E22</t>
        </is>
      </c>
      <c r="E110" s="22" t="inlineStr">
        <is>
          <t>'=SIGN(C21)</t>
        </is>
      </c>
      <c r="F110" s="34">
        <f>SIGN('SIGN'!C21)</f>
        <v/>
      </c>
      <c r="G110" s="19" t="inlineStr">
        <is>
          <t>Evaluasi nilai selisih pada sel C21 (-150) menggunakan fungsi SIGN!</t>
        </is>
      </c>
    </row>
    <row r="111">
      <c r="A111" s="5" t="n">
        <v>107</v>
      </c>
      <c r="B111" s="8" t="inlineStr">
        <is>
          <t>SIGN</t>
        </is>
      </c>
      <c r="C111" s="6" t="inlineStr">
        <is>
          <t>Soal Tes #2</t>
        </is>
      </c>
      <c r="D111" s="33" t="inlineStr">
        <is>
          <t>SIGN!E30</t>
        </is>
      </c>
      <c r="E111" s="22" t="inlineStr">
        <is>
          <t>'=SIGN(C29)</t>
        </is>
      </c>
      <c r="F111" s="34">
        <f>SIGN('SIGN'!C29)</f>
        <v/>
      </c>
      <c r="G111" s="19" t="inlineStr">
        <is>
          <t>Evaluasi nilai selisih pada sel C29 (-300) menggunakan fungsi SIGN!</t>
        </is>
      </c>
    </row>
    <row r="112">
      <c r="A112" s="5" t="n">
        <v>108</v>
      </c>
      <c r="B112" s="8" t="inlineStr">
        <is>
          <t>SIGN</t>
        </is>
      </c>
      <c r="C112" s="6" t="inlineStr">
        <is>
          <t>Soal Tes #3</t>
        </is>
      </c>
      <c r="D112" s="33" t="inlineStr">
        <is>
          <t>SIGN!E38</t>
        </is>
      </c>
      <c r="E112" s="22" t="inlineStr">
        <is>
          <t>'=SIGN(C37)</t>
        </is>
      </c>
      <c r="F112" s="34">
        <f>SIGN('SIGN'!C37)</f>
        <v/>
      </c>
      <c r="G112" s="19" t="inlineStr">
        <is>
          <t>Evaluasi nilai selisih pada sel C37 (-450) menggunakan fungsi SIGN!</t>
        </is>
      </c>
    </row>
    <row r="113">
      <c r="A113" s="5" t="n">
        <v>109</v>
      </c>
      <c r="B113" s="8" t="inlineStr">
        <is>
          <t>SIGN</t>
        </is>
      </c>
      <c r="C113" s="6" t="inlineStr">
        <is>
          <t>Soal Tes #4</t>
        </is>
      </c>
      <c r="D113" s="33" t="inlineStr">
        <is>
          <t>SIGN!E46</t>
        </is>
      </c>
      <c r="E113" s="22" t="inlineStr">
        <is>
          <t>'=SIGN(C45)</t>
        </is>
      </c>
      <c r="F113" s="34">
        <f>SIGN('SIGN'!C45)</f>
        <v/>
      </c>
      <c r="G113" s="19" t="inlineStr">
        <is>
          <t>Evaluasi nilai selisih pada sel C45 (-600) menggunakan fungsi SIGN!</t>
        </is>
      </c>
    </row>
    <row r="114">
      <c r="A114" s="5" t="n">
        <v>110</v>
      </c>
      <c r="B114" s="8" t="inlineStr">
        <is>
          <t>SIGN</t>
        </is>
      </c>
      <c r="C114" s="6" t="inlineStr">
        <is>
          <t>Soal Tes #5</t>
        </is>
      </c>
      <c r="D114" s="33" t="inlineStr">
        <is>
          <t>SIGN!E54</t>
        </is>
      </c>
      <c r="E114" s="22" t="inlineStr">
        <is>
          <t>'=SIGN(C53)</t>
        </is>
      </c>
      <c r="F114" s="34">
        <f>SIGN('SIGN'!C53)</f>
        <v/>
      </c>
      <c r="G114" s="19" t="inlineStr">
        <is>
          <t>Evaluasi nilai selisih pada sel C53 (-750) menggunakan fungsi SIGN!</t>
        </is>
      </c>
    </row>
    <row r="115">
      <c r="A115" s="5" t="n">
        <v>111</v>
      </c>
      <c r="B115" s="8" t="inlineStr">
        <is>
          <t>EVEN</t>
        </is>
      </c>
      <c r="C115" s="6" t="inlineStr">
        <is>
          <t>Soal Tes #1</t>
        </is>
      </c>
      <c r="D115" s="33" t="inlineStr">
        <is>
          <t>EVEN!E22</t>
        </is>
      </c>
      <c r="E115" s="22" t="inlineStr">
        <is>
          <t>'=EVEN(C21)</t>
        </is>
      </c>
      <c r="F115" s="34">
        <f>EVEN('EVEN'!C21)</f>
        <v/>
      </c>
      <c r="G115" s="19" t="inlineStr">
        <is>
          <t>Bulatkan atau potong nilai desimal pada sel C21 (124.789) menggunakan fungsi EVEN tanpa argumen tambahan!</t>
        </is>
      </c>
    </row>
    <row r="116">
      <c r="A116" s="5" t="n">
        <v>112</v>
      </c>
      <c r="B116" s="8" t="inlineStr">
        <is>
          <t>EVEN</t>
        </is>
      </c>
      <c r="C116" s="6" t="inlineStr">
        <is>
          <t>Soal Tes #2</t>
        </is>
      </c>
      <c r="D116" s="33" t="inlineStr">
        <is>
          <t>EVEN!E30</t>
        </is>
      </c>
      <c r="E116" s="22" t="inlineStr">
        <is>
          <t>'=EVEN(C29)</t>
        </is>
      </c>
      <c r="F116" s="34">
        <f>EVEN('EVEN'!C29)</f>
        <v/>
      </c>
      <c r="G116" s="19" t="inlineStr">
        <is>
          <t>Bulatkan atau potong nilai desimal pada sel C29 (127.889) menggunakan fungsi EVEN tanpa argumen tambahan!</t>
        </is>
      </c>
    </row>
    <row r="117">
      <c r="A117" s="5" t="n">
        <v>113</v>
      </c>
      <c r="B117" s="8" t="inlineStr">
        <is>
          <t>EVEN</t>
        </is>
      </c>
      <c r="C117" s="6" t="inlineStr">
        <is>
          <t>Soal Tes #3</t>
        </is>
      </c>
      <c r="D117" s="33" t="inlineStr">
        <is>
          <t>EVEN!E38</t>
        </is>
      </c>
      <c r="E117" s="22" t="inlineStr">
        <is>
          <t>'=EVEN(C37)</t>
        </is>
      </c>
      <c r="F117" s="34">
        <f>EVEN('EVEN'!C37)</f>
        <v/>
      </c>
      <c r="G117" s="19" t="inlineStr">
        <is>
          <t>Bulatkan atau potong nilai desimal pada sel C37 (130.989) menggunakan fungsi EVEN tanpa argumen tambahan!</t>
        </is>
      </c>
    </row>
    <row r="118">
      <c r="A118" s="5" t="n">
        <v>114</v>
      </c>
      <c r="B118" s="8" t="inlineStr">
        <is>
          <t>EVEN</t>
        </is>
      </c>
      <c r="C118" s="6" t="inlineStr">
        <is>
          <t>Soal Tes #4</t>
        </is>
      </c>
      <c r="D118" s="33" t="inlineStr">
        <is>
          <t>EVEN!E46</t>
        </is>
      </c>
      <c r="E118" s="22" t="inlineStr">
        <is>
          <t>'=EVEN(C45)</t>
        </is>
      </c>
      <c r="F118" s="34">
        <f>EVEN('EVEN'!C45)</f>
        <v/>
      </c>
      <c r="G118" s="19" t="inlineStr">
        <is>
          <t>Bulatkan atau potong nilai desimal pada sel C45 (134.089) menggunakan fungsi EVEN tanpa argumen tambahan!</t>
        </is>
      </c>
    </row>
    <row r="119">
      <c r="A119" s="5" t="n">
        <v>115</v>
      </c>
      <c r="B119" s="8" t="inlineStr">
        <is>
          <t>EVEN</t>
        </is>
      </c>
      <c r="C119" s="6" t="inlineStr">
        <is>
          <t>Soal Tes #5</t>
        </is>
      </c>
      <c r="D119" s="33" t="inlineStr">
        <is>
          <t>EVEN!E54</t>
        </is>
      </c>
      <c r="E119" s="22" t="inlineStr">
        <is>
          <t>'=EVEN(C53)</t>
        </is>
      </c>
      <c r="F119" s="34">
        <f>EVEN('EVEN'!C53)</f>
        <v/>
      </c>
      <c r="G119" s="19" t="inlineStr">
        <is>
          <t>Bulatkan atau potong nilai desimal pada sel C53 (137.189) menggunakan fungsi EVEN tanpa argumen tambahan!</t>
        </is>
      </c>
    </row>
    <row r="120">
      <c r="A120" s="5" t="n">
        <v>116</v>
      </c>
      <c r="B120" s="8" t="inlineStr">
        <is>
          <t>ODD</t>
        </is>
      </c>
      <c r="C120" s="6" t="inlineStr">
        <is>
          <t>Soal Tes #1</t>
        </is>
      </c>
      <c r="D120" s="33" t="inlineStr">
        <is>
          <t>ODD!E22</t>
        </is>
      </c>
      <c r="E120" s="22" t="inlineStr">
        <is>
          <t>'=ODD(C21)</t>
        </is>
      </c>
      <c r="F120" s="34">
        <f>ODD('ODD'!C21)</f>
        <v/>
      </c>
      <c r="G120" s="19" t="inlineStr">
        <is>
          <t>Bulatkan atau potong nilai desimal pada sel C21 (124.789) menggunakan fungsi ODD tanpa argumen tambahan!</t>
        </is>
      </c>
    </row>
    <row r="121">
      <c r="A121" s="5" t="n">
        <v>117</v>
      </c>
      <c r="B121" s="8" t="inlineStr">
        <is>
          <t>ODD</t>
        </is>
      </c>
      <c r="C121" s="6" t="inlineStr">
        <is>
          <t>Soal Tes #2</t>
        </is>
      </c>
      <c r="D121" s="33" t="inlineStr">
        <is>
          <t>ODD!E30</t>
        </is>
      </c>
      <c r="E121" s="22" t="inlineStr">
        <is>
          <t>'=ODD(C29)</t>
        </is>
      </c>
      <c r="F121" s="34">
        <f>ODD('ODD'!C29)</f>
        <v/>
      </c>
      <c r="G121" s="19" t="inlineStr">
        <is>
          <t>Bulatkan atau potong nilai desimal pada sel C29 (127.889) menggunakan fungsi ODD tanpa argumen tambahan!</t>
        </is>
      </c>
    </row>
    <row r="122">
      <c r="A122" s="5" t="n">
        <v>118</v>
      </c>
      <c r="B122" s="8" t="inlineStr">
        <is>
          <t>ODD</t>
        </is>
      </c>
      <c r="C122" s="6" t="inlineStr">
        <is>
          <t>Soal Tes #3</t>
        </is>
      </c>
      <c r="D122" s="33" t="inlineStr">
        <is>
          <t>ODD!E38</t>
        </is>
      </c>
      <c r="E122" s="22" t="inlineStr">
        <is>
          <t>'=ODD(C37)</t>
        </is>
      </c>
      <c r="F122" s="34">
        <f>ODD('ODD'!C37)</f>
        <v/>
      </c>
      <c r="G122" s="19" t="inlineStr">
        <is>
          <t>Bulatkan atau potong nilai desimal pada sel C37 (130.989) menggunakan fungsi ODD tanpa argumen tambahan!</t>
        </is>
      </c>
    </row>
    <row r="123">
      <c r="A123" s="5" t="n">
        <v>119</v>
      </c>
      <c r="B123" s="8" t="inlineStr">
        <is>
          <t>ODD</t>
        </is>
      </c>
      <c r="C123" s="6" t="inlineStr">
        <is>
          <t>Soal Tes #4</t>
        </is>
      </c>
      <c r="D123" s="33" t="inlineStr">
        <is>
          <t>ODD!E46</t>
        </is>
      </c>
      <c r="E123" s="22" t="inlineStr">
        <is>
          <t>'=ODD(C45)</t>
        </is>
      </c>
      <c r="F123" s="34">
        <f>ODD('ODD'!C45)</f>
        <v/>
      </c>
      <c r="G123" s="19" t="inlineStr">
        <is>
          <t>Bulatkan atau potong nilai desimal pada sel C45 (134.089) menggunakan fungsi ODD tanpa argumen tambahan!</t>
        </is>
      </c>
    </row>
    <row r="124">
      <c r="A124" s="5" t="n">
        <v>120</v>
      </c>
      <c r="B124" s="8" t="inlineStr">
        <is>
          <t>ODD</t>
        </is>
      </c>
      <c r="C124" s="6" t="inlineStr">
        <is>
          <t>Soal Tes #5</t>
        </is>
      </c>
      <c r="D124" s="33" t="inlineStr">
        <is>
          <t>ODD!E54</t>
        </is>
      </c>
      <c r="E124" s="22" t="inlineStr">
        <is>
          <t>'=ODD(C53)</t>
        </is>
      </c>
      <c r="F124" s="34">
        <f>ODD('ODD'!C53)</f>
        <v/>
      </c>
      <c r="G124" s="19" t="inlineStr">
        <is>
          <t>Bulatkan atau potong nilai desimal pada sel C53 (137.189) menggunakan fungsi ODD tanpa argumen tambahan!</t>
        </is>
      </c>
    </row>
    <row r="125">
      <c r="A125" s="5" t="n">
        <v>121</v>
      </c>
      <c r="B125" s="8" t="inlineStr">
        <is>
          <t>FACT</t>
        </is>
      </c>
      <c r="C125" s="6" t="inlineStr">
        <is>
          <t>Soal Tes #1</t>
        </is>
      </c>
      <c r="D125" s="33" t="inlineStr">
        <is>
          <t>FACT!E22</t>
        </is>
      </c>
      <c r="E125" s="22" t="inlineStr">
        <is>
          <t>'=FACT(C21)</t>
        </is>
      </c>
      <c r="F125" s="34">
        <f>FACT('FACT'!C21)</f>
        <v/>
      </c>
      <c r="G125" s="19" t="inlineStr">
        <is>
          <t>Hitung hasil fungsi FACT untuk nilai input pada sel C21 (3)!</t>
        </is>
      </c>
    </row>
    <row r="126">
      <c r="A126" s="5" t="n">
        <v>122</v>
      </c>
      <c r="B126" s="8" t="inlineStr">
        <is>
          <t>FACT</t>
        </is>
      </c>
      <c r="C126" s="6" t="inlineStr">
        <is>
          <t>Soal Tes #2</t>
        </is>
      </c>
      <c r="D126" s="33" t="inlineStr">
        <is>
          <t>FACT!E30</t>
        </is>
      </c>
      <c r="E126" s="22" t="inlineStr">
        <is>
          <t>'=FACT(C29)</t>
        </is>
      </c>
      <c r="F126" s="34">
        <f>FACT('FACT'!C29)</f>
        <v/>
      </c>
      <c r="G126" s="19" t="inlineStr">
        <is>
          <t>Hitung hasil fungsi FACT untuk nilai input pada sel C29 (4)!</t>
        </is>
      </c>
    </row>
    <row r="127">
      <c r="A127" s="5" t="n">
        <v>123</v>
      </c>
      <c r="B127" s="8" t="inlineStr">
        <is>
          <t>FACT</t>
        </is>
      </c>
      <c r="C127" s="6" t="inlineStr">
        <is>
          <t>Soal Tes #3</t>
        </is>
      </c>
      <c r="D127" s="33" t="inlineStr">
        <is>
          <t>FACT!E38</t>
        </is>
      </c>
      <c r="E127" s="22" t="inlineStr">
        <is>
          <t>'=FACT(C37)</t>
        </is>
      </c>
      <c r="F127" s="34">
        <f>FACT('FACT'!C37)</f>
        <v/>
      </c>
      <c r="G127" s="19" t="inlineStr">
        <is>
          <t>Hitung hasil fungsi FACT untuk nilai input pada sel C37 (5)!</t>
        </is>
      </c>
    </row>
    <row r="128">
      <c r="A128" s="5" t="n">
        <v>124</v>
      </c>
      <c r="B128" s="8" t="inlineStr">
        <is>
          <t>FACT</t>
        </is>
      </c>
      <c r="C128" s="6" t="inlineStr">
        <is>
          <t>Soal Tes #4</t>
        </is>
      </c>
      <c r="D128" s="33" t="inlineStr">
        <is>
          <t>FACT!E46</t>
        </is>
      </c>
      <c r="E128" s="22" t="inlineStr">
        <is>
          <t>'=FACT(C45)</t>
        </is>
      </c>
      <c r="F128" s="34">
        <f>FACT('FACT'!C45)</f>
        <v/>
      </c>
      <c r="G128" s="19" t="inlineStr">
        <is>
          <t>Hitung hasil fungsi FACT untuk nilai input pada sel C45 (6)!</t>
        </is>
      </c>
    </row>
    <row r="129">
      <c r="A129" s="5" t="n">
        <v>125</v>
      </c>
      <c r="B129" s="8" t="inlineStr">
        <is>
          <t>FACT</t>
        </is>
      </c>
      <c r="C129" s="6" t="inlineStr">
        <is>
          <t>Soal Tes #5</t>
        </is>
      </c>
      <c r="D129" s="33" t="inlineStr">
        <is>
          <t>FACT!E54</t>
        </is>
      </c>
      <c r="E129" s="22" t="inlineStr">
        <is>
          <t>'=FACT(C53)</t>
        </is>
      </c>
      <c r="F129" s="34">
        <f>FACT('FACT'!C53)</f>
        <v/>
      </c>
      <c r="G129" s="19" t="inlineStr">
        <is>
          <t>Hitung hasil fungsi FACT untuk nilai input pada sel C53 (7)!</t>
        </is>
      </c>
    </row>
    <row r="130">
      <c r="A130" s="5" t="n">
        <v>126</v>
      </c>
      <c r="B130" s="8" t="inlineStr">
        <is>
          <t>GCD</t>
        </is>
      </c>
      <c r="C130" s="6" t="inlineStr">
        <is>
          <t>Soal Tes #1</t>
        </is>
      </c>
      <c r="D130" s="33" t="inlineStr">
        <is>
          <t>GCD!E22</t>
        </is>
      </c>
      <c r="E130" s="22" t="inlineStr">
        <is>
          <t>'=GCD(B21, C21)</t>
        </is>
      </c>
      <c r="F130" s="34">
        <f>GCD('GCD'!B21, 'GCD'!C21)</f>
        <v/>
      </c>
      <c r="G130" s="19" t="inlineStr">
        <is>
          <t>Terapkan fungsi GCD dengan mengambil angka pertama di sel B21 (25) dan angka kedua di sel C21 (4)!</t>
        </is>
      </c>
    </row>
    <row r="131">
      <c r="A131" s="5" t="n">
        <v>127</v>
      </c>
      <c r="B131" s="8" t="inlineStr">
        <is>
          <t>GCD</t>
        </is>
      </c>
      <c r="C131" s="6" t="inlineStr">
        <is>
          <t>Soal Tes #2</t>
        </is>
      </c>
      <c r="D131" s="33" t="inlineStr">
        <is>
          <t>GCD!E30</t>
        </is>
      </c>
      <c r="E131" s="22" t="inlineStr">
        <is>
          <t>'=GCD(B29, C29)</t>
        </is>
      </c>
      <c r="F131" s="34">
        <f>GCD('GCD'!B29, 'GCD'!C29)</f>
        <v/>
      </c>
      <c r="G131" s="19" t="inlineStr">
        <is>
          <t>Terapkan fungsi GCD dengan mengambil angka pertama di sel B29 (31) dan angka kedua di sel C29 (4)!</t>
        </is>
      </c>
    </row>
    <row r="132">
      <c r="A132" s="5" t="n">
        <v>128</v>
      </c>
      <c r="B132" s="8" t="inlineStr">
        <is>
          <t>GCD</t>
        </is>
      </c>
      <c r="C132" s="6" t="inlineStr">
        <is>
          <t>Soal Tes #3</t>
        </is>
      </c>
      <c r="D132" s="33" t="inlineStr">
        <is>
          <t>GCD!E38</t>
        </is>
      </c>
      <c r="E132" s="22" t="inlineStr">
        <is>
          <t>'=GCD(B37, C37)</t>
        </is>
      </c>
      <c r="F132" s="34">
        <f>GCD('GCD'!B37, 'GCD'!C37)</f>
        <v/>
      </c>
      <c r="G132" s="19" t="inlineStr">
        <is>
          <t>Terapkan fungsi GCD dengan mengambil angka pertama di sel B37 (37) dan angka kedua di sel C37 (4)!</t>
        </is>
      </c>
    </row>
    <row r="133">
      <c r="A133" s="5" t="n">
        <v>129</v>
      </c>
      <c r="B133" s="8" t="inlineStr">
        <is>
          <t>GCD</t>
        </is>
      </c>
      <c r="C133" s="6" t="inlineStr">
        <is>
          <t>Soal Tes #4</t>
        </is>
      </c>
      <c r="D133" s="33" t="inlineStr">
        <is>
          <t>GCD!E46</t>
        </is>
      </c>
      <c r="E133" s="22" t="inlineStr">
        <is>
          <t>'=GCD(B45, C45)</t>
        </is>
      </c>
      <c r="F133" s="34">
        <f>GCD('GCD'!B45, 'GCD'!C45)</f>
        <v/>
      </c>
      <c r="G133" s="19" t="inlineStr">
        <is>
          <t>Terapkan fungsi GCD dengan mengambil angka pertama di sel B45 (43) dan angka kedua di sel C45 (4)!</t>
        </is>
      </c>
    </row>
    <row r="134">
      <c r="A134" s="5" t="n">
        <v>130</v>
      </c>
      <c r="B134" s="8" t="inlineStr">
        <is>
          <t>GCD</t>
        </is>
      </c>
      <c r="C134" s="6" t="inlineStr">
        <is>
          <t>Soal Tes #5</t>
        </is>
      </c>
      <c r="D134" s="33" t="inlineStr">
        <is>
          <t>GCD!E54</t>
        </is>
      </c>
      <c r="E134" s="22" t="inlineStr">
        <is>
          <t>'=GCD(B53, C53)</t>
        </is>
      </c>
      <c r="F134" s="34">
        <f>GCD('GCD'!B53, 'GCD'!C53)</f>
        <v/>
      </c>
      <c r="G134" s="19" t="inlineStr">
        <is>
          <t>Terapkan fungsi GCD dengan mengambil angka pertama di sel B53 (49) dan angka kedua di sel C53 (4)!</t>
        </is>
      </c>
    </row>
    <row r="135">
      <c r="A135" s="5" t="n">
        <v>131</v>
      </c>
      <c r="B135" s="8" t="inlineStr">
        <is>
          <t>LCM</t>
        </is>
      </c>
      <c r="C135" s="6" t="inlineStr">
        <is>
          <t>Soal Tes #1</t>
        </is>
      </c>
      <c r="D135" s="33" t="inlineStr">
        <is>
          <t>LCM!E22</t>
        </is>
      </c>
      <c r="E135" s="22" t="inlineStr">
        <is>
          <t>'=LCM(B21, C21)</t>
        </is>
      </c>
      <c r="F135" s="34">
        <f>LCM('LCM'!B21, 'LCM'!C21)</f>
        <v/>
      </c>
      <c r="G135" s="19" t="inlineStr">
        <is>
          <t>Terapkan fungsi LCM dengan mengambil angka pertama di sel B21 (25) dan angka kedua di sel C21 (4)!</t>
        </is>
      </c>
    </row>
    <row r="136">
      <c r="A136" s="5" t="n">
        <v>132</v>
      </c>
      <c r="B136" s="8" t="inlineStr">
        <is>
          <t>LCM</t>
        </is>
      </c>
      <c r="C136" s="6" t="inlineStr">
        <is>
          <t>Soal Tes #2</t>
        </is>
      </c>
      <c r="D136" s="33" t="inlineStr">
        <is>
          <t>LCM!E30</t>
        </is>
      </c>
      <c r="E136" s="22" t="inlineStr">
        <is>
          <t>'=LCM(B29, C29)</t>
        </is>
      </c>
      <c r="F136" s="34">
        <f>LCM('LCM'!B29, 'LCM'!C29)</f>
        <v/>
      </c>
      <c r="G136" s="19" t="inlineStr">
        <is>
          <t>Terapkan fungsi LCM dengan mengambil angka pertama di sel B29 (31) dan angka kedua di sel C29 (4)!</t>
        </is>
      </c>
    </row>
    <row r="137">
      <c r="A137" s="5" t="n">
        <v>133</v>
      </c>
      <c r="B137" s="8" t="inlineStr">
        <is>
          <t>LCM</t>
        </is>
      </c>
      <c r="C137" s="6" t="inlineStr">
        <is>
          <t>Soal Tes #3</t>
        </is>
      </c>
      <c r="D137" s="33" t="inlineStr">
        <is>
          <t>LCM!E38</t>
        </is>
      </c>
      <c r="E137" s="22" t="inlineStr">
        <is>
          <t>'=LCM(B37, C37)</t>
        </is>
      </c>
      <c r="F137" s="34">
        <f>LCM('LCM'!B37, 'LCM'!C37)</f>
        <v/>
      </c>
      <c r="G137" s="19" t="inlineStr">
        <is>
          <t>Terapkan fungsi LCM dengan mengambil angka pertama di sel B37 (37) dan angka kedua di sel C37 (4)!</t>
        </is>
      </c>
    </row>
    <row r="138">
      <c r="A138" s="5" t="n">
        <v>134</v>
      </c>
      <c r="B138" s="8" t="inlineStr">
        <is>
          <t>LCM</t>
        </is>
      </c>
      <c r="C138" s="6" t="inlineStr">
        <is>
          <t>Soal Tes #4</t>
        </is>
      </c>
      <c r="D138" s="33" t="inlineStr">
        <is>
          <t>LCM!E46</t>
        </is>
      </c>
      <c r="E138" s="22" t="inlineStr">
        <is>
          <t>'=LCM(B45, C45)</t>
        </is>
      </c>
      <c r="F138" s="34">
        <f>LCM('LCM'!B45, 'LCM'!C45)</f>
        <v/>
      </c>
      <c r="G138" s="19" t="inlineStr">
        <is>
          <t>Terapkan fungsi LCM dengan mengambil angka pertama di sel B45 (43) dan angka kedua di sel C45 (4)!</t>
        </is>
      </c>
    </row>
    <row r="139">
      <c r="A139" s="5" t="n">
        <v>135</v>
      </c>
      <c r="B139" s="8" t="inlineStr">
        <is>
          <t>LCM</t>
        </is>
      </c>
      <c r="C139" s="6" t="inlineStr">
        <is>
          <t>Soal Tes #5</t>
        </is>
      </c>
      <c r="D139" s="33" t="inlineStr">
        <is>
          <t>LCM!E54</t>
        </is>
      </c>
      <c r="E139" s="22" t="inlineStr">
        <is>
          <t>'=LCM(B53, C53)</t>
        </is>
      </c>
      <c r="F139" s="34">
        <f>LCM('LCM'!B53, 'LCM'!C53)</f>
        <v/>
      </c>
      <c r="G139" s="19" t="inlineStr">
        <is>
          <t>Terapkan fungsi LCM dengan mengambil angka pertama di sel B53 (49) dan angka kedua di sel C53 (4)!</t>
        </is>
      </c>
    </row>
    <row r="140">
      <c r="A140" s="5" t="n">
        <v>136</v>
      </c>
      <c r="B140" s="8" t="inlineStr">
        <is>
          <t>ROMAN</t>
        </is>
      </c>
      <c r="C140" s="6" t="inlineStr">
        <is>
          <t>Soal Tes #1</t>
        </is>
      </c>
      <c r="D140" s="33" t="inlineStr">
        <is>
          <t>ROMAN!E22</t>
        </is>
      </c>
      <c r="E140" s="22" t="inlineStr">
        <is>
          <t>'=ROMAN(C21)</t>
        </is>
      </c>
      <c r="F140" s="34">
        <f>ROMAN('ROMAN'!C21)</f>
        <v/>
      </c>
      <c r="G140" s="19" t="inlineStr">
        <is>
          <t>Hitung hasil fungsi ROMAN untuk nilai input pada sel C21 (12)!</t>
        </is>
      </c>
    </row>
    <row r="141">
      <c r="A141" s="5" t="n">
        <v>137</v>
      </c>
      <c r="B141" s="8" t="inlineStr">
        <is>
          <t>ROMAN</t>
        </is>
      </c>
      <c r="C141" s="6" t="inlineStr">
        <is>
          <t>Soal Tes #2</t>
        </is>
      </c>
      <c r="D141" s="33" t="inlineStr">
        <is>
          <t>ROMAN!E30</t>
        </is>
      </c>
      <c r="E141" s="22" t="inlineStr">
        <is>
          <t>'=ROMAN(C29)</t>
        </is>
      </c>
      <c r="F141" s="34">
        <f>ROMAN('ROMAN'!C29)</f>
        <v/>
      </c>
      <c r="G141" s="19" t="inlineStr">
        <is>
          <t>Hitung hasil fungsi ROMAN untuk nilai input pada sel C29 (17)!</t>
        </is>
      </c>
    </row>
    <row r="142">
      <c r="A142" s="5" t="n">
        <v>138</v>
      </c>
      <c r="B142" s="8" t="inlineStr">
        <is>
          <t>ROMAN</t>
        </is>
      </c>
      <c r="C142" s="6" t="inlineStr">
        <is>
          <t>Soal Tes #3</t>
        </is>
      </c>
      <c r="D142" s="33" t="inlineStr">
        <is>
          <t>ROMAN!E38</t>
        </is>
      </c>
      <c r="E142" s="22" t="inlineStr">
        <is>
          <t>'=ROMAN(C37)</t>
        </is>
      </c>
      <c r="F142" s="34">
        <f>ROMAN('ROMAN'!C37)</f>
        <v/>
      </c>
      <c r="G142" s="19" t="inlineStr">
        <is>
          <t>Hitung hasil fungsi ROMAN untuk nilai input pada sel C37 (22)!</t>
        </is>
      </c>
    </row>
    <row r="143">
      <c r="A143" s="5" t="n">
        <v>139</v>
      </c>
      <c r="B143" s="8" t="inlineStr">
        <is>
          <t>ROMAN</t>
        </is>
      </c>
      <c r="C143" s="6" t="inlineStr">
        <is>
          <t>Soal Tes #4</t>
        </is>
      </c>
      <c r="D143" s="33" t="inlineStr">
        <is>
          <t>ROMAN!E46</t>
        </is>
      </c>
      <c r="E143" s="22" t="inlineStr">
        <is>
          <t>'=ROMAN(C45)</t>
        </is>
      </c>
      <c r="F143" s="34">
        <f>ROMAN('ROMAN'!C45)</f>
        <v/>
      </c>
      <c r="G143" s="19" t="inlineStr">
        <is>
          <t>Hitung hasil fungsi ROMAN untuk nilai input pada sel C45 (27)!</t>
        </is>
      </c>
    </row>
    <row r="144">
      <c r="A144" s="5" t="n">
        <v>140</v>
      </c>
      <c r="B144" s="8" t="inlineStr">
        <is>
          <t>ROMAN</t>
        </is>
      </c>
      <c r="C144" s="6" t="inlineStr">
        <is>
          <t>Soal Tes #5</t>
        </is>
      </c>
      <c r="D144" s="33" t="inlineStr">
        <is>
          <t>ROMAN!E54</t>
        </is>
      </c>
      <c r="E144" s="22" t="inlineStr">
        <is>
          <t>'=ROMAN(C53)</t>
        </is>
      </c>
      <c r="F144" s="34">
        <f>ROMAN('ROMAN'!C53)</f>
        <v/>
      </c>
      <c r="G144" s="19" t="inlineStr">
        <is>
          <t>Hitung hasil fungsi ROMAN untuk nilai input pada sel C53 (32)!</t>
        </is>
      </c>
    </row>
    <row r="145">
      <c r="A145" s="5" t="n">
        <v>141</v>
      </c>
      <c r="B145" s="8" t="inlineStr">
        <is>
          <t>ARABIC</t>
        </is>
      </c>
      <c r="C145" s="6" t="inlineStr">
        <is>
          <t>Soal Tes #1</t>
        </is>
      </c>
      <c r="D145" s="33" t="inlineStr">
        <is>
          <t>ARABIC!E22</t>
        </is>
      </c>
      <c r="E145" s="22" t="inlineStr">
        <is>
          <t>'=ARABIC(C21)</t>
        </is>
      </c>
      <c r="F145" s="34">
        <f>ARABIC('ARABIC'!C21)</f>
        <v/>
      </c>
      <c r="G145" s="19" t="inlineStr">
        <is>
          <t>Ubah kode angka Romawi pada sel C21 ("XIV") menjadi bilangan angka Arab biasa menggunakan fungsi ARABIC!</t>
        </is>
      </c>
    </row>
    <row r="146">
      <c r="A146" s="5" t="n">
        <v>142</v>
      </c>
      <c r="B146" s="8" t="inlineStr">
        <is>
          <t>ARABIC</t>
        </is>
      </c>
      <c r="C146" s="6" t="inlineStr">
        <is>
          <t>Soal Tes #2</t>
        </is>
      </c>
      <c r="D146" s="33" t="inlineStr">
        <is>
          <t>ARABIC!E30</t>
        </is>
      </c>
      <c r="E146" s="22" t="inlineStr">
        <is>
          <t>'=ARABIC(C29)</t>
        </is>
      </c>
      <c r="F146" s="34">
        <f>ARABIC('ARABIC'!C29)</f>
        <v/>
      </c>
      <c r="G146" s="19" t="inlineStr">
        <is>
          <t>Ubah kode angka Romawi pada sel C29 ("XXV") menjadi bilangan angka Arab biasa menggunakan fungsi ARABIC!</t>
        </is>
      </c>
    </row>
    <row r="147">
      <c r="A147" s="5" t="n">
        <v>143</v>
      </c>
      <c r="B147" s="8" t="inlineStr">
        <is>
          <t>ARABIC</t>
        </is>
      </c>
      <c r="C147" s="6" t="inlineStr">
        <is>
          <t>Soal Tes #3</t>
        </is>
      </c>
      <c r="D147" s="33" t="inlineStr">
        <is>
          <t>ARABIC!E38</t>
        </is>
      </c>
      <c r="E147" s="22" t="inlineStr">
        <is>
          <t>'=ARABIC(C37)</t>
        </is>
      </c>
      <c r="F147" s="34">
        <f>ARABIC('ARABIC'!C37)</f>
        <v/>
      </c>
      <c r="G147" s="19" t="inlineStr">
        <is>
          <t>Ubah kode angka Romawi pada sel C37 ("XL") menjadi bilangan angka Arab biasa menggunakan fungsi ARABIC!</t>
        </is>
      </c>
    </row>
    <row r="148">
      <c r="A148" s="5" t="n">
        <v>144</v>
      </c>
      <c r="B148" s="8" t="inlineStr">
        <is>
          <t>ARABIC</t>
        </is>
      </c>
      <c r="C148" s="6" t="inlineStr">
        <is>
          <t>Soal Tes #4</t>
        </is>
      </c>
      <c r="D148" s="33" t="inlineStr">
        <is>
          <t>ARABIC!E46</t>
        </is>
      </c>
      <c r="E148" s="22" t="inlineStr">
        <is>
          <t>'=ARABIC(C45)</t>
        </is>
      </c>
      <c r="F148" s="34">
        <f>ARABIC('ARABIC'!C45)</f>
        <v/>
      </c>
      <c r="G148" s="19" t="inlineStr">
        <is>
          <t>Ubah kode angka Romawi pada sel C45 ("LX") menjadi bilangan angka Arab biasa menggunakan fungsi ARABIC!</t>
        </is>
      </c>
    </row>
    <row r="149">
      <c r="A149" s="5" t="n">
        <v>145</v>
      </c>
      <c r="B149" s="8" t="inlineStr">
        <is>
          <t>ARABIC</t>
        </is>
      </c>
      <c r="C149" s="6" t="inlineStr">
        <is>
          <t>Soal Tes #5</t>
        </is>
      </c>
      <c r="D149" s="33" t="inlineStr">
        <is>
          <t>ARABIC!E54</t>
        </is>
      </c>
      <c r="E149" s="22" t="inlineStr">
        <is>
          <t>'=ARABIC(C53)</t>
        </is>
      </c>
      <c r="F149" s="34">
        <f>ARABIC('ARABIC'!C53)</f>
        <v/>
      </c>
      <c r="G149" s="19" t="inlineStr">
        <is>
          <t>Ubah kode angka Romawi pada sel C53 ("XC") menjadi bilangan angka Arab biasa menggunakan fungsi ARABIC!</t>
        </is>
      </c>
    </row>
    <row r="150">
      <c r="A150" s="5" t="n">
        <v>146</v>
      </c>
      <c r="B150" s="8" t="inlineStr">
        <is>
          <t>IF</t>
        </is>
      </c>
      <c r="C150" s="6" t="inlineStr">
        <is>
          <t>Soal Tes #1</t>
        </is>
      </c>
      <c r="D150" s="33" t="inlineStr">
        <is>
          <t>IF!E22</t>
        </is>
      </c>
      <c r="E150" s="22" t="inlineStr">
        <is>
          <t>'=IF(C21&gt;=75, "LULUS", "REMEDIAL")</t>
        </is>
      </c>
      <c r="F150" s="34">
        <f>IF('IF'!C21&gt;=75, "LULUS", "REMEDIAL")</f>
        <v/>
      </c>
      <c r="G150" s="19" t="inlineStr">
        <is>
          <t>Uji nilai pada sel C21 menggunakan fungsi IF: apabila nilainya minimal 75 (&gt;=75) tampilkan "LULUS", selain itu tampilkan "REMEDIAL"!</t>
        </is>
      </c>
    </row>
    <row r="151">
      <c r="A151" s="5" t="n">
        <v>147</v>
      </c>
      <c r="B151" s="8" t="inlineStr">
        <is>
          <t>IF</t>
        </is>
      </c>
      <c r="C151" s="6" t="inlineStr">
        <is>
          <t>Soal Tes #2</t>
        </is>
      </c>
      <c r="D151" s="33" t="inlineStr">
        <is>
          <t>IF!E30</t>
        </is>
      </c>
      <c r="E151" s="22" t="inlineStr">
        <is>
          <t>'=IF(C29&gt;=75, "LULUS", "REMEDIAL")</t>
        </is>
      </c>
      <c r="F151" s="34">
        <f>IF('IF'!C29&gt;=75, "LULUS", "REMEDIAL")</f>
        <v/>
      </c>
      <c r="G151" s="19" t="inlineStr">
        <is>
          <t>Uji nilai pada sel C29 menggunakan fungsi IF: apabila nilainya minimal 75 (&gt;=75) tampilkan "LULUS", selain itu tampilkan "REMEDIAL"!</t>
        </is>
      </c>
    </row>
    <row r="152">
      <c r="A152" s="5" t="n">
        <v>148</v>
      </c>
      <c r="B152" s="8" t="inlineStr">
        <is>
          <t>IF</t>
        </is>
      </c>
      <c r="C152" s="6" t="inlineStr">
        <is>
          <t>Soal Tes #3</t>
        </is>
      </c>
      <c r="D152" s="33" t="inlineStr">
        <is>
          <t>IF!E38</t>
        </is>
      </c>
      <c r="E152" s="22" t="inlineStr">
        <is>
          <t>'=IF(C37&gt;=75, "LULUS", "REMEDIAL")</t>
        </is>
      </c>
      <c r="F152" s="34">
        <f>IF('IF'!C37&gt;=75, "LULUS", "REMEDIAL")</f>
        <v/>
      </c>
      <c r="G152" s="19" t="inlineStr">
        <is>
          <t>Uji nilai pada sel C37 menggunakan fungsi IF: apabila nilainya minimal 75 (&gt;=75) tampilkan "LULUS", selain itu tampilkan "REMEDIAL"!</t>
        </is>
      </c>
    </row>
    <row r="153">
      <c r="A153" s="5" t="n">
        <v>149</v>
      </c>
      <c r="B153" s="8" t="inlineStr">
        <is>
          <t>IF</t>
        </is>
      </c>
      <c r="C153" s="6" t="inlineStr">
        <is>
          <t>Soal Tes #4</t>
        </is>
      </c>
      <c r="D153" s="33" t="inlineStr">
        <is>
          <t>IF!E46</t>
        </is>
      </c>
      <c r="E153" s="22" t="inlineStr">
        <is>
          <t>'=IF(C45&gt;=75, "LULUS", "REMEDIAL")</t>
        </is>
      </c>
      <c r="F153" s="34">
        <f>IF('IF'!C45&gt;=75, "LULUS", "REMEDIAL")</f>
        <v/>
      </c>
      <c r="G153" s="19" t="inlineStr">
        <is>
          <t>Uji nilai pada sel C45 menggunakan fungsi IF: apabila nilainya minimal 75 (&gt;=75) tampilkan "LULUS", selain itu tampilkan "REMEDIAL"!</t>
        </is>
      </c>
    </row>
    <row r="154">
      <c r="A154" s="5" t="n">
        <v>150</v>
      </c>
      <c r="B154" s="8" t="inlineStr">
        <is>
          <t>IF</t>
        </is>
      </c>
      <c r="C154" s="6" t="inlineStr">
        <is>
          <t>Soal Tes #5</t>
        </is>
      </c>
      <c r="D154" s="33" t="inlineStr">
        <is>
          <t>IF!E54</t>
        </is>
      </c>
      <c r="E154" s="22" t="inlineStr">
        <is>
          <t>'=IF(C53&gt;=75, "LULUS", "REMEDIAL")</t>
        </is>
      </c>
      <c r="F154" s="34">
        <f>IF('IF'!C53&gt;=75, "LULUS", "REMEDIAL")</f>
        <v/>
      </c>
      <c r="G154" s="19" t="inlineStr">
        <is>
          <t>Uji nilai pada sel C53 menggunakan fungsi IF: apabila nilainya minimal 75 (&gt;=75) tampilkan "LULUS", selain itu tampilkan "REMEDIAL"!</t>
        </is>
      </c>
    </row>
    <row r="155">
      <c r="A155" s="5" t="n">
        <v>151</v>
      </c>
      <c r="B155" s="8" t="inlineStr">
        <is>
          <t>IFS</t>
        </is>
      </c>
      <c r="C155" s="6" t="inlineStr">
        <is>
          <t>Soal Tes #1</t>
        </is>
      </c>
      <c r="D155" s="33" t="inlineStr">
        <is>
          <t>IFS!E22</t>
        </is>
      </c>
      <c r="E155" s="22" t="inlineStr">
        <is>
          <t>'=IFS(C21&gt;=85, "A", C21&gt;=70, "B", TRUE, "C")</t>
        </is>
      </c>
      <c r="F155" s="34">
        <f>IFS('IFS'!C21&gt;=85, "A", 'IFS'!C21&gt;=70, "B", TRUE, "C")</f>
        <v/>
      </c>
      <c r="G155" s="19" t="inlineStr">
        <is>
          <t>Tentukan predikat nilai sel C21 menggunakan fungsi IFS: jika minimal 85 hasilnya "A", jika minimal 70 hasilnya "B", dan kondisi terakhir TRUE hasilnya "C"!</t>
        </is>
      </c>
    </row>
    <row r="156">
      <c r="A156" s="5" t="n">
        <v>152</v>
      </c>
      <c r="B156" s="8" t="inlineStr">
        <is>
          <t>IFS</t>
        </is>
      </c>
      <c r="C156" s="6" t="inlineStr">
        <is>
          <t>Soal Tes #2</t>
        </is>
      </c>
      <c r="D156" s="33" t="inlineStr">
        <is>
          <t>IFS!E30</t>
        </is>
      </c>
      <c r="E156" s="22" t="inlineStr">
        <is>
          <t>'=IFS(C29&gt;=85, "A", C29&gt;=70, "B", TRUE, "C")</t>
        </is>
      </c>
      <c r="F156" s="34">
        <f>IFS('IFS'!C29&gt;=85, "A", 'IFS'!C29&gt;=70, "B", TRUE, "C")</f>
        <v/>
      </c>
      <c r="G156" s="19" t="inlineStr">
        <is>
          <t>Tentukan predikat nilai sel C29 menggunakan fungsi IFS: jika minimal 85 hasilnya "A", jika minimal 70 hasilnya "B", dan kondisi terakhir TRUE hasilnya "C"!</t>
        </is>
      </c>
    </row>
    <row r="157">
      <c r="A157" s="5" t="n">
        <v>153</v>
      </c>
      <c r="B157" s="8" t="inlineStr">
        <is>
          <t>IFS</t>
        </is>
      </c>
      <c r="C157" s="6" t="inlineStr">
        <is>
          <t>Soal Tes #3</t>
        </is>
      </c>
      <c r="D157" s="33" t="inlineStr">
        <is>
          <t>IFS!E38</t>
        </is>
      </c>
      <c r="E157" s="22" t="inlineStr">
        <is>
          <t>'=IFS(C37&gt;=85, "A", C37&gt;=70, "B", TRUE, "C")</t>
        </is>
      </c>
      <c r="F157" s="34">
        <f>IFS('IFS'!C37&gt;=85, "A", 'IFS'!C37&gt;=70, "B", TRUE, "C")</f>
        <v/>
      </c>
      <c r="G157" s="19" t="inlineStr">
        <is>
          <t>Tentukan predikat nilai sel C37 menggunakan fungsi IFS: jika minimal 85 hasilnya "A", jika minimal 70 hasilnya "B", dan kondisi terakhir TRUE hasilnya "C"!</t>
        </is>
      </c>
    </row>
    <row r="158">
      <c r="A158" s="5" t="n">
        <v>154</v>
      </c>
      <c r="B158" s="8" t="inlineStr">
        <is>
          <t>IFS</t>
        </is>
      </c>
      <c r="C158" s="6" t="inlineStr">
        <is>
          <t>Soal Tes #4</t>
        </is>
      </c>
      <c r="D158" s="33" t="inlineStr">
        <is>
          <t>IFS!E46</t>
        </is>
      </c>
      <c r="E158" s="22" t="inlineStr">
        <is>
          <t>'=IFS(C45&gt;=85, "A", C45&gt;=70, "B", TRUE, "C")</t>
        </is>
      </c>
      <c r="F158" s="34">
        <f>IFS('IFS'!C45&gt;=85, "A", 'IFS'!C45&gt;=70, "B", TRUE, "C")</f>
        <v/>
      </c>
      <c r="G158" s="19" t="inlineStr">
        <is>
          <t>Tentukan predikat nilai sel C45 menggunakan fungsi IFS: jika minimal 85 hasilnya "A", jika minimal 70 hasilnya "B", dan kondisi terakhir TRUE hasilnya "C"!</t>
        </is>
      </c>
    </row>
    <row r="159">
      <c r="A159" s="5" t="n">
        <v>155</v>
      </c>
      <c r="B159" s="8" t="inlineStr">
        <is>
          <t>IFS</t>
        </is>
      </c>
      <c r="C159" s="6" t="inlineStr">
        <is>
          <t>Soal Tes #5</t>
        </is>
      </c>
      <c r="D159" s="33" t="inlineStr">
        <is>
          <t>IFS!E54</t>
        </is>
      </c>
      <c r="E159" s="22" t="inlineStr">
        <is>
          <t>'=IFS(C53&gt;=85, "A", C53&gt;=70, "B", TRUE, "C")</t>
        </is>
      </c>
      <c r="F159" s="34">
        <f>IFS('IFS'!C53&gt;=85, "A", 'IFS'!C53&gt;=70, "B", TRUE, "C")</f>
        <v/>
      </c>
      <c r="G159" s="19" t="inlineStr">
        <is>
          <t>Tentukan predikat nilai sel C53 menggunakan fungsi IFS: jika minimal 85 hasilnya "A", jika minimal 70 hasilnya "B", dan kondisi terakhir TRUE hasilnya "C"!</t>
        </is>
      </c>
    </row>
    <row r="160">
      <c r="A160" s="5" t="n">
        <v>156</v>
      </c>
      <c r="B160" s="8" t="inlineStr">
        <is>
          <t>AND</t>
        </is>
      </c>
      <c r="C160" s="6" t="inlineStr">
        <is>
          <t>Soal Tes #1</t>
        </is>
      </c>
      <c r="D160" s="33" t="inlineStr">
        <is>
          <t>AND!E22</t>
        </is>
      </c>
      <c r="E160" s="22" t="inlineStr">
        <is>
          <t>'=AND(B21&gt;=75, C21&gt;=75)</t>
        </is>
      </c>
      <c r="F160" s="34">
        <f>AND('AND'!B21&gt;=75, 'AND'!C21&gt;=75)</f>
        <v/>
      </c>
      <c r="G160" s="19" t="inlineStr">
        <is>
          <t>Gunakan fungsi logika AND untuk menguji dua syarat: apakah nilai di B21 minimal 75 (&gt;=75) dan apakah nilai di C21 minimal 75 (&gt;=75)!</t>
        </is>
      </c>
    </row>
    <row r="161">
      <c r="A161" s="5" t="n">
        <v>157</v>
      </c>
      <c r="B161" s="8" t="inlineStr">
        <is>
          <t>AND</t>
        </is>
      </c>
      <c r="C161" s="6" t="inlineStr">
        <is>
          <t>Soal Tes #2</t>
        </is>
      </c>
      <c r="D161" s="33" t="inlineStr">
        <is>
          <t>AND!E30</t>
        </is>
      </c>
      <c r="E161" s="22" t="inlineStr">
        <is>
          <t>'=AND(B29&gt;=75, C29&gt;=75)</t>
        </is>
      </c>
      <c r="F161" s="34">
        <f>AND('AND'!B29&gt;=75, 'AND'!C29&gt;=75)</f>
        <v/>
      </c>
      <c r="G161" s="19" t="inlineStr">
        <is>
          <t>Gunakan fungsi logika AND untuk menguji dua syarat: apakah nilai di B29 minimal 75 (&gt;=75) dan apakah nilai di C29 minimal 75 (&gt;=75)!</t>
        </is>
      </c>
    </row>
    <row r="162">
      <c r="A162" s="5" t="n">
        <v>158</v>
      </c>
      <c r="B162" s="8" t="inlineStr">
        <is>
          <t>AND</t>
        </is>
      </c>
      <c r="C162" s="6" t="inlineStr">
        <is>
          <t>Soal Tes #3</t>
        </is>
      </c>
      <c r="D162" s="33" t="inlineStr">
        <is>
          <t>AND!E38</t>
        </is>
      </c>
      <c r="E162" s="22" t="inlineStr">
        <is>
          <t>'=AND(B37&gt;=75, C37&gt;=75)</t>
        </is>
      </c>
      <c r="F162" s="34">
        <f>AND('AND'!B37&gt;=75, 'AND'!C37&gt;=75)</f>
        <v/>
      </c>
      <c r="G162" s="19" t="inlineStr">
        <is>
          <t>Gunakan fungsi logika AND untuk menguji dua syarat: apakah nilai di B37 minimal 75 (&gt;=75) dan apakah nilai di C37 minimal 75 (&gt;=75)!</t>
        </is>
      </c>
    </row>
    <row r="163">
      <c r="A163" s="5" t="n">
        <v>159</v>
      </c>
      <c r="B163" s="8" t="inlineStr">
        <is>
          <t>AND</t>
        </is>
      </c>
      <c r="C163" s="6" t="inlineStr">
        <is>
          <t>Soal Tes #4</t>
        </is>
      </c>
      <c r="D163" s="33" t="inlineStr">
        <is>
          <t>AND!E46</t>
        </is>
      </c>
      <c r="E163" s="22" t="inlineStr">
        <is>
          <t>'=AND(B45&gt;=75, C45&gt;=75)</t>
        </is>
      </c>
      <c r="F163" s="34">
        <f>AND('AND'!B45&gt;=75, 'AND'!C45&gt;=75)</f>
        <v/>
      </c>
      <c r="G163" s="19" t="inlineStr">
        <is>
          <t>Gunakan fungsi logika AND untuk menguji dua syarat: apakah nilai di B45 minimal 75 (&gt;=75) dan apakah nilai di C45 minimal 75 (&gt;=75)!</t>
        </is>
      </c>
    </row>
    <row r="164">
      <c r="A164" s="5" t="n">
        <v>160</v>
      </c>
      <c r="B164" s="8" t="inlineStr">
        <is>
          <t>AND</t>
        </is>
      </c>
      <c r="C164" s="6" t="inlineStr">
        <is>
          <t>Soal Tes #5</t>
        </is>
      </c>
      <c r="D164" s="33" t="inlineStr">
        <is>
          <t>AND!E54</t>
        </is>
      </c>
      <c r="E164" s="22" t="inlineStr">
        <is>
          <t>'=AND(B53&gt;=75, C53&gt;=75)</t>
        </is>
      </c>
      <c r="F164" s="34">
        <f>AND('AND'!B53&gt;=75, 'AND'!C53&gt;=75)</f>
        <v/>
      </c>
      <c r="G164" s="19" t="inlineStr">
        <is>
          <t>Gunakan fungsi logika AND untuk menguji dua syarat: apakah nilai di B53 minimal 75 (&gt;=75) dan apakah nilai di C53 minimal 75 (&gt;=75)!</t>
        </is>
      </c>
    </row>
    <row r="165">
      <c r="A165" s="5" t="n">
        <v>161</v>
      </c>
      <c r="B165" s="8" t="inlineStr">
        <is>
          <t>OR</t>
        </is>
      </c>
      <c r="C165" s="6" t="inlineStr">
        <is>
          <t>Soal Tes #1</t>
        </is>
      </c>
      <c r="D165" s="33" t="inlineStr">
        <is>
          <t>OR!E22</t>
        </is>
      </c>
      <c r="E165" s="22" t="inlineStr">
        <is>
          <t>'=OR(B21&gt;=75, C21&gt;=75)</t>
        </is>
      </c>
      <c r="F165" s="34">
        <f>OR('OR'!B21&gt;=75, 'OR'!C21&gt;=75)</f>
        <v/>
      </c>
      <c r="G165" s="19" t="inlineStr">
        <is>
          <t>Gunakan fungsi logika OR untuk menguji dua syarat: apakah nilai di B21 minimal 75 (&gt;=75) dan apakah nilai di C21 minimal 75 (&gt;=75)!</t>
        </is>
      </c>
    </row>
    <row r="166">
      <c r="A166" s="5" t="n">
        <v>162</v>
      </c>
      <c r="B166" s="8" t="inlineStr">
        <is>
          <t>OR</t>
        </is>
      </c>
      <c r="C166" s="6" t="inlineStr">
        <is>
          <t>Soal Tes #2</t>
        </is>
      </c>
      <c r="D166" s="33" t="inlineStr">
        <is>
          <t>OR!E30</t>
        </is>
      </c>
      <c r="E166" s="22" t="inlineStr">
        <is>
          <t>'=OR(B29&gt;=75, C29&gt;=75)</t>
        </is>
      </c>
      <c r="F166" s="34">
        <f>OR('OR'!B29&gt;=75, 'OR'!C29&gt;=75)</f>
        <v/>
      </c>
      <c r="G166" s="19" t="inlineStr">
        <is>
          <t>Gunakan fungsi logika OR untuk menguji dua syarat: apakah nilai di B29 minimal 75 (&gt;=75) dan apakah nilai di C29 minimal 75 (&gt;=75)!</t>
        </is>
      </c>
    </row>
    <row r="167">
      <c r="A167" s="5" t="n">
        <v>163</v>
      </c>
      <c r="B167" s="8" t="inlineStr">
        <is>
          <t>OR</t>
        </is>
      </c>
      <c r="C167" s="6" t="inlineStr">
        <is>
          <t>Soal Tes #3</t>
        </is>
      </c>
      <c r="D167" s="33" t="inlineStr">
        <is>
          <t>OR!E38</t>
        </is>
      </c>
      <c r="E167" s="22" t="inlineStr">
        <is>
          <t>'=OR(B37&gt;=75, C37&gt;=75)</t>
        </is>
      </c>
      <c r="F167" s="34">
        <f>OR('OR'!B37&gt;=75, 'OR'!C37&gt;=75)</f>
        <v/>
      </c>
      <c r="G167" s="19" t="inlineStr">
        <is>
          <t>Gunakan fungsi logika OR untuk menguji dua syarat: apakah nilai di B37 minimal 75 (&gt;=75) dan apakah nilai di C37 minimal 75 (&gt;=75)!</t>
        </is>
      </c>
    </row>
    <row r="168">
      <c r="A168" s="5" t="n">
        <v>164</v>
      </c>
      <c r="B168" s="8" t="inlineStr">
        <is>
          <t>OR</t>
        </is>
      </c>
      <c r="C168" s="6" t="inlineStr">
        <is>
          <t>Soal Tes #4</t>
        </is>
      </c>
      <c r="D168" s="33" t="inlineStr">
        <is>
          <t>OR!E46</t>
        </is>
      </c>
      <c r="E168" s="22" t="inlineStr">
        <is>
          <t>'=OR(B45&gt;=75, C45&gt;=75)</t>
        </is>
      </c>
      <c r="F168" s="34">
        <f>OR('OR'!B45&gt;=75, 'OR'!C45&gt;=75)</f>
        <v/>
      </c>
      <c r="G168" s="19" t="inlineStr">
        <is>
          <t>Gunakan fungsi logika OR untuk menguji dua syarat: apakah nilai di B45 minimal 75 (&gt;=75) dan apakah nilai di C45 minimal 75 (&gt;=75)!</t>
        </is>
      </c>
    </row>
    <row r="169">
      <c r="A169" s="5" t="n">
        <v>165</v>
      </c>
      <c r="B169" s="8" t="inlineStr">
        <is>
          <t>OR</t>
        </is>
      </c>
      <c r="C169" s="6" t="inlineStr">
        <is>
          <t>Soal Tes #5</t>
        </is>
      </c>
      <c r="D169" s="33" t="inlineStr">
        <is>
          <t>OR!E54</t>
        </is>
      </c>
      <c r="E169" s="22" t="inlineStr">
        <is>
          <t>'=OR(B53&gt;=75, C53&gt;=75)</t>
        </is>
      </c>
      <c r="F169" s="34">
        <f>OR('OR'!B53&gt;=75, 'OR'!C53&gt;=75)</f>
        <v/>
      </c>
      <c r="G169" s="19" t="inlineStr">
        <is>
          <t>Gunakan fungsi logika OR untuk menguji dua syarat: apakah nilai di B53 minimal 75 (&gt;=75) dan apakah nilai di C53 minimal 75 (&gt;=75)!</t>
        </is>
      </c>
    </row>
    <row r="170">
      <c r="A170" s="5" t="n">
        <v>166</v>
      </c>
      <c r="B170" s="8" t="inlineStr">
        <is>
          <t>NOT</t>
        </is>
      </c>
      <c r="C170" s="6" t="inlineStr">
        <is>
          <t>Soal Tes #1</t>
        </is>
      </c>
      <c r="D170" s="33" t="inlineStr">
        <is>
          <t>NOT!E22</t>
        </is>
      </c>
      <c r="E170" s="22" t="inlineStr">
        <is>
          <t>'=NOT(C21&lt;75)</t>
        </is>
      </c>
      <c r="F170" s="34">
        <f>NOT('NOT'!C21&lt;75)</f>
        <v/>
      </c>
      <c r="G170" s="19" t="inlineStr">
        <is>
          <t>Gunakan fungsi NOT untuk membalikkan pengujian apakah nilai pada sel C21 kurang dari 75!</t>
        </is>
      </c>
    </row>
    <row r="171">
      <c r="A171" s="5" t="n">
        <v>167</v>
      </c>
      <c r="B171" s="8" t="inlineStr">
        <is>
          <t>NOT</t>
        </is>
      </c>
      <c r="C171" s="6" t="inlineStr">
        <is>
          <t>Soal Tes #2</t>
        </is>
      </c>
      <c r="D171" s="33" t="inlineStr">
        <is>
          <t>NOT!E30</t>
        </is>
      </c>
      <c r="E171" s="22" t="inlineStr">
        <is>
          <t>'=NOT(C29&lt;75)</t>
        </is>
      </c>
      <c r="F171" s="34">
        <f>NOT('NOT'!C29&lt;75)</f>
        <v/>
      </c>
      <c r="G171" s="19" t="inlineStr">
        <is>
          <t>Gunakan fungsi NOT untuk membalikkan pengujian apakah nilai pada sel C29 kurang dari 75!</t>
        </is>
      </c>
    </row>
    <row r="172">
      <c r="A172" s="5" t="n">
        <v>168</v>
      </c>
      <c r="B172" s="8" t="inlineStr">
        <is>
          <t>NOT</t>
        </is>
      </c>
      <c r="C172" s="6" t="inlineStr">
        <is>
          <t>Soal Tes #3</t>
        </is>
      </c>
      <c r="D172" s="33" t="inlineStr">
        <is>
          <t>NOT!E38</t>
        </is>
      </c>
      <c r="E172" s="22" t="inlineStr">
        <is>
          <t>'=NOT(C37&lt;75)</t>
        </is>
      </c>
      <c r="F172" s="34">
        <f>NOT('NOT'!C37&lt;75)</f>
        <v/>
      </c>
      <c r="G172" s="19" t="inlineStr">
        <is>
          <t>Gunakan fungsi NOT untuk membalikkan pengujian apakah nilai pada sel C37 kurang dari 75!</t>
        </is>
      </c>
    </row>
    <row r="173">
      <c r="A173" s="5" t="n">
        <v>169</v>
      </c>
      <c r="B173" s="8" t="inlineStr">
        <is>
          <t>NOT</t>
        </is>
      </c>
      <c r="C173" s="6" t="inlineStr">
        <is>
          <t>Soal Tes #4</t>
        </is>
      </c>
      <c r="D173" s="33" t="inlineStr">
        <is>
          <t>NOT!E46</t>
        </is>
      </c>
      <c r="E173" s="22" t="inlineStr">
        <is>
          <t>'=NOT(C45&lt;75)</t>
        </is>
      </c>
      <c r="F173" s="34">
        <f>NOT('NOT'!C45&lt;75)</f>
        <v/>
      </c>
      <c r="G173" s="19" t="inlineStr">
        <is>
          <t>Gunakan fungsi NOT untuk membalikkan pengujian apakah nilai pada sel C45 kurang dari 75!</t>
        </is>
      </c>
    </row>
    <row r="174">
      <c r="A174" s="5" t="n">
        <v>170</v>
      </c>
      <c r="B174" s="8" t="inlineStr">
        <is>
          <t>NOT</t>
        </is>
      </c>
      <c r="C174" s="6" t="inlineStr">
        <is>
          <t>Soal Tes #5</t>
        </is>
      </c>
      <c r="D174" s="33" t="inlineStr">
        <is>
          <t>NOT!E54</t>
        </is>
      </c>
      <c r="E174" s="22" t="inlineStr">
        <is>
          <t>'=NOT(C53&lt;75)</t>
        </is>
      </c>
      <c r="F174" s="34">
        <f>NOT('NOT'!C53&lt;75)</f>
        <v/>
      </c>
      <c r="G174" s="19" t="inlineStr">
        <is>
          <t>Gunakan fungsi NOT untuk membalikkan pengujian apakah nilai pada sel C53 kurang dari 75!</t>
        </is>
      </c>
    </row>
    <row r="175">
      <c r="A175" s="5" t="n">
        <v>171</v>
      </c>
      <c r="B175" s="8" t="inlineStr">
        <is>
          <t>XOR</t>
        </is>
      </c>
      <c r="C175" s="6" t="inlineStr">
        <is>
          <t>Soal Tes #1</t>
        </is>
      </c>
      <c r="D175" s="33" t="inlineStr">
        <is>
          <t>XOR!E22</t>
        </is>
      </c>
      <c r="E175" s="22" t="inlineStr">
        <is>
          <t>'=XOR(B21&gt;=75, C21&gt;=75)</t>
        </is>
      </c>
      <c r="F175" s="34">
        <f>XOR('XOR'!B21&gt;=75, 'XOR'!C21&gt;=75)</f>
        <v/>
      </c>
      <c r="G175" s="19" t="inlineStr">
        <is>
          <t>Gunakan fungsi logika XOR untuk menguji dua syarat: apakah nilai di B21 minimal 75 (&gt;=75) dan apakah nilai di C21 minimal 75 (&gt;=75)!</t>
        </is>
      </c>
    </row>
    <row r="176">
      <c r="A176" s="5" t="n">
        <v>172</v>
      </c>
      <c r="B176" s="8" t="inlineStr">
        <is>
          <t>XOR</t>
        </is>
      </c>
      <c r="C176" s="6" t="inlineStr">
        <is>
          <t>Soal Tes #2</t>
        </is>
      </c>
      <c r="D176" s="33" t="inlineStr">
        <is>
          <t>XOR!E30</t>
        </is>
      </c>
      <c r="E176" s="22" t="inlineStr">
        <is>
          <t>'=XOR(B29&gt;=75, C29&gt;=75)</t>
        </is>
      </c>
      <c r="F176" s="34">
        <f>XOR('XOR'!B29&gt;=75, 'XOR'!C29&gt;=75)</f>
        <v/>
      </c>
      <c r="G176" s="19" t="inlineStr">
        <is>
          <t>Gunakan fungsi logika XOR untuk menguji dua syarat: apakah nilai di B29 minimal 75 (&gt;=75) dan apakah nilai di C29 minimal 75 (&gt;=75)!</t>
        </is>
      </c>
    </row>
    <row r="177">
      <c r="A177" s="5" t="n">
        <v>173</v>
      </c>
      <c r="B177" s="8" t="inlineStr">
        <is>
          <t>XOR</t>
        </is>
      </c>
      <c r="C177" s="6" t="inlineStr">
        <is>
          <t>Soal Tes #3</t>
        </is>
      </c>
      <c r="D177" s="33" t="inlineStr">
        <is>
          <t>XOR!E38</t>
        </is>
      </c>
      <c r="E177" s="22" t="inlineStr">
        <is>
          <t>'=XOR(B37&gt;=75, C37&gt;=75)</t>
        </is>
      </c>
      <c r="F177" s="34">
        <f>XOR('XOR'!B37&gt;=75, 'XOR'!C37&gt;=75)</f>
        <v/>
      </c>
      <c r="G177" s="19" t="inlineStr">
        <is>
          <t>Gunakan fungsi logika XOR untuk menguji dua syarat: apakah nilai di B37 minimal 75 (&gt;=75) dan apakah nilai di C37 minimal 75 (&gt;=75)!</t>
        </is>
      </c>
    </row>
    <row r="178">
      <c r="A178" s="5" t="n">
        <v>174</v>
      </c>
      <c r="B178" s="8" t="inlineStr">
        <is>
          <t>XOR</t>
        </is>
      </c>
      <c r="C178" s="6" t="inlineStr">
        <is>
          <t>Soal Tes #4</t>
        </is>
      </c>
      <c r="D178" s="33" t="inlineStr">
        <is>
          <t>XOR!E46</t>
        </is>
      </c>
      <c r="E178" s="22" t="inlineStr">
        <is>
          <t>'=XOR(B45&gt;=75, C45&gt;=75)</t>
        </is>
      </c>
      <c r="F178" s="34">
        <f>XOR('XOR'!B45&gt;=75, 'XOR'!C45&gt;=75)</f>
        <v/>
      </c>
      <c r="G178" s="19" t="inlineStr">
        <is>
          <t>Gunakan fungsi logika XOR untuk menguji dua syarat: apakah nilai di B45 minimal 75 (&gt;=75) dan apakah nilai di C45 minimal 75 (&gt;=75)!</t>
        </is>
      </c>
    </row>
    <row r="179">
      <c r="A179" s="5" t="n">
        <v>175</v>
      </c>
      <c r="B179" s="8" t="inlineStr">
        <is>
          <t>XOR</t>
        </is>
      </c>
      <c r="C179" s="6" t="inlineStr">
        <is>
          <t>Soal Tes #5</t>
        </is>
      </c>
      <c r="D179" s="33" t="inlineStr">
        <is>
          <t>XOR!E54</t>
        </is>
      </c>
      <c r="E179" s="22" t="inlineStr">
        <is>
          <t>'=XOR(B53&gt;=75, C53&gt;=75)</t>
        </is>
      </c>
      <c r="F179" s="34">
        <f>XOR('XOR'!B53&gt;=75, 'XOR'!C53&gt;=75)</f>
        <v/>
      </c>
      <c r="G179" s="19" t="inlineStr">
        <is>
          <t>Gunakan fungsi logika XOR untuk menguji dua syarat: apakah nilai di B53 minimal 75 (&gt;=75) dan apakah nilai di C53 minimal 75 (&gt;=75)!</t>
        </is>
      </c>
    </row>
    <row r="180">
      <c r="A180" s="5" t="n">
        <v>176</v>
      </c>
      <c r="B180" s="8" t="inlineStr">
        <is>
          <t>IFERROR</t>
        </is>
      </c>
      <c r="C180" s="6" t="inlineStr">
        <is>
          <t>Soal Tes #1</t>
        </is>
      </c>
      <c r="D180" s="33" t="inlineStr">
        <is>
          <t>IFERROR!E22</t>
        </is>
      </c>
      <c r="E180" s="22" t="inlineStr">
        <is>
          <t>'=IFERROR(C21/2, 0)</t>
        </is>
      </c>
      <c r="F180" s="34">
        <f>IFERROR('IFERROR'!C21/2, 0)</f>
        <v/>
      </c>
      <c r="G180" s="19" t="inlineStr">
        <is>
          <t>Gunakan fungsi IFERROR untuk membungkus pembagian C21 dibagi 2, dan berikan nilai cadangan 0 jika terjadi error!</t>
        </is>
      </c>
    </row>
    <row r="181">
      <c r="A181" s="5" t="n">
        <v>177</v>
      </c>
      <c r="B181" s="8" t="inlineStr">
        <is>
          <t>IFERROR</t>
        </is>
      </c>
      <c r="C181" s="6" t="inlineStr">
        <is>
          <t>Soal Tes #2</t>
        </is>
      </c>
      <c r="D181" s="33" t="inlineStr">
        <is>
          <t>IFERROR!E30</t>
        </is>
      </c>
      <c r="E181" s="22" t="inlineStr">
        <is>
          <t>'=IFERROR(C29/2, 0)</t>
        </is>
      </c>
      <c r="F181" s="34">
        <f>IFERROR('IFERROR'!C29/2, 0)</f>
        <v/>
      </c>
      <c r="G181" s="19" t="inlineStr">
        <is>
          <t>Gunakan fungsi IFERROR untuk membungkus pembagian C29 dibagi 2, dan berikan nilai cadangan 0 jika terjadi error!</t>
        </is>
      </c>
    </row>
    <row r="182">
      <c r="A182" s="5" t="n">
        <v>178</v>
      </c>
      <c r="B182" s="8" t="inlineStr">
        <is>
          <t>IFERROR</t>
        </is>
      </c>
      <c r="C182" s="6" t="inlineStr">
        <is>
          <t>Soal Tes #3</t>
        </is>
      </c>
      <c r="D182" s="33" t="inlineStr">
        <is>
          <t>IFERROR!E38</t>
        </is>
      </c>
      <c r="E182" s="22" t="inlineStr">
        <is>
          <t>'=IFERROR(C37/2, 0)</t>
        </is>
      </c>
      <c r="F182" s="34">
        <f>IFERROR('IFERROR'!C37/2, 0)</f>
        <v/>
      </c>
      <c r="G182" s="19" t="inlineStr">
        <is>
          <t>Gunakan fungsi IFERROR untuk membungkus pembagian C37 dibagi 2, dan berikan nilai cadangan 0 jika terjadi error!</t>
        </is>
      </c>
    </row>
    <row r="183">
      <c r="A183" s="5" t="n">
        <v>179</v>
      </c>
      <c r="B183" s="8" t="inlineStr">
        <is>
          <t>IFERROR</t>
        </is>
      </c>
      <c r="C183" s="6" t="inlineStr">
        <is>
          <t>Soal Tes #4</t>
        </is>
      </c>
      <c r="D183" s="33" t="inlineStr">
        <is>
          <t>IFERROR!E46</t>
        </is>
      </c>
      <c r="E183" s="22" t="inlineStr">
        <is>
          <t>'=IFERROR(C45/2, 0)</t>
        </is>
      </c>
      <c r="F183" s="34">
        <f>IFERROR('IFERROR'!C45/2, 0)</f>
        <v/>
      </c>
      <c r="G183" s="19" t="inlineStr">
        <is>
          <t>Gunakan fungsi IFERROR untuk membungkus pembagian C45 dibagi 2, dan berikan nilai cadangan 0 jika terjadi error!</t>
        </is>
      </c>
    </row>
    <row r="184">
      <c r="A184" s="5" t="n">
        <v>180</v>
      </c>
      <c r="B184" s="8" t="inlineStr">
        <is>
          <t>IFERROR</t>
        </is>
      </c>
      <c r="C184" s="6" t="inlineStr">
        <is>
          <t>Soal Tes #5</t>
        </is>
      </c>
      <c r="D184" s="33" t="inlineStr">
        <is>
          <t>IFERROR!E54</t>
        </is>
      </c>
      <c r="E184" s="22" t="inlineStr">
        <is>
          <t>'=IFERROR(C53/2, 0)</t>
        </is>
      </c>
      <c r="F184" s="34">
        <f>IFERROR('IFERROR'!C53/2, 0)</f>
        <v/>
      </c>
      <c r="G184" s="19" t="inlineStr">
        <is>
          <t>Gunakan fungsi IFERROR untuk membungkus pembagian C53 dibagi 2, dan berikan nilai cadangan 0 jika terjadi error!</t>
        </is>
      </c>
    </row>
    <row r="185">
      <c r="A185" s="5" t="n">
        <v>181</v>
      </c>
      <c r="B185" s="8" t="inlineStr">
        <is>
          <t>IFNA</t>
        </is>
      </c>
      <c r="C185" s="6" t="inlineStr">
        <is>
          <t>Soal Tes #1</t>
        </is>
      </c>
      <c r="D185" s="33" t="inlineStr">
        <is>
          <t>IFNA!E22</t>
        </is>
      </c>
      <c r="E185" s="22" t="inlineStr">
        <is>
          <t>'=IFNA(C21/2, 0)</t>
        </is>
      </c>
      <c r="F185" s="34">
        <f>IFNA('IFNA'!C21/2, 0)</f>
        <v/>
      </c>
      <c r="G185" s="19" t="inlineStr">
        <is>
          <t>Gunakan fungsi IFNA untuk membungkus pembagian C21 dibagi 2, dan berikan nilai cadangan 0 jika terjadi error!</t>
        </is>
      </c>
    </row>
    <row r="186">
      <c r="A186" s="5" t="n">
        <v>182</v>
      </c>
      <c r="B186" s="8" t="inlineStr">
        <is>
          <t>IFNA</t>
        </is>
      </c>
      <c r="C186" s="6" t="inlineStr">
        <is>
          <t>Soal Tes #2</t>
        </is>
      </c>
      <c r="D186" s="33" t="inlineStr">
        <is>
          <t>IFNA!E30</t>
        </is>
      </c>
      <c r="E186" s="22" t="inlineStr">
        <is>
          <t>'=IFNA(C29/2, 0)</t>
        </is>
      </c>
      <c r="F186" s="34">
        <f>IFNA('IFNA'!C29/2, 0)</f>
        <v/>
      </c>
      <c r="G186" s="19" t="inlineStr">
        <is>
          <t>Gunakan fungsi IFNA untuk membungkus pembagian C29 dibagi 2, dan berikan nilai cadangan 0 jika terjadi error!</t>
        </is>
      </c>
    </row>
    <row r="187">
      <c r="A187" s="5" t="n">
        <v>183</v>
      </c>
      <c r="B187" s="8" t="inlineStr">
        <is>
          <t>IFNA</t>
        </is>
      </c>
      <c r="C187" s="6" t="inlineStr">
        <is>
          <t>Soal Tes #3</t>
        </is>
      </c>
      <c r="D187" s="33" t="inlineStr">
        <is>
          <t>IFNA!E38</t>
        </is>
      </c>
      <c r="E187" s="22" t="inlineStr">
        <is>
          <t>'=IFNA(C37/2, 0)</t>
        </is>
      </c>
      <c r="F187" s="34">
        <f>IFNA('IFNA'!C37/2, 0)</f>
        <v/>
      </c>
      <c r="G187" s="19" t="inlineStr">
        <is>
          <t>Gunakan fungsi IFNA untuk membungkus pembagian C37 dibagi 2, dan berikan nilai cadangan 0 jika terjadi error!</t>
        </is>
      </c>
    </row>
    <row r="188">
      <c r="A188" s="5" t="n">
        <v>184</v>
      </c>
      <c r="B188" s="8" t="inlineStr">
        <is>
          <t>IFNA</t>
        </is>
      </c>
      <c r="C188" s="6" t="inlineStr">
        <is>
          <t>Soal Tes #4</t>
        </is>
      </c>
      <c r="D188" s="33" t="inlineStr">
        <is>
          <t>IFNA!E46</t>
        </is>
      </c>
      <c r="E188" s="22" t="inlineStr">
        <is>
          <t>'=IFNA(C45/2, 0)</t>
        </is>
      </c>
      <c r="F188" s="34">
        <f>IFNA('IFNA'!C45/2, 0)</f>
        <v/>
      </c>
      <c r="G188" s="19" t="inlineStr">
        <is>
          <t>Gunakan fungsi IFNA untuk membungkus pembagian C45 dibagi 2, dan berikan nilai cadangan 0 jika terjadi error!</t>
        </is>
      </c>
    </row>
    <row r="189">
      <c r="A189" s="5" t="n">
        <v>185</v>
      </c>
      <c r="B189" s="8" t="inlineStr">
        <is>
          <t>IFNA</t>
        </is>
      </c>
      <c r="C189" s="6" t="inlineStr">
        <is>
          <t>Soal Tes #5</t>
        </is>
      </c>
      <c r="D189" s="33" t="inlineStr">
        <is>
          <t>IFNA!E54</t>
        </is>
      </c>
      <c r="E189" s="22" t="inlineStr">
        <is>
          <t>'=IFNA(C53/2, 0)</t>
        </is>
      </c>
      <c r="F189" s="34">
        <f>IFNA('IFNA'!C53/2, 0)</f>
        <v/>
      </c>
      <c r="G189" s="19" t="inlineStr">
        <is>
          <t>Gunakan fungsi IFNA untuk membungkus pembagian C53 dibagi 2, dan berikan nilai cadangan 0 jika terjadi error!</t>
        </is>
      </c>
    </row>
    <row r="190">
      <c r="A190" s="5" t="n">
        <v>186</v>
      </c>
      <c r="B190" s="8" t="inlineStr">
        <is>
          <t>TRUE</t>
        </is>
      </c>
      <c r="C190" s="6" t="inlineStr">
        <is>
          <t>Soal Tes #1</t>
        </is>
      </c>
      <c r="D190" s="33" t="inlineStr">
        <is>
          <t>TRUE!E22</t>
        </is>
      </c>
      <c r="E190" s="22" t="inlineStr">
        <is>
          <t>'=TRUE()</t>
        </is>
      </c>
      <c r="F190" s="34">
        <f>TRUE()</f>
        <v/>
      </c>
      <c r="G190" s="19" t="inlineStr">
        <is>
          <t>Panggil fungsi konstanta logika TRUE tanpa argumen di dalam kurung!</t>
        </is>
      </c>
    </row>
    <row r="191">
      <c r="A191" s="5" t="n">
        <v>187</v>
      </c>
      <c r="B191" s="8" t="inlineStr">
        <is>
          <t>TRUE</t>
        </is>
      </c>
      <c r="C191" s="6" t="inlineStr">
        <is>
          <t>Soal Tes #2</t>
        </is>
      </c>
      <c r="D191" s="33" t="inlineStr">
        <is>
          <t>TRUE!E30</t>
        </is>
      </c>
      <c r="E191" s="22" t="inlineStr">
        <is>
          <t>'=TRUE()</t>
        </is>
      </c>
      <c r="F191" s="34">
        <f>TRUE()</f>
        <v/>
      </c>
      <c r="G191" s="19" t="inlineStr">
        <is>
          <t>Panggil fungsi konstanta logika TRUE tanpa argumen di dalam kurung!</t>
        </is>
      </c>
    </row>
    <row r="192">
      <c r="A192" s="5" t="n">
        <v>188</v>
      </c>
      <c r="B192" s="8" t="inlineStr">
        <is>
          <t>TRUE</t>
        </is>
      </c>
      <c r="C192" s="6" t="inlineStr">
        <is>
          <t>Soal Tes #3</t>
        </is>
      </c>
      <c r="D192" s="33" t="inlineStr">
        <is>
          <t>TRUE!E38</t>
        </is>
      </c>
      <c r="E192" s="22" t="inlineStr">
        <is>
          <t>'=TRUE()</t>
        </is>
      </c>
      <c r="F192" s="34">
        <f>TRUE()</f>
        <v/>
      </c>
      <c r="G192" s="19" t="inlineStr">
        <is>
          <t>Panggil fungsi konstanta logika TRUE tanpa argumen di dalam kurung!</t>
        </is>
      </c>
    </row>
    <row r="193">
      <c r="A193" s="5" t="n">
        <v>189</v>
      </c>
      <c r="B193" s="8" t="inlineStr">
        <is>
          <t>TRUE</t>
        </is>
      </c>
      <c r="C193" s="6" t="inlineStr">
        <is>
          <t>Soal Tes #4</t>
        </is>
      </c>
      <c r="D193" s="33" t="inlineStr">
        <is>
          <t>TRUE!E46</t>
        </is>
      </c>
      <c r="E193" s="22" t="inlineStr">
        <is>
          <t>'=TRUE()</t>
        </is>
      </c>
      <c r="F193" s="34">
        <f>TRUE()</f>
        <v/>
      </c>
      <c r="G193" s="19" t="inlineStr">
        <is>
          <t>Panggil fungsi konstanta logika TRUE tanpa argumen di dalam kurung!</t>
        </is>
      </c>
    </row>
    <row r="194">
      <c r="A194" s="5" t="n">
        <v>190</v>
      </c>
      <c r="B194" s="8" t="inlineStr">
        <is>
          <t>TRUE</t>
        </is>
      </c>
      <c r="C194" s="6" t="inlineStr">
        <is>
          <t>Soal Tes #5</t>
        </is>
      </c>
      <c r="D194" s="33" t="inlineStr">
        <is>
          <t>TRUE!E54</t>
        </is>
      </c>
      <c r="E194" s="22" t="inlineStr">
        <is>
          <t>'=TRUE()</t>
        </is>
      </c>
      <c r="F194" s="34">
        <f>TRUE()</f>
        <v/>
      </c>
      <c r="G194" s="19" t="inlineStr">
        <is>
          <t>Panggil fungsi konstanta logika TRUE tanpa argumen di dalam kurung!</t>
        </is>
      </c>
    </row>
    <row r="195">
      <c r="A195" s="5" t="n">
        <v>191</v>
      </c>
      <c r="B195" s="8" t="inlineStr">
        <is>
          <t>FALSE</t>
        </is>
      </c>
      <c r="C195" s="6" t="inlineStr">
        <is>
          <t>Soal Tes #1</t>
        </is>
      </c>
      <c r="D195" s="33" t="inlineStr">
        <is>
          <t>FALSE!E22</t>
        </is>
      </c>
      <c r="E195" s="22" t="inlineStr">
        <is>
          <t>'=FALSE()</t>
        </is>
      </c>
      <c r="F195" s="34">
        <f>FALSE()</f>
        <v/>
      </c>
      <c r="G195" s="19" t="inlineStr">
        <is>
          <t>Panggil fungsi konstanta logika FALSE tanpa argumen di dalam kurung!</t>
        </is>
      </c>
    </row>
    <row r="196">
      <c r="A196" s="5" t="n">
        <v>192</v>
      </c>
      <c r="B196" s="8" t="inlineStr">
        <is>
          <t>FALSE</t>
        </is>
      </c>
      <c r="C196" s="6" t="inlineStr">
        <is>
          <t>Soal Tes #2</t>
        </is>
      </c>
      <c r="D196" s="33" t="inlineStr">
        <is>
          <t>FALSE!E30</t>
        </is>
      </c>
      <c r="E196" s="22" t="inlineStr">
        <is>
          <t>'=FALSE()</t>
        </is>
      </c>
      <c r="F196" s="34">
        <f>FALSE()</f>
        <v/>
      </c>
      <c r="G196" s="19" t="inlineStr">
        <is>
          <t>Panggil fungsi konstanta logika FALSE tanpa argumen di dalam kurung!</t>
        </is>
      </c>
    </row>
    <row r="197">
      <c r="A197" s="5" t="n">
        <v>193</v>
      </c>
      <c r="B197" s="8" t="inlineStr">
        <is>
          <t>FALSE</t>
        </is>
      </c>
      <c r="C197" s="6" t="inlineStr">
        <is>
          <t>Soal Tes #3</t>
        </is>
      </c>
      <c r="D197" s="33" t="inlineStr">
        <is>
          <t>FALSE!E38</t>
        </is>
      </c>
      <c r="E197" s="22" t="inlineStr">
        <is>
          <t>'=FALSE()</t>
        </is>
      </c>
      <c r="F197" s="34">
        <f>FALSE()</f>
        <v/>
      </c>
      <c r="G197" s="19" t="inlineStr">
        <is>
          <t>Panggil fungsi konstanta logika FALSE tanpa argumen di dalam kurung!</t>
        </is>
      </c>
    </row>
    <row r="198">
      <c r="A198" s="5" t="n">
        <v>194</v>
      </c>
      <c r="B198" s="8" t="inlineStr">
        <is>
          <t>FALSE</t>
        </is>
      </c>
      <c r="C198" s="6" t="inlineStr">
        <is>
          <t>Soal Tes #4</t>
        </is>
      </c>
      <c r="D198" s="33" t="inlineStr">
        <is>
          <t>FALSE!E46</t>
        </is>
      </c>
      <c r="E198" s="22" t="inlineStr">
        <is>
          <t>'=FALSE()</t>
        </is>
      </c>
      <c r="F198" s="34">
        <f>FALSE()</f>
        <v/>
      </c>
      <c r="G198" s="19" t="inlineStr">
        <is>
          <t>Panggil fungsi konstanta logika FALSE tanpa argumen di dalam kurung!</t>
        </is>
      </c>
    </row>
    <row r="199">
      <c r="A199" s="5" t="n">
        <v>195</v>
      </c>
      <c r="B199" s="8" t="inlineStr">
        <is>
          <t>FALSE</t>
        </is>
      </c>
      <c r="C199" s="6" t="inlineStr">
        <is>
          <t>Soal Tes #5</t>
        </is>
      </c>
      <c r="D199" s="33" t="inlineStr">
        <is>
          <t>FALSE!E54</t>
        </is>
      </c>
      <c r="E199" s="22" t="inlineStr">
        <is>
          <t>'=FALSE()</t>
        </is>
      </c>
      <c r="F199" s="34">
        <f>FALSE()</f>
        <v/>
      </c>
      <c r="G199" s="19" t="inlineStr">
        <is>
          <t>Panggil fungsi konstanta logika FALSE tanpa argumen di dalam kurung!</t>
        </is>
      </c>
    </row>
    <row r="200">
      <c r="A200" s="5" t="n">
        <v>196</v>
      </c>
      <c r="B200" s="8" t="inlineStr">
        <is>
          <t>VLOOKUP</t>
        </is>
      </c>
      <c r="C200" s="6" t="inlineStr">
        <is>
          <t>Soal Tes #1</t>
        </is>
      </c>
      <c r="D200" s="33" t="inlineStr">
        <is>
          <t>VLOOKUP!E22</t>
        </is>
      </c>
      <c r="E200" s="22" t="inlineStr">
        <is>
          <t>'=VLOOKUP("K01", B21:C24, 2, FALSE)</t>
        </is>
      </c>
      <c r="F200" s="34">
        <f>VLOOKUP("K01", 'VLOOKUP'!B21:C24, 2, FALSE)</f>
        <v/>
      </c>
      <c r="G200" s="19" t="inlineStr">
        <is>
          <t>Cari harga untuk kode "K01" pada tabel referensi B21:C24 (ambil kolom ke-2 dengan pencocokan eksak FALSE) menggunakan fungsi VLOOKUP!</t>
        </is>
      </c>
    </row>
    <row r="201">
      <c r="A201" s="5" t="n">
        <v>197</v>
      </c>
      <c r="B201" s="8" t="inlineStr">
        <is>
          <t>VLOOKUP</t>
        </is>
      </c>
      <c r="C201" s="6" t="inlineStr">
        <is>
          <t>Soal Tes #2</t>
        </is>
      </c>
      <c r="D201" s="33" t="inlineStr">
        <is>
          <t>VLOOKUP!E30</t>
        </is>
      </c>
      <c r="E201" s="22" t="inlineStr">
        <is>
          <t>'=VLOOKUP("K02", B29:C32, 2, FALSE)</t>
        </is>
      </c>
      <c r="F201" s="34">
        <f>VLOOKUP("K02", 'VLOOKUP'!B29:C32, 2, FALSE)</f>
        <v/>
      </c>
      <c r="G201" s="19" t="inlineStr">
        <is>
          <t>Cari harga untuk kode "K02" pada tabel referensi B29:C32 (ambil kolom ke-2 dengan pencocokan eksak FALSE) menggunakan fungsi VLOOKUP!</t>
        </is>
      </c>
    </row>
    <row r="202">
      <c r="A202" s="5" t="n">
        <v>198</v>
      </c>
      <c r="B202" s="8" t="inlineStr">
        <is>
          <t>VLOOKUP</t>
        </is>
      </c>
      <c r="C202" s="6" t="inlineStr">
        <is>
          <t>Soal Tes #3</t>
        </is>
      </c>
      <c r="D202" s="33" t="inlineStr">
        <is>
          <t>VLOOKUP!E38</t>
        </is>
      </c>
      <c r="E202" s="22" t="inlineStr">
        <is>
          <t>'=VLOOKUP("K03", B37:C40, 2, FALSE)</t>
        </is>
      </c>
      <c r="F202" s="34">
        <f>VLOOKUP("K03", 'VLOOKUP'!B37:C40, 2, FALSE)</f>
        <v/>
      </c>
      <c r="G202" s="19" t="inlineStr">
        <is>
          <t>Cari harga untuk kode "K03" pada tabel referensi B37:C40 (ambil kolom ke-2 dengan pencocokan eksak FALSE) menggunakan fungsi VLOOKUP!</t>
        </is>
      </c>
    </row>
    <row r="203">
      <c r="A203" s="5" t="n">
        <v>199</v>
      </c>
      <c r="B203" s="8" t="inlineStr">
        <is>
          <t>VLOOKUP</t>
        </is>
      </c>
      <c r="C203" s="6" t="inlineStr">
        <is>
          <t>Soal Tes #4</t>
        </is>
      </c>
      <c r="D203" s="33" t="inlineStr">
        <is>
          <t>VLOOKUP!E46</t>
        </is>
      </c>
      <c r="E203" s="22" t="inlineStr">
        <is>
          <t>'=VLOOKUP("K04", B45:C48, 2, FALSE)</t>
        </is>
      </c>
      <c r="F203" s="34">
        <f>VLOOKUP("K04", 'VLOOKUP'!B45:C48, 2, FALSE)</f>
        <v/>
      </c>
      <c r="G203" s="19" t="inlineStr">
        <is>
          <t>Cari harga untuk kode "K04" pada tabel referensi B45:C48 (ambil kolom ke-2 dengan pencocokan eksak FALSE) menggunakan fungsi VLOOKUP!</t>
        </is>
      </c>
    </row>
    <row r="204">
      <c r="A204" s="5" t="n">
        <v>200</v>
      </c>
      <c r="B204" s="8" t="inlineStr">
        <is>
          <t>VLOOKUP</t>
        </is>
      </c>
      <c r="C204" s="6" t="inlineStr">
        <is>
          <t>Soal Tes #5</t>
        </is>
      </c>
      <c r="D204" s="33" t="inlineStr">
        <is>
          <t>VLOOKUP!E54</t>
        </is>
      </c>
      <c r="E204" s="22" t="inlineStr">
        <is>
          <t>'=VLOOKUP("K01", B53:C56, 2, FALSE)</t>
        </is>
      </c>
      <c r="F204" s="34">
        <f>VLOOKUP("K01", 'VLOOKUP'!B53:C56, 2, FALSE)</f>
        <v/>
      </c>
      <c r="G204" s="19" t="inlineStr">
        <is>
          <t>Cari harga untuk kode "K01" pada tabel referensi B53:C56 (ambil kolom ke-2 dengan pencocokan eksak FALSE) menggunakan fungsi VLOOKUP!</t>
        </is>
      </c>
    </row>
    <row r="205">
      <c r="A205" s="5" t="n">
        <v>201</v>
      </c>
      <c r="B205" s="8" t="inlineStr">
        <is>
          <t>HLOOKUP</t>
        </is>
      </c>
      <c r="C205" s="6" t="inlineStr">
        <is>
          <t>Soal Tes #1</t>
        </is>
      </c>
      <c r="D205" s="33" t="inlineStr">
        <is>
          <t>HLOOKUP!E22</t>
        </is>
      </c>
      <c r="E205" s="22" t="inlineStr">
        <is>
          <t>'=HLOOKUP(C21, C21:C24, 2, FALSE)</t>
        </is>
      </c>
      <c r="F205" s="34">
        <f>HLOOKUP('HLOOKUP'!C21, 'HLOOKUP'!C21:C24, 2, FALSE)</f>
        <v/>
      </c>
      <c r="G205" s="19" t="inlineStr">
        <is>
          <t>Cari nilai sel C21 pada blok C21:C24 lalu ambil baris ke-2 secara eksak (FALSE) menggunakan fungsi HLOOKUP!</t>
        </is>
      </c>
    </row>
    <row r="206">
      <c r="A206" s="5" t="n">
        <v>202</v>
      </c>
      <c r="B206" s="8" t="inlineStr">
        <is>
          <t>HLOOKUP</t>
        </is>
      </c>
      <c r="C206" s="6" t="inlineStr">
        <is>
          <t>Soal Tes #2</t>
        </is>
      </c>
      <c r="D206" s="33" t="inlineStr">
        <is>
          <t>HLOOKUP!E30</t>
        </is>
      </c>
      <c r="E206" s="22" t="inlineStr">
        <is>
          <t>'=HLOOKUP(C29, C29:C32, 2, FALSE)</t>
        </is>
      </c>
      <c r="F206" s="34">
        <f>HLOOKUP('HLOOKUP'!C29, 'HLOOKUP'!C29:C32, 2, FALSE)</f>
        <v/>
      </c>
      <c r="G206" s="19" t="inlineStr">
        <is>
          <t>Cari nilai sel C29 pada blok C29:C32 lalu ambil baris ke-2 secara eksak (FALSE) menggunakan fungsi HLOOKUP!</t>
        </is>
      </c>
    </row>
    <row r="207">
      <c r="A207" s="5" t="n">
        <v>203</v>
      </c>
      <c r="B207" s="8" t="inlineStr">
        <is>
          <t>HLOOKUP</t>
        </is>
      </c>
      <c r="C207" s="6" t="inlineStr">
        <is>
          <t>Soal Tes #3</t>
        </is>
      </c>
      <c r="D207" s="33" t="inlineStr">
        <is>
          <t>HLOOKUP!E38</t>
        </is>
      </c>
      <c r="E207" s="22" t="inlineStr">
        <is>
          <t>'=HLOOKUP(C37, C37:C40, 2, FALSE)</t>
        </is>
      </c>
      <c r="F207" s="34">
        <f>HLOOKUP('HLOOKUP'!C37, 'HLOOKUP'!C37:C40, 2, FALSE)</f>
        <v/>
      </c>
      <c r="G207" s="19" t="inlineStr">
        <is>
          <t>Cari nilai sel C37 pada blok C37:C40 lalu ambil baris ke-2 secara eksak (FALSE) menggunakan fungsi HLOOKUP!</t>
        </is>
      </c>
    </row>
    <row r="208">
      <c r="A208" s="5" t="n">
        <v>204</v>
      </c>
      <c r="B208" s="8" t="inlineStr">
        <is>
          <t>HLOOKUP</t>
        </is>
      </c>
      <c r="C208" s="6" t="inlineStr">
        <is>
          <t>Soal Tes #4</t>
        </is>
      </c>
      <c r="D208" s="33" t="inlineStr">
        <is>
          <t>HLOOKUP!E46</t>
        </is>
      </c>
      <c r="E208" s="22" t="inlineStr">
        <is>
          <t>'=HLOOKUP(C45, C45:C48, 2, FALSE)</t>
        </is>
      </c>
      <c r="F208" s="34">
        <f>HLOOKUP('HLOOKUP'!C45, 'HLOOKUP'!C45:C48, 2, FALSE)</f>
        <v/>
      </c>
      <c r="G208" s="19" t="inlineStr">
        <is>
          <t>Cari nilai sel C45 pada blok C45:C48 lalu ambil baris ke-2 secara eksak (FALSE) menggunakan fungsi HLOOKUP!</t>
        </is>
      </c>
    </row>
    <row r="209">
      <c r="A209" s="5" t="n">
        <v>205</v>
      </c>
      <c r="B209" s="8" t="inlineStr">
        <is>
          <t>HLOOKUP</t>
        </is>
      </c>
      <c r="C209" s="6" t="inlineStr">
        <is>
          <t>Soal Tes #5</t>
        </is>
      </c>
      <c r="D209" s="33" t="inlineStr">
        <is>
          <t>HLOOKUP!E54</t>
        </is>
      </c>
      <c r="E209" s="22" t="inlineStr">
        <is>
          <t>'=HLOOKUP(C53, C53:C56, 2, FALSE)</t>
        </is>
      </c>
      <c r="F209" s="34">
        <f>HLOOKUP('HLOOKUP'!C53, 'HLOOKUP'!C53:C56, 2, FALSE)</f>
        <v/>
      </c>
      <c r="G209" s="19" t="inlineStr">
        <is>
          <t>Cari nilai sel C53 pada blok C53:C56 lalu ambil baris ke-2 secara eksak (FALSE) menggunakan fungsi HLOOKUP!</t>
        </is>
      </c>
    </row>
    <row r="210">
      <c r="A210" s="5" t="n">
        <v>206</v>
      </c>
      <c r="B210" s="8" t="inlineStr">
        <is>
          <t>INDEX</t>
        </is>
      </c>
      <c r="C210" s="6" t="inlineStr">
        <is>
          <t>Soal Tes #1</t>
        </is>
      </c>
      <c r="D210" s="33" t="inlineStr">
        <is>
          <t>INDEX!E22</t>
        </is>
      </c>
      <c r="E210" s="22" t="inlineStr">
        <is>
          <t>'=INDEX(C21:C24, 1)</t>
        </is>
      </c>
      <c r="F210" s="34">
        <f>INDEX('INDEX'!C21:C24, 1)</f>
        <v/>
      </c>
      <c r="G210" s="19" t="inlineStr">
        <is>
          <t>Ambil data yang berada pada urutan baris ke-1 dari rentang C21:C24 menggunakan fungsi INDEX!</t>
        </is>
      </c>
    </row>
    <row r="211">
      <c r="A211" s="5" t="n">
        <v>207</v>
      </c>
      <c r="B211" s="8" t="inlineStr">
        <is>
          <t>INDEX</t>
        </is>
      </c>
      <c r="C211" s="6" t="inlineStr">
        <is>
          <t>Soal Tes #2</t>
        </is>
      </c>
      <c r="D211" s="33" t="inlineStr">
        <is>
          <t>INDEX!E30</t>
        </is>
      </c>
      <c r="E211" s="22" t="inlineStr">
        <is>
          <t>'=INDEX(C29:C32, 2)</t>
        </is>
      </c>
      <c r="F211" s="34">
        <f>INDEX('INDEX'!C29:C32, 2)</f>
        <v/>
      </c>
      <c r="G211" s="19" t="inlineStr">
        <is>
          <t>Ambil data yang berada pada urutan baris ke-2 dari rentang C29:C32 menggunakan fungsi INDEX!</t>
        </is>
      </c>
    </row>
    <row r="212">
      <c r="A212" s="5" t="n">
        <v>208</v>
      </c>
      <c r="B212" s="8" t="inlineStr">
        <is>
          <t>INDEX</t>
        </is>
      </c>
      <c r="C212" s="6" t="inlineStr">
        <is>
          <t>Soal Tes #3</t>
        </is>
      </c>
      <c r="D212" s="33" t="inlineStr">
        <is>
          <t>INDEX!E38</t>
        </is>
      </c>
      <c r="E212" s="22" t="inlineStr">
        <is>
          <t>'=INDEX(C37:C40, 3)</t>
        </is>
      </c>
      <c r="F212" s="34">
        <f>INDEX('INDEX'!C37:C40, 3)</f>
        <v/>
      </c>
      <c r="G212" s="19" t="inlineStr">
        <is>
          <t>Ambil data yang berada pada urutan baris ke-3 dari rentang C37:C40 menggunakan fungsi INDEX!</t>
        </is>
      </c>
    </row>
    <row r="213">
      <c r="A213" s="5" t="n">
        <v>209</v>
      </c>
      <c r="B213" s="8" t="inlineStr">
        <is>
          <t>INDEX</t>
        </is>
      </c>
      <c r="C213" s="6" t="inlineStr">
        <is>
          <t>Soal Tes #4</t>
        </is>
      </c>
      <c r="D213" s="33" t="inlineStr">
        <is>
          <t>INDEX!E46</t>
        </is>
      </c>
      <c r="E213" s="22" t="inlineStr">
        <is>
          <t>'=INDEX(C45:C48, 4)</t>
        </is>
      </c>
      <c r="F213" s="34">
        <f>INDEX('INDEX'!C45:C48, 4)</f>
        <v/>
      </c>
      <c r="G213" s="19" t="inlineStr">
        <is>
          <t>Ambil data yang berada pada urutan baris ke-4 dari rentang C45:C48 menggunakan fungsi INDEX!</t>
        </is>
      </c>
    </row>
    <row r="214">
      <c r="A214" s="5" t="n">
        <v>210</v>
      </c>
      <c r="B214" s="8" t="inlineStr">
        <is>
          <t>INDEX</t>
        </is>
      </c>
      <c r="C214" s="6" t="inlineStr">
        <is>
          <t>Soal Tes #5</t>
        </is>
      </c>
      <c r="D214" s="33" t="inlineStr">
        <is>
          <t>INDEX!E54</t>
        </is>
      </c>
      <c r="E214" s="22" t="inlineStr">
        <is>
          <t>'=INDEX(C53:C56, 1)</t>
        </is>
      </c>
      <c r="F214" s="34">
        <f>INDEX('INDEX'!C53:C56, 1)</f>
        <v/>
      </c>
      <c r="G214" s="19" t="inlineStr">
        <is>
          <t>Ambil data yang berada pada urutan baris ke-1 dari rentang C53:C56 menggunakan fungsi INDEX!</t>
        </is>
      </c>
    </row>
    <row r="215">
      <c r="A215" s="5" t="n">
        <v>211</v>
      </c>
      <c r="B215" s="8" t="inlineStr">
        <is>
          <t>MATCH</t>
        </is>
      </c>
      <c r="C215" s="6" t="inlineStr">
        <is>
          <t>Soal Tes #1</t>
        </is>
      </c>
      <c r="D215" s="33" t="inlineStr">
        <is>
          <t>MATCH!E22</t>
        </is>
      </c>
      <c r="E215" s="22" t="inlineStr">
        <is>
          <t>'=MATCH("Cabang Jakarta", B21:B24, 0)</t>
        </is>
      </c>
      <c r="F215" s="34">
        <f>MATCH("Cabang Jakarta", 'MATCH'!B21:B24, 0)</f>
        <v/>
      </c>
      <c r="G215" s="19" t="inlineStr">
        <is>
          <t>Temukan nomor urut baris dari teks "Cabang Jakarta" di dalam rentang B21:B24 (tipe pencocokan eksak 0) menggunakan fungsi MATCH!</t>
        </is>
      </c>
    </row>
    <row r="216">
      <c r="A216" s="5" t="n">
        <v>212</v>
      </c>
      <c r="B216" s="8" t="inlineStr">
        <is>
          <t>MATCH</t>
        </is>
      </c>
      <c r="C216" s="6" t="inlineStr">
        <is>
          <t>Soal Tes #2</t>
        </is>
      </c>
      <c r="D216" s="33" t="inlineStr">
        <is>
          <t>MATCH!E30</t>
        </is>
      </c>
      <c r="E216" s="22" t="inlineStr">
        <is>
          <t>'=MATCH("Siti Aminah", B29:B32, 0)</t>
        </is>
      </c>
      <c r="F216" s="34">
        <f>MATCH("Siti Aminah", 'MATCH'!B29:B32, 0)</f>
        <v/>
      </c>
      <c r="G216" s="19" t="inlineStr">
        <is>
          <t>Temukan nomor urut baris dari teks "Siti Aminah" di dalam rentang B29:B32 (tipe pencocokan eksak 0) menggunakan fungsi MATCH!</t>
        </is>
      </c>
    </row>
    <row r="217">
      <c r="A217" s="5" t="n">
        <v>213</v>
      </c>
      <c r="B217" s="8" t="inlineStr">
        <is>
          <t>MATCH</t>
        </is>
      </c>
      <c r="C217" s="6" t="inlineStr">
        <is>
          <t>Soal Tes #3</t>
        </is>
      </c>
      <c r="D217" s="33" t="inlineStr">
        <is>
          <t>MATCH!E38</t>
        </is>
      </c>
      <c r="E217" s="22" t="inlineStr">
        <is>
          <t>'=MATCH("Gudang Blok C", B37:B40, 0)</t>
        </is>
      </c>
      <c r="F217" s="34">
        <f>MATCH("Gudang Blok C", 'MATCH'!B37:B40, 0)</f>
        <v/>
      </c>
      <c r="G217" s="19" t="inlineStr">
        <is>
          <t>Temukan nomor urut baris dari teks "Gudang Blok C" di dalam rentang B37:B40 (tipe pencocokan eksak 0) menggunakan fungsi MATCH!</t>
        </is>
      </c>
    </row>
    <row r="218">
      <c r="A218" s="5" t="n">
        <v>214</v>
      </c>
      <c r="B218" s="8" t="inlineStr">
        <is>
          <t>MATCH</t>
        </is>
      </c>
      <c r="C218" s="6" t="inlineStr">
        <is>
          <t>Soal Tes #4</t>
        </is>
      </c>
      <c r="D218" s="33" t="inlineStr">
        <is>
          <t>MATCH!E46</t>
        </is>
      </c>
      <c r="E218" s="22" t="inlineStr">
        <is>
          <t>'=MATCH("Toko Servis", B45:B48, 0)</t>
        </is>
      </c>
      <c r="F218" s="34">
        <f>MATCH("Toko Servis", 'MATCH'!B45:B48, 0)</f>
        <v/>
      </c>
      <c r="G218" s="19" t="inlineStr">
        <is>
          <t>Temukan nomor urut baris dari teks "Toko Servis" di dalam rentang B45:B48 (tipe pencocokan eksak 0) menggunakan fungsi MATCH!</t>
        </is>
      </c>
    </row>
    <row r="219">
      <c r="A219" s="5" t="n">
        <v>215</v>
      </c>
      <c r="B219" s="8" t="inlineStr">
        <is>
          <t>MATCH</t>
        </is>
      </c>
      <c r="C219" s="6" t="inlineStr">
        <is>
          <t>Soal Tes #5</t>
        </is>
      </c>
      <c r="D219" s="33" t="inlineStr">
        <is>
          <t>MATCH!E54</t>
        </is>
      </c>
      <c r="E219" s="22" t="inlineStr">
        <is>
          <t>'=MATCH("Kelas 10 IPA", B53:B56, 0)</t>
        </is>
      </c>
      <c r="F219" s="34">
        <f>MATCH("Kelas 10 IPA", 'MATCH'!B53:B56, 0)</f>
        <v/>
      </c>
      <c r="G219" s="19" t="inlineStr">
        <is>
          <t>Temukan nomor urut baris dari teks "Kelas 10 IPA" di dalam rentang B53:B56 (tipe pencocokan eksak 0) menggunakan fungsi MATCH!</t>
        </is>
      </c>
    </row>
    <row r="220">
      <c r="A220" s="5" t="n">
        <v>216</v>
      </c>
      <c r="B220" s="8" t="inlineStr">
        <is>
          <t>CHOOSE</t>
        </is>
      </c>
      <c r="C220" s="6" t="inlineStr">
        <is>
          <t>Soal Tes #1</t>
        </is>
      </c>
      <c r="D220" s="33" t="inlineStr">
        <is>
          <t>CHOOSE!E22</t>
        </is>
      </c>
      <c r="E220" s="22" t="inlineStr">
        <is>
          <t>'=CHOOSE(1, C21, C22, C23)</t>
        </is>
      </c>
      <c r="F220" s="34">
        <f>CHOOSE(1, 'CHOOSE'!C21, 'CHOOSE'!C22, 'CHOOSE'!C23)</f>
        <v/>
      </c>
      <c r="G220" s="19" t="inlineStr">
        <is>
          <t>Pilih opsi urutan ke-1 dari tiga kandidat sel berurutan C21, C22, dan C23 menggunakan fungsi CHOOSE!</t>
        </is>
      </c>
    </row>
    <row r="221">
      <c r="A221" s="5" t="n">
        <v>217</v>
      </c>
      <c r="B221" s="8" t="inlineStr">
        <is>
          <t>CHOOSE</t>
        </is>
      </c>
      <c r="C221" s="6" t="inlineStr">
        <is>
          <t>Soal Tes #2</t>
        </is>
      </c>
      <c r="D221" s="33" t="inlineStr">
        <is>
          <t>CHOOSE!E30</t>
        </is>
      </c>
      <c r="E221" s="22" t="inlineStr">
        <is>
          <t>'=CHOOSE(2, C29, C30, C31)</t>
        </is>
      </c>
      <c r="F221" s="34">
        <f>CHOOSE(2, 'CHOOSE'!C29, 'CHOOSE'!C30, 'CHOOSE'!C31)</f>
        <v/>
      </c>
      <c r="G221" s="19" t="inlineStr">
        <is>
          <t>Pilih opsi urutan ke-2 dari tiga kandidat sel berurutan C29, C30, dan C31 menggunakan fungsi CHOOSE!</t>
        </is>
      </c>
    </row>
    <row r="222">
      <c r="A222" s="5" t="n">
        <v>218</v>
      </c>
      <c r="B222" s="8" t="inlineStr">
        <is>
          <t>CHOOSE</t>
        </is>
      </c>
      <c r="C222" s="6" t="inlineStr">
        <is>
          <t>Soal Tes #3</t>
        </is>
      </c>
      <c r="D222" s="33" t="inlineStr">
        <is>
          <t>CHOOSE!E38</t>
        </is>
      </c>
      <c r="E222" s="22" t="inlineStr">
        <is>
          <t>'=CHOOSE(3, C37, C38, C39)</t>
        </is>
      </c>
      <c r="F222" s="34">
        <f>CHOOSE(3, 'CHOOSE'!C37, 'CHOOSE'!C38, 'CHOOSE'!C39)</f>
        <v/>
      </c>
      <c r="G222" s="19" t="inlineStr">
        <is>
          <t>Pilih opsi urutan ke-3 dari tiga kandidat sel berurutan C37, C38, dan C39 menggunakan fungsi CHOOSE!</t>
        </is>
      </c>
    </row>
    <row r="223">
      <c r="A223" s="5" t="n">
        <v>219</v>
      </c>
      <c r="B223" s="8" t="inlineStr">
        <is>
          <t>CHOOSE</t>
        </is>
      </c>
      <c r="C223" s="6" t="inlineStr">
        <is>
          <t>Soal Tes #4</t>
        </is>
      </c>
      <c r="D223" s="33" t="inlineStr">
        <is>
          <t>CHOOSE!E46</t>
        </is>
      </c>
      <c r="E223" s="22" t="inlineStr">
        <is>
          <t>'=CHOOSE(1, C45, C46, C47)</t>
        </is>
      </c>
      <c r="F223" s="34">
        <f>CHOOSE(1, 'CHOOSE'!C45, 'CHOOSE'!C46, 'CHOOSE'!C47)</f>
        <v/>
      </c>
      <c r="G223" s="19" t="inlineStr">
        <is>
          <t>Pilih opsi urutan ke-1 dari tiga kandidat sel berurutan C45, C46, dan C47 menggunakan fungsi CHOOSE!</t>
        </is>
      </c>
    </row>
    <row r="224">
      <c r="A224" s="5" t="n">
        <v>220</v>
      </c>
      <c r="B224" s="8" t="inlineStr">
        <is>
          <t>CHOOSE</t>
        </is>
      </c>
      <c r="C224" s="6" t="inlineStr">
        <is>
          <t>Soal Tes #5</t>
        </is>
      </c>
      <c r="D224" s="33" t="inlineStr">
        <is>
          <t>CHOOSE!E54</t>
        </is>
      </c>
      <c r="E224" s="22" t="inlineStr">
        <is>
          <t>'=CHOOSE(2, C53, C54, C55)</t>
        </is>
      </c>
      <c r="F224" s="34">
        <f>CHOOSE(2, 'CHOOSE'!C53, 'CHOOSE'!C54, 'CHOOSE'!C55)</f>
        <v/>
      </c>
      <c r="G224" s="19" t="inlineStr">
        <is>
          <t>Pilih opsi urutan ke-2 dari tiga kandidat sel berurutan C53, C54, dan C55 menggunakan fungsi CHOOSE!</t>
        </is>
      </c>
    </row>
    <row r="225">
      <c r="A225" s="5" t="n">
        <v>221</v>
      </c>
      <c r="B225" s="8" t="inlineStr">
        <is>
          <t>ROW</t>
        </is>
      </c>
      <c r="C225" s="6" t="inlineStr">
        <is>
          <t>Soal Tes #1</t>
        </is>
      </c>
      <c r="D225" s="33" t="inlineStr">
        <is>
          <t>ROW!E22</t>
        </is>
      </c>
      <c r="E225" s="22" t="inlineStr">
        <is>
          <t>'=ROW(C21)</t>
        </is>
      </c>
      <c r="F225" s="34">
        <f>ROW('ROW'!C21)</f>
        <v/>
      </c>
      <c r="G225" s="19" t="inlineStr">
        <is>
          <t>Periksa nomor urut posisi sel C21 menggunakan fungsi referensi ROW!</t>
        </is>
      </c>
    </row>
    <row r="226">
      <c r="A226" s="5" t="n">
        <v>222</v>
      </c>
      <c r="B226" s="8" t="inlineStr">
        <is>
          <t>ROW</t>
        </is>
      </c>
      <c r="C226" s="6" t="inlineStr">
        <is>
          <t>Soal Tes #2</t>
        </is>
      </c>
      <c r="D226" s="33" t="inlineStr">
        <is>
          <t>ROW!E30</t>
        </is>
      </c>
      <c r="E226" s="22" t="inlineStr">
        <is>
          <t>'=ROW(C29)</t>
        </is>
      </c>
      <c r="F226" s="34">
        <f>ROW('ROW'!C29)</f>
        <v/>
      </c>
      <c r="G226" s="19" t="inlineStr">
        <is>
          <t>Periksa nomor urut posisi sel C29 menggunakan fungsi referensi ROW!</t>
        </is>
      </c>
    </row>
    <row r="227">
      <c r="A227" s="5" t="n">
        <v>223</v>
      </c>
      <c r="B227" s="8" t="inlineStr">
        <is>
          <t>ROW</t>
        </is>
      </c>
      <c r="C227" s="6" t="inlineStr">
        <is>
          <t>Soal Tes #3</t>
        </is>
      </c>
      <c r="D227" s="33" t="inlineStr">
        <is>
          <t>ROW!E38</t>
        </is>
      </c>
      <c r="E227" s="22" t="inlineStr">
        <is>
          <t>'=ROW(C37)</t>
        </is>
      </c>
      <c r="F227" s="34">
        <f>ROW('ROW'!C37)</f>
        <v/>
      </c>
      <c r="G227" s="19" t="inlineStr">
        <is>
          <t>Periksa nomor urut posisi sel C37 menggunakan fungsi referensi ROW!</t>
        </is>
      </c>
    </row>
    <row r="228">
      <c r="A228" s="5" t="n">
        <v>224</v>
      </c>
      <c r="B228" s="8" t="inlineStr">
        <is>
          <t>ROW</t>
        </is>
      </c>
      <c r="C228" s="6" t="inlineStr">
        <is>
          <t>Soal Tes #4</t>
        </is>
      </c>
      <c r="D228" s="33" t="inlineStr">
        <is>
          <t>ROW!E46</t>
        </is>
      </c>
      <c r="E228" s="22" t="inlineStr">
        <is>
          <t>'=ROW(C45)</t>
        </is>
      </c>
      <c r="F228" s="34">
        <f>ROW('ROW'!C45)</f>
        <v/>
      </c>
      <c r="G228" s="19" t="inlineStr">
        <is>
          <t>Periksa nomor urut posisi sel C45 menggunakan fungsi referensi ROW!</t>
        </is>
      </c>
    </row>
    <row r="229">
      <c r="A229" s="5" t="n">
        <v>225</v>
      </c>
      <c r="B229" s="8" t="inlineStr">
        <is>
          <t>ROW</t>
        </is>
      </c>
      <c r="C229" s="6" t="inlineStr">
        <is>
          <t>Soal Tes #5</t>
        </is>
      </c>
      <c r="D229" s="33" t="inlineStr">
        <is>
          <t>ROW!E54</t>
        </is>
      </c>
      <c r="E229" s="22" t="inlineStr">
        <is>
          <t>'=ROW(C53)</t>
        </is>
      </c>
      <c r="F229" s="34">
        <f>ROW('ROW'!C53)</f>
        <v/>
      </c>
      <c r="G229" s="19" t="inlineStr">
        <is>
          <t>Periksa nomor urut posisi sel C53 menggunakan fungsi referensi ROW!</t>
        </is>
      </c>
    </row>
    <row r="230">
      <c r="A230" s="5" t="n">
        <v>226</v>
      </c>
      <c r="B230" s="8" t="inlineStr">
        <is>
          <t>COLUMN</t>
        </is>
      </c>
      <c r="C230" s="6" t="inlineStr">
        <is>
          <t>Soal Tes #1</t>
        </is>
      </c>
      <c r="D230" s="33" t="inlineStr">
        <is>
          <t>COLUMN!E22</t>
        </is>
      </c>
      <c r="E230" s="22" t="inlineStr">
        <is>
          <t>'=COLUMN(C21)</t>
        </is>
      </c>
      <c r="F230" s="34">
        <f>COLUMN('COLUMN'!C21)</f>
        <v/>
      </c>
      <c r="G230" s="19" t="inlineStr">
        <is>
          <t>Periksa nomor urut posisi sel C21 menggunakan fungsi referensi COLUMN!</t>
        </is>
      </c>
    </row>
    <row r="231">
      <c r="A231" s="5" t="n">
        <v>227</v>
      </c>
      <c r="B231" s="8" t="inlineStr">
        <is>
          <t>COLUMN</t>
        </is>
      </c>
      <c r="C231" s="6" t="inlineStr">
        <is>
          <t>Soal Tes #2</t>
        </is>
      </c>
      <c r="D231" s="33" t="inlineStr">
        <is>
          <t>COLUMN!E30</t>
        </is>
      </c>
      <c r="E231" s="22" t="inlineStr">
        <is>
          <t>'=COLUMN(C29)</t>
        </is>
      </c>
      <c r="F231" s="34">
        <f>COLUMN('COLUMN'!C29)</f>
        <v/>
      </c>
      <c r="G231" s="19" t="inlineStr">
        <is>
          <t>Periksa nomor urut posisi sel C29 menggunakan fungsi referensi COLUMN!</t>
        </is>
      </c>
    </row>
    <row r="232">
      <c r="A232" s="5" t="n">
        <v>228</v>
      </c>
      <c r="B232" s="8" t="inlineStr">
        <is>
          <t>COLUMN</t>
        </is>
      </c>
      <c r="C232" s="6" t="inlineStr">
        <is>
          <t>Soal Tes #3</t>
        </is>
      </c>
      <c r="D232" s="33" t="inlineStr">
        <is>
          <t>COLUMN!E38</t>
        </is>
      </c>
      <c r="E232" s="22" t="inlineStr">
        <is>
          <t>'=COLUMN(C37)</t>
        </is>
      </c>
      <c r="F232" s="34">
        <f>COLUMN('COLUMN'!C37)</f>
        <v/>
      </c>
      <c r="G232" s="19" t="inlineStr">
        <is>
          <t>Periksa nomor urut posisi sel C37 menggunakan fungsi referensi COLUMN!</t>
        </is>
      </c>
    </row>
    <row r="233">
      <c r="A233" s="5" t="n">
        <v>229</v>
      </c>
      <c r="B233" s="8" t="inlineStr">
        <is>
          <t>COLUMN</t>
        </is>
      </c>
      <c r="C233" s="6" t="inlineStr">
        <is>
          <t>Soal Tes #4</t>
        </is>
      </c>
      <c r="D233" s="33" t="inlineStr">
        <is>
          <t>COLUMN!E46</t>
        </is>
      </c>
      <c r="E233" s="22" t="inlineStr">
        <is>
          <t>'=COLUMN(C45)</t>
        </is>
      </c>
      <c r="F233" s="34">
        <f>COLUMN('COLUMN'!C45)</f>
        <v/>
      </c>
      <c r="G233" s="19" t="inlineStr">
        <is>
          <t>Periksa nomor urut posisi sel C45 menggunakan fungsi referensi COLUMN!</t>
        </is>
      </c>
    </row>
    <row r="234">
      <c r="A234" s="5" t="n">
        <v>230</v>
      </c>
      <c r="B234" s="8" t="inlineStr">
        <is>
          <t>COLUMN</t>
        </is>
      </c>
      <c r="C234" s="6" t="inlineStr">
        <is>
          <t>Soal Tes #5</t>
        </is>
      </c>
      <c r="D234" s="33" t="inlineStr">
        <is>
          <t>COLUMN!E54</t>
        </is>
      </c>
      <c r="E234" s="22" t="inlineStr">
        <is>
          <t>'=COLUMN(C53)</t>
        </is>
      </c>
      <c r="F234" s="34">
        <f>COLUMN('COLUMN'!C53)</f>
        <v/>
      </c>
      <c r="G234" s="19" t="inlineStr">
        <is>
          <t>Periksa nomor urut posisi sel C53 menggunakan fungsi referensi COLUMN!</t>
        </is>
      </c>
    </row>
    <row r="235">
      <c r="A235" s="5" t="n">
        <v>231</v>
      </c>
      <c r="B235" s="8" t="inlineStr">
        <is>
          <t>ROWS</t>
        </is>
      </c>
      <c r="C235" s="6" t="inlineStr">
        <is>
          <t>Soal Tes #1</t>
        </is>
      </c>
      <c r="D235" s="33" t="inlineStr">
        <is>
          <t>ROWS!E22</t>
        </is>
      </c>
      <c r="E235" s="22" t="inlineStr">
        <is>
          <t>'=ROWS(B21:C24)</t>
        </is>
      </c>
      <c r="F235" s="34">
        <f>ROWS('ROWS'!B21:C24)</f>
        <v/>
      </c>
      <c r="G235" s="19" t="inlineStr">
        <is>
          <t>Hitung jumlah dimensi blok tabel B21:C24 menggunakan fungsi ROWS!</t>
        </is>
      </c>
    </row>
    <row r="236">
      <c r="A236" s="5" t="n">
        <v>232</v>
      </c>
      <c r="B236" s="8" t="inlineStr">
        <is>
          <t>ROWS</t>
        </is>
      </c>
      <c r="C236" s="6" t="inlineStr">
        <is>
          <t>Soal Tes #2</t>
        </is>
      </c>
      <c r="D236" s="33" t="inlineStr">
        <is>
          <t>ROWS!E30</t>
        </is>
      </c>
      <c r="E236" s="22" t="inlineStr">
        <is>
          <t>'=ROWS(B29:C32)</t>
        </is>
      </c>
      <c r="F236" s="34">
        <f>ROWS('ROWS'!B29:C32)</f>
        <v/>
      </c>
      <c r="G236" s="19" t="inlineStr">
        <is>
          <t>Hitung jumlah dimensi blok tabel B29:C32 menggunakan fungsi ROWS!</t>
        </is>
      </c>
    </row>
    <row r="237">
      <c r="A237" s="5" t="n">
        <v>233</v>
      </c>
      <c r="B237" s="8" t="inlineStr">
        <is>
          <t>ROWS</t>
        </is>
      </c>
      <c r="C237" s="6" t="inlineStr">
        <is>
          <t>Soal Tes #3</t>
        </is>
      </c>
      <c r="D237" s="33" t="inlineStr">
        <is>
          <t>ROWS!E38</t>
        </is>
      </c>
      <c r="E237" s="22" t="inlineStr">
        <is>
          <t>'=ROWS(B37:C40)</t>
        </is>
      </c>
      <c r="F237" s="34">
        <f>ROWS('ROWS'!B37:C40)</f>
        <v/>
      </c>
      <c r="G237" s="19" t="inlineStr">
        <is>
          <t>Hitung jumlah dimensi blok tabel B37:C40 menggunakan fungsi ROWS!</t>
        </is>
      </c>
    </row>
    <row r="238">
      <c r="A238" s="5" t="n">
        <v>234</v>
      </c>
      <c r="B238" s="8" t="inlineStr">
        <is>
          <t>ROWS</t>
        </is>
      </c>
      <c r="C238" s="6" t="inlineStr">
        <is>
          <t>Soal Tes #4</t>
        </is>
      </c>
      <c r="D238" s="33" t="inlineStr">
        <is>
          <t>ROWS!E46</t>
        </is>
      </c>
      <c r="E238" s="22" t="inlineStr">
        <is>
          <t>'=ROWS(B45:C48)</t>
        </is>
      </c>
      <c r="F238" s="34">
        <f>ROWS('ROWS'!B45:C48)</f>
        <v/>
      </c>
      <c r="G238" s="19" t="inlineStr">
        <is>
          <t>Hitung jumlah dimensi blok tabel B45:C48 menggunakan fungsi ROWS!</t>
        </is>
      </c>
    </row>
    <row r="239">
      <c r="A239" s="5" t="n">
        <v>235</v>
      </c>
      <c r="B239" s="8" t="inlineStr">
        <is>
          <t>ROWS</t>
        </is>
      </c>
      <c r="C239" s="6" t="inlineStr">
        <is>
          <t>Soal Tes #5</t>
        </is>
      </c>
      <c r="D239" s="33" t="inlineStr">
        <is>
          <t>ROWS!E54</t>
        </is>
      </c>
      <c r="E239" s="22" t="inlineStr">
        <is>
          <t>'=ROWS(B53:C56)</t>
        </is>
      </c>
      <c r="F239" s="34">
        <f>ROWS('ROWS'!B53:C56)</f>
        <v/>
      </c>
      <c r="G239" s="19" t="inlineStr">
        <is>
          <t>Hitung jumlah dimensi blok tabel B53:C56 menggunakan fungsi ROWS!</t>
        </is>
      </c>
    </row>
    <row r="240">
      <c r="A240" s="5" t="n">
        <v>236</v>
      </c>
      <c r="B240" s="8" t="inlineStr">
        <is>
          <t>COLUMNS</t>
        </is>
      </c>
      <c r="C240" s="6" t="inlineStr">
        <is>
          <t>Soal Tes #1</t>
        </is>
      </c>
      <c r="D240" s="33" t="inlineStr">
        <is>
          <t>COLUMNS!E22</t>
        </is>
      </c>
      <c r="E240" s="22" t="inlineStr">
        <is>
          <t>'=COLUMNS(B21:C24)</t>
        </is>
      </c>
      <c r="F240" s="34">
        <f>COLUMNS('COLUMNS'!B21:C24)</f>
        <v/>
      </c>
      <c r="G240" s="19" t="inlineStr">
        <is>
          <t>Hitung jumlah dimensi blok tabel B21:C24 menggunakan fungsi COLUMNS!</t>
        </is>
      </c>
    </row>
    <row r="241">
      <c r="A241" s="5" t="n">
        <v>237</v>
      </c>
      <c r="B241" s="8" t="inlineStr">
        <is>
          <t>COLUMNS</t>
        </is>
      </c>
      <c r="C241" s="6" t="inlineStr">
        <is>
          <t>Soal Tes #2</t>
        </is>
      </c>
      <c r="D241" s="33" t="inlineStr">
        <is>
          <t>COLUMNS!E30</t>
        </is>
      </c>
      <c r="E241" s="22" t="inlineStr">
        <is>
          <t>'=COLUMNS(B29:C32)</t>
        </is>
      </c>
      <c r="F241" s="34">
        <f>COLUMNS('COLUMNS'!B29:C32)</f>
        <v/>
      </c>
      <c r="G241" s="19" t="inlineStr">
        <is>
          <t>Hitung jumlah dimensi blok tabel B29:C32 menggunakan fungsi COLUMNS!</t>
        </is>
      </c>
    </row>
    <row r="242">
      <c r="A242" s="5" t="n">
        <v>238</v>
      </c>
      <c r="B242" s="8" t="inlineStr">
        <is>
          <t>COLUMNS</t>
        </is>
      </c>
      <c r="C242" s="6" t="inlineStr">
        <is>
          <t>Soal Tes #3</t>
        </is>
      </c>
      <c r="D242" s="33" t="inlineStr">
        <is>
          <t>COLUMNS!E38</t>
        </is>
      </c>
      <c r="E242" s="22" t="inlineStr">
        <is>
          <t>'=COLUMNS(B37:C40)</t>
        </is>
      </c>
      <c r="F242" s="34">
        <f>COLUMNS('COLUMNS'!B37:C40)</f>
        <v/>
      </c>
      <c r="G242" s="19" t="inlineStr">
        <is>
          <t>Hitung jumlah dimensi blok tabel B37:C40 menggunakan fungsi COLUMNS!</t>
        </is>
      </c>
    </row>
    <row r="243">
      <c r="A243" s="5" t="n">
        <v>239</v>
      </c>
      <c r="B243" s="8" t="inlineStr">
        <is>
          <t>COLUMNS</t>
        </is>
      </c>
      <c r="C243" s="6" t="inlineStr">
        <is>
          <t>Soal Tes #4</t>
        </is>
      </c>
      <c r="D243" s="33" t="inlineStr">
        <is>
          <t>COLUMNS!E46</t>
        </is>
      </c>
      <c r="E243" s="22" t="inlineStr">
        <is>
          <t>'=COLUMNS(B45:C48)</t>
        </is>
      </c>
      <c r="F243" s="34">
        <f>COLUMNS('COLUMNS'!B45:C48)</f>
        <v/>
      </c>
      <c r="G243" s="19" t="inlineStr">
        <is>
          <t>Hitung jumlah dimensi blok tabel B45:C48 menggunakan fungsi COLUMNS!</t>
        </is>
      </c>
    </row>
    <row r="244">
      <c r="A244" s="5" t="n">
        <v>240</v>
      </c>
      <c r="B244" s="8" t="inlineStr">
        <is>
          <t>COLUMNS</t>
        </is>
      </c>
      <c r="C244" s="6" t="inlineStr">
        <is>
          <t>Soal Tes #5</t>
        </is>
      </c>
      <c r="D244" s="33" t="inlineStr">
        <is>
          <t>COLUMNS!E54</t>
        </is>
      </c>
      <c r="E244" s="22" t="inlineStr">
        <is>
          <t>'=COLUMNS(B53:C56)</t>
        </is>
      </c>
      <c r="F244" s="34">
        <f>COLUMNS('COLUMNS'!B53:C56)</f>
        <v/>
      </c>
      <c r="G244" s="19" t="inlineStr">
        <is>
          <t>Hitung jumlah dimensi blok tabel B53:C56 menggunakan fungsi COLUMNS!</t>
        </is>
      </c>
    </row>
    <row r="245">
      <c r="A245" s="5" t="n">
        <v>241</v>
      </c>
      <c r="B245" s="8" t="inlineStr">
        <is>
          <t>ADDRESS</t>
        </is>
      </c>
      <c r="C245" s="6" t="inlineStr">
        <is>
          <t>Soal Tes #1</t>
        </is>
      </c>
      <c r="D245" s="33" t="inlineStr">
        <is>
          <t>ADDRESS!E22</t>
        </is>
      </c>
      <c r="E245" s="22" t="inlineStr">
        <is>
          <t>'=ADDRESS(21, 3)</t>
        </is>
      </c>
      <c r="F245" s="34">
        <f>ADDRESS(21, 3)</f>
        <v/>
      </c>
      <c r="G245" s="19" t="inlineStr">
        <is>
          <t>Bentuk teks alamat koordinat sel untuk nomor baris 21 dan nomor kolom 3 menggunakan fungsi ADDRESS!</t>
        </is>
      </c>
    </row>
    <row r="246">
      <c r="A246" s="5" t="n">
        <v>242</v>
      </c>
      <c r="B246" s="8" t="inlineStr">
        <is>
          <t>ADDRESS</t>
        </is>
      </c>
      <c r="C246" s="6" t="inlineStr">
        <is>
          <t>Soal Tes #2</t>
        </is>
      </c>
      <c r="D246" s="33" t="inlineStr">
        <is>
          <t>ADDRESS!E30</t>
        </is>
      </c>
      <c r="E246" s="22" t="inlineStr">
        <is>
          <t>'=ADDRESS(29, 3)</t>
        </is>
      </c>
      <c r="F246" s="34">
        <f>ADDRESS(29, 3)</f>
        <v/>
      </c>
      <c r="G246" s="19" t="inlineStr">
        <is>
          <t>Bentuk teks alamat koordinat sel untuk nomor baris 29 dan nomor kolom 3 menggunakan fungsi ADDRESS!</t>
        </is>
      </c>
    </row>
    <row r="247">
      <c r="A247" s="5" t="n">
        <v>243</v>
      </c>
      <c r="B247" s="8" t="inlineStr">
        <is>
          <t>ADDRESS</t>
        </is>
      </c>
      <c r="C247" s="6" t="inlineStr">
        <is>
          <t>Soal Tes #3</t>
        </is>
      </c>
      <c r="D247" s="33" t="inlineStr">
        <is>
          <t>ADDRESS!E38</t>
        </is>
      </c>
      <c r="E247" s="22" t="inlineStr">
        <is>
          <t>'=ADDRESS(37, 3)</t>
        </is>
      </c>
      <c r="F247" s="34">
        <f>ADDRESS(37, 3)</f>
        <v/>
      </c>
      <c r="G247" s="19" t="inlineStr">
        <is>
          <t>Bentuk teks alamat koordinat sel untuk nomor baris 37 dan nomor kolom 3 menggunakan fungsi ADDRESS!</t>
        </is>
      </c>
    </row>
    <row r="248">
      <c r="A248" s="5" t="n">
        <v>244</v>
      </c>
      <c r="B248" s="8" t="inlineStr">
        <is>
          <t>ADDRESS</t>
        </is>
      </c>
      <c r="C248" s="6" t="inlineStr">
        <is>
          <t>Soal Tes #4</t>
        </is>
      </c>
      <c r="D248" s="33" t="inlineStr">
        <is>
          <t>ADDRESS!E46</t>
        </is>
      </c>
      <c r="E248" s="22" t="inlineStr">
        <is>
          <t>'=ADDRESS(45, 3)</t>
        </is>
      </c>
      <c r="F248" s="34">
        <f>ADDRESS(45, 3)</f>
        <v/>
      </c>
      <c r="G248" s="19" t="inlineStr">
        <is>
          <t>Bentuk teks alamat koordinat sel untuk nomor baris 45 dan nomor kolom 3 menggunakan fungsi ADDRESS!</t>
        </is>
      </c>
    </row>
    <row r="249">
      <c r="A249" s="5" t="n">
        <v>245</v>
      </c>
      <c r="B249" s="8" t="inlineStr">
        <is>
          <t>ADDRESS</t>
        </is>
      </c>
      <c r="C249" s="6" t="inlineStr">
        <is>
          <t>Soal Tes #5</t>
        </is>
      </c>
      <c r="D249" s="33" t="inlineStr">
        <is>
          <t>ADDRESS!E54</t>
        </is>
      </c>
      <c r="E249" s="22" t="inlineStr">
        <is>
          <t>'=ADDRESS(53, 3)</t>
        </is>
      </c>
      <c r="F249" s="34">
        <f>ADDRESS(53, 3)</f>
        <v/>
      </c>
      <c r="G249" s="19" t="inlineStr">
        <is>
          <t>Bentuk teks alamat koordinat sel untuk nomor baris 53 dan nomor kolom 3 menggunakan fungsi ADDRESS!</t>
        </is>
      </c>
    </row>
    <row r="250">
      <c r="A250" s="5" t="n">
        <v>246</v>
      </c>
      <c r="B250" s="8" t="inlineStr">
        <is>
          <t>OFFSET</t>
        </is>
      </c>
      <c r="C250" s="6" t="inlineStr">
        <is>
          <t>Soal Tes #1</t>
        </is>
      </c>
      <c r="D250" s="33" t="inlineStr">
        <is>
          <t>OFFSET!E22</t>
        </is>
      </c>
      <c r="E250" s="22" t="inlineStr">
        <is>
          <t>'=OFFSET(C21, 1, 0)</t>
        </is>
      </c>
      <c r="F250" s="34">
        <f>OFFSET('OFFSET'!C21, 1, 0)</f>
        <v/>
      </c>
      <c r="G250" s="19" t="inlineStr">
        <is>
          <t>Ambil nilai sel yang bergeser 1 baris ke bawah dan 0 kolom ke samping dari titik awal C21 menggunakan fungsi OFFSET!</t>
        </is>
      </c>
    </row>
    <row r="251">
      <c r="A251" s="5" t="n">
        <v>247</v>
      </c>
      <c r="B251" s="8" t="inlineStr">
        <is>
          <t>OFFSET</t>
        </is>
      </c>
      <c r="C251" s="6" t="inlineStr">
        <is>
          <t>Soal Tes #2</t>
        </is>
      </c>
      <c r="D251" s="33" t="inlineStr">
        <is>
          <t>OFFSET!E30</t>
        </is>
      </c>
      <c r="E251" s="22" t="inlineStr">
        <is>
          <t>'=OFFSET(C29, 1, 0)</t>
        </is>
      </c>
      <c r="F251" s="34">
        <f>OFFSET('OFFSET'!C29, 1, 0)</f>
        <v/>
      </c>
      <c r="G251" s="19" t="inlineStr">
        <is>
          <t>Ambil nilai sel yang bergeser 1 baris ke bawah dan 0 kolom ke samping dari titik awal C29 menggunakan fungsi OFFSET!</t>
        </is>
      </c>
    </row>
    <row r="252">
      <c r="A252" s="5" t="n">
        <v>248</v>
      </c>
      <c r="B252" s="8" t="inlineStr">
        <is>
          <t>OFFSET</t>
        </is>
      </c>
      <c r="C252" s="6" t="inlineStr">
        <is>
          <t>Soal Tes #3</t>
        </is>
      </c>
      <c r="D252" s="33" t="inlineStr">
        <is>
          <t>OFFSET!E38</t>
        </is>
      </c>
      <c r="E252" s="22" t="inlineStr">
        <is>
          <t>'=OFFSET(C37, 1, 0)</t>
        </is>
      </c>
      <c r="F252" s="34">
        <f>OFFSET('OFFSET'!C37, 1, 0)</f>
        <v/>
      </c>
      <c r="G252" s="19" t="inlineStr">
        <is>
          <t>Ambil nilai sel yang bergeser 1 baris ke bawah dan 0 kolom ke samping dari titik awal C37 menggunakan fungsi OFFSET!</t>
        </is>
      </c>
    </row>
    <row r="253">
      <c r="A253" s="5" t="n">
        <v>249</v>
      </c>
      <c r="B253" s="8" t="inlineStr">
        <is>
          <t>OFFSET</t>
        </is>
      </c>
      <c r="C253" s="6" t="inlineStr">
        <is>
          <t>Soal Tes #4</t>
        </is>
      </c>
      <c r="D253" s="33" t="inlineStr">
        <is>
          <t>OFFSET!E46</t>
        </is>
      </c>
      <c r="E253" s="22" t="inlineStr">
        <is>
          <t>'=OFFSET(C45, 1, 0)</t>
        </is>
      </c>
      <c r="F253" s="34">
        <f>OFFSET('OFFSET'!C45, 1, 0)</f>
        <v/>
      </c>
      <c r="G253" s="19" t="inlineStr">
        <is>
          <t>Ambil nilai sel yang bergeser 1 baris ke bawah dan 0 kolom ke samping dari titik awal C45 menggunakan fungsi OFFSET!</t>
        </is>
      </c>
    </row>
    <row r="254">
      <c r="A254" s="5" t="n">
        <v>250</v>
      </c>
      <c r="B254" s="8" t="inlineStr">
        <is>
          <t>OFFSET</t>
        </is>
      </c>
      <c r="C254" s="6" t="inlineStr">
        <is>
          <t>Soal Tes #5</t>
        </is>
      </c>
      <c r="D254" s="33" t="inlineStr">
        <is>
          <t>OFFSET!E54</t>
        </is>
      </c>
      <c r="E254" s="22" t="inlineStr">
        <is>
          <t>'=OFFSET(C53, 1, 0)</t>
        </is>
      </c>
      <c r="F254" s="34">
        <f>OFFSET('OFFSET'!C53, 1, 0)</f>
        <v/>
      </c>
      <c r="G254" s="19" t="inlineStr">
        <is>
          <t>Ambil nilai sel yang bergeser 1 baris ke bawah dan 0 kolom ke samping dari titik awal C53 menggunakan fungsi OFFSET!</t>
        </is>
      </c>
    </row>
    <row r="255">
      <c r="A255" s="5" t="n">
        <v>251</v>
      </c>
      <c r="B255" s="8" t="inlineStr">
        <is>
          <t>INDIRECT</t>
        </is>
      </c>
      <c r="C255" s="6" t="inlineStr">
        <is>
          <t>Soal Tes #1</t>
        </is>
      </c>
      <c r="D255" s="33" t="inlineStr">
        <is>
          <t>INDIRECT!E22</t>
        </is>
      </c>
      <c r="E255" s="22" t="inlineStr">
        <is>
          <t>'=INDIRECT("C21")</t>
        </is>
      </c>
      <c r="F255" s="34">
        <f>INDIRECT("'INDIRECT'!C21")</f>
        <v/>
      </c>
      <c r="G255" s="19" t="inlineStr">
        <is>
          <t>Ambil isi sel berdasarkan teks alamat "C21" menggunakan fungsi INDIRECT!</t>
        </is>
      </c>
    </row>
    <row r="256">
      <c r="A256" s="5" t="n">
        <v>252</v>
      </c>
      <c r="B256" s="8" t="inlineStr">
        <is>
          <t>INDIRECT</t>
        </is>
      </c>
      <c r="C256" s="6" t="inlineStr">
        <is>
          <t>Soal Tes #2</t>
        </is>
      </c>
      <c r="D256" s="33" t="inlineStr">
        <is>
          <t>INDIRECT!E30</t>
        </is>
      </c>
      <c r="E256" s="22" t="inlineStr">
        <is>
          <t>'=INDIRECT("C29")</t>
        </is>
      </c>
      <c r="F256" s="34">
        <f>INDIRECT("'INDIRECT'!C29")</f>
        <v/>
      </c>
      <c r="G256" s="19" t="inlineStr">
        <is>
          <t>Ambil isi sel berdasarkan teks alamat "C29" menggunakan fungsi INDIRECT!</t>
        </is>
      </c>
    </row>
    <row r="257">
      <c r="A257" s="5" t="n">
        <v>253</v>
      </c>
      <c r="B257" s="8" t="inlineStr">
        <is>
          <t>INDIRECT</t>
        </is>
      </c>
      <c r="C257" s="6" t="inlineStr">
        <is>
          <t>Soal Tes #3</t>
        </is>
      </c>
      <c r="D257" s="33" t="inlineStr">
        <is>
          <t>INDIRECT!E38</t>
        </is>
      </c>
      <c r="E257" s="22" t="inlineStr">
        <is>
          <t>'=INDIRECT("C37")</t>
        </is>
      </c>
      <c r="F257" s="34">
        <f>INDIRECT("'INDIRECT'!C37")</f>
        <v/>
      </c>
      <c r="G257" s="19" t="inlineStr">
        <is>
          <t>Ambil isi sel berdasarkan teks alamat "C37" menggunakan fungsi INDIRECT!</t>
        </is>
      </c>
    </row>
    <row r="258">
      <c r="A258" s="5" t="n">
        <v>254</v>
      </c>
      <c r="B258" s="8" t="inlineStr">
        <is>
          <t>INDIRECT</t>
        </is>
      </c>
      <c r="C258" s="6" t="inlineStr">
        <is>
          <t>Soal Tes #4</t>
        </is>
      </c>
      <c r="D258" s="33" t="inlineStr">
        <is>
          <t>INDIRECT!E46</t>
        </is>
      </c>
      <c r="E258" s="22" t="inlineStr">
        <is>
          <t>'=INDIRECT("C45")</t>
        </is>
      </c>
      <c r="F258" s="34">
        <f>INDIRECT("'INDIRECT'!C45")</f>
        <v/>
      </c>
      <c r="G258" s="19" t="inlineStr">
        <is>
          <t>Ambil isi sel berdasarkan teks alamat "C45" menggunakan fungsi INDIRECT!</t>
        </is>
      </c>
    </row>
    <row r="259">
      <c r="A259" s="5" t="n">
        <v>255</v>
      </c>
      <c r="B259" s="8" t="inlineStr">
        <is>
          <t>INDIRECT</t>
        </is>
      </c>
      <c r="C259" s="6" t="inlineStr">
        <is>
          <t>Soal Tes #5</t>
        </is>
      </c>
      <c r="D259" s="33" t="inlineStr">
        <is>
          <t>INDIRECT!E54</t>
        </is>
      </c>
      <c r="E259" s="22" t="inlineStr">
        <is>
          <t>'=INDIRECT("C53")</t>
        </is>
      </c>
      <c r="F259" s="34">
        <f>INDIRECT("'INDIRECT'!C53")</f>
        <v/>
      </c>
      <c r="G259" s="19" t="inlineStr">
        <is>
          <t>Ambil isi sel berdasarkan teks alamat "C53" menggunakan fungsi INDIRECT!</t>
        </is>
      </c>
    </row>
    <row r="260">
      <c r="A260" s="5" t="n">
        <v>256</v>
      </c>
      <c r="B260" s="8" t="inlineStr">
        <is>
          <t>LEFT</t>
        </is>
      </c>
      <c r="C260" s="6" t="inlineStr">
        <is>
          <t>Soal Tes #1</t>
        </is>
      </c>
      <c r="D260" s="33" t="inlineStr">
        <is>
          <t>LEFT!E22</t>
        </is>
      </c>
      <c r="E260" s="22" t="inlineStr">
        <is>
          <t>'=LEFT(C21, 3)</t>
        </is>
      </c>
      <c r="F260" s="34">
        <f>LEFT('LEFT'!C21, 3)</f>
        <v/>
      </c>
      <c r="G260" s="19" t="inlineStr">
        <is>
          <t>Ekstrak 3 karakter dari kode SKU di sel C21 ("JKT-100-A") menggunakan fungsi teks LEFT!</t>
        </is>
      </c>
    </row>
    <row r="261">
      <c r="A261" s="5" t="n">
        <v>257</v>
      </c>
      <c r="B261" s="8" t="inlineStr">
        <is>
          <t>LEFT</t>
        </is>
      </c>
      <c r="C261" s="6" t="inlineStr">
        <is>
          <t>Soal Tes #2</t>
        </is>
      </c>
      <c r="D261" s="33" t="inlineStr">
        <is>
          <t>LEFT!E30</t>
        </is>
      </c>
      <c r="E261" s="22" t="inlineStr">
        <is>
          <t>'=LEFT(C29, 3)</t>
        </is>
      </c>
      <c r="F261" s="34">
        <f>LEFT('LEFT'!C29, 3)</f>
        <v/>
      </c>
      <c r="G261" s="19" t="inlineStr">
        <is>
          <t>Ekstrak 3 karakter dari kode SKU di sel C29 ("JKT-101-A") menggunakan fungsi teks LEFT!</t>
        </is>
      </c>
    </row>
    <row r="262">
      <c r="A262" s="5" t="n">
        <v>258</v>
      </c>
      <c r="B262" s="8" t="inlineStr">
        <is>
          <t>LEFT</t>
        </is>
      </c>
      <c r="C262" s="6" t="inlineStr">
        <is>
          <t>Soal Tes #3</t>
        </is>
      </c>
      <c r="D262" s="33" t="inlineStr">
        <is>
          <t>LEFT!E38</t>
        </is>
      </c>
      <c r="E262" s="22" t="inlineStr">
        <is>
          <t>'=LEFT(C37, 3)</t>
        </is>
      </c>
      <c r="F262" s="34">
        <f>LEFT('LEFT'!C37, 3)</f>
        <v/>
      </c>
      <c r="G262" s="19" t="inlineStr">
        <is>
          <t>Ekstrak 3 karakter dari kode SKU di sel C37 ("JKT-102-A") menggunakan fungsi teks LEFT!</t>
        </is>
      </c>
    </row>
    <row r="263">
      <c r="A263" s="5" t="n">
        <v>259</v>
      </c>
      <c r="B263" s="8" t="inlineStr">
        <is>
          <t>LEFT</t>
        </is>
      </c>
      <c r="C263" s="6" t="inlineStr">
        <is>
          <t>Soal Tes #4</t>
        </is>
      </c>
      <c r="D263" s="33" t="inlineStr">
        <is>
          <t>LEFT!E46</t>
        </is>
      </c>
      <c r="E263" s="22" t="inlineStr">
        <is>
          <t>'=LEFT(C45, 3)</t>
        </is>
      </c>
      <c r="F263" s="34">
        <f>LEFT('LEFT'!C45, 3)</f>
        <v/>
      </c>
      <c r="G263" s="19" t="inlineStr">
        <is>
          <t>Ekstrak 3 karakter dari kode SKU di sel C45 ("JKT-103-A") menggunakan fungsi teks LEFT!</t>
        </is>
      </c>
    </row>
    <row r="264">
      <c r="A264" s="5" t="n">
        <v>260</v>
      </c>
      <c r="B264" s="8" t="inlineStr">
        <is>
          <t>LEFT</t>
        </is>
      </c>
      <c r="C264" s="6" t="inlineStr">
        <is>
          <t>Soal Tes #5</t>
        </is>
      </c>
      <c r="D264" s="33" t="inlineStr">
        <is>
          <t>LEFT!E54</t>
        </is>
      </c>
      <c r="E264" s="22" t="inlineStr">
        <is>
          <t>'=LEFT(C53, 3)</t>
        </is>
      </c>
      <c r="F264" s="34">
        <f>LEFT('LEFT'!C53, 3)</f>
        <v/>
      </c>
      <c r="G264" s="19" t="inlineStr">
        <is>
          <t>Ekstrak 3 karakter dari kode SKU di sel C53 ("JKT-104-A") menggunakan fungsi teks LEFT!</t>
        </is>
      </c>
    </row>
    <row r="265">
      <c r="A265" s="5" t="n">
        <v>261</v>
      </c>
      <c r="B265" s="8" t="inlineStr">
        <is>
          <t>RIGHT</t>
        </is>
      </c>
      <c r="C265" s="6" t="inlineStr">
        <is>
          <t>Soal Tes #1</t>
        </is>
      </c>
      <c r="D265" s="33" t="inlineStr">
        <is>
          <t>RIGHT!E22</t>
        </is>
      </c>
      <c r="E265" s="22" t="inlineStr">
        <is>
          <t>'=RIGHT(C21, 3)</t>
        </is>
      </c>
      <c r="F265" s="34">
        <f>RIGHT('RIGHT'!C21, 3)</f>
        <v/>
      </c>
      <c r="G265" s="19" t="inlineStr">
        <is>
          <t>Ekstrak 3 karakter dari kode SKU di sel C21 ("JKT-100-A") menggunakan fungsi teks RIGHT!</t>
        </is>
      </c>
    </row>
    <row r="266">
      <c r="A266" s="5" t="n">
        <v>262</v>
      </c>
      <c r="B266" s="8" t="inlineStr">
        <is>
          <t>RIGHT</t>
        </is>
      </c>
      <c r="C266" s="6" t="inlineStr">
        <is>
          <t>Soal Tes #2</t>
        </is>
      </c>
      <c r="D266" s="33" t="inlineStr">
        <is>
          <t>RIGHT!E30</t>
        </is>
      </c>
      <c r="E266" s="22" t="inlineStr">
        <is>
          <t>'=RIGHT(C29, 3)</t>
        </is>
      </c>
      <c r="F266" s="34">
        <f>RIGHT('RIGHT'!C29, 3)</f>
        <v/>
      </c>
      <c r="G266" s="19" t="inlineStr">
        <is>
          <t>Ekstrak 3 karakter dari kode SKU di sel C29 ("JKT-101-A") menggunakan fungsi teks RIGHT!</t>
        </is>
      </c>
    </row>
    <row r="267">
      <c r="A267" s="5" t="n">
        <v>263</v>
      </c>
      <c r="B267" s="8" t="inlineStr">
        <is>
          <t>RIGHT</t>
        </is>
      </c>
      <c r="C267" s="6" t="inlineStr">
        <is>
          <t>Soal Tes #3</t>
        </is>
      </c>
      <c r="D267" s="33" t="inlineStr">
        <is>
          <t>RIGHT!E38</t>
        </is>
      </c>
      <c r="E267" s="22" t="inlineStr">
        <is>
          <t>'=RIGHT(C37, 3)</t>
        </is>
      </c>
      <c r="F267" s="34">
        <f>RIGHT('RIGHT'!C37, 3)</f>
        <v/>
      </c>
      <c r="G267" s="19" t="inlineStr">
        <is>
          <t>Ekstrak 3 karakter dari kode SKU di sel C37 ("JKT-102-A") menggunakan fungsi teks RIGHT!</t>
        </is>
      </c>
    </row>
    <row r="268">
      <c r="A268" s="5" t="n">
        <v>264</v>
      </c>
      <c r="B268" s="8" t="inlineStr">
        <is>
          <t>RIGHT</t>
        </is>
      </c>
      <c r="C268" s="6" t="inlineStr">
        <is>
          <t>Soal Tes #4</t>
        </is>
      </c>
      <c r="D268" s="33" t="inlineStr">
        <is>
          <t>RIGHT!E46</t>
        </is>
      </c>
      <c r="E268" s="22" t="inlineStr">
        <is>
          <t>'=RIGHT(C45, 3)</t>
        </is>
      </c>
      <c r="F268" s="34">
        <f>RIGHT('RIGHT'!C45, 3)</f>
        <v/>
      </c>
      <c r="G268" s="19" t="inlineStr">
        <is>
          <t>Ekstrak 3 karakter dari kode SKU di sel C45 ("JKT-103-A") menggunakan fungsi teks RIGHT!</t>
        </is>
      </c>
    </row>
    <row r="269">
      <c r="A269" s="5" t="n">
        <v>265</v>
      </c>
      <c r="B269" s="8" t="inlineStr">
        <is>
          <t>RIGHT</t>
        </is>
      </c>
      <c r="C269" s="6" t="inlineStr">
        <is>
          <t>Soal Tes #5</t>
        </is>
      </c>
      <c r="D269" s="33" t="inlineStr">
        <is>
          <t>RIGHT!E54</t>
        </is>
      </c>
      <c r="E269" s="22" t="inlineStr">
        <is>
          <t>'=RIGHT(C53, 3)</t>
        </is>
      </c>
      <c r="F269" s="34">
        <f>RIGHT('RIGHT'!C53, 3)</f>
        <v/>
      </c>
      <c r="G269" s="19" t="inlineStr">
        <is>
          <t>Ekstrak 3 karakter dari kode SKU di sel C53 ("JKT-104-A") menggunakan fungsi teks RIGHT!</t>
        </is>
      </c>
    </row>
    <row r="270">
      <c r="A270" s="5" t="n">
        <v>266</v>
      </c>
      <c r="B270" s="8" t="inlineStr">
        <is>
          <t>MID</t>
        </is>
      </c>
      <c r="C270" s="6" t="inlineStr">
        <is>
          <t>Soal Tes #1</t>
        </is>
      </c>
      <c r="D270" s="33" t="inlineStr">
        <is>
          <t>MID!E22</t>
        </is>
      </c>
      <c r="E270" s="22" t="inlineStr">
        <is>
          <t>'=MID(C21, 5, 4)</t>
        </is>
      </c>
      <c r="F270" s="34">
        <f>MID('MID'!C21, 5, 4)</f>
        <v/>
      </c>
      <c r="G270" s="19" t="inlineStr">
        <is>
          <t>Ambil 4 karakter angka tahun dari nomor invoice di sel C21 ("INV-2021-01") mulai karakter ke-5 menggunakan fungsi MID!</t>
        </is>
      </c>
    </row>
    <row r="271">
      <c r="A271" s="5" t="n">
        <v>267</v>
      </c>
      <c r="B271" s="8" t="inlineStr">
        <is>
          <t>MID</t>
        </is>
      </c>
      <c r="C271" s="6" t="inlineStr">
        <is>
          <t>Soal Tes #2</t>
        </is>
      </c>
      <c r="D271" s="33" t="inlineStr">
        <is>
          <t>MID!E30</t>
        </is>
      </c>
      <c r="E271" s="22" t="inlineStr">
        <is>
          <t>'=MID(C29, 5, 4)</t>
        </is>
      </c>
      <c r="F271" s="34">
        <f>MID('MID'!C29, 5, 4)</f>
        <v/>
      </c>
      <c r="G271" s="19" t="inlineStr">
        <is>
          <t>Ambil 4 karakter angka tahun dari nomor invoice di sel C29 ("INV-2022-02") mulai karakter ke-5 menggunakan fungsi MID!</t>
        </is>
      </c>
    </row>
    <row r="272">
      <c r="A272" s="5" t="n">
        <v>268</v>
      </c>
      <c r="B272" s="8" t="inlineStr">
        <is>
          <t>MID</t>
        </is>
      </c>
      <c r="C272" s="6" t="inlineStr">
        <is>
          <t>Soal Tes #3</t>
        </is>
      </c>
      <c r="D272" s="33" t="inlineStr">
        <is>
          <t>MID!E38</t>
        </is>
      </c>
      <c r="E272" s="22" t="inlineStr">
        <is>
          <t>'=MID(C37, 5, 4)</t>
        </is>
      </c>
      <c r="F272" s="34">
        <f>MID('MID'!C37, 5, 4)</f>
        <v/>
      </c>
      <c r="G272" s="19" t="inlineStr">
        <is>
          <t>Ambil 4 karakter angka tahun dari nomor invoice di sel C37 ("INV-2023-03") mulai karakter ke-5 menggunakan fungsi MID!</t>
        </is>
      </c>
    </row>
    <row r="273">
      <c r="A273" s="5" t="n">
        <v>269</v>
      </c>
      <c r="B273" s="8" t="inlineStr">
        <is>
          <t>MID</t>
        </is>
      </c>
      <c r="C273" s="6" t="inlineStr">
        <is>
          <t>Soal Tes #4</t>
        </is>
      </c>
      <c r="D273" s="33" t="inlineStr">
        <is>
          <t>MID!E46</t>
        </is>
      </c>
      <c r="E273" s="22" t="inlineStr">
        <is>
          <t>'=MID(C45, 5, 4)</t>
        </is>
      </c>
      <c r="F273" s="34">
        <f>MID('MID'!C45, 5, 4)</f>
        <v/>
      </c>
      <c r="G273" s="19" t="inlineStr">
        <is>
          <t>Ambil 4 karakter angka tahun dari nomor invoice di sel C45 ("INV-2024-04") mulai karakter ke-5 menggunakan fungsi MID!</t>
        </is>
      </c>
    </row>
    <row r="274">
      <c r="A274" s="5" t="n">
        <v>270</v>
      </c>
      <c r="B274" s="8" t="inlineStr">
        <is>
          <t>MID</t>
        </is>
      </c>
      <c r="C274" s="6" t="inlineStr">
        <is>
          <t>Soal Tes #5</t>
        </is>
      </c>
      <c r="D274" s="33" t="inlineStr">
        <is>
          <t>MID!E54</t>
        </is>
      </c>
      <c r="E274" s="22" t="inlineStr">
        <is>
          <t>'=MID(C53, 5, 4)</t>
        </is>
      </c>
      <c r="F274" s="34">
        <f>MID('MID'!C53, 5, 4)</f>
        <v/>
      </c>
      <c r="G274" s="19" t="inlineStr">
        <is>
          <t>Ambil 4 karakter angka tahun dari nomor invoice di sel C53 ("INV-2025-05") mulai karakter ke-5 menggunakan fungsi MID!</t>
        </is>
      </c>
    </row>
    <row r="275">
      <c r="A275" s="5" t="n">
        <v>271</v>
      </c>
      <c r="B275" s="8" t="inlineStr">
        <is>
          <t>LEN</t>
        </is>
      </c>
      <c r="C275" s="6" t="inlineStr">
        <is>
          <t>Soal Tes #1</t>
        </is>
      </c>
      <c r="D275" s="33" t="inlineStr">
        <is>
          <t>LEN!E22</t>
        </is>
      </c>
      <c r="E275" s="22" t="inlineStr">
        <is>
          <t>'=LEN(C21)</t>
        </is>
      </c>
      <c r="F275" s="34">
        <f>LEN('LEN'!C21)</f>
        <v/>
      </c>
      <c r="G275" s="19" t="inlineStr">
        <is>
          <t>Olahlah teks pada sel C21 ("budi santoso") menggunakan fungsi teks LEN!</t>
        </is>
      </c>
    </row>
    <row r="276">
      <c r="A276" s="5" t="n">
        <v>272</v>
      </c>
      <c r="B276" s="8" t="inlineStr">
        <is>
          <t>LEN</t>
        </is>
      </c>
      <c r="C276" s="6" t="inlineStr">
        <is>
          <t>Soal Tes #2</t>
        </is>
      </c>
      <c r="D276" s="33" t="inlineStr">
        <is>
          <t>LEN!E30</t>
        </is>
      </c>
      <c r="E276" s="22" t="inlineStr">
        <is>
          <t>'=LEN(C29)</t>
        </is>
      </c>
      <c r="F276" s="34">
        <f>LEN('LEN'!C29)</f>
        <v/>
      </c>
      <c r="G276" s="19" t="inlineStr">
        <is>
          <t>Olahlah teks pada sel C29 ("siti aminah") menggunakan fungsi teks LEN!</t>
        </is>
      </c>
    </row>
    <row r="277">
      <c r="A277" s="5" t="n">
        <v>273</v>
      </c>
      <c r="B277" s="8" t="inlineStr">
        <is>
          <t>LEN</t>
        </is>
      </c>
      <c r="C277" s="6" t="inlineStr">
        <is>
          <t>Soal Tes #3</t>
        </is>
      </c>
      <c r="D277" s="33" t="inlineStr">
        <is>
          <t>LEN!E38</t>
        </is>
      </c>
      <c r="E277" s="22" t="inlineStr">
        <is>
          <t>'=LEN(C37)</t>
        </is>
      </c>
      <c r="F277" s="34">
        <f>LEN('LEN'!C37)</f>
        <v/>
      </c>
      <c r="G277" s="19" t="inlineStr">
        <is>
          <t>Olahlah teks pada sel C37 ("andi pratama") menggunakan fungsi teks LEN!</t>
        </is>
      </c>
    </row>
    <row r="278">
      <c r="A278" s="5" t="n">
        <v>274</v>
      </c>
      <c r="B278" s="8" t="inlineStr">
        <is>
          <t>LEN</t>
        </is>
      </c>
      <c r="C278" s="6" t="inlineStr">
        <is>
          <t>Soal Tes #4</t>
        </is>
      </c>
      <c r="D278" s="33" t="inlineStr">
        <is>
          <t>LEN!E46</t>
        </is>
      </c>
      <c r="E278" s="22" t="inlineStr">
        <is>
          <t>'=LEN(C45)</t>
        </is>
      </c>
      <c r="F278" s="34">
        <f>LEN('LEN'!C45)</f>
        <v/>
      </c>
      <c r="G278" s="19" t="inlineStr">
        <is>
          <t>Olahlah teks pada sel C45 ("rina wijaya") menggunakan fungsi teks LEN!</t>
        </is>
      </c>
    </row>
    <row r="279">
      <c r="A279" s="5" t="n">
        <v>275</v>
      </c>
      <c r="B279" s="8" t="inlineStr">
        <is>
          <t>LEN</t>
        </is>
      </c>
      <c r="C279" s="6" t="inlineStr">
        <is>
          <t>Soal Tes #5</t>
        </is>
      </c>
      <c r="D279" s="33" t="inlineStr">
        <is>
          <t>LEN!E54</t>
        </is>
      </c>
      <c r="E279" s="22" t="inlineStr">
        <is>
          <t>'=LEN(C53)</t>
        </is>
      </c>
      <c r="F279" s="34">
        <f>LEN('LEN'!C53)</f>
        <v/>
      </c>
      <c r="G279" s="19" t="inlineStr">
        <is>
          <t>Olahlah teks pada sel C53 ("dewi lestari") menggunakan fungsi teks LEN!</t>
        </is>
      </c>
    </row>
    <row r="280">
      <c r="A280" s="5" t="n">
        <v>276</v>
      </c>
      <c r="B280" s="8" t="inlineStr">
        <is>
          <t>TRIM</t>
        </is>
      </c>
      <c r="C280" s="6" t="inlineStr">
        <is>
          <t>Soal Tes #1</t>
        </is>
      </c>
      <c r="D280" s="33" t="inlineStr">
        <is>
          <t>TRIM!E22</t>
        </is>
      </c>
      <c r="E280" s="22" t="inlineStr">
        <is>
          <t>'=TRIM(C21)</t>
        </is>
      </c>
      <c r="F280" s="34">
        <f>TRIM('TRIM'!C21)</f>
        <v/>
      </c>
      <c r="G280" s="19" t="inlineStr">
        <is>
          <t>Bersihkan spasi berlebih pada teks di sel C21 menggunakan fungsi TRIM!</t>
        </is>
      </c>
    </row>
    <row r="281">
      <c r="A281" s="5" t="n">
        <v>277</v>
      </c>
      <c r="B281" s="8" t="inlineStr">
        <is>
          <t>TRIM</t>
        </is>
      </c>
      <c r="C281" s="6" t="inlineStr">
        <is>
          <t>Soal Tes #2</t>
        </is>
      </c>
      <c r="D281" s="33" t="inlineStr">
        <is>
          <t>TRIM!E30</t>
        </is>
      </c>
      <c r="E281" s="22" t="inlineStr">
        <is>
          <t>'=TRIM(C29)</t>
        </is>
      </c>
      <c r="F281" s="34">
        <f>TRIM('TRIM'!C29)</f>
        <v/>
      </c>
      <c r="G281" s="19" t="inlineStr">
        <is>
          <t>Bersihkan spasi berlebih pada teks di sel C29 menggunakan fungsi TRIM!</t>
        </is>
      </c>
    </row>
    <row r="282">
      <c r="A282" s="5" t="n">
        <v>278</v>
      </c>
      <c r="B282" s="8" t="inlineStr">
        <is>
          <t>TRIM</t>
        </is>
      </c>
      <c r="C282" s="6" t="inlineStr">
        <is>
          <t>Soal Tes #3</t>
        </is>
      </c>
      <c r="D282" s="33" t="inlineStr">
        <is>
          <t>TRIM!E38</t>
        </is>
      </c>
      <c r="E282" s="22" t="inlineStr">
        <is>
          <t>'=TRIM(C37)</t>
        </is>
      </c>
      <c r="F282" s="34">
        <f>TRIM('TRIM'!C37)</f>
        <v/>
      </c>
      <c r="G282" s="19" t="inlineStr">
        <is>
          <t>Bersihkan spasi berlebih pada teks di sel C37 menggunakan fungsi TRIM!</t>
        </is>
      </c>
    </row>
    <row r="283">
      <c r="A283" s="5" t="n">
        <v>279</v>
      </c>
      <c r="B283" s="8" t="inlineStr">
        <is>
          <t>TRIM</t>
        </is>
      </c>
      <c r="C283" s="6" t="inlineStr">
        <is>
          <t>Soal Tes #4</t>
        </is>
      </c>
      <c r="D283" s="33" t="inlineStr">
        <is>
          <t>TRIM!E46</t>
        </is>
      </c>
      <c r="E283" s="22" t="inlineStr">
        <is>
          <t>'=TRIM(C45)</t>
        </is>
      </c>
      <c r="F283" s="34">
        <f>TRIM('TRIM'!C45)</f>
        <v/>
      </c>
      <c r="G283" s="19" t="inlineStr">
        <is>
          <t>Bersihkan spasi berlebih pada teks di sel C45 menggunakan fungsi TRIM!</t>
        </is>
      </c>
    </row>
    <row r="284">
      <c r="A284" s="5" t="n">
        <v>280</v>
      </c>
      <c r="B284" s="8" t="inlineStr">
        <is>
          <t>TRIM</t>
        </is>
      </c>
      <c r="C284" s="6" t="inlineStr">
        <is>
          <t>Soal Tes #5</t>
        </is>
      </c>
      <c r="D284" s="33" t="inlineStr">
        <is>
          <t>TRIM!E54</t>
        </is>
      </c>
      <c r="E284" s="22" t="inlineStr">
        <is>
          <t>'=TRIM(C53)</t>
        </is>
      </c>
      <c r="F284" s="34">
        <f>TRIM('TRIM'!C53)</f>
        <v/>
      </c>
      <c r="G284" s="19" t="inlineStr">
        <is>
          <t>Bersihkan spasi berlebih pada teks di sel C53 menggunakan fungsi TRIM!</t>
        </is>
      </c>
    </row>
    <row r="285">
      <c r="A285" s="5" t="n">
        <v>281</v>
      </c>
      <c r="B285" s="8" t="inlineStr">
        <is>
          <t>CLEAN</t>
        </is>
      </c>
      <c r="C285" s="6" t="inlineStr">
        <is>
          <t>Soal Tes #1</t>
        </is>
      </c>
      <c r="D285" s="33" t="inlineStr">
        <is>
          <t>CLEAN!E22</t>
        </is>
      </c>
      <c r="E285" s="22" t="inlineStr">
        <is>
          <t>'=CLEAN(C21)</t>
        </is>
      </c>
      <c r="F285" s="34">
        <f>CLEAN('CLEAN'!C21)</f>
        <v/>
      </c>
      <c r="G285" s="19" t="inlineStr">
        <is>
          <t>Olahlah teks pada sel C21 ("budi santoso") menggunakan fungsi teks CLEAN!</t>
        </is>
      </c>
    </row>
    <row r="286">
      <c r="A286" s="5" t="n">
        <v>282</v>
      </c>
      <c r="B286" s="8" t="inlineStr">
        <is>
          <t>CLEAN</t>
        </is>
      </c>
      <c r="C286" s="6" t="inlineStr">
        <is>
          <t>Soal Tes #2</t>
        </is>
      </c>
      <c r="D286" s="33" t="inlineStr">
        <is>
          <t>CLEAN!E30</t>
        </is>
      </c>
      <c r="E286" s="22" t="inlineStr">
        <is>
          <t>'=CLEAN(C29)</t>
        </is>
      </c>
      <c r="F286" s="34">
        <f>CLEAN('CLEAN'!C29)</f>
        <v/>
      </c>
      <c r="G286" s="19" t="inlineStr">
        <is>
          <t>Olahlah teks pada sel C29 ("siti aminah") menggunakan fungsi teks CLEAN!</t>
        </is>
      </c>
    </row>
    <row r="287">
      <c r="A287" s="5" t="n">
        <v>283</v>
      </c>
      <c r="B287" s="8" t="inlineStr">
        <is>
          <t>CLEAN</t>
        </is>
      </c>
      <c r="C287" s="6" t="inlineStr">
        <is>
          <t>Soal Tes #3</t>
        </is>
      </c>
      <c r="D287" s="33" t="inlineStr">
        <is>
          <t>CLEAN!E38</t>
        </is>
      </c>
      <c r="E287" s="22" t="inlineStr">
        <is>
          <t>'=CLEAN(C37)</t>
        </is>
      </c>
      <c r="F287" s="34">
        <f>CLEAN('CLEAN'!C37)</f>
        <v/>
      </c>
      <c r="G287" s="19" t="inlineStr">
        <is>
          <t>Olahlah teks pada sel C37 ("andi pratama") menggunakan fungsi teks CLEAN!</t>
        </is>
      </c>
    </row>
    <row r="288">
      <c r="A288" s="5" t="n">
        <v>284</v>
      </c>
      <c r="B288" s="8" t="inlineStr">
        <is>
          <t>CLEAN</t>
        </is>
      </c>
      <c r="C288" s="6" t="inlineStr">
        <is>
          <t>Soal Tes #4</t>
        </is>
      </c>
      <c r="D288" s="33" t="inlineStr">
        <is>
          <t>CLEAN!E46</t>
        </is>
      </c>
      <c r="E288" s="22" t="inlineStr">
        <is>
          <t>'=CLEAN(C45)</t>
        </is>
      </c>
      <c r="F288" s="34">
        <f>CLEAN('CLEAN'!C45)</f>
        <v/>
      </c>
      <c r="G288" s="19" t="inlineStr">
        <is>
          <t>Olahlah teks pada sel C45 ("rina wijaya") menggunakan fungsi teks CLEAN!</t>
        </is>
      </c>
    </row>
    <row r="289">
      <c r="A289" s="5" t="n">
        <v>285</v>
      </c>
      <c r="B289" s="8" t="inlineStr">
        <is>
          <t>CLEAN</t>
        </is>
      </c>
      <c r="C289" s="6" t="inlineStr">
        <is>
          <t>Soal Tes #5</t>
        </is>
      </c>
      <c r="D289" s="33" t="inlineStr">
        <is>
          <t>CLEAN!E54</t>
        </is>
      </c>
      <c r="E289" s="22" t="inlineStr">
        <is>
          <t>'=CLEAN(C53)</t>
        </is>
      </c>
      <c r="F289" s="34">
        <f>CLEAN('CLEAN'!C53)</f>
        <v/>
      </c>
      <c r="G289" s="19" t="inlineStr">
        <is>
          <t>Olahlah teks pada sel C53 ("dewi lestari") menggunakan fungsi teks CLEAN!</t>
        </is>
      </c>
    </row>
    <row r="290">
      <c r="A290" s="5" t="n">
        <v>286</v>
      </c>
      <c r="B290" s="8" t="inlineStr">
        <is>
          <t>UPPER</t>
        </is>
      </c>
      <c r="C290" s="6" t="inlineStr">
        <is>
          <t>Soal Tes #1</t>
        </is>
      </c>
      <c r="D290" s="33" t="inlineStr">
        <is>
          <t>UPPER!E22</t>
        </is>
      </c>
      <c r="E290" s="22" t="inlineStr">
        <is>
          <t>'=UPPER(C21)</t>
        </is>
      </c>
      <c r="F290" s="34">
        <f>UPPER('UPPER'!C21)</f>
        <v/>
      </c>
      <c r="G290" s="19" t="inlineStr">
        <is>
          <t>Olahlah teks pada sel C21 ("budi santoso") menggunakan fungsi teks UPPER!</t>
        </is>
      </c>
    </row>
    <row r="291">
      <c r="A291" s="5" t="n">
        <v>287</v>
      </c>
      <c r="B291" s="8" t="inlineStr">
        <is>
          <t>UPPER</t>
        </is>
      </c>
      <c r="C291" s="6" t="inlineStr">
        <is>
          <t>Soal Tes #2</t>
        </is>
      </c>
      <c r="D291" s="33" t="inlineStr">
        <is>
          <t>UPPER!E30</t>
        </is>
      </c>
      <c r="E291" s="22" t="inlineStr">
        <is>
          <t>'=UPPER(C29)</t>
        </is>
      </c>
      <c r="F291" s="34">
        <f>UPPER('UPPER'!C29)</f>
        <v/>
      </c>
      <c r="G291" s="19" t="inlineStr">
        <is>
          <t>Olahlah teks pada sel C29 ("siti aminah") menggunakan fungsi teks UPPER!</t>
        </is>
      </c>
    </row>
    <row r="292">
      <c r="A292" s="5" t="n">
        <v>288</v>
      </c>
      <c r="B292" s="8" t="inlineStr">
        <is>
          <t>UPPER</t>
        </is>
      </c>
      <c r="C292" s="6" t="inlineStr">
        <is>
          <t>Soal Tes #3</t>
        </is>
      </c>
      <c r="D292" s="33" t="inlineStr">
        <is>
          <t>UPPER!E38</t>
        </is>
      </c>
      <c r="E292" s="22" t="inlineStr">
        <is>
          <t>'=UPPER(C37)</t>
        </is>
      </c>
      <c r="F292" s="34">
        <f>UPPER('UPPER'!C37)</f>
        <v/>
      </c>
      <c r="G292" s="19" t="inlineStr">
        <is>
          <t>Olahlah teks pada sel C37 ("andi pratama") menggunakan fungsi teks UPPER!</t>
        </is>
      </c>
    </row>
    <row r="293">
      <c r="A293" s="5" t="n">
        <v>289</v>
      </c>
      <c r="B293" s="8" t="inlineStr">
        <is>
          <t>UPPER</t>
        </is>
      </c>
      <c r="C293" s="6" t="inlineStr">
        <is>
          <t>Soal Tes #4</t>
        </is>
      </c>
      <c r="D293" s="33" t="inlineStr">
        <is>
          <t>UPPER!E46</t>
        </is>
      </c>
      <c r="E293" s="22" t="inlineStr">
        <is>
          <t>'=UPPER(C45)</t>
        </is>
      </c>
      <c r="F293" s="34">
        <f>UPPER('UPPER'!C45)</f>
        <v/>
      </c>
      <c r="G293" s="19" t="inlineStr">
        <is>
          <t>Olahlah teks pada sel C45 ("rina wijaya") menggunakan fungsi teks UPPER!</t>
        </is>
      </c>
    </row>
    <row r="294">
      <c r="A294" s="5" t="n">
        <v>290</v>
      </c>
      <c r="B294" s="8" t="inlineStr">
        <is>
          <t>UPPER</t>
        </is>
      </c>
      <c r="C294" s="6" t="inlineStr">
        <is>
          <t>Soal Tes #5</t>
        </is>
      </c>
      <c r="D294" s="33" t="inlineStr">
        <is>
          <t>UPPER!E54</t>
        </is>
      </c>
      <c r="E294" s="22" t="inlineStr">
        <is>
          <t>'=UPPER(C53)</t>
        </is>
      </c>
      <c r="F294" s="34">
        <f>UPPER('UPPER'!C53)</f>
        <v/>
      </c>
      <c r="G294" s="19" t="inlineStr">
        <is>
          <t>Olahlah teks pada sel C53 ("dewi lestari") menggunakan fungsi teks UPPER!</t>
        </is>
      </c>
    </row>
    <row r="295">
      <c r="A295" s="5" t="n">
        <v>291</v>
      </c>
      <c r="B295" s="8" t="inlineStr">
        <is>
          <t>LOWER</t>
        </is>
      </c>
      <c r="C295" s="6" t="inlineStr">
        <is>
          <t>Soal Tes #1</t>
        </is>
      </c>
      <c r="D295" s="33" t="inlineStr">
        <is>
          <t>LOWER!E22</t>
        </is>
      </c>
      <c r="E295" s="22" t="inlineStr">
        <is>
          <t>'=LOWER(C21)</t>
        </is>
      </c>
      <c r="F295" s="34">
        <f>LOWER('LOWER'!C21)</f>
        <v/>
      </c>
      <c r="G295" s="19" t="inlineStr">
        <is>
          <t>Olahlah teks pada sel C21 ("budi santoso") menggunakan fungsi teks LOWER!</t>
        </is>
      </c>
    </row>
    <row r="296">
      <c r="A296" s="5" t="n">
        <v>292</v>
      </c>
      <c r="B296" s="8" t="inlineStr">
        <is>
          <t>LOWER</t>
        </is>
      </c>
      <c r="C296" s="6" t="inlineStr">
        <is>
          <t>Soal Tes #2</t>
        </is>
      </c>
      <c r="D296" s="33" t="inlineStr">
        <is>
          <t>LOWER!E30</t>
        </is>
      </c>
      <c r="E296" s="22" t="inlineStr">
        <is>
          <t>'=LOWER(C29)</t>
        </is>
      </c>
      <c r="F296" s="34">
        <f>LOWER('LOWER'!C29)</f>
        <v/>
      </c>
      <c r="G296" s="19" t="inlineStr">
        <is>
          <t>Olahlah teks pada sel C29 ("siti aminah") menggunakan fungsi teks LOWER!</t>
        </is>
      </c>
    </row>
    <row r="297">
      <c r="A297" s="5" t="n">
        <v>293</v>
      </c>
      <c r="B297" s="8" t="inlineStr">
        <is>
          <t>LOWER</t>
        </is>
      </c>
      <c r="C297" s="6" t="inlineStr">
        <is>
          <t>Soal Tes #3</t>
        </is>
      </c>
      <c r="D297" s="33" t="inlineStr">
        <is>
          <t>LOWER!E38</t>
        </is>
      </c>
      <c r="E297" s="22" t="inlineStr">
        <is>
          <t>'=LOWER(C37)</t>
        </is>
      </c>
      <c r="F297" s="34">
        <f>LOWER('LOWER'!C37)</f>
        <v/>
      </c>
      <c r="G297" s="19" t="inlineStr">
        <is>
          <t>Olahlah teks pada sel C37 ("andi pratama") menggunakan fungsi teks LOWER!</t>
        </is>
      </c>
    </row>
    <row r="298">
      <c r="A298" s="5" t="n">
        <v>294</v>
      </c>
      <c r="B298" s="8" t="inlineStr">
        <is>
          <t>LOWER</t>
        </is>
      </c>
      <c r="C298" s="6" t="inlineStr">
        <is>
          <t>Soal Tes #4</t>
        </is>
      </c>
      <c r="D298" s="33" t="inlineStr">
        <is>
          <t>LOWER!E46</t>
        </is>
      </c>
      <c r="E298" s="22" t="inlineStr">
        <is>
          <t>'=LOWER(C45)</t>
        </is>
      </c>
      <c r="F298" s="34">
        <f>LOWER('LOWER'!C45)</f>
        <v/>
      </c>
      <c r="G298" s="19" t="inlineStr">
        <is>
          <t>Olahlah teks pada sel C45 ("rina wijaya") menggunakan fungsi teks LOWER!</t>
        </is>
      </c>
    </row>
    <row r="299">
      <c r="A299" s="5" t="n">
        <v>295</v>
      </c>
      <c r="B299" s="8" t="inlineStr">
        <is>
          <t>LOWER</t>
        </is>
      </c>
      <c r="C299" s="6" t="inlineStr">
        <is>
          <t>Soal Tes #5</t>
        </is>
      </c>
      <c r="D299" s="33" t="inlineStr">
        <is>
          <t>LOWER!E54</t>
        </is>
      </c>
      <c r="E299" s="22" t="inlineStr">
        <is>
          <t>'=LOWER(C53)</t>
        </is>
      </c>
      <c r="F299" s="34">
        <f>LOWER('LOWER'!C53)</f>
        <v/>
      </c>
      <c r="G299" s="19" t="inlineStr">
        <is>
          <t>Olahlah teks pada sel C53 ("dewi lestari") menggunakan fungsi teks LOWER!</t>
        </is>
      </c>
    </row>
    <row r="300">
      <c r="A300" s="5" t="n">
        <v>296</v>
      </c>
      <c r="B300" s="8" t="inlineStr">
        <is>
          <t>PROPER</t>
        </is>
      </c>
      <c r="C300" s="6" t="inlineStr">
        <is>
          <t>Soal Tes #1</t>
        </is>
      </c>
      <c r="D300" s="33" t="inlineStr">
        <is>
          <t>PROPER!E22</t>
        </is>
      </c>
      <c r="E300" s="22" t="inlineStr">
        <is>
          <t>'=PROPER(C21)</t>
        </is>
      </c>
      <c r="F300" s="34">
        <f>PROPER('PROPER'!C21)</f>
        <v/>
      </c>
      <c r="G300" s="19" t="inlineStr">
        <is>
          <t>Olahlah teks pada sel C21 ("budi santoso") menggunakan fungsi teks PROPER!</t>
        </is>
      </c>
    </row>
    <row r="301">
      <c r="A301" s="5" t="n">
        <v>297</v>
      </c>
      <c r="B301" s="8" t="inlineStr">
        <is>
          <t>PROPER</t>
        </is>
      </c>
      <c r="C301" s="6" t="inlineStr">
        <is>
          <t>Soal Tes #2</t>
        </is>
      </c>
      <c r="D301" s="33" t="inlineStr">
        <is>
          <t>PROPER!E30</t>
        </is>
      </c>
      <c r="E301" s="22" t="inlineStr">
        <is>
          <t>'=PROPER(C29)</t>
        </is>
      </c>
      <c r="F301" s="34">
        <f>PROPER('PROPER'!C29)</f>
        <v/>
      </c>
      <c r="G301" s="19" t="inlineStr">
        <is>
          <t>Olahlah teks pada sel C29 ("siti aminah") menggunakan fungsi teks PROPER!</t>
        </is>
      </c>
    </row>
    <row r="302">
      <c r="A302" s="5" t="n">
        <v>298</v>
      </c>
      <c r="B302" s="8" t="inlineStr">
        <is>
          <t>PROPER</t>
        </is>
      </c>
      <c r="C302" s="6" t="inlineStr">
        <is>
          <t>Soal Tes #3</t>
        </is>
      </c>
      <c r="D302" s="33" t="inlineStr">
        <is>
          <t>PROPER!E38</t>
        </is>
      </c>
      <c r="E302" s="22" t="inlineStr">
        <is>
          <t>'=PROPER(C37)</t>
        </is>
      </c>
      <c r="F302" s="34">
        <f>PROPER('PROPER'!C37)</f>
        <v/>
      </c>
      <c r="G302" s="19" t="inlineStr">
        <is>
          <t>Olahlah teks pada sel C37 ("andi pratama") menggunakan fungsi teks PROPER!</t>
        </is>
      </c>
    </row>
    <row r="303">
      <c r="A303" s="5" t="n">
        <v>299</v>
      </c>
      <c r="B303" s="8" t="inlineStr">
        <is>
          <t>PROPER</t>
        </is>
      </c>
      <c r="C303" s="6" t="inlineStr">
        <is>
          <t>Soal Tes #4</t>
        </is>
      </c>
      <c r="D303" s="33" t="inlineStr">
        <is>
          <t>PROPER!E46</t>
        </is>
      </c>
      <c r="E303" s="22" t="inlineStr">
        <is>
          <t>'=PROPER(C45)</t>
        </is>
      </c>
      <c r="F303" s="34">
        <f>PROPER('PROPER'!C45)</f>
        <v/>
      </c>
      <c r="G303" s="19" t="inlineStr">
        <is>
          <t>Olahlah teks pada sel C45 ("rina wijaya") menggunakan fungsi teks PROPER!</t>
        </is>
      </c>
    </row>
    <row r="304">
      <c r="A304" s="5" t="n">
        <v>300</v>
      </c>
      <c r="B304" s="8" t="inlineStr">
        <is>
          <t>PROPER</t>
        </is>
      </c>
      <c r="C304" s="6" t="inlineStr">
        <is>
          <t>Soal Tes #5</t>
        </is>
      </c>
      <c r="D304" s="33" t="inlineStr">
        <is>
          <t>PROPER!E54</t>
        </is>
      </c>
      <c r="E304" s="22" t="inlineStr">
        <is>
          <t>'=PROPER(C53)</t>
        </is>
      </c>
      <c r="F304" s="34">
        <f>PROPER('PROPER'!C53)</f>
        <v/>
      </c>
      <c r="G304" s="19" t="inlineStr">
        <is>
          <t>Olahlah teks pada sel C53 ("dewi lestari") menggunakan fungsi teks PROPER!</t>
        </is>
      </c>
    </row>
    <row r="305">
      <c r="A305" s="5" t="n">
        <v>301</v>
      </c>
      <c r="B305" s="8" t="inlineStr">
        <is>
          <t>CONCATENATE</t>
        </is>
      </c>
      <c r="C305" s="6" t="inlineStr">
        <is>
          <t>Soal Tes #1</t>
        </is>
      </c>
      <c r="D305" s="33" t="inlineStr">
        <is>
          <t>CONCATENATE!E22</t>
        </is>
      </c>
      <c r="E305" s="22" t="inlineStr">
        <is>
          <t>'=CONCATENATE(B21, " - ", C21)</t>
        </is>
      </c>
      <c r="F305" s="34">
        <f>CONCATENATE('CONCATENATE'!B21, " - ", 'CONCATENATE'!C21)</f>
        <v/>
      </c>
      <c r="G305" s="19" t="inlineStr">
        <is>
          <t>Gabungkan teks di sel B21, pemisah " - ", dan teks di sel C21 menggunakan fungsi CONCATENATE!</t>
        </is>
      </c>
    </row>
    <row r="306">
      <c r="A306" s="5" t="n">
        <v>302</v>
      </c>
      <c r="B306" s="8" t="inlineStr">
        <is>
          <t>CONCATENATE</t>
        </is>
      </c>
      <c r="C306" s="6" t="inlineStr">
        <is>
          <t>Soal Tes #2</t>
        </is>
      </c>
      <c r="D306" s="33" t="inlineStr">
        <is>
          <t>CONCATENATE!E30</t>
        </is>
      </c>
      <c r="E306" s="22" t="inlineStr">
        <is>
          <t>'=CONCATENATE(B29, " - ", C29)</t>
        </is>
      </c>
      <c r="F306" s="34">
        <f>CONCATENATE('CONCATENATE'!B29, " - ", 'CONCATENATE'!C29)</f>
        <v/>
      </c>
      <c r="G306" s="19" t="inlineStr">
        <is>
          <t>Gabungkan teks di sel B29, pemisah " - ", dan teks di sel C29 menggunakan fungsi CONCATENATE!</t>
        </is>
      </c>
    </row>
    <row r="307">
      <c r="A307" s="5" t="n">
        <v>303</v>
      </c>
      <c r="B307" s="8" t="inlineStr">
        <is>
          <t>CONCATENATE</t>
        </is>
      </c>
      <c r="C307" s="6" t="inlineStr">
        <is>
          <t>Soal Tes #3</t>
        </is>
      </c>
      <c r="D307" s="33" t="inlineStr">
        <is>
          <t>CONCATENATE!E38</t>
        </is>
      </c>
      <c r="E307" s="22" t="inlineStr">
        <is>
          <t>'=CONCATENATE(B37, " - ", C37)</t>
        </is>
      </c>
      <c r="F307" s="34">
        <f>CONCATENATE('CONCATENATE'!B37, " - ", 'CONCATENATE'!C37)</f>
        <v/>
      </c>
      <c r="G307" s="19" t="inlineStr">
        <is>
          <t>Gabungkan teks di sel B37, pemisah " - ", dan teks di sel C37 menggunakan fungsi CONCATENATE!</t>
        </is>
      </c>
    </row>
    <row r="308">
      <c r="A308" s="5" t="n">
        <v>304</v>
      </c>
      <c r="B308" s="8" t="inlineStr">
        <is>
          <t>CONCATENATE</t>
        </is>
      </c>
      <c r="C308" s="6" t="inlineStr">
        <is>
          <t>Soal Tes #4</t>
        </is>
      </c>
      <c r="D308" s="33" t="inlineStr">
        <is>
          <t>CONCATENATE!E46</t>
        </is>
      </c>
      <c r="E308" s="22" t="inlineStr">
        <is>
          <t>'=CONCATENATE(B45, " - ", C45)</t>
        </is>
      </c>
      <c r="F308" s="34">
        <f>CONCATENATE('CONCATENATE'!B45, " - ", 'CONCATENATE'!C45)</f>
        <v/>
      </c>
      <c r="G308" s="19" t="inlineStr">
        <is>
          <t>Gabungkan teks di sel B45, pemisah " - ", dan teks di sel C45 menggunakan fungsi CONCATENATE!</t>
        </is>
      </c>
    </row>
    <row r="309">
      <c r="A309" s="5" t="n">
        <v>305</v>
      </c>
      <c r="B309" s="8" t="inlineStr">
        <is>
          <t>CONCATENATE</t>
        </is>
      </c>
      <c r="C309" s="6" t="inlineStr">
        <is>
          <t>Soal Tes #5</t>
        </is>
      </c>
      <c r="D309" s="33" t="inlineStr">
        <is>
          <t>CONCATENATE!E54</t>
        </is>
      </c>
      <c r="E309" s="22" t="inlineStr">
        <is>
          <t>'=CONCATENATE(B53, " - ", C53)</t>
        </is>
      </c>
      <c r="F309" s="34">
        <f>CONCATENATE('CONCATENATE'!B53, " - ", 'CONCATENATE'!C53)</f>
        <v/>
      </c>
      <c r="G309" s="19" t="inlineStr">
        <is>
          <t>Gabungkan teks di sel B53, pemisah " - ", dan teks di sel C53 menggunakan fungsi CONCATENATE!</t>
        </is>
      </c>
    </row>
    <row r="310">
      <c r="A310" s="5" t="n">
        <v>306</v>
      </c>
      <c r="B310" s="8" t="inlineStr">
        <is>
          <t>EXACT</t>
        </is>
      </c>
      <c r="C310" s="6" t="inlineStr">
        <is>
          <t>Soal Tes #1</t>
        </is>
      </c>
      <c r="D310" s="33" t="inlineStr">
        <is>
          <t>EXACT!E22</t>
        </is>
      </c>
      <c r="E310" s="22" t="inlineStr">
        <is>
          <t>'=EXACT(B21, C21)</t>
        </is>
      </c>
      <c r="F310" s="34">
        <f>EXACT('EXACT'!B21, 'EXACT'!C21)</f>
        <v/>
      </c>
      <c r="G310" s="19" t="inlineStr">
        <is>
          <t>Periksa apakah teks di sel B21 sama persis dengan teks di sel C21 menggunakan fungsi EXACT!</t>
        </is>
      </c>
    </row>
    <row r="311">
      <c r="A311" s="5" t="n">
        <v>307</v>
      </c>
      <c r="B311" s="8" t="inlineStr">
        <is>
          <t>EXACT</t>
        </is>
      </c>
      <c r="C311" s="6" t="inlineStr">
        <is>
          <t>Soal Tes #2</t>
        </is>
      </c>
      <c r="D311" s="33" t="inlineStr">
        <is>
          <t>EXACT!E30</t>
        </is>
      </c>
      <c r="E311" s="22" t="inlineStr">
        <is>
          <t>'=EXACT(B29, C29)</t>
        </is>
      </c>
      <c r="F311" s="34">
        <f>EXACT('EXACT'!B29, 'EXACT'!C29)</f>
        <v/>
      </c>
      <c r="G311" s="19" t="inlineStr">
        <is>
          <t>Periksa apakah teks di sel B29 sama persis dengan teks di sel C29 menggunakan fungsi EXACT!</t>
        </is>
      </c>
    </row>
    <row r="312">
      <c r="A312" s="5" t="n">
        <v>308</v>
      </c>
      <c r="B312" s="8" t="inlineStr">
        <is>
          <t>EXACT</t>
        </is>
      </c>
      <c r="C312" s="6" t="inlineStr">
        <is>
          <t>Soal Tes #3</t>
        </is>
      </c>
      <c r="D312" s="33" t="inlineStr">
        <is>
          <t>EXACT!E38</t>
        </is>
      </c>
      <c r="E312" s="22" t="inlineStr">
        <is>
          <t>'=EXACT(B37, C37)</t>
        </is>
      </c>
      <c r="F312" s="34">
        <f>EXACT('EXACT'!B37, 'EXACT'!C37)</f>
        <v/>
      </c>
      <c r="G312" s="19" t="inlineStr">
        <is>
          <t>Periksa apakah teks di sel B37 sama persis dengan teks di sel C37 menggunakan fungsi EXACT!</t>
        </is>
      </c>
    </row>
    <row r="313">
      <c r="A313" s="5" t="n">
        <v>309</v>
      </c>
      <c r="B313" s="8" t="inlineStr">
        <is>
          <t>EXACT</t>
        </is>
      </c>
      <c r="C313" s="6" t="inlineStr">
        <is>
          <t>Soal Tes #4</t>
        </is>
      </c>
      <c r="D313" s="33" t="inlineStr">
        <is>
          <t>EXACT!E46</t>
        </is>
      </c>
      <c r="E313" s="22" t="inlineStr">
        <is>
          <t>'=EXACT(B45, C45)</t>
        </is>
      </c>
      <c r="F313" s="34">
        <f>EXACT('EXACT'!B45, 'EXACT'!C45)</f>
        <v/>
      </c>
      <c r="G313" s="19" t="inlineStr">
        <is>
          <t>Periksa apakah teks di sel B45 sama persis dengan teks di sel C45 menggunakan fungsi EXACT!</t>
        </is>
      </c>
    </row>
    <row r="314">
      <c r="A314" s="5" t="n">
        <v>310</v>
      </c>
      <c r="B314" s="8" t="inlineStr">
        <is>
          <t>EXACT</t>
        </is>
      </c>
      <c r="C314" s="6" t="inlineStr">
        <is>
          <t>Soal Tes #5</t>
        </is>
      </c>
      <c r="D314" s="33" t="inlineStr">
        <is>
          <t>EXACT!E54</t>
        </is>
      </c>
      <c r="E314" s="22" t="inlineStr">
        <is>
          <t>'=EXACT(B53, C53)</t>
        </is>
      </c>
      <c r="F314" s="34">
        <f>EXACT('EXACT'!B53, 'EXACT'!C53)</f>
        <v/>
      </c>
      <c r="G314" s="19" t="inlineStr">
        <is>
          <t>Periksa apakah teks di sel B53 sama persis dengan teks di sel C53 menggunakan fungsi EXACT!</t>
        </is>
      </c>
    </row>
    <row r="315">
      <c r="A315" s="5" t="n">
        <v>311</v>
      </c>
      <c r="B315" s="8" t="inlineStr">
        <is>
          <t>FIND</t>
        </is>
      </c>
      <c r="C315" s="6" t="inlineStr">
        <is>
          <t>Soal Tes #1</t>
        </is>
      </c>
      <c r="D315" s="33" t="inlineStr">
        <is>
          <t>FIND!E22</t>
        </is>
      </c>
      <c r="E315" s="22" t="inlineStr">
        <is>
          <t>'=FIND("-", C21)</t>
        </is>
      </c>
      <c r="F315" s="34">
        <f>FIND("-", 'FIND'!C21)</f>
        <v/>
      </c>
      <c r="G315" s="19" t="inlineStr">
        <is>
          <t>Cari nomor urut posisi karakter strip "-" di dalam sel C21 menggunakan fungsi FIND!</t>
        </is>
      </c>
    </row>
    <row r="316">
      <c r="A316" s="5" t="n">
        <v>312</v>
      </c>
      <c r="B316" s="8" t="inlineStr">
        <is>
          <t>FIND</t>
        </is>
      </c>
      <c r="C316" s="6" t="inlineStr">
        <is>
          <t>Soal Tes #2</t>
        </is>
      </c>
      <c r="D316" s="33" t="inlineStr">
        <is>
          <t>FIND!E30</t>
        </is>
      </c>
      <c r="E316" s="22" t="inlineStr">
        <is>
          <t>'=FIND("-", C29)</t>
        </is>
      </c>
      <c r="F316" s="34">
        <f>FIND("-", 'FIND'!C29)</f>
        <v/>
      </c>
      <c r="G316" s="19" t="inlineStr">
        <is>
          <t>Cari nomor urut posisi karakter strip "-" di dalam sel C29 menggunakan fungsi FIND!</t>
        </is>
      </c>
    </row>
    <row r="317">
      <c r="A317" s="5" t="n">
        <v>313</v>
      </c>
      <c r="B317" s="8" t="inlineStr">
        <is>
          <t>FIND</t>
        </is>
      </c>
      <c r="C317" s="6" t="inlineStr">
        <is>
          <t>Soal Tes #3</t>
        </is>
      </c>
      <c r="D317" s="33" t="inlineStr">
        <is>
          <t>FIND!E38</t>
        </is>
      </c>
      <c r="E317" s="22" t="inlineStr">
        <is>
          <t>'=FIND("-", C37)</t>
        </is>
      </c>
      <c r="F317" s="34">
        <f>FIND("-", 'FIND'!C37)</f>
        <v/>
      </c>
      <c r="G317" s="19" t="inlineStr">
        <is>
          <t>Cari nomor urut posisi karakter strip "-" di dalam sel C37 menggunakan fungsi FIND!</t>
        </is>
      </c>
    </row>
    <row r="318">
      <c r="A318" s="5" t="n">
        <v>314</v>
      </c>
      <c r="B318" s="8" t="inlineStr">
        <is>
          <t>FIND</t>
        </is>
      </c>
      <c r="C318" s="6" t="inlineStr">
        <is>
          <t>Soal Tes #4</t>
        </is>
      </c>
      <c r="D318" s="33" t="inlineStr">
        <is>
          <t>FIND!E46</t>
        </is>
      </c>
      <c r="E318" s="22" t="inlineStr">
        <is>
          <t>'=FIND("-", C45)</t>
        </is>
      </c>
      <c r="F318" s="34">
        <f>FIND("-", 'FIND'!C45)</f>
        <v/>
      </c>
      <c r="G318" s="19" t="inlineStr">
        <is>
          <t>Cari nomor urut posisi karakter strip "-" di dalam sel C45 menggunakan fungsi FIND!</t>
        </is>
      </c>
    </row>
    <row r="319">
      <c r="A319" s="5" t="n">
        <v>315</v>
      </c>
      <c r="B319" s="8" t="inlineStr">
        <is>
          <t>FIND</t>
        </is>
      </c>
      <c r="C319" s="6" t="inlineStr">
        <is>
          <t>Soal Tes #5</t>
        </is>
      </c>
      <c r="D319" s="33" t="inlineStr">
        <is>
          <t>FIND!E54</t>
        </is>
      </c>
      <c r="E319" s="22" t="inlineStr">
        <is>
          <t>'=FIND("-", C53)</t>
        </is>
      </c>
      <c r="F319" s="34">
        <f>FIND("-", 'FIND'!C53)</f>
        <v/>
      </c>
      <c r="G319" s="19" t="inlineStr">
        <is>
          <t>Cari nomor urut posisi karakter strip "-" di dalam sel C53 menggunakan fungsi FIND!</t>
        </is>
      </c>
    </row>
    <row r="320">
      <c r="A320" s="5" t="n">
        <v>316</v>
      </c>
      <c r="B320" s="8" t="inlineStr">
        <is>
          <t>SEARCH</t>
        </is>
      </c>
      <c r="C320" s="6" t="inlineStr">
        <is>
          <t>Soal Tes #1</t>
        </is>
      </c>
      <c r="D320" s="33" t="inlineStr">
        <is>
          <t>SEARCH!E22</t>
        </is>
      </c>
      <c r="E320" s="22" t="inlineStr">
        <is>
          <t>'=SEARCH("-", C21)</t>
        </is>
      </c>
      <c r="F320" s="34">
        <f>SEARCH("-", 'SEARCH'!C21)</f>
        <v/>
      </c>
      <c r="G320" s="19" t="inlineStr">
        <is>
          <t>Cari nomor urut posisi karakter strip "-" di dalam sel C21 menggunakan fungsi SEARCH!</t>
        </is>
      </c>
    </row>
    <row r="321">
      <c r="A321" s="5" t="n">
        <v>317</v>
      </c>
      <c r="B321" s="8" t="inlineStr">
        <is>
          <t>SEARCH</t>
        </is>
      </c>
      <c r="C321" s="6" t="inlineStr">
        <is>
          <t>Soal Tes #2</t>
        </is>
      </c>
      <c r="D321" s="33" t="inlineStr">
        <is>
          <t>SEARCH!E30</t>
        </is>
      </c>
      <c r="E321" s="22" t="inlineStr">
        <is>
          <t>'=SEARCH("-", C29)</t>
        </is>
      </c>
      <c r="F321" s="34">
        <f>SEARCH("-", 'SEARCH'!C29)</f>
        <v/>
      </c>
      <c r="G321" s="19" t="inlineStr">
        <is>
          <t>Cari nomor urut posisi karakter strip "-" di dalam sel C29 menggunakan fungsi SEARCH!</t>
        </is>
      </c>
    </row>
    <row r="322">
      <c r="A322" s="5" t="n">
        <v>318</v>
      </c>
      <c r="B322" s="8" t="inlineStr">
        <is>
          <t>SEARCH</t>
        </is>
      </c>
      <c r="C322" s="6" t="inlineStr">
        <is>
          <t>Soal Tes #3</t>
        </is>
      </c>
      <c r="D322" s="33" t="inlineStr">
        <is>
          <t>SEARCH!E38</t>
        </is>
      </c>
      <c r="E322" s="22" t="inlineStr">
        <is>
          <t>'=SEARCH("-", C37)</t>
        </is>
      </c>
      <c r="F322" s="34">
        <f>SEARCH("-", 'SEARCH'!C37)</f>
        <v/>
      </c>
      <c r="G322" s="19" t="inlineStr">
        <is>
          <t>Cari nomor urut posisi karakter strip "-" di dalam sel C37 menggunakan fungsi SEARCH!</t>
        </is>
      </c>
    </row>
    <row r="323">
      <c r="A323" s="5" t="n">
        <v>319</v>
      </c>
      <c r="B323" s="8" t="inlineStr">
        <is>
          <t>SEARCH</t>
        </is>
      </c>
      <c r="C323" s="6" t="inlineStr">
        <is>
          <t>Soal Tes #4</t>
        </is>
      </c>
      <c r="D323" s="33" t="inlineStr">
        <is>
          <t>SEARCH!E46</t>
        </is>
      </c>
      <c r="E323" s="22" t="inlineStr">
        <is>
          <t>'=SEARCH("-", C45)</t>
        </is>
      </c>
      <c r="F323" s="34">
        <f>SEARCH("-", 'SEARCH'!C45)</f>
        <v/>
      </c>
      <c r="G323" s="19" t="inlineStr">
        <is>
          <t>Cari nomor urut posisi karakter strip "-" di dalam sel C45 menggunakan fungsi SEARCH!</t>
        </is>
      </c>
    </row>
    <row r="324">
      <c r="A324" s="5" t="n">
        <v>320</v>
      </c>
      <c r="B324" s="8" t="inlineStr">
        <is>
          <t>SEARCH</t>
        </is>
      </c>
      <c r="C324" s="6" t="inlineStr">
        <is>
          <t>Soal Tes #5</t>
        </is>
      </c>
      <c r="D324" s="33" t="inlineStr">
        <is>
          <t>SEARCH!E54</t>
        </is>
      </c>
      <c r="E324" s="22" t="inlineStr">
        <is>
          <t>'=SEARCH("-", C53)</t>
        </is>
      </c>
      <c r="F324" s="34">
        <f>SEARCH("-", 'SEARCH'!C53)</f>
        <v/>
      </c>
      <c r="G324" s="19" t="inlineStr">
        <is>
          <t>Cari nomor urut posisi karakter strip "-" di dalam sel C53 menggunakan fungsi SEARCH!</t>
        </is>
      </c>
    </row>
    <row r="325">
      <c r="A325" s="5" t="n">
        <v>321</v>
      </c>
      <c r="B325" s="8" t="inlineStr">
        <is>
          <t>SUBSTITUTE</t>
        </is>
      </c>
      <c r="C325" s="6" t="inlineStr">
        <is>
          <t>Soal Tes #1</t>
        </is>
      </c>
      <c r="D325" s="33" t="inlineStr">
        <is>
          <t>SUBSTITUTE!E22</t>
        </is>
      </c>
      <c r="E325" s="22" t="inlineStr">
        <is>
          <t>'=SUBSTITUTE(C21, "-", "/")</t>
        </is>
      </c>
      <c r="F325" s="34">
        <f>SUBSTITUTE('SUBSTITUTE'!C21, "-", "/")</f>
        <v/>
      </c>
      <c r="G325" s="19" t="inlineStr">
        <is>
          <t>Ubah seluruh tanda strip "-" menjadi garis miring "/" pada sel C21 menggunakan fungsi SUBSTITUTE!</t>
        </is>
      </c>
    </row>
    <row r="326">
      <c r="A326" s="5" t="n">
        <v>322</v>
      </c>
      <c r="B326" s="8" t="inlineStr">
        <is>
          <t>SUBSTITUTE</t>
        </is>
      </c>
      <c r="C326" s="6" t="inlineStr">
        <is>
          <t>Soal Tes #2</t>
        </is>
      </c>
      <c r="D326" s="33" t="inlineStr">
        <is>
          <t>SUBSTITUTE!E30</t>
        </is>
      </c>
      <c r="E326" s="22" t="inlineStr">
        <is>
          <t>'=SUBSTITUTE(C29, "-", "/")</t>
        </is>
      </c>
      <c r="F326" s="34">
        <f>SUBSTITUTE('SUBSTITUTE'!C29, "-", "/")</f>
        <v/>
      </c>
      <c r="G326" s="19" t="inlineStr">
        <is>
          <t>Ubah seluruh tanda strip "-" menjadi garis miring "/" pada sel C29 menggunakan fungsi SUBSTITUTE!</t>
        </is>
      </c>
    </row>
    <row r="327">
      <c r="A327" s="5" t="n">
        <v>323</v>
      </c>
      <c r="B327" s="8" t="inlineStr">
        <is>
          <t>SUBSTITUTE</t>
        </is>
      </c>
      <c r="C327" s="6" t="inlineStr">
        <is>
          <t>Soal Tes #3</t>
        </is>
      </c>
      <c r="D327" s="33" t="inlineStr">
        <is>
          <t>SUBSTITUTE!E38</t>
        </is>
      </c>
      <c r="E327" s="22" t="inlineStr">
        <is>
          <t>'=SUBSTITUTE(C37, "-", "/")</t>
        </is>
      </c>
      <c r="F327" s="34">
        <f>SUBSTITUTE('SUBSTITUTE'!C37, "-", "/")</f>
        <v/>
      </c>
      <c r="G327" s="19" t="inlineStr">
        <is>
          <t>Ubah seluruh tanda strip "-" menjadi garis miring "/" pada sel C37 menggunakan fungsi SUBSTITUTE!</t>
        </is>
      </c>
    </row>
    <row r="328">
      <c r="A328" s="5" t="n">
        <v>324</v>
      </c>
      <c r="B328" s="8" t="inlineStr">
        <is>
          <t>SUBSTITUTE</t>
        </is>
      </c>
      <c r="C328" s="6" t="inlineStr">
        <is>
          <t>Soal Tes #4</t>
        </is>
      </c>
      <c r="D328" s="33" t="inlineStr">
        <is>
          <t>SUBSTITUTE!E46</t>
        </is>
      </c>
      <c r="E328" s="22" t="inlineStr">
        <is>
          <t>'=SUBSTITUTE(C45, "-", "/")</t>
        </is>
      </c>
      <c r="F328" s="34">
        <f>SUBSTITUTE('SUBSTITUTE'!C45, "-", "/")</f>
        <v/>
      </c>
      <c r="G328" s="19" t="inlineStr">
        <is>
          <t>Ubah seluruh tanda strip "-" menjadi garis miring "/" pada sel C45 menggunakan fungsi SUBSTITUTE!</t>
        </is>
      </c>
    </row>
    <row r="329">
      <c r="A329" s="5" t="n">
        <v>325</v>
      </c>
      <c r="B329" s="8" t="inlineStr">
        <is>
          <t>SUBSTITUTE</t>
        </is>
      </c>
      <c r="C329" s="6" t="inlineStr">
        <is>
          <t>Soal Tes #5</t>
        </is>
      </c>
      <c r="D329" s="33" t="inlineStr">
        <is>
          <t>SUBSTITUTE!E54</t>
        </is>
      </c>
      <c r="E329" s="22" t="inlineStr">
        <is>
          <t>'=SUBSTITUTE(C53, "-", "/")</t>
        </is>
      </c>
      <c r="F329" s="34">
        <f>SUBSTITUTE('SUBSTITUTE'!C53, "-", "/")</f>
        <v/>
      </c>
      <c r="G329" s="19" t="inlineStr">
        <is>
          <t>Ubah seluruh tanda strip "-" menjadi garis miring "/" pada sel C53 menggunakan fungsi SUBSTITUTE!</t>
        </is>
      </c>
    </row>
    <row r="330">
      <c r="A330" s="5" t="n">
        <v>326</v>
      </c>
      <c r="B330" s="8" t="inlineStr">
        <is>
          <t>REPLACE</t>
        </is>
      </c>
      <c r="C330" s="6" t="inlineStr">
        <is>
          <t>Soal Tes #1</t>
        </is>
      </c>
      <c r="D330" s="33" t="inlineStr">
        <is>
          <t>REPLACE!E22</t>
        </is>
      </c>
      <c r="E330" s="22" t="inlineStr">
        <is>
          <t>'=REPLACE(C21, 1, 2, "INA")</t>
        </is>
      </c>
      <c r="F330" s="34">
        <f>REPLACE('REPLACE'!C21, 1, 2, "INA")</f>
        <v/>
      </c>
      <c r="G330" s="19" t="inlineStr">
        <is>
          <t>Ganti 2 karakter pertama mulai posisi ke-1 pada sel C21 dengan teks "INA" menggunakan fungsi REPLACE!</t>
        </is>
      </c>
    </row>
    <row r="331">
      <c r="A331" s="5" t="n">
        <v>327</v>
      </c>
      <c r="B331" s="8" t="inlineStr">
        <is>
          <t>REPLACE</t>
        </is>
      </c>
      <c r="C331" s="6" t="inlineStr">
        <is>
          <t>Soal Tes #2</t>
        </is>
      </c>
      <c r="D331" s="33" t="inlineStr">
        <is>
          <t>REPLACE!E30</t>
        </is>
      </c>
      <c r="E331" s="22" t="inlineStr">
        <is>
          <t>'=REPLACE(C29, 1, 2, "INA")</t>
        </is>
      </c>
      <c r="F331" s="34">
        <f>REPLACE('REPLACE'!C29, 1, 2, "INA")</f>
        <v/>
      </c>
      <c r="G331" s="19" t="inlineStr">
        <is>
          <t>Ganti 2 karakter pertama mulai posisi ke-1 pada sel C29 dengan teks "INA" menggunakan fungsi REPLACE!</t>
        </is>
      </c>
    </row>
    <row r="332">
      <c r="A332" s="5" t="n">
        <v>328</v>
      </c>
      <c r="B332" s="8" t="inlineStr">
        <is>
          <t>REPLACE</t>
        </is>
      </c>
      <c r="C332" s="6" t="inlineStr">
        <is>
          <t>Soal Tes #3</t>
        </is>
      </c>
      <c r="D332" s="33" t="inlineStr">
        <is>
          <t>REPLACE!E38</t>
        </is>
      </c>
      <c r="E332" s="22" t="inlineStr">
        <is>
          <t>'=REPLACE(C37, 1, 2, "INA")</t>
        </is>
      </c>
      <c r="F332" s="34">
        <f>REPLACE('REPLACE'!C37, 1, 2, "INA")</f>
        <v/>
      </c>
      <c r="G332" s="19" t="inlineStr">
        <is>
          <t>Ganti 2 karakter pertama mulai posisi ke-1 pada sel C37 dengan teks "INA" menggunakan fungsi REPLACE!</t>
        </is>
      </c>
    </row>
    <row r="333">
      <c r="A333" s="5" t="n">
        <v>329</v>
      </c>
      <c r="B333" s="8" t="inlineStr">
        <is>
          <t>REPLACE</t>
        </is>
      </c>
      <c r="C333" s="6" t="inlineStr">
        <is>
          <t>Soal Tes #4</t>
        </is>
      </c>
      <c r="D333" s="33" t="inlineStr">
        <is>
          <t>REPLACE!E46</t>
        </is>
      </c>
      <c r="E333" s="22" t="inlineStr">
        <is>
          <t>'=REPLACE(C45, 1, 2, "INA")</t>
        </is>
      </c>
      <c r="F333" s="34">
        <f>REPLACE('REPLACE'!C45, 1, 2, "INA")</f>
        <v/>
      </c>
      <c r="G333" s="19" t="inlineStr">
        <is>
          <t>Ganti 2 karakter pertama mulai posisi ke-1 pada sel C45 dengan teks "INA" menggunakan fungsi REPLACE!</t>
        </is>
      </c>
    </row>
    <row r="334">
      <c r="A334" s="5" t="n">
        <v>330</v>
      </c>
      <c r="B334" s="8" t="inlineStr">
        <is>
          <t>REPLACE</t>
        </is>
      </c>
      <c r="C334" s="6" t="inlineStr">
        <is>
          <t>Soal Tes #5</t>
        </is>
      </c>
      <c r="D334" s="33" t="inlineStr">
        <is>
          <t>REPLACE!E54</t>
        </is>
      </c>
      <c r="E334" s="22" t="inlineStr">
        <is>
          <t>'=REPLACE(C53, 1, 2, "INA")</t>
        </is>
      </c>
      <c r="F334" s="34">
        <f>REPLACE('REPLACE'!C53, 1, 2, "INA")</f>
        <v/>
      </c>
      <c r="G334" s="19" t="inlineStr">
        <is>
          <t>Ganti 2 karakter pertama mulai posisi ke-1 pada sel C53 dengan teks "INA" menggunakan fungsi REPLACE!</t>
        </is>
      </c>
    </row>
    <row r="335">
      <c r="A335" s="5" t="n">
        <v>331</v>
      </c>
      <c r="B335" s="8" t="inlineStr">
        <is>
          <t>REPT</t>
        </is>
      </c>
      <c r="C335" s="6" t="inlineStr">
        <is>
          <t>Soal Tes #1</t>
        </is>
      </c>
      <c r="D335" s="33" t="inlineStr">
        <is>
          <t>REPT!E22</t>
        </is>
      </c>
      <c r="E335" s="22" t="inlineStr">
        <is>
          <t>'=REPT("*", C21)</t>
        </is>
      </c>
      <c r="F335" s="34">
        <f>REPT("*", 'REPT'!C21)</f>
        <v/>
      </c>
      <c r="G335" s="19" t="inlineStr">
        <is>
          <t>Ulang simbol bintang "*" sebanyak angka rating di sel C21 (2) menggunakan fungsi REPT!</t>
        </is>
      </c>
    </row>
    <row r="336">
      <c r="A336" s="5" t="n">
        <v>332</v>
      </c>
      <c r="B336" s="8" t="inlineStr">
        <is>
          <t>REPT</t>
        </is>
      </c>
      <c r="C336" s="6" t="inlineStr">
        <is>
          <t>Soal Tes #2</t>
        </is>
      </c>
      <c r="D336" s="33" t="inlineStr">
        <is>
          <t>REPT!E30</t>
        </is>
      </c>
      <c r="E336" s="22" t="inlineStr">
        <is>
          <t>'=REPT("*", C29)</t>
        </is>
      </c>
      <c r="F336" s="34">
        <f>REPT("*", 'REPT'!C29)</f>
        <v/>
      </c>
      <c r="G336" s="19" t="inlineStr">
        <is>
          <t>Ulang simbol bintang "*" sebanyak angka rating di sel C29 (3) menggunakan fungsi REPT!</t>
        </is>
      </c>
    </row>
    <row r="337">
      <c r="A337" s="5" t="n">
        <v>333</v>
      </c>
      <c r="B337" s="8" t="inlineStr">
        <is>
          <t>REPT</t>
        </is>
      </c>
      <c r="C337" s="6" t="inlineStr">
        <is>
          <t>Soal Tes #3</t>
        </is>
      </c>
      <c r="D337" s="33" t="inlineStr">
        <is>
          <t>REPT!E38</t>
        </is>
      </c>
      <c r="E337" s="22" t="inlineStr">
        <is>
          <t>'=REPT("*", C37)</t>
        </is>
      </c>
      <c r="F337" s="34">
        <f>REPT("*", 'REPT'!C37)</f>
        <v/>
      </c>
      <c r="G337" s="19" t="inlineStr">
        <is>
          <t>Ulang simbol bintang "*" sebanyak angka rating di sel C37 (4) menggunakan fungsi REPT!</t>
        </is>
      </c>
    </row>
    <row r="338">
      <c r="A338" s="5" t="n">
        <v>334</v>
      </c>
      <c r="B338" s="8" t="inlineStr">
        <is>
          <t>REPT</t>
        </is>
      </c>
      <c r="C338" s="6" t="inlineStr">
        <is>
          <t>Soal Tes #4</t>
        </is>
      </c>
      <c r="D338" s="33" t="inlineStr">
        <is>
          <t>REPT!E46</t>
        </is>
      </c>
      <c r="E338" s="22" t="inlineStr">
        <is>
          <t>'=REPT("*", C45)</t>
        </is>
      </c>
      <c r="F338" s="34">
        <f>REPT("*", 'REPT'!C45)</f>
        <v/>
      </c>
      <c r="G338" s="19" t="inlineStr">
        <is>
          <t>Ulang simbol bintang "*" sebanyak angka rating di sel C45 (5) menggunakan fungsi REPT!</t>
        </is>
      </c>
    </row>
    <row r="339">
      <c r="A339" s="5" t="n">
        <v>335</v>
      </c>
      <c r="B339" s="8" t="inlineStr">
        <is>
          <t>REPT</t>
        </is>
      </c>
      <c r="C339" s="6" t="inlineStr">
        <is>
          <t>Soal Tes #5</t>
        </is>
      </c>
      <c r="D339" s="33" t="inlineStr">
        <is>
          <t>REPT!E54</t>
        </is>
      </c>
      <c r="E339" s="22" t="inlineStr">
        <is>
          <t>'=REPT("*", C53)</t>
        </is>
      </c>
      <c r="F339" s="34">
        <f>REPT("*", 'REPT'!C53)</f>
        <v/>
      </c>
      <c r="G339" s="19" t="inlineStr">
        <is>
          <t>Ulang simbol bintang "*" sebanyak angka rating di sel C53 (6) menggunakan fungsi REPT!</t>
        </is>
      </c>
    </row>
    <row r="340">
      <c r="A340" s="5" t="n">
        <v>336</v>
      </c>
      <c r="B340" s="8" t="inlineStr">
        <is>
          <t>VALUE</t>
        </is>
      </c>
      <c r="C340" s="6" t="inlineStr">
        <is>
          <t>Soal Tes #1</t>
        </is>
      </c>
      <c r="D340" s="33" t="inlineStr">
        <is>
          <t>VALUE!E22</t>
        </is>
      </c>
      <c r="E340" s="22" t="inlineStr">
        <is>
          <t>'=VALUE(C21)</t>
        </is>
      </c>
      <c r="F340" s="34">
        <f>VALUE('VALUE'!C21)</f>
        <v/>
      </c>
      <c r="G340" s="19" t="inlineStr">
        <is>
          <t>Konversikan teks angka pada sel C21 menjadi tipe data angka murni menggunakan fungsi VALUE!</t>
        </is>
      </c>
    </row>
    <row r="341">
      <c r="A341" s="5" t="n">
        <v>337</v>
      </c>
      <c r="B341" s="8" t="inlineStr">
        <is>
          <t>VALUE</t>
        </is>
      </c>
      <c r="C341" s="6" t="inlineStr">
        <is>
          <t>Soal Tes #2</t>
        </is>
      </c>
      <c r="D341" s="33" t="inlineStr">
        <is>
          <t>VALUE!E30</t>
        </is>
      </c>
      <c r="E341" s="22" t="inlineStr">
        <is>
          <t>'=VALUE(C29)</t>
        </is>
      </c>
      <c r="F341" s="34">
        <f>VALUE('VALUE'!C29)</f>
        <v/>
      </c>
      <c r="G341" s="19" t="inlineStr">
        <is>
          <t>Konversikan teks angka pada sel C29 menjadi tipe data angka murni menggunakan fungsi VALUE!</t>
        </is>
      </c>
    </row>
    <row r="342">
      <c r="A342" s="5" t="n">
        <v>338</v>
      </c>
      <c r="B342" s="8" t="inlineStr">
        <is>
          <t>VALUE</t>
        </is>
      </c>
      <c r="C342" s="6" t="inlineStr">
        <is>
          <t>Soal Tes #3</t>
        </is>
      </c>
      <c r="D342" s="33" t="inlineStr">
        <is>
          <t>VALUE!E38</t>
        </is>
      </c>
      <c r="E342" s="22" t="inlineStr">
        <is>
          <t>'=VALUE(C37)</t>
        </is>
      </c>
      <c r="F342" s="34">
        <f>VALUE('VALUE'!C37)</f>
        <v/>
      </c>
      <c r="G342" s="19" t="inlineStr">
        <is>
          <t>Konversikan teks angka pada sel C37 menjadi tipe data angka murni menggunakan fungsi VALUE!</t>
        </is>
      </c>
    </row>
    <row r="343">
      <c r="A343" s="5" t="n">
        <v>339</v>
      </c>
      <c r="B343" s="8" t="inlineStr">
        <is>
          <t>VALUE</t>
        </is>
      </c>
      <c r="C343" s="6" t="inlineStr">
        <is>
          <t>Soal Tes #4</t>
        </is>
      </c>
      <c r="D343" s="33" t="inlineStr">
        <is>
          <t>VALUE!E46</t>
        </is>
      </c>
      <c r="E343" s="22" t="inlineStr">
        <is>
          <t>'=VALUE(C45)</t>
        </is>
      </c>
      <c r="F343" s="34">
        <f>VALUE('VALUE'!C45)</f>
        <v/>
      </c>
      <c r="G343" s="19" t="inlineStr">
        <is>
          <t>Konversikan teks angka pada sel C45 menjadi tipe data angka murni menggunakan fungsi VALUE!</t>
        </is>
      </c>
    </row>
    <row r="344">
      <c r="A344" s="5" t="n">
        <v>340</v>
      </c>
      <c r="B344" s="8" t="inlineStr">
        <is>
          <t>VALUE</t>
        </is>
      </c>
      <c r="C344" s="6" t="inlineStr">
        <is>
          <t>Soal Tes #5</t>
        </is>
      </c>
      <c r="D344" s="33" t="inlineStr">
        <is>
          <t>VALUE!E54</t>
        </is>
      </c>
      <c r="E344" s="22" t="inlineStr">
        <is>
          <t>'=VALUE(C53)</t>
        </is>
      </c>
      <c r="F344" s="34">
        <f>VALUE('VALUE'!C53)</f>
        <v/>
      </c>
      <c r="G344" s="19" t="inlineStr">
        <is>
          <t>Konversikan teks angka pada sel C53 menjadi tipe data angka murni menggunakan fungsi VALUE!</t>
        </is>
      </c>
    </row>
    <row r="345">
      <c r="A345" s="5" t="n">
        <v>341</v>
      </c>
      <c r="B345" s="8" t="inlineStr">
        <is>
          <t>TEXT</t>
        </is>
      </c>
      <c r="C345" s="6" t="inlineStr">
        <is>
          <t>Soal Tes #1</t>
        </is>
      </c>
      <c r="D345" s="33" t="inlineStr">
        <is>
          <t>TEXT!E22</t>
        </is>
      </c>
      <c r="E345" s="22" t="inlineStr">
        <is>
          <t>'=TEXT(C21, "#,##0")</t>
        </is>
      </c>
      <c r="F345" s="34">
        <f>TEXT('TEXT'!C21, "#,##0")</f>
        <v/>
      </c>
      <c r="G345" s="19" t="inlineStr">
        <is>
          <t>Format nilai angka di sel C21 ke dalam pola ribuan "#,##0" menggunakan fungsi TEXT!</t>
        </is>
      </c>
    </row>
    <row r="346">
      <c r="A346" s="5" t="n">
        <v>342</v>
      </c>
      <c r="B346" s="8" t="inlineStr">
        <is>
          <t>TEXT</t>
        </is>
      </c>
      <c r="C346" s="6" t="inlineStr">
        <is>
          <t>Soal Tes #2</t>
        </is>
      </c>
      <c r="D346" s="33" t="inlineStr">
        <is>
          <t>TEXT!E30</t>
        </is>
      </c>
      <c r="E346" s="22" t="inlineStr">
        <is>
          <t>'=TEXT(C29, "#,##0")</t>
        </is>
      </c>
      <c r="F346" s="34">
        <f>TEXT('TEXT'!C29, "#,##0")</f>
        <v/>
      </c>
      <c r="G346" s="19" t="inlineStr">
        <is>
          <t>Format nilai angka di sel C29 ke dalam pola ribuan "#,##0" menggunakan fungsi TEXT!</t>
        </is>
      </c>
    </row>
    <row r="347">
      <c r="A347" s="5" t="n">
        <v>343</v>
      </c>
      <c r="B347" s="8" t="inlineStr">
        <is>
          <t>TEXT</t>
        </is>
      </c>
      <c r="C347" s="6" t="inlineStr">
        <is>
          <t>Soal Tes #3</t>
        </is>
      </c>
      <c r="D347" s="33" t="inlineStr">
        <is>
          <t>TEXT!E38</t>
        </is>
      </c>
      <c r="E347" s="22" t="inlineStr">
        <is>
          <t>'=TEXT(C37, "#,##0")</t>
        </is>
      </c>
      <c r="F347" s="34">
        <f>TEXT('TEXT'!C37, "#,##0")</f>
        <v/>
      </c>
      <c r="G347" s="19" t="inlineStr">
        <is>
          <t>Format nilai angka di sel C37 ke dalam pola ribuan "#,##0" menggunakan fungsi TEXT!</t>
        </is>
      </c>
    </row>
    <row r="348">
      <c r="A348" s="5" t="n">
        <v>344</v>
      </c>
      <c r="B348" s="8" t="inlineStr">
        <is>
          <t>TEXT</t>
        </is>
      </c>
      <c r="C348" s="6" t="inlineStr">
        <is>
          <t>Soal Tes #4</t>
        </is>
      </c>
      <c r="D348" s="33" t="inlineStr">
        <is>
          <t>TEXT!E46</t>
        </is>
      </c>
      <c r="E348" s="22" t="inlineStr">
        <is>
          <t>'=TEXT(C45, "#,##0")</t>
        </is>
      </c>
      <c r="F348" s="34">
        <f>TEXT('TEXT'!C45, "#,##0")</f>
        <v/>
      </c>
      <c r="G348" s="19" t="inlineStr">
        <is>
          <t>Format nilai angka di sel C45 ke dalam pola ribuan "#,##0" menggunakan fungsi TEXT!</t>
        </is>
      </c>
    </row>
    <row r="349">
      <c r="A349" s="5" t="n">
        <v>345</v>
      </c>
      <c r="B349" s="8" t="inlineStr">
        <is>
          <t>TEXT</t>
        </is>
      </c>
      <c r="C349" s="6" t="inlineStr">
        <is>
          <t>Soal Tes #5</t>
        </is>
      </c>
      <c r="D349" s="33" t="inlineStr">
        <is>
          <t>TEXT!E54</t>
        </is>
      </c>
      <c r="E349" s="22" t="inlineStr">
        <is>
          <t>'=TEXT(C53, "#,##0")</t>
        </is>
      </c>
      <c r="F349" s="34">
        <f>TEXT('TEXT'!C53, "#,##0")</f>
        <v/>
      </c>
      <c r="G349" s="19" t="inlineStr">
        <is>
          <t>Format nilai angka di sel C53 ke dalam pola ribuan "#,##0" menggunakan fungsi TEXT!</t>
        </is>
      </c>
    </row>
    <row r="350">
      <c r="A350" s="5" t="n">
        <v>346</v>
      </c>
      <c r="B350" s="8" t="inlineStr">
        <is>
          <t>DATE</t>
        </is>
      </c>
      <c r="C350" s="6" t="inlineStr">
        <is>
          <t>Soal Tes #1</t>
        </is>
      </c>
      <c r="D350" s="33" t="inlineStr">
        <is>
          <t>DATE!E22</t>
        </is>
      </c>
      <c r="E350" s="22" t="inlineStr">
        <is>
          <t>'=DATE(B21, C21, 15)</t>
        </is>
      </c>
      <c r="F350" s="34">
        <f>DATE('DATE'!B21, 'DATE'!C21, 15)</f>
        <v/>
      </c>
      <c r="G350" s="19" t="inlineStr">
        <is>
          <t>Susun tanggal resmi dari angka Tahun di B21, angka Bulan di C21, dan hari ke-15 menggunakan fungsi DATE!</t>
        </is>
      </c>
    </row>
    <row r="351">
      <c r="A351" s="5" t="n">
        <v>347</v>
      </c>
      <c r="B351" s="8" t="inlineStr">
        <is>
          <t>DATE</t>
        </is>
      </c>
      <c r="C351" s="6" t="inlineStr">
        <is>
          <t>Soal Tes #2</t>
        </is>
      </c>
      <c r="D351" s="33" t="inlineStr">
        <is>
          <t>DATE!E30</t>
        </is>
      </c>
      <c r="E351" s="22" t="inlineStr">
        <is>
          <t>'=DATE(B29, C29, 15)</t>
        </is>
      </c>
      <c r="F351" s="34">
        <f>DATE('DATE'!B29, 'DATE'!C29, 15)</f>
        <v/>
      </c>
      <c r="G351" s="19" t="inlineStr">
        <is>
          <t>Susun tanggal resmi dari angka Tahun di B29, angka Bulan di C29, dan hari ke-15 menggunakan fungsi DATE!</t>
        </is>
      </c>
    </row>
    <row r="352">
      <c r="A352" s="5" t="n">
        <v>348</v>
      </c>
      <c r="B352" s="8" t="inlineStr">
        <is>
          <t>DATE</t>
        </is>
      </c>
      <c r="C352" s="6" t="inlineStr">
        <is>
          <t>Soal Tes #3</t>
        </is>
      </c>
      <c r="D352" s="33" t="inlineStr">
        <is>
          <t>DATE!E38</t>
        </is>
      </c>
      <c r="E352" s="22" t="inlineStr">
        <is>
          <t>'=DATE(B37, C37, 15)</t>
        </is>
      </c>
      <c r="F352" s="34">
        <f>DATE('DATE'!B37, 'DATE'!C37, 15)</f>
        <v/>
      </c>
      <c r="G352" s="19" t="inlineStr">
        <is>
          <t>Susun tanggal resmi dari angka Tahun di B37, angka Bulan di C37, dan hari ke-15 menggunakan fungsi DATE!</t>
        </is>
      </c>
    </row>
    <row r="353">
      <c r="A353" s="5" t="n">
        <v>349</v>
      </c>
      <c r="B353" s="8" t="inlineStr">
        <is>
          <t>DATE</t>
        </is>
      </c>
      <c r="C353" s="6" t="inlineStr">
        <is>
          <t>Soal Tes #4</t>
        </is>
      </c>
      <c r="D353" s="33" t="inlineStr">
        <is>
          <t>DATE!E46</t>
        </is>
      </c>
      <c r="E353" s="22" t="inlineStr">
        <is>
          <t>'=DATE(B45, C45, 15)</t>
        </is>
      </c>
      <c r="F353" s="34">
        <f>DATE('DATE'!B45, 'DATE'!C45, 15)</f>
        <v/>
      </c>
      <c r="G353" s="19" t="inlineStr">
        <is>
          <t>Susun tanggal resmi dari angka Tahun di B45, angka Bulan di C45, dan hari ke-15 menggunakan fungsi DATE!</t>
        </is>
      </c>
    </row>
    <row r="354">
      <c r="A354" s="5" t="n">
        <v>350</v>
      </c>
      <c r="B354" s="8" t="inlineStr">
        <is>
          <t>DATE</t>
        </is>
      </c>
      <c r="C354" s="6" t="inlineStr">
        <is>
          <t>Soal Tes #5</t>
        </is>
      </c>
      <c r="D354" s="33" t="inlineStr">
        <is>
          <t>DATE!E54</t>
        </is>
      </c>
      <c r="E354" s="22" t="inlineStr">
        <is>
          <t>'=DATE(B53, C53, 15)</t>
        </is>
      </c>
      <c r="F354" s="34">
        <f>DATE('DATE'!B53, 'DATE'!C53, 15)</f>
        <v/>
      </c>
      <c r="G354" s="19" t="inlineStr">
        <is>
          <t>Susun tanggal resmi dari angka Tahun di B53, angka Bulan di C53, dan hari ke-15 menggunakan fungsi DATE!</t>
        </is>
      </c>
    </row>
    <row r="355">
      <c r="A355" s="5" t="n">
        <v>351</v>
      </c>
      <c r="B355" s="8" t="inlineStr">
        <is>
          <t>YEAR</t>
        </is>
      </c>
      <c r="C355" s="6" t="inlineStr">
        <is>
          <t>Soal Tes #1</t>
        </is>
      </c>
      <c r="D355" s="33" t="inlineStr">
        <is>
          <t>YEAR!E22</t>
        </is>
      </c>
      <c r="E355" s="22" t="inlineStr">
        <is>
          <t>'=YEAR(C21)</t>
        </is>
      </c>
      <c r="F355" s="34">
        <f>YEAR('YEAR'!C21)</f>
        <v/>
      </c>
      <c r="G355" s="19" t="inlineStr">
        <is>
          <t>Ambil nilai YEAR dari tanggal kegiatan di sel C21 menggunakan fungsi YEAR!</t>
        </is>
      </c>
    </row>
    <row r="356">
      <c r="A356" s="5" t="n">
        <v>352</v>
      </c>
      <c r="B356" s="8" t="inlineStr">
        <is>
          <t>YEAR</t>
        </is>
      </c>
      <c r="C356" s="6" t="inlineStr">
        <is>
          <t>Soal Tes #2</t>
        </is>
      </c>
      <c r="D356" s="33" t="inlineStr">
        <is>
          <t>YEAR!E30</t>
        </is>
      </c>
      <c r="E356" s="22" t="inlineStr">
        <is>
          <t>'=YEAR(C29)</t>
        </is>
      </c>
      <c r="F356" s="34">
        <f>YEAR('YEAR'!C29)</f>
        <v/>
      </c>
      <c r="G356" s="19" t="inlineStr">
        <is>
          <t>Ambil nilai YEAR dari tanggal kegiatan di sel C29 menggunakan fungsi YEAR!</t>
        </is>
      </c>
    </row>
    <row r="357">
      <c r="A357" s="5" t="n">
        <v>353</v>
      </c>
      <c r="B357" s="8" t="inlineStr">
        <is>
          <t>YEAR</t>
        </is>
      </c>
      <c r="C357" s="6" t="inlineStr">
        <is>
          <t>Soal Tes #3</t>
        </is>
      </c>
      <c r="D357" s="33" t="inlineStr">
        <is>
          <t>YEAR!E38</t>
        </is>
      </c>
      <c r="E357" s="22" t="inlineStr">
        <is>
          <t>'=YEAR(C37)</t>
        </is>
      </c>
      <c r="F357" s="34">
        <f>YEAR('YEAR'!C37)</f>
        <v/>
      </c>
      <c r="G357" s="19" t="inlineStr">
        <is>
          <t>Ambil nilai YEAR dari tanggal kegiatan di sel C37 menggunakan fungsi YEAR!</t>
        </is>
      </c>
    </row>
    <row r="358">
      <c r="A358" s="5" t="n">
        <v>354</v>
      </c>
      <c r="B358" s="8" t="inlineStr">
        <is>
          <t>YEAR</t>
        </is>
      </c>
      <c r="C358" s="6" t="inlineStr">
        <is>
          <t>Soal Tes #4</t>
        </is>
      </c>
      <c r="D358" s="33" t="inlineStr">
        <is>
          <t>YEAR!E46</t>
        </is>
      </c>
      <c r="E358" s="22" t="inlineStr">
        <is>
          <t>'=YEAR(C45)</t>
        </is>
      </c>
      <c r="F358" s="34">
        <f>YEAR('YEAR'!C45)</f>
        <v/>
      </c>
      <c r="G358" s="19" t="inlineStr">
        <is>
          <t>Ambil nilai YEAR dari tanggal kegiatan di sel C45 menggunakan fungsi YEAR!</t>
        </is>
      </c>
    </row>
    <row r="359">
      <c r="A359" s="5" t="n">
        <v>355</v>
      </c>
      <c r="B359" s="8" t="inlineStr">
        <is>
          <t>YEAR</t>
        </is>
      </c>
      <c r="C359" s="6" t="inlineStr">
        <is>
          <t>Soal Tes #5</t>
        </is>
      </c>
      <c r="D359" s="33" t="inlineStr">
        <is>
          <t>YEAR!E54</t>
        </is>
      </c>
      <c r="E359" s="22" t="inlineStr">
        <is>
          <t>'=YEAR(C53)</t>
        </is>
      </c>
      <c r="F359" s="34">
        <f>YEAR('YEAR'!C53)</f>
        <v/>
      </c>
      <c r="G359" s="19" t="inlineStr">
        <is>
          <t>Ambil nilai YEAR dari tanggal kegiatan di sel C53 menggunakan fungsi YEAR!</t>
        </is>
      </c>
    </row>
    <row r="360">
      <c r="A360" s="5" t="n">
        <v>356</v>
      </c>
      <c r="B360" s="8" t="inlineStr">
        <is>
          <t>MONTH</t>
        </is>
      </c>
      <c r="C360" s="6" t="inlineStr">
        <is>
          <t>Soal Tes #1</t>
        </is>
      </c>
      <c r="D360" s="33" t="inlineStr">
        <is>
          <t>MONTH!E22</t>
        </is>
      </c>
      <c r="E360" s="22" t="inlineStr">
        <is>
          <t>'=MONTH(C21)</t>
        </is>
      </c>
      <c r="F360" s="34">
        <f>MONTH('MONTH'!C21)</f>
        <v/>
      </c>
      <c r="G360" s="19" t="inlineStr">
        <is>
          <t>Ambil nilai MONTH dari tanggal kegiatan di sel C21 menggunakan fungsi MONTH!</t>
        </is>
      </c>
    </row>
    <row r="361">
      <c r="A361" s="5" t="n">
        <v>357</v>
      </c>
      <c r="B361" s="8" t="inlineStr">
        <is>
          <t>MONTH</t>
        </is>
      </c>
      <c r="C361" s="6" t="inlineStr">
        <is>
          <t>Soal Tes #2</t>
        </is>
      </c>
      <c r="D361" s="33" t="inlineStr">
        <is>
          <t>MONTH!E30</t>
        </is>
      </c>
      <c r="E361" s="22" t="inlineStr">
        <is>
          <t>'=MONTH(C29)</t>
        </is>
      </c>
      <c r="F361" s="34">
        <f>MONTH('MONTH'!C29)</f>
        <v/>
      </c>
      <c r="G361" s="19" t="inlineStr">
        <is>
          <t>Ambil nilai MONTH dari tanggal kegiatan di sel C29 menggunakan fungsi MONTH!</t>
        </is>
      </c>
    </row>
    <row r="362">
      <c r="A362" s="5" t="n">
        <v>358</v>
      </c>
      <c r="B362" s="8" t="inlineStr">
        <is>
          <t>MONTH</t>
        </is>
      </c>
      <c r="C362" s="6" t="inlineStr">
        <is>
          <t>Soal Tes #3</t>
        </is>
      </c>
      <c r="D362" s="33" t="inlineStr">
        <is>
          <t>MONTH!E38</t>
        </is>
      </c>
      <c r="E362" s="22" t="inlineStr">
        <is>
          <t>'=MONTH(C37)</t>
        </is>
      </c>
      <c r="F362" s="34">
        <f>MONTH('MONTH'!C37)</f>
        <v/>
      </c>
      <c r="G362" s="19" t="inlineStr">
        <is>
          <t>Ambil nilai MONTH dari tanggal kegiatan di sel C37 menggunakan fungsi MONTH!</t>
        </is>
      </c>
    </row>
    <row r="363">
      <c r="A363" s="5" t="n">
        <v>359</v>
      </c>
      <c r="B363" s="8" t="inlineStr">
        <is>
          <t>MONTH</t>
        </is>
      </c>
      <c r="C363" s="6" t="inlineStr">
        <is>
          <t>Soal Tes #4</t>
        </is>
      </c>
      <c r="D363" s="33" t="inlineStr">
        <is>
          <t>MONTH!E46</t>
        </is>
      </c>
      <c r="E363" s="22" t="inlineStr">
        <is>
          <t>'=MONTH(C45)</t>
        </is>
      </c>
      <c r="F363" s="34">
        <f>MONTH('MONTH'!C45)</f>
        <v/>
      </c>
      <c r="G363" s="19" t="inlineStr">
        <is>
          <t>Ambil nilai MONTH dari tanggal kegiatan di sel C45 menggunakan fungsi MONTH!</t>
        </is>
      </c>
    </row>
    <row r="364">
      <c r="A364" s="5" t="n">
        <v>360</v>
      </c>
      <c r="B364" s="8" t="inlineStr">
        <is>
          <t>MONTH</t>
        </is>
      </c>
      <c r="C364" s="6" t="inlineStr">
        <is>
          <t>Soal Tes #5</t>
        </is>
      </c>
      <c r="D364" s="33" t="inlineStr">
        <is>
          <t>MONTH!E54</t>
        </is>
      </c>
      <c r="E364" s="22" t="inlineStr">
        <is>
          <t>'=MONTH(C53)</t>
        </is>
      </c>
      <c r="F364" s="34">
        <f>MONTH('MONTH'!C53)</f>
        <v/>
      </c>
      <c r="G364" s="19" t="inlineStr">
        <is>
          <t>Ambil nilai MONTH dari tanggal kegiatan di sel C53 menggunakan fungsi MONTH!</t>
        </is>
      </c>
    </row>
    <row r="365">
      <c r="A365" s="5" t="n">
        <v>361</v>
      </c>
      <c r="B365" s="8" t="inlineStr">
        <is>
          <t>DAY</t>
        </is>
      </c>
      <c r="C365" s="6" t="inlineStr">
        <is>
          <t>Soal Tes #1</t>
        </is>
      </c>
      <c r="D365" s="33" t="inlineStr">
        <is>
          <t>DAY!E22</t>
        </is>
      </c>
      <c r="E365" s="22" t="inlineStr">
        <is>
          <t>'=DAY(C21)</t>
        </is>
      </c>
      <c r="F365" s="34">
        <f>DAY('DAY'!C21)</f>
        <v/>
      </c>
      <c r="G365" s="19" t="inlineStr">
        <is>
          <t>Ambil nilai DAY dari tanggal kegiatan di sel C21 menggunakan fungsi DAY!</t>
        </is>
      </c>
    </row>
    <row r="366">
      <c r="A366" s="5" t="n">
        <v>362</v>
      </c>
      <c r="B366" s="8" t="inlineStr">
        <is>
          <t>DAY</t>
        </is>
      </c>
      <c r="C366" s="6" t="inlineStr">
        <is>
          <t>Soal Tes #2</t>
        </is>
      </c>
      <c r="D366" s="33" t="inlineStr">
        <is>
          <t>DAY!E30</t>
        </is>
      </c>
      <c r="E366" s="22" t="inlineStr">
        <is>
          <t>'=DAY(C29)</t>
        </is>
      </c>
      <c r="F366" s="34">
        <f>DAY('DAY'!C29)</f>
        <v/>
      </c>
      <c r="G366" s="19" t="inlineStr">
        <is>
          <t>Ambil nilai DAY dari tanggal kegiatan di sel C29 menggunakan fungsi DAY!</t>
        </is>
      </c>
    </row>
    <row r="367">
      <c r="A367" s="5" t="n">
        <v>363</v>
      </c>
      <c r="B367" s="8" t="inlineStr">
        <is>
          <t>DAY</t>
        </is>
      </c>
      <c r="C367" s="6" t="inlineStr">
        <is>
          <t>Soal Tes #3</t>
        </is>
      </c>
      <c r="D367" s="33" t="inlineStr">
        <is>
          <t>DAY!E38</t>
        </is>
      </c>
      <c r="E367" s="22" t="inlineStr">
        <is>
          <t>'=DAY(C37)</t>
        </is>
      </c>
      <c r="F367" s="34">
        <f>DAY('DAY'!C37)</f>
        <v/>
      </c>
      <c r="G367" s="19" t="inlineStr">
        <is>
          <t>Ambil nilai DAY dari tanggal kegiatan di sel C37 menggunakan fungsi DAY!</t>
        </is>
      </c>
    </row>
    <row r="368">
      <c r="A368" s="5" t="n">
        <v>364</v>
      </c>
      <c r="B368" s="8" t="inlineStr">
        <is>
          <t>DAY</t>
        </is>
      </c>
      <c r="C368" s="6" t="inlineStr">
        <is>
          <t>Soal Tes #4</t>
        </is>
      </c>
      <c r="D368" s="33" t="inlineStr">
        <is>
          <t>DAY!E46</t>
        </is>
      </c>
      <c r="E368" s="22" t="inlineStr">
        <is>
          <t>'=DAY(C45)</t>
        </is>
      </c>
      <c r="F368" s="34">
        <f>DAY('DAY'!C45)</f>
        <v/>
      </c>
      <c r="G368" s="19" t="inlineStr">
        <is>
          <t>Ambil nilai DAY dari tanggal kegiatan di sel C45 menggunakan fungsi DAY!</t>
        </is>
      </c>
    </row>
    <row r="369">
      <c r="A369" s="5" t="n">
        <v>365</v>
      </c>
      <c r="B369" s="8" t="inlineStr">
        <is>
          <t>DAY</t>
        </is>
      </c>
      <c r="C369" s="6" t="inlineStr">
        <is>
          <t>Soal Tes #5</t>
        </is>
      </c>
      <c r="D369" s="33" t="inlineStr">
        <is>
          <t>DAY!E54</t>
        </is>
      </c>
      <c r="E369" s="22" t="inlineStr">
        <is>
          <t>'=DAY(C53)</t>
        </is>
      </c>
      <c r="F369" s="34">
        <f>DAY('DAY'!C53)</f>
        <v/>
      </c>
      <c r="G369" s="19" t="inlineStr">
        <is>
          <t>Ambil nilai DAY dari tanggal kegiatan di sel C53 menggunakan fungsi DAY!</t>
        </is>
      </c>
    </row>
    <row r="370">
      <c r="A370" s="5" t="n">
        <v>366</v>
      </c>
      <c r="B370" s="8" t="inlineStr">
        <is>
          <t>DAYS</t>
        </is>
      </c>
      <c r="C370" s="6" t="inlineStr">
        <is>
          <t>Soal Tes #1</t>
        </is>
      </c>
      <c r="D370" s="33" t="inlineStr">
        <is>
          <t>DAYS!E22</t>
        </is>
      </c>
      <c r="E370" s="22" t="inlineStr">
        <is>
          <t>'=DAYS(C21, B21)</t>
        </is>
      </c>
      <c r="F370" s="34">
        <f>DAYS('DAYS'!C21, 'DAYS'!B21)</f>
        <v/>
      </c>
      <c r="G370" s="19" t="inlineStr">
        <is>
          <t>Hitung selisih hari dengan menempatkan Tanggal Akhir (C21) lalu Tanggal Awal (B21) menggunakan fungsi DAYS!</t>
        </is>
      </c>
    </row>
    <row r="371">
      <c r="A371" s="5" t="n">
        <v>367</v>
      </c>
      <c r="B371" s="8" t="inlineStr">
        <is>
          <t>DAYS</t>
        </is>
      </c>
      <c r="C371" s="6" t="inlineStr">
        <is>
          <t>Soal Tes #2</t>
        </is>
      </c>
      <c r="D371" s="33" t="inlineStr">
        <is>
          <t>DAYS!E30</t>
        </is>
      </c>
      <c r="E371" s="22" t="inlineStr">
        <is>
          <t>'=DAYS(C29, B29)</t>
        </is>
      </c>
      <c r="F371" s="34">
        <f>DAYS('DAYS'!C29, 'DAYS'!B29)</f>
        <v/>
      </c>
      <c r="G371" s="19" t="inlineStr">
        <is>
          <t>Hitung selisih hari dengan menempatkan Tanggal Akhir (C29) lalu Tanggal Awal (B29) menggunakan fungsi DAYS!</t>
        </is>
      </c>
    </row>
    <row r="372">
      <c r="A372" s="5" t="n">
        <v>368</v>
      </c>
      <c r="B372" s="8" t="inlineStr">
        <is>
          <t>DAYS</t>
        </is>
      </c>
      <c r="C372" s="6" t="inlineStr">
        <is>
          <t>Soal Tes #3</t>
        </is>
      </c>
      <c r="D372" s="33" t="inlineStr">
        <is>
          <t>DAYS!E38</t>
        </is>
      </c>
      <c r="E372" s="22" t="inlineStr">
        <is>
          <t>'=DAYS(C37, B37)</t>
        </is>
      </c>
      <c r="F372" s="34">
        <f>DAYS('DAYS'!C37, 'DAYS'!B37)</f>
        <v/>
      </c>
      <c r="G372" s="19" t="inlineStr">
        <is>
          <t>Hitung selisih hari dengan menempatkan Tanggal Akhir (C37) lalu Tanggal Awal (B37) menggunakan fungsi DAYS!</t>
        </is>
      </c>
    </row>
    <row r="373">
      <c r="A373" s="5" t="n">
        <v>369</v>
      </c>
      <c r="B373" s="8" t="inlineStr">
        <is>
          <t>DAYS</t>
        </is>
      </c>
      <c r="C373" s="6" t="inlineStr">
        <is>
          <t>Soal Tes #4</t>
        </is>
      </c>
      <c r="D373" s="33" t="inlineStr">
        <is>
          <t>DAYS!E46</t>
        </is>
      </c>
      <c r="E373" s="22" t="inlineStr">
        <is>
          <t>'=DAYS(C45, B45)</t>
        </is>
      </c>
      <c r="F373" s="34">
        <f>DAYS('DAYS'!C45, 'DAYS'!B45)</f>
        <v/>
      </c>
      <c r="G373" s="19" t="inlineStr">
        <is>
          <t>Hitung selisih hari dengan menempatkan Tanggal Akhir (C45) lalu Tanggal Awal (B45) menggunakan fungsi DAYS!</t>
        </is>
      </c>
    </row>
    <row r="374">
      <c r="A374" s="5" t="n">
        <v>370</v>
      </c>
      <c r="B374" s="8" t="inlineStr">
        <is>
          <t>DAYS</t>
        </is>
      </c>
      <c r="C374" s="6" t="inlineStr">
        <is>
          <t>Soal Tes #5</t>
        </is>
      </c>
      <c r="D374" s="33" t="inlineStr">
        <is>
          <t>DAYS!E54</t>
        </is>
      </c>
      <c r="E374" s="22" t="inlineStr">
        <is>
          <t>'=DAYS(C53, B53)</t>
        </is>
      </c>
      <c r="F374" s="34">
        <f>DAYS('DAYS'!C53, 'DAYS'!B53)</f>
        <v/>
      </c>
      <c r="G374" s="19" t="inlineStr">
        <is>
          <t>Hitung selisih hari dengan menempatkan Tanggal Akhir (C53) lalu Tanggal Awal (B53) menggunakan fungsi DAYS!</t>
        </is>
      </c>
    </row>
    <row r="375">
      <c r="A375" s="5" t="n">
        <v>371</v>
      </c>
      <c r="B375" s="8" t="inlineStr">
        <is>
          <t>DATEDIF</t>
        </is>
      </c>
      <c r="C375" s="6" t="inlineStr">
        <is>
          <t>Soal Tes #1</t>
        </is>
      </c>
      <c r="D375" s="33" t="inlineStr">
        <is>
          <t>DATEDIF!E22</t>
        </is>
      </c>
      <c r="E375" s="22" t="inlineStr">
        <is>
          <t>'=DATEDIF(B21, C21, "D")</t>
        </is>
      </c>
      <c r="F375" s="34">
        <f>DATEDIF('DATEDIF'!B21, 'DATEDIF'!C21, "D")</f>
        <v/>
      </c>
      <c r="G375" s="19" t="inlineStr">
        <is>
          <t>Hitung selisih hari (satuan "D") dari Tanggal Awal B21 hingga Tanggal Akhir C21 menggunakan fungsi DATEDIF!</t>
        </is>
      </c>
    </row>
    <row r="376">
      <c r="A376" s="5" t="n">
        <v>372</v>
      </c>
      <c r="B376" s="8" t="inlineStr">
        <is>
          <t>DATEDIF</t>
        </is>
      </c>
      <c r="C376" s="6" t="inlineStr">
        <is>
          <t>Soal Tes #2</t>
        </is>
      </c>
      <c r="D376" s="33" t="inlineStr">
        <is>
          <t>DATEDIF!E30</t>
        </is>
      </c>
      <c r="E376" s="22" t="inlineStr">
        <is>
          <t>'=DATEDIF(B29, C29, "D")</t>
        </is>
      </c>
      <c r="F376" s="34">
        <f>DATEDIF('DATEDIF'!B29, 'DATEDIF'!C29, "D")</f>
        <v/>
      </c>
      <c r="G376" s="19" t="inlineStr">
        <is>
          <t>Hitung selisih hari (satuan "D") dari Tanggal Awal B29 hingga Tanggal Akhir C29 menggunakan fungsi DATEDIF!</t>
        </is>
      </c>
    </row>
    <row r="377">
      <c r="A377" s="5" t="n">
        <v>373</v>
      </c>
      <c r="B377" s="8" t="inlineStr">
        <is>
          <t>DATEDIF</t>
        </is>
      </c>
      <c r="C377" s="6" t="inlineStr">
        <is>
          <t>Soal Tes #3</t>
        </is>
      </c>
      <c r="D377" s="33" t="inlineStr">
        <is>
          <t>DATEDIF!E38</t>
        </is>
      </c>
      <c r="E377" s="22" t="inlineStr">
        <is>
          <t>'=DATEDIF(B37, C37, "D")</t>
        </is>
      </c>
      <c r="F377" s="34">
        <f>DATEDIF('DATEDIF'!B37, 'DATEDIF'!C37, "D")</f>
        <v/>
      </c>
      <c r="G377" s="19" t="inlineStr">
        <is>
          <t>Hitung selisih hari (satuan "D") dari Tanggal Awal B37 hingga Tanggal Akhir C37 menggunakan fungsi DATEDIF!</t>
        </is>
      </c>
    </row>
    <row r="378">
      <c r="A378" s="5" t="n">
        <v>374</v>
      </c>
      <c r="B378" s="8" t="inlineStr">
        <is>
          <t>DATEDIF</t>
        </is>
      </c>
      <c r="C378" s="6" t="inlineStr">
        <is>
          <t>Soal Tes #4</t>
        </is>
      </c>
      <c r="D378" s="33" t="inlineStr">
        <is>
          <t>DATEDIF!E46</t>
        </is>
      </c>
      <c r="E378" s="22" t="inlineStr">
        <is>
          <t>'=DATEDIF(B45, C45, "D")</t>
        </is>
      </c>
      <c r="F378" s="34">
        <f>DATEDIF('DATEDIF'!B45, 'DATEDIF'!C45, "D")</f>
        <v/>
      </c>
      <c r="G378" s="19" t="inlineStr">
        <is>
          <t>Hitung selisih hari (satuan "D") dari Tanggal Awal B45 hingga Tanggal Akhir C45 menggunakan fungsi DATEDIF!</t>
        </is>
      </c>
    </row>
    <row r="379">
      <c r="A379" s="5" t="n">
        <v>375</v>
      </c>
      <c r="B379" s="8" t="inlineStr">
        <is>
          <t>DATEDIF</t>
        </is>
      </c>
      <c r="C379" s="6" t="inlineStr">
        <is>
          <t>Soal Tes #5</t>
        </is>
      </c>
      <c r="D379" s="33" t="inlineStr">
        <is>
          <t>DATEDIF!E54</t>
        </is>
      </c>
      <c r="E379" s="22" t="inlineStr">
        <is>
          <t>'=DATEDIF(B53, C53, "D")</t>
        </is>
      </c>
      <c r="F379" s="34">
        <f>DATEDIF('DATEDIF'!B53, 'DATEDIF'!C53, "D")</f>
        <v/>
      </c>
      <c r="G379" s="19" t="inlineStr">
        <is>
          <t>Hitung selisih hari (satuan "D") dari Tanggal Awal B53 hingga Tanggal Akhir C53 menggunakan fungsi DATEDIF!</t>
        </is>
      </c>
    </row>
    <row r="380">
      <c r="A380" s="5" t="n">
        <v>376</v>
      </c>
      <c r="B380" s="8" t="inlineStr">
        <is>
          <t>EDATE</t>
        </is>
      </c>
      <c r="C380" s="6" t="inlineStr">
        <is>
          <t>Soal Tes #1</t>
        </is>
      </c>
      <c r="D380" s="33" t="inlineStr">
        <is>
          <t>EDATE!E22</t>
        </is>
      </c>
      <c r="E380" s="22" t="inlineStr">
        <is>
          <t>'=EDATE(C21, 2)</t>
        </is>
      </c>
      <c r="F380" s="34">
        <f>EDATE('EDATE'!C21, 2)</f>
        <v/>
      </c>
      <c r="G380" s="19" t="inlineStr">
        <is>
          <t>Tentukan tanggal hasil pergeseran dari tanggal awal di C21 sejauh 2 periode ke depan menggunakan fungsi EDATE!</t>
        </is>
      </c>
    </row>
    <row r="381">
      <c r="A381" s="5" t="n">
        <v>377</v>
      </c>
      <c r="B381" s="8" t="inlineStr">
        <is>
          <t>EDATE</t>
        </is>
      </c>
      <c r="C381" s="6" t="inlineStr">
        <is>
          <t>Soal Tes #2</t>
        </is>
      </c>
      <c r="D381" s="33" t="inlineStr">
        <is>
          <t>EDATE!E30</t>
        </is>
      </c>
      <c r="E381" s="22" t="inlineStr">
        <is>
          <t>'=EDATE(C29, 3)</t>
        </is>
      </c>
      <c r="F381" s="34">
        <f>EDATE('EDATE'!C29, 3)</f>
        <v/>
      </c>
      <c r="G381" s="19" t="inlineStr">
        <is>
          <t>Tentukan tanggal hasil pergeseran dari tanggal awal di C29 sejauh 3 periode ke depan menggunakan fungsi EDATE!</t>
        </is>
      </c>
    </row>
    <row r="382">
      <c r="A382" s="5" t="n">
        <v>378</v>
      </c>
      <c r="B382" s="8" t="inlineStr">
        <is>
          <t>EDATE</t>
        </is>
      </c>
      <c r="C382" s="6" t="inlineStr">
        <is>
          <t>Soal Tes #3</t>
        </is>
      </c>
      <c r="D382" s="33" t="inlineStr">
        <is>
          <t>EDATE!E38</t>
        </is>
      </c>
      <c r="E382" s="22" t="inlineStr">
        <is>
          <t>'=EDATE(C37, 4)</t>
        </is>
      </c>
      <c r="F382" s="34">
        <f>EDATE('EDATE'!C37, 4)</f>
        <v/>
      </c>
      <c r="G382" s="19" t="inlineStr">
        <is>
          <t>Tentukan tanggal hasil pergeseran dari tanggal awal di C37 sejauh 4 periode ke depan menggunakan fungsi EDATE!</t>
        </is>
      </c>
    </row>
    <row r="383">
      <c r="A383" s="5" t="n">
        <v>379</v>
      </c>
      <c r="B383" s="8" t="inlineStr">
        <is>
          <t>EDATE</t>
        </is>
      </c>
      <c r="C383" s="6" t="inlineStr">
        <is>
          <t>Soal Tes #4</t>
        </is>
      </c>
      <c r="D383" s="33" t="inlineStr">
        <is>
          <t>EDATE!E46</t>
        </is>
      </c>
      <c r="E383" s="22" t="inlineStr">
        <is>
          <t>'=EDATE(C45, 5)</t>
        </is>
      </c>
      <c r="F383" s="34">
        <f>EDATE('EDATE'!C45, 5)</f>
        <v/>
      </c>
      <c r="G383" s="19" t="inlineStr">
        <is>
          <t>Tentukan tanggal hasil pergeseran dari tanggal awal di C45 sejauh 5 periode ke depan menggunakan fungsi EDATE!</t>
        </is>
      </c>
    </row>
    <row r="384">
      <c r="A384" s="5" t="n">
        <v>380</v>
      </c>
      <c r="B384" s="8" t="inlineStr">
        <is>
          <t>EDATE</t>
        </is>
      </c>
      <c r="C384" s="6" t="inlineStr">
        <is>
          <t>Soal Tes #5</t>
        </is>
      </c>
      <c r="D384" s="33" t="inlineStr">
        <is>
          <t>EDATE!E54</t>
        </is>
      </c>
      <c r="E384" s="22" t="inlineStr">
        <is>
          <t>'=EDATE(C53, 6)</t>
        </is>
      </c>
      <c r="F384" s="34">
        <f>EDATE('EDATE'!C53, 6)</f>
        <v/>
      </c>
      <c r="G384" s="19" t="inlineStr">
        <is>
          <t>Tentukan tanggal hasil pergeseran dari tanggal awal di C53 sejauh 6 periode ke depan menggunakan fungsi EDATE!</t>
        </is>
      </c>
    </row>
    <row r="385">
      <c r="A385" s="5" t="n">
        <v>381</v>
      </c>
      <c r="B385" s="8" t="inlineStr">
        <is>
          <t>EOMONTH</t>
        </is>
      </c>
      <c r="C385" s="6" t="inlineStr">
        <is>
          <t>Soal Tes #1</t>
        </is>
      </c>
      <c r="D385" s="33" t="inlineStr">
        <is>
          <t>EOMONTH!E22</t>
        </is>
      </c>
      <c r="E385" s="22" t="inlineStr">
        <is>
          <t>'=EOMONTH(C21, 2)</t>
        </is>
      </c>
      <c r="F385" s="34">
        <f>EOMONTH('EOMONTH'!C21, 2)</f>
        <v/>
      </c>
      <c r="G385" s="19" t="inlineStr">
        <is>
          <t>Tentukan tanggal hasil pergeseran dari tanggal awal di C21 sejauh 2 periode ke depan menggunakan fungsi EOMONTH!</t>
        </is>
      </c>
    </row>
    <row r="386">
      <c r="A386" s="5" t="n">
        <v>382</v>
      </c>
      <c r="B386" s="8" t="inlineStr">
        <is>
          <t>EOMONTH</t>
        </is>
      </c>
      <c r="C386" s="6" t="inlineStr">
        <is>
          <t>Soal Tes #2</t>
        </is>
      </c>
      <c r="D386" s="33" t="inlineStr">
        <is>
          <t>EOMONTH!E30</t>
        </is>
      </c>
      <c r="E386" s="22" t="inlineStr">
        <is>
          <t>'=EOMONTH(C29, 3)</t>
        </is>
      </c>
      <c r="F386" s="34">
        <f>EOMONTH('EOMONTH'!C29, 3)</f>
        <v/>
      </c>
      <c r="G386" s="19" t="inlineStr">
        <is>
          <t>Tentukan tanggal hasil pergeseran dari tanggal awal di C29 sejauh 3 periode ke depan menggunakan fungsi EOMONTH!</t>
        </is>
      </c>
    </row>
    <row r="387">
      <c r="A387" s="5" t="n">
        <v>383</v>
      </c>
      <c r="B387" s="8" t="inlineStr">
        <is>
          <t>EOMONTH</t>
        </is>
      </c>
      <c r="C387" s="6" t="inlineStr">
        <is>
          <t>Soal Tes #3</t>
        </is>
      </c>
      <c r="D387" s="33" t="inlineStr">
        <is>
          <t>EOMONTH!E38</t>
        </is>
      </c>
      <c r="E387" s="22" t="inlineStr">
        <is>
          <t>'=EOMONTH(C37, 4)</t>
        </is>
      </c>
      <c r="F387" s="34">
        <f>EOMONTH('EOMONTH'!C37, 4)</f>
        <v/>
      </c>
      <c r="G387" s="19" t="inlineStr">
        <is>
          <t>Tentukan tanggal hasil pergeseran dari tanggal awal di C37 sejauh 4 periode ke depan menggunakan fungsi EOMONTH!</t>
        </is>
      </c>
    </row>
    <row r="388">
      <c r="A388" s="5" t="n">
        <v>384</v>
      </c>
      <c r="B388" s="8" t="inlineStr">
        <is>
          <t>EOMONTH</t>
        </is>
      </c>
      <c r="C388" s="6" t="inlineStr">
        <is>
          <t>Soal Tes #4</t>
        </is>
      </c>
      <c r="D388" s="33" t="inlineStr">
        <is>
          <t>EOMONTH!E46</t>
        </is>
      </c>
      <c r="E388" s="22" t="inlineStr">
        <is>
          <t>'=EOMONTH(C45, 5)</t>
        </is>
      </c>
      <c r="F388" s="34">
        <f>EOMONTH('EOMONTH'!C45, 5)</f>
        <v/>
      </c>
      <c r="G388" s="19" t="inlineStr">
        <is>
          <t>Tentukan tanggal hasil pergeseran dari tanggal awal di C45 sejauh 5 periode ke depan menggunakan fungsi EOMONTH!</t>
        </is>
      </c>
    </row>
    <row r="389">
      <c r="A389" s="5" t="n">
        <v>385</v>
      </c>
      <c r="B389" s="8" t="inlineStr">
        <is>
          <t>EOMONTH</t>
        </is>
      </c>
      <c r="C389" s="6" t="inlineStr">
        <is>
          <t>Soal Tes #5</t>
        </is>
      </c>
      <c r="D389" s="33" t="inlineStr">
        <is>
          <t>EOMONTH!E54</t>
        </is>
      </c>
      <c r="E389" s="22" t="inlineStr">
        <is>
          <t>'=EOMONTH(C53, 6)</t>
        </is>
      </c>
      <c r="F389" s="34">
        <f>EOMONTH('EOMONTH'!C53, 6)</f>
        <v/>
      </c>
      <c r="G389" s="19" t="inlineStr">
        <is>
          <t>Tentukan tanggal hasil pergeseran dari tanggal awal di C53 sejauh 6 periode ke depan menggunakan fungsi EOMONTH!</t>
        </is>
      </c>
    </row>
    <row r="390">
      <c r="A390" s="5" t="n">
        <v>386</v>
      </c>
      <c r="B390" s="8" t="inlineStr">
        <is>
          <t>NETWORKDAYS</t>
        </is>
      </c>
      <c r="C390" s="6" t="inlineStr">
        <is>
          <t>Soal Tes #1</t>
        </is>
      </c>
      <c r="D390" s="33" t="inlineStr">
        <is>
          <t>NETWORKDAYS!E22</t>
        </is>
      </c>
      <c r="E390" s="22" t="inlineStr">
        <is>
          <t>'=NETWORKDAYS(B21, C21)</t>
        </is>
      </c>
      <c r="F390" s="34">
        <f>NETWORKDAYS('NETWORKDAYS'!B21, 'NETWORKDAYS'!C21)</f>
        <v/>
      </c>
      <c r="G390" s="19" t="inlineStr">
        <is>
          <t>Hitung jumlah hari kerja efektif dari Tanggal Awal B21 sampai Tanggal Akhir C21 menggunakan fungsi NETWORKDAYS!</t>
        </is>
      </c>
    </row>
    <row r="391">
      <c r="A391" s="5" t="n">
        <v>387</v>
      </c>
      <c r="B391" s="8" t="inlineStr">
        <is>
          <t>NETWORKDAYS</t>
        </is>
      </c>
      <c r="C391" s="6" t="inlineStr">
        <is>
          <t>Soal Tes #2</t>
        </is>
      </c>
      <c r="D391" s="33" t="inlineStr">
        <is>
          <t>NETWORKDAYS!E30</t>
        </is>
      </c>
      <c r="E391" s="22" t="inlineStr">
        <is>
          <t>'=NETWORKDAYS(B29, C29)</t>
        </is>
      </c>
      <c r="F391" s="34">
        <f>NETWORKDAYS('NETWORKDAYS'!B29, 'NETWORKDAYS'!C29)</f>
        <v/>
      </c>
      <c r="G391" s="19" t="inlineStr">
        <is>
          <t>Hitung jumlah hari kerja efektif dari Tanggal Awal B29 sampai Tanggal Akhir C29 menggunakan fungsi NETWORKDAYS!</t>
        </is>
      </c>
    </row>
    <row r="392">
      <c r="A392" s="5" t="n">
        <v>388</v>
      </c>
      <c r="B392" s="8" t="inlineStr">
        <is>
          <t>NETWORKDAYS</t>
        </is>
      </c>
      <c r="C392" s="6" t="inlineStr">
        <is>
          <t>Soal Tes #3</t>
        </is>
      </c>
      <c r="D392" s="33" t="inlineStr">
        <is>
          <t>NETWORKDAYS!E38</t>
        </is>
      </c>
      <c r="E392" s="22" t="inlineStr">
        <is>
          <t>'=NETWORKDAYS(B37, C37)</t>
        </is>
      </c>
      <c r="F392" s="34">
        <f>NETWORKDAYS('NETWORKDAYS'!B37, 'NETWORKDAYS'!C37)</f>
        <v/>
      </c>
      <c r="G392" s="19" t="inlineStr">
        <is>
          <t>Hitung jumlah hari kerja efektif dari Tanggal Awal B37 sampai Tanggal Akhir C37 menggunakan fungsi NETWORKDAYS!</t>
        </is>
      </c>
    </row>
    <row r="393">
      <c r="A393" s="5" t="n">
        <v>389</v>
      </c>
      <c r="B393" s="8" t="inlineStr">
        <is>
          <t>NETWORKDAYS</t>
        </is>
      </c>
      <c r="C393" s="6" t="inlineStr">
        <is>
          <t>Soal Tes #4</t>
        </is>
      </c>
      <c r="D393" s="33" t="inlineStr">
        <is>
          <t>NETWORKDAYS!E46</t>
        </is>
      </c>
      <c r="E393" s="22" t="inlineStr">
        <is>
          <t>'=NETWORKDAYS(B45, C45)</t>
        </is>
      </c>
      <c r="F393" s="34">
        <f>NETWORKDAYS('NETWORKDAYS'!B45, 'NETWORKDAYS'!C45)</f>
        <v/>
      </c>
      <c r="G393" s="19" t="inlineStr">
        <is>
          <t>Hitung jumlah hari kerja efektif dari Tanggal Awal B45 sampai Tanggal Akhir C45 menggunakan fungsi NETWORKDAYS!</t>
        </is>
      </c>
    </row>
    <row r="394">
      <c r="A394" s="5" t="n">
        <v>390</v>
      </c>
      <c r="B394" s="8" t="inlineStr">
        <is>
          <t>NETWORKDAYS</t>
        </is>
      </c>
      <c r="C394" s="6" t="inlineStr">
        <is>
          <t>Soal Tes #5</t>
        </is>
      </c>
      <c r="D394" s="33" t="inlineStr">
        <is>
          <t>NETWORKDAYS!E54</t>
        </is>
      </c>
      <c r="E394" s="22" t="inlineStr">
        <is>
          <t>'=NETWORKDAYS(B53, C53)</t>
        </is>
      </c>
      <c r="F394" s="34">
        <f>NETWORKDAYS('NETWORKDAYS'!B53, 'NETWORKDAYS'!C53)</f>
        <v/>
      </c>
      <c r="G394" s="19" t="inlineStr">
        <is>
          <t>Hitung jumlah hari kerja efektif dari Tanggal Awal B53 sampai Tanggal Akhir C53 menggunakan fungsi NETWORKDAYS!</t>
        </is>
      </c>
    </row>
    <row r="395">
      <c r="A395" s="5" t="n">
        <v>391</v>
      </c>
      <c r="B395" s="8" t="inlineStr">
        <is>
          <t>WORKDAY</t>
        </is>
      </c>
      <c r="C395" s="6" t="inlineStr">
        <is>
          <t>Soal Tes #1</t>
        </is>
      </c>
      <c r="D395" s="33" t="inlineStr">
        <is>
          <t>WORKDAY!E22</t>
        </is>
      </c>
      <c r="E395" s="22" t="inlineStr">
        <is>
          <t>'=WORKDAY(C21, 2)</t>
        </is>
      </c>
      <c r="F395" s="34">
        <f>WORKDAY('WORKDAY'!C21, 2)</f>
        <v/>
      </c>
      <c r="G395" s="19" t="inlineStr">
        <is>
          <t>Tentukan tanggal hasil pergeseran dari tanggal awal di C21 sejauh 2 periode ke depan menggunakan fungsi WORKDAY!</t>
        </is>
      </c>
    </row>
    <row r="396">
      <c r="A396" s="5" t="n">
        <v>392</v>
      </c>
      <c r="B396" s="8" t="inlineStr">
        <is>
          <t>WORKDAY</t>
        </is>
      </c>
      <c r="C396" s="6" t="inlineStr">
        <is>
          <t>Soal Tes #2</t>
        </is>
      </c>
      <c r="D396" s="33" t="inlineStr">
        <is>
          <t>WORKDAY!E30</t>
        </is>
      </c>
      <c r="E396" s="22" t="inlineStr">
        <is>
          <t>'=WORKDAY(C29, 3)</t>
        </is>
      </c>
      <c r="F396" s="34">
        <f>WORKDAY('WORKDAY'!C29, 3)</f>
        <v/>
      </c>
      <c r="G396" s="19" t="inlineStr">
        <is>
          <t>Tentukan tanggal hasil pergeseran dari tanggal awal di C29 sejauh 3 periode ke depan menggunakan fungsi WORKDAY!</t>
        </is>
      </c>
    </row>
    <row r="397">
      <c r="A397" s="5" t="n">
        <v>393</v>
      </c>
      <c r="B397" s="8" t="inlineStr">
        <is>
          <t>WORKDAY</t>
        </is>
      </c>
      <c r="C397" s="6" t="inlineStr">
        <is>
          <t>Soal Tes #3</t>
        </is>
      </c>
      <c r="D397" s="33" t="inlineStr">
        <is>
          <t>WORKDAY!E38</t>
        </is>
      </c>
      <c r="E397" s="22" t="inlineStr">
        <is>
          <t>'=WORKDAY(C37, 4)</t>
        </is>
      </c>
      <c r="F397" s="34">
        <f>WORKDAY('WORKDAY'!C37, 4)</f>
        <v/>
      </c>
      <c r="G397" s="19" t="inlineStr">
        <is>
          <t>Tentukan tanggal hasil pergeseran dari tanggal awal di C37 sejauh 4 periode ke depan menggunakan fungsi WORKDAY!</t>
        </is>
      </c>
    </row>
    <row r="398">
      <c r="A398" s="5" t="n">
        <v>394</v>
      </c>
      <c r="B398" s="8" t="inlineStr">
        <is>
          <t>WORKDAY</t>
        </is>
      </c>
      <c r="C398" s="6" t="inlineStr">
        <is>
          <t>Soal Tes #4</t>
        </is>
      </c>
      <c r="D398" s="33" t="inlineStr">
        <is>
          <t>WORKDAY!E46</t>
        </is>
      </c>
      <c r="E398" s="22" t="inlineStr">
        <is>
          <t>'=WORKDAY(C45, 5)</t>
        </is>
      </c>
      <c r="F398" s="34">
        <f>WORKDAY('WORKDAY'!C45, 5)</f>
        <v/>
      </c>
      <c r="G398" s="19" t="inlineStr">
        <is>
          <t>Tentukan tanggal hasil pergeseran dari tanggal awal di C45 sejauh 5 periode ke depan menggunakan fungsi WORKDAY!</t>
        </is>
      </c>
    </row>
    <row r="399">
      <c r="A399" s="5" t="n">
        <v>395</v>
      </c>
      <c r="B399" s="8" t="inlineStr">
        <is>
          <t>WORKDAY</t>
        </is>
      </c>
      <c r="C399" s="6" t="inlineStr">
        <is>
          <t>Soal Tes #5</t>
        </is>
      </c>
      <c r="D399" s="33" t="inlineStr">
        <is>
          <t>WORKDAY!E54</t>
        </is>
      </c>
      <c r="E399" s="22" t="inlineStr">
        <is>
          <t>'=WORKDAY(C53, 6)</t>
        </is>
      </c>
      <c r="F399" s="34">
        <f>WORKDAY('WORKDAY'!C53, 6)</f>
        <v/>
      </c>
      <c r="G399" s="19" t="inlineStr">
        <is>
          <t>Tentukan tanggal hasil pergeseran dari tanggal awal di C53 sejauh 6 periode ke depan menggunakan fungsi WORKDAY!</t>
        </is>
      </c>
    </row>
    <row r="400">
      <c r="A400" s="5" t="n">
        <v>396</v>
      </c>
      <c r="B400" s="8" t="inlineStr">
        <is>
          <t>WEEKDAY</t>
        </is>
      </c>
      <c r="C400" s="6" t="inlineStr">
        <is>
          <t>Soal Tes #1</t>
        </is>
      </c>
      <c r="D400" s="33" t="inlineStr">
        <is>
          <t>WEEKDAY!E22</t>
        </is>
      </c>
      <c r="E400" s="22" t="inlineStr">
        <is>
          <t>'=WEEKDAY(C21)</t>
        </is>
      </c>
      <c r="F400" s="34">
        <f>WEEKDAY('WEEKDAY'!C21)</f>
        <v/>
      </c>
      <c r="G400" s="19" t="inlineStr">
        <is>
          <t>Ambil nilai WEEKDAY dari tanggal kegiatan di sel C21 menggunakan fungsi WEEKDAY!</t>
        </is>
      </c>
    </row>
    <row r="401">
      <c r="A401" s="5" t="n">
        <v>397</v>
      </c>
      <c r="B401" s="8" t="inlineStr">
        <is>
          <t>WEEKDAY</t>
        </is>
      </c>
      <c r="C401" s="6" t="inlineStr">
        <is>
          <t>Soal Tes #2</t>
        </is>
      </c>
      <c r="D401" s="33" t="inlineStr">
        <is>
          <t>WEEKDAY!E30</t>
        </is>
      </c>
      <c r="E401" s="22" t="inlineStr">
        <is>
          <t>'=WEEKDAY(C29)</t>
        </is>
      </c>
      <c r="F401" s="34">
        <f>WEEKDAY('WEEKDAY'!C29)</f>
        <v/>
      </c>
      <c r="G401" s="19" t="inlineStr">
        <is>
          <t>Ambil nilai WEEKDAY dari tanggal kegiatan di sel C29 menggunakan fungsi WEEKDAY!</t>
        </is>
      </c>
    </row>
    <row r="402">
      <c r="A402" s="5" t="n">
        <v>398</v>
      </c>
      <c r="B402" s="8" t="inlineStr">
        <is>
          <t>WEEKDAY</t>
        </is>
      </c>
      <c r="C402" s="6" t="inlineStr">
        <is>
          <t>Soal Tes #3</t>
        </is>
      </c>
      <c r="D402" s="33" t="inlineStr">
        <is>
          <t>WEEKDAY!E38</t>
        </is>
      </c>
      <c r="E402" s="22" t="inlineStr">
        <is>
          <t>'=WEEKDAY(C37)</t>
        </is>
      </c>
      <c r="F402" s="34">
        <f>WEEKDAY('WEEKDAY'!C37)</f>
        <v/>
      </c>
      <c r="G402" s="19" t="inlineStr">
        <is>
          <t>Ambil nilai WEEKDAY dari tanggal kegiatan di sel C37 menggunakan fungsi WEEKDAY!</t>
        </is>
      </c>
    </row>
    <row r="403">
      <c r="A403" s="5" t="n">
        <v>399</v>
      </c>
      <c r="B403" s="8" t="inlineStr">
        <is>
          <t>WEEKDAY</t>
        </is>
      </c>
      <c r="C403" s="6" t="inlineStr">
        <is>
          <t>Soal Tes #4</t>
        </is>
      </c>
      <c r="D403" s="33" t="inlineStr">
        <is>
          <t>WEEKDAY!E46</t>
        </is>
      </c>
      <c r="E403" s="22" t="inlineStr">
        <is>
          <t>'=WEEKDAY(C45)</t>
        </is>
      </c>
      <c r="F403" s="34">
        <f>WEEKDAY('WEEKDAY'!C45)</f>
        <v/>
      </c>
      <c r="G403" s="19" t="inlineStr">
        <is>
          <t>Ambil nilai WEEKDAY dari tanggal kegiatan di sel C45 menggunakan fungsi WEEKDAY!</t>
        </is>
      </c>
    </row>
    <row r="404">
      <c r="A404" s="5" t="n">
        <v>400</v>
      </c>
      <c r="B404" s="8" t="inlineStr">
        <is>
          <t>WEEKDAY</t>
        </is>
      </c>
      <c r="C404" s="6" t="inlineStr">
        <is>
          <t>Soal Tes #5</t>
        </is>
      </c>
      <c r="D404" s="33" t="inlineStr">
        <is>
          <t>WEEKDAY!E54</t>
        </is>
      </c>
      <c r="E404" s="22" t="inlineStr">
        <is>
          <t>'=WEEKDAY(C53)</t>
        </is>
      </c>
      <c r="F404" s="34">
        <f>WEEKDAY('WEEKDAY'!C53)</f>
        <v/>
      </c>
      <c r="G404" s="19" t="inlineStr">
        <is>
          <t>Ambil nilai WEEKDAY dari tanggal kegiatan di sel C53 menggunakan fungsi WEEKDAY!</t>
        </is>
      </c>
    </row>
    <row r="405">
      <c r="A405" s="5" t="n">
        <v>401</v>
      </c>
      <c r="B405" s="8" t="inlineStr">
        <is>
          <t>WEEKNUM</t>
        </is>
      </c>
      <c r="C405" s="6" t="inlineStr">
        <is>
          <t>Soal Tes #1</t>
        </is>
      </c>
      <c r="D405" s="33" t="inlineStr">
        <is>
          <t>WEEKNUM!E22</t>
        </is>
      </c>
      <c r="E405" s="22" t="inlineStr">
        <is>
          <t>'=WEEKNUM(C21)</t>
        </is>
      </c>
      <c r="F405" s="34">
        <f>WEEKNUM('WEEKNUM'!C21)</f>
        <v/>
      </c>
      <c r="G405" s="19" t="inlineStr">
        <is>
          <t>Ambil nilai WEEKNUM dari tanggal kegiatan di sel C21 menggunakan fungsi WEEKNUM!</t>
        </is>
      </c>
    </row>
    <row r="406">
      <c r="A406" s="5" t="n">
        <v>402</v>
      </c>
      <c r="B406" s="8" t="inlineStr">
        <is>
          <t>WEEKNUM</t>
        </is>
      </c>
      <c r="C406" s="6" t="inlineStr">
        <is>
          <t>Soal Tes #2</t>
        </is>
      </c>
      <c r="D406" s="33" t="inlineStr">
        <is>
          <t>WEEKNUM!E30</t>
        </is>
      </c>
      <c r="E406" s="22" t="inlineStr">
        <is>
          <t>'=WEEKNUM(C29)</t>
        </is>
      </c>
      <c r="F406" s="34">
        <f>WEEKNUM('WEEKNUM'!C29)</f>
        <v/>
      </c>
      <c r="G406" s="19" t="inlineStr">
        <is>
          <t>Ambil nilai WEEKNUM dari tanggal kegiatan di sel C29 menggunakan fungsi WEEKNUM!</t>
        </is>
      </c>
    </row>
    <row r="407">
      <c r="A407" s="5" t="n">
        <v>403</v>
      </c>
      <c r="B407" s="8" t="inlineStr">
        <is>
          <t>WEEKNUM</t>
        </is>
      </c>
      <c r="C407" s="6" t="inlineStr">
        <is>
          <t>Soal Tes #3</t>
        </is>
      </c>
      <c r="D407" s="33" t="inlineStr">
        <is>
          <t>WEEKNUM!E38</t>
        </is>
      </c>
      <c r="E407" s="22" t="inlineStr">
        <is>
          <t>'=WEEKNUM(C37)</t>
        </is>
      </c>
      <c r="F407" s="34">
        <f>WEEKNUM('WEEKNUM'!C37)</f>
        <v/>
      </c>
      <c r="G407" s="19" t="inlineStr">
        <is>
          <t>Ambil nilai WEEKNUM dari tanggal kegiatan di sel C37 menggunakan fungsi WEEKNUM!</t>
        </is>
      </c>
    </row>
    <row r="408">
      <c r="A408" s="5" t="n">
        <v>404</v>
      </c>
      <c r="B408" s="8" t="inlineStr">
        <is>
          <t>WEEKNUM</t>
        </is>
      </c>
      <c r="C408" s="6" t="inlineStr">
        <is>
          <t>Soal Tes #4</t>
        </is>
      </c>
      <c r="D408" s="33" t="inlineStr">
        <is>
          <t>WEEKNUM!E46</t>
        </is>
      </c>
      <c r="E408" s="22" t="inlineStr">
        <is>
          <t>'=WEEKNUM(C45)</t>
        </is>
      </c>
      <c r="F408" s="34">
        <f>WEEKNUM('WEEKNUM'!C45)</f>
        <v/>
      </c>
      <c r="G408" s="19" t="inlineStr">
        <is>
          <t>Ambil nilai WEEKNUM dari tanggal kegiatan di sel C45 menggunakan fungsi WEEKNUM!</t>
        </is>
      </c>
    </row>
    <row r="409">
      <c r="A409" s="5" t="n">
        <v>405</v>
      </c>
      <c r="B409" s="8" t="inlineStr">
        <is>
          <t>WEEKNUM</t>
        </is>
      </c>
      <c r="C409" s="6" t="inlineStr">
        <is>
          <t>Soal Tes #5</t>
        </is>
      </c>
      <c r="D409" s="33" t="inlineStr">
        <is>
          <t>WEEKNUM!E54</t>
        </is>
      </c>
      <c r="E409" s="22" t="inlineStr">
        <is>
          <t>'=WEEKNUM(C53)</t>
        </is>
      </c>
      <c r="F409" s="34">
        <f>WEEKNUM('WEEKNUM'!C53)</f>
        <v/>
      </c>
      <c r="G409" s="19" t="inlineStr">
        <is>
          <t>Ambil nilai WEEKNUM dari tanggal kegiatan di sel C53 menggunakan fungsi WEEKNUM!</t>
        </is>
      </c>
    </row>
    <row r="410">
      <c r="A410" s="5" t="n">
        <v>406</v>
      </c>
      <c r="B410" s="8" t="inlineStr">
        <is>
          <t>HOUR</t>
        </is>
      </c>
      <c r="C410" s="6" t="inlineStr">
        <is>
          <t>Soal Tes #1</t>
        </is>
      </c>
      <c r="D410" s="33" t="inlineStr">
        <is>
          <t>HOUR!E22</t>
        </is>
      </c>
      <c r="E410" s="22" t="inlineStr">
        <is>
          <t>'=HOUR(C21)</t>
        </is>
      </c>
      <c r="F410" s="34">
        <f>HOUR('HOUR'!C21)</f>
        <v/>
      </c>
      <c r="G410" s="19" t="inlineStr">
        <is>
          <t>Ekstrak komponen HOUR dari waktu absensi di sel C21 menggunakan fungsi HOUR!</t>
        </is>
      </c>
    </row>
    <row r="411">
      <c r="A411" s="5" t="n">
        <v>407</v>
      </c>
      <c r="B411" s="8" t="inlineStr">
        <is>
          <t>HOUR</t>
        </is>
      </c>
      <c r="C411" s="6" t="inlineStr">
        <is>
          <t>Soal Tes #2</t>
        </is>
      </c>
      <c r="D411" s="33" t="inlineStr">
        <is>
          <t>HOUR!E30</t>
        </is>
      </c>
      <c r="E411" s="22" t="inlineStr">
        <is>
          <t>'=HOUR(C29)</t>
        </is>
      </c>
      <c r="F411" s="34">
        <f>HOUR('HOUR'!C29)</f>
        <v/>
      </c>
      <c r="G411" s="19" t="inlineStr">
        <is>
          <t>Ekstrak komponen HOUR dari waktu absensi di sel C29 menggunakan fungsi HOUR!</t>
        </is>
      </c>
    </row>
    <row r="412">
      <c r="A412" s="5" t="n">
        <v>408</v>
      </c>
      <c r="B412" s="8" t="inlineStr">
        <is>
          <t>HOUR</t>
        </is>
      </c>
      <c r="C412" s="6" t="inlineStr">
        <is>
          <t>Soal Tes #3</t>
        </is>
      </c>
      <c r="D412" s="33" t="inlineStr">
        <is>
          <t>HOUR!E38</t>
        </is>
      </c>
      <c r="E412" s="22" t="inlineStr">
        <is>
          <t>'=HOUR(C37)</t>
        </is>
      </c>
      <c r="F412" s="34">
        <f>HOUR('HOUR'!C37)</f>
        <v/>
      </c>
      <c r="G412" s="19" t="inlineStr">
        <is>
          <t>Ekstrak komponen HOUR dari waktu absensi di sel C37 menggunakan fungsi HOUR!</t>
        </is>
      </c>
    </row>
    <row r="413">
      <c r="A413" s="5" t="n">
        <v>409</v>
      </c>
      <c r="B413" s="8" t="inlineStr">
        <is>
          <t>HOUR</t>
        </is>
      </c>
      <c r="C413" s="6" t="inlineStr">
        <is>
          <t>Soal Tes #4</t>
        </is>
      </c>
      <c r="D413" s="33" t="inlineStr">
        <is>
          <t>HOUR!E46</t>
        </is>
      </c>
      <c r="E413" s="22" t="inlineStr">
        <is>
          <t>'=HOUR(C45)</t>
        </is>
      </c>
      <c r="F413" s="34">
        <f>HOUR('HOUR'!C45)</f>
        <v/>
      </c>
      <c r="G413" s="19" t="inlineStr">
        <is>
          <t>Ekstrak komponen HOUR dari waktu absensi di sel C45 menggunakan fungsi HOUR!</t>
        </is>
      </c>
    </row>
    <row r="414">
      <c r="A414" s="5" t="n">
        <v>410</v>
      </c>
      <c r="B414" s="8" t="inlineStr">
        <is>
          <t>HOUR</t>
        </is>
      </c>
      <c r="C414" s="6" t="inlineStr">
        <is>
          <t>Soal Tes #5</t>
        </is>
      </c>
      <c r="D414" s="33" t="inlineStr">
        <is>
          <t>HOUR!E54</t>
        </is>
      </c>
      <c r="E414" s="22" t="inlineStr">
        <is>
          <t>'=HOUR(C53)</t>
        </is>
      </c>
      <c r="F414" s="34">
        <f>HOUR('HOUR'!C53)</f>
        <v/>
      </c>
      <c r="G414" s="19" t="inlineStr">
        <is>
          <t>Ekstrak komponen HOUR dari waktu absensi di sel C53 menggunakan fungsi HOUR!</t>
        </is>
      </c>
    </row>
    <row r="415">
      <c r="A415" s="5" t="n">
        <v>411</v>
      </c>
      <c r="B415" s="8" t="inlineStr">
        <is>
          <t>MINUTE</t>
        </is>
      </c>
      <c r="C415" s="6" t="inlineStr">
        <is>
          <t>Soal Tes #1</t>
        </is>
      </c>
      <c r="D415" s="33" t="inlineStr">
        <is>
          <t>MINUTE!E22</t>
        </is>
      </c>
      <c r="E415" s="22" t="inlineStr">
        <is>
          <t>'=MINUTE(C21)</t>
        </is>
      </c>
      <c r="F415" s="34">
        <f>MINUTE('MINUTE'!C21)</f>
        <v/>
      </c>
      <c r="G415" s="19" t="inlineStr">
        <is>
          <t>Ekstrak komponen MINUTE dari waktu absensi di sel C21 menggunakan fungsi MINUTE!</t>
        </is>
      </c>
    </row>
    <row r="416">
      <c r="A416" s="5" t="n">
        <v>412</v>
      </c>
      <c r="B416" s="8" t="inlineStr">
        <is>
          <t>MINUTE</t>
        </is>
      </c>
      <c r="C416" s="6" t="inlineStr">
        <is>
          <t>Soal Tes #2</t>
        </is>
      </c>
      <c r="D416" s="33" t="inlineStr">
        <is>
          <t>MINUTE!E30</t>
        </is>
      </c>
      <c r="E416" s="22" t="inlineStr">
        <is>
          <t>'=MINUTE(C29)</t>
        </is>
      </c>
      <c r="F416" s="34">
        <f>MINUTE('MINUTE'!C29)</f>
        <v/>
      </c>
      <c r="G416" s="19" t="inlineStr">
        <is>
          <t>Ekstrak komponen MINUTE dari waktu absensi di sel C29 menggunakan fungsi MINUTE!</t>
        </is>
      </c>
    </row>
    <row r="417">
      <c r="A417" s="5" t="n">
        <v>413</v>
      </c>
      <c r="B417" s="8" t="inlineStr">
        <is>
          <t>MINUTE</t>
        </is>
      </c>
      <c r="C417" s="6" t="inlineStr">
        <is>
          <t>Soal Tes #3</t>
        </is>
      </c>
      <c r="D417" s="33" t="inlineStr">
        <is>
          <t>MINUTE!E38</t>
        </is>
      </c>
      <c r="E417" s="22" t="inlineStr">
        <is>
          <t>'=MINUTE(C37)</t>
        </is>
      </c>
      <c r="F417" s="34">
        <f>MINUTE('MINUTE'!C37)</f>
        <v/>
      </c>
      <c r="G417" s="19" t="inlineStr">
        <is>
          <t>Ekstrak komponen MINUTE dari waktu absensi di sel C37 menggunakan fungsi MINUTE!</t>
        </is>
      </c>
    </row>
    <row r="418">
      <c r="A418" s="5" t="n">
        <v>414</v>
      </c>
      <c r="B418" s="8" t="inlineStr">
        <is>
          <t>MINUTE</t>
        </is>
      </c>
      <c r="C418" s="6" t="inlineStr">
        <is>
          <t>Soal Tes #4</t>
        </is>
      </c>
      <c r="D418" s="33" t="inlineStr">
        <is>
          <t>MINUTE!E46</t>
        </is>
      </c>
      <c r="E418" s="22" t="inlineStr">
        <is>
          <t>'=MINUTE(C45)</t>
        </is>
      </c>
      <c r="F418" s="34">
        <f>MINUTE('MINUTE'!C45)</f>
        <v/>
      </c>
      <c r="G418" s="19" t="inlineStr">
        <is>
          <t>Ekstrak komponen MINUTE dari waktu absensi di sel C45 menggunakan fungsi MINUTE!</t>
        </is>
      </c>
    </row>
    <row r="419">
      <c r="A419" s="5" t="n">
        <v>415</v>
      </c>
      <c r="B419" s="8" t="inlineStr">
        <is>
          <t>MINUTE</t>
        </is>
      </c>
      <c r="C419" s="6" t="inlineStr">
        <is>
          <t>Soal Tes #5</t>
        </is>
      </c>
      <c r="D419" s="33" t="inlineStr">
        <is>
          <t>MINUTE!E54</t>
        </is>
      </c>
      <c r="E419" s="22" t="inlineStr">
        <is>
          <t>'=MINUTE(C53)</t>
        </is>
      </c>
      <c r="F419" s="34">
        <f>MINUTE('MINUTE'!C53)</f>
        <v/>
      </c>
      <c r="G419" s="19" t="inlineStr">
        <is>
          <t>Ekstrak komponen MINUTE dari waktu absensi di sel C53 menggunakan fungsi MINUTE!</t>
        </is>
      </c>
    </row>
    <row r="420">
      <c r="A420" s="5" t="n">
        <v>416</v>
      </c>
      <c r="B420" s="8" t="inlineStr">
        <is>
          <t>SECOND</t>
        </is>
      </c>
      <c r="C420" s="6" t="inlineStr">
        <is>
          <t>Soal Tes #1</t>
        </is>
      </c>
      <c r="D420" s="33" t="inlineStr">
        <is>
          <t>SECOND!E22</t>
        </is>
      </c>
      <c r="E420" s="22" t="inlineStr">
        <is>
          <t>'=SECOND(C21)</t>
        </is>
      </c>
      <c r="F420" s="34">
        <f>SECOND('SECOND'!C21)</f>
        <v/>
      </c>
      <c r="G420" s="19" t="inlineStr">
        <is>
          <t>Ekstrak komponen SECOND dari waktu absensi di sel C21 menggunakan fungsi SECOND!</t>
        </is>
      </c>
    </row>
    <row r="421">
      <c r="A421" s="5" t="n">
        <v>417</v>
      </c>
      <c r="B421" s="8" t="inlineStr">
        <is>
          <t>SECOND</t>
        </is>
      </c>
      <c r="C421" s="6" t="inlineStr">
        <is>
          <t>Soal Tes #2</t>
        </is>
      </c>
      <c r="D421" s="33" t="inlineStr">
        <is>
          <t>SECOND!E30</t>
        </is>
      </c>
      <c r="E421" s="22" t="inlineStr">
        <is>
          <t>'=SECOND(C29)</t>
        </is>
      </c>
      <c r="F421" s="34">
        <f>SECOND('SECOND'!C29)</f>
        <v/>
      </c>
      <c r="G421" s="19" t="inlineStr">
        <is>
          <t>Ekstrak komponen SECOND dari waktu absensi di sel C29 menggunakan fungsi SECOND!</t>
        </is>
      </c>
    </row>
    <row r="422">
      <c r="A422" s="5" t="n">
        <v>418</v>
      </c>
      <c r="B422" s="8" t="inlineStr">
        <is>
          <t>SECOND</t>
        </is>
      </c>
      <c r="C422" s="6" t="inlineStr">
        <is>
          <t>Soal Tes #3</t>
        </is>
      </c>
      <c r="D422" s="33" t="inlineStr">
        <is>
          <t>SECOND!E38</t>
        </is>
      </c>
      <c r="E422" s="22" t="inlineStr">
        <is>
          <t>'=SECOND(C37)</t>
        </is>
      </c>
      <c r="F422" s="34">
        <f>SECOND('SECOND'!C37)</f>
        <v/>
      </c>
      <c r="G422" s="19" t="inlineStr">
        <is>
          <t>Ekstrak komponen SECOND dari waktu absensi di sel C37 menggunakan fungsi SECOND!</t>
        </is>
      </c>
    </row>
    <row r="423">
      <c r="A423" s="5" t="n">
        <v>419</v>
      </c>
      <c r="B423" s="8" t="inlineStr">
        <is>
          <t>SECOND</t>
        </is>
      </c>
      <c r="C423" s="6" t="inlineStr">
        <is>
          <t>Soal Tes #4</t>
        </is>
      </c>
      <c r="D423" s="33" t="inlineStr">
        <is>
          <t>SECOND!E46</t>
        </is>
      </c>
      <c r="E423" s="22" t="inlineStr">
        <is>
          <t>'=SECOND(C45)</t>
        </is>
      </c>
      <c r="F423" s="34">
        <f>SECOND('SECOND'!C45)</f>
        <v/>
      </c>
      <c r="G423" s="19" t="inlineStr">
        <is>
          <t>Ekstrak komponen SECOND dari waktu absensi di sel C45 menggunakan fungsi SECOND!</t>
        </is>
      </c>
    </row>
    <row r="424">
      <c r="A424" s="5" t="n">
        <v>420</v>
      </c>
      <c r="B424" s="8" t="inlineStr">
        <is>
          <t>SECOND</t>
        </is>
      </c>
      <c r="C424" s="6" t="inlineStr">
        <is>
          <t>Soal Tes #5</t>
        </is>
      </c>
      <c r="D424" s="33" t="inlineStr">
        <is>
          <t>SECOND!E54</t>
        </is>
      </c>
      <c r="E424" s="22" t="inlineStr">
        <is>
          <t>'=SECOND(C53)</t>
        </is>
      </c>
      <c r="F424" s="34">
        <f>SECOND('SECOND'!C53)</f>
        <v/>
      </c>
      <c r="G424" s="19" t="inlineStr">
        <is>
          <t>Ekstrak komponen SECOND dari waktu absensi di sel C53 menggunakan fungsi SECOND!</t>
        </is>
      </c>
    </row>
    <row r="425">
      <c r="A425" s="5" t="n">
        <v>421</v>
      </c>
      <c r="B425" s="8" t="inlineStr">
        <is>
          <t>PMT</t>
        </is>
      </c>
      <c r="C425" s="6" t="inlineStr">
        <is>
          <t>Soal Tes #1</t>
        </is>
      </c>
      <c r="D425" s="33" t="inlineStr">
        <is>
          <t>PMT!E22</t>
        </is>
      </c>
      <c r="E425" s="22" t="inlineStr">
        <is>
          <t>'=PMT(0.01, 12, -C21)</t>
        </is>
      </c>
      <c r="F425" s="34">
        <f>PMT(0.01, 12, -'PMT'!C21)</f>
        <v/>
      </c>
      <c r="G425" s="19" t="inlineStr">
        <is>
          <t>Hitung nilai PMT untuk suku bunga 0.01 (1%), total tenor 12 periode, dan nilai pokok -C21!</t>
        </is>
      </c>
    </row>
    <row r="426">
      <c r="A426" s="5" t="n">
        <v>422</v>
      </c>
      <c r="B426" s="8" t="inlineStr">
        <is>
          <t>PMT</t>
        </is>
      </c>
      <c r="C426" s="6" t="inlineStr">
        <is>
          <t>Soal Tes #2</t>
        </is>
      </c>
      <c r="D426" s="33" t="inlineStr">
        <is>
          <t>PMT!E30</t>
        </is>
      </c>
      <c r="E426" s="22" t="inlineStr">
        <is>
          <t>'=PMT(0.01, 12, -C29)</t>
        </is>
      </c>
      <c r="F426" s="34">
        <f>PMT(0.01, 12, -'PMT'!C29)</f>
        <v/>
      </c>
      <c r="G426" s="19" t="inlineStr">
        <is>
          <t>Hitung nilai PMT untuk suku bunga 0.01 (1%), total tenor 12 periode, dan nilai pokok -C29!</t>
        </is>
      </c>
    </row>
    <row r="427">
      <c r="A427" s="5" t="n">
        <v>423</v>
      </c>
      <c r="B427" s="8" t="inlineStr">
        <is>
          <t>PMT</t>
        </is>
      </c>
      <c r="C427" s="6" t="inlineStr">
        <is>
          <t>Soal Tes #3</t>
        </is>
      </c>
      <c r="D427" s="33" t="inlineStr">
        <is>
          <t>PMT!E38</t>
        </is>
      </c>
      <c r="E427" s="22" t="inlineStr">
        <is>
          <t>'=PMT(0.01, 12, -C37)</t>
        </is>
      </c>
      <c r="F427" s="34">
        <f>PMT(0.01, 12, -'PMT'!C37)</f>
        <v/>
      </c>
      <c r="G427" s="19" t="inlineStr">
        <is>
          <t>Hitung nilai PMT untuk suku bunga 0.01 (1%), total tenor 12 periode, dan nilai pokok -C37!</t>
        </is>
      </c>
    </row>
    <row r="428">
      <c r="A428" s="5" t="n">
        <v>424</v>
      </c>
      <c r="B428" s="8" t="inlineStr">
        <is>
          <t>PMT</t>
        </is>
      </c>
      <c r="C428" s="6" t="inlineStr">
        <is>
          <t>Soal Tes #4</t>
        </is>
      </c>
      <c r="D428" s="33" t="inlineStr">
        <is>
          <t>PMT!E46</t>
        </is>
      </c>
      <c r="E428" s="22" t="inlineStr">
        <is>
          <t>'=PMT(0.01, 12, -C45)</t>
        </is>
      </c>
      <c r="F428" s="34">
        <f>PMT(0.01, 12, -'PMT'!C45)</f>
        <v/>
      </c>
      <c r="G428" s="19" t="inlineStr">
        <is>
          <t>Hitung nilai PMT untuk suku bunga 0.01 (1%), total tenor 12 periode, dan nilai pokok -C45!</t>
        </is>
      </c>
    </row>
    <row r="429">
      <c r="A429" s="5" t="n">
        <v>425</v>
      </c>
      <c r="B429" s="8" t="inlineStr">
        <is>
          <t>PMT</t>
        </is>
      </c>
      <c r="C429" s="6" t="inlineStr">
        <is>
          <t>Soal Tes #5</t>
        </is>
      </c>
      <c r="D429" s="33" t="inlineStr">
        <is>
          <t>PMT!E54</t>
        </is>
      </c>
      <c r="E429" s="22" t="inlineStr">
        <is>
          <t>'=PMT(0.01, 12, -C53)</t>
        </is>
      </c>
      <c r="F429" s="34">
        <f>PMT(0.01, 12, -'PMT'!C53)</f>
        <v/>
      </c>
      <c r="G429" s="19" t="inlineStr">
        <is>
          <t>Hitung nilai PMT untuk suku bunga 0.01 (1%), total tenor 12 periode, dan nilai pokok -C53!</t>
        </is>
      </c>
    </row>
    <row r="430">
      <c r="A430" s="5" t="n">
        <v>426</v>
      </c>
      <c r="B430" s="8" t="inlineStr">
        <is>
          <t>IPMT</t>
        </is>
      </c>
      <c r="C430" s="6" t="inlineStr">
        <is>
          <t>Soal Tes #1</t>
        </is>
      </c>
      <c r="D430" s="33" t="inlineStr">
        <is>
          <t>IPMT!E22</t>
        </is>
      </c>
      <c r="E430" s="22" t="inlineStr">
        <is>
          <t>'=IPMT(0.01, 1, 12, -C21)</t>
        </is>
      </c>
      <c r="F430" s="34">
        <f>IPMT(0.01, 1, 12, -'IPMT'!C21)</f>
        <v/>
      </c>
      <c r="G430" s="19" t="inlineStr">
        <is>
          <t>Hitung nilai IPMT untuk suku bunga 0.01 (1%), periode ke-1, total tenor 12 bulan, dan pokok pinjaman -C21!</t>
        </is>
      </c>
    </row>
    <row r="431">
      <c r="A431" s="5" t="n">
        <v>427</v>
      </c>
      <c r="B431" s="8" t="inlineStr">
        <is>
          <t>IPMT</t>
        </is>
      </c>
      <c r="C431" s="6" t="inlineStr">
        <is>
          <t>Soal Tes #2</t>
        </is>
      </c>
      <c r="D431" s="33" t="inlineStr">
        <is>
          <t>IPMT!E30</t>
        </is>
      </c>
      <c r="E431" s="22" t="inlineStr">
        <is>
          <t>'=IPMT(0.01, 1, 12, -C29)</t>
        </is>
      </c>
      <c r="F431" s="34">
        <f>IPMT(0.01, 1, 12, -'IPMT'!C29)</f>
        <v/>
      </c>
      <c r="G431" s="19" t="inlineStr">
        <is>
          <t>Hitung nilai IPMT untuk suku bunga 0.01 (1%), periode ke-1, total tenor 12 bulan, dan pokok pinjaman -C29!</t>
        </is>
      </c>
    </row>
    <row r="432">
      <c r="A432" s="5" t="n">
        <v>428</v>
      </c>
      <c r="B432" s="8" t="inlineStr">
        <is>
          <t>IPMT</t>
        </is>
      </c>
      <c r="C432" s="6" t="inlineStr">
        <is>
          <t>Soal Tes #3</t>
        </is>
      </c>
      <c r="D432" s="33" t="inlineStr">
        <is>
          <t>IPMT!E38</t>
        </is>
      </c>
      <c r="E432" s="22" t="inlineStr">
        <is>
          <t>'=IPMT(0.01, 1, 12, -C37)</t>
        </is>
      </c>
      <c r="F432" s="34">
        <f>IPMT(0.01, 1, 12, -'IPMT'!C37)</f>
        <v/>
      </c>
      <c r="G432" s="19" t="inlineStr">
        <is>
          <t>Hitung nilai IPMT untuk suku bunga 0.01 (1%), periode ke-1, total tenor 12 bulan, dan pokok pinjaman -C37!</t>
        </is>
      </c>
    </row>
    <row r="433">
      <c r="A433" s="5" t="n">
        <v>429</v>
      </c>
      <c r="B433" s="8" t="inlineStr">
        <is>
          <t>IPMT</t>
        </is>
      </c>
      <c r="C433" s="6" t="inlineStr">
        <is>
          <t>Soal Tes #4</t>
        </is>
      </c>
      <c r="D433" s="33" t="inlineStr">
        <is>
          <t>IPMT!E46</t>
        </is>
      </c>
      <c r="E433" s="22" t="inlineStr">
        <is>
          <t>'=IPMT(0.01, 1, 12, -C45)</t>
        </is>
      </c>
      <c r="F433" s="34">
        <f>IPMT(0.01, 1, 12, -'IPMT'!C45)</f>
        <v/>
      </c>
      <c r="G433" s="19" t="inlineStr">
        <is>
          <t>Hitung nilai IPMT untuk suku bunga 0.01 (1%), periode ke-1, total tenor 12 bulan, dan pokok pinjaman -C45!</t>
        </is>
      </c>
    </row>
    <row r="434">
      <c r="A434" s="5" t="n">
        <v>430</v>
      </c>
      <c r="B434" s="8" t="inlineStr">
        <is>
          <t>IPMT</t>
        </is>
      </c>
      <c r="C434" s="6" t="inlineStr">
        <is>
          <t>Soal Tes #5</t>
        </is>
      </c>
      <c r="D434" s="33" t="inlineStr">
        <is>
          <t>IPMT!E54</t>
        </is>
      </c>
      <c r="E434" s="22" t="inlineStr">
        <is>
          <t>'=IPMT(0.01, 1, 12, -C53)</t>
        </is>
      </c>
      <c r="F434" s="34">
        <f>IPMT(0.01, 1, 12, -'IPMT'!C53)</f>
        <v/>
      </c>
      <c r="G434" s="19" t="inlineStr">
        <is>
          <t>Hitung nilai IPMT untuk suku bunga 0.01 (1%), periode ke-1, total tenor 12 bulan, dan pokok pinjaman -C53!</t>
        </is>
      </c>
    </row>
    <row r="435">
      <c r="A435" s="5" t="n">
        <v>431</v>
      </c>
      <c r="B435" s="8" t="inlineStr">
        <is>
          <t>PPMT</t>
        </is>
      </c>
      <c r="C435" s="6" t="inlineStr">
        <is>
          <t>Soal Tes #1</t>
        </is>
      </c>
      <c r="D435" s="33" t="inlineStr">
        <is>
          <t>PPMT!E22</t>
        </is>
      </c>
      <c r="E435" s="22" t="inlineStr">
        <is>
          <t>'=PPMT(0.01, 1, 12, -C21)</t>
        </is>
      </c>
      <c r="F435" s="34">
        <f>PPMT(0.01, 1, 12, -'PPMT'!C21)</f>
        <v/>
      </c>
      <c r="G435" s="19" t="inlineStr">
        <is>
          <t>Hitung nilai PPMT untuk suku bunga 0.01 (1%), periode ke-1, total tenor 12 bulan, dan pokok pinjaman -C21!</t>
        </is>
      </c>
    </row>
    <row r="436">
      <c r="A436" s="5" t="n">
        <v>432</v>
      </c>
      <c r="B436" s="8" t="inlineStr">
        <is>
          <t>PPMT</t>
        </is>
      </c>
      <c r="C436" s="6" t="inlineStr">
        <is>
          <t>Soal Tes #2</t>
        </is>
      </c>
      <c r="D436" s="33" t="inlineStr">
        <is>
          <t>PPMT!E30</t>
        </is>
      </c>
      <c r="E436" s="22" t="inlineStr">
        <is>
          <t>'=PPMT(0.01, 1, 12, -C29)</t>
        </is>
      </c>
      <c r="F436" s="34">
        <f>PPMT(0.01, 1, 12, -'PPMT'!C29)</f>
        <v/>
      </c>
      <c r="G436" s="19" t="inlineStr">
        <is>
          <t>Hitung nilai PPMT untuk suku bunga 0.01 (1%), periode ke-1, total tenor 12 bulan, dan pokok pinjaman -C29!</t>
        </is>
      </c>
    </row>
    <row r="437">
      <c r="A437" s="5" t="n">
        <v>433</v>
      </c>
      <c r="B437" s="8" t="inlineStr">
        <is>
          <t>PPMT</t>
        </is>
      </c>
      <c r="C437" s="6" t="inlineStr">
        <is>
          <t>Soal Tes #3</t>
        </is>
      </c>
      <c r="D437" s="33" t="inlineStr">
        <is>
          <t>PPMT!E38</t>
        </is>
      </c>
      <c r="E437" s="22" t="inlineStr">
        <is>
          <t>'=PPMT(0.01, 1, 12, -C37)</t>
        </is>
      </c>
      <c r="F437" s="34">
        <f>PPMT(0.01, 1, 12, -'PPMT'!C37)</f>
        <v/>
      </c>
      <c r="G437" s="19" t="inlineStr">
        <is>
          <t>Hitung nilai PPMT untuk suku bunga 0.01 (1%), periode ke-1, total tenor 12 bulan, dan pokok pinjaman -C37!</t>
        </is>
      </c>
    </row>
    <row r="438">
      <c r="A438" s="5" t="n">
        <v>434</v>
      </c>
      <c r="B438" s="8" t="inlineStr">
        <is>
          <t>PPMT</t>
        </is>
      </c>
      <c r="C438" s="6" t="inlineStr">
        <is>
          <t>Soal Tes #4</t>
        </is>
      </c>
      <c r="D438" s="33" t="inlineStr">
        <is>
          <t>PPMT!E46</t>
        </is>
      </c>
      <c r="E438" s="22" t="inlineStr">
        <is>
          <t>'=PPMT(0.01, 1, 12, -C45)</t>
        </is>
      </c>
      <c r="F438" s="34">
        <f>PPMT(0.01, 1, 12, -'PPMT'!C45)</f>
        <v/>
      </c>
      <c r="G438" s="19" t="inlineStr">
        <is>
          <t>Hitung nilai PPMT untuk suku bunga 0.01 (1%), periode ke-1, total tenor 12 bulan, dan pokok pinjaman -C45!</t>
        </is>
      </c>
    </row>
    <row r="439">
      <c r="A439" s="5" t="n">
        <v>435</v>
      </c>
      <c r="B439" s="8" t="inlineStr">
        <is>
          <t>PPMT</t>
        </is>
      </c>
      <c r="C439" s="6" t="inlineStr">
        <is>
          <t>Soal Tes #5</t>
        </is>
      </c>
      <c r="D439" s="33" t="inlineStr">
        <is>
          <t>PPMT!E54</t>
        </is>
      </c>
      <c r="E439" s="22" t="inlineStr">
        <is>
          <t>'=PPMT(0.01, 1, 12, -C53)</t>
        </is>
      </c>
      <c r="F439" s="34">
        <f>PPMT(0.01, 1, 12, -'PPMT'!C53)</f>
        <v/>
      </c>
      <c r="G439" s="19" t="inlineStr">
        <is>
          <t>Hitung nilai PPMT untuk suku bunga 0.01 (1%), periode ke-1, total tenor 12 bulan, dan pokok pinjaman -C53!</t>
        </is>
      </c>
    </row>
    <row r="440">
      <c r="A440" s="5" t="n">
        <v>436</v>
      </c>
      <c r="B440" s="8" t="inlineStr">
        <is>
          <t>FV</t>
        </is>
      </c>
      <c r="C440" s="6" t="inlineStr">
        <is>
          <t>Soal Tes #1</t>
        </is>
      </c>
      <c r="D440" s="33" t="inlineStr">
        <is>
          <t>FV!E22</t>
        </is>
      </c>
      <c r="E440" s="22" t="inlineStr">
        <is>
          <t>'=FV(0.01, 12, -C21)</t>
        </is>
      </c>
      <c r="F440" s="34">
        <f>FV(0.01, 12, -'FV'!C21)</f>
        <v/>
      </c>
      <c r="G440" s="19" t="inlineStr">
        <is>
          <t>Hitung nilai FV untuk suku bunga 0.01 (1%), total tenor 12 periode, dan nilai pokok -C21!</t>
        </is>
      </c>
    </row>
    <row r="441">
      <c r="A441" s="5" t="n">
        <v>437</v>
      </c>
      <c r="B441" s="8" t="inlineStr">
        <is>
          <t>FV</t>
        </is>
      </c>
      <c r="C441" s="6" t="inlineStr">
        <is>
          <t>Soal Tes #2</t>
        </is>
      </c>
      <c r="D441" s="33" t="inlineStr">
        <is>
          <t>FV!E30</t>
        </is>
      </c>
      <c r="E441" s="22" t="inlineStr">
        <is>
          <t>'=FV(0.01, 12, -C29)</t>
        </is>
      </c>
      <c r="F441" s="34">
        <f>FV(0.01, 12, -'FV'!C29)</f>
        <v/>
      </c>
      <c r="G441" s="19" t="inlineStr">
        <is>
          <t>Hitung nilai FV untuk suku bunga 0.01 (1%), total tenor 12 periode, dan nilai pokok -C29!</t>
        </is>
      </c>
    </row>
    <row r="442">
      <c r="A442" s="5" t="n">
        <v>438</v>
      </c>
      <c r="B442" s="8" t="inlineStr">
        <is>
          <t>FV</t>
        </is>
      </c>
      <c r="C442" s="6" t="inlineStr">
        <is>
          <t>Soal Tes #3</t>
        </is>
      </c>
      <c r="D442" s="33" t="inlineStr">
        <is>
          <t>FV!E38</t>
        </is>
      </c>
      <c r="E442" s="22" t="inlineStr">
        <is>
          <t>'=FV(0.01, 12, -C37)</t>
        </is>
      </c>
      <c r="F442" s="34">
        <f>FV(0.01, 12, -'FV'!C37)</f>
        <v/>
      </c>
      <c r="G442" s="19" t="inlineStr">
        <is>
          <t>Hitung nilai FV untuk suku bunga 0.01 (1%), total tenor 12 periode, dan nilai pokok -C37!</t>
        </is>
      </c>
    </row>
    <row r="443">
      <c r="A443" s="5" t="n">
        <v>439</v>
      </c>
      <c r="B443" s="8" t="inlineStr">
        <is>
          <t>FV</t>
        </is>
      </c>
      <c r="C443" s="6" t="inlineStr">
        <is>
          <t>Soal Tes #4</t>
        </is>
      </c>
      <c r="D443" s="33" t="inlineStr">
        <is>
          <t>FV!E46</t>
        </is>
      </c>
      <c r="E443" s="22" t="inlineStr">
        <is>
          <t>'=FV(0.01, 12, -C45)</t>
        </is>
      </c>
      <c r="F443" s="34">
        <f>FV(0.01, 12, -'FV'!C45)</f>
        <v/>
      </c>
      <c r="G443" s="19" t="inlineStr">
        <is>
          <t>Hitung nilai FV untuk suku bunga 0.01 (1%), total tenor 12 periode, dan nilai pokok -C45!</t>
        </is>
      </c>
    </row>
    <row r="444">
      <c r="A444" s="5" t="n">
        <v>440</v>
      </c>
      <c r="B444" s="8" t="inlineStr">
        <is>
          <t>FV</t>
        </is>
      </c>
      <c r="C444" s="6" t="inlineStr">
        <is>
          <t>Soal Tes #5</t>
        </is>
      </c>
      <c r="D444" s="33" t="inlineStr">
        <is>
          <t>FV!E54</t>
        </is>
      </c>
      <c r="E444" s="22" t="inlineStr">
        <is>
          <t>'=FV(0.01, 12, -C53)</t>
        </is>
      </c>
      <c r="F444" s="34">
        <f>FV(0.01, 12, -'FV'!C53)</f>
        <v/>
      </c>
      <c r="G444" s="19" t="inlineStr">
        <is>
          <t>Hitung nilai FV untuk suku bunga 0.01 (1%), total tenor 12 periode, dan nilai pokok -C53!</t>
        </is>
      </c>
    </row>
    <row r="445">
      <c r="A445" s="5" t="n">
        <v>441</v>
      </c>
      <c r="B445" s="8" t="inlineStr">
        <is>
          <t>PV</t>
        </is>
      </c>
      <c r="C445" s="6" t="inlineStr">
        <is>
          <t>Soal Tes #1</t>
        </is>
      </c>
      <c r="D445" s="33" t="inlineStr">
        <is>
          <t>PV!E22</t>
        </is>
      </c>
      <c r="E445" s="22" t="inlineStr">
        <is>
          <t>'=PV(0.01, 12, -C21)</t>
        </is>
      </c>
      <c r="F445" s="34">
        <f>PV(0.01, 12, -'PV'!C21)</f>
        <v/>
      </c>
      <c r="G445" s="19" t="inlineStr">
        <is>
          <t>Hitung nilai PV untuk suku bunga 0.01 (1%), total tenor 12 periode, dan nilai pokok -C21!</t>
        </is>
      </c>
    </row>
    <row r="446">
      <c r="A446" s="5" t="n">
        <v>442</v>
      </c>
      <c r="B446" s="8" t="inlineStr">
        <is>
          <t>PV</t>
        </is>
      </c>
      <c r="C446" s="6" t="inlineStr">
        <is>
          <t>Soal Tes #2</t>
        </is>
      </c>
      <c r="D446" s="33" t="inlineStr">
        <is>
          <t>PV!E30</t>
        </is>
      </c>
      <c r="E446" s="22" t="inlineStr">
        <is>
          <t>'=PV(0.01, 12, -C29)</t>
        </is>
      </c>
      <c r="F446" s="34">
        <f>PV(0.01, 12, -'PV'!C29)</f>
        <v/>
      </c>
      <c r="G446" s="19" t="inlineStr">
        <is>
          <t>Hitung nilai PV untuk suku bunga 0.01 (1%), total tenor 12 periode, dan nilai pokok -C29!</t>
        </is>
      </c>
    </row>
    <row r="447">
      <c r="A447" s="5" t="n">
        <v>443</v>
      </c>
      <c r="B447" s="8" t="inlineStr">
        <is>
          <t>PV</t>
        </is>
      </c>
      <c r="C447" s="6" t="inlineStr">
        <is>
          <t>Soal Tes #3</t>
        </is>
      </c>
      <c r="D447" s="33" t="inlineStr">
        <is>
          <t>PV!E38</t>
        </is>
      </c>
      <c r="E447" s="22" t="inlineStr">
        <is>
          <t>'=PV(0.01, 12, -C37)</t>
        </is>
      </c>
      <c r="F447" s="34">
        <f>PV(0.01, 12, -'PV'!C37)</f>
        <v/>
      </c>
      <c r="G447" s="19" t="inlineStr">
        <is>
          <t>Hitung nilai PV untuk suku bunga 0.01 (1%), total tenor 12 periode, dan nilai pokok -C37!</t>
        </is>
      </c>
    </row>
    <row r="448">
      <c r="A448" s="5" t="n">
        <v>444</v>
      </c>
      <c r="B448" s="8" t="inlineStr">
        <is>
          <t>PV</t>
        </is>
      </c>
      <c r="C448" s="6" t="inlineStr">
        <is>
          <t>Soal Tes #4</t>
        </is>
      </c>
      <c r="D448" s="33" t="inlineStr">
        <is>
          <t>PV!E46</t>
        </is>
      </c>
      <c r="E448" s="22" t="inlineStr">
        <is>
          <t>'=PV(0.01, 12, -C45)</t>
        </is>
      </c>
      <c r="F448" s="34">
        <f>PV(0.01, 12, -'PV'!C45)</f>
        <v/>
      </c>
      <c r="G448" s="19" t="inlineStr">
        <is>
          <t>Hitung nilai PV untuk suku bunga 0.01 (1%), total tenor 12 periode, dan nilai pokok -C45!</t>
        </is>
      </c>
    </row>
    <row r="449">
      <c r="A449" s="5" t="n">
        <v>445</v>
      </c>
      <c r="B449" s="8" t="inlineStr">
        <is>
          <t>PV</t>
        </is>
      </c>
      <c r="C449" s="6" t="inlineStr">
        <is>
          <t>Soal Tes #5</t>
        </is>
      </c>
      <c r="D449" s="33" t="inlineStr">
        <is>
          <t>PV!E54</t>
        </is>
      </c>
      <c r="E449" s="22" t="inlineStr">
        <is>
          <t>'=PV(0.01, 12, -C53)</t>
        </is>
      </c>
      <c r="F449" s="34">
        <f>PV(0.01, 12, -'PV'!C53)</f>
        <v/>
      </c>
      <c r="G449" s="19" t="inlineStr">
        <is>
          <t>Hitung nilai PV untuk suku bunga 0.01 (1%), total tenor 12 periode, dan nilai pokok -C53!</t>
        </is>
      </c>
    </row>
    <row r="450">
      <c r="A450" s="5" t="n">
        <v>446</v>
      </c>
      <c r="B450" s="8" t="inlineStr">
        <is>
          <t>NPV</t>
        </is>
      </c>
      <c r="C450" s="6" t="inlineStr">
        <is>
          <t>Soal Tes #1</t>
        </is>
      </c>
      <c r="D450" s="33" t="inlineStr">
        <is>
          <t>NPV!E22</t>
        </is>
      </c>
      <c r="E450" s="22" t="inlineStr">
        <is>
          <t>'=NPV(0.1, C21:C24)</t>
        </is>
      </c>
      <c r="F450" s="34">
        <f>NPV(0.1, 'NPV'!C21:C24)</f>
        <v/>
      </c>
      <c r="G450" s="19" t="inlineStr">
        <is>
          <t>Hitung Net Present Value dengan suku bunga diskonto 10% (0.1) untuk arus kas pada rentang C21:C24 menggunakan fungsi NPV!</t>
        </is>
      </c>
    </row>
    <row r="451">
      <c r="A451" s="5" t="n">
        <v>447</v>
      </c>
      <c r="B451" s="8" t="inlineStr">
        <is>
          <t>NPV</t>
        </is>
      </c>
      <c r="C451" s="6" t="inlineStr">
        <is>
          <t>Soal Tes #2</t>
        </is>
      </c>
      <c r="D451" s="33" t="inlineStr">
        <is>
          <t>NPV!E30</t>
        </is>
      </c>
      <c r="E451" s="22" t="inlineStr">
        <is>
          <t>'=NPV(0.1, C29:C32)</t>
        </is>
      </c>
      <c r="F451" s="34">
        <f>NPV(0.1, 'NPV'!C29:C32)</f>
        <v/>
      </c>
      <c r="G451" s="19" t="inlineStr">
        <is>
          <t>Hitung Net Present Value dengan suku bunga diskonto 10% (0.1) untuk arus kas pada rentang C29:C32 menggunakan fungsi NPV!</t>
        </is>
      </c>
    </row>
    <row r="452">
      <c r="A452" s="5" t="n">
        <v>448</v>
      </c>
      <c r="B452" s="8" t="inlineStr">
        <is>
          <t>NPV</t>
        </is>
      </c>
      <c r="C452" s="6" t="inlineStr">
        <is>
          <t>Soal Tes #3</t>
        </is>
      </c>
      <c r="D452" s="33" t="inlineStr">
        <is>
          <t>NPV!E38</t>
        </is>
      </c>
      <c r="E452" s="22" t="inlineStr">
        <is>
          <t>'=NPV(0.1, C37:C40)</t>
        </is>
      </c>
      <c r="F452" s="34">
        <f>NPV(0.1, 'NPV'!C37:C40)</f>
        <v/>
      </c>
      <c r="G452" s="19" t="inlineStr">
        <is>
          <t>Hitung Net Present Value dengan suku bunga diskonto 10% (0.1) untuk arus kas pada rentang C37:C40 menggunakan fungsi NPV!</t>
        </is>
      </c>
    </row>
    <row r="453">
      <c r="A453" s="5" t="n">
        <v>449</v>
      </c>
      <c r="B453" s="8" t="inlineStr">
        <is>
          <t>NPV</t>
        </is>
      </c>
      <c r="C453" s="6" t="inlineStr">
        <is>
          <t>Soal Tes #4</t>
        </is>
      </c>
      <c r="D453" s="33" t="inlineStr">
        <is>
          <t>NPV!E46</t>
        </is>
      </c>
      <c r="E453" s="22" t="inlineStr">
        <is>
          <t>'=NPV(0.1, C45:C48)</t>
        </is>
      </c>
      <c r="F453" s="34">
        <f>NPV(0.1, 'NPV'!C45:C48)</f>
        <v/>
      </c>
      <c r="G453" s="19" t="inlineStr">
        <is>
          <t>Hitung Net Present Value dengan suku bunga diskonto 10% (0.1) untuk arus kas pada rentang C45:C48 menggunakan fungsi NPV!</t>
        </is>
      </c>
    </row>
    <row r="454">
      <c r="A454" s="5" t="n">
        <v>450</v>
      </c>
      <c r="B454" s="8" t="inlineStr">
        <is>
          <t>NPV</t>
        </is>
      </c>
      <c r="C454" s="6" t="inlineStr">
        <is>
          <t>Soal Tes #5</t>
        </is>
      </c>
      <c r="D454" s="33" t="inlineStr">
        <is>
          <t>NPV!E54</t>
        </is>
      </c>
      <c r="E454" s="22" t="inlineStr">
        <is>
          <t>'=NPV(0.1, C53:C56)</t>
        </is>
      </c>
      <c r="F454" s="34">
        <f>NPV(0.1, 'NPV'!C53:C56)</f>
        <v/>
      </c>
      <c r="G454" s="19" t="inlineStr">
        <is>
          <t>Hitung Net Present Value dengan suku bunga diskonto 10% (0.1) untuk arus kas pada rentang C53:C56 menggunakan fungsi NPV!</t>
        </is>
      </c>
    </row>
    <row r="455">
      <c r="A455" s="5" t="n">
        <v>451</v>
      </c>
      <c r="B455" s="8" t="inlineStr">
        <is>
          <t>IRR</t>
        </is>
      </c>
      <c r="C455" s="6" t="inlineStr">
        <is>
          <t>Soal Tes #1</t>
        </is>
      </c>
      <c r="D455" s="33" t="inlineStr">
        <is>
          <t>IRR!E22</t>
        </is>
      </c>
      <c r="E455" s="22" t="inlineStr">
        <is>
          <t>'=IRR(C21:C24)</t>
        </is>
      </c>
      <c r="F455" s="34">
        <f>IRR('IRR'!C21:C24)</f>
        <v/>
      </c>
      <c r="G455" s="19" t="inlineStr">
        <is>
          <t>Hitung tingkat pengembalian internal (Internal Rate of Return) dari arus kas investasi pada rentang C21:C24 menggunakan fungsi IRR!</t>
        </is>
      </c>
    </row>
    <row r="456">
      <c r="A456" s="5" t="n">
        <v>452</v>
      </c>
      <c r="B456" s="8" t="inlineStr">
        <is>
          <t>IRR</t>
        </is>
      </c>
      <c r="C456" s="6" t="inlineStr">
        <is>
          <t>Soal Tes #2</t>
        </is>
      </c>
      <c r="D456" s="33" t="inlineStr">
        <is>
          <t>IRR!E30</t>
        </is>
      </c>
      <c r="E456" s="22" t="inlineStr">
        <is>
          <t>'=IRR(C29:C32)</t>
        </is>
      </c>
      <c r="F456" s="34">
        <f>IRR('IRR'!C29:C32)</f>
        <v/>
      </c>
      <c r="G456" s="19" t="inlineStr">
        <is>
          <t>Hitung tingkat pengembalian internal (Internal Rate of Return) dari arus kas investasi pada rentang C29:C32 menggunakan fungsi IRR!</t>
        </is>
      </c>
    </row>
    <row r="457">
      <c r="A457" s="5" t="n">
        <v>453</v>
      </c>
      <c r="B457" s="8" t="inlineStr">
        <is>
          <t>IRR</t>
        </is>
      </c>
      <c r="C457" s="6" t="inlineStr">
        <is>
          <t>Soal Tes #3</t>
        </is>
      </c>
      <c r="D457" s="33" t="inlineStr">
        <is>
          <t>IRR!E38</t>
        </is>
      </c>
      <c r="E457" s="22" t="inlineStr">
        <is>
          <t>'=IRR(C37:C40)</t>
        </is>
      </c>
      <c r="F457" s="34">
        <f>IRR('IRR'!C37:C40)</f>
        <v/>
      </c>
      <c r="G457" s="19" t="inlineStr">
        <is>
          <t>Hitung tingkat pengembalian internal (Internal Rate of Return) dari arus kas investasi pada rentang C37:C40 menggunakan fungsi IRR!</t>
        </is>
      </c>
    </row>
    <row r="458">
      <c r="A458" s="5" t="n">
        <v>454</v>
      </c>
      <c r="B458" s="8" t="inlineStr">
        <is>
          <t>IRR</t>
        </is>
      </c>
      <c r="C458" s="6" t="inlineStr">
        <is>
          <t>Soal Tes #4</t>
        </is>
      </c>
      <c r="D458" s="33" t="inlineStr">
        <is>
          <t>IRR!E46</t>
        </is>
      </c>
      <c r="E458" s="22" t="inlineStr">
        <is>
          <t>'=IRR(C45:C48)</t>
        </is>
      </c>
      <c r="F458" s="34">
        <f>IRR('IRR'!C45:C48)</f>
        <v/>
      </c>
      <c r="G458" s="19" t="inlineStr">
        <is>
          <t>Hitung tingkat pengembalian internal (Internal Rate of Return) dari arus kas investasi pada rentang C45:C48 menggunakan fungsi IRR!</t>
        </is>
      </c>
    </row>
    <row r="459">
      <c r="A459" s="5" t="n">
        <v>455</v>
      </c>
      <c r="B459" s="8" t="inlineStr">
        <is>
          <t>IRR</t>
        </is>
      </c>
      <c r="C459" s="6" t="inlineStr">
        <is>
          <t>Soal Tes #5</t>
        </is>
      </c>
      <c r="D459" s="33" t="inlineStr">
        <is>
          <t>IRR!E54</t>
        </is>
      </c>
      <c r="E459" s="22" t="inlineStr">
        <is>
          <t>'=IRR(C53:C56)</t>
        </is>
      </c>
      <c r="F459" s="34">
        <f>IRR('IRR'!C53:C56)</f>
        <v/>
      </c>
      <c r="G459" s="19" t="inlineStr">
        <is>
          <t>Hitung tingkat pengembalian internal (Internal Rate of Return) dari arus kas investasi pada rentang C53:C56 menggunakan fungsi IRR!</t>
        </is>
      </c>
    </row>
    <row r="460">
      <c r="A460" s="5" t="n">
        <v>456</v>
      </c>
      <c r="B460" s="8" t="inlineStr">
        <is>
          <t>SLN</t>
        </is>
      </c>
      <c r="C460" s="6" t="inlineStr">
        <is>
          <t>Soal Tes #1</t>
        </is>
      </c>
      <c r="D460" s="33" t="inlineStr">
        <is>
          <t>SLN!E22</t>
        </is>
      </c>
      <c r="E460" s="22" t="inlineStr">
        <is>
          <t>'=SLN(C21, 5000000, 5)</t>
        </is>
      </c>
      <c r="F460" s="34">
        <f>SLN('SLN'!C21, 5000000, 5)</f>
        <v/>
      </c>
      <c r="G460" s="19" t="inlineStr">
        <is>
          <t>Hitung penyusutan garis lurus (SLN) dengan harga perolehan di C21, nilai residu 5000000, dan masa pakai 5 tahun!</t>
        </is>
      </c>
    </row>
    <row r="461">
      <c r="A461" s="5" t="n">
        <v>457</v>
      </c>
      <c r="B461" s="8" t="inlineStr">
        <is>
          <t>SLN</t>
        </is>
      </c>
      <c r="C461" s="6" t="inlineStr">
        <is>
          <t>Soal Tes #2</t>
        </is>
      </c>
      <c r="D461" s="33" t="inlineStr">
        <is>
          <t>SLN!E30</t>
        </is>
      </c>
      <c r="E461" s="22" t="inlineStr">
        <is>
          <t>'=SLN(C29, 5000000, 5)</t>
        </is>
      </c>
      <c r="F461" s="34">
        <f>SLN('SLN'!C29, 5000000, 5)</f>
        <v/>
      </c>
      <c r="G461" s="19" t="inlineStr">
        <is>
          <t>Hitung penyusutan garis lurus (SLN) dengan harga perolehan di C29, nilai residu 5000000, dan masa pakai 5 tahun!</t>
        </is>
      </c>
    </row>
    <row r="462">
      <c r="A462" s="5" t="n">
        <v>458</v>
      </c>
      <c r="B462" s="8" t="inlineStr">
        <is>
          <t>SLN</t>
        </is>
      </c>
      <c r="C462" s="6" t="inlineStr">
        <is>
          <t>Soal Tes #3</t>
        </is>
      </c>
      <c r="D462" s="33" t="inlineStr">
        <is>
          <t>SLN!E38</t>
        </is>
      </c>
      <c r="E462" s="22" t="inlineStr">
        <is>
          <t>'=SLN(C37, 5000000, 5)</t>
        </is>
      </c>
      <c r="F462" s="34">
        <f>SLN('SLN'!C37, 5000000, 5)</f>
        <v/>
      </c>
      <c r="G462" s="19" t="inlineStr">
        <is>
          <t>Hitung penyusutan garis lurus (SLN) dengan harga perolehan di C37, nilai residu 5000000, dan masa pakai 5 tahun!</t>
        </is>
      </c>
    </row>
    <row r="463">
      <c r="A463" s="5" t="n">
        <v>459</v>
      </c>
      <c r="B463" s="8" t="inlineStr">
        <is>
          <t>SLN</t>
        </is>
      </c>
      <c r="C463" s="6" t="inlineStr">
        <is>
          <t>Soal Tes #4</t>
        </is>
      </c>
      <c r="D463" s="33" t="inlineStr">
        <is>
          <t>SLN!E46</t>
        </is>
      </c>
      <c r="E463" s="22" t="inlineStr">
        <is>
          <t>'=SLN(C45, 5000000, 5)</t>
        </is>
      </c>
      <c r="F463" s="34">
        <f>SLN('SLN'!C45, 5000000, 5)</f>
        <v/>
      </c>
      <c r="G463" s="19" t="inlineStr">
        <is>
          <t>Hitung penyusutan garis lurus (SLN) dengan harga perolehan di C45, nilai residu 5000000, dan masa pakai 5 tahun!</t>
        </is>
      </c>
    </row>
    <row r="464">
      <c r="A464" s="5" t="n">
        <v>460</v>
      </c>
      <c r="B464" s="8" t="inlineStr">
        <is>
          <t>SLN</t>
        </is>
      </c>
      <c r="C464" s="6" t="inlineStr">
        <is>
          <t>Soal Tes #5</t>
        </is>
      </c>
      <c r="D464" s="33" t="inlineStr">
        <is>
          <t>SLN!E54</t>
        </is>
      </c>
      <c r="E464" s="22" t="inlineStr">
        <is>
          <t>'=SLN(C53, 5000000, 5)</t>
        </is>
      </c>
      <c r="F464" s="34">
        <f>SLN('SLN'!C53, 5000000, 5)</f>
        <v/>
      </c>
      <c r="G464" s="19" t="inlineStr">
        <is>
          <t>Hitung penyusutan garis lurus (SLN) dengan harga perolehan di C53, nilai residu 5000000, dan masa pakai 5 tahun!</t>
        </is>
      </c>
    </row>
    <row r="465">
      <c r="A465" s="5" t="n">
        <v>461</v>
      </c>
      <c r="B465" s="8" t="inlineStr">
        <is>
          <t>DB</t>
        </is>
      </c>
      <c r="C465" s="6" t="inlineStr">
        <is>
          <t>Soal Tes #1</t>
        </is>
      </c>
      <c r="D465" s="33" t="inlineStr">
        <is>
          <t>DB!E22</t>
        </is>
      </c>
      <c r="E465" s="22" t="inlineStr">
        <is>
          <t>'=DB(C21, 5000000, 5, 1)</t>
        </is>
      </c>
      <c r="F465" s="34">
        <f>DB('DB'!C21, 5000000, 5, 1)</f>
        <v/>
      </c>
      <c r="G465" s="19" t="inlineStr">
        <is>
          <t>Hitung beban penyusutan DB dengan harga perolehan di C21, nilai residu 5000000, umur 5 tahun, untuk periode tahun ke-1!</t>
        </is>
      </c>
    </row>
    <row r="466">
      <c r="A466" s="5" t="n">
        <v>462</v>
      </c>
      <c r="B466" s="8" t="inlineStr">
        <is>
          <t>DB</t>
        </is>
      </c>
      <c r="C466" s="6" t="inlineStr">
        <is>
          <t>Soal Tes #2</t>
        </is>
      </c>
      <c r="D466" s="33" t="inlineStr">
        <is>
          <t>DB!E30</t>
        </is>
      </c>
      <c r="E466" s="22" t="inlineStr">
        <is>
          <t>'=DB(C29, 5000000, 5, 1)</t>
        </is>
      </c>
      <c r="F466" s="34">
        <f>DB('DB'!C29, 5000000, 5, 1)</f>
        <v/>
      </c>
      <c r="G466" s="19" t="inlineStr">
        <is>
          <t>Hitung beban penyusutan DB dengan harga perolehan di C29, nilai residu 5000000, umur 5 tahun, untuk periode tahun ke-1!</t>
        </is>
      </c>
    </row>
    <row r="467">
      <c r="A467" s="5" t="n">
        <v>463</v>
      </c>
      <c r="B467" s="8" t="inlineStr">
        <is>
          <t>DB</t>
        </is>
      </c>
      <c r="C467" s="6" t="inlineStr">
        <is>
          <t>Soal Tes #3</t>
        </is>
      </c>
      <c r="D467" s="33" t="inlineStr">
        <is>
          <t>DB!E38</t>
        </is>
      </c>
      <c r="E467" s="22" t="inlineStr">
        <is>
          <t>'=DB(C37, 5000000, 5, 1)</t>
        </is>
      </c>
      <c r="F467" s="34">
        <f>DB('DB'!C37, 5000000, 5, 1)</f>
        <v/>
      </c>
      <c r="G467" s="19" t="inlineStr">
        <is>
          <t>Hitung beban penyusutan DB dengan harga perolehan di C37, nilai residu 5000000, umur 5 tahun, untuk periode tahun ke-1!</t>
        </is>
      </c>
    </row>
    <row r="468">
      <c r="A468" s="5" t="n">
        <v>464</v>
      </c>
      <c r="B468" s="8" t="inlineStr">
        <is>
          <t>DB</t>
        </is>
      </c>
      <c r="C468" s="6" t="inlineStr">
        <is>
          <t>Soal Tes #4</t>
        </is>
      </c>
      <c r="D468" s="33" t="inlineStr">
        <is>
          <t>DB!E46</t>
        </is>
      </c>
      <c r="E468" s="22" t="inlineStr">
        <is>
          <t>'=DB(C45, 5000000, 5, 1)</t>
        </is>
      </c>
      <c r="F468" s="34">
        <f>DB('DB'!C45, 5000000, 5, 1)</f>
        <v/>
      </c>
      <c r="G468" s="19" t="inlineStr">
        <is>
          <t>Hitung beban penyusutan DB dengan harga perolehan di C45, nilai residu 5000000, umur 5 tahun, untuk periode tahun ke-1!</t>
        </is>
      </c>
    </row>
    <row r="469">
      <c r="A469" s="5" t="n">
        <v>465</v>
      </c>
      <c r="B469" s="8" t="inlineStr">
        <is>
          <t>DB</t>
        </is>
      </c>
      <c r="C469" s="6" t="inlineStr">
        <is>
          <t>Soal Tes #5</t>
        </is>
      </c>
      <c r="D469" s="33" t="inlineStr">
        <is>
          <t>DB!E54</t>
        </is>
      </c>
      <c r="E469" s="22" t="inlineStr">
        <is>
          <t>'=DB(C53, 5000000, 5, 1)</t>
        </is>
      </c>
      <c r="F469" s="34">
        <f>DB('DB'!C53, 5000000, 5, 1)</f>
        <v/>
      </c>
      <c r="G469" s="19" t="inlineStr">
        <is>
          <t>Hitung beban penyusutan DB dengan harga perolehan di C53, nilai residu 5000000, umur 5 tahun, untuk periode tahun ke-1!</t>
        </is>
      </c>
    </row>
    <row r="470">
      <c r="A470" s="5" t="n">
        <v>466</v>
      </c>
      <c r="B470" s="8" t="inlineStr">
        <is>
          <t>SYD</t>
        </is>
      </c>
      <c r="C470" s="6" t="inlineStr">
        <is>
          <t>Soal Tes #1</t>
        </is>
      </c>
      <c r="D470" s="33" t="inlineStr">
        <is>
          <t>SYD!E22</t>
        </is>
      </c>
      <c r="E470" s="22" t="inlineStr">
        <is>
          <t>'=SYD(C21, 5000000, 5, 1)</t>
        </is>
      </c>
      <c r="F470" s="34">
        <f>SYD('SYD'!C21, 5000000, 5, 1)</f>
        <v/>
      </c>
      <c r="G470" s="19" t="inlineStr">
        <is>
          <t>Hitung beban penyusutan SYD dengan harga perolehan di C21, nilai residu 5000000, umur 5 tahun, untuk periode tahun ke-1!</t>
        </is>
      </c>
    </row>
    <row r="471">
      <c r="A471" s="5" t="n">
        <v>467</v>
      </c>
      <c r="B471" s="8" t="inlineStr">
        <is>
          <t>SYD</t>
        </is>
      </c>
      <c r="C471" s="6" t="inlineStr">
        <is>
          <t>Soal Tes #2</t>
        </is>
      </c>
      <c r="D471" s="33" t="inlineStr">
        <is>
          <t>SYD!E30</t>
        </is>
      </c>
      <c r="E471" s="22" t="inlineStr">
        <is>
          <t>'=SYD(C29, 5000000, 5, 1)</t>
        </is>
      </c>
      <c r="F471" s="34">
        <f>SYD('SYD'!C29, 5000000, 5, 1)</f>
        <v/>
      </c>
      <c r="G471" s="19" t="inlineStr">
        <is>
          <t>Hitung beban penyusutan SYD dengan harga perolehan di C29, nilai residu 5000000, umur 5 tahun, untuk periode tahun ke-1!</t>
        </is>
      </c>
    </row>
    <row r="472">
      <c r="A472" s="5" t="n">
        <v>468</v>
      </c>
      <c r="B472" s="8" t="inlineStr">
        <is>
          <t>SYD</t>
        </is>
      </c>
      <c r="C472" s="6" t="inlineStr">
        <is>
          <t>Soal Tes #3</t>
        </is>
      </c>
      <c r="D472" s="33" t="inlineStr">
        <is>
          <t>SYD!E38</t>
        </is>
      </c>
      <c r="E472" s="22" t="inlineStr">
        <is>
          <t>'=SYD(C37, 5000000, 5, 1)</t>
        </is>
      </c>
      <c r="F472" s="34">
        <f>SYD('SYD'!C37, 5000000, 5, 1)</f>
        <v/>
      </c>
      <c r="G472" s="19" t="inlineStr">
        <is>
          <t>Hitung beban penyusutan SYD dengan harga perolehan di C37, nilai residu 5000000, umur 5 tahun, untuk periode tahun ke-1!</t>
        </is>
      </c>
    </row>
    <row r="473">
      <c r="A473" s="5" t="n">
        <v>469</v>
      </c>
      <c r="B473" s="8" t="inlineStr">
        <is>
          <t>SYD</t>
        </is>
      </c>
      <c r="C473" s="6" t="inlineStr">
        <is>
          <t>Soal Tes #4</t>
        </is>
      </c>
      <c r="D473" s="33" t="inlineStr">
        <is>
          <t>SYD!E46</t>
        </is>
      </c>
      <c r="E473" s="22" t="inlineStr">
        <is>
          <t>'=SYD(C45, 5000000, 5, 1)</t>
        </is>
      </c>
      <c r="F473" s="34">
        <f>SYD('SYD'!C45, 5000000, 5, 1)</f>
        <v/>
      </c>
      <c r="G473" s="19" t="inlineStr">
        <is>
          <t>Hitung beban penyusutan SYD dengan harga perolehan di C45, nilai residu 5000000, umur 5 tahun, untuk periode tahun ke-1!</t>
        </is>
      </c>
    </row>
    <row r="474">
      <c r="A474" s="5" t="n">
        <v>470</v>
      </c>
      <c r="B474" s="8" t="inlineStr">
        <is>
          <t>SYD</t>
        </is>
      </c>
      <c r="C474" s="6" t="inlineStr">
        <is>
          <t>Soal Tes #5</t>
        </is>
      </c>
      <c r="D474" s="33" t="inlineStr">
        <is>
          <t>SYD!E54</t>
        </is>
      </c>
      <c r="E474" s="22" t="inlineStr">
        <is>
          <t>'=SYD(C53, 5000000, 5, 1)</t>
        </is>
      </c>
      <c r="F474" s="34">
        <f>SYD('SYD'!C53, 5000000, 5, 1)</f>
        <v/>
      </c>
      <c r="G474" s="19" t="inlineStr">
        <is>
          <t>Hitung beban penyusutan SYD dengan harga perolehan di C53, nilai residu 5000000, umur 5 tahun, untuk periode tahun ke-1!</t>
        </is>
      </c>
    </row>
    <row r="475">
      <c r="A475" s="5" t="n">
        <v>471</v>
      </c>
      <c r="B475" s="8" t="inlineStr">
        <is>
          <t>EFFECT</t>
        </is>
      </c>
      <c r="C475" s="6" t="inlineStr">
        <is>
          <t>Soal Tes #1</t>
        </is>
      </c>
      <c r="D475" s="33" t="inlineStr">
        <is>
          <t>EFFECT!E22</t>
        </is>
      </c>
      <c r="E475" s="22" t="inlineStr">
        <is>
          <t>'=EFFECT(C21, 12)</t>
        </is>
      </c>
      <c r="F475" s="34">
        <f>EFFECT('EFFECT'!C21, 12)</f>
        <v/>
      </c>
      <c r="G475" s="19" t="inlineStr">
        <is>
          <t>Hitung bunga efektif tahunan dari suku bunga nominal di C21 dengan frekuensi majemuk 12 kali per tahun menggunakan fungsi EFFECT!</t>
        </is>
      </c>
    </row>
    <row r="476">
      <c r="A476" s="5" t="n">
        <v>472</v>
      </c>
      <c r="B476" s="8" t="inlineStr">
        <is>
          <t>EFFECT</t>
        </is>
      </c>
      <c r="C476" s="6" t="inlineStr">
        <is>
          <t>Soal Tes #2</t>
        </is>
      </c>
      <c r="D476" s="33" t="inlineStr">
        <is>
          <t>EFFECT!E30</t>
        </is>
      </c>
      <c r="E476" s="22" t="inlineStr">
        <is>
          <t>'=EFFECT(C29, 12)</t>
        </is>
      </c>
      <c r="F476" s="34">
        <f>EFFECT('EFFECT'!C29, 12)</f>
        <v/>
      </c>
      <c r="G476" s="19" t="inlineStr">
        <is>
          <t>Hitung bunga efektif tahunan dari suku bunga nominal di C29 dengan frekuensi majemuk 12 kali per tahun menggunakan fungsi EFFECT!</t>
        </is>
      </c>
    </row>
    <row r="477">
      <c r="A477" s="5" t="n">
        <v>473</v>
      </c>
      <c r="B477" s="8" t="inlineStr">
        <is>
          <t>EFFECT</t>
        </is>
      </c>
      <c r="C477" s="6" t="inlineStr">
        <is>
          <t>Soal Tes #3</t>
        </is>
      </c>
      <c r="D477" s="33" t="inlineStr">
        <is>
          <t>EFFECT!E38</t>
        </is>
      </c>
      <c r="E477" s="22" t="inlineStr">
        <is>
          <t>'=EFFECT(C37, 12)</t>
        </is>
      </c>
      <c r="F477" s="34">
        <f>EFFECT('EFFECT'!C37, 12)</f>
        <v/>
      </c>
      <c r="G477" s="19" t="inlineStr">
        <is>
          <t>Hitung bunga efektif tahunan dari suku bunga nominal di C37 dengan frekuensi majemuk 12 kali per tahun menggunakan fungsi EFFECT!</t>
        </is>
      </c>
    </row>
    <row r="478">
      <c r="A478" s="5" t="n">
        <v>474</v>
      </c>
      <c r="B478" s="8" t="inlineStr">
        <is>
          <t>EFFECT</t>
        </is>
      </c>
      <c r="C478" s="6" t="inlineStr">
        <is>
          <t>Soal Tes #4</t>
        </is>
      </c>
      <c r="D478" s="33" t="inlineStr">
        <is>
          <t>EFFECT!E46</t>
        </is>
      </c>
      <c r="E478" s="22" t="inlineStr">
        <is>
          <t>'=EFFECT(C45, 12)</t>
        </is>
      </c>
      <c r="F478" s="34">
        <f>EFFECT('EFFECT'!C45, 12)</f>
        <v/>
      </c>
      <c r="G478" s="19" t="inlineStr">
        <is>
          <t>Hitung bunga efektif tahunan dari suku bunga nominal di C45 dengan frekuensi majemuk 12 kali per tahun menggunakan fungsi EFFECT!</t>
        </is>
      </c>
    </row>
    <row r="479">
      <c r="A479" s="5" t="n">
        <v>475</v>
      </c>
      <c r="B479" s="8" t="inlineStr">
        <is>
          <t>EFFECT</t>
        </is>
      </c>
      <c r="C479" s="6" t="inlineStr">
        <is>
          <t>Soal Tes #5</t>
        </is>
      </c>
      <c r="D479" s="33" t="inlineStr">
        <is>
          <t>EFFECT!E54</t>
        </is>
      </c>
      <c r="E479" s="22" t="inlineStr">
        <is>
          <t>'=EFFECT(C53, 12)</t>
        </is>
      </c>
      <c r="F479" s="34">
        <f>EFFECT('EFFECT'!C53, 12)</f>
        <v/>
      </c>
      <c r="G479" s="19" t="inlineStr">
        <is>
          <t>Hitung bunga efektif tahunan dari suku bunga nominal di C53 dengan frekuensi majemuk 12 kali per tahun menggunakan fungsi EFFECT!</t>
        </is>
      </c>
    </row>
    <row r="480">
      <c r="A480" s="5" t="n">
        <v>476</v>
      </c>
      <c r="B480" s="8" t="inlineStr">
        <is>
          <t>ISBLANK</t>
        </is>
      </c>
      <c r="C480" s="6" t="inlineStr">
        <is>
          <t>Soal Tes #1</t>
        </is>
      </c>
      <c r="D480" s="33" t="inlineStr">
        <is>
          <t>ISBLANK!E22</t>
        </is>
      </c>
      <c r="E480" s="22" t="inlineStr">
        <is>
          <t>'=ISBLANK(C21)</t>
        </is>
      </c>
      <c r="F480" s="34">
        <f>ISBLANK('ISBLANK'!C21)</f>
        <v/>
      </c>
      <c r="G480" s="19" t="inlineStr">
        <is>
          <t>Periksa status isi sel C21 menggunakan fungsi audit informasi ISBLANK!</t>
        </is>
      </c>
    </row>
    <row r="481">
      <c r="A481" s="5" t="n">
        <v>477</v>
      </c>
      <c r="B481" s="8" t="inlineStr">
        <is>
          <t>ISBLANK</t>
        </is>
      </c>
      <c r="C481" s="6" t="inlineStr">
        <is>
          <t>Soal Tes #2</t>
        </is>
      </c>
      <c r="D481" s="33" t="inlineStr">
        <is>
          <t>ISBLANK!E30</t>
        </is>
      </c>
      <c r="E481" s="22" t="inlineStr">
        <is>
          <t>'=ISBLANK(C29)</t>
        </is>
      </c>
      <c r="F481" s="34">
        <f>ISBLANK('ISBLANK'!C29)</f>
        <v/>
      </c>
      <c r="G481" s="19" t="inlineStr">
        <is>
          <t>Periksa status isi sel C29 menggunakan fungsi audit informasi ISBLANK!</t>
        </is>
      </c>
    </row>
    <row r="482">
      <c r="A482" s="5" t="n">
        <v>478</v>
      </c>
      <c r="B482" s="8" t="inlineStr">
        <is>
          <t>ISBLANK</t>
        </is>
      </c>
      <c r="C482" s="6" t="inlineStr">
        <is>
          <t>Soal Tes #3</t>
        </is>
      </c>
      <c r="D482" s="33" t="inlineStr">
        <is>
          <t>ISBLANK!E38</t>
        </is>
      </c>
      <c r="E482" s="22" t="inlineStr">
        <is>
          <t>'=ISBLANK(C37)</t>
        </is>
      </c>
      <c r="F482" s="34">
        <f>ISBLANK('ISBLANK'!C37)</f>
        <v/>
      </c>
      <c r="G482" s="19" t="inlineStr">
        <is>
          <t>Periksa status isi sel C37 menggunakan fungsi audit informasi ISBLANK!</t>
        </is>
      </c>
    </row>
    <row r="483">
      <c r="A483" s="5" t="n">
        <v>479</v>
      </c>
      <c r="B483" s="8" t="inlineStr">
        <is>
          <t>ISBLANK</t>
        </is>
      </c>
      <c r="C483" s="6" t="inlineStr">
        <is>
          <t>Soal Tes #4</t>
        </is>
      </c>
      <c r="D483" s="33" t="inlineStr">
        <is>
          <t>ISBLANK!E46</t>
        </is>
      </c>
      <c r="E483" s="22" t="inlineStr">
        <is>
          <t>'=ISBLANK(C45)</t>
        </is>
      </c>
      <c r="F483" s="34">
        <f>ISBLANK('ISBLANK'!C45)</f>
        <v/>
      </c>
      <c r="G483" s="19" t="inlineStr">
        <is>
          <t>Periksa status isi sel C45 menggunakan fungsi audit informasi ISBLANK!</t>
        </is>
      </c>
    </row>
    <row r="484">
      <c r="A484" s="5" t="n">
        <v>480</v>
      </c>
      <c r="B484" s="8" t="inlineStr">
        <is>
          <t>ISBLANK</t>
        </is>
      </c>
      <c r="C484" s="6" t="inlineStr">
        <is>
          <t>Soal Tes #5</t>
        </is>
      </c>
      <c r="D484" s="33" t="inlineStr">
        <is>
          <t>ISBLANK!E54</t>
        </is>
      </c>
      <c r="E484" s="22" t="inlineStr">
        <is>
          <t>'=ISBLANK(C53)</t>
        </is>
      </c>
      <c r="F484" s="34">
        <f>ISBLANK('ISBLANK'!C53)</f>
        <v/>
      </c>
      <c r="G484" s="19" t="inlineStr">
        <is>
          <t>Periksa status isi sel C53 menggunakan fungsi audit informasi ISBLANK!</t>
        </is>
      </c>
    </row>
    <row r="485">
      <c r="A485" s="5" t="n">
        <v>481</v>
      </c>
      <c r="B485" s="8" t="inlineStr">
        <is>
          <t>ISNUMBER</t>
        </is>
      </c>
      <c r="C485" s="6" t="inlineStr">
        <is>
          <t>Soal Tes #1</t>
        </is>
      </c>
      <c r="D485" s="33" t="inlineStr">
        <is>
          <t>ISNUMBER!E22</t>
        </is>
      </c>
      <c r="E485" s="22" t="inlineStr">
        <is>
          <t>'=ISNUMBER(C21)</t>
        </is>
      </c>
      <c r="F485" s="34">
        <f>ISNUMBER('ISNUMBER'!C21)</f>
        <v/>
      </c>
      <c r="G485" s="19" t="inlineStr">
        <is>
          <t>Periksa status isi sel C21 menggunakan fungsi audit informasi ISNUMBER!</t>
        </is>
      </c>
    </row>
    <row r="486">
      <c r="A486" s="5" t="n">
        <v>482</v>
      </c>
      <c r="B486" s="8" t="inlineStr">
        <is>
          <t>ISNUMBER</t>
        </is>
      </c>
      <c r="C486" s="6" t="inlineStr">
        <is>
          <t>Soal Tes #2</t>
        </is>
      </c>
      <c r="D486" s="33" t="inlineStr">
        <is>
          <t>ISNUMBER!E30</t>
        </is>
      </c>
      <c r="E486" s="22" t="inlineStr">
        <is>
          <t>'=ISNUMBER(C29)</t>
        </is>
      </c>
      <c r="F486" s="34">
        <f>ISNUMBER('ISNUMBER'!C29)</f>
        <v/>
      </c>
      <c r="G486" s="19" t="inlineStr">
        <is>
          <t>Periksa status isi sel C29 menggunakan fungsi audit informasi ISNUMBER!</t>
        </is>
      </c>
    </row>
    <row r="487">
      <c r="A487" s="5" t="n">
        <v>483</v>
      </c>
      <c r="B487" s="8" t="inlineStr">
        <is>
          <t>ISNUMBER</t>
        </is>
      </c>
      <c r="C487" s="6" t="inlineStr">
        <is>
          <t>Soal Tes #3</t>
        </is>
      </c>
      <c r="D487" s="33" t="inlineStr">
        <is>
          <t>ISNUMBER!E38</t>
        </is>
      </c>
      <c r="E487" s="22" t="inlineStr">
        <is>
          <t>'=ISNUMBER(C37)</t>
        </is>
      </c>
      <c r="F487" s="34">
        <f>ISNUMBER('ISNUMBER'!C37)</f>
        <v/>
      </c>
      <c r="G487" s="19" t="inlineStr">
        <is>
          <t>Periksa status isi sel C37 menggunakan fungsi audit informasi ISNUMBER!</t>
        </is>
      </c>
    </row>
    <row r="488">
      <c r="A488" s="5" t="n">
        <v>484</v>
      </c>
      <c r="B488" s="8" t="inlineStr">
        <is>
          <t>ISNUMBER</t>
        </is>
      </c>
      <c r="C488" s="6" t="inlineStr">
        <is>
          <t>Soal Tes #4</t>
        </is>
      </c>
      <c r="D488" s="33" t="inlineStr">
        <is>
          <t>ISNUMBER!E46</t>
        </is>
      </c>
      <c r="E488" s="22" t="inlineStr">
        <is>
          <t>'=ISNUMBER(C45)</t>
        </is>
      </c>
      <c r="F488" s="34">
        <f>ISNUMBER('ISNUMBER'!C45)</f>
        <v/>
      </c>
      <c r="G488" s="19" t="inlineStr">
        <is>
          <t>Periksa status isi sel C45 menggunakan fungsi audit informasi ISNUMBER!</t>
        </is>
      </c>
    </row>
    <row r="489">
      <c r="A489" s="5" t="n">
        <v>485</v>
      </c>
      <c r="B489" s="8" t="inlineStr">
        <is>
          <t>ISNUMBER</t>
        </is>
      </c>
      <c r="C489" s="6" t="inlineStr">
        <is>
          <t>Soal Tes #5</t>
        </is>
      </c>
      <c r="D489" s="33" t="inlineStr">
        <is>
          <t>ISNUMBER!E54</t>
        </is>
      </c>
      <c r="E489" s="22" t="inlineStr">
        <is>
          <t>'=ISNUMBER(C53)</t>
        </is>
      </c>
      <c r="F489" s="34">
        <f>ISNUMBER('ISNUMBER'!C53)</f>
        <v/>
      </c>
      <c r="G489" s="19" t="inlineStr">
        <is>
          <t>Periksa status isi sel C53 menggunakan fungsi audit informasi ISNUMBER!</t>
        </is>
      </c>
    </row>
    <row r="490">
      <c r="A490" s="5" t="n">
        <v>486</v>
      </c>
      <c r="B490" s="8" t="inlineStr">
        <is>
          <t>ISTEXT</t>
        </is>
      </c>
      <c r="C490" s="6" t="inlineStr">
        <is>
          <t>Soal Tes #1</t>
        </is>
      </c>
      <c r="D490" s="33" t="inlineStr">
        <is>
          <t>ISTEXT!E22</t>
        </is>
      </c>
      <c r="E490" s="22" t="inlineStr">
        <is>
          <t>'=ISTEXT(C21)</t>
        </is>
      </c>
      <c r="F490" s="34">
        <f>ISTEXT('ISTEXT'!C21)</f>
        <v/>
      </c>
      <c r="G490" s="19" t="inlineStr">
        <is>
          <t>Periksa status isi sel C21 menggunakan fungsi audit informasi ISTEXT!</t>
        </is>
      </c>
    </row>
    <row r="491">
      <c r="A491" s="5" t="n">
        <v>487</v>
      </c>
      <c r="B491" s="8" t="inlineStr">
        <is>
          <t>ISTEXT</t>
        </is>
      </c>
      <c r="C491" s="6" t="inlineStr">
        <is>
          <t>Soal Tes #2</t>
        </is>
      </c>
      <c r="D491" s="33" t="inlineStr">
        <is>
          <t>ISTEXT!E30</t>
        </is>
      </c>
      <c r="E491" s="22" t="inlineStr">
        <is>
          <t>'=ISTEXT(C29)</t>
        </is>
      </c>
      <c r="F491" s="34">
        <f>ISTEXT('ISTEXT'!C29)</f>
        <v/>
      </c>
      <c r="G491" s="19" t="inlineStr">
        <is>
          <t>Periksa status isi sel C29 menggunakan fungsi audit informasi ISTEXT!</t>
        </is>
      </c>
    </row>
    <row r="492">
      <c r="A492" s="5" t="n">
        <v>488</v>
      </c>
      <c r="B492" s="8" t="inlineStr">
        <is>
          <t>ISTEXT</t>
        </is>
      </c>
      <c r="C492" s="6" t="inlineStr">
        <is>
          <t>Soal Tes #3</t>
        </is>
      </c>
      <c r="D492" s="33" t="inlineStr">
        <is>
          <t>ISTEXT!E38</t>
        </is>
      </c>
      <c r="E492" s="22" t="inlineStr">
        <is>
          <t>'=ISTEXT(C37)</t>
        </is>
      </c>
      <c r="F492" s="34">
        <f>ISTEXT('ISTEXT'!C37)</f>
        <v/>
      </c>
      <c r="G492" s="19" t="inlineStr">
        <is>
          <t>Periksa status isi sel C37 menggunakan fungsi audit informasi ISTEXT!</t>
        </is>
      </c>
    </row>
    <row r="493">
      <c r="A493" s="5" t="n">
        <v>489</v>
      </c>
      <c r="B493" s="8" t="inlineStr">
        <is>
          <t>ISTEXT</t>
        </is>
      </c>
      <c r="C493" s="6" t="inlineStr">
        <is>
          <t>Soal Tes #4</t>
        </is>
      </c>
      <c r="D493" s="33" t="inlineStr">
        <is>
          <t>ISTEXT!E46</t>
        </is>
      </c>
      <c r="E493" s="22" t="inlineStr">
        <is>
          <t>'=ISTEXT(C45)</t>
        </is>
      </c>
      <c r="F493" s="34">
        <f>ISTEXT('ISTEXT'!C45)</f>
        <v/>
      </c>
      <c r="G493" s="19" t="inlineStr">
        <is>
          <t>Periksa status isi sel C45 menggunakan fungsi audit informasi ISTEXT!</t>
        </is>
      </c>
    </row>
    <row r="494">
      <c r="A494" s="5" t="n">
        <v>490</v>
      </c>
      <c r="B494" s="8" t="inlineStr">
        <is>
          <t>ISTEXT</t>
        </is>
      </c>
      <c r="C494" s="6" t="inlineStr">
        <is>
          <t>Soal Tes #5</t>
        </is>
      </c>
      <c r="D494" s="33" t="inlineStr">
        <is>
          <t>ISTEXT!E54</t>
        </is>
      </c>
      <c r="E494" s="22" t="inlineStr">
        <is>
          <t>'=ISTEXT(C53)</t>
        </is>
      </c>
      <c r="F494" s="34">
        <f>ISTEXT('ISTEXT'!C53)</f>
        <v/>
      </c>
      <c r="G494" s="19" t="inlineStr">
        <is>
          <t>Periksa status isi sel C53 menggunakan fungsi audit informasi ISTEXT!</t>
        </is>
      </c>
    </row>
    <row r="495">
      <c r="A495" s="5" t="n">
        <v>491</v>
      </c>
      <c r="B495" s="8" t="inlineStr">
        <is>
          <t>ISERROR</t>
        </is>
      </c>
      <c r="C495" s="6" t="inlineStr">
        <is>
          <t>Soal Tes #1</t>
        </is>
      </c>
      <c r="D495" s="33" t="inlineStr">
        <is>
          <t>ISERROR!E22</t>
        </is>
      </c>
      <c r="E495" s="22" t="inlineStr">
        <is>
          <t>'=ISERROR(C21)</t>
        </is>
      </c>
      <c r="F495" s="34">
        <f>ISERROR('ISERROR'!C21)</f>
        <v/>
      </c>
      <c r="G495" s="19" t="inlineStr">
        <is>
          <t>Periksa status isi sel C21 menggunakan fungsi audit informasi ISERROR!</t>
        </is>
      </c>
    </row>
    <row r="496">
      <c r="A496" s="5" t="n">
        <v>492</v>
      </c>
      <c r="B496" s="8" t="inlineStr">
        <is>
          <t>ISERROR</t>
        </is>
      </c>
      <c r="C496" s="6" t="inlineStr">
        <is>
          <t>Soal Tes #2</t>
        </is>
      </c>
      <c r="D496" s="33" t="inlineStr">
        <is>
          <t>ISERROR!E30</t>
        </is>
      </c>
      <c r="E496" s="22" t="inlineStr">
        <is>
          <t>'=ISERROR(C29)</t>
        </is>
      </c>
      <c r="F496" s="34">
        <f>ISERROR('ISERROR'!C29)</f>
        <v/>
      </c>
      <c r="G496" s="19" t="inlineStr">
        <is>
          <t>Periksa status isi sel C29 menggunakan fungsi audit informasi ISERROR!</t>
        </is>
      </c>
    </row>
    <row r="497">
      <c r="A497" s="5" t="n">
        <v>493</v>
      </c>
      <c r="B497" s="8" t="inlineStr">
        <is>
          <t>ISERROR</t>
        </is>
      </c>
      <c r="C497" s="6" t="inlineStr">
        <is>
          <t>Soal Tes #3</t>
        </is>
      </c>
      <c r="D497" s="33" t="inlineStr">
        <is>
          <t>ISERROR!E38</t>
        </is>
      </c>
      <c r="E497" s="22" t="inlineStr">
        <is>
          <t>'=ISERROR(C37)</t>
        </is>
      </c>
      <c r="F497" s="34">
        <f>ISERROR('ISERROR'!C37)</f>
        <v/>
      </c>
      <c r="G497" s="19" t="inlineStr">
        <is>
          <t>Periksa status isi sel C37 menggunakan fungsi audit informasi ISERROR!</t>
        </is>
      </c>
    </row>
    <row r="498">
      <c r="A498" s="5" t="n">
        <v>494</v>
      </c>
      <c r="B498" s="8" t="inlineStr">
        <is>
          <t>ISERROR</t>
        </is>
      </c>
      <c r="C498" s="6" t="inlineStr">
        <is>
          <t>Soal Tes #4</t>
        </is>
      </c>
      <c r="D498" s="33" t="inlineStr">
        <is>
          <t>ISERROR!E46</t>
        </is>
      </c>
      <c r="E498" s="22" t="inlineStr">
        <is>
          <t>'=ISERROR(C45)</t>
        </is>
      </c>
      <c r="F498" s="34">
        <f>ISERROR('ISERROR'!C45)</f>
        <v/>
      </c>
      <c r="G498" s="19" t="inlineStr">
        <is>
          <t>Periksa status isi sel C45 menggunakan fungsi audit informasi ISERROR!</t>
        </is>
      </c>
    </row>
    <row r="499">
      <c r="A499" s="5" t="n">
        <v>495</v>
      </c>
      <c r="B499" s="8" t="inlineStr">
        <is>
          <t>ISERROR</t>
        </is>
      </c>
      <c r="C499" s="6" t="inlineStr">
        <is>
          <t>Soal Tes #5</t>
        </is>
      </c>
      <c r="D499" s="33" t="inlineStr">
        <is>
          <t>ISERROR!E54</t>
        </is>
      </c>
      <c r="E499" s="22" t="inlineStr">
        <is>
          <t>'=ISERROR(C53)</t>
        </is>
      </c>
      <c r="F499" s="34">
        <f>ISERROR('ISERROR'!C53)</f>
        <v/>
      </c>
      <c r="G499" s="19" t="inlineStr">
        <is>
          <t>Periksa status isi sel C53 menggunakan fungsi audit informasi ISERROR!</t>
        </is>
      </c>
    </row>
    <row r="500">
      <c r="A500" s="5" t="n">
        <v>496</v>
      </c>
      <c r="B500" s="8" t="inlineStr">
        <is>
          <t>ISNA</t>
        </is>
      </c>
      <c r="C500" s="6" t="inlineStr">
        <is>
          <t>Soal Tes #1</t>
        </is>
      </c>
      <c r="D500" s="33" t="inlineStr">
        <is>
          <t>ISNA!E22</t>
        </is>
      </c>
      <c r="E500" s="22" t="inlineStr">
        <is>
          <t>'=ISNA(C21)</t>
        </is>
      </c>
      <c r="F500" s="34">
        <f>ISNA('ISNA'!C21)</f>
        <v/>
      </c>
      <c r="G500" s="19" t="inlineStr">
        <is>
          <t>Periksa status isi sel C21 menggunakan fungsi audit informasi ISNA!</t>
        </is>
      </c>
    </row>
    <row r="501">
      <c r="A501" s="5" t="n">
        <v>497</v>
      </c>
      <c r="B501" s="8" t="inlineStr">
        <is>
          <t>ISNA</t>
        </is>
      </c>
      <c r="C501" s="6" t="inlineStr">
        <is>
          <t>Soal Tes #2</t>
        </is>
      </c>
      <c r="D501" s="33" t="inlineStr">
        <is>
          <t>ISNA!E30</t>
        </is>
      </c>
      <c r="E501" s="22" t="inlineStr">
        <is>
          <t>'=ISNA(C29)</t>
        </is>
      </c>
      <c r="F501" s="34">
        <f>ISNA('ISNA'!C29)</f>
        <v/>
      </c>
      <c r="G501" s="19" t="inlineStr">
        <is>
          <t>Periksa status isi sel C29 menggunakan fungsi audit informasi ISNA!</t>
        </is>
      </c>
    </row>
    <row r="502">
      <c r="A502" s="5" t="n">
        <v>498</v>
      </c>
      <c r="B502" s="8" t="inlineStr">
        <is>
          <t>ISNA</t>
        </is>
      </c>
      <c r="C502" s="6" t="inlineStr">
        <is>
          <t>Soal Tes #3</t>
        </is>
      </c>
      <c r="D502" s="33" t="inlineStr">
        <is>
          <t>ISNA!E38</t>
        </is>
      </c>
      <c r="E502" s="22" t="inlineStr">
        <is>
          <t>'=ISNA(C37)</t>
        </is>
      </c>
      <c r="F502" s="34">
        <f>ISNA('ISNA'!C37)</f>
        <v/>
      </c>
      <c r="G502" s="19" t="inlineStr">
        <is>
          <t>Periksa status isi sel C37 menggunakan fungsi audit informasi ISNA!</t>
        </is>
      </c>
    </row>
    <row r="503">
      <c r="A503" s="5" t="n">
        <v>499</v>
      </c>
      <c r="B503" s="8" t="inlineStr">
        <is>
          <t>ISNA</t>
        </is>
      </c>
      <c r="C503" s="6" t="inlineStr">
        <is>
          <t>Soal Tes #4</t>
        </is>
      </c>
      <c r="D503" s="33" t="inlineStr">
        <is>
          <t>ISNA!E46</t>
        </is>
      </c>
      <c r="E503" s="22" t="inlineStr">
        <is>
          <t>'=ISNA(C45)</t>
        </is>
      </c>
      <c r="F503" s="34">
        <f>ISNA('ISNA'!C45)</f>
        <v/>
      </c>
      <c r="G503" s="19" t="inlineStr">
        <is>
          <t>Periksa status isi sel C45 menggunakan fungsi audit informasi ISNA!</t>
        </is>
      </c>
    </row>
    <row r="504">
      <c r="A504" s="5" t="n">
        <v>500</v>
      </c>
      <c r="B504" s="8" t="inlineStr">
        <is>
          <t>ISNA</t>
        </is>
      </c>
      <c r="C504" s="6" t="inlineStr">
        <is>
          <t>Soal Tes #5</t>
        </is>
      </c>
      <c r="D504" s="33" t="inlineStr">
        <is>
          <t>ISNA!E54</t>
        </is>
      </c>
      <c r="E504" s="22" t="inlineStr">
        <is>
          <t>'=ISNA(C53)</t>
        </is>
      </c>
      <c r="F504" s="34">
        <f>ISNA('ISNA'!C53)</f>
        <v/>
      </c>
      <c r="G504" s="19" t="inlineStr">
        <is>
          <t>Periksa status isi sel C53 menggunakan fungsi audit informasi ISNA!</t>
        </is>
      </c>
    </row>
    <row r="505">
      <c r="A505" s="5" t="n">
        <v>501</v>
      </c>
      <c r="B505" s="8" t="inlineStr">
        <is>
          <t>ISEVEN</t>
        </is>
      </c>
      <c r="C505" s="6" t="inlineStr">
        <is>
          <t>Soal Tes #1</t>
        </is>
      </c>
      <c r="D505" s="33" t="inlineStr">
        <is>
          <t>ISEVEN!E22</t>
        </is>
      </c>
      <c r="E505" s="22" t="inlineStr">
        <is>
          <t>'=ISEVEN(C21)</t>
        </is>
      </c>
      <c r="F505" s="34">
        <f>ISEVEN('ISEVEN'!C21)</f>
        <v/>
      </c>
      <c r="G505" s="19" t="inlineStr">
        <is>
          <t>Periksa status isi sel C21 menggunakan fungsi audit informasi ISEVEN!</t>
        </is>
      </c>
    </row>
    <row r="506">
      <c r="A506" s="5" t="n">
        <v>502</v>
      </c>
      <c r="B506" s="8" t="inlineStr">
        <is>
          <t>ISEVEN</t>
        </is>
      </c>
      <c r="C506" s="6" t="inlineStr">
        <is>
          <t>Soal Tes #2</t>
        </is>
      </c>
      <c r="D506" s="33" t="inlineStr">
        <is>
          <t>ISEVEN!E30</t>
        </is>
      </c>
      <c r="E506" s="22" t="inlineStr">
        <is>
          <t>'=ISEVEN(C29)</t>
        </is>
      </c>
      <c r="F506" s="34">
        <f>ISEVEN('ISEVEN'!C29)</f>
        <v/>
      </c>
      <c r="G506" s="19" t="inlineStr">
        <is>
          <t>Periksa status isi sel C29 menggunakan fungsi audit informasi ISEVEN!</t>
        </is>
      </c>
    </row>
    <row r="507">
      <c r="A507" s="5" t="n">
        <v>503</v>
      </c>
      <c r="B507" s="8" t="inlineStr">
        <is>
          <t>ISEVEN</t>
        </is>
      </c>
      <c r="C507" s="6" t="inlineStr">
        <is>
          <t>Soal Tes #3</t>
        </is>
      </c>
      <c r="D507" s="33" t="inlineStr">
        <is>
          <t>ISEVEN!E38</t>
        </is>
      </c>
      <c r="E507" s="22" t="inlineStr">
        <is>
          <t>'=ISEVEN(C37)</t>
        </is>
      </c>
      <c r="F507" s="34">
        <f>ISEVEN('ISEVEN'!C37)</f>
        <v/>
      </c>
      <c r="G507" s="19" t="inlineStr">
        <is>
          <t>Periksa status isi sel C37 menggunakan fungsi audit informasi ISEVEN!</t>
        </is>
      </c>
    </row>
    <row r="508">
      <c r="A508" s="5" t="n">
        <v>504</v>
      </c>
      <c r="B508" s="8" t="inlineStr">
        <is>
          <t>ISEVEN</t>
        </is>
      </c>
      <c r="C508" s="6" t="inlineStr">
        <is>
          <t>Soal Tes #4</t>
        </is>
      </c>
      <c r="D508" s="33" t="inlineStr">
        <is>
          <t>ISEVEN!E46</t>
        </is>
      </c>
      <c r="E508" s="22" t="inlineStr">
        <is>
          <t>'=ISEVEN(C45)</t>
        </is>
      </c>
      <c r="F508" s="34">
        <f>ISEVEN('ISEVEN'!C45)</f>
        <v/>
      </c>
      <c r="G508" s="19" t="inlineStr">
        <is>
          <t>Periksa status isi sel C45 menggunakan fungsi audit informasi ISEVEN!</t>
        </is>
      </c>
    </row>
    <row r="509">
      <c r="A509" s="5" t="n">
        <v>505</v>
      </c>
      <c r="B509" s="8" t="inlineStr">
        <is>
          <t>ISEVEN</t>
        </is>
      </c>
      <c r="C509" s="6" t="inlineStr">
        <is>
          <t>Soal Tes #5</t>
        </is>
      </c>
      <c r="D509" s="33" t="inlineStr">
        <is>
          <t>ISEVEN!E54</t>
        </is>
      </c>
      <c r="E509" s="22" t="inlineStr">
        <is>
          <t>'=ISEVEN(C53)</t>
        </is>
      </c>
      <c r="F509" s="34">
        <f>ISEVEN('ISEVEN'!C53)</f>
        <v/>
      </c>
      <c r="G509" s="19" t="inlineStr">
        <is>
          <t>Periksa status isi sel C53 menggunakan fungsi audit informasi ISEVEN!</t>
        </is>
      </c>
    </row>
    <row r="510">
      <c r="A510" s="5" t="n">
        <v>506</v>
      </c>
      <c r="B510" s="8" t="inlineStr">
        <is>
          <t>ISODD</t>
        </is>
      </c>
      <c r="C510" s="6" t="inlineStr">
        <is>
          <t>Soal Tes #1</t>
        </is>
      </c>
      <c r="D510" s="33" t="inlineStr">
        <is>
          <t>ISODD!E22</t>
        </is>
      </c>
      <c r="E510" s="22" t="inlineStr">
        <is>
          <t>'=ISODD(C21)</t>
        </is>
      </c>
      <c r="F510" s="34">
        <f>ISODD('ISODD'!C21)</f>
        <v/>
      </c>
      <c r="G510" s="19" t="inlineStr">
        <is>
          <t>Periksa status isi sel C21 menggunakan fungsi audit informasi ISODD!</t>
        </is>
      </c>
    </row>
    <row r="511">
      <c r="A511" s="5" t="n">
        <v>507</v>
      </c>
      <c r="B511" s="8" t="inlineStr">
        <is>
          <t>ISODD</t>
        </is>
      </c>
      <c r="C511" s="6" t="inlineStr">
        <is>
          <t>Soal Tes #2</t>
        </is>
      </c>
      <c r="D511" s="33" t="inlineStr">
        <is>
          <t>ISODD!E30</t>
        </is>
      </c>
      <c r="E511" s="22" t="inlineStr">
        <is>
          <t>'=ISODD(C29)</t>
        </is>
      </c>
      <c r="F511" s="34">
        <f>ISODD('ISODD'!C29)</f>
        <v/>
      </c>
      <c r="G511" s="19" t="inlineStr">
        <is>
          <t>Periksa status isi sel C29 menggunakan fungsi audit informasi ISODD!</t>
        </is>
      </c>
    </row>
    <row r="512">
      <c r="A512" s="5" t="n">
        <v>508</v>
      </c>
      <c r="B512" s="8" t="inlineStr">
        <is>
          <t>ISODD</t>
        </is>
      </c>
      <c r="C512" s="6" t="inlineStr">
        <is>
          <t>Soal Tes #3</t>
        </is>
      </c>
      <c r="D512" s="33" t="inlineStr">
        <is>
          <t>ISODD!E38</t>
        </is>
      </c>
      <c r="E512" s="22" t="inlineStr">
        <is>
          <t>'=ISODD(C37)</t>
        </is>
      </c>
      <c r="F512" s="34">
        <f>ISODD('ISODD'!C37)</f>
        <v/>
      </c>
      <c r="G512" s="19" t="inlineStr">
        <is>
          <t>Periksa status isi sel C37 menggunakan fungsi audit informasi ISODD!</t>
        </is>
      </c>
    </row>
    <row r="513">
      <c r="A513" s="5" t="n">
        <v>509</v>
      </c>
      <c r="B513" s="8" t="inlineStr">
        <is>
          <t>ISODD</t>
        </is>
      </c>
      <c r="C513" s="6" t="inlineStr">
        <is>
          <t>Soal Tes #4</t>
        </is>
      </c>
      <c r="D513" s="33" t="inlineStr">
        <is>
          <t>ISODD!E46</t>
        </is>
      </c>
      <c r="E513" s="22" t="inlineStr">
        <is>
          <t>'=ISODD(C45)</t>
        </is>
      </c>
      <c r="F513" s="34">
        <f>ISODD('ISODD'!C45)</f>
        <v/>
      </c>
      <c r="G513" s="19" t="inlineStr">
        <is>
          <t>Periksa status isi sel C45 menggunakan fungsi audit informasi ISODD!</t>
        </is>
      </c>
    </row>
    <row r="514">
      <c r="A514" s="5" t="n">
        <v>510</v>
      </c>
      <c r="B514" s="8" t="inlineStr">
        <is>
          <t>ISODD</t>
        </is>
      </c>
      <c r="C514" s="6" t="inlineStr">
        <is>
          <t>Soal Tes #5</t>
        </is>
      </c>
      <c r="D514" s="33" t="inlineStr">
        <is>
          <t>ISODD!E54</t>
        </is>
      </c>
      <c r="E514" s="22" t="inlineStr">
        <is>
          <t>'=ISODD(C53)</t>
        </is>
      </c>
      <c r="F514" s="34">
        <f>ISODD('ISODD'!C53)</f>
        <v/>
      </c>
      <c r="G514" s="19" t="inlineStr">
        <is>
          <t>Periksa status isi sel C53 menggunakan fungsi audit informasi ISODD!</t>
        </is>
      </c>
    </row>
    <row r="515">
      <c r="A515" s="5" t="n">
        <v>511</v>
      </c>
      <c r="B515" s="8" t="inlineStr">
        <is>
          <t>ISLOGICAL</t>
        </is>
      </c>
      <c r="C515" s="6" t="inlineStr">
        <is>
          <t>Soal Tes #1</t>
        </is>
      </c>
      <c r="D515" s="33" t="inlineStr">
        <is>
          <t>ISLOGICAL!E22</t>
        </is>
      </c>
      <c r="E515" s="22" t="inlineStr">
        <is>
          <t>'=ISLOGICAL(C21)</t>
        </is>
      </c>
      <c r="F515" s="34">
        <f>ISLOGICAL('ISLOGICAL'!C21)</f>
        <v/>
      </c>
      <c r="G515" s="19" t="inlineStr">
        <is>
          <t>Periksa status isi sel C21 menggunakan fungsi audit informasi ISLOGICAL!</t>
        </is>
      </c>
    </row>
    <row r="516">
      <c r="A516" s="5" t="n">
        <v>512</v>
      </c>
      <c r="B516" s="8" t="inlineStr">
        <is>
          <t>ISLOGICAL</t>
        </is>
      </c>
      <c r="C516" s="6" t="inlineStr">
        <is>
          <t>Soal Tes #2</t>
        </is>
      </c>
      <c r="D516" s="33" t="inlineStr">
        <is>
          <t>ISLOGICAL!E30</t>
        </is>
      </c>
      <c r="E516" s="22" t="inlineStr">
        <is>
          <t>'=ISLOGICAL(C29)</t>
        </is>
      </c>
      <c r="F516" s="34">
        <f>ISLOGICAL('ISLOGICAL'!C29)</f>
        <v/>
      </c>
      <c r="G516" s="19" t="inlineStr">
        <is>
          <t>Periksa status isi sel C29 menggunakan fungsi audit informasi ISLOGICAL!</t>
        </is>
      </c>
    </row>
    <row r="517">
      <c r="A517" s="5" t="n">
        <v>513</v>
      </c>
      <c r="B517" s="8" t="inlineStr">
        <is>
          <t>ISLOGICAL</t>
        </is>
      </c>
      <c r="C517" s="6" t="inlineStr">
        <is>
          <t>Soal Tes #3</t>
        </is>
      </c>
      <c r="D517" s="33" t="inlineStr">
        <is>
          <t>ISLOGICAL!E38</t>
        </is>
      </c>
      <c r="E517" s="22" t="inlineStr">
        <is>
          <t>'=ISLOGICAL(C37)</t>
        </is>
      </c>
      <c r="F517" s="34">
        <f>ISLOGICAL('ISLOGICAL'!C37)</f>
        <v/>
      </c>
      <c r="G517" s="19" t="inlineStr">
        <is>
          <t>Periksa status isi sel C37 menggunakan fungsi audit informasi ISLOGICAL!</t>
        </is>
      </c>
    </row>
    <row r="518">
      <c r="A518" s="5" t="n">
        <v>514</v>
      </c>
      <c r="B518" s="8" t="inlineStr">
        <is>
          <t>ISLOGICAL</t>
        </is>
      </c>
      <c r="C518" s="6" t="inlineStr">
        <is>
          <t>Soal Tes #4</t>
        </is>
      </c>
      <c r="D518" s="33" t="inlineStr">
        <is>
          <t>ISLOGICAL!E46</t>
        </is>
      </c>
      <c r="E518" s="22" t="inlineStr">
        <is>
          <t>'=ISLOGICAL(C45)</t>
        </is>
      </c>
      <c r="F518" s="34">
        <f>ISLOGICAL('ISLOGICAL'!C45)</f>
        <v/>
      </c>
      <c r="G518" s="19" t="inlineStr">
        <is>
          <t>Periksa status isi sel C45 menggunakan fungsi audit informasi ISLOGICAL!</t>
        </is>
      </c>
    </row>
    <row r="519">
      <c r="A519" s="5" t="n">
        <v>515</v>
      </c>
      <c r="B519" s="8" t="inlineStr">
        <is>
          <t>ISLOGICAL</t>
        </is>
      </c>
      <c r="C519" s="6" t="inlineStr">
        <is>
          <t>Soal Tes #5</t>
        </is>
      </c>
      <c r="D519" s="33" t="inlineStr">
        <is>
          <t>ISLOGICAL!E54</t>
        </is>
      </c>
      <c r="E519" s="22" t="inlineStr">
        <is>
          <t>'=ISLOGICAL(C53)</t>
        </is>
      </c>
      <c r="F519" s="34">
        <f>ISLOGICAL('ISLOGICAL'!C53)</f>
        <v/>
      </c>
      <c r="G519" s="19" t="inlineStr">
        <is>
          <t>Periksa status isi sel C53 menggunakan fungsi audit informasi ISLOGICAL!</t>
        </is>
      </c>
    </row>
    <row r="520">
      <c r="A520" s="5" t="n">
        <v>516</v>
      </c>
      <c r="B520" s="8" t="inlineStr">
        <is>
          <t>N</t>
        </is>
      </c>
      <c r="C520" s="6" t="inlineStr">
        <is>
          <t>Soal Tes #1</t>
        </is>
      </c>
      <c r="D520" s="33" t="inlineStr">
        <is>
          <t>N!E22</t>
        </is>
      </c>
      <c r="E520" s="22" t="inlineStr">
        <is>
          <t>'=N(C21)</t>
        </is>
      </c>
      <c r="F520" s="34">
        <f>N('N'!C21)</f>
        <v/>
      </c>
      <c r="G520" s="19" t="inlineStr">
        <is>
          <t>Periksa status isi sel C21 menggunakan fungsi audit informasi N!</t>
        </is>
      </c>
    </row>
    <row r="521">
      <c r="A521" s="5" t="n">
        <v>517</v>
      </c>
      <c r="B521" s="8" t="inlineStr">
        <is>
          <t>N</t>
        </is>
      </c>
      <c r="C521" s="6" t="inlineStr">
        <is>
          <t>Soal Tes #2</t>
        </is>
      </c>
      <c r="D521" s="33" t="inlineStr">
        <is>
          <t>N!E30</t>
        </is>
      </c>
      <c r="E521" s="22" t="inlineStr">
        <is>
          <t>'=N(C29)</t>
        </is>
      </c>
      <c r="F521" s="34">
        <f>N('N'!C29)</f>
        <v/>
      </c>
      <c r="G521" s="19" t="inlineStr">
        <is>
          <t>Periksa status isi sel C29 menggunakan fungsi audit informasi N!</t>
        </is>
      </c>
    </row>
    <row r="522">
      <c r="A522" s="5" t="n">
        <v>518</v>
      </c>
      <c r="B522" s="8" t="inlineStr">
        <is>
          <t>N</t>
        </is>
      </c>
      <c r="C522" s="6" t="inlineStr">
        <is>
          <t>Soal Tes #3</t>
        </is>
      </c>
      <c r="D522" s="33" t="inlineStr">
        <is>
          <t>N!E38</t>
        </is>
      </c>
      <c r="E522" s="22" t="inlineStr">
        <is>
          <t>'=N(C37)</t>
        </is>
      </c>
      <c r="F522" s="34">
        <f>N('N'!C37)</f>
        <v/>
      </c>
      <c r="G522" s="19" t="inlineStr">
        <is>
          <t>Periksa status isi sel C37 menggunakan fungsi audit informasi N!</t>
        </is>
      </c>
    </row>
    <row r="523">
      <c r="A523" s="5" t="n">
        <v>519</v>
      </c>
      <c r="B523" s="8" t="inlineStr">
        <is>
          <t>N</t>
        </is>
      </c>
      <c r="C523" s="6" t="inlineStr">
        <is>
          <t>Soal Tes #4</t>
        </is>
      </c>
      <c r="D523" s="33" t="inlineStr">
        <is>
          <t>N!E46</t>
        </is>
      </c>
      <c r="E523" s="22" t="inlineStr">
        <is>
          <t>'=N(C45)</t>
        </is>
      </c>
      <c r="F523" s="34">
        <f>N('N'!C45)</f>
        <v/>
      </c>
      <c r="G523" s="19" t="inlineStr">
        <is>
          <t>Periksa status isi sel C45 menggunakan fungsi audit informasi N!</t>
        </is>
      </c>
    </row>
    <row r="524">
      <c r="A524" s="5" t="n">
        <v>520</v>
      </c>
      <c r="B524" s="8" t="inlineStr">
        <is>
          <t>N</t>
        </is>
      </c>
      <c r="C524" s="6" t="inlineStr">
        <is>
          <t>Soal Tes #5</t>
        </is>
      </c>
      <c r="D524" s="33" t="inlineStr">
        <is>
          <t>N!E54</t>
        </is>
      </c>
      <c r="E524" s="22" t="inlineStr">
        <is>
          <t>'=N(C53)</t>
        </is>
      </c>
      <c r="F524" s="34">
        <f>N('N'!C53)</f>
        <v/>
      </c>
      <c r="G524" s="19" t="inlineStr">
        <is>
          <t>Periksa status isi sel C53 menggunakan fungsi audit informasi N!</t>
        </is>
      </c>
    </row>
    <row r="525">
      <c r="A525" s="5" t="n">
        <v>521</v>
      </c>
      <c r="B525" s="8" t="inlineStr">
        <is>
          <t>AVEDEV</t>
        </is>
      </c>
      <c r="C525" s="6" t="inlineStr">
        <is>
          <t>Soal Tes #1</t>
        </is>
      </c>
      <c r="D525" s="33" t="inlineStr">
        <is>
          <t>AVEDEV!E22</t>
        </is>
      </c>
      <c r="E525" s="22" t="inlineStr">
        <is>
          <t>'=AVEDEV(C21:C24)</t>
        </is>
      </c>
      <c r="F525" s="34">
        <f>AVEDEV('AVEDEV'!C21:C24)</f>
        <v/>
      </c>
      <c r="G525" s="19" t="inlineStr">
        <is>
          <t>Hitung hasil pengolahan fungsi AVEDEV untuk keempat baris data pada rentang C21:C24!</t>
        </is>
      </c>
    </row>
    <row r="526">
      <c r="A526" s="5" t="n">
        <v>522</v>
      </c>
      <c r="B526" s="8" t="inlineStr">
        <is>
          <t>AVEDEV</t>
        </is>
      </c>
      <c r="C526" s="6" t="inlineStr">
        <is>
          <t>Soal Tes #2</t>
        </is>
      </c>
      <c r="D526" s="33" t="inlineStr">
        <is>
          <t>AVEDEV!E30</t>
        </is>
      </c>
      <c r="E526" s="22" t="inlineStr">
        <is>
          <t>'=AVEDEV(C29:C32)</t>
        </is>
      </c>
      <c r="F526" s="34">
        <f>AVEDEV('AVEDEV'!C29:C32)</f>
        <v/>
      </c>
      <c r="G526" s="19" t="inlineStr">
        <is>
          <t>Hitung hasil pengolahan fungsi AVEDEV untuk keempat baris data pada rentang C29:C32!</t>
        </is>
      </c>
    </row>
    <row r="527">
      <c r="A527" s="5" t="n">
        <v>523</v>
      </c>
      <c r="B527" s="8" t="inlineStr">
        <is>
          <t>AVEDEV</t>
        </is>
      </c>
      <c r="C527" s="6" t="inlineStr">
        <is>
          <t>Soal Tes #3</t>
        </is>
      </c>
      <c r="D527" s="33" t="inlineStr">
        <is>
          <t>AVEDEV!E38</t>
        </is>
      </c>
      <c r="E527" s="22" t="inlineStr">
        <is>
          <t>'=AVEDEV(C37:C40)</t>
        </is>
      </c>
      <c r="F527" s="34">
        <f>AVEDEV('AVEDEV'!C37:C40)</f>
        <v/>
      </c>
      <c r="G527" s="19" t="inlineStr">
        <is>
          <t>Hitung hasil pengolahan fungsi AVEDEV untuk keempat baris data pada rentang C37:C40!</t>
        </is>
      </c>
    </row>
    <row r="528">
      <c r="A528" s="5" t="n">
        <v>524</v>
      </c>
      <c r="B528" s="8" t="inlineStr">
        <is>
          <t>AVEDEV</t>
        </is>
      </c>
      <c r="C528" s="6" t="inlineStr">
        <is>
          <t>Soal Tes #4</t>
        </is>
      </c>
      <c r="D528" s="33" t="inlineStr">
        <is>
          <t>AVEDEV!E46</t>
        </is>
      </c>
      <c r="E528" s="22" t="inlineStr">
        <is>
          <t>'=AVEDEV(C45:C48)</t>
        </is>
      </c>
      <c r="F528" s="34">
        <f>AVEDEV('AVEDEV'!C45:C48)</f>
        <v/>
      </c>
      <c r="G528" s="19" t="inlineStr">
        <is>
          <t>Hitung hasil pengolahan fungsi AVEDEV untuk keempat baris data pada rentang C45:C48!</t>
        </is>
      </c>
    </row>
    <row r="529">
      <c r="A529" s="5" t="n">
        <v>525</v>
      </c>
      <c r="B529" s="8" t="inlineStr">
        <is>
          <t>AVEDEV</t>
        </is>
      </c>
      <c r="C529" s="6" t="inlineStr">
        <is>
          <t>Soal Tes #5</t>
        </is>
      </c>
      <c r="D529" s="33" t="inlineStr">
        <is>
          <t>AVEDEV!E54</t>
        </is>
      </c>
      <c r="E529" s="22" t="inlineStr">
        <is>
          <t>'=AVEDEV(C53:C56)</t>
        </is>
      </c>
      <c r="F529" s="34">
        <f>AVEDEV('AVEDEV'!C53:C56)</f>
        <v/>
      </c>
      <c r="G529" s="19" t="inlineStr">
        <is>
          <t>Hitung hasil pengolahan fungsi AVEDEV untuk keempat baris data pada rentang C53:C56!</t>
        </is>
      </c>
    </row>
    <row r="530">
      <c r="A530" s="5" t="n">
        <v>526</v>
      </c>
      <c r="B530" s="8" t="inlineStr">
        <is>
          <t>AVERAGE</t>
        </is>
      </c>
      <c r="C530" s="6" t="inlineStr">
        <is>
          <t>Soal Tes #1</t>
        </is>
      </c>
      <c r="D530" s="33" t="inlineStr">
        <is>
          <t>AVERAGE!E22</t>
        </is>
      </c>
      <c r="E530" s="22" t="inlineStr">
        <is>
          <t>'=AVERAGE(C21:C24)</t>
        </is>
      </c>
      <c r="F530" s="34">
        <f>AVERAGE('AVERAGE'!C21:C24)</f>
        <v/>
      </c>
      <c r="G530" s="19" t="inlineStr">
        <is>
          <t>Hitung hasil pengolahan fungsi AVERAGE untuk keempat baris data pada rentang C21:C24!</t>
        </is>
      </c>
    </row>
    <row r="531">
      <c r="A531" s="5" t="n">
        <v>527</v>
      </c>
      <c r="B531" s="8" t="inlineStr">
        <is>
          <t>AVERAGE</t>
        </is>
      </c>
      <c r="C531" s="6" t="inlineStr">
        <is>
          <t>Soal Tes #2</t>
        </is>
      </c>
      <c r="D531" s="33" t="inlineStr">
        <is>
          <t>AVERAGE!E30</t>
        </is>
      </c>
      <c r="E531" s="22" t="inlineStr">
        <is>
          <t>'=AVERAGE(C29:C32)</t>
        </is>
      </c>
      <c r="F531" s="34">
        <f>AVERAGE('AVERAGE'!C29:C32)</f>
        <v/>
      </c>
      <c r="G531" s="19" t="inlineStr">
        <is>
          <t>Hitung hasil pengolahan fungsi AVERAGE untuk keempat baris data pada rentang C29:C32!</t>
        </is>
      </c>
    </row>
    <row r="532">
      <c r="A532" s="5" t="n">
        <v>528</v>
      </c>
      <c r="B532" s="8" t="inlineStr">
        <is>
          <t>AVERAGE</t>
        </is>
      </c>
      <c r="C532" s="6" t="inlineStr">
        <is>
          <t>Soal Tes #3</t>
        </is>
      </c>
      <c r="D532" s="33" t="inlineStr">
        <is>
          <t>AVERAGE!E38</t>
        </is>
      </c>
      <c r="E532" s="22" t="inlineStr">
        <is>
          <t>'=AVERAGE(C37:C40)</t>
        </is>
      </c>
      <c r="F532" s="34">
        <f>AVERAGE('AVERAGE'!C37:C40)</f>
        <v/>
      </c>
      <c r="G532" s="19" t="inlineStr">
        <is>
          <t>Hitung hasil pengolahan fungsi AVERAGE untuk keempat baris data pada rentang C37:C40!</t>
        </is>
      </c>
    </row>
    <row r="533">
      <c r="A533" s="5" t="n">
        <v>529</v>
      </c>
      <c r="B533" s="8" t="inlineStr">
        <is>
          <t>AVERAGE</t>
        </is>
      </c>
      <c r="C533" s="6" t="inlineStr">
        <is>
          <t>Soal Tes #4</t>
        </is>
      </c>
      <c r="D533" s="33" t="inlineStr">
        <is>
          <t>AVERAGE!E46</t>
        </is>
      </c>
      <c r="E533" s="22" t="inlineStr">
        <is>
          <t>'=AVERAGE(C45:C48)</t>
        </is>
      </c>
      <c r="F533" s="34">
        <f>AVERAGE('AVERAGE'!C45:C48)</f>
        <v/>
      </c>
      <c r="G533" s="19" t="inlineStr">
        <is>
          <t>Hitung hasil pengolahan fungsi AVERAGE untuk keempat baris data pada rentang C45:C48!</t>
        </is>
      </c>
    </row>
    <row r="534">
      <c r="A534" s="5" t="n">
        <v>530</v>
      </c>
      <c r="B534" s="8" t="inlineStr">
        <is>
          <t>AVERAGE</t>
        </is>
      </c>
      <c r="C534" s="6" t="inlineStr">
        <is>
          <t>Soal Tes #5</t>
        </is>
      </c>
      <c r="D534" s="33" t="inlineStr">
        <is>
          <t>AVERAGE!E54</t>
        </is>
      </c>
      <c r="E534" s="22" t="inlineStr">
        <is>
          <t>'=AVERAGE(C53:C56)</t>
        </is>
      </c>
      <c r="F534" s="34">
        <f>AVERAGE('AVERAGE'!C53:C56)</f>
        <v/>
      </c>
      <c r="G534" s="19" t="inlineStr">
        <is>
          <t>Hitung hasil pengolahan fungsi AVERAGE untuk keempat baris data pada rentang C53:C56!</t>
        </is>
      </c>
    </row>
    <row r="535">
      <c r="A535" s="5" t="n">
        <v>531</v>
      </c>
      <c r="B535" s="8" t="inlineStr">
        <is>
          <t>AVERAGEA</t>
        </is>
      </c>
      <c r="C535" s="6" t="inlineStr">
        <is>
          <t>Soal Tes #1</t>
        </is>
      </c>
      <c r="D535" s="33" t="inlineStr">
        <is>
          <t>AVERAGEA!E22</t>
        </is>
      </c>
      <c r="E535" s="22" t="inlineStr">
        <is>
          <t>'=AVERAGEA(C21:C24)</t>
        </is>
      </c>
      <c r="F535" s="34">
        <f>AVERAGEA('AVERAGEA'!C21:C24)</f>
        <v/>
      </c>
      <c r="G535" s="19" t="inlineStr">
        <is>
          <t>Hitung hasil pengolahan fungsi AVERAGEA untuk keempat baris data pada rentang C21:C24!</t>
        </is>
      </c>
    </row>
    <row r="536">
      <c r="A536" s="5" t="n">
        <v>532</v>
      </c>
      <c r="B536" s="8" t="inlineStr">
        <is>
          <t>AVERAGEA</t>
        </is>
      </c>
      <c r="C536" s="6" t="inlineStr">
        <is>
          <t>Soal Tes #2</t>
        </is>
      </c>
      <c r="D536" s="33" t="inlineStr">
        <is>
          <t>AVERAGEA!E30</t>
        </is>
      </c>
      <c r="E536" s="22" t="inlineStr">
        <is>
          <t>'=AVERAGEA(C29:C32)</t>
        </is>
      </c>
      <c r="F536" s="34">
        <f>AVERAGEA('AVERAGEA'!C29:C32)</f>
        <v/>
      </c>
      <c r="G536" s="19" t="inlineStr">
        <is>
          <t>Hitung hasil pengolahan fungsi AVERAGEA untuk keempat baris data pada rentang C29:C32!</t>
        </is>
      </c>
    </row>
    <row r="537">
      <c r="A537" s="5" t="n">
        <v>533</v>
      </c>
      <c r="B537" s="8" t="inlineStr">
        <is>
          <t>AVERAGEA</t>
        </is>
      </c>
      <c r="C537" s="6" t="inlineStr">
        <is>
          <t>Soal Tes #3</t>
        </is>
      </c>
      <c r="D537" s="33" t="inlineStr">
        <is>
          <t>AVERAGEA!E38</t>
        </is>
      </c>
      <c r="E537" s="22" t="inlineStr">
        <is>
          <t>'=AVERAGEA(C37:C40)</t>
        </is>
      </c>
      <c r="F537" s="34">
        <f>AVERAGEA('AVERAGEA'!C37:C40)</f>
        <v/>
      </c>
      <c r="G537" s="19" t="inlineStr">
        <is>
          <t>Hitung hasil pengolahan fungsi AVERAGEA untuk keempat baris data pada rentang C37:C40!</t>
        </is>
      </c>
    </row>
    <row r="538">
      <c r="A538" s="5" t="n">
        <v>534</v>
      </c>
      <c r="B538" s="8" t="inlineStr">
        <is>
          <t>AVERAGEA</t>
        </is>
      </c>
      <c r="C538" s="6" t="inlineStr">
        <is>
          <t>Soal Tes #4</t>
        </is>
      </c>
      <c r="D538" s="33" t="inlineStr">
        <is>
          <t>AVERAGEA!E46</t>
        </is>
      </c>
      <c r="E538" s="22" t="inlineStr">
        <is>
          <t>'=AVERAGEA(C45:C48)</t>
        </is>
      </c>
      <c r="F538" s="34">
        <f>AVERAGEA('AVERAGEA'!C45:C48)</f>
        <v/>
      </c>
      <c r="G538" s="19" t="inlineStr">
        <is>
          <t>Hitung hasil pengolahan fungsi AVERAGEA untuk keempat baris data pada rentang C45:C48!</t>
        </is>
      </c>
    </row>
    <row r="539">
      <c r="A539" s="5" t="n">
        <v>535</v>
      </c>
      <c r="B539" s="8" t="inlineStr">
        <is>
          <t>AVERAGEA</t>
        </is>
      </c>
      <c r="C539" s="6" t="inlineStr">
        <is>
          <t>Soal Tes #5</t>
        </is>
      </c>
      <c r="D539" s="33" t="inlineStr">
        <is>
          <t>AVERAGEA!E54</t>
        </is>
      </c>
      <c r="E539" s="22" t="inlineStr">
        <is>
          <t>'=AVERAGEA(C53:C56)</t>
        </is>
      </c>
      <c r="F539" s="34">
        <f>AVERAGEA('AVERAGEA'!C53:C56)</f>
        <v/>
      </c>
      <c r="G539" s="19" t="inlineStr">
        <is>
          <t>Hitung hasil pengolahan fungsi AVERAGEA untuk keempat baris data pada rentang C53:C56!</t>
        </is>
      </c>
    </row>
    <row r="540">
      <c r="A540" s="5" t="n">
        <v>536</v>
      </c>
      <c r="B540" s="8" t="inlineStr">
        <is>
          <t>AVERAGEIF</t>
        </is>
      </c>
      <c r="C540" s="6" t="inlineStr">
        <is>
          <t>Soal Tes #1</t>
        </is>
      </c>
      <c r="D540" s="33" t="inlineStr">
        <is>
          <t>AVERAGEIF!E22</t>
        </is>
      </c>
      <c r="E540" s="22" t="inlineStr">
        <is>
          <t>'=AVERAGEIF(B21:B24, "Pusat", C21:C24)</t>
        </is>
      </c>
      <c r="F540" s="34">
        <f>AVERAGEIF('AVERAGEIF'!B21:B24, "Pusat", 'AVERAGEIF'!C21:C24)</f>
        <v/>
      </c>
      <c r="G540" s="19" t="inlineStr">
        <is>
          <t>Gunakan fungsi AVERAGEIF untuk mengolah data khusus kategori "Pusat" saja (rentang kategori di B21:B24 dan rentang nilai di C21:C24)!</t>
        </is>
      </c>
    </row>
    <row r="541">
      <c r="A541" s="5" t="n">
        <v>537</v>
      </c>
      <c r="B541" s="8" t="inlineStr">
        <is>
          <t>AVERAGEIF</t>
        </is>
      </c>
      <c r="C541" s="6" t="inlineStr">
        <is>
          <t>Soal Tes #2</t>
        </is>
      </c>
      <c r="D541" s="33" t="inlineStr">
        <is>
          <t>AVERAGEIF!E30</t>
        </is>
      </c>
      <c r="E541" s="22" t="inlineStr">
        <is>
          <t>'=AVERAGEIF(B29:B32, "Pusat", C29:C32)</t>
        </is>
      </c>
      <c r="F541" s="34">
        <f>AVERAGEIF('AVERAGEIF'!B29:B32, "Pusat", 'AVERAGEIF'!C29:C32)</f>
        <v/>
      </c>
      <c r="G541" s="19" t="inlineStr">
        <is>
          <t>Gunakan fungsi AVERAGEIF untuk mengolah data khusus kategori "Pusat" saja (rentang kategori di B29:B32 dan rentang nilai di C29:C32)!</t>
        </is>
      </c>
    </row>
    <row r="542">
      <c r="A542" s="5" t="n">
        <v>538</v>
      </c>
      <c r="B542" s="8" t="inlineStr">
        <is>
          <t>AVERAGEIF</t>
        </is>
      </c>
      <c r="C542" s="6" t="inlineStr">
        <is>
          <t>Soal Tes #3</t>
        </is>
      </c>
      <c r="D542" s="33" t="inlineStr">
        <is>
          <t>AVERAGEIF!E38</t>
        </is>
      </c>
      <c r="E542" s="22" t="inlineStr">
        <is>
          <t>'=AVERAGEIF(B37:B40, "Pusat", C37:C40)</t>
        </is>
      </c>
      <c r="F542" s="34">
        <f>AVERAGEIF('AVERAGEIF'!B37:B40, "Pusat", 'AVERAGEIF'!C37:C40)</f>
        <v/>
      </c>
      <c r="G542" s="19" t="inlineStr">
        <is>
          <t>Gunakan fungsi AVERAGEIF untuk mengolah data khusus kategori "Pusat" saja (rentang kategori di B37:B40 dan rentang nilai di C37:C40)!</t>
        </is>
      </c>
    </row>
    <row r="543">
      <c r="A543" s="5" t="n">
        <v>539</v>
      </c>
      <c r="B543" s="8" t="inlineStr">
        <is>
          <t>AVERAGEIF</t>
        </is>
      </c>
      <c r="C543" s="6" t="inlineStr">
        <is>
          <t>Soal Tes #4</t>
        </is>
      </c>
      <c r="D543" s="33" t="inlineStr">
        <is>
          <t>AVERAGEIF!E46</t>
        </is>
      </c>
      <c r="E543" s="22" t="inlineStr">
        <is>
          <t>'=AVERAGEIF(B45:B48, "Pusat", C45:C48)</t>
        </is>
      </c>
      <c r="F543" s="34">
        <f>AVERAGEIF('AVERAGEIF'!B45:B48, "Pusat", 'AVERAGEIF'!C45:C48)</f>
        <v/>
      </c>
      <c r="G543" s="19" t="inlineStr">
        <is>
          <t>Gunakan fungsi AVERAGEIF untuk mengolah data khusus kategori "Pusat" saja (rentang kategori di B45:B48 dan rentang nilai di C45:C48)!</t>
        </is>
      </c>
    </row>
    <row r="544">
      <c r="A544" s="5" t="n">
        <v>540</v>
      </c>
      <c r="B544" s="8" t="inlineStr">
        <is>
          <t>AVERAGEIF</t>
        </is>
      </c>
      <c r="C544" s="6" t="inlineStr">
        <is>
          <t>Soal Tes #5</t>
        </is>
      </c>
      <c r="D544" s="33" t="inlineStr">
        <is>
          <t>AVERAGEIF!E54</t>
        </is>
      </c>
      <c r="E544" s="22" t="inlineStr">
        <is>
          <t>'=AVERAGEIF(B53:B56, "Pusat", C53:C56)</t>
        </is>
      </c>
      <c r="F544" s="34">
        <f>AVERAGEIF('AVERAGEIF'!B53:B56, "Pusat", 'AVERAGEIF'!C53:C56)</f>
        <v/>
      </c>
      <c r="G544" s="19" t="inlineStr">
        <is>
          <t>Gunakan fungsi AVERAGEIF untuk mengolah data khusus kategori "Pusat" saja (rentang kategori di B53:B56 dan rentang nilai di C53:C56)!</t>
        </is>
      </c>
    </row>
    <row r="545">
      <c r="A545" s="5" t="n">
        <v>541</v>
      </c>
      <c r="B545" s="8" t="inlineStr">
        <is>
          <t>AVERAGEIFS</t>
        </is>
      </c>
      <c r="C545" s="6" t="inlineStr">
        <is>
          <t>Soal Tes #1</t>
        </is>
      </c>
      <c r="D545" s="33" t="inlineStr">
        <is>
          <t>AVERAGEIFS!E22</t>
        </is>
      </c>
      <c r="E545" s="22" t="inlineStr">
        <is>
          <t>'=AVERAGEIFS(C21:C24, B21:B24, "Aktif")</t>
        </is>
      </c>
      <c r="F545" s="34">
        <f>AVERAGEIFS('AVERAGEIFS'!C21:C24, 'AVERAGEIFS'!B21:B24, "Aktif")</f>
        <v/>
      </c>
      <c r="G545" s="19" t="inlineStr">
        <is>
          <t>Gunakan fungsi AVERAGEIFS untuk mengolah nilai di C21:C24 khusus baris yang berstatus "Aktif" pada kolom B21:B24!</t>
        </is>
      </c>
    </row>
    <row r="546">
      <c r="A546" s="5" t="n">
        <v>542</v>
      </c>
      <c r="B546" s="8" t="inlineStr">
        <is>
          <t>AVERAGEIFS</t>
        </is>
      </c>
      <c r="C546" s="6" t="inlineStr">
        <is>
          <t>Soal Tes #2</t>
        </is>
      </c>
      <c r="D546" s="33" t="inlineStr">
        <is>
          <t>AVERAGEIFS!E30</t>
        </is>
      </c>
      <c r="E546" s="22" t="inlineStr">
        <is>
          <t>'=AVERAGEIFS(C29:C32, B29:B32, "Aktif")</t>
        </is>
      </c>
      <c r="F546" s="34">
        <f>AVERAGEIFS('AVERAGEIFS'!C29:C32, 'AVERAGEIFS'!B29:B32, "Aktif")</f>
        <v/>
      </c>
      <c r="G546" s="19" t="inlineStr">
        <is>
          <t>Gunakan fungsi AVERAGEIFS untuk mengolah nilai di C29:C32 khusus baris yang berstatus "Aktif" pada kolom B29:B32!</t>
        </is>
      </c>
    </row>
    <row r="547">
      <c r="A547" s="5" t="n">
        <v>543</v>
      </c>
      <c r="B547" s="8" t="inlineStr">
        <is>
          <t>AVERAGEIFS</t>
        </is>
      </c>
      <c r="C547" s="6" t="inlineStr">
        <is>
          <t>Soal Tes #3</t>
        </is>
      </c>
      <c r="D547" s="33" t="inlineStr">
        <is>
          <t>AVERAGEIFS!E38</t>
        </is>
      </c>
      <c r="E547" s="22" t="inlineStr">
        <is>
          <t>'=AVERAGEIFS(C37:C40, B37:B40, "Aktif")</t>
        </is>
      </c>
      <c r="F547" s="34">
        <f>AVERAGEIFS('AVERAGEIFS'!C37:C40, 'AVERAGEIFS'!B37:B40, "Aktif")</f>
        <v/>
      </c>
      <c r="G547" s="19" t="inlineStr">
        <is>
          <t>Gunakan fungsi AVERAGEIFS untuk mengolah nilai di C37:C40 khusus baris yang berstatus "Aktif" pada kolom B37:B40!</t>
        </is>
      </c>
    </row>
    <row r="548">
      <c r="A548" s="5" t="n">
        <v>544</v>
      </c>
      <c r="B548" s="8" t="inlineStr">
        <is>
          <t>AVERAGEIFS</t>
        </is>
      </c>
      <c r="C548" s="6" t="inlineStr">
        <is>
          <t>Soal Tes #4</t>
        </is>
      </c>
      <c r="D548" s="33" t="inlineStr">
        <is>
          <t>AVERAGEIFS!E46</t>
        </is>
      </c>
      <c r="E548" s="22" t="inlineStr">
        <is>
          <t>'=AVERAGEIFS(C45:C48, B45:B48, "Aktif")</t>
        </is>
      </c>
      <c r="F548" s="34">
        <f>AVERAGEIFS('AVERAGEIFS'!C45:C48, 'AVERAGEIFS'!B45:B48, "Aktif")</f>
        <v/>
      </c>
      <c r="G548" s="19" t="inlineStr">
        <is>
          <t>Gunakan fungsi AVERAGEIFS untuk mengolah nilai di C45:C48 khusus baris yang berstatus "Aktif" pada kolom B45:B48!</t>
        </is>
      </c>
    </row>
    <row r="549">
      <c r="A549" s="5" t="n">
        <v>545</v>
      </c>
      <c r="B549" s="8" t="inlineStr">
        <is>
          <t>AVERAGEIFS</t>
        </is>
      </c>
      <c r="C549" s="6" t="inlineStr">
        <is>
          <t>Soal Tes #5</t>
        </is>
      </c>
      <c r="D549" s="33" t="inlineStr">
        <is>
          <t>AVERAGEIFS!E54</t>
        </is>
      </c>
      <c r="E549" s="22" t="inlineStr">
        <is>
          <t>'=AVERAGEIFS(C53:C56, B53:B56, "Aktif")</t>
        </is>
      </c>
      <c r="F549" s="34">
        <f>AVERAGEIFS('AVERAGEIFS'!C53:C56, 'AVERAGEIFS'!B53:B56, "Aktif")</f>
        <v/>
      </c>
      <c r="G549" s="19" t="inlineStr">
        <is>
          <t>Gunakan fungsi AVERAGEIFS untuk mengolah nilai di C53:C56 khusus baris yang berstatus "Aktif" pada kolom B53:B56!</t>
        </is>
      </c>
    </row>
    <row r="550">
      <c r="A550" s="5" t="n">
        <v>546</v>
      </c>
      <c r="B550" s="8" t="inlineStr">
        <is>
          <t>BETA.DIST</t>
        </is>
      </c>
      <c r="C550" s="6" t="inlineStr">
        <is>
          <t>Soal Tes #1</t>
        </is>
      </c>
      <c r="D550" s="33" t="inlineStr">
        <is>
          <t>BETA.DIST!E22</t>
        </is>
      </c>
      <c r="E550" s="22" t="inlineStr">
        <is>
          <t>'=BETA.DIST(C21, C22, C23, TRUE)</t>
        </is>
      </c>
      <c r="F550" s="34">
        <f>BETA.DIST('BETA.DIST'!C21, 'BETA.DIST'!C22, 'BETA.DIST'!C23, TRUE)</f>
        <v/>
      </c>
      <c r="G550" s="19" t="inlineStr">
        <is>
          <t>Hitung distribusi Beta kumulatif menggunakan fungsi BETA.DIST dengan argumen C21, C22, C23, dan TRUE!</t>
        </is>
      </c>
    </row>
    <row r="551">
      <c r="A551" s="5" t="n">
        <v>547</v>
      </c>
      <c r="B551" s="8" t="inlineStr">
        <is>
          <t>BETA.DIST</t>
        </is>
      </c>
      <c r="C551" s="6" t="inlineStr">
        <is>
          <t>Soal Tes #2</t>
        </is>
      </c>
      <c r="D551" s="33" t="inlineStr">
        <is>
          <t>BETA.DIST!E30</t>
        </is>
      </c>
      <c r="E551" s="22" t="inlineStr">
        <is>
          <t>'=BETA.DIST(C29, C30, C31, TRUE)</t>
        </is>
      </c>
      <c r="F551" s="34">
        <f>BETA.DIST('BETA.DIST'!C29, 'BETA.DIST'!C30, 'BETA.DIST'!C31, TRUE)</f>
        <v/>
      </c>
      <c r="G551" s="19" t="inlineStr">
        <is>
          <t>Hitung distribusi Beta kumulatif menggunakan fungsi BETA.DIST dengan argumen C29, C30, C31, dan TRUE!</t>
        </is>
      </c>
    </row>
    <row r="552">
      <c r="A552" s="5" t="n">
        <v>548</v>
      </c>
      <c r="B552" s="8" t="inlineStr">
        <is>
          <t>BETA.DIST</t>
        </is>
      </c>
      <c r="C552" s="6" t="inlineStr">
        <is>
          <t>Soal Tes #3</t>
        </is>
      </c>
      <c r="D552" s="33" t="inlineStr">
        <is>
          <t>BETA.DIST!E38</t>
        </is>
      </c>
      <c r="E552" s="22" t="inlineStr">
        <is>
          <t>'=BETA.DIST(C37, C38, C39, TRUE)</t>
        </is>
      </c>
      <c r="F552" s="34">
        <f>BETA.DIST('BETA.DIST'!C37, 'BETA.DIST'!C38, 'BETA.DIST'!C39, TRUE)</f>
        <v/>
      </c>
      <c r="G552" s="19" t="inlineStr">
        <is>
          <t>Hitung distribusi Beta kumulatif menggunakan fungsi BETA.DIST dengan argumen C37, C38, C39, dan TRUE!</t>
        </is>
      </c>
    </row>
    <row r="553">
      <c r="A553" s="5" t="n">
        <v>549</v>
      </c>
      <c r="B553" s="8" t="inlineStr">
        <is>
          <t>BETA.DIST</t>
        </is>
      </c>
      <c r="C553" s="6" t="inlineStr">
        <is>
          <t>Soal Tes #4</t>
        </is>
      </c>
      <c r="D553" s="33" t="inlineStr">
        <is>
          <t>BETA.DIST!E46</t>
        </is>
      </c>
      <c r="E553" s="22" t="inlineStr">
        <is>
          <t>'=BETA.DIST(C45, C46, C47, TRUE)</t>
        </is>
      </c>
      <c r="F553" s="34">
        <f>BETA.DIST('BETA.DIST'!C45, 'BETA.DIST'!C46, 'BETA.DIST'!C47, TRUE)</f>
        <v/>
      </c>
      <c r="G553" s="19" t="inlineStr">
        <is>
          <t>Hitung distribusi Beta kumulatif menggunakan fungsi BETA.DIST dengan argumen C45, C46, C47, dan TRUE!</t>
        </is>
      </c>
    </row>
    <row r="554">
      <c r="A554" s="5" t="n">
        <v>550</v>
      </c>
      <c r="B554" s="8" t="inlineStr">
        <is>
          <t>BETA.DIST</t>
        </is>
      </c>
      <c r="C554" s="6" t="inlineStr">
        <is>
          <t>Soal Tes #5</t>
        </is>
      </c>
      <c r="D554" s="33" t="inlineStr">
        <is>
          <t>BETA.DIST!E54</t>
        </is>
      </c>
      <c r="E554" s="22" t="inlineStr">
        <is>
          <t>'=BETA.DIST(C53, C54, C55, TRUE)</t>
        </is>
      </c>
      <c r="F554" s="34">
        <f>BETA.DIST('BETA.DIST'!C53, 'BETA.DIST'!C54, 'BETA.DIST'!C55, TRUE)</f>
        <v/>
      </c>
      <c r="G554" s="19" t="inlineStr">
        <is>
          <t>Hitung distribusi Beta kumulatif menggunakan fungsi BETA.DIST dengan argumen C53, C54, C55, dan TRUE!</t>
        </is>
      </c>
    </row>
    <row r="555">
      <c r="A555" s="5" t="n">
        <v>551</v>
      </c>
      <c r="B555" s="8" t="inlineStr">
        <is>
          <t>BETA.INV</t>
        </is>
      </c>
      <c r="C555" s="6" t="inlineStr">
        <is>
          <t>Soal Tes #1</t>
        </is>
      </c>
      <c r="D555" s="33" t="inlineStr">
        <is>
          <t>BETA.INV!E22</t>
        </is>
      </c>
      <c r="E555" s="22" t="inlineStr">
        <is>
          <t>'=BETA.INV(C21, C22, C23)</t>
        </is>
      </c>
      <c r="F555" s="34">
        <f>BETA.INV('BETA.INV'!C21, 'BETA.INV'!C22, 'BETA.INV'!C23)</f>
        <v/>
      </c>
      <c r="G555" s="19" t="inlineStr">
        <is>
          <t>Hitung nilai invers distribusi Beta menggunakan fungsi BETA.INV dengan argumen C21, C22, dan C23!</t>
        </is>
      </c>
    </row>
    <row r="556">
      <c r="A556" s="5" t="n">
        <v>552</v>
      </c>
      <c r="B556" s="8" t="inlineStr">
        <is>
          <t>BETA.INV</t>
        </is>
      </c>
      <c r="C556" s="6" t="inlineStr">
        <is>
          <t>Soal Tes #2</t>
        </is>
      </c>
      <c r="D556" s="33" t="inlineStr">
        <is>
          <t>BETA.INV!E30</t>
        </is>
      </c>
      <c r="E556" s="22" t="inlineStr">
        <is>
          <t>'=BETA.INV(C29, C30, C31)</t>
        </is>
      </c>
      <c r="F556" s="34">
        <f>BETA.INV('BETA.INV'!C29, 'BETA.INV'!C30, 'BETA.INV'!C31)</f>
        <v/>
      </c>
      <c r="G556" s="19" t="inlineStr">
        <is>
          <t>Hitung nilai invers distribusi Beta menggunakan fungsi BETA.INV dengan argumen C29, C30, dan C31!</t>
        </is>
      </c>
    </row>
    <row r="557">
      <c r="A557" s="5" t="n">
        <v>553</v>
      </c>
      <c r="B557" s="8" t="inlineStr">
        <is>
          <t>BETA.INV</t>
        </is>
      </c>
      <c r="C557" s="6" t="inlineStr">
        <is>
          <t>Soal Tes #3</t>
        </is>
      </c>
      <c r="D557" s="33" t="inlineStr">
        <is>
          <t>BETA.INV!E38</t>
        </is>
      </c>
      <c r="E557" s="22" t="inlineStr">
        <is>
          <t>'=BETA.INV(C37, C38, C39)</t>
        </is>
      </c>
      <c r="F557" s="34">
        <f>BETA.INV('BETA.INV'!C37, 'BETA.INV'!C38, 'BETA.INV'!C39)</f>
        <v/>
      </c>
      <c r="G557" s="19" t="inlineStr">
        <is>
          <t>Hitung nilai invers distribusi Beta menggunakan fungsi BETA.INV dengan argumen C37, C38, dan C39!</t>
        </is>
      </c>
    </row>
    <row r="558">
      <c r="A558" s="5" t="n">
        <v>554</v>
      </c>
      <c r="B558" s="8" t="inlineStr">
        <is>
          <t>BETA.INV</t>
        </is>
      </c>
      <c r="C558" s="6" t="inlineStr">
        <is>
          <t>Soal Tes #4</t>
        </is>
      </c>
      <c r="D558" s="33" t="inlineStr">
        <is>
          <t>BETA.INV!E46</t>
        </is>
      </c>
      <c r="E558" s="22" t="inlineStr">
        <is>
          <t>'=BETA.INV(C45, C46, C47)</t>
        </is>
      </c>
      <c r="F558" s="34">
        <f>BETA.INV('BETA.INV'!C45, 'BETA.INV'!C46, 'BETA.INV'!C47)</f>
        <v/>
      </c>
      <c r="G558" s="19" t="inlineStr">
        <is>
          <t>Hitung nilai invers distribusi Beta menggunakan fungsi BETA.INV dengan argumen C45, C46, dan C47!</t>
        </is>
      </c>
    </row>
    <row r="559">
      <c r="A559" s="5" t="n">
        <v>555</v>
      </c>
      <c r="B559" s="8" t="inlineStr">
        <is>
          <t>BETA.INV</t>
        </is>
      </c>
      <c r="C559" s="6" t="inlineStr">
        <is>
          <t>Soal Tes #5</t>
        </is>
      </c>
      <c r="D559" s="33" t="inlineStr">
        <is>
          <t>BETA.INV!E54</t>
        </is>
      </c>
      <c r="E559" s="22" t="inlineStr">
        <is>
          <t>'=BETA.INV(C53, C54, C55)</t>
        </is>
      </c>
      <c r="F559" s="34">
        <f>BETA.INV('BETA.INV'!C53, 'BETA.INV'!C54, 'BETA.INV'!C55)</f>
        <v/>
      </c>
      <c r="G559" s="19" t="inlineStr">
        <is>
          <t>Hitung nilai invers distribusi Beta menggunakan fungsi BETA.INV dengan argumen C53, C54, dan C55!</t>
        </is>
      </c>
    </row>
    <row r="560">
      <c r="A560" s="5" t="n">
        <v>556</v>
      </c>
      <c r="B560" s="8" t="inlineStr">
        <is>
          <t>BINOM.DIST</t>
        </is>
      </c>
      <c r="C560" s="6" t="inlineStr">
        <is>
          <t>Soal Tes #1</t>
        </is>
      </c>
      <c r="D560" s="33" t="inlineStr">
        <is>
          <t>BINOM.DIST!E22</t>
        </is>
      </c>
      <c r="E560" s="22" t="inlineStr">
        <is>
          <t>'=BINOM.DIST(C21, C22, C23, TRUE)</t>
        </is>
      </c>
      <c r="F560" s="34">
        <f>BINOM.DIST('BINOM.DIST'!C21, 'BINOM.DIST'!C22, 'BINOM.DIST'!C23, TRUE)</f>
        <v/>
      </c>
      <c r="G560" s="19" t="inlineStr">
        <is>
          <t>Hitung peluang distribusi kumulatif (TRUE) menggunakan fungsi BINOM.DIST dengan argumen C21, C22, C23, dan TRUE!</t>
        </is>
      </c>
    </row>
    <row r="561">
      <c r="A561" s="5" t="n">
        <v>557</v>
      </c>
      <c r="B561" s="8" t="inlineStr">
        <is>
          <t>BINOM.DIST</t>
        </is>
      </c>
      <c r="C561" s="6" t="inlineStr">
        <is>
          <t>Soal Tes #2</t>
        </is>
      </c>
      <c r="D561" s="33" t="inlineStr">
        <is>
          <t>BINOM.DIST!E30</t>
        </is>
      </c>
      <c r="E561" s="22" t="inlineStr">
        <is>
          <t>'=BINOM.DIST(C29, C30, C31, TRUE)</t>
        </is>
      </c>
      <c r="F561" s="34">
        <f>BINOM.DIST('BINOM.DIST'!C29, 'BINOM.DIST'!C30, 'BINOM.DIST'!C31, TRUE)</f>
        <v/>
      </c>
      <c r="G561" s="19" t="inlineStr">
        <is>
          <t>Hitung peluang distribusi kumulatif (TRUE) menggunakan fungsi BINOM.DIST dengan argumen C29, C30, C31, dan TRUE!</t>
        </is>
      </c>
    </row>
    <row r="562">
      <c r="A562" s="5" t="n">
        <v>558</v>
      </c>
      <c r="B562" s="8" t="inlineStr">
        <is>
          <t>BINOM.DIST</t>
        </is>
      </c>
      <c r="C562" s="6" t="inlineStr">
        <is>
          <t>Soal Tes #3</t>
        </is>
      </c>
      <c r="D562" s="33" t="inlineStr">
        <is>
          <t>BINOM.DIST!E38</t>
        </is>
      </c>
      <c r="E562" s="22" t="inlineStr">
        <is>
          <t>'=BINOM.DIST(C37, C38, C39, TRUE)</t>
        </is>
      </c>
      <c r="F562" s="34">
        <f>BINOM.DIST('BINOM.DIST'!C37, 'BINOM.DIST'!C38, 'BINOM.DIST'!C39, TRUE)</f>
        <v/>
      </c>
      <c r="G562" s="19" t="inlineStr">
        <is>
          <t>Hitung peluang distribusi kumulatif (TRUE) menggunakan fungsi BINOM.DIST dengan argumen C37, C38, C39, dan TRUE!</t>
        </is>
      </c>
    </row>
    <row r="563">
      <c r="A563" s="5" t="n">
        <v>559</v>
      </c>
      <c r="B563" s="8" t="inlineStr">
        <is>
          <t>BINOM.DIST</t>
        </is>
      </c>
      <c r="C563" s="6" t="inlineStr">
        <is>
          <t>Soal Tes #4</t>
        </is>
      </c>
      <c r="D563" s="33" t="inlineStr">
        <is>
          <t>BINOM.DIST!E46</t>
        </is>
      </c>
      <c r="E563" s="22" t="inlineStr">
        <is>
          <t>'=BINOM.DIST(C45, C46, C47, TRUE)</t>
        </is>
      </c>
      <c r="F563" s="34">
        <f>BINOM.DIST('BINOM.DIST'!C45, 'BINOM.DIST'!C46, 'BINOM.DIST'!C47, TRUE)</f>
        <v/>
      </c>
      <c r="G563" s="19" t="inlineStr">
        <is>
          <t>Hitung peluang distribusi kumulatif (TRUE) menggunakan fungsi BINOM.DIST dengan argumen C45, C46, C47, dan TRUE!</t>
        </is>
      </c>
    </row>
    <row r="564">
      <c r="A564" s="5" t="n">
        <v>560</v>
      </c>
      <c r="B564" s="8" t="inlineStr">
        <is>
          <t>BINOM.DIST</t>
        </is>
      </c>
      <c r="C564" s="6" t="inlineStr">
        <is>
          <t>Soal Tes #5</t>
        </is>
      </c>
      <c r="D564" s="33" t="inlineStr">
        <is>
          <t>BINOM.DIST!E54</t>
        </is>
      </c>
      <c r="E564" s="22" t="inlineStr">
        <is>
          <t>'=BINOM.DIST(C53, C54, C55, TRUE)</t>
        </is>
      </c>
      <c r="F564" s="34">
        <f>BINOM.DIST('BINOM.DIST'!C53, 'BINOM.DIST'!C54, 'BINOM.DIST'!C55, TRUE)</f>
        <v/>
      </c>
      <c r="G564" s="19" t="inlineStr">
        <is>
          <t>Hitung peluang distribusi kumulatif (TRUE) menggunakan fungsi BINOM.DIST dengan argumen C53, C54, C55, dan TRUE!</t>
        </is>
      </c>
    </row>
    <row r="565">
      <c r="A565" s="5" t="n">
        <v>561</v>
      </c>
      <c r="B565" s="8" t="inlineStr">
        <is>
          <t>BINOM.INV</t>
        </is>
      </c>
      <c r="C565" s="6" t="inlineStr">
        <is>
          <t>Soal Tes #1</t>
        </is>
      </c>
      <c r="D565" s="33" t="inlineStr">
        <is>
          <t>BINOM.INV!E22</t>
        </is>
      </c>
      <c r="E565" s="22" t="inlineStr">
        <is>
          <t>'=BINOM.INV(C21, C22, C23)</t>
        </is>
      </c>
      <c r="F565" s="34">
        <f>BINOM.INV('BINOM.INV'!C21, 'BINOM.INV'!C22, 'BINOM.INV'!C23)</f>
        <v/>
      </c>
      <c r="G565" s="19" t="inlineStr">
        <is>
          <t>Cari nilai batas kritis binomial menggunakan fungsi BINOM.INV dengan argumen berurutan C21, C22, dan C23!</t>
        </is>
      </c>
    </row>
    <row r="566">
      <c r="A566" s="5" t="n">
        <v>562</v>
      </c>
      <c r="B566" s="8" t="inlineStr">
        <is>
          <t>BINOM.INV</t>
        </is>
      </c>
      <c r="C566" s="6" t="inlineStr">
        <is>
          <t>Soal Tes #2</t>
        </is>
      </c>
      <c r="D566" s="33" t="inlineStr">
        <is>
          <t>BINOM.INV!E30</t>
        </is>
      </c>
      <c r="E566" s="22" t="inlineStr">
        <is>
          <t>'=BINOM.INV(C29, C30, C31)</t>
        </is>
      </c>
      <c r="F566" s="34">
        <f>BINOM.INV('BINOM.INV'!C29, 'BINOM.INV'!C30, 'BINOM.INV'!C31)</f>
        <v/>
      </c>
      <c r="G566" s="19" t="inlineStr">
        <is>
          <t>Cari nilai batas kritis binomial menggunakan fungsi BINOM.INV dengan argumen berurutan C29, C30, dan C31!</t>
        </is>
      </c>
    </row>
    <row r="567">
      <c r="A567" s="5" t="n">
        <v>563</v>
      </c>
      <c r="B567" s="8" t="inlineStr">
        <is>
          <t>BINOM.INV</t>
        </is>
      </c>
      <c r="C567" s="6" t="inlineStr">
        <is>
          <t>Soal Tes #3</t>
        </is>
      </c>
      <c r="D567" s="33" t="inlineStr">
        <is>
          <t>BINOM.INV!E38</t>
        </is>
      </c>
      <c r="E567" s="22" t="inlineStr">
        <is>
          <t>'=BINOM.INV(C37, C38, C39)</t>
        </is>
      </c>
      <c r="F567" s="34">
        <f>BINOM.INV('BINOM.INV'!C37, 'BINOM.INV'!C38, 'BINOM.INV'!C39)</f>
        <v/>
      </c>
      <c r="G567" s="19" t="inlineStr">
        <is>
          <t>Cari nilai batas kritis binomial menggunakan fungsi BINOM.INV dengan argumen berurutan C37, C38, dan C39!</t>
        </is>
      </c>
    </row>
    <row r="568">
      <c r="A568" s="5" t="n">
        <v>564</v>
      </c>
      <c r="B568" s="8" t="inlineStr">
        <is>
          <t>BINOM.INV</t>
        </is>
      </c>
      <c r="C568" s="6" t="inlineStr">
        <is>
          <t>Soal Tes #4</t>
        </is>
      </c>
      <c r="D568" s="33" t="inlineStr">
        <is>
          <t>BINOM.INV!E46</t>
        </is>
      </c>
      <c r="E568" s="22" t="inlineStr">
        <is>
          <t>'=BINOM.INV(C45, C46, C47)</t>
        </is>
      </c>
      <c r="F568" s="34">
        <f>BINOM.INV('BINOM.INV'!C45, 'BINOM.INV'!C46, 'BINOM.INV'!C47)</f>
        <v/>
      </c>
      <c r="G568" s="19" t="inlineStr">
        <is>
          <t>Cari nilai batas kritis binomial menggunakan fungsi BINOM.INV dengan argumen berurutan C45, C46, dan C47!</t>
        </is>
      </c>
    </row>
    <row r="569">
      <c r="A569" s="5" t="n">
        <v>565</v>
      </c>
      <c r="B569" s="8" t="inlineStr">
        <is>
          <t>BINOM.INV</t>
        </is>
      </c>
      <c r="C569" s="6" t="inlineStr">
        <is>
          <t>Soal Tes #5</t>
        </is>
      </c>
      <c r="D569" s="33" t="inlineStr">
        <is>
          <t>BINOM.INV!E54</t>
        </is>
      </c>
      <c r="E569" s="22" t="inlineStr">
        <is>
          <t>'=BINOM.INV(C53, C54, C55)</t>
        </is>
      </c>
      <c r="F569" s="34">
        <f>BINOM.INV('BINOM.INV'!C53, 'BINOM.INV'!C54, 'BINOM.INV'!C55)</f>
        <v/>
      </c>
      <c r="G569" s="19" t="inlineStr">
        <is>
          <t>Cari nilai batas kritis binomial menggunakan fungsi BINOM.INV dengan argumen berurutan C53, C54, dan C55!</t>
        </is>
      </c>
    </row>
    <row r="570">
      <c r="A570" s="5" t="n">
        <v>566</v>
      </c>
      <c r="B570" s="8" t="inlineStr">
        <is>
          <t>CHISQ.DIST</t>
        </is>
      </c>
      <c r="C570" s="6" t="inlineStr">
        <is>
          <t>Soal Tes #1</t>
        </is>
      </c>
      <c r="D570" s="33" t="inlineStr">
        <is>
          <t>CHISQ.DIST!E22</t>
        </is>
      </c>
      <c r="E570" s="22" t="inlineStr">
        <is>
          <t>'=CHISQ.DIST(C21, C22, TRUE)</t>
        </is>
      </c>
      <c r="F570" s="34">
        <f>CHISQ.DIST('CHISQ.DIST'!C21, 'CHISQ.DIST'!C22, TRUE)</f>
        <v/>
      </c>
      <c r="G570" s="19" t="inlineStr">
        <is>
          <t>Hitung nilai distribusi kumulatif (TRUE) menggunakan fungsi CHISQ.DIST dengan argumen C21, C22, dan TRUE!</t>
        </is>
      </c>
    </row>
    <row r="571">
      <c r="A571" s="5" t="n">
        <v>567</v>
      </c>
      <c r="B571" s="8" t="inlineStr">
        <is>
          <t>CHISQ.DIST</t>
        </is>
      </c>
      <c r="C571" s="6" t="inlineStr">
        <is>
          <t>Soal Tes #2</t>
        </is>
      </c>
      <c r="D571" s="33" t="inlineStr">
        <is>
          <t>CHISQ.DIST!E30</t>
        </is>
      </c>
      <c r="E571" s="22" t="inlineStr">
        <is>
          <t>'=CHISQ.DIST(C29, C30, TRUE)</t>
        </is>
      </c>
      <c r="F571" s="34">
        <f>CHISQ.DIST('CHISQ.DIST'!C29, 'CHISQ.DIST'!C30, TRUE)</f>
        <v/>
      </c>
      <c r="G571" s="19" t="inlineStr">
        <is>
          <t>Hitung nilai distribusi kumulatif (TRUE) menggunakan fungsi CHISQ.DIST dengan argumen C29, C30, dan TRUE!</t>
        </is>
      </c>
    </row>
    <row r="572">
      <c r="A572" s="5" t="n">
        <v>568</v>
      </c>
      <c r="B572" s="8" t="inlineStr">
        <is>
          <t>CHISQ.DIST</t>
        </is>
      </c>
      <c r="C572" s="6" t="inlineStr">
        <is>
          <t>Soal Tes #3</t>
        </is>
      </c>
      <c r="D572" s="33" t="inlineStr">
        <is>
          <t>CHISQ.DIST!E38</t>
        </is>
      </c>
      <c r="E572" s="22" t="inlineStr">
        <is>
          <t>'=CHISQ.DIST(C37, C38, TRUE)</t>
        </is>
      </c>
      <c r="F572" s="34">
        <f>CHISQ.DIST('CHISQ.DIST'!C37, 'CHISQ.DIST'!C38, TRUE)</f>
        <v/>
      </c>
      <c r="G572" s="19" t="inlineStr">
        <is>
          <t>Hitung nilai distribusi kumulatif (TRUE) menggunakan fungsi CHISQ.DIST dengan argumen C37, C38, dan TRUE!</t>
        </is>
      </c>
    </row>
    <row r="573">
      <c r="A573" s="5" t="n">
        <v>569</v>
      </c>
      <c r="B573" s="8" t="inlineStr">
        <is>
          <t>CHISQ.DIST</t>
        </is>
      </c>
      <c r="C573" s="6" t="inlineStr">
        <is>
          <t>Soal Tes #4</t>
        </is>
      </c>
      <c r="D573" s="33" t="inlineStr">
        <is>
          <t>CHISQ.DIST!E46</t>
        </is>
      </c>
      <c r="E573" s="22" t="inlineStr">
        <is>
          <t>'=CHISQ.DIST(C45, C46, TRUE)</t>
        </is>
      </c>
      <c r="F573" s="34">
        <f>CHISQ.DIST('CHISQ.DIST'!C45, 'CHISQ.DIST'!C46, TRUE)</f>
        <v/>
      </c>
      <c r="G573" s="19" t="inlineStr">
        <is>
          <t>Hitung nilai distribusi kumulatif (TRUE) menggunakan fungsi CHISQ.DIST dengan argumen C45, C46, dan TRUE!</t>
        </is>
      </c>
    </row>
    <row r="574">
      <c r="A574" s="5" t="n">
        <v>570</v>
      </c>
      <c r="B574" s="8" t="inlineStr">
        <is>
          <t>CHISQ.DIST</t>
        </is>
      </c>
      <c r="C574" s="6" t="inlineStr">
        <is>
          <t>Soal Tes #5</t>
        </is>
      </c>
      <c r="D574" s="33" t="inlineStr">
        <is>
          <t>CHISQ.DIST!E54</t>
        </is>
      </c>
      <c r="E574" s="22" t="inlineStr">
        <is>
          <t>'=CHISQ.DIST(C53, C54, TRUE)</t>
        </is>
      </c>
      <c r="F574" s="34">
        <f>CHISQ.DIST('CHISQ.DIST'!C53, 'CHISQ.DIST'!C54, TRUE)</f>
        <v/>
      </c>
      <c r="G574" s="19" t="inlineStr">
        <is>
          <t>Hitung nilai distribusi kumulatif (TRUE) menggunakan fungsi CHISQ.DIST dengan argumen C53, C54, dan TRUE!</t>
        </is>
      </c>
    </row>
    <row r="575">
      <c r="A575" s="5" t="n">
        <v>571</v>
      </c>
      <c r="B575" s="8" t="inlineStr">
        <is>
          <t>CHISQ.DIST.RT</t>
        </is>
      </c>
      <c r="C575" s="6" t="inlineStr">
        <is>
          <t>Soal Tes #1</t>
        </is>
      </c>
      <c r="D575" s="33" t="inlineStr">
        <is>
          <t>CHISQ.DIST.RT!E22</t>
        </is>
      </c>
      <c r="E575" s="22" t="inlineStr">
        <is>
          <t>'=CHISQ.DIST.RT(C21, C22)</t>
        </is>
      </c>
      <c r="F575" s="34">
        <f>CHISQ.DIST.RT('CHISQ.DIST.RT'!C21, 'CHISQ.DIST.RT'!C22)</f>
        <v/>
      </c>
      <c r="G575" s="19" t="inlineStr">
        <is>
          <t>Hitung nilai probabilitas distribusi menggunakan fungsi CHISQ.DIST.RT dengan argumen nilai X di C21 dan derajat kebebasan di C22!</t>
        </is>
      </c>
    </row>
    <row r="576">
      <c r="A576" s="5" t="n">
        <v>572</v>
      </c>
      <c r="B576" s="8" t="inlineStr">
        <is>
          <t>CHISQ.DIST.RT</t>
        </is>
      </c>
      <c r="C576" s="6" t="inlineStr">
        <is>
          <t>Soal Tes #2</t>
        </is>
      </c>
      <c r="D576" s="33" t="inlineStr">
        <is>
          <t>CHISQ.DIST.RT!E30</t>
        </is>
      </c>
      <c r="E576" s="22" t="inlineStr">
        <is>
          <t>'=CHISQ.DIST.RT(C29, C30)</t>
        </is>
      </c>
      <c r="F576" s="34">
        <f>CHISQ.DIST.RT('CHISQ.DIST.RT'!C29, 'CHISQ.DIST.RT'!C30)</f>
        <v/>
      </c>
      <c r="G576" s="19" t="inlineStr">
        <is>
          <t>Hitung nilai probabilitas distribusi menggunakan fungsi CHISQ.DIST.RT dengan argumen nilai X di C29 dan derajat kebebasan di C30!</t>
        </is>
      </c>
    </row>
    <row r="577">
      <c r="A577" s="5" t="n">
        <v>573</v>
      </c>
      <c r="B577" s="8" t="inlineStr">
        <is>
          <t>CHISQ.DIST.RT</t>
        </is>
      </c>
      <c r="C577" s="6" t="inlineStr">
        <is>
          <t>Soal Tes #3</t>
        </is>
      </c>
      <c r="D577" s="33" t="inlineStr">
        <is>
          <t>CHISQ.DIST.RT!E38</t>
        </is>
      </c>
      <c r="E577" s="22" t="inlineStr">
        <is>
          <t>'=CHISQ.DIST.RT(C37, C38)</t>
        </is>
      </c>
      <c r="F577" s="34">
        <f>CHISQ.DIST.RT('CHISQ.DIST.RT'!C37, 'CHISQ.DIST.RT'!C38)</f>
        <v/>
      </c>
      <c r="G577" s="19" t="inlineStr">
        <is>
          <t>Hitung nilai probabilitas distribusi menggunakan fungsi CHISQ.DIST.RT dengan argumen nilai X di C37 dan derajat kebebasan di C38!</t>
        </is>
      </c>
    </row>
    <row r="578">
      <c r="A578" s="5" t="n">
        <v>574</v>
      </c>
      <c r="B578" s="8" t="inlineStr">
        <is>
          <t>CHISQ.DIST.RT</t>
        </is>
      </c>
      <c r="C578" s="6" t="inlineStr">
        <is>
          <t>Soal Tes #4</t>
        </is>
      </c>
      <c r="D578" s="33" t="inlineStr">
        <is>
          <t>CHISQ.DIST.RT!E46</t>
        </is>
      </c>
      <c r="E578" s="22" t="inlineStr">
        <is>
          <t>'=CHISQ.DIST.RT(C45, C46)</t>
        </is>
      </c>
      <c r="F578" s="34">
        <f>CHISQ.DIST.RT('CHISQ.DIST.RT'!C45, 'CHISQ.DIST.RT'!C46)</f>
        <v/>
      </c>
      <c r="G578" s="19" t="inlineStr">
        <is>
          <t>Hitung nilai probabilitas distribusi menggunakan fungsi CHISQ.DIST.RT dengan argumen nilai X di C45 dan derajat kebebasan di C46!</t>
        </is>
      </c>
    </row>
    <row r="579">
      <c r="A579" s="5" t="n">
        <v>575</v>
      </c>
      <c r="B579" s="8" t="inlineStr">
        <is>
          <t>CHISQ.DIST.RT</t>
        </is>
      </c>
      <c r="C579" s="6" t="inlineStr">
        <is>
          <t>Soal Tes #5</t>
        </is>
      </c>
      <c r="D579" s="33" t="inlineStr">
        <is>
          <t>CHISQ.DIST.RT!E54</t>
        </is>
      </c>
      <c r="E579" s="22" t="inlineStr">
        <is>
          <t>'=CHISQ.DIST.RT(C53, C54)</t>
        </is>
      </c>
      <c r="F579" s="34">
        <f>CHISQ.DIST.RT('CHISQ.DIST.RT'!C53, 'CHISQ.DIST.RT'!C54)</f>
        <v/>
      </c>
      <c r="G579" s="19" t="inlineStr">
        <is>
          <t>Hitung nilai probabilitas distribusi menggunakan fungsi CHISQ.DIST.RT dengan argumen nilai X di C53 dan derajat kebebasan di C54!</t>
        </is>
      </c>
    </row>
    <row r="580">
      <c r="A580" s="5" t="n">
        <v>576</v>
      </c>
      <c r="B580" s="8" t="inlineStr">
        <is>
          <t>CHISQ.INV</t>
        </is>
      </c>
      <c r="C580" s="6" t="inlineStr">
        <is>
          <t>Soal Tes #1</t>
        </is>
      </c>
      <c r="D580" s="33" t="inlineStr">
        <is>
          <t>CHISQ.INV!E22</t>
        </is>
      </c>
      <c r="E580" s="22" t="inlineStr">
        <is>
          <t>'=CHISQ.INV(C21, C22)</t>
        </is>
      </c>
      <c r="F580" s="34">
        <f>CHISQ.INV('CHISQ.INV'!C21, 'CHISQ.INV'!C22)</f>
        <v/>
      </c>
      <c r="G580" s="19" t="inlineStr">
        <is>
          <t>Hitung nilai invers distribusi menggunakan fungsi CHISQ.INV dengan probabilitas di C21 dan derajat kebebasan di C22!</t>
        </is>
      </c>
    </row>
    <row r="581">
      <c r="A581" s="5" t="n">
        <v>577</v>
      </c>
      <c r="B581" s="8" t="inlineStr">
        <is>
          <t>CHISQ.INV</t>
        </is>
      </c>
      <c r="C581" s="6" t="inlineStr">
        <is>
          <t>Soal Tes #2</t>
        </is>
      </c>
      <c r="D581" s="33" t="inlineStr">
        <is>
          <t>CHISQ.INV!E30</t>
        </is>
      </c>
      <c r="E581" s="22" t="inlineStr">
        <is>
          <t>'=CHISQ.INV(C29, C30)</t>
        </is>
      </c>
      <c r="F581" s="34">
        <f>CHISQ.INV('CHISQ.INV'!C29, 'CHISQ.INV'!C30)</f>
        <v/>
      </c>
      <c r="G581" s="19" t="inlineStr">
        <is>
          <t>Hitung nilai invers distribusi menggunakan fungsi CHISQ.INV dengan probabilitas di C29 dan derajat kebebasan di C30!</t>
        </is>
      </c>
    </row>
    <row r="582">
      <c r="A582" s="5" t="n">
        <v>578</v>
      </c>
      <c r="B582" s="8" t="inlineStr">
        <is>
          <t>CHISQ.INV</t>
        </is>
      </c>
      <c r="C582" s="6" t="inlineStr">
        <is>
          <t>Soal Tes #3</t>
        </is>
      </c>
      <c r="D582" s="33" t="inlineStr">
        <is>
          <t>CHISQ.INV!E38</t>
        </is>
      </c>
      <c r="E582" s="22" t="inlineStr">
        <is>
          <t>'=CHISQ.INV(C37, C38)</t>
        </is>
      </c>
      <c r="F582" s="34">
        <f>CHISQ.INV('CHISQ.INV'!C37, 'CHISQ.INV'!C38)</f>
        <v/>
      </c>
      <c r="G582" s="19" t="inlineStr">
        <is>
          <t>Hitung nilai invers distribusi menggunakan fungsi CHISQ.INV dengan probabilitas di C37 dan derajat kebebasan di C38!</t>
        </is>
      </c>
    </row>
    <row r="583">
      <c r="A583" s="5" t="n">
        <v>579</v>
      </c>
      <c r="B583" s="8" t="inlineStr">
        <is>
          <t>CHISQ.INV</t>
        </is>
      </c>
      <c r="C583" s="6" t="inlineStr">
        <is>
          <t>Soal Tes #4</t>
        </is>
      </c>
      <c r="D583" s="33" t="inlineStr">
        <is>
          <t>CHISQ.INV!E46</t>
        </is>
      </c>
      <c r="E583" s="22" t="inlineStr">
        <is>
          <t>'=CHISQ.INV(C45, C46)</t>
        </is>
      </c>
      <c r="F583" s="34">
        <f>CHISQ.INV('CHISQ.INV'!C45, 'CHISQ.INV'!C46)</f>
        <v/>
      </c>
      <c r="G583" s="19" t="inlineStr">
        <is>
          <t>Hitung nilai invers distribusi menggunakan fungsi CHISQ.INV dengan probabilitas di C45 dan derajat kebebasan di C46!</t>
        </is>
      </c>
    </row>
    <row r="584">
      <c r="A584" s="5" t="n">
        <v>580</v>
      </c>
      <c r="B584" s="8" t="inlineStr">
        <is>
          <t>CHISQ.INV</t>
        </is>
      </c>
      <c r="C584" s="6" t="inlineStr">
        <is>
          <t>Soal Tes #5</t>
        </is>
      </c>
      <c r="D584" s="33" t="inlineStr">
        <is>
          <t>CHISQ.INV!E54</t>
        </is>
      </c>
      <c r="E584" s="22" t="inlineStr">
        <is>
          <t>'=CHISQ.INV(C53, C54)</t>
        </is>
      </c>
      <c r="F584" s="34">
        <f>CHISQ.INV('CHISQ.INV'!C53, 'CHISQ.INV'!C54)</f>
        <v/>
      </c>
      <c r="G584" s="19" t="inlineStr">
        <is>
          <t>Hitung nilai invers distribusi menggunakan fungsi CHISQ.INV dengan probabilitas di C53 dan derajat kebebasan di C54!</t>
        </is>
      </c>
    </row>
    <row r="585">
      <c r="A585" s="5" t="n">
        <v>581</v>
      </c>
      <c r="B585" s="8" t="inlineStr">
        <is>
          <t>CHISQ.RT.INV</t>
        </is>
      </c>
      <c r="C585" s="6" t="inlineStr">
        <is>
          <t>Soal Tes #1</t>
        </is>
      </c>
      <c r="D585" s="33" t="inlineStr">
        <is>
          <t>CHISQ.RT.INV!E22</t>
        </is>
      </c>
      <c r="E585" s="22" t="inlineStr">
        <is>
          <t>'=CHISQ.INV.RT(C21, C22)</t>
        </is>
      </c>
      <c r="F585" s="34">
        <f>CHISQ.INV.RT('CHISQ.RT.INV'!C21, 'CHISQ.RT.INV'!C22)</f>
        <v/>
      </c>
      <c r="G585" s="19" t="inlineStr">
        <is>
          <t>Hitung nilai invers distribusi menggunakan fungsi CHISQ.INV.RT dengan probabilitas di C21 dan derajat kebebasan di C22!</t>
        </is>
      </c>
    </row>
    <row r="586">
      <c r="A586" s="5" t="n">
        <v>582</v>
      </c>
      <c r="B586" s="8" t="inlineStr">
        <is>
          <t>CHISQ.RT.INV</t>
        </is>
      </c>
      <c r="C586" s="6" t="inlineStr">
        <is>
          <t>Soal Tes #2</t>
        </is>
      </c>
      <c r="D586" s="33" t="inlineStr">
        <is>
          <t>CHISQ.RT.INV!E30</t>
        </is>
      </c>
      <c r="E586" s="22" t="inlineStr">
        <is>
          <t>'=CHISQ.INV.RT(C29, C30)</t>
        </is>
      </c>
      <c r="F586" s="34">
        <f>CHISQ.INV.RT('CHISQ.RT.INV'!C29, 'CHISQ.RT.INV'!C30)</f>
        <v/>
      </c>
      <c r="G586" s="19" t="inlineStr">
        <is>
          <t>Hitung nilai invers distribusi menggunakan fungsi CHISQ.INV.RT dengan probabilitas di C29 dan derajat kebebasan di C30!</t>
        </is>
      </c>
    </row>
    <row r="587">
      <c r="A587" s="5" t="n">
        <v>583</v>
      </c>
      <c r="B587" s="8" t="inlineStr">
        <is>
          <t>CHISQ.RT.INV</t>
        </is>
      </c>
      <c r="C587" s="6" t="inlineStr">
        <is>
          <t>Soal Tes #3</t>
        </is>
      </c>
      <c r="D587" s="33" t="inlineStr">
        <is>
          <t>CHISQ.RT.INV!E38</t>
        </is>
      </c>
      <c r="E587" s="22" t="inlineStr">
        <is>
          <t>'=CHISQ.INV.RT(C37, C38)</t>
        </is>
      </c>
      <c r="F587" s="34">
        <f>CHISQ.INV.RT('CHISQ.RT.INV'!C37, 'CHISQ.RT.INV'!C38)</f>
        <v/>
      </c>
      <c r="G587" s="19" t="inlineStr">
        <is>
          <t>Hitung nilai invers distribusi menggunakan fungsi CHISQ.INV.RT dengan probabilitas di C37 dan derajat kebebasan di C38!</t>
        </is>
      </c>
    </row>
    <row r="588">
      <c r="A588" s="5" t="n">
        <v>584</v>
      </c>
      <c r="B588" s="8" t="inlineStr">
        <is>
          <t>CHISQ.RT.INV</t>
        </is>
      </c>
      <c r="C588" s="6" t="inlineStr">
        <is>
          <t>Soal Tes #4</t>
        </is>
      </c>
      <c r="D588" s="33" t="inlineStr">
        <is>
          <t>CHISQ.RT.INV!E46</t>
        </is>
      </c>
      <c r="E588" s="22" t="inlineStr">
        <is>
          <t>'=CHISQ.INV.RT(C45, C46)</t>
        </is>
      </c>
      <c r="F588" s="34">
        <f>CHISQ.INV.RT('CHISQ.RT.INV'!C45, 'CHISQ.RT.INV'!C46)</f>
        <v/>
      </c>
      <c r="G588" s="19" t="inlineStr">
        <is>
          <t>Hitung nilai invers distribusi menggunakan fungsi CHISQ.INV.RT dengan probabilitas di C45 dan derajat kebebasan di C46!</t>
        </is>
      </c>
    </row>
    <row r="589">
      <c r="A589" s="5" t="n">
        <v>585</v>
      </c>
      <c r="B589" s="8" t="inlineStr">
        <is>
          <t>CHISQ.RT.INV</t>
        </is>
      </c>
      <c r="C589" s="6" t="inlineStr">
        <is>
          <t>Soal Tes #5</t>
        </is>
      </c>
      <c r="D589" s="33" t="inlineStr">
        <is>
          <t>CHISQ.RT.INV!E54</t>
        </is>
      </c>
      <c r="E589" s="22" t="inlineStr">
        <is>
          <t>'=CHISQ.INV.RT(C53, C54)</t>
        </is>
      </c>
      <c r="F589" s="34">
        <f>CHISQ.INV.RT('CHISQ.RT.INV'!C53, 'CHISQ.RT.INV'!C54)</f>
        <v/>
      </c>
      <c r="G589" s="19" t="inlineStr">
        <is>
          <t>Hitung nilai invers distribusi menggunakan fungsi CHISQ.INV.RT dengan probabilitas di C53 dan derajat kebebasan di C54!</t>
        </is>
      </c>
    </row>
    <row r="590">
      <c r="A590" s="5" t="n">
        <v>586</v>
      </c>
      <c r="B590" s="8" t="inlineStr">
        <is>
          <t>CHITEST</t>
        </is>
      </c>
      <c r="C590" s="6" t="inlineStr">
        <is>
          <t>Soal Tes #1</t>
        </is>
      </c>
      <c r="D590" s="33" t="inlineStr">
        <is>
          <t>CHITEST!E22</t>
        </is>
      </c>
      <c r="E590" s="22" t="inlineStr">
        <is>
          <t>'=CHITEST(B21:B24, C21:C24)</t>
        </is>
      </c>
      <c r="F590" s="34">
        <f>CHITEST('CHITEST'!B21:B24, 'CHITEST'!C21:C24)</f>
        <v/>
      </c>
      <c r="G590" s="19" t="inlineStr">
        <is>
          <t>Analisis hubungan antara data pertama (B21:B24) dan data kedua (C21:C24) menggunakan fungsi CHITEST!</t>
        </is>
      </c>
    </row>
    <row r="591">
      <c r="A591" s="5" t="n">
        <v>587</v>
      </c>
      <c r="B591" s="8" t="inlineStr">
        <is>
          <t>CHITEST</t>
        </is>
      </c>
      <c r="C591" s="6" t="inlineStr">
        <is>
          <t>Soal Tes #2</t>
        </is>
      </c>
      <c r="D591" s="33" t="inlineStr">
        <is>
          <t>CHITEST!E30</t>
        </is>
      </c>
      <c r="E591" s="22" t="inlineStr">
        <is>
          <t>'=CHITEST(B29:B32, C29:C32)</t>
        </is>
      </c>
      <c r="F591" s="34">
        <f>CHITEST('CHITEST'!B29:B32, 'CHITEST'!C29:C32)</f>
        <v/>
      </c>
      <c r="G591" s="19" t="inlineStr">
        <is>
          <t>Analisis hubungan antara data pertama (B29:B32) dan data kedua (C29:C32) menggunakan fungsi CHITEST!</t>
        </is>
      </c>
    </row>
    <row r="592">
      <c r="A592" s="5" t="n">
        <v>588</v>
      </c>
      <c r="B592" s="8" t="inlineStr">
        <is>
          <t>CHITEST</t>
        </is>
      </c>
      <c r="C592" s="6" t="inlineStr">
        <is>
          <t>Soal Tes #3</t>
        </is>
      </c>
      <c r="D592" s="33" t="inlineStr">
        <is>
          <t>CHITEST!E38</t>
        </is>
      </c>
      <c r="E592" s="22" t="inlineStr">
        <is>
          <t>'=CHITEST(B37:B40, C37:C40)</t>
        </is>
      </c>
      <c r="F592" s="34">
        <f>CHITEST('CHITEST'!B37:B40, 'CHITEST'!C37:C40)</f>
        <v/>
      </c>
      <c r="G592" s="19" t="inlineStr">
        <is>
          <t>Analisis hubungan antara data pertama (B37:B40) dan data kedua (C37:C40) menggunakan fungsi CHITEST!</t>
        </is>
      </c>
    </row>
    <row r="593">
      <c r="A593" s="5" t="n">
        <v>589</v>
      </c>
      <c r="B593" s="8" t="inlineStr">
        <is>
          <t>CHITEST</t>
        </is>
      </c>
      <c r="C593" s="6" t="inlineStr">
        <is>
          <t>Soal Tes #4</t>
        </is>
      </c>
      <c r="D593" s="33" t="inlineStr">
        <is>
          <t>CHITEST!E46</t>
        </is>
      </c>
      <c r="E593" s="22" t="inlineStr">
        <is>
          <t>'=CHITEST(B45:B48, C45:C48)</t>
        </is>
      </c>
      <c r="F593" s="34">
        <f>CHITEST('CHITEST'!B45:B48, 'CHITEST'!C45:C48)</f>
        <v/>
      </c>
      <c r="G593" s="19" t="inlineStr">
        <is>
          <t>Analisis hubungan antara data pertama (B45:B48) dan data kedua (C45:C48) menggunakan fungsi CHITEST!</t>
        </is>
      </c>
    </row>
    <row r="594">
      <c r="A594" s="5" t="n">
        <v>590</v>
      </c>
      <c r="B594" s="8" t="inlineStr">
        <is>
          <t>CHITEST</t>
        </is>
      </c>
      <c r="C594" s="6" t="inlineStr">
        <is>
          <t>Soal Tes #5</t>
        </is>
      </c>
      <c r="D594" s="33" t="inlineStr">
        <is>
          <t>CHITEST!E54</t>
        </is>
      </c>
      <c r="E594" s="22" t="inlineStr">
        <is>
          <t>'=CHITEST(B53:B56, C53:C56)</t>
        </is>
      </c>
      <c r="F594" s="34">
        <f>CHITEST('CHITEST'!B53:B56, 'CHITEST'!C53:C56)</f>
        <v/>
      </c>
      <c r="G594" s="19" t="inlineStr">
        <is>
          <t>Analisis hubungan antara data pertama (B53:B56) dan data kedua (C53:C56) menggunakan fungsi CHITEST!</t>
        </is>
      </c>
    </row>
    <row r="595">
      <c r="A595" s="5" t="n">
        <v>591</v>
      </c>
      <c r="B595" s="8" t="inlineStr">
        <is>
          <t>CONFIDENCE.NORM</t>
        </is>
      </c>
      <c r="C595" s="6" t="inlineStr">
        <is>
          <t>Soal Tes #1</t>
        </is>
      </c>
      <c r="D595" s="33" t="inlineStr">
        <is>
          <t>CONFIDENCE.NORM!E22</t>
        </is>
      </c>
      <c r="E595" s="22" t="inlineStr">
        <is>
          <t>'=CONFIDENCE.NORM(C21, C22, C23)</t>
        </is>
      </c>
      <c r="F595" s="34">
        <f>CONFIDENCE.NORM('CONFIDENCE.NORM'!C21, 'CONFIDENCE.NORM'!C22, 'CONFIDENCE.NORM'!C23)</f>
        <v/>
      </c>
      <c r="G595" s="19" t="inlineStr">
        <is>
          <t>Hitung rentang kepercayaan menggunakan fungsi CONFIDENCE.NORM dengan Alpha di C21, Standar Deviasi di C22, dan Ukuran Sampel di C23!</t>
        </is>
      </c>
    </row>
    <row r="596">
      <c r="A596" s="5" t="n">
        <v>592</v>
      </c>
      <c r="B596" s="8" t="inlineStr">
        <is>
          <t>CONFIDENCE.NORM</t>
        </is>
      </c>
      <c r="C596" s="6" t="inlineStr">
        <is>
          <t>Soal Tes #2</t>
        </is>
      </c>
      <c r="D596" s="33" t="inlineStr">
        <is>
          <t>CONFIDENCE.NORM!E30</t>
        </is>
      </c>
      <c r="E596" s="22" t="inlineStr">
        <is>
          <t>'=CONFIDENCE.NORM(C29, C30, C31)</t>
        </is>
      </c>
      <c r="F596" s="34">
        <f>CONFIDENCE.NORM('CONFIDENCE.NORM'!C29, 'CONFIDENCE.NORM'!C30, 'CONFIDENCE.NORM'!C31)</f>
        <v/>
      </c>
      <c r="G596" s="19" t="inlineStr">
        <is>
          <t>Hitung rentang kepercayaan menggunakan fungsi CONFIDENCE.NORM dengan Alpha di C29, Standar Deviasi di C30, dan Ukuran Sampel di C31!</t>
        </is>
      </c>
    </row>
    <row r="597">
      <c r="A597" s="5" t="n">
        <v>593</v>
      </c>
      <c r="B597" s="8" t="inlineStr">
        <is>
          <t>CONFIDENCE.NORM</t>
        </is>
      </c>
      <c r="C597" s="6" t="inlineStr">
        <is>
          <t>Soal Tes #3</t>
        </is>
      </c>
      <c r="D597" s="33" t="inlineStr">
        <is>
          <t>CONFIDENCE.NORM!E38</t>
        </is>
      </c>
      <c r="E597" s="22" t="inlineStr">
        <is>
          <t>'=CONFIDENCE.NORM(C37, C38, C39)</t>
        </is>
      </c>
      <c r="F597" s="34">
        <f>CONFIDENCE.NORM('CONFIDENCE.NORM'!C37, 'CONFIDENCE.NORM'!C38, 'CONFIDENCE.NORM'!C39)</f>
        <v/>
      </c>
      <c r="G597" s="19" t="inlineStr">
        <is>
          <t>Hitung rentang kepercayaan menggunakan fungsi CONFIDENCE.NORM dengan Alpha di C37, Standar Deviasi di C38, dan Ukuran Sampel di C39!</t>
        </is>
      </c>
    </row>
    <row r="598">
      <c r="A598" s="5" t="n">
        <v>594</v>
      </c>
      <c r="B598" s="8" t="inlineStr">
        <is>
          <t>CONFIDENCE.NORM</t>
        </is>
      </c>
      <c r="C598" s="6" t="inlineStr">
        <is>
          <t>Soal Tes #4</t>
        </is>
      </c>
      <c r="D598" s="33" t="inlineStr">
        <is>
          <t>CONFIDENCE.NORM!E46</t>
        </is>
      </c>
      <c r="E598" s="22" t="inlineStr">
        <is>
          <t>'=CONFIDENCE.NORM(C45, C46, C47)</t>
        </is>
      </c>
      <c r="F598" s="34">
        <f>CONFIDENCE.NORM('CONFIDENCE.NORM'!C45, 'CONFIDENCE.NORM'!C46, 'CONFIDENCE.NORM'!C47)</f>
        <v/>
      </c>
      <c r="G598" s="19" t="inlineStr">
        <is>
          <t>Hitung rentang kepercayaan menggunakan fungsi CONFIDENCE.NORM dengan Alpha di C45, Standar Deviasi di C46, dan Ukuran Sampel di C47!</t>
        </is>
      </c>
    </row>
    <row r="599">
      <c r="A599" s="5" t="n">
        <v>595</v>
      </c>
      <c r="B599" s="8" t="inlineStr">
        <is>
          <t>CONFIDENCE.NORM</t>
        </is>
      </c>
      <c r="C599" s="6" t="inlineStr">
        <is>
          <t>Soal Tes #5</t>
        </is>
      </c>
      <c r="D599" s="33" t="inlineStr">
        <is>
          <t>CONFIDENCE.NORM!E54</t>
        </is>
      </c>
      <c r="E599" s="22" t="inlineStr">
        <is>
          <t>'=CONFIDENCE.NORM(C53, C54, C55)</t>
        </is>
      </c>
      <c r="F599" s="34">
        <f>CONFIDENCE.NORM('CONFIDENCE.NORM'!C53, 'CONFIDENCE.NORM'!C54, 'CONFIDENCE.NORM'!C55)</f>
        <v/>
      </c>
      <c r="G599" s="19" t="inlineStr">
        <is>
          <t>Hitung rentang kepercayaan menggunakan fungsi CONFIDENCE.NORM dengan Alpha di C53, Standar Deviasi di C54, dan Ukuran Sampel di C55!</t>
        </is>
      </c>
    </row>
    <row r="600">
      <c r="A600" s="5" t="n">
        <v>596</v>
      </c>
      <c r="B600" s="8" t="inlineStr">
        <is>
          <t>CONFIDENCE.T</t>
        </is>
      </c>
      <c r="C600" s="6" t="inlineStr">
        <is>
          <t>Soal Tes #1</t>
        </is>
      </c>
      <c r="D600" s="33" t="inlineStr">
        <is>
          <t>CONFIDENCE.T!E22</t>
        </is>
      </c>
      <c r="E600" s="22" t="inlineStr">
        <is>
          <t>'=CONFIDENCE.T(C21, C22, C23)</t>
        </is>
      </c>
      <c r="F600" s="34">
        <f>CONFIDENCE.T('CONFIDENCE.T'!C21, 'CONFIDENCE.T'!C22, 'CONFIDENCE.T'!C23)</f>
        <v/>
      </c>
      <c r="G600" s="19" t="inlineStr">
        <is>
          <t>Hitung rentang kepercayaan menggunakan fungsi CONFIDENCE.T dengan Alpha di C21, Standar Deviasi di C22, dan Ukuran Sampel di C23!</t>
        </is>
      </c>
    </row>
    <row r="601">
      <c r="A601" s="5" t="n">
        <v>597</v>
      </c>
      <c r="B601" s="8" t="inlineStr">
        <is>
          <t>CONFIDENCE.T</t>
        </is>
      </c>
      <c r="C601" s="6" t="inlineStr">
        <is>
          <t>Soal Tes #2</t>
        </is>
      </c>
      <c r="D601" s="33" t="inlineStr">
        <is>
          <t>CONFIDENCE.T!E30</t>
        </is>
      </c>
      <c r="E601" s="22" t="inlineStr">
        <is>
          <t>'=CONFIDENCE.T(C29, C30, C31)</t>
        </is>
      </c>
      <c r="F601" s="34">
        <f>CONFIDENCE.T('CONFIDENCE.T'!C29, 'CONFIDENCE.T'!C30, 'CONFIDENCE.T'!C31)</f>
        <v/>
      </c>
      <c r="G601" s="19" t="inlineStr">
        <is>
          <t>Hitung rentang kepercayaan menggunakan fungsi CONFIDENCE.T dengan Alpha di C29, Standar Deviasi di C30, dan Ukuran Sampel di C31!</t>
        </is>
      </c>
    </row>
    <row r="602">
      <c r="A602" s="5" t="n">
        <v>598</v>
      </c>
      <c r="B602" s="8" t="inlineStr">
        <is>
          <t>CONFIDENCE.T</t>
        </is>
      </c>
      <c r="C602" s="6" t="inlineStr">
        <is>
          <t>Soal Tes #3</t>
        </is>
      </c>
      <c r="D602" s="33" t="inlineStr">
        <is>
          <t>CONFIDENCE.T!E38</t>
        </is>
      </c>
      <c r="E602" s="22" t="inlineStr">
        <is>
          <t>'=CONFIDENCE.T(C37, C38, C39)</t>
        </is>
      </c>
      <c r="F602" s="34">
        <f>CONFIDENCE.T('CONFIDENCE.T'!C37, 'CONFIDENCE.T'!C38, 'CONFIDENCE.T'!C39)</f>
        <v/>
      </c>
      <c r="G602" s="19" t="inlineStr">
        <is>
          <t>Hitung rentang kepercayaan menggunakan fungsi CONFIDENCE.T dengan Alpha di C37, Standar Deviasi di C38, dan Ukuran Sampel di C39!</t>
        </is>
      </c>
    </row>
    <row r="603">
      <c r="A603" s="5" t="n">
        <v>599</v>
      </c>
      <c r="B603" s="8" t="inlineStr">
        <is>
          <t>CONFIDENCE.T</t>
        </is>
      </c>
      <c r="C603" s="6" t="inlineStr">
        <is>
          <t>Soal Tes #4</t>
        </is>
      </c>
      <c r="D603" s="33" t="inlineStr">
        <is>
          <t>CONFIDENCE.T!E46</t>
        </is>
      </c>
      <c r="E603" s="22" t="inlineStr">
        <is>
          <t>'=CONFIDENCE.T(C45, C46, C47)</t>
        </is>
      </c>
      <c r="F603" s="34">
        <f>CONFIDENCE.T('CONFIDENCE.T'!C45, 'CONFIDENCE.T'!C46, 'CONFIDENCE.T'!C47)</f>
        <v/>
      </c>
      <c r="G603" s="19" t="inlineStr">
        <is>
          <t>Hitung rentang kepercayaan menggunakan fungsi CONFIDENCE.T dengan Alpha di C45, Standar Deviasi di C46, dan Ukuran Sampel di C47!</t>
        </is>
      </c>
    </row>
    <row r="604">
      <c r="A604" s="5" t="n">
        <v>600</v>
      </c>
      <c r="B604" s="8" t="inlineStr">
        <is>
          <t>CONFIDENCE.T</t>
        </is>
      </c>
      <c r="C604" s="6" t="inlineStr">
        <is>
          <t>Soal Tes #5</t>
        </is>
      </c>
      <c r="D604" s="33" t="inlineStr">
        <is>
          <t>CONFIDENCE.T!E54</t>
        </is>
      </c>
      <c r="E604" s="22" t="inlineStr">
        <is>
          <t>'=CONFIDENCE.T(C53, C54, C55)</t>
        </is>
      </c>
      <c r="F604" s="34">
        <f>CONFIDENCE.T('CONFIDENCE.T'!C53, 'CONFIDENCE.T'!C54, 'CONFIDENCE.T'!C55)</f>
        <v/>
      </c>
      <c r="G604" s="19" t="inlineStr">
        <is>
          <t>Hitung rentang kepercayaan menggunakan fungsi CONFIDENCE.T dengan Alpha di C53, Standar Deviasi di C54, dan Ukuran Sampel di C55!</t>
        </is>
      </c>
    </row>
    <row r="605">
      <c r="A605" s="5" t="n">
        <v>601</v>
      </c>
      <c r="B605" s="8" t="inlineStr">
        <is>
          <t>CORREL</t>
        </is>
      </c>
      <c r="C605" s="6" t="inlineStr">
        <is>
          <t>Soal Tes #1</t>
        </is>
      </c>
      <c r="D605" s="33" t="inlineStr">
        <is>
          <t>CORREL!E22</t>
        </is>
      </c>
      <c r="E605" s="22" t="inlineStr">
        <is>
          <t>'=CORREL(B21:B24, C21:C24)</t>
        </is>
      </c>
      <c r="F605" s="34">
        <f>CORREL('CORREL'!B21:B24, 'CORREL'!C21:C24)</f>
        <v/>
      </c>
      <c r="G605" s="19" t="inlineStr">
        <is>
          <t>Analisis hubungan antara data pertama (B21:B24) dan data kedua (C21:C24) menggunakan fungsi CORREL!</t>
        </is>
      </c>
    </row>
    <row r="606">
      <c r="A606" s="5" t="n">
        <v>602</v>
      </c>
      <c r="B606" s="8" t="inlineStr">
        <is>
          <t>CORREL</t>
        </is>
      </c>
      <c r="C606" s="6" t="inlineStr">
        <is>
          <t>Soal Tes #2</t>
        </is>
      </c>
      <c r="D606" s="33" t="inlineStr">
        <is>
          <t>CORREL!E30</t>
        </is>
      </c>
      <c r="E606" s="22" t="inlineStr">
        <is>
          <t>'=CORREL(B29:B32, C29:C32)</t>
        </is>
      </c>
      <c r="F606" s="34">
        <f>CORREL('CORREL'!B29:B32, 'CORREL'!C29:C32)</f>
        <v/>
      </c>
      <c r="G606" s="19" t="inlineStr">
        <is>
          <t>Analisis hubungan antara data pertama (B29:B32) dan data kedua (C29:C32) menggunakan fungsi CORREL!</t>
        </is>
      </c>
    </row>
    <row r="607">
      <c r="A607" s="5" t="n">
        <v>603</v>
      </c>
      <c r="B607" s="8" t="inlineStr">
        <is>
          <t>CORREL</t>
        </is>
      </c>
      <c r="C607" s="6" t="inlineStr">
        <is>
          <t>Soal Tes #3</t>
        </is>
      </c>
      <c r="D607" s="33" t="inlineStr">
        <is>
          <t>CORREL!E38</t>
        </is>
      </c>
      <c r="E607" s="22" t="inlineStr">
        <is>
          <t>'=CORREL(B37:B40, C37:C40)</t>
        </is>
      </c>
      <c r="F607" s="34">
        <f>CORREL('CORREL'!B37:B40, 'CORREL'!C37:C40)</f>
        <v/>
      </c>
      <c r="G607" s="19" t="inlineStr">
        <is>
          <t>Analisis hubungan antara data pertama (B37:B40) dan data kedua (C37:C40) menggunakan fungsi CORREL!</t>
        </is>
      </c>
    </row>
    <row r="608">
      <c r="A608" s="5" t="n">
        <v>604</v>
      </c>
      <c r="B608" s="8" t="inlineStr">
        <is>
          <t>CORREL</t>
        </is>
      </c>
      <c r="C608" s="6" t="inlineStr">
        <is>
          <t>Soal Tes #4</t>
        </is>
      </c>
      <c r="D608" s="33" t="inlineStr">
        <is>
          <t>CORREL!E46</t>
        </is>
      </c>
      <c r="E608" s="22" t="inlineStr">
        <is>
          <t>'=CORREL(B45:B48, C45:C48)</t>
        </is>
      </c>
      <c r="F608" s="34">
        <f>CORREL('CORREL'!B45:B48, 'CORREL'!C45:C48)</f>
        <v/>
      </c>
      <c r="G608" s="19" t="inlineStr">
        <is>
          <t>Analisis hubungan antara data pertama (B45:B48) dan data kedua (C45:C48) menggunakan fungsi CORREL!</t>
        </is>
      </c>
    </row>
    <row r="609">
      <c r="A609" s="5" t="n">
        <v>605</v>
      </c>
      <c r="B609" s="8" t="inlineStr">
        <is>
          <t>CORREL</t>
        </is>
      </c>
      <c r="C609" s="6" t="inlineStr">
        <is>
          <t>Soal Tes #5</t>
        </is>
      </c>
      <c r="D609" s="33" t="inlineStr">
        <is>
          <t>CORREL!E54</t>
        </is>
      </c>
      <c r="E609" s="22" t="inlineStr">
        <is>
          <t>'=CORREL(B53:B56, C53:C56)</t>
        </is>
      </c>
      <c r="F609" s="34">
        <f>CORREL('CORREL'!B53:B56, 'CORREL'!C53:C56)</f>
        <v/>
      </c>
      <c r="G609" s="19" t="inlineStr">
        <is>
          <t>Analisis hubungan antara data pertama (B53:B56) dan data kedua (C53:C56) menggunakan fungsi CORREL!</t>
        </is>
      </c>
    </row>
    <row r="610">
      <c r="A610" s="5" t="n">
        <v>606</v>
      </c>
      <c r="B610" s="8" t="inlineStr">
        <is>
          <t>COUNT</t>
        </is>
      </c>
      <c r="C610" s="6" t="inlineStr">
        <is>
          <t>Soal Tes #1</t>
        </is>
      </c>
      <c r="D610" s="33" t="inlineStr">
        <is>
          <t>COUNT!E22</t>
        </is>
      </c>
      <c r="E610" s="22" t="inlineStr">
        <is>
          <t>'=COUNT(C21:C24)</t>
        </is>
      </c>
      <c r="F610" s="34">
        <f>COUNT('COUNT'!C21:C24)</f>
        <v/>
      </c>
      <c r="G610" s="19" t="inlineStr">
        <is>
          <t>Hitung hasil pengolahan fungsi COUNT untuk keempat baris data pada rentang C21:C24!</t>
        </is>
      </c>
    </row>
    <row r="611">
      <c r="A611" s="5" t="n">
        <v>607</v>
      </c>
      <c r="B611" s="8" t="inlineStr">
        <is>
          <t>COUNT</t>
        </is>
      </c>
      <c r="C611" s="6" t="inlineStr">
        <is>
          <t>Soal Tes #2</t>
        </is>
      </c>
      <c r="D611" s="33" t="inlineStr">
        <is>
          <t>COUNT!E30</t>
        </is>
      </c>
      <c r="E611" s="22" t="inlineStr">
        <is>
          <t>'=COUNT(C29:C32)</t>
        </is>
      </c>
      <c r="F611" s="34">
        <f>COUNT('COUNT'!C29:C32)</f>
        <v/>
      </c>
      <c r="G611" s="19" t="inlineStr">
        <is>
          <t>Hitung hasil pengolahan fungsi COUNT untuk keempat baris data pada rentang C29:C32!</t>
        </is>
      </c>
    </row>
    <row r="612">
      <c r="A612" s="5" t="n">
        <v>608</v>
      </c>
      <c r="B612" s="8" t="inlineStr">
        <is>
          <t>COUNT</t>
        </is>
      </c>
      <c r="C612" s="6" t="inlineStr">
        <is>
          <t>Soal Tes #3</t>
        </is>
      </c>
      <c r="D612" s="33" t="inlineStr">
        <is>
          <t>COUNT!E38</t>
        </is>
      </c>
      <c r="E612" s="22" t="inlineStr">
        <is>
          <t>'=COUNT(C37:C40)</t>
        </is>
      </c>
      <c r="F612" s="34">
        <f>COUNT('COUNT'!C37:C40)</f>
        <v/>
      </c>
      <c r="G612" s="19" t="inlineStr">
        <is>
          <t>Hitung hasil pengolahan fungsi COUNT untuk keempat baris data pada rentang C37:C40!</t>
        </is>
      </c>
    </row>
    <row r="613">
      <c r="A613" s="5" t="n">
        <v>609</v>
      </c>
      <c r="B613" s="8" t="inlineStr">
        <is>
          <t>COUNT</t>
        </is>
      </c>
      <c r="C613" s="6" t="inlineStr">
        <is>
          <t>Soal Tes #4</t>
        </is>
      </c>
      <c r="D613" s="33" t="inlineStr">
        <is>
          <t>COUNT!E46</t>
        </is>
      </c>
      <c r="E613" s="22" t="inlineStr">
        <is>
          <t>'=COUNT(C45:C48)</t>
        </is>
      </c>
      <c r="F613" s="34">
        <f>COUNT('COUNT'!C45:C48)</f>
        <v/>
      </c>
      <c r="G613" s="19" t="inlineStr">
        <is>
          <t>Hitung hasil pengolahan fungsi COUNT untuk keempat baris data pada rentang C45:C48!</t>
        </is>
      </c>
    </row>
    <row r="614">
      <c r="A614" s="5" t="n">
        <v>610</v>
      </c>
      <c r="B614" s="8" t="inlineStr">
        <is>
          <t>COUNT</t>
        </is>
      </c>
      <c r="C614" s="6" t="inlineStr">
        <is>
          <t>Soal Tes #5</t>
        </is>
      </c>
      <c r="D614" s="33" t="inlineStr">
        <is>
          <t>COUNT!E54</t>
        </is>
      </c>
      <c r="E614" s="22" t="inlineStr">
        <is>
          <t>'=COUNT(C53:C56)</t>
        </is>
      </c>
      <c r="F614" s="34">
        <f>COUNT('COUNT'!C53:C56)</f>
        <v/>
      </c>
      <c r="G614" s="19" t="inlineStr">
        <is>
          <t>Hitung hasil pengolahan fungsi COUNT untuk keempat baris data pada rentang C53:C56!</t>
        </is>
      </c>
    </row>
    <row r="615">
      <c r="A615" s="5" t="n">
        <v>611</v>
      </c>
      <c r="B615" s="8" t="inlineStr">
        <is>
          <t>COUNTA</t>
        </is>
      </c>
      <c r="C615" s="6" t="inlineStr">
        <is>
          <t>Soal Tes #1</t>
        </is>
      </c>
      <c r="D615" s="33" t="inlineStr">
        <is>
          <t>COUNTA!E22</t>
        </is>
      </c>
      <c r="E615" s="22" t="inlineStr">
        <is>
          <t>'=COUNTA(C21:C24)</t>
        </is>
      </c>
      <c r="F615" s="34">
        <f>COUNTA('COUNTA'!C21:C24)</f>
        <v/>
      </c>
      <c r="G615" s="19" t="inlineStr">
        <is>
          <t>Hitung hasil pengolahan fungsi COUNTA untuk keempat baris data pada rentang C21:C24!</t>
        </is>
      </c>
    </row>
    <row r="616">
      <c r="A616" s="5" t="n">
        <v>612</v>
      </c>
      <c r="B616" s="8" t="inlineStr">
        <is>
          <t>COUNTA</t>
        </is>
      </c>
      <c r="C616" s="6" t="inlineStr">
        <is>
          <t>Soal Tes #2</t>
        </is>
      </c>
      <c r="D616" s="33" t="inlineStr">
        <is>
          <t>COUNTA!E30</t>
        </is>
      </c>
      <c r="E616" s="22" t="inlineStr">
        <is>
          <t>'=COUNTA(C29:C32)</t>
        </is>
      </c>
      <c r="F616" s="34">
        <f>COUNTA('COUNTA'!C29:C32)</f>
        <v/>
      </c>
      <c r="G616" s="19" t="inlineStr">
        <is>
          <t>Hitung hasil pengolahan fungsi COUNTA untuk keempat baris data pada rentang C29:C32!</t>
        </is>
      </c>
    </row>
    <row r="617">
      <c r="A617" s="5" t="n">
        <v>613</v>
      </c>
      <c r="B617" s="8" t="inlineStr">
        <is>
          <t>COUNTA</t>
        </is>
      </c>
      <c r="C617" s="6" t="inlineStr">
        <is>
          <t>Soal Tes #3</t>
        </is>
      </c>
      <c r="D617" s="33" t="inlineStr">
        <is>
          <t>COUNTA!E38</t>
        </is>
      </c>
      <c r="E617" s="22" t="inlineStr">
        <is>
          <t>'=COUNTA(C37:C40)</t>
        </is>
      </c>
      <c r="F617" s="34">
        <f>COUNTA('COUNTA'!C37:C40)</f>
        <v/>
      </c>
      <c r="G617" s="19" t="inlineStr">
        <is>
          <t>Hitung hasil pengolahan fungsi COUNTA untuk keempat baris data pada rentang C37:C40!</t>
        </is>
      </c>
    </row>
    <row r="618">
      <c r="A618" s="5" t="n">
        <v>614</v>
      </c>
      <c r="B618" s="8" t="inlineStr">
        <is>
          <t>COUNTA</t>
        </is>
      </c>
      <c r="C618" s="6" t="inlineStr">
        <is>
          <t>Soal Tes #4</t>
        </is>
      </c>
      <c r="D618" s="33" t="inlineStr">
        <is>
          <t>COUNTA!E46</t>
        </is>
      </c>
      <c r="E618" s="22" t="inlineStr">
        <is>
          <t>'=COUNTA(C45:C48)</t>
        </is>
      </c>
      <c r="F618" s="34">
        <f>COUNTA('COUNTA'!C45:C48)</f>
        <v/>
      </c>
      <c r="G618" s="19" t="inlineStr">
        <is>
          <t>Hitung hasil pengolahan fungsi COUNTA untuk keempat baris data pada rentang C45:C48!</t>
        </is>
      </c>
    </row>
    <row r="619">
      <c r="A619" s="5" t="n">
        <v>615</v>
      </c>
      <c r="B619" s="8" t="inlineStr">
        <is>
          <t>COUNTA</t>
        </is>
      </c>
      <c r="C619" s="6" t="inlineStr">
        <is>
          <t>Soal Tes #5</t>
        </is>
      </c>
      <c r="D619" s="33" t="inlineStr">
        <is>
          <t>COUNTA!E54</t>
        </is>
      </c>
      <c r="E619" s="22" t="inlineStr">
        <is>
          <t>'=COUNTA(C53:C56)</t>
        </is>
      </c>
      <c r="F619" s="34">
        <f>COUNTA('COUNTA'!C53:C56)</f>
        <v/>
      </c>
      <c r="G619" s="19" t="inlineStr">
        <is>
          <t>Hitung hasil pengolahan fungsi COUNTA untuk keempat baris data pada rentang C53:C56!</t>
        </is>
      </c>
    </row>
    <row r="620">
      <c r="A620" s="5" t="n">
        <v>616</v>
      </c>
      <c r="B620" s="8" t="inlineStr">
        <is>
          <t>COUNTBLANK</t>
        </is>
      </c>
      <c r="C620" s="6" t="inlineStr">
        <is>
          <t>Soal Tes #1</t>
        </is>
      </c>
      <c r="D620" s="33" t="inlineStr">
        <is>
          <t>COUNTBLANK!E22</t>
        </is>
      </c>
      <c r="E620" s="22" t="inlineStr">
        <is>
          <t>'=COUNTBLANK(C21:C24)</t>
        </is>
      </c>
      <c r="F620" s="34">
        <f>COUNTBLANK('COUNTBLANK'!C21:C24)</f>
        <v/>
      </c>
      <c r="G620" s="19" t="inlineStr">
        <is>
          <t>Hitung berapa banyak sel yang masih kosong pada rentang data C21:C24 menggunakan fungsi COUNTBLANK!</t>
        </is>
      </c>
    </row>
    <row r="621">
      <c r="A621" s="5" t="n">
        <v>617</v>
      </c>
      <c r="B621" s="8" t="inlineStr">
        <is>
          <t>COUNTBLANK</t>
        </is>
      </c>
      <c r="C621" s="6" t="inlineStr">
        <is>
          <t>Soal Tes #2</t>
        </is>
      </c>
      <c r="D621" s="33" t="inlineStr">
        <is>
          <t>COUNTBLANK!E30</t>
        </is>
      </c>
      <c r="E621" s="22" t="inlineStr">
        <is>
          <t>'=COUNTBLANK(C29:C32)</t>
        </is>
      </c>
      <c r="F621" s="34">
        <f>COUNTBLANK('COUNTBLANK'!C29:C32)</f>
        <v/>
      </c>
      <c r="G621" s="19" t="inlineStr">
        <is>
          <t>Hitung berapa banyak sel yang masih kosong pada rentang data C29:C32 menggunakan fungsi COUNTBLANK!</t>
        </is>
      </c>
    </row>
    <row r="622">
      <c r="A622" s="5" t="n">
        <v>618</v>
      </c>
      <c r="B622" s="8" t="inlineStr">
        <is>
          <t>COUNTBLANK</t>
        </is>
      </c>
      <c r="C622" s="6" t="inlineStr">
        <is>
          <t>Soal Tes #3</t>
        </is>
      </c>
      <c r="D622" s="33" t="inlineStr">
        <is>
          <t>COUNTBLANK!E38</t>
        </is>
      </c>
      <c r="E622" s="22" t="inlineStr">
        <is>
          <t>'=COUNTBLANK(C37:C40)</t>
        </is>
      </c>
      <c r="F622" s="34">
        <f>COUNTBLANK('COUNTBLANK'!C37:C40)</f>
        <v/>
      </c>
      <c r="G622" s="19" t="inlineStr">
        <is>
          <t>Hitung berapa banyak sel yang masih kosong pada rentang data C37:C40 menggunakan fungsi COUNTBLANK!</t>
        </is>
      </c>
    </row>
    <row r="623">
      <c r="A623" s="5" t="n">
        <v>619</v>
      </c>
      <c r="B623" s="8" t="inlineStr">
        <is>
          <t>COUNTBLANK</t>
        </is>
      </c>
      <c r="C623" s="6" t="inlineStr">
        <is>
          <t>Soal Tes #4</t>
        </is>
      </c>
      <c r="D623" s="33" t="inlineStr">
        <is>
          <t>COUNTBLANK!E46</t>
        </is>
      </c>
      <c r="E623" s="22" t="inlineStr">
        <is>
          <t>'=COUNTBLANK(C45:C48)</t>
        </is>
      </c>
      <c r="F623" s="34">
        <f>COUNTBLANK('COUNTBLANK'!C45:C48)</f>
        <v/>
      </c>
      <c r="G623" s="19" t="inlineStr">
        <is>
          <t>Hitung berapa banyak sel yang masih kosong pada rentang data C45:C48 menggunakan fungsi COUNTBLANK!</t>
        </is>
      </c>
    </row>
    <row r="624">
      <c r="A624" s="5" t="n">
        <v>620</v>
      </c>
      <c r="B624" s="8" t="inlineStr">
        <is>
          <t>COUNTBLANK</t>
        </is>
      </c>
      <c r="C624" s="6" t="inlineStr">
        <is>
          <t>Soal Tes #5</t>
        </is>
      </c>
      <c r="D624" s="33" t="inlineStr">
        <is>
          <t>COUNTBLANK!E54</t>
        </is>
      </c>
      <c r="E624" s="22" t="inlineStr">
        <is>
          <t>'=COUNTBLANK(C53:C56)</t>
        </is>
      </c>
      <c r="F624" s="34">
        <f>COUNTBLANK('COUNTBLANK'!C53:C56)</f>
        <v/>
      </c>
      <c r="G624" s="19" t="inlineStr">
        <is>
          <t>Hitung berapa banyak sel yang masih kosong pada rentang data C53:C56 menggunakan fungsi COUNTBLANK!</t>
        </is>
      </c>
    </row>
    <row r="625">
      <c r="A625" s="5" t="n">
        <v>621</v>
      </c>
      <c r="B625" s="8" t="inlineStr">
        <is>
          <t>COUNTIF</t>
        </is>
      </c>
      <c r="C625" s="6" t="inlineStr">
        <is>
          <t>Soal Tes #1</t>
        </is>
      </c>
      <c r="D625" s="33" t="inlineStr">
        <is>
          <t>COUNTIF!E22</t>
        </is>
      </c>
      <c r="E625" s="22" t="inlineStr">
        <is>
          <t>'=COUNTIF(B21:B24, "Lulus")</t>
        </is>
      </c>
      <c r="F625" s="34">
        <f>COUNTIF('COUNTIF'!B21:B24, "Lulus")</f>
        <v/>
      </c>
      <c r="G625" s="19" t="inlineStr">
        <is>
          <t>Hitung berapa banyak peserta yang berstatus "Lulus" pada rentang B21:B24 menggunakan fungsi COUNTIF!</t>
        </is>
      </c>
    </row>
    <row r="626">
      <c r="A626" s="5" t="n">
        <v>622</v>
      </c>
      <c r="B626" s="8" t="inlineStr">
        <is>
          <t>COUNTIF</t>
        </is>
      </c>
      <c r="C626" s="6" t="inlineStr">
        <is>
          <t>Soal Tes #2</t>
        </is>
      </c>
      <c r="D626" s="33" t="inlineStr">
        <is>
          <t>COUNTIF!E30</t>
        </is>
      </c>
      <c r="E626" s="22" t="inlineStr">
        <is>
          <t>'=COUNTIF(B29:B32, "Lulus")</t>
        </is>
      </c>
      <c r="F626" s="34">
        <f>COUNTIF('COUNTIF'!B29:B32, "Lulus")</f>
        <v/>
      </c>
      <c r="G626" s="19" t="inlineStr">
        <is>
          <t>Hitung berapa banyak peserta yang berstatus "Lulus" pada rentang B29:B32 menggunakan fungsi COUNTIF!</t>
        </is>
      </c>
    </row>
    <row r="627">
      <c r="A627" s="5" t="n">
        <v>623</v>
      </c>
      <c r="B627" s="8" t="inlineStr">
        <is>
          <t>COUNTIF</t>
        </is>
      </c>
      <c r="C627" s="6" t="inlineStr">
        <is>
          <t>Soal Tes #3</t>
        </is>
      </c>
      <c r="D627" s="33" t="inlineStr">
        <is>
          <t>COUNTIF!E38</t>
        </is>
      </c>
      <c r="E627" s="22" t="inlineStr">
        <is>
          <t>'=COUNTIF(B37:B40, "Lulus")</t>
        </is>
      </c>
      <c r="F627" s="34">
        <f>COUNTIF('COUNTIF'!B37:B40, "Lulus")</f>
        <v/>
      </c>
      <c r="G627" s="19" t="inlineStr">
        <is>
          <t>Hitung berapa banyak peserta yang berstatus "Lulus" pada rentang B37:B40 menggunakan fungsi COUNTIF!</t>
        </is>
      </c>
    </row>
    <row r="628">
      <c r="A628" s="5" t="n">
        <v>624</v>
      </c>
      <c r="B628" s="8" t="inlineStr">
        <is>
          <t>COUNTIF</t>
        </is>
      </c>
      <c r="C628" s="6" t="inlineStr">
        <is>
          <t>Soal Tes #4</t>
        </is>
      </c>
      <c r="D628" s="33" t="inlineStr">
        <is>
          <t>COUNTIF!E46</t>
        </is>
      </c>
      <c r="E628" s="22" t="inlineStr">
        <is>
          <t>'=COUNTIF(B45:B48, "Lulus")</t>
        </is>
      </c>
      <c r="F628" s="34">
        <f>COUNTIF('COUNTIF'!B45:B48, "Lulus")</f>
        <v/>
      </c>
      <c r="G628" s="19" t="inlineStr">
        <is>
          <t>Hitung berapa banyak peserta yang berstatus "Lulus" pada rentang B45:B48 menggunakan fungsi COUNTIF!</t>
        </is>
      </c>
    </row>
    <row r="629">
      <c r="A629" s="5" t="n">
        <v>625</v>
      </c>
      <c r="B629" s="8" t="inlineStr">
        <is>
          <t>COUNTIF</t>
        </is>
      </c>
      <c r="C629" s="6" t="inlineStr">
        <is>
          <t>Soal Tes #5</t>
        </is>
      </c>
      <c r="D629" s="33" t="inlineStr">
        <is>
          <t>COUNTIF!E54</t>
        </is>
      </c>
      <c r="E629" s="22" t="inlineStr">
        <is>
          <t>'=COUNTIF(B53:B56, "Lulus")</t>
        </is>
      </c>
      <c r="F629" s="34">
        <f>COUNTIF('COUNTIF'!B53:B56, "Lulus")</f>
        <v/>
      </c>
      <c r="G629" s="19" t="inlineStr">
        <is>
          <t>Hitung berapa banyak peserta yang berstatus "Lulus" pada rentang B53:B56 menggunakan fungsi COUNTIF!</t>
        </is>
      </c>
    </row>
    <row r="630">
      <c r="A630" s="5" t="n">
        <v>626</v>
      </c>
      <c r="B630" s="8" t="inlineStr">
        <is>
          <t>COUNTIFS</t>
        </is>
      </c>
      <c r="C630" s="6" t="inlineStr">
        <is>
          <t>Soal Tes #1</t>
        </is>
      </c>
      <c r="D630" s="33" t="inlineStr">
        <is>
          <t>COUNTIFS!E22</t>
        </is>
      </c>
      <c r="E630" s="22" t="inlineStr">
        <is>
          <t>'=COUNTIFS(B21:B24, "Lulus", C21:C24, "&gt;=80")</t>
        </is>
      </c>
      <c r="F630" s="34">
        <f>COUNTIFS('COUNTIFS'!B21:B24, "Lulus", 'COUNTIFS'!C21:C24, "&gt;=80")</f>
        <v/>
      </c>
      <c r="G630" s="19" t="inlineStr">
        <is>
          <t>Hitung berapa banyak peserta yang berstatus "Lulus" di B21:B24 sekaligus memiliki skor minimal 80 ("&gt;=80") di C21:C24 menggunakan fungsi COUNTIFS!</t>
        </is>
      </c>
    </row>
    <row r="631">
      <c r="A631" s="5" t="n">
        <v>627</v>
      </c>
      <c r="B631" s="8" t="inlineStr">
        <is>
          <t>COUNTIFS</t>
        </is>
      </c>
      <c r="C631" s="6" t="inlineStr">
        <is>
          <t>Soal Tes #2</t>
        </is>
      </c>
      <c r="D631" s="33" t="inlineStr">
        <is>
          <t>COUNTIFS!E30</t>
        </is>
      </c>
      <c r="E631" s="22" t="inlineStr">
        <is>
          <t>'=COUNTIFS(B29:B32, "Lulus", C29:C32, "&gt;=80")</t>
        </is>
      </c>
      <c r="F631" s="34">
        <f>COUNTIFS('COUNTIFS'!B29:B32, "Lulus", 'COUNTIFS'!C29:C32, "&gt;=80")</f>
        <v/>
      </c>
      <c r="G631" s="19" t="inlineStr">
        <is>
          <t>Hitung berapa banyak peserta yang berstatus "Lulus" di B29:B32 sekaligus memiliki skor minimal 80 ("&gt;=80") di C29:C32 menggunakan fungsi COUNTIFS!</t>
        </is>
      </c>
    </row>
    <row r="632">
      <c r="A632" s="5" t="n">
        <v>628</v>
      </c>
      <c r="B632" s="8" t="inlineStr">
        <is>
          <t>COUNTIFS</t>
        </is>
      </c>
      <c r="C632" s="6" t="inlineStr">
        <is>
          <t>Soal Tes #3</t>
        </is>
      </c>
      <c r="D632" s="33" t="inlineStr">
        <is>
          <t>COUNTIFS!E38</t>
        </is>
      </c>
      <c r="E632" s="22" t="inlineStr">
        <is>
          <t>'=COUNTIFS(B37:B40, "Lulus", C37:C40, "&gt;=80")</t>
        </is>
      </c>
      <c r="F632" s="34">
        <f>COUNTIFS('COUNTIFS'!B37:B40, "Lulus", 'COUNTIFS'!C37:C40, "&gt;=80")</f>
        <v/>
      </c>
      <c r="G632" s="19" t="inlineStr">
        <is>
          <t>Hitung berapa banyak peserta yang berstatus "Lulus" di B37:B40 sekaligus memiliki skor minimal 80 ("&gt;=80") di C37:C40 menggunakan fungsi COUNTIFS!</t>
        </is>
      </c>
    </row>
    <row r="633">
      <c r="A633" s="5" t="n">
        <v>629</v>
      </c>
      <c r="B633" s="8" t="inlineStr">
        <is>
          <t>COUNTIFS</t>
        </is>
      </c>
      <c r="C633" s="6" t="inlineStr">
        <is>
          <t>Soal Tes #4</t>
        </is>
      </c>
      <c r="D633" s="33" t="inlineStr">
        <is>
          <t>COUNTIFS!E46</t>
        </is>
      </c>
      <c r="E633" s="22" t="inlineStr">
        <is>
          <t>'=COUNTIFS(B45:B48, "Lulus", C45:C48, "&gt;=80")</t>
        </is>
      </c>
      <c r="F633" s="34">
        <f>COUNTIFS('COUNTIFS'!B45:B48, "Lulus", 'COUNTIFS'!C45:C48, "&gt;=80")</f>
        <v/>
      </c>
      <c r="G633" s="19" t="inlineStr">
        <is>
          <t>Hitung berapa banyak peserta yang berstatus "Lulus" di B45:B48 sekaligus memiliki skor minimal 80 ("&gt;=80") di C45:C48 menggunakan fungsi COUNTIFS!</t>
        </is>
      </c>
    </row>
    <row r="634">
      <c r="A634" s="5" t="n">
        <v>630</v>
      </c>
      <c r="B634" s="8" t="inlineStr">
        <is>
          <t>COUNTIFS</t>
        </is>
      </c>
      <c r="C634" s="6" t="inlineStr">
        <is>
          <t>Soal Tes #5</t>
        </is>
      </c>
      <c r="D634" s="33" t="inlineStr">
        <is>
          <t>COUNTIFS!E54</t>
        </is>
      </c>
      <c r="E634" s="22" t="inlineStr">
        <is>
          <t>'=COUNTIFS(B53:B56, "Lulus", C53:C56, "&gt;=80")</t>
        </is>
      </c>
      <c r="F634" s="34">
        <f>COUNTIFS('COUNTIFS'!B53:B56, "Lulus", 'COUNTIFS'!C53:C56, "&gt;=80")</f>
        <v/>
      </c>
      <c r="G634" s="19" t="inlineStr">
        <is>
          <t>Hitung berapa banyak peserta yang berstatus "Lulus" di B53:B56 sekaligus memiliki skor minimal 80 ("&gt;=80") di C53:C56 menggunakan fungsi COUNTIFS!</t>
        </is>
      </c>
    </row>
    <row r="635">
      <c r="A635" s="5" t="n">
        <v>631</v>
      </c>
      <c r="B635" s="8" t="inlineStr">
        <is>
          <t>COVARIANCE.P</t>
        </is>
      </c>
      <c r="C635" s="6" t="inlineStr">
        <is>
          <t>Soal Tes #1</t>
        </is>
      </c>
      <c r="D635" s="33" t="inlineStr">
        <is>
          <t>COVARIANCE.P!E22</t>
        </is>
      </c>
      <c r="E635" s="22" t="inlineStr">
        <is>
          <t>'=COVARIANCE.P(B21:B24, C21:C24)</t>
        </is>
      </c>
      <c r="F635" s="34">
        <f>COVARIANCE.P('COVARIANCE.P'!B21:B24, 'COVARIANCE.P'!C21:C24)</f>
        <v/>
      </c>
      <c r="G635" s="19" t="inlineStr">
        <is>
          <t>Analisis hubungan antara data pertama (B21:B24) dan data kedua (C21:C24) menggunakan fungsi COVARIANCE.P!</t>
        </is>
      </c>
    </row>
    <row r="636">
      <c r="A636" s="5" t="n">
        <v>632</v>
      </c>
      <c r="B636" s="8" t="inlineStr">
        <is>
          <t>COVARIANCE.P</t>
        </is>
      </c>
      <c r="C636" s="6" t="inlineStr">
        <is>
          <t>Soal Tes #2</t>
        </is>
      </c>
      <c r="D636" s="33" t="inlineStr">
        <is>
          <t>COVARIANCE.P!E30</t>
        </is>
      </c>
      <c r="E636" s="22" t="inlineStr">
        <is>
          <t>'=COVARIANCE.P(B29:B32, C29:C32)</t>
        </is>
      </c>
      <c r="F636" s="34">
        <f>COVARIANCE.P('COVARIANCE.P'!B29:B32, 'COVARIANCE.P'!C29:C32)</f>
        <v/>
      </c>
      <c r="G636" s="19" t="inlineStr">
        <is>
          <t>Analisis hubungan antara data pertama (B29:B32) dan data kedua (C29:C32) menggunakan fungsi COVARIANCE.P!</t>
        </is>
      </c>
    </row>
    <row r="637">
      <c r="A637" s="5" t="n">
        <v>633</v>
      </c>
      <c r="B637" s="8" t="inlineStr">
        <is>
          <t>COVARIANCE.P</t>
        </is>
      </c>
      <c r="C637" s="6" t="inlineStr">
        <is>
          <t>Soal Tes #3</t>
        </is>
      </c>
      <c r="D637" s="33" t="inlineStr">
        <is>
          <t>COVARIANCE.P!E38</t>
        </is>
      </c>
      <c r="E637" s="22" t="inlineStr">
        <is>
          <t>'=COVARIANCE.P(B37:B40, C37:C40)</t>
        </is>
      </c>
      <c r="F637" s="34">
        <f>COVARIANCE.P('COVARIANCE.P'!B37:B40, 'COVARIANCE.P'!C37:C40)</f>
        <v/>
      </c>
      <c r="G637" s="19" t="inlineStr">
        <is>
          <t>Analisis hubungan antara data pertama (B37:B40) dan data kedua (C37:C40) menggunakan fungsi COVARIANCE.P!</t>
        </is>
      </c>
    </row>
    <row r="638">
      <c r="A638" s="5" t="n">
        <v>634</v>
      </c>
      <c r="B638" s="8" t="inlineStr">
        <is>
          <t>COVARIANCE.P</t>
        </is>
      </c>
      <c r="C638" s="6" t="inlineStr">
        <is>
          <t>Soal Tes #4</t>
        </is>
      </c>
      <c r="D638" s="33" t="inlineStr">
        <is>
          <t>COVARIANCE.P!E46</t>
        </is>
      </c>
      <c r="E638" s="22" t="inlineStr">
        <is>
          <t>'=COVARIANCE.P(B45:B48, C45:C48)</t>
        </is>
      </c>
      <c r="F638" s="34">
        <f>COVARIANCE.P('COVARIANCE.P'!B45:B48, 'COVARIANCE.P'!C45:C48)</f>
        <v/>
      </c>
      <c r="G638" s="19" t="inlineStr">
        <is>
          <t>Analisis hubungan antara data pertama (B45:B48) dan data kedua (C45:C48) menggunakan fungsi COVARIANCE.P!</t>
        </is>
      </c>
    </row>
    <row r="639">
      <c r="A639" s="5" t="n">
        <v>635</v>
      </c>
      <c r="B639" s="8" t="inlineStr">
        <is>
          <t>COVARIANCE.P</t>
        </is>
      </c>
      <c r="C639" s="6" t="inlineStr">
        <is>
          <t>Soal Tes #5</t>
        </is>
      </c>
      <c r="D639" s="33" t="inlineStr">
        <is>
          <t>COVARIANCE.P!E54</t>
        </is>
      </c>
      <c r="E639" s="22" t="inlineStr">
        <is>
          <t>'=COVARIANCE.P(B53:B56, C53:C56)</t>
        </is>
      </c>
      <c r="F639" s="34">
        <f>COVARIANCE.P('COVARIANCE.P'!B53:B56, 'COVARIANCE.P'!C53:C56)</f>
        <v/>
      </c>
      <c r="G639" s="19" t="inlineStr">
        <is>
          <t>Analisis hubungan antara data pertama (B53:B56) dan data kedua (C53:C56) menggunakan fungsi COVARIANCE.P!</t>
        </is>
      </c>
    </row>
    <row r="640">
      <c r="A640" s="5" t="n">
        <v>636</v>
      </c>
      <c r="B640" s="8" t="inlineStr">
        <is>
          <t>COVARIANCE.T</t>
        </is>
      </c>
      <c r="C640" s="6" t="inlineStr">
        <is>
          <t>Soal Tes #1</t>
        </is>
      </c>
      <c r="D640" s="33" t="inlineStr">
        <is>
          <t>COVARIANCE.T!E22</t>
        </is>
      </c>
      <c r="E640" s="22" t="inlineStr">
        <is>
          <t>'=COVARIANCE.S(B21:B24, C21:C24)</t>
        </is>
      </c>
      <c r="F640" s="34">
        <f>COVARIANCE.S('COVARIANCE.T'!B21:B24, 'COVARIANCE.T'!C21:C24)</f>
        <v/>
      </c>
      <c r="G640" s="19" t="inlineStr">
        <is>
          <t>Analisis hubungan antara data pertama (B21:B24) dan data kedua (C21:C24) menggunakan fungsi COVARIANCE.T!</t>
        </is>
      </c>
    </row>
    <row r="641">
      <c r="A641" s="5" t="n">
        <v>637</v>
      </c>
      <c r="B641" s="8" t="inlineStr">
        <is>
          <t>COVARIANCE.T</t>
        </is>
      </c>
      <c r="C641" s="6" t="inlineStr">
        <is>
          <t>Soal Tes #2</t>
        </is>
      </c>
      <c r="D641" s="33" t="inlineStr">
        <is>
          <t>COVARIANCE.T!E30</t>
        </is>
      </c>
      <c r="E641" s="22" t="inlineStr">
        <is>
          <t>'=COVARIANCE.S(B29:B32, C29:C32)</t>
        </is>
      </c>
      <c r="F641" s="34">
        <f>COVARIANCE.S('COVARIANCE.T'!B29:B32, 'COVARIANCE.T'!C29:C32)</f>
        <v/>
      </c>
      <c r="G641" s="19" t="inlineStr">
        <is>
          <t>Analisis hubungan antara data pertama (B29:B32) dan data kedua (C29:C32) menggunakan fungsi COVARIANCE.T!</t>
        </is>
      </c>
    </row>
    <row r="642">
      <c r="A642" s="5" t="n">
        <v>638</v>
      </c>
      <c r="B642" s="8" t="inlineStr">
        <is>
          <t>COVARIANCE.T</t>
        </is>
      </c>
      <c r="C642" s="6" t="inlineStr">
        <is>
          <t>Soal Tes #3</t>
        </is>
      </c>
      <c r="D642" s="33" t="inlineStr">
        <is>
          <t>COVARIANCE.T!E38</t>
        </is>
      </c>
      <c r="E642" s="22" t="inlineStr">
        <is>
          <t>'=COVARIANCE.S(B37:B40, C37:C40)</t>
        </is>
      </c>
      <c r="F642" s="34">
        <f>COVARIANCE.S('COVARIANCE.T'!B37:B40, 'COVARIANCE.T'!C37:C40)</f>
        <v/>
      </c>
      <c r="G642" s="19" t="inlineStr">
        <is>
          <t>Analisis hubungan antara data pertama (B37:B40) dan data kedua (C37:C40) menggunakan fungsi COVARIANCE.T!</t>
        </is>
      </c>
    </row>
    <row r="643">
      <c r="A643" s="5" t="n">
        <v>639</v>
      </c>
      <c r="B643" s="8" t="inlineStr">
        <is>
          <t>COVARIANCE.T</t>
        </is>
      </c>
      <c r="C643" s="6" t="inlineStr">
        <is>
          <t>Soal Tes #4</t>
        </is>
      </c>
      <c r="D643" s="33" t="inlineStr">
        <is>
          <t>COVARIANCE.T!E46</t>
        </is>
      </c>
      <c r="E643" s="22" t="inlineStr">
        <is>
          <t>'=COVARIANCE.S(B45:B48, C45:C48)</t>
        </is>
      </c>
      <c r="F643" s="34">
        <f>COVARIANCE.S('COVARIANCE.T'!B45:B48, 'COVARIANCE.T'!C45:C48)</f>
        <v/>
      </c>
      <c r="G643" s="19" t="inlineStr">
        <is>
          <t>Analisis hubungan antara data pertama (B45:B48) dan data kedua (C45:C48) menggunakan fungsi COVARIANCE.T!</t>
        </is>
      </c>
    </row>
    <row r="644">
      <c r="A644" s="5" t="n">
        <v>640</v>
      </c>
      <c r="B644" s="8" t="inlineStr">
        <is>
          <t>COVARIANCE.T</t>
        </is>
      </c>
      <c r="C644" s="6" t="inlineStr">
        <is>
          <t>Soal Tes #5</t>
        </is>
      </c>
      <c r="D644" s="33" t="inlineStr">
        <is>
          <t>COVARIANCE.T!E54</t>
        </is>
      </c>
      <c r="E644" s="22" t="inlineStr">
        <is>
          <t>'=COVARIANCE.S(B53:B56, C53:C56)</t>
        </is>
      </c>
      <c r="F644" s="34">
        <f>COVARIANCE.S('COVARIANCE.T'!B53:B56, 'COVARIANCE.T'!C53:C56)</f>
        <v/>
      </c>
      <c r="G644" s="19" t="inlineStr">
        <is>
          <t>Analisis hubungan antara data pertama (B53:B56) dan data kedua (C53:C56) menggunakan fungsi COVARIANCE.T!</t>
        </is>
      </c>
    </row>
    <row r="645">
      <c r="A645" s="5" t="n">
        <v>641</v>
      </c>
      <c r="B645" s="8" t="inlineStr">
        <is>
          <t>CRITBINOM</t>
        </is>
      </c>
      <c r="C645" s="6" t="inlineStr">
        <is>
          <t>Soal Tes #1</t>
        </is>
      </c>
      <c r="D645" s="33" t="inlineStr">
        <is>
          <t>CRITBINOM!E22</t>
        </is>
      </c>
      <c r="E645" s="22" t="inlineStr">
        <is>
          <t>'=CRITBINOM(C21, C22, C23)</t>
        </is>
      </c>
      <c r="F645" s="34">
        <f>CRITBINOM('CRITBINOM'!C21, 'CRITBINOM'!C22, 'CRITBINOM'!C23)</f>
        <v/>
      </c>
      <c r="G645" s="19" t="inlineStr">
        <is>
          <t>Cari nilai batas kritis binomial menggunakan fungsi CRITBINOM dengan argumen berurutan C21, C22, dan C23!</t>
        </is>
      </c>
    </row>
    <row r="646">
      <c r="A646" s="5" t="n">
        <v>642</v>
      </c>
      <c r="B646" s="8" t="inlineStr">
        <is>
          <t>CRITBINOM</t>
        </is>
      </c>
      <c r="C646" s="6" t="inlineStr">
        <is>
          <t>Soal Tes #2</t>
        </is>
      </c>
      <c r="D646" s="33" t="inlineStr">
        <is>
          <t>CRITBINOM!E30</t>
        </is>
      </c>
      <c r="E646" s="22" t="inlineStr">
        <is>
          <t>'=CRITBINOM(C29, C30, C31)</t>
        </is>
      </c>
      <c r="F646" s="34">
        <f>CRITBINOM('CRITBINOM'!C29, 'CRITBINOM'!C30, 'CRITBINOM'!C31)</f>
        <v/>
      </c>
      <c r="G646" s="19" t="inlineStr">
        <is>
          <t>Cari nilai batas kritis binomial menggunakan fungsi CRITBINOM dengan argumen berurutan C29, C30, dan C31!</t>
        </is>
      </c>
    </row>
    <row r="647">
      <c r="A647" s="5" t="n">
        <v>643</v>
      </c>
      <c r="B647" s="8" t="inlineStr">
        <is>
          <t>CRITBINOM</t>
        </is>
      </c>
      <c r="C647" s="6" t="inlineStr">
        <is>
          <t>Soal Tes #3</t>
        </is>
      </c>
      <c r="D647" s="33" t="inlineStr">
        <is>
          <t>CRITBINOM!E38</t>
        </is>
      </c>
      <c r="E647" s="22" t="inlineStr">
        <is>
          <t>'=CRITBINOM(C37, C38, C39)</t>
        </is>
      </c>
      <c r="F647" s="34">
        <f>CRITBINOM('CRITBINOM'!C37, 'CRITBINOM'!C38, 'CRITBINOM'!C39)</f>
        <v/>
      </c>
      <c r="G647" s="19" t="inlineStr">
        <is>
          <t>Cari nilai batas kritis binomial menggunakan fungsi CRITBINOM dengan argumen berurutan C37, C38, dan C39!</t>
        </is>
      </c>
    </row>
    <row r="648">
      <c r="A648" s="5" t="n">
        <v>644</v>
      </c>
      <c r="B648" s="8" t="inlineStr">
        <is>
          <t>CRITBINOM</t>
        </is>
      </c>
      <c r="C648" s="6" t="inlineStr">
        <is>
          <t>Soal Tes #4</t>
        </is>
      </c>
      <c r="D648" s="33" t="inlineStr">
        <is>
          <t>CRITBINOM!E46</t>
        </is>
      </c>
      <c r="E648" s="22" t="inlineStr">
        <is>
          <t>'=CRITBINOM(C45, C46, C47)</t>
        </is>
      </c>
      <c r="F648" s="34">
        <f>CRITBINOM('CRITBINOM'!C45, 'CRITBINOM'!C46, 'CRITBINOM'!C47)</f>
        <v/>
      </c>
      <c r="G648" s="19" t="inlineStr">
        <is>
          <t>Cari nilai batas kritis binomial menggunakan fungsi CRITBINOM dengan argumen berurutan C45, C46, dan C47!</t>
        </is>
      </c>
    </row>
    <row r="649">
      <c r="A649" s="5" t="n">
        <v>645</v>
      </c>
      <c r="B649" s="8" t="inlineStr">
        <is>
          <t>CRITBINOM</t>
        </is>
      </c>
      <c r="C649" s="6" t="inlineStr">
        <is>
          <t>Soal Tes #5</t>
        </is>
      </c>
      <c r="D649" s="33" t="inlineStr">
        <is>
          <t>CRITBINOM!E54</t>
        </is>
      </c>
      <c r="E649" s="22" t="inlineStr">
        <is>
          <t>'=CRITBINOM(C53, C54, C55)</t>
        </is>
      </c>
      <c r="F649" s="34">
        <f>CRITBINOM('CRITBINOM'!C53, 'CRITBINOM'!C54, 'CRITBINOM'!C55)</f>
        <v/>
      </c>
      <c r="G649" s="19" t="inlineStr">
        <is>
          <t>Cari nilai batas kritis binomial menggunakan fungsi CRITBINOM dengan argumen berurutan C53, C54, dan C55!</t>
        </is>
      </c>
    </row>
    <row r="650">
      <c r="A650" s="5" t="n">
        <v>646</v>
      </c>
      <c r="B650" s="8" t="inlineStr">
        <is>
          <t>DEVSQ</t>
        </is>
      </c>
      <c r="C650" s="6" t="inlineStr">
        <is>
          <t>Soal Tes #1</t>
        </is>
      </c>
      <c r="D650" s="33" t="inlineStr">
        <is>
          <t>DEVSQ!E22</t>
        </is>
      </c>
      <c r="E650" s="22" t="inlineStr">
        <is>
          <t>'=DEVSQ(C21:C24)</t>
        </is>
      </c>
      <c r="F650" s="34">
        <f>DEVSQ('DEVSQ'!C21:C24)</f>
        <v/>
      </c>
      <c r="G650" s="19" t="inlineStr">
        <is>
          <t>Hitung hasil pengolahan fungsi DEVSQ untuk keempat baris data pada rentang C21:C24!</t>
        </is>
      </c>
    </row>
    <row r="651">
      <c r="A651" s="5" t="n">
        <v>647</v>
      </c>
      <c r="B651" s="8" t="inlineStr">
        <is>
          <t>DEVSQ</t>
        </is>
      </c>
      <c r="C651" s="6" t="inlineStr">
        <is>
          <t>Soal Tes #2</t>
        </is>
      </c>
      <c r="D651" s="33" t="inlineStr">
        <is>
          <t>DEVSQ!E30</t>
        </is>
      </c>
      <c r="E651" s="22" t="inlineStr">
        <is>
          <t>'=DEVSQ(C29:C32)</t>
        </is>
      </c>
      <c r="F651" s="34">
        <f>DEVSQ('DEVSQ'!C29:C32)</f>
        <v/>
      </c>
      <c r="G651" s="19" t="inlineStr">
        <is>
          <t>Hitung hasil pengolahan fungsi DEVSQ untuk keempat baris data pada rentang C29:C32!</t>
        </is>
      </c>
    </row>
    <row r="652">
      <c r="A652" s="5" t="n">
        <v>648</v>
      </c>
      <c r="B652" s="8" t="inlineStr">
        <is>
          <t>DEVSQ</t>
        </is>
      </c>
      <c r="C652" s="6" t="inlineStr">
        <is>
          <t>Soal Tes #3</t>
        </is>
      </c>
      <c r="D652" s="33" t="inlineStr">
        <is>
          <t>DEVSQ!E38</t>
        </is>
      </c>
      <c r="E652" s="22" t="inlineStr">
        <is>
          <t>'=DEVSQ(C37:C40)</t>
        </is>
      </c>
      <c r="F652" s="34">
        <f>DEVSQ('DEVSQ'!C37:C40)</f>
        <v/>
      </c>
      <c r="G652" s="19" t="inlineStr">
        <is>
          <t>Hitung hasil pengolahan fungsi DEVSQ untuk keempat baris data pada rentang C37:C40!</t>
        </is>
      </c>
    </row>
    <row r="653">
      <c r="A653" s="5" t="n">
        <v>649</v>
      </c>
      <c r="B653" s="8" t="inlineStr">
        <is>
          <t>DEVSQ</t>
        </is>
      </c>
      <c r="C653" s="6" t="inlineStr">
        <is>
          <t>Soal Tes #4</t>
        </is>
      </c>
      <c r="D653" s="33" t="inlineStr">
        <is>
          <t>DEVSQ!E46</t>
        </is>
      </c>
      <c r="E653" s="22" t="inlineStr">
        <is>
          <t>'=DEVSQ(C45:C48)</t>
        </is>
      </c>
      <c r="F653" s="34">
        <f>DEVSQ('DEVSQ'!C45:C48)</f>
        <v/>
      </c>
      <c r="G653" s="19" t="inlineStr">
        <is>
          <t>Hitung hasil pengolahan fungsi DEVSQ untuk keempat baris data pada rentang C45:C48!</t>
        </is>
      </c>
    </row>
    <row r="654">
      <c r="A654" s="5" t="n">
        <v>650</v>
      </c>
      <c r="B654" s="8" t="inlineStr">
        <is>
          <t>DEVSQ</t>
        </is>
      </c>
      <c r="C654" s="6" t="inlineStr">
        <is>
          <t>Soal Tes #5</t>
        </is>
      </c>
      <c r="D654" s="33" t="inlineStr">
        <is>
          <t>DEVSQ!E54</t>
        </is>
      </c>
      <c r="E654" s="22" t="inlineStr">
        <is>
          <t>'=DEVSQ(C53:C56)</t>
        </is>
      </c>
      <c r="F654" s="34">
        <f>DEVSQ('DEVSQ'!C53:C56)</f>
        <v/>
      </c>
      <c r="G654" s="19" t="inlineStr">
        <is>
          <t>Hitung hasil pengolahan fungsi DEVSQ untuk keempat baris data pada rentang C53:C56!</t>
        </is>
      </c>
    </row>
    <row r="655">
      <c r="A655" s="5" t="n">
        <v>651</v>
      </c>
      <c r="B655" s="8" t="inlineStr">
        <is>
          <t>EXPON.DIST</t>
        </is>
      </c>
      <c r="C655" s="6" t="inlineStr">
        <is>
          <t>Soal Tes #1</t>
        </is>
      </c>
      <c r="D655" s="33" t="inlineStr">
        <is>
          <t>EXPON.DIST!E22</t>
        </is>
      </c>
      <c r="E655" s="22" t="inlineStr">
        <is>
          <t>'=EXPON.DIST(C21, C22, TRUE)</t>
        </is>
      </c>
      <c r="F655" s="34">
        <f>EXPON.DIST('EXPON.DIST'!C21, 'EXPON.DIST'!C22, TRUE)</f>
        <v/>
      </c>
      <c r="G655" s="19" t="inlineStr">
        <is>
          <t>Hitung nilai distribusi kumulatif (TRUE) menggunakan fungsi EXPON.DIST dengan argumen C21, C22, dan TRUE!</t>
        </is>
      </c>
    </row>
    <row r="656">
      <c r="A656" s="5" t="n">
        <v>652</v>
      </c>
      <c r="B656" s="8" t="inlineStr">
        <is>
          <t>EXPON.DIST</t>
        </is>
      </c>
      <c r="C656" s="6" t="inlineStr">
        <is>
          <t>Soal Tes #2</t>
        </is>
      </c>
      <c r="D656" s="33" t="inlineStr">
        <is>
          <t>EXPON.DIST!E30</t>
        </is>
      </c>
      <c r="E656" s="22" t="inlineStr">
        <is>
          <t>'=EXPON.DIST(C29, C30, TRUE)</t>
        </is>
      </c>
      <c r="F656" s="34">
        <f>EXPON.DIST('EXPON.DIST'!C29, 'EXPON.DIST'!C30, TRUE)</f>
        <v/>
      </c>
      <c r="G656" s="19" t="inlineStr">
        <is>
          <t>Hitung nilai distribusi kumulatif (TRUE) menggunakan fungsi EXPON.DIST dengan argumen C29, C30, dan TRUE!</t>
        </is>
      </c>
    </row>
    <row r="657">
      <c r="A657" s="5" t="n">
        <v>653</v>
      </c>
      <c r="B657" s="8" t="inlineStr">
        <is>
          <t>EXPON.DIST</t>
        </is>
      </c>
      <c r="C657" s="6" t="inlineStr">
        <is>
          <t>Soal Tes #3</t>
        </is>
      </c>
      <c r="D657" s="33" t="inlineStr">
        <is>
          <t>EXPON.DIST!E38</t>
        </is>
      </c>
      <c r="E657" s="22" t="inlineStr">
        <is>
          <t>'=EXPON.DIST(C37, C38, TRUE)</t>
        </is>
      </c>
      <c r="F657" s="34">
        <f>EXPON.DIST('EXPON.DIST'!C37, 'EXPON.DIST'!C38, TRUE)</f>
        <v/>
      </c>
      <c r="G657" s="19" t="inlineStr">
        <is>
          <t>Hitung nilai distribusi kumulatif (TRUE) menggunakan fungsi EXPON.DIST dengan argumen C37, C38, dan TRUE!</t>
        </is>
      </c>
    </row>
    <row r="658">
      <c r="A658" s="5" t="n">
        <v>654</v>
      </c>
      <c r="B658" s="8" t="inlineStr">
        <is>
          <t>EXPON.DIST</t>
        </is>
      </c>
      <c r="C658" s="6" t="inlineStr">
        <is>
          <t>Soal Tes #4</t>
        </is>
      </c>
      <c r="D658" s="33" t="inlineStr">
        <is>
          <t>EXPON.DIST!E46</t>
        </is>
      </c>
      <c r="E658" s="22" t="inlineStr">
        <is>
          <t>'=EXPON.DIST(C45, C46, TRUE)</t>
        </is>
      </c>
      <c r="F658" s="34">
        <f>EXPON.DIST('EXPON.DIST'!C45, 'EXPON.DIST'!C46, TRUE)</f>
        <v/>
      </c>
      <c r="G658" s="19" t="inlineStr">
        <is>
          <t>Hitung nilai distribusi kumulatif (TRUE) menggunakan fungsi EXPON.DIST dengan argumen C45, C46, dan TRUE!</t>
        </is>
      </c>
    </row>
    <row r="659">
      <c r="A659" s="5" t="n">
        <v>655</v>
      </c>
      <c r="B659" s="8" t="inlineStr">
        <is>
          <t>EXPON.DIST</t>
        </is>
      </c>
      <c r="C659" s="6" t="inlineStr">
        <is>
          <t>Soal Tes #5</t>
        </is>
      </c>
      <c r="D659" s="33" t="inlineStr">
        <is>
          <t>EXPON.DIST!E54</t>
        </is>
      </c>
      <c r="E659" s="22" t="inlineStr">
        <is>
          <t>'=EXPON.DIST(C53, C54, TRUE)</t>
        </is>
      </c>
      <c r="F659" s="34">
        <f>EXPON.DIST('EXPON.DIST'!C53, 'EXPON.DIST'!C54, TRUE)</f>
        <v/>
      </c>
      <c r="G659" s="19" t="inlineStr">
        <is>
          <t>Hitung nilai distribusi kumulatif (TRUE) menggunakan fungsi EXPON.DIST dengan argumen C53, C54, dan TRUE!</t>
        </is>
      </c>
    </row>
    <row r="660">
      <c r="A660" s="5" t="n">
        <v>656</v>
      </c>
      <c r="B660" s="8" t="inlineStr">
        <is>
          <t>F.DIST</t>
        </is>
      </c>
      <c r="C660" s="6" t="inlineStr">
        <is>
          <t>Soal Tes #1</t>
        </is>
      </c>
      <c r="D660" s="33" t="inlineStr">
        <is>
          <t>F.DIST!E22</t>
        </is>
      </c>
      <c r="E660" s="22" t="inlineStr">
        <is>
          <t>'=F.DIST(C21, C22, C23, TRUE)</t>
        </is>
      </c>
      <c r="F660" s="34">
        <f>F.DIST('F.DIST'!C21, 'F.DIST'!C22, 'F.DIST'!C23, TRUE)</f>
        <v/>
      </c>
      <c r="G660" s="19" t="inlineStr">
        <is>
          <t>Hitung distribusi F kumulatif menggunakan fungsi F.DIST dengan argumen C21, C22, C23, dan TRUE!</t>
        </is>
      </c>
    </row>
    <row r="661">
      <c r="A661" s="5" t="n">
        <v>657</v>
      </c>
      <c r="B661" s="8" t="inlineStr">
        <is>
          <t>F.DIST</t>
        </is>
      </c>
      <c r="C661" s="6" t="inlineStr">
        <is>
          <t>Soal Tes #2</t>
        </is>
      </c>
      <c r="D661" s="33" t="inlineStr">
        <is>
          <t>F.DIST!E30</t>
        </is>
      </c>
      <c r="E661" s="22" t="inlineStr">
        <is>
          <t>'=F.DIST(C29, C30, C31, TRUE)</t>
        </is>
      </c>
      <c r="F661" s="34">
        <f>F.DIST('F.DIST'!C29, 'F.DIST'!C30, 'F.DIST'!C31, TRUE)</f>
        <v/>
      </c>
      <c r="G661" s="19" t="inlineStr">
        <is>
          <t>Hitung distribusi F kumulatif menggunakan fungsi F.DIST dengan argumen C29, C30, C31, dan TRUE!</t>
        </is>
      </c>
    </row>
    <row r="662">
      <c r="A662" s="5" t="n">
        <v>658</v>
      </c>
      <c r="B662" s="8" t="inlineStr">
        <is>
          <t>F.DIST</t>
        </is>
      </c>
      <c r="C662" s="6" t="inlineStr">
        <is>
          <t>Soal Tes #3</t>
        </is>
      </c>
      <c r="D662" s="33" t="inlineStr">
        <is>
          <t>F.DIST!E38</t>
        </is>
      </c>
      <c r="E662" s="22" t="inlineStr">
        <is>
          <t>'=F.DIST(C37, C38, C39, TRUE)</t>
        </is>
      </c>
      <c r="F662" s="34">
        <f>F.DIST('F.DIST'!C37, 'F.DIST'!C38, 'F.DIST'!C39, TRUE)</f>
        <v/>
      </c>
      <c r="G662" s="19" t="inlineStr">
        <is>
          <t>Hitung distribusi F kumulatif menggunakan fungsi F.DIST dengan argumen C37, C38, C39, dan TRUE!</t>
        </is>
      </c>
    </row>
    <row r="663">
      <c r="A663" s="5" t="n">
        <v>659</v>
      </c>
      <c r="B663" s="8" t="inlineStr">
        <is>
          <t>F.DIST</t>
        </is>
      </c>
      <c r="C663" s="6" t="inlineStr">
        <is>
          <t>Soal Tes #4</t>
        </is>
      </c>
      <c r="D663" s="33" t="inlineStr">
        <is>
          <t>F.DIST!E46</t>
        </is>
      </c>
      <c r="E663" s="22" t="inlineStr">
        <is>
          <t>'=F.DIST(C45, C46, C47, TRUE)</t>
        </is>
      </c>
      <c r="F663" s="34">
        <f>F.DIST('F.DIST'!C45, 'F.DIST'!C46, 'F.DIST'!C47, TRUE)</f>
        <v/>
      </c>
      <c r="G663" s="19" t="inlineStr">
        <is>
          <t>Hitung distribusi F kumulatif menggunakan fungsi F.DIST dengan argumen C45, C46, C47, dan TRUE!</t>
        </is>
      </c>
    </row>
    <row r="664">
      <c r="A664" s="5" t="n">
        <v>660</v>
      </c>
      <c r="B664" s="8" t="inlineStr">
        <is>
          <t>F.DIST</t>
        </is>
      </c>
      <c r="C664" s="6" t="inlineStr">
        <is>
          <t>Soal Tes #5</t>
        </is>
      </c>
      <c r="D664" s="33" t="inlineStr">
        <is>
          <t>F.DIST!E54</t>
        </is>
      </c>
      <c r="E664" s="22" t="inlineStr">
        <is>
          <t>'=F.DIST(C53, C54, C55, TRUE)</t>
        </is>
      </c>
      <c r="F664" s="34">
        <f>F.DIST('F.DIST'!C53, 'F.DIST'!C54, 'F.DIST'!C55, TRUE)</f>
        <v/>
      </c>
      <c r="G664" s="19" t="inlineStr">
        <is>
          <t>Hitung distribusi F kumulatif menggunakan fungsi F.DIST dengan argumen C53, C54, C55, dan TRUE!</t>
        </is>
      </c>
    </row>
    <row r="665">
      <c r="A665" s="5" t="n">
        <v>661</v>
      </c>
      <c r="B665" s="8" t="inlineStr">
        <is>
          <t>F.DIST.RT</t>
        </is>
      </c>
      <c r="C665" s="6" t="inlineStr">
        <is>
          <t>Soal Tes #1</t>
        </is>
      </c>
      <c r="D665" s="33" t="inlineStr">
        <is>
          <t>F.DIST.RT!E22</t>
        </is>
      </c>
      <c r="E665" s="22" t="inlineStr">
        <is>
          <t>'=F.DIST.RT(C21, C22, C23)</t>
        </is>
      </c>
      <c r="F665" s="34">
        <f>F.DIST.RT('F.DIST.RT'!C21, 'F.DIST.RT'!C22, 'F.DIST.RT'!C23)</f>
        <v/>
      </c>
      <c r="G665" s="19" t="inlineStr">
        <is>
          <t>Hitung probabilitas distribusi F ekor kanan menggunakan fungsi F.DIST.RT dengan argumen C21, C22, dan C23!</t>
        </is>
      </c>
    </row>
    <row r="666">
      <c r="A666" s="5" t="n">
        <v>662</v>
      </c>
      <c r="B666" s="8" t="inlineStr">
        <is>
          <t>F.DIST.RT</t>
        </is>
      </c>
      <c r="C666" s="6" t="inlineStr">
        <is>
          <t>Soal Tes #2</t>
        </is>
      </c>
      <c r="D666" s="33" t="inlineStr">
        <is>
          <t>F.DIST.RT!E30</t>
        </is>
      </c>
      <c r="E666" s="22" t="inlineStr">
        <is>
          <t>'=F.DIST.RT(C29, C30, C31)</t>
        </is>
      </c>
      <c r="F666" s="34">
        <f>F.DIST.RT('F.DIST.RT'!C29, 'F.DIST.RT'!C30, 'F.DIST.RT'!C31)</f>
        <v/>
      </c>
      <c r="G666" s="19" t="inlineStr">
        <is>
          <t>Hitung probabilitas distribusi F ekor kanan menggunakan fungsi F.DIST.RT dengan argumen C29, C30, dan C31!</t>
        </is>
      </c>
    </row>
    <row r="667">
      <c r="A667" s="5" t="n">
        <v>663</v>
      </c>
      <c r="B667" s="8" t="inlineStr">
        <is>
          <t>F.DIST.RT</t>
        </is>
      </c>
      <c r="C667" s="6" t="inlineStr">
        <is>
          <t>Soal Tes #3</t>
        </is>
      </c>
      <c r="D667" s="33" t="inlineStr">
        <is>
          <t>F.DIST.RT!E38</t>
        </is>
      </c>
      <c r="E667" s="22" t="inlineStr">
        <is>
          <t>'=F.DIST.RT(C37, C38, C39)</t>
        </is>
      </c>
      <c r="F667" s="34">
        <f>F.DIST.RT('F.DIST.RT'!C37, 'F.DIST.RT'!C38, 'F.DIST.RT'!C39)</f>
        <v/>
      </c>
      <c r="G667" s="19" t="inlineStr">
        <is>
          <t>Hitung probabilitas distribusi F ekor kanan menggunakan fungsi F.DIST.RT dengan argumen C37, C38, dan C39!</t>
        </is>
      </c>
    </row>
    <row r="668">
      <c r="A668" s="5" t="n">
        <v>664</v>
      </c>
      <c r="B668" s="8" t="inlineStr">
        <is>
          <t>F.DIST.RT</t>
        </is>
      </c>
      <c r="C668" s="6" t="inlineStr">
        <is>
          <t>Soal Tes #4</t>
        </is>
      </c>
      <c r="D668" s="33" t="inlineStr">
        <is>
          <t>F.DIST.RT!E46</t>
        </is>
      </c>
      <c r="E668" s="22" t="inlineStr">
        <is>
          <t>'=F.DIST.RT(C45, C46, C47)</t>
        </is>
      </c>
      <c r="F668" s="34">
        <f>F.DIST.RT('F.DIST.RT'!C45, 'F.DIST.RT'!C46, 'F.DIST.RT'!C47)</f>
        <v/>
      </c>
      <c r="G668" s="19" t="inlineStr">
        <is>
          <t>Hitung probabilitas distribusi F ekor kanan menggunakan fungsi F.DIST.RT dengan argumen C45, C46, dan C47!</t>
        </is>
      </c>
    </row>
    <row r="669">
      <c r="A669" s="5" t="n">
        <v>665</v>
      </c>
      <c r="B669" s="8" t="inlineStr">
        <is>
          <t>F.DIST.RT</t>
        </is>
      </c>
      <c r="C669" s="6" t="inlineStr">
        <is>
          <t>Soal Tes #5</t>
        </is>
      </c>
      <c r="D669" s="33" t="inlineStr">
        <is>
          <t>F.DIST.RT!E54</t>
        </is>
      </c>
      <c r="E669" s="22" t="inlineStr">
        <is>
          <t>'=F.DIST.RT(C53, C54, C55)</t>
        </is>
      </c>
      <c r="F669" s="34">
        <f>F.DIST.RT('F.DIST.RT'!C53, 'F.DIST.RT'!C54, 'F.DIST.RT'!C55)</f>
        <v/>
      </c>
      <c r="G669" s="19" t="inlineStr">
        <is>
          <t>Hitung probabilitas distribusi F ekor kanan menggunakan fungsi F.DIST.RT dengan argumen C53, C54, dan C55!</t>
        </is>
      </c>
    </row>
    <row r="670">
      <c r="A670" s="5" t="n">
        <v>666</v>
      </c>
      <c r="B670" s="8" t="inlineStr">
        <is>
          <t>F.INV</t>
        </is>
      </c>
      <c r="C670" s="6" t="inlineStr">
        <is>
          <t>Soal Tes #1</t>
        </is>
      </c>
      <c r="D670" s="33" t="inlineStr">
        <is>
          <t>F.INV!E22</t>
        </is>
      </c>
      <c r="E670" s="22" t="inlineStr">
        <is>
          <t>'=F.INV(C21, C22, C23)</t>
        </is>
      </c>
      <c r="F670" s="34">
        <f>F.INV('F.INV'!C21, 'F.INV'!C22, 'F.INV'!C23)</f>
        <v/>
      </c>
      <c r="G670" s="19" t="inlineStr">
        <is>
          <t>Hitung nilai invers distribusi F menggunakan fungsi F.INV dengan argumen berurutan C21, C22, dan C23!</t>
        </is>
      </c>
    </row>
    <row r="671">
      <c r="A671" s="5" t="n">
        <v>667</v>
      </c>
      <c r="B671" s="8" t="inlineStr">
        <is>
          <t>F.INV</t>
        </is>
      </c>
      <c r="C671" s="6" t="inlineStr">
        <is>
          <t>Soal Tes #2</t>
        </is>
      </c>
      <c r="D671" s="33" t="inlineStr">
        <is>
          <t>F.INV!E30</t>
        </is>
      </c>
      <c r="E671" s="22" t="inlineStr">
        <is>
          <t>'=F.INV(C29, C30, C31)</t>
        </is>
      </c>
      <c r="F671" s="34">
        <f>F.INV('F.INV'!C29, 'F.INV'!C30, 'F.INV'!C31)</f>
        <v/>
      </c>
      <c r="G671" s="19" t="inlineStr">
        <is>
          <t>Hitung nilai invers distribusi F menggunakan fungsi F.INV dengan argumen berurutan C29, C30, dan C31!</t>
        </is>
      </c>
    </row>
    <row r="672">
      <c r="A672" s="5" t="n">
        <v>668</v>
      </c>
      <c r="B672" s="8" t="inlineStr">
        <is>
          <t>F.INV</t>
        </is>
      </c>
      <c r="C672" s="6" t="inlineStr">
        <is>
          <t>Soal Tes #3</t>
        </is>
      </c>
      <c r="D672" s="33" t="inlineStr">
        <is>
          <t>F.INV!E38</t>
        </is>
      </c>
      <c r="E672" s="22" t="inlineStr">
        <is>
          <t>'=F.INV(C37, C38, C39)</t>
        </is>
      </c>
      <c r="F672" s="34">
        <f>F.INV('F.INV'!C37, 'F.INV'!C38, 'F.INV'!C39)</f>
        <v/>
      </c>
      <c r="G672" s="19" t="inlineStr">
        <is>
          <t>Hitung nilai invers distribusi F menggunakan fungsi F.INV dengan argumen berurutan C37, C38, dan C39!</t>
        </is>
      </c>
    </row>
    <row r="673">
      <c r="A673" s="5" t="n">
        <v>669</v>
      </c>
      <c r="B673" s="8" t="inlineStr">
        <is>
          <t>F.INV</t>
        </is>
      </c>
      <c r="C673" s="6" t="inlineStr">
        <is>
          <t>Soal Tes #4</t>
        </is>
      </c>
      <c r="D673" s="33" t="inlineStr">
        <is>
          <t>F.INV!E46</t>
        </is>
      </c>
      <c r="E673" s="22" t="inlineStr">
        <is>
          <t>'=F.INV(C45, C46, C47)</t>
        </is>
      </c>
      <c r="F673" s="34">
        <f>F.INV('F.INV'!C45, 'F.INV'!C46, 'F.INV'!C47)</f>
        <v/>
      </c>
      <c r="G673" s="19" t="inlineStr">
        <is>
          <t>Hitung nilai invers distribusi F menggunakan fungsi F.INV dengan argumen berurutan C45, C46, dan C47!</t>
        </is>
      </c>
    </row>
    <row r="674">
      <c r="A674" s="5" t="n">
        <v>670</v>
      </c>
      <c r="B674" s="8" t="inlineStr">
        <is>
          <t>F.INV</t>
        </is>
      </c>
      <c r="C674" s="6" t="inlineStr">
        <is>
          <t>Soal Tes #5</t>
        </is>
      </c>
      <c r="D674" s="33" t="inlineStr">
        <is>
          <t>F.INV!E54</t>
        </is>
      </c>
      <c r="E674" s="22" t="inlineStr">
        <is>
          <t>'=F.INV(C53, C54, C55)</t>
        </is>
      </c>
      <c r="F674" s="34">
        <f>F.INV('F.INV'!C53, 'F.INV'!C54, 'F.INV'!C55)</f>
        <v/>
      </c>
      <c r="G674" s="19" t="inlineStr">
        <is>
          <t>Hitung nilai invers distribusi F menggunakan fungsi F.INV dengan argumen berurutan C53, C54, dan C55!</t>
        </is>
      </c>
    </row>
    <row r="675">
      <c r="A675" s="5" t="n">
        <v>671</v>
      </c>
      <c r="B675" s="8" t="inlineStr">
        <is>
          <t>F.INV.RT</t>
        </is>
      </c>
      <c r="C675" s="6" t="inlineStr">
        <is>
          <t>Soal Tes #1</t>
        </is>
      </c>
      <c r="D675" s="33" t="inlineStr">
        <is>
          <t>F.INV.RT!E22</t>
        </is>
      </c>
      <c r="E675" s="22" t="inlineStr">
        <is>
          <t>'=F.INV.RT(C21, C22, C23)</t>
        </is>
      </c>
      <c r="F675" s="34">
        <f>F.INV.RT('F.INV.RT'!C21, 'F.INV.RT'!C22, 'F.INV.RT'!C23)</f>
        <v/>
      </c>
      <c r="G675" s="19" t="inlineStr">
        <is>
          <t>Hitung nilai invers distribusi F menggunakan fungsi F.INV.RT dengan argumen berurutan C21, C22, dan C23!</t>
        </is>
      </c>
    </row>
    <row r="676">
      <c r="A676" s="5" t="n">
        <v>672</v>
      </c>
      <c r="B676" s="8" t="inlineStr">
        <is>
          <t>F.INV.RT</t>
        </is>
      </c>
      <c r="C676" s="6" t="inlineStr">
        <is>
          <t>Soal Tes #2</t>
        </is>
      </c>
      <c r="D676" s="33" t="inlineStr">
        <is>
          <t>F.INV.RT!E30</t>
        </is>
      </c>
      <c r="E676" s="22" t="inlineStr">
        <is>
          <t>'=F.INV.RT(C29, C30, C31)</t>
        </is>
      </c>
      <c r="F676" s="34">
        <f>F.INV.RT('F.INV.RT'!C29, 'F.INV.RT'!C30, 'F.INV.RT'!C31)</f>
        <v/>
      </c>
      <c r="G676" s="19" t="inlineStr">
        <is>
          <t>Hitung nilai invers distribusi F menggunakan fungsi F.INV.RT dengan argumen berurutan C29, C30, dan C31!</t>
        </is>
      </c>
    </row>
    <row r="677">
      <c r="A677" s="5" t="n">
        <v>673</v>
      </c>
      <c r="B677" s="8" t="inlineStr">
        <is>
          <t>F.INV.RT</t>
        </is>
      </c>
      <c r="C677" s="6" t="inlineStr">
        <is>
          <t>Soal Tes #3</t>
        </is>
      </c>
      <c r="D677" s="33" t="inlineStr">
        <is>
          <t>F.INV.RT!E38</t>
        </is>
      </c>
      <c r="E677" s="22" t="inlineStr">
        <is>
          <t>'=F.INV.RT(C37, C38, C39)</t>
        </is>
      </c>
      <c r="F677" s="34">
        <f>F.INV.RT('F.INV.RT'!C37, 'F.INV.RT'!C38, 'F.INV.RT'!C39)</f>
        <v/>
      </c>
      <c r="G677" s="19" t="inlineStr">
        <is>
          <t>Hitung nilai invers distribusi F menggunakan fungsi F.INV.RT dengan argumen berurutan C37, C38, dan C39!</t>
        </is>
      </c>
    </row>
    <row r="678">
      <c r="A678" s="5" t="n">
        <v>674</v>
      </c>
      <c r="B678" s="8" t="inlineStr">
        <is>
          <t>F.INV.RT</t>
        </is>
      </c>
      <c r="C678" s="6" t="inlineStr">
        <is>
          <t>Soal Tes #4</t>
        </is>
      </c>
      <c r="D678" s="33" t="inlineStr">
        <is>
          <t>F.INV.RT!E46</t>
        </is>
      </c>
      <c r="E678" s="22" t="inlineStr">
        <is>
          <t>'=F.INV.RT(C45, C46, C47)</t>
        </is>
      </c>
      <c r="F678" s="34">
        <f>F.INV.RT('F.INV.RT'!C45, 'F.INV.RT'!C46, 'F.INV.RT'!C47)</f>
        <v/>
      </c>
      <c r="G678" s="19" t="inlineStr">
        <is>
          <t>Hitung nilai invers distribusi F menggunakan fungsi F.INV.RT dengan argumen berurutan C45, C46, dan C47!</t>
        </is>
      </c>
    </row>
    <row r="679">
      <c r="A679" s="5" t="n">
        <v>675</v>
      </c>
      <c r="B679" s="8" t="inlineStr">
        <is>
          <t>F.INV.RT</t>
        </is>
      </c>
      <c r="C679" s="6" t="inlineStr">
        <is>
          <t>Soal Tes #5</t>
        </is>
      </c>
      <c r="D679" s="33" t="inlineStr">
        <is>
          <t>F.INV.RT!E54</t>
        </is>
      </c>
      <c r="E679" s="22" t="inlineStr">
        <is>
          <t>'=F.INV.RT(C53, C54, C55)</t>
        </is>
      </c>
      <c r="F679" s="34">
        <f>F.INV.RT('F.INV.RT'!C53, 'F.INV.RT'!C54, 'F.INV.RT'!C55)</f>
        <v/>
      </c>
      <c r="G679" s="19" t="inlineStr">
        <is>
          <t>Hitung nilai invers distribusi F menggunakan fungsi F.INV.RT dengan argumen berurutan C53, C54, dan C55!</t>
        </is>
      </c>
    </row>
    <row r="680">
      <c r="A680" s="5" t="n">
        <v>676</v>
      </c>
      <c r="B680" s="8" t="inlineStr">
        <is>
          <t>FTEST</t>
        </is>
      </c>
      <c r="C680" s="6" t="inlineStr">
        <is>
          <t>Soal Tes #1</t>
        </is>
      </c>
      <c r="D680" s="33" t="inlineStr">
        <is>
          <t>FTEST!E22</t>
        </is>
      </c>
      <c r="E680" s="22" t="inlineStr">
        <is>
          <t>'=FTEST(B21:B24, C21:C24)</t>
        </is>
      </c>
      <c r="F680" s="34">
        <f>FTEST('FTEST'!B21:B24, 'FTEST'!C21:C24)</f>
        <v/>
      </c>
      <c r="G680" s="19" t="inlineStr">
        <is>
          <t>Analisis hubungan antara data pertama (B21:B24) dan data kedua (C21:C24) menggunakan fungsi FTEST!</t>
        </is>
      </c>
    </row>
    <row r="681">
      <c r="A681" s="5" t="n">
        <v>677</v>
      </c>
      <c r="B681" s="8" t="inlineStr">
        <is>
          <t>FTEST</t>
        </is>
      </c>
      <c r="C681" s="6" t="inlineStr">
        <is>
          <t>Soal Tes #2</t>
        </is>
      </c>
      <c r="D681" s="33" t="inlineStr">
        <is>
          <t>FTEST!E30</t>
        </is>
      </c>
      <c r="E681" s="22" t="inlineStr">
        <is>
          <t>'=FTEST(B29:B32, C29:C32)</t>
        </is>
      </c>
      <c r="F681" s="34">
        <f>FTEST('FTEST'!B29:B32, 'FTEST'!C29:C32)</f>
        <v/>
      </c>
      <c r="G681" s="19" t="inlineStr">
        <is>
          <t>Analisis hubungan antara data pertama (B29:B32) dan data kedua (C29:C32) menggunakan fungsi FTEST!</t>
        </is>
      </c>
    </row>
    <row r="682">
      <c r="A682" s="5" t="n">
        <v>678</v>
      </c>
      <c r="B682" s="8" t="inlineStr">
        <is>
          <t>FTEST</t>
        </is>
      </c>
      <c r="C682" s="6" t="inlineStr">
        <is>
          <t>Soal Tes #3</t>
        </is>
      </c>
      <c r="D682" s="33" t="inlineStr">
        <is>
          <t>FTEST!E38</t>
        </is>
      </c>
      <c r="E682" s="22" t="inlineStr">
        <is>
          <t>'=FTEST(B37:B40, C37:C40)</t>
        </is>
      </c>
      <c r="F682" s="34">
        <f>FTEST('FTEST'!B37:B40, 'FTEST'!C37:C40)</f>
        <v/>
      </c>
      <c r="G682" s="19" t="inlineStr">
        <is>
          <t>Analisis hubungan antara data pertama (B37:B40) dan data kedua (C37:C40) menggunakan fungsi FTEST!</t>
        </is>
      </c>
    </row>
    <row r="683">
      <c r="A683" s="5" t="n">
        <v>679</v>
      </c>
      <c r="B683" s="8" t="inlineStr">
        <is>
          <t>FTEST</t>
        </is>
      </c>
      <c r="C683" s="6" t="inlineStr">
        <is>
          <t>Soal Tes #4</t>
        </is>
      </c>
      <c r="D683" s="33" t="inlineStr">
        <is>
          <t>FTEST!E46</t>
        </is>
      </c>
      <c r="E683" s="22" t="inlineStr">
        <is>
          <t>'=FTEST(B45:B48, C45:C48)</t>
        </is>
      </c>
      <c r="F683" s="34">
        <f>FTEST('FTEST'!B45:B48, 'FTEST'!C45:C48)</f>
        <v/>
      </c>
      <c r="G683" s="19" t="inlineStr">
        <is>
          <t>Analisis hubungan antara data pertama (B45:B48) dan data kedua (C45:C48) menggunakan fungsi FTEST!</t>
        </is>
      </c>
    </row>
    <row r="684">
      <c r="A684" s="5" t="n">
        <v>680</v>
      </c>
      <c r="B684" s="8" t="inlineStr">
        <is>
          <t>FTEST</t>
        </is>
      </c>
      <c r="C684" s="6" t="inlineStr">
        <is>
          <t>Soal Tes #5</t>
        </is>
      </c>
      <c r="D684" s="33" t="inlineStr">
        <is>
          <t>FTEST!E54</t>
        </is>
      </c>
      <c r="E684" s="22" t="inlineStr">
        <is>
          <t>'=FTEST(B53:B56, C53:C56)</t>
        </is>
      </c>
      <c r="F684" s="34">
        <f>FTEST('FTEST'!B53:B56, 'FTEST'!C53:C56)</f>
        <v/>
      </c>
      <c r="G684" s="19" t="inlineStr">
        <is>
          <t>Analisis hubungan antara data pertama (B53:B56) dan data kedua (C53:C56) menggunakan fungsi FTEST!</t>
        </is>
      </c>
    </row>
    <row r="685">
      <c r="A685" s="5" t="n">
        <v>681</v>
      </c>
      <c r="B685" s="8" t="inlineStr">
        <is>
          <t>FISHER</t>
        </is>
      </c>
      <c r="C685" s="6" t="inlineStr">
        <is>
          <t>Soal Tes #1</t>
        </is>
      </c>
      <c r="D685" s="33" t="inlineStr">
        <is>
          <t>FISHER!E22</t>
        </is>
      </c>
      <c r="E685" s="22" t="inlineStr">
        <is>
          <t>'=FISHER(C21)</t>
        </is>
      </c>
      <c r="F685" s="34">
        <f>FISHER('FISHER'!C21)</f>
        <v/>
      </c>
      <c r="G685" s="19" t="inlineStr">
        <is>
          <t>Hitung hasil transformasi FISHER untuk nilai koefisien pada sel C21 (0.25)!</t>
        </is>
      </c>
    </row>
    <row r="686">
      <c r="A686" s="5" t="n">
        <v>682</v>
      </c>
      <c r="B686" s="8" t="inlineStr">
        <is>
          <t>FISHER</t>
        </is>
      </c>
      <c r="C686" s="6" t="inlineStr">
        <is>
          <t>Soal Tes #2</t>
        </is>
      </c>
      <c r="D686" s="33" t="inlineStr">
        <is>
          <t>FISHER!E30</t>
        </is>
      </c>
      <c r="E686" s="22" t="inlineStr">
        <is>
          <t>'=FISHER(C29)</t>
        </is>
      </c>
      <c r="F686" s="34">
        <f>FISHER('FISHER'!C29)</f>
        <v/>
      </c>
      <c r="G686" s="19" t="inlineStr">
        <is>
          <t>Hitung hasil transformasi FISHER untuk nilai koefisien pada sel C29 (0.35)!</t>
        </is>
      </c>
    </row>
    <row r="687">
      <c r="A687" s="5" t="n">
        <v>683</v>
      </c>
      <c r="B687" s="8" t="inlineStr">
        <is>
          <t>FISHER</t>
        </is>
      </c>
      <c r="C687" s="6" t="inlineStr">
        <is>
          <t>Soal Tes #3</t>
        </is>
      </c>
      <c r="D687" s="33" t="inlineStr">
        <is>
          <t>FISHER!E38</t>
        </is>
      </c>
      <c r="E687" s="22" t="inlineStr">
        <is>
          <t>'=FISHER(C37)</t>
        </is>
      </c>
      <c r="F687" s="34">
        <f>FISHER('FISHER'!C37)</f>
        <v/>
      </c>
      <c r="G687" s="19" t="inlineStr">
        <is>
          <t>Hitung hasil transformasi FISHER untuk nilai koefisien pada sel C37 (0.45)!</t>
        </is>
      </c>
    </row>
    <row r="688">
      <c r="A688" s="5" t="n">
        <v>684</v>
      </c>
      <c r="B688" s="8" t="inlineStr">
        <is>
          <t>FISHER</t>
        </is>
      </c>
      <c r="C688" s="6" t="inlineStr">
        <is>
          <t>Soal Tes #4</t>
        </is>
      </c>
      <c r="D688" s="33" t="inlineStr">
        <is>
          <t>FISHER!E46</t>
        </is>
      </c>
      <c r="E688" s="22" t="inlineStr">
        <is>
          <t>'=FISHER(C45)</t>
        </is>
      </c>
      <c r="F688" s="34">
        <f>FISHER('FISHER'!C45)</f>
        <v/>
      </c>
      <c r="G688" s="19" t="inlineStr">
        <is>
          <t>Hitung hasil transformasi FISHER untuk nilai koefisien pada sel C45 (0.55)!</t>
        </is>
      </c>
    </row>
    <row r="689">
      <c r="A689" s="5" t="n">
        <v>685</v>
      </c>
      <c r="B689" s="8" t="inlineStr">
        <is>
          <t>FISHER</t>
        </is>
      </c>
      <c r="C689" s="6" t="inlineStr">
        <is>
          <t>Soal Tes #5</t>
        </is>
      </c>
      <c r="D689" s="33" t="inlineStr">
        <is>
          <t>FISHER!E54</t>
        </is>
      </c>
      <c r="E689" s="22" t="inlineStr">
        <is>
          <t>'=FISHER(C53)</t>
        </is>
      </c>
      <c r="F689" s="34">
        <f>FISHER('FISHER'!C53)</f>
        <v/>
      </c>
      <c r="G689" s="19" t="inlineStr">
        <is>
          <t>Hitung hasil transformasi FISHER untuk nilai koefisien pada sel C53 (0.65)!</t>
        </is>
      </c>
    </row>
    <row r="690">
      <c r="A690" s="5" t="n">
        <v>686</v>
      </c>
      <c r="B690" s="8" t="inlineStr">
        <is>
          <t>FISHER.INV</t>
        </is>
      </c>
      <c r="C690" s="6" t="inlineStr">
        <is>
          <t>Soal Tes #1</t>
        </is>
      </c>
      <c r="D690" s="33" t="inlineStr">
        <is>
          <t>FISHER.INV!E22</t>
        </is>
      </c>
      <c r="E690" s="22" t="inlineStr">
        <is>
          <t>'=FISHERINV(C21)</t>
        </is>
      </c>
      <c r="F690" s="34">
        <f>FISHERINV('FISHER.INV'!C21)</f>
        <v/>
      </c>
      <c r="G690" s="19" t="inlineStr">
        <is>
          <t>Hitung hasil transformasi FISHERINV untuk nilai koefisien pada sel C21 (0.25)!</t>
        </is>
      </c>
    </row>
    <row r="691">
      <c r="A691" s="5" t="n">
        <v>687</v>
      </c>
      <c r="B691" s="8" t="inlineStr">
        <is>
          <t>FISHER.INV</t>
        </is>
      </c>
      <c r="C691" s="6" t="inlineStr">
        <is>
          <t>Soal Tes #2</t>
        </is>
      </c>
      <c r="D691" s="33" t="inlineStr">
        <is>
          <t>FISHER.INV!E30</t>
        </is>
      </c>
      <c r="E691" s="22" t="inlineStr">
        <is>
          <t>'=FISHERINV(C29)</t>
        </is>
      </c>
      <c r="F691" s="34">
        <f>FISHERINV('FISHER.INV'!C29)</f>
        <v/>
      </c>
      <c r="G691" s="19" t="inlineStr">
        <is>
          <t>Hitung hasil transformasi FISHERINV untuk nilai koefisien pada sel C29 (0.35)!</t>
        </is>
      </c>
    </row>
    <row r="692">
      <c r="A692" s="5" t="n">
        <v>688</v>
      </c>
      <c r="B692" s="8" t="inlineStr">
        <is>
          <t>FISHER.INV</t>
        </is>
      </c>
      <c r="C692" s="6" t="inlineStr">
        <is>
          <t>Soal Tes #3</t>
        </is>
      </c>
      <c r="D692" s="33" t="inlineStr">
        <is>
          <t>FISHER.INV!E38</t>
        </is>
      </c>
      <c r="E692" s="22" t="inlineStr">
        <is>
          <t>'=FISHERINV(C37)</t>
        </is>
      </c>
      <c r="F692" s="34">
        <f>FISHERINV('FISHER.INV'!C37)</f>
        <v/>
      </c>
      <c r="G692" s="19" t="inlineStr">
        <is>
          <t>Hitung hasil transformasi FISHERINV untuk nilai koefisien pada sel C37 (0.45)!</t>
        </is>
      </c>
    </row>
    <row r="693">
      <c r="A693" s="5" t="n">
        <v>689</v>
      </c>
      <c r="B693" s="8" t="inlineStr">
        <is>
          <t>FISHER.INV</t>
        </is>
      </c>
      <c r="C693" s="6" t="inlineStr">
        <is>
          <t>Soal Tes #4</t>
        </is>
      </c>
      <c r="D693" s="33" t="inlineStr">
        <is>
          <t>FISHER.INV!E46</t>
        </is>
      </c>
      <c r="E693" s="22" t="inlineStr">
        <is>
          <t>'=FISHERINV(C45)</t>
        </is>
      </c>
      <c r="F693" s="34">
        <f>FISHERINV('FISHER.INV'!C45)</f>
        <v/>
      </c>
      <c r="G693" s="19" t="inlineStr">
        <is>
          <t>Hitung hasil transformasi FISHERINV untuk nilai koefisien pada sel C45 (0.55)!</t>
        </is>
      </c>
    </row>
    <row r="694">
      <c r="A694" s="5" t="n">
        <v>690</v>
      </c>
      <c r="B694" s="8" t="inlineStr">
        <is>
          <t>FISHER.INV</t>
        </is>
      </c>
      <c r="C694" s="6" t="inlineStr">
        <is>
          <t>Soal Tes #5</t>
        </is>
      </c>
      <c r="D694" s="33" t="inlineStr">
        <is>
          <t>FISHER.INV!E54</t>
        </is>
      </c>
      <c r="E694" s="22" t="inlineStr">
        <is>
          <t>'=FISHERINV(C53)</t>
        </is>
      </c>
      <c r="F694" s="34">
        <f>FISHERINV('FISHER.INV'!C53)</f>
        <v/>
      </c>
      <c r="G694" s="19" t="inlineStr">
        <is>
          <t>Hitung hasil transformasi FISHERINV untuk nilai koefisien pada sel C53 (0.65)!</t>
        </is>
      </c>
    </row>
    <row r="695">
      <c r="A695" s="5" t="n">
        <v>691</v>
      </c>
      <c r="B695" s="8" t="inlineStr">
        <is>
          <t>FORECAST</t>
        </is>
      </c>
      <c r="C695" s="6" t="inlineStr">
        <is>
          <t>Soal Tes #1</t>
        </is>
      </c>
      <c r="D695" s="33" t="inlineStr">
        <is>
          <t>FORECAST!E22</t>
        </is>
      </c>
      <c r="E695" s="22" t="inlineStr">
        <is>
          <t>'=FORECAST(5, C21:C24, B21:B24)</t>
        </is>
      </c>
      <c r="F695" s="34">
        <f>FORECAST(5, 'FORECAST'!C21:C24, 'FORECAST'!B21:B24)</f>
        <v/>
      </c>
      <c r="G695" s="19" t="inlineStr">
        <is>
          <t>Ramal nilai pada target periode ke-5 berdasarkan data historis Y (C21:C24) dan periode X (B21:B24) menggunakan fungsi FORECAST!</t>
        </is>
      </c>
    </row>
    <row r="696">
      <c r="A696" s="5" t="n">
        <v>692</v>
      </c>
      <c r="B696" s="8" t="inlineStr">
        <is>
          <t>FORECAST</t>
        </is>
      </c>
      <c r="C696" s="6" t="inlineStr">
        <is>
          <t>Soal Tes #2</t>
        </is>
      </c>
      <c r="D696" s="33" t="inlineStr">
        <is>
          <t>FORECAST!E30</t>
        </is>
      </c>
      <c r="E696" s="22" t="inlineStr">
        <is>
          <t>'=FORECAST(5, C29:C32, B29:B32)</t>
        </is>
      </c>
      <c r="F696" s="34">
        <f>FORECAST(5, 'FORECAST'!C29:C32, 'FORECAST'!B29:B32)</f>
        <v/>
      </c>
      <c r="G696" s="19" t="inlineStr">
        <is>
          <t>Ramal nilai pada target periode ke-5 berdasarkan data historis Y (C29:C32) dan periode X (B29:B32) menggunakan fungsi FORECAST!</t>
        </is>
      </c>
    </row>
    <row r="697">
      <c r="A697" s="5" t="n">
        <v>693</v>
      </c>
      <c r="B697" s="8" t="inlineStr">
        <is>
          <t>FORECAST</t>
        </is>
      </c>
      <c r="C697" s="6" t="inlineStr">
        <is>
          <t>Soal Tes #3</t>
        </is>
      </c>
      <c r="D697" s="33" t="inlineStr">
        <is>
          <t>FORECAST!E38</t>
        </is>
      </c>
      <c r="E697" s="22" t="inlineStr">
        <is>
          <t>'=FORECAST(5, C37:C40, B37:B40)</t>
        </is>
      </c>
      <c r="F697" s="34">
        <f>FORECAST(5, 'FORECAST'!C37:C40, 'FORECAST'!B37:B40)</f>
        <v/>
      </c>
      <c r="G697" s="19" t="inlineStr">
        <is>
          <t>Ramal nilai pada target periode ke-5 berdasarkan data historis Y (C37:C40) dan periode X (B37:B40) menggunakan fungsi FORECAST!</t>
        </is>
      </c>
    </row>
    <row r="698">
      <c r="A698" s="5" t="n">
        <v>694</v>
      </c>
      <c r="B698" s="8" t="inlineStr">
        <is>
          <t>FORECAST</t>
        </is>
      </c>
      <c r="C698" s="6" t="inlineStr">
        <is>
          <t>Soal Tes #4</t>
        </is>
      </c>
      <c r="D698" s="33" t="inlineStr">
        <is>
          <t>FORECAST!E46</t>
        </is>
      </c>
      <c r="E698" s="22" t="inlineStr">
        <is>
          <t>'=FORECAST(5, C45:C48, B45:B48)</t>
        </is>
      </c>
      <c r="F698" s="34">
        <f>FORECAST(5, 'FORECAST'!C45:C48, 'FORECAST'!B45:B48)</f>
        <v/>
      </c>
      <c r="G698" s="19" t="inlineStr">
        <is>
          <t>Ramal nilai pada target periode ke-5 berdasarkan data historis Y (C45:C48) dan periode X (B45:B48) menggunakan fungsi FORECAST!</t>
        </is>
      </c>
    </row>
    <row r="699">
      <c r="A699" s="5" t="n">
        <v>695</v>
      </c>
      <c r="B699" s="8" t="inlineStr">
        <is>
          <t>FORECAST</t>
        </is>
      </c>
      <c r="C699" s="6" t="inlineStr">
        <is>
          <t>Soal Tes #5</t>
        </is>
      </c>
      <c r="D699" s="33" t="inlineStr">
        <is>
          <t>FORECAST!E54</t>
        </is>
      </c>
      <c r="E699" s="22" t="inlineStr">
        <is>
          <t>'=FORECAST(5, C53:C56, B53:B56)</t>
        </is>
      </c>
      <c r="F699" s="34">
        <f>FORECAST(5, 'FORECAST'!C53:C56, 'FORECAST'!B53:B56)</f>
        <v/>
      </c>
      <c r="G699" s="19" t="inlineStr">
        <is>
          <t>Ramal nilai pada target periode ke-5 berdasarkan data historis Y (C53:C56) dan periode X (B53:B56) menggunakan fungsi FORECAST!</t>
        </is>
      </c>
    </row>
    <row r="700">
      <c r="A700" s="5" t="n">
        <v>696</v>
      </c>
      <c r="B700" s="8" t="inlineStr">
        <is>
          <t>FREQUENCY</t>
        </is>
      </c>
      <c r="C700" s="6" t="inlineStr">
        <is>
          <t>Soal Tes #1</t>
        </is>
      </c>
      <c r="D700" s="33" t="inlineStr">
        <is>
          <t>FREQUENCY!E22</t>
        </is>
      </c>
      <c r="E700" s="22" t="inlineStr">
        <is>
          <t>'=FREQUENCY(B21:B24, C21)</t>
        </is>
      </c>
      <c r="F700" s="34">
        <f>FREQUENCY('FREQUENCY'!B21:B24, 'FREQUENCY'!C21)</f>
        <v/>
      </c>
      <c r="G700" s="19" t="inlineStr">
        <is>
          <t>Hitung frekuensi data pada rentang B21:B24 terhadap batas kelas di sel C21 menggunakan fungsi FREQUENCY!</t>
        </is>
      </c>
    </row>
    <row r="701">
      <c r="A701" s="5" t="n">
        <v>697</v>
      </c>
      <c r="B701" s="8" t="inlineStr">
        <is>
          <t>FREQUENCY</t>
        </is>
      </c>
      <c r="C701" s="6" t="inlineStr">
        <is>
          <t>Soal Tes #2</t>
        </is>
      </c>
      <c r="D701" s="33" t="inlineStr">
        <is>
          <t>FREQUENCY!E30</t>
        </is>
      </c>
      <c r="E701" s="22" t="inlineStr">
        <is>
          <t>'=FREQUENCY(B29:B32, C29)</t>
        </is>
      </c>
      <c r="F701" s="34">
        <f>FREQUENCY('FREQUENCY'!B29:B32, 'FREQUENCY'!C29)</f>
        <v/>
      </c>
      <c r="G701" s="19" t="inlineStr">
        <is>
          <t>Hitung frekuensi data pada rentang B29:B32 terhadap batas kelas di sel C29 menggunakan fungsi FREQUENCY!</t>
        </is>
      </c>
    </row>
    <row r="702">
      <c r="A702" s="5" t="n">
        <v>698</v>
      </c>
      <c r="B702" s="8" t="inlineStr">
        <is>
          <t>FREQUENCY</t>
        </is>
      </c>
      <c r="C702" s="6" t="inlineStr">
        <is>
          <t>Soal Tes #3</t>
        </is>
      </c>
      <c r="D702" s="33" t="inlineStr">
        <is>
          <t>FREQUENCY!E38</t>
        </is>
      </c>
      <c r="E702" s="22" t="inlineStr">
        <is>
          <t>'=FREQUENCY(B37:B40, C37)</t>
        </is>
      </c>
      <c r="F702" s="34">
        <f>FREQUENCY('FREQUENCY'!B37:B40, 'FREQUENCY'!C37)</f>
        <v/>
      </c>
      <c r="G702" s="19" t="inlineStr">
        <is>
          <t>Hitung frekuensi data pada rentang B37:B40 terhadap batas kelas di sel C37 menggunakan fungsi FREQUENCY!</t>
        </is>
      </c>
    </row>
    <row r="703">
      <c r="A703" s="5" t="n">
        <v>699</v>
      </c>
      <c r="B703" s="8" t="inlineStr">
        <is>
          <t>FREQUENCY</t>
        </is>
      </c>
      <c r="C703" s="6" t="inlineStr">
        <is>
          <t>Soal Tes #4</t>
        </is>
      </c>
      <c r="D703" s="33" t="inlineStr">
        <is>
          <t>FREQUENCY!E46</t>
        </is>
      </c>
      <c r="E703" s="22" t="inlineStr">
        <is>
          <t>'=FREQUENCY(B45:B48, C45)</t>
        </is>
      </c>
      <c r="F703" s="34">
        <f>FREQUENCY('FREQUENCY'!B45:B48, 'FREQUENCY'!C45)</f>
        <v/>
      </c>
      <c r="G703" s="19" t="inlineStr">
        <is>
          <t>Hitung frekuensi data pada rentang B45:B48 terhadap batas kelas di sel C45 menggunakan fungsi FREQUENCY!</t>
        </is>
      </c>
    </row>
    <row r="704">
      <c r="A704" s="5" t="n">
        <v>700</v>
      </c>
      <c r="B704" s="8" t="inlineStr">
        <is>
          <t>FREQUENCY</t>
        </is>
      </c>
      <c r="C704" s="6" t="inlineStr">
        <is>
          <t>Soal Tes #5</t>
        </is>
      </c>
      <c r="D704" s="33" t="inlineStr">
        <is>
          <t>FREQUENCY!E54</t>
        </is>
      </c>
      <c r="E704" s="22" t="inlineStr">
        <is>
          <t>'=FREQUENCY(B53:B56, C53)</t>
        </is>
      </c>
      <c r="F704" s="34">
        <f>FREQUENCY('FREQUENCY'!B53:B56, 'FREQUENCY'!C53)</f>
        <v/>
      </c>
      <c r="G704" s="19" t="inlineStr">
        <is>
          <t>Hitung frekuensi data pada rentang B53:B56 terhadap batas kelas di sel C53 menggunakan fungsi FREQUENCY!</t>
        </is>
      </c>
    </row>
    <row r="705">
      <c r="A705" s="5" t="n">
        <v>701</v>
      </c>
      <c r="B705" s="8" t="inlineStr">
        <is>
          <t>GAMMADIST</t>
        </is>
      </c>
      <c r="C705" s="6" t="inlineStr">
        <is>
          <t>Soal Tes #1</t>
        </is>
      </c>
      <c r="D705" s="33" t="inlineStr">
        <is>
          <t>GAMMADIST!E22</t>
        </is>
      </c>
      <c r="E705" s="22" t="inlineStr">
        <is>
          <t>'=GAMMA.DIST(C21, C22, C23, TRUE)</t>
        </is>
      </c>
      <c r="F705" s="34">
        <f>GAMMA.DIST('GAMMADIST'!C21, 'GAMMADIST'!C22, 'GAMMADIST'!C23, TRUE)</f>
        <v/>
      </c>
      <c r="G705" s="19" t="inlineStr">
        <is>
          <t>Hitung nilai distribusi kumulatif (TRUE) menggunakan fungsi GAMMA.DIST dengan argumen berurutan C21, C22, C23, dan TRUE!</t>
        </is>
      </c>
    </row>
    <row r="706">
      <c r="A706" s="5" t="n">
        <v>702</v>
      </c>
      <c r="B706" s="8" t="inlineStr">
        <is>
          <t>GAMMADIST</t>
        </is>
      </c>
      <c r="C706" s="6" t="inlineStr">
        <is>
          <t>Soal Tes #2</t>
        </is>
      </c>
      <c r="D706" s="33" t="inlineStr">
        <is>
          <t>GAMMADIST!E30</t>
        </is>
      </c>
      <c r="E706" s="22" t="inlineStr">
        <is>
          <t>'=GAMMA.DIST(C29, C30, C31, TRUE)</t>
        </is>
      </c>
      <c r="F706" s="34">
        <f>GAMMA.DIST('GAMMADIST'!C29, 'GAMMADIST'!C30, 'GAMMADIST'!C31, TRUE)</f>
        <v/>
      </c>
      <c r="G706" s="19" t="inlineStr">
        <is>
          <t>Hitung nilai distribusi kumulatif (TRUE) menggunakan fungsi GAMMA.DIST dengan argumen berurutan C29, C30, C31, dan TRUE!</t>
        </is>
      </c>
    </row>
    <row r="707">
      <c r="A707" s="5" t="n">
        <v>703</v>
      </c>
      <c r="B707" s="8" t="inlineStr">
        <is>
          <t>GAMMADIST</t>
        </is>
      </c>
      <c r="C707" s="6" t="inlineStr">
        <is>
          <t>Soal Tes #3</t>
        </is>
      </c>
      <c r="D707" s="33" t="inlineStr">
        <is>
          <t>GAMMADIST!E38</t>
        </is>
      </c>
      <c r="E707" s="22" t="inlineStr">
        <is>
          <t>'=GAMMA.DIST(C37, C38, C39, TRUE)</t>
        </is>
      </c>
      <c r="F707" s="34">
        <f>GAMMA.DIST('GAMMADIST'!C37, 'GAMMADIST'!C38, 'GAMMADIST'!C39, TRUE)</f>
        <v/>
      </c>
      <c r="G707" s="19" t="inlineStr">
        <is>
          <t>Hitung nilai distribusi kumulatif (TRUE) menggunakan fungsi GAMMA.DIST dengan argumen berurutan C37, C38, C39, dan TRUE!</t>
        </is>
      </c>
    </row>
    <row r="708">
      <c r="A708" s="5" t="n">
        <v>704</v>
      </c>
      <c r="B708" s="8" t="inlineStr">
        <is>
          <t>GAMMADIST</t>
        </is>
      </c>
      <c r="C708" s="6" t="inlineStr">
        <is>
          <t>Soal Tes #4</t>
        </is>
      </c>
      <c r="D708" s="33" t="inlineStr">
        <is>
          <t>GAMMADIST!E46</t>
        </is>
      </c>
      <c r="E708" s="22" t="inlineStr">
        <is>
          <t>'=GAMMA.DIST(C45, C46, C47, TRUE)</t>
        </is>
      </c>
      <c r="F708" s="34">
        <f>GAMMA.DIST('GAMMADIST'!C45, 'GAMMADIST'!C46, 'GAMMADIST'!C47, TRUE)</f>
        <v/>
      </c>
      <c r="G708" s="19" t="inlineStr">
        <is>
          <t>Hitung nilai distribusi kumulatif (TRUE) menggunakan fungsi GAMMA.DIST dengan argumen berurutan C45, C46, C47, dan TRUE!</t>
        </is>
      </c>
    </row>
    <row r="709">
      <c r="A709" s="5" t="n">
        <v>705</v>
      </c>
      <c r="B709" s="8" t="inlineStr">
        <is>
          <t>GAMMADIST</t>
        </is>
      </c>
      <c r="C709" s="6" t="inlineStr">
        <is>
          <t>Soal Tes #5</t>
        </is>
      </c>
      <c r="D709" s="33" t="inlineStr">
        <is>
          <t>GAMMADIST!E54</t>
        </is>
      </c>
      <c r="E709" s="22" t="inlineStr">
        <is>
          <t>'=GAMMA.DIST(C53, C54, C55, TRUE)</t>
        </is>
      </c>
      <c r="F709" s="34">
        <f>GAMMA.DIST('GAMMADIST'!C53, 'GAMMADIST'!C54, 'GAMMADIST'!C55, TRUE)</f>
        <v/>
      </c>
      <c r="G709" s="19" t="inlineStr">
        <is>
          <t>Hitung nilai distribusi kumulatif (TRUE) menggunakan fungsi GAMMA.DIST dengan argumen berurutan C53, C54, C55, dan TRUE!</t>
        </is>
      </c>
    </row>
    <row r="710">
      <c r="A710" s="5" t="n">
        <v>706</v>
      </c>
      <c r="B710" s="8" t="inlineStr">
        <is>
          <t>GAMMAINV</t>
        </is>
      </c>
      <c r="C710" s="6" t="inlineStr">
        <is>
          <t>Soal Tes #1</t>
        </is>
      </c>
      <c r="D710" s="33" t="inlineStr">
        <is>
          <t>GAMMAINV!E22</t>
        </is>
      </c>
      <c r="E710" s="22" t="inlineStr">
        <is>
          <t>'=GAMMA.INV(C21, C22, C23)</t>
        </is>
      </c>
      <c r="F710" s="34">
        <f>GAMMA.INV('GAMMAINV'!C21, 'GAMMAINV'!C22, 'GAMMAINV'!C23)</f>
        <v/>
      </c>
      <c r="G710" s="19" t="inlineStr">
        <is>
          <t>Hitung nilai invers distribusi menggunakan fungsi GAMMA.INV dengan argumen berurutan C21, C22, dan C23!</t>
        </is>
      </c>
    </row>
    <row r="711">
      <c r="A711" s="5" t="n">
        <v>707</v>
      </c>
      <c r="B711" s="8" t="inlineStr">
        <is>
          <t>GAMMAINV</t>
        </is>
      </c>
      <c r="C711" s="6" t="inlineStr">
        <is>
          <t>Soal Tes #2</t>
        </is>
      </c>
      <c r="D711" s="33" t="inlineStr">
        <is>
          <t>GAMMAINV!E30</t>
        </is>
      </c>
      <c r="E711" s="22" t="inlineStr">
        <is>
          <t>'=GAMMA.INV(C29, C30, C31)</t>
        </is>
      </c>
      <c r="F711" s="34">
        <f>GAMMA.INV('GAMMAINV'!C29, 'GAMMAINV'!C30, 'GAMMAINV'!C31)</f>
        <v/>
      </c>
      <c r="G711" s="19" t="inlineStr">
        <is>
          <t>Hitung nilai invers distribusi menggunakan fungsi GAMMA.INV dengan argumen berurutan C29, C30, dan C31!</t>
        </is>
      </c>
    </row>
    <row r="712">
      <c r="A712" s="5" t="n">
        <v>708</v>
      </c>
      <c r="B712" s="8" t="inlineStr">
        <is>
          <t>GAMMAINV</t>
        </is>
      </c>
      <c r="C712" s="6" t="inlineStr">
        <is>
          <t>Soal Tes #3</t>
        </is>
      </c>
      <c r="D712" s="33" t="inlineStr">
        <is>
          <t>GAMMAINV!E38</t>
        </is>
      </c>
      <c r="E712" s="22" t="inlineStr">
        <is>
          <t>'=GAMMA.INV(C37, C38, C39)</t>
        </is>
      </c>
      <c r="F712" s="34">
        <f>GAMMA.INV('GAMMAINV'!C37, 'GAMMAINV'!C38, 'GAMMAINV'!C39)</f>
        <v/>
      </c>
      <c r="G712" s="19" t="inlineStr">
        <is>
          <t>Hitung nilai invers distribusi menggunakan fungsi GAMMA.INV dengan argumen berurutan C37, C38, dan C39!</t>
        </is>
      </c>
    </row>
    <row r="713">
      <c r="A713" s="5" t="n">
        <v>709</v>
      </c>
      <c r="B713" s="8" t="inlineStr">
        <is>
          <t>GAMMAINV</t>
        </is>
      </c>
      <c r="C713" s="6" t="inlineStr">
        <is>
          <t>Soal Tes #4</t>
        </is>
      </c>
      <c r="D713" s="33" t="inlineStr">
        <is>
          <t>GAMMAINV!E46</t>
        </is>
      </c>
      <c r="E713" s="22" t="inlineStr">
        <is>
          <t>'=GAMMA.INV(C45, C46, C47)</t>
        </is>
      </c>
      <c r="F713" s="34">
        <f>GAMMA.INV('GAMMAINV'!C45, 'GAMMAINV'!C46, 'GAMMAINV'!C47)</f>
        <v/>
      </c>
      <c r="G713" s="19" t="inlineStr">
        <is>
          <t>Hitung nilai invers distribusi menggunakan fungsi GAMMA.INV dengan argumen berurutan C45, C46, dan C47!</t>
        </is>
      </c>
    </row>
    <row r="714">
      <c r="A714" s="5" t="n">
        <v>710</v>
      </c>
      <c r="B714" s="8" t="inlineStr">
        <is>
          <t>GAMMAINV</t>
        </is>
      </c>
      <c r="C714" s="6" t="inlineStr">
        <is>
          <t>Soal Tes #5</t>
        </is>
      </c>
      <c r="D714" s="33" t="inlineStr">
        <is>
          <t>GAMMAINV!E54</t>
        </is>
      </c>
      <c r="E714" s="22" t="inlineStr">
        <is>
          <t>'=GAMMA.INV(C53, C54, C55)</t>
        </is>
      </c>
      <c r="F714" s="34">
        <f>GAMMA.INV('GAMMAINV'!C53, 'GAMMAINV'!C54, 'GAMMAINV'!C55)</f>
        <v/>
      </c>
      <c r="G714" s="19" t="inlineStr">
        <is>
          <t>Hitung nilai invers distribusi menggunakan fungsi GAMMA.INV dengan argumen berurutan C53, C54, dan C55!</t>
        </is>
      </c>
    </row>
    <row r="715">
      <c r="A715" s="5" t="n">
        <v>711</v>
      </c>
      <c r="B715" s="8" t="inlineStr">
        <is>
          <t>GAMMALN</t>
        </is>
      </c>
      <c r="C715" s="6" t="inlineStr">
        <is>
          <t>Soal Tes #1</t>
        </is>
      </c>
      <c r="D715" s="33" t="inlineStr">
        <is>
          <t>GAMMALN!E22</t>
        </is>
      </c>
      <c r="E715" s="22" t="inlineStr">
        <is>
          <t>'=GAMMALN(C21)</t>
        </is>
      </c>
      <c r="F715" s="34">
        <f>GAMMALN('GAMMALN'!C21)</f>
        <v/>
      </c>
      <c r="G715" s="19" t="inlineStr">
        <is>
          <t>Hitung hasil fungsi GAMMALN untuk nilai input pada sel C21 (3)!</t>
        </is>
      </c>
    </row>
    <row r="716">
      <c r="A716" s="5" t="n">
        <v>712</v>
      </c>
      <c r="B716" s="8" t="inlineStr">
        <is>
          <t>GAMMALN</t>
        </is>
      </c>
      <c r="C716" s="6" t="inlineStr">
        <is>
          <t>Soal Tes #2</t>
        </is>
      </c>
      <c r="D716" s="33" t="inlineStr">
        <is>
          <t>GAMMALN!E30</t>
        </is>
      </c>
      <c r="E716" s="22" t="inlineStr">
        <is>
          <t>'=GAMMALN(C29)</t>
        </is>
      </c>
      <c r="F716" s="34">
        <f>GAMMALN('GAMMALN'!C29)</f>
        <v/>
      </c>
      <c r="G716" s="19" t="inlineStr">
        <is>
          <t>Hitung hasil fungsi GAMMALN untuk nilai input pada sel C29 (4)!</t>
        </is>
      </c>
    </row>
    <row r="717">
      <c r="A717" s="5" t="n">
        <v>713</v>
      </c>
      <c r="B717" s="8" t="inlineStr">
        <is>
          <t>GAMMALN</t>
        </is>
      </c>
      <c r="C717" s="6" t="inlineStr">
        <is>
          <t>Soal Tes #3</t>
        </is>
      </c>
      <c r="D717" s="33" t="inlineStr">
        <is>
          <t>GAMMALN!E38</t>
        </is>
      </c>
      <c r="E717" s="22" t="inlineStr">
        <is>
          <t>'=GAMMALN(C37)</t>
        </is>
      </c>
      <c r="F717" s="34">
        <f>GAMMALN('GAMMALN'!C37)</f>
        <v/>
      </c>
      <c r="G717" s="19" t="inlineStr">
        <is>
          <t>Hitung hasil fungsi GAMMALN untuk nilai input pada sel C37 (5)!</t>
        </is>
      </c>
    </row>
    <row r="718">
      <c r="A718" s="5" t="n">
        <v>714</v>
      </c>
      <c r="B718" s="8" t="inlineStr">
        <is>
          <t>GAMMALN</t>
        </is>
      </c>
      <c r="C718" s="6" t="inlineStr">
        <is>
          <t>Soal Tes #4</t>
        </is>
      </c>
      <c r="D718" s="33" t="inlineStr">
        <is>
          <t>GAMMALN!E46</t>
        </is>
      </c>
      <c r="E718" s="22" t="inlineStr">
        <is>
          <t>'=GAMMALN(C45)</t>
        </is>
      </c>
      <c r="F718" s="34">
        <f>GAMMALN('GAMMALN'!C45)</f>
        <v/>
      </c>
      <c r="G718" s="19" t="inlineStr">
        <is>
          <t>Hitung hasil fungsi GAMMALN untuk nilai input pada sel C45 (6)!</t>
        </is>
      </c>
    </row>
    <row r="719">
      <c r="A719" s="5" t="n">
        <v>715</v>
      </c>
      <c r="B719" s="8" t="inlineStr">
        <is>
          <t>GAMMALN</t>
        </is>
      </c>
      <c r="C719" s="6" t="inlineStr">
        <is>
          <t>Soal Tes #5</t>
        </is>
      </c>
      <c r="D719" s="33" t="inlineStr">
        <is>
          <t>GAMMALN!E54</t>
        </is>
      </c>
      <c r="E719" s="22" t="inlineStr">
        <is>
          <t>'=GAMMALN(C53)</t>
        </is>
      </c>
      <c r="F719" s="34">
        <f>GAMMALN('GAMMALN'!C53)</f>
        <v/>
      </c>
      <c r="G719" s="19" t="inlineStr">
        <is>
          <t>Hitung hasil fungsi GAMMALN untuk nilai input pada sel C53 (7)!</t>
        </is>
      </c>
    </row>
    <row r="720">
      <c r="A720" s="5" t="n">
        <v>716</v>
      </c>
      <c r="B720" s="8" t="inlineStr">
        <is>
          <t>GEOMEAN</t>
        </is>
      </c>
      <c r="C720" s="6" t="inlineStr">
        <is>
          <t>Soal Tes #1</t>
        </is>
      </c>
      <c r="D720" s="33" t="inlineStr">
        <is>
          <t>GEOMEAN!E22</t>
        </is>
      </c>
      <c r="E720" s="22" t="inlineStr">
        <is>
          <t>'=GEOMEAN(C21:C24)</t>
        </is>
      </c>
      <c r="F720" s="34">
        <f>GEOMEAN('GEOMEAN'!C21:C24)</f>
        <v/>
      </c>
      <c r="G720" s="19" t="inlineStr">
        <is>
          <t>Hitung hasil pengolahan fungsi GEOMEAN untuk keempat baris data pada rentang C21:C24!</t>
        </is>
      </c>
    </row>
    <row r="721">
      <c r="A721" s="5" t="n">
        <v>717</v>
      </c>
      <c r="B721" s="8" t="inlineStr">
        <is>
          <t>GEOMEAN</t>
        </is>
      </c>
      <c r="C721" s="6" t="inlineStr">
        <is>
          <t>Soal Tes #2</t>
        </is>
      </c>
      <c r="D721" s="33" t="inlineStr">
        <is>
          <t>GEOMEAN!E30</t>
        </is>
      </c>
      <c r="E721" s="22" t="inlineStr">
        <is>
          <t>'=GEOMEAN(C29:C32)</t>
        </is>
      </c>
      <c r="F721" s="34">
        <f>GEOMEAN('GEOMEAN'!C29:C32)</f>
        <v/>
      </c>
      <c r="G721" s="19" t="inlineStr">
        <is>
          <t>Hitung hasil pengolahan fungsi GEOMEAN untuk keempat baris data pada rentang C29:C32!</t>
        </is>
      </c>
    </row>
    <row r="722">
      <c r="A722" s="5" t="n">
        <v>718</v>
      </c>
      <c r="B722" s="8" t="inlineStr">
        <is>
          <t>GEOMEAN</t>
        </is>
      </c>
      <c r="C722" s="6" t="inlineStr">
        <is>
          <t>Soal Tes #3</t>
        </is>
      </c>
      <c r="D722" s="33" t="inlineStr">
        <is>
          <t>GEOMEAN!E38</t>
        </is>
      </c>
      <c r="E722" s="22" t="inlineStr">
        <is>
          <t>'=GEOMEAN(C37:C40)</t>
        </is>
      </c>
      <c r="F722" s="34">
        <f>GEOMEAN('GEOMEAN'!C37:C40)</f>
        <v/>
      </c>
      <c r="G722" s="19" t="inlineStr">
        <is>
          <t>Hitung hasil pengolahan fungsi GEOMEAN untuk keempat baris data pada rentang C37:C40!</t>
        </is>
      </c>
    </row>
    <row r="723">
      <c r="A723" s="5" t="n">
        <v>719</v>
      </c>
      <c r="B723" s="8" t="inlineStr">
        <is>
          <t>GEOMEAN</t>
        </is>
      </c>
      <c r="C723" s="6" t="inlineStr">
        <is>
          <t>Soal Tes #4</t>
        </is>
      </c>
      <c r="D723" s="33" t="inlineStr">
        <is>
          <t>GEOMEAN!E46</t>
        </is>
      </c>
      <c r="E723" s="22" t="inlineStr">
        <is>
          <t>'=GEOMEAN(C45:C48)</t>
        </is>
      </c>
      <c r="F723" s="34">
        <f>GEOMEAN('GEOMEAN'!C45:C48)</f>
        <v/>
      </c>
      <c r="G723" s="19" t="inlineStr">
        <is>
          <t>Hitung hasil pengolahan fungsi GEOMEAN untuk keempat baris data pada rentang C45:C48!</t>
        </is>
      </c>
    </row>
    <row r="724">
      <c r="A724" s="5" t="n">
        <v>720</v>
      </c>
      <c r="B724" s="8" t="inlineStr">
        <is>
          <t>GEOMEAN</t>
        </is>
      </c>
      <c r="C724" s="6" t="inlineStr">
        <is>
          <t>Soal Tes #5</t>
        </is>
      </c>
      <c r="D724" s="33" t="inlineStr">
        <is>
          <t>GEOMEAN!E54</t>
        </is>
      </c>
      <c r="E724" s="22" t="inlineStr">
        <is>
          <t>'=GEOMEAN(C53:C56)</t>
        </is>
      </c>
      <c r="F724" s="34">
        <f>GEOMEAN('GEOMEAN'!C53:C56)</f>
        <v/>
      </c>
      <c r="G724" s="19" t="inlineStr">
        <is>
          <t>Hitung hasil pengolahan fungsi GEOMEAN untuk keempat baris data pada rentang C53:C56!</t>
        </is>
      </c>
    </row>
    <row r="725">
      <c r="A725" s="5" t="n">
        <v>721</v>
      </c>
      <c r="B725" s="8" t="inlineStr">
        <is>
          <t>GROWTH</t>
        </is>
      </c>
      <c r="C725" s="6" t="inlineStr">
        <is>
          <t>Soal Tes #1</t>
        </is>
      </c>
      <c r="D725" s="33" t="inlineStr">
        <is>
          <t>GROWTH!E22</t>
        </is>
      </c>
      <c r="E725" s="22" t="inlineStr">
        <is>
          <t>'=GROWTH(C21:C24, B21:B24, 5)</t>
        </is>
      </c>
      <c r="F725" s="34">
        <f>GROWTH('GROWTH'!C21:C24, 'GROWTH'!B21:B24, 5)</f>
        <v/>
      </c>
      <c r="G725" s="19" t="inlineStr">
        <is>
          <t>Prediksi nilai periode ke-5 berdasarkan deret hasil Y (C21:C24) dan periode X (B21:B24) menggunakan fungsi GROWTH!</t>
        </is>
      </c>
    </row>
    <row r="726">
      <c r="A726" s="5" t="n">
        <v>722</v>
      </c>
      <c r="B726" s="8" t="inlineStr">
        <is>
          <t>GROWTH</t>
        </is>
      </c>
      <c r="C726" s="6" t="inlineStr">
        <is>
          <t>Soal Tes #2</t>
        </is>
      </c>
      <c r="D726" s="33" t="inlineStr">
        <is>
          <t>GROWTH!E30</t>
        </is>
      </c>
      <c r="E726" s="22" t="inlineStr">
        <is>
          <t>'=GROWTH(C29:C32, B29:B32, 5)</t>
        </is>
      </c>
      <c r="F726" s="34">
        <f>GROWTH('GROWTH'!C29:C32, 'GROWTH'!B29:B32, 5)</f>
        <v/>
      </c>
      <c r="G726" s="19" t="inlineStr">
        <is>
          <t>Prediksi nilai periode ke-5 berdasarkan deret hasil Y (C29:C32) dan periode X (B29:B32) menggunakan fungsi GROWTH!</t>
        </is>
      </c>
    </row>
    <row r="727">
      <c r="A727" s="5" t="n">
        <v>723</v>
      </c>
      <c r="B727" s="8" t="inlineStr">
        <is>
          <t>GROWTH</t>
        </is>
      </c>
      <c r="C727" s="6" t="inlineStr">
        <is>
          <t>Soal Tes #3</t>
        </is>
      </c>
      <c r="D727" s="33" t="inlineStr">
        <is>
          <t>GROWTH!E38</t>
        </is>
      </c>
      <c r="E727" s="22" t="inlineStr">
        <is>
          <t>'=GROWTH(C37:C40, B37:B40, 5)</t>
        </is>
      </c>
      <c r="F727" s="34">
        <f>GROWTH('GROWTH'!C37:C40, 'GROWTH'!B37:B40, 5)</f>
        <v/>
      </c>
      <c r="G727" s="19" t="inlineStr">
        <is>
          <t>Prediksi nilai periode ke-5 berdasarkan deret hasil Y (C37:C40) dan periode X (B37:B40) menggunakan fungsi GROWTH!</t>
        </is>
      </c>
    </row>
    <row r="728">
      <c r="A728" s="5" t="n">
        <v>724</v>
      </c>
      <c r="B728" s="8" t="inlineStr">
        <is>
          <t>GROWTH</t>
        </is>
      </c>
      <c r="C728" s="6" t="inlineStr">
        <is>
          <t>Soal Tes #4</t>
        </is>
      </c>
      <c r="D728" s="33" t="inlineStr">
        <is>
          <t>GROWTH!E46</t>
        </is>
      </c>
      <c r="E728" s="22" t="inlineStr">
        <is>
          <t>'=GROWTH(C45:C48, B45:B48, 5)</t>
        </is>
      </c>
      <c r="F728" s="34">
        <f>GROWTH('GROWTH'!C45:C48, 'GROWTH'!B45:B48, 5)</f>
        <v/>
      </c>
      <c r="G728" s="19" t="inlineStr">
        <is>
          <t>Prediksi nilai periode ke-5 berdasarkan deret hasil Y (C45:C48) dan periode X (B45:B48) menggunakan fungsi GROWTH!</t>
        </is>
      </c>
    </row>
    <row r="729">
      <c r="A729" s="5" t="n">
        <v>725</v>
      </c>
      <c r="B729" s="8" t="inlineStr">
        <is>
          <t>GROWTH</t>
        </is>
      </c>
      <c r="C729" s="6" t="inlineStr">
        <is>
          <t>Soal Tes #5</t>
        </is>
      </c>
      <c r="D729" s="33" t="inlineStr">
        <is>
          <t>GROWTH!E54</t>
        </is>
      </c>
      <c r="E729" s="22" t="inlineStr">
        <is>
          <t>'=GROWTH(C53:C56, B53:B56, 5)</t>
        </is>
      </c>
      <c r="F729" s="34">
        <f>GROWTH('GROWTH'!C53:C56, 'GROWTH'!B53:B56, 5)</f>
        <v/>
      </c>
      <c r="G729" s="19" t="inlineStr">
        <is>
          <t>Prediksi nilai periode ke-5 berdasarkan deret hasil Y (C53:C56) dan periode X (B53:B56) menggunakan fungsi GROWTH!</t>
        </is>
      </c>
    </row>
    <row r="730">
      <c r="A730" s="5" t="n">
        <v>726</v>
      </c>
      <c r="B730" s="8" t="inlineStr">
        <is>
          <t>HARMEAN</t>
        </is>
      </c>
      <c r="C730" s="6" t="inlineStr">
        <is>
          <t>Soal Tes #1</t>
        </is>
      </c>
      <c r="D730" s="33" t="inlineStr">
        <is>
          <t>HARMEAN!E22</t>
        </is>
      </c>
      <c r="E730" s="22" t="inlineStr">
        <is>
          <t>'=HARMEAN(C21:C24)</t>
        </is>
      </c>
      <c r="F730" s="34">
        <f>HARMEAN('HARMEAN'!C21:C24)</f>
        <v/>
      </c>
      <c r="G730" s="19" t="inlineStr">
        <is>
          <t>Hitung hasil pengolahan fungsi HARMEAN untuk keempat baris data pada rentang C21:C24!</t>
        </is>
      </c>
    </row>
    <row r="731">
      <c r="A731" s="5" t="n">
        <v>727</v>
      </c>
      <c r="B731" s="8" t="inlineStr">
        <is>
          <t>HARMEAN</t>
        </is>
      </c>
      <c r="C731" s="6" t="inlineStr">
        <is>
          <t>Soal Tes #2</t>
        </is>
      </c>
      <c r="D731" s="33" t="inlineStr">
        <is>
          <t>HARMEAN!E30</t>
        </is>
      </c>
      <c r="E731" s="22" t="inlineStr">
        <is>
          <t>'=HARMEAN(C29:C32)</t>
        </is>
      </c>
      <c r="F731" s="34">
        <f>HARMEAN('HARMEAN'!C29:C32)</f>
        <v/>
      </c>
      <c r="G731" s="19" t="inlineStr">
        <is>
          <t>Hitung hasil pengolahan fungsi HARMEAN untuk keempat baris data pada rentang C29:C32!</t>
        </is>
      </c>
    </row>
    <row r="732">
      <c r="A732" s="5" t="n">
        <v>728</v>
      </c>
      <c r="B732" s="8" t="inlineStr">
        <is>
          <t>HARMEAN</t>
        </is>
      </c>
      <c r="C732" s="6" t="inlineStr">
        <is>
          <t>Soal Tes #3</t>
        </is>
      </c>
      <c r="D732" s="33" t="inlineStr">
        <is>
          <t>HARMEAN!E38</t>
        </is>
      </c>
      <c r="E732" s="22" t="inlineStr">
        <is>
          <t>'=HARMEAN(C37:C40)</t>
        </is>
      </c>
      <c r="F732" s="34">
        <f>HARMEAN('HARMEAN'!C37:C40)</f>
        <v/>
      </c>
      <c r="G732" s="19" t="inlineStr">
        <is>
          <t>Hitung hasil pengolahan fungsi HARMEAN untuk keempat baris data pada rentang C37:C40!</t>
        </is>
      </c>
    </row>
    <row r="733">
      <c r="A733" s="5" t="n">
        <v>729</v>
      </c>
      <c r="B733" s="8" t="inlineStr">
        <is>
          <t>HARMEAN</t>
        </is>
      </c>
      <c r="C733" s="6" t="inlineStr">
        <is>
          <t>Soal Tes #4</t>
        </is>
      </c>
      <c r="D733" s="33" t="inlineStr">
        <is>
          <t>HARMEAN!E46</t>
        </is>
      </c>
      <c r="E733" s="22" t="inlineStr">
        <is>
          <t>'=HARMEAN(C45:C48)</t>
        </is>
      </c>
      <c r="F733" s="34">
        <f>HARMEAN('HARMEAN'!C45:C48)</f>
        <v/>
      </c>
      <c r="G733" s="19" t="inlineStr">
        <is>
          <t>Hitung hasil pengolahan fungsi HARMEAN untuk keempat baris data pada rentang C45:C48!</t>
        </is>
      </c>
    </row>
    <row r="734">
      <c r="A734" s="5" t="n">
        <v>730</v>
      </c>
      <c r="B734" s="8" t="inlineStr">
        <is>
          <t>HARMEAN</t>
        </is>
      </c>
      <c r="C734" s="6" t="inlineStr">
        <is>
          <t>Soal Tes #5</t>
        </is>
      </c>
      <c r="D734" s="33" t="inlineStr">
        <is>
          <t>HARMEAN!E54</t>
        </is>
      </c>
      <c r="E734" s="22" t="inlineStr">
        <is>
          <t>'=HARMEAN(C53:C56)</t>
        </is>
      </c>
      <c r="F734" s="34">
        <f>HARMEAN('HARMEAN'!C53:C56)</f>
        <v/>
      </c>
      <c r="G734" s="19" t="inlineStr">
        <is>
          <t>Hitung hasil pengolahan fungsi HARMEAN untuk keempat baris data pada rentang C53:C56!</t>
        </is>
      </c>
    </row>
    <row r="735">
      <c r="A735" s="5" t="n">
        <v>731</v>
      </c>
      <c r="B735" s="8" t="inlineStr">
        <is>
          <t>HYPGEOMDIST</t>
        </is>
      </c>
      <c r="C735" s="6" t="inlineStr">
        <is>
          <t>Soal Tes #1</t>
        </is>
      </c>
      <c r="D735" s="33" t="inlineStr">
        <is>
          <t>HYPGEOMDIST!E22</t>
        </is>
      </c>
      <c r="E735" s="22" t="inlineStr">
        <is>
          <t>'=HYPGEOM.DIST(C21, C22, C23, C24, TRUE)</t>
        </is>
      </c>
      <c r="F735" s="34">
        <f>HYPGEOM.DIST('HYPGEOMDIST'!C21, 'HYPGEOMDIST'!C22, 'HYPGEOMDIST'!C23, 'HYPGEOMDIST'!C24, TRUE)</f>
        <v/>
      </c>
      <c r="G735" s="19" t="inlineStr">
        <is>
          <t>Hitung distribusi hipergeometrik kumulatif menggunakan fungsi HYPGEOM.DIST dengan argumen C21, C22, C23, C24, dan TRUE!</t>
        </is>
      </c>
    </row>
    <row r="736">
      <c r="A736" s="5" t="n">
        <v>732</v>
      </c>
      <c r="B736" s="8" t="inlineStr">
        <is>
          <t>HYPGEOMDIST</t>
        </is>
      </c>
      <c r="C736" s="6" t="inlineStr">
        <is>
          <t>Soal Tes #2</t>
        </is>
      </c>
      <c r="D736" s="33" t="inlineStr">
        <is>
          <t>HYPGEOMDIST!E30</t>
        </is>
      </c>
      <c r="E736" s="22" t="inlineStr">
        <is>
          <t>'=HYPGEOM.DIST(C29, C30, C31, C32, TRUE)</t>
        </is>
      </c>
      <c r="F736" s="34">
        <f>HYPGEOM.DIST('HYPGEOMDIST'!C29, 'HYPGEOMDIST'!C30, 'HYPGEOMDIST'!C31, 'HYPGEOMDIST'!C32, TRUE)</f>
        <v/>
      </c>
      <c r="G736" s="19" t="inlineStr">
        <is>
          <t>Hitung distribusi hipergeometrik kumulatif menggunakan fungsi HYPGEOM.DIST dengan argumen C29, C30, C31, C32, dan TRUE!</t>
        </is>
      </c>
    </row>
    <row r="737">
      <c r="A737" s="5" t="n">
        <v>733</v>
      </c>
      <c r="B737" s="8" t="inlineStr">
        <is>
          <t>HYPGEOMDIST</t>
        </is>
      </c>
      <c r="C737" s="6" t="inlineStr">
        <is>
          <t>Soal Tes #3</t>
        </is>
      </c>
      <c r="D737" s="33" t="inlineStr">
        <is>
          <t>HYPGEOMDIST!E38</t>
        </is>
      </c>
      <c r="E737" s="22" t="inlineStr">
        <is>
          <t>'=HYPGEOM.DIST(C37, C38, C39, C40, TRUE)</t>
        </is>
      </c>
      <c r="F737" s="34">
        <f>HYPGEOM.DIST('HYPGEOMDIST'!C37, 'HYPGEOMDIST'!C38, 'HYPGEOMDIST'!C39, 'HYPGEOMDIST'!C40, TRUE)</f>
        <v/>
      </c>
      <c r="G737" s="19" t="inlineStr">
        <is>
          <t>Hitung distribusi hipergeometrik kumulatif menggunakan fungsi HYPGEOM.DIST dengan argumen C37, C38, C39, C40, dan TRUE!</t>
        </is>
      </c>
    </row>
    <row r="738">
      <c r="A738" s="5" t="n">
        <v>734</v>
      </c>
      <c r="B738" s="8" t="inlineStr">
        <is>
          <t>HYPGEOMDIST</t>
        </is>
      </c>
      <c r="C738" s="6" t="inlineStr">
        <is>
          <t>Soal Tes #4</t>
        </is>
      </c>
      <c r="D738" s="33" t="inlineStr">
        <is>
          <t>HYPGEOMDIST!E46</t>
        </is>
      </c>
      <c r="E738" s="22" t="inlineStr">
        <is>
          <t>'=HYPGEOM.DIST(C45, C46, C47, C48, TRUE)</t>
        </is>
      </c>
      <c r="F738" s="34">
        <f>HYPGEOM.DIST('HYPGEOMDIST'!C45, 'HYPGEOMDIST'!C46, 'HYPGEOMDIST'!C47, 'HYPGEOMDIST'!C48, TRUE)</f>
        <v/>
      </c>
      <c r="G738" s="19" t="inlineStr">
        <is>
          <t>Hitung distribusi hipergeometrik kumulatif menggunakan fungsi HYPGEOM.DIST dengan argumen C45, C46, C47, C48, dan TRUE!</t>
        </is>
      </c>
    </row>
    <row r="739">
      <c r="A739" s="5" t="n">
        <v>735</v>
      </c>
      <c r="B739" s="8" t="inlineStr">
        <is>
          <t>HYPGEOMDIST</t>
        </is>
      </c>
      <c r="C739" s="6" t="inlineStr">
        <is>
          <t>Soal Tes #5</t>
        </is>
      </c>
      <c r="D739" s="33" t="inlineStr">
        <is>
          <t>HYPGEOMDIST!E54</t>
        </is>
      </c>
      <c r="E739" s="22" t="inlineStr">
        <is>
          <t>'=HYPGEOM.DIST(C53, C54, C55, C56, TRUE)</t>
        </is>
      </c>
      <c r="F739" s="34">
        <f>HYPGEOM.DIST('HYPGEOMDIST'!C53, 'HYPGEOMDIST'!C54, 'HYPGEOMDIST'!C55, 'HYPGEOMDIST'!C56, TRUE)</f>
        <v/>
      </c>
      <c r="G739" s="19" t="inlineStr">
        <is>
          <t>Hitung distribusi hipergeometrik kumulatif menggunakan fungsi HYPGEOM.DIST dengan argumen C53, C54, C55, C56, dan TRUE!</t>
        </is>
      </c>
    </row>
    <row r="740">
      <c r="A740" s="5" t="n">
        <v>736</v>
      </c>
      <c r="B740" s="8" t="inlineStr">
        <is>
          <t>INTERCEPT</t>
        </is>
      </c>
      <c r="C740" s="6" t="inlineStr">
        <is>
          <t>Soal Tes #1</t>
        </is>
      </c>
      <c r="D740" s="33" t="inlineStr">
        <is>
          <t>INTERCEPT!E22</t>
        </is>
      </c>
      <c r="E740" s="22" t="inlineStr">
        <is>
          <t>'=INTERCEPT(C21:C24, B21:B24)</t>
        </is>
      </c>
      <c r="F740" s="34">
        <f>INTERCEPT('INTERCEPT'!C21:C24, 'INTERCEPT'!B21:B24)</f>
        <v/>
      </c>
      <c r="G740" s="19" t="inlineStr">
        <is>
          <t>Analisis regresi linear dengan menempatkan rentang hasil Y (C21:C24) dan rentang variabel X (B21:B24) menggunakan fungsi INTERCEPT!</t>
        </is>
      </c>
    </row>
    <row r="741">
      <c r="A741" s="5" t="n">
        <v>737</v>
      </c>
      <c r="B741" s="8" t="inlineStr">
        <is>
          <t>INTERCEPT</t>
        </is>
      </c>
      <c r="C741" s="6" t="inlineStr">
        <is>
          <t>Soal Tes #2</t>
        </is>
      </c>
      <c r="D741" s="33" t="inlineStr">
        <is>
          <t>INTERCEPT!E30</t>
        </is>
      </c>
      <c r="E741" s="22" t="inlineStr">
        <is>
          <t>'=INTERCEPT(C29:C32, B29:B32)</t>
        </is>
      </c>
      <c r="F741" s="34">
        <f>INTERCEPT('INTERCEPT'!C29:C32, 'INTERCEPT'!B29:B32)</f>
        <v/>
      </c>
      <c r="G741" s="19" t="inlineStr">
        <is>
          <t>Analisis regresi linear dengan menempatkan rentang hasil Y (C29:C32) dan rentang variabel X (B29:B32) menggunakan fungsi INTERCEPT!</t>
        </is>
      </c>
    </row>
    <row r="742">
      <c r="A742" s="5" t="n">
        <v>738</v>
      </c>
      <c r="B742" s="8" t="inlineStr">
        <is>
          <t>INTERCEPT</t>
        </is>
      </c>
      <c r="C742" s="6" t="inlineStr">
        <is>
          <t>Soal Tes #3</t>
        </is>
      </c>
      <c r="D742" s="33" t="inlineStr">
        <is>
          <t>INTERCEPT!E38</t>
        </is>
      </c>
      <c r="E742" s="22" t="inlineStr">
        <is>
          <t>'=INTERCEPT(C37:C40, B37:B40)</t>
        </is>
      </c>
      <c r="F742" s="34">
        <f>INTERCEPT('INTERCEPT'!C37:C40, 'INTERCEPT'!B37:B40)</f>
        <v/>
      </c>
      <c r="G742" s="19" t="inlineStr">
        <is>
          <t>Analisis regresi linear dengan menempatkan rentang hasil Y (C37:C40) dan rentang variabel X (B37:B40) menggunakan fungsi INTERCEPT!</t>
        </is>
      </c>
    </row>
    <row r="743">
      <c r="A743" s="5" t="n">
        <v>739</v>
      </c>
      <c r="B743" s="8" t="inlineStr">
        <is>
          <t>INTERCEPT</t>
        </is>
      </c>
      <c r="C743" s="6" t="inlineStr">
        <is>
          <t>Soal Tes #4</t>
        </is>
      </c>
      <c r="D743" s="33" t="inlineStr">
        <is>
          <t>INTERCEPT!E46</t>
        </is>
      </c>
      <c r="E743" s="22" t="inlineStr">
        <is>
          <t>'=INTERCEPT(C45:C48, B45:B48)</t>
        </is>
      </c>
      <c r="F743" s="34">
        <f>INTERCEPT('INTERCEPT'!C45:C48, 'INTERCEPT'!B45:B48)</f>
        <v/>
      </c>
      <c r="G743" s="19" t="inlineStr">
        <is>
          <t>Analisis regresi linear dengan menempatkan rentang hasil Y (C45:C48) dan rentang variabel X (B45:B48) menggunakan fungsi INTERCEPT!</t>
        </is>
      </c>
    </row>
    <row r="744">
      <c r="A744" s="5" t="n">
        <v>740</v>
      </c>
      <c r="B744" s="8" t="inlineStr">
        <is>
          <t>INTERCEPT</t>
        </is>
      </c>
      <c r="C744" s="6" t="inlineStr">
        <is>
          <t>Soal Tes #5</t>
        </is>
      </c>
      <c r="D744" s="33" t="inlineStr">
        <is>
          <t>INTERCEPT!E54</t>
        </is>
      </c>
      <c r="E744" s="22" t="inlineStr">
        <is>
          <t>'=INTERCEPT(C53:C56, B53:B56)</t>
        </is>
      </c>
      <c r="F744" s="34">
        <f>INTERCEPT('INTERCEPT'!C53:C56, 'INTERCEPT'!B53:B56)</f>
        <v/>
      </c>
      <c r="G744" s="19" t="inlineStr">
        <is>
          <t>Analisis regresi linear dengan menempatkan rentang hasil Y (C53:C56) dan rentang variabel X (B53:B56) menggunakan fungsi INTERCEPT!</t>
        </is>
      </c>
    </row>
    <row r="745">
      <c r="A745" s="5" t="n">
        <v>741</v>
      </c>
      <c r="B745" s="8" t="inlineStr">
        <is>
          <t>KURT</t>
        </is>
      </c>
      <c r="C745" s="6" t="inlineStr">
        <is>
          <t>Soal Tes #1</t>
        </is>
      </c>
      <c r="D745" s="33" t="inlineStr">
        <is>
          <t>KURT!E22</t>
        </is>
      </c>
      <c r="E745" s="22" t="inlineStr">
        <is>
          <t>'=KURT(C21:C24)</t>
        </is>
      </c>
      <c r="F745" s="34">
        <f>KURT('KURT'!C21:C24)</f>
        <v/>
      </c>
      <c r="G745" s="19" t="inlineStr">
        <is>
          <t>Hitung hasil pengolahan fungsi KURT untuk keempat baris data pada rentang C21:C24!</t>
        </is>
      </c>
    </row>
    <row r="746">
      <c r="A746" s="5" t="n">
        <v>742</v>
      </c>
      <c r="B746" s="8" t="inlineStr">
        <is>
          <t>KURT</t>
        </is>
      </c>
      <c r="C746" s="6" t="inlineStr">
        <is>
          <t>Soal Tes #2</t>
        </is>
      </c>
      <c r="D746" s="33" t="inlineStr">
        <is>
          <t>KURT!E30</t>
        </is>
      </c>
      <c r="E746" s="22" t="inlineStr">
        <is>
          <t>'=KURT(C29:C32)</t>
        </is>
      </c>
      <c r="F746" s="34">
        <f>KURT('KURT'!C29:C32)</f>
        <v/>
      </c>
      <c r="G746" s="19" t="inlineStr">
        <is>
          <t>Hitung hasil pengolahan fungsi KURT untuk keempat baris data pada rentang C29:C32!</t>
        </is>
      </c>
    </row>
    <row r="747">
      <c r="A747" s="5" t="n">
        <v>743</v>
      </c>
      <c r="B747" s="8" t="inlineStr">
        <is>
          <t>KURT</t>
        </is>
      </c>
      <c r="C747" s="6" t="inlineStr">
        <is>
          <t>Soal Tes #3</t>
        </is>
      </c>
      <c r="D747" s="33" t="inlineStr">
        <is>
          <t>KURT!E38</t>
        </is>
      </c>
      <c r="E747" s="22" t="inlineStr">
        <is>
          <t>'=KURT(C37:C40)</t>
        </is>
      </c>
      <c r="F747" s="34">
        <f>KURT('KURT'!C37:C40)</f>
        <v/>
      </c>
      <c r="G747" s="19" t="inlineStr">
        <is>
          <t>Hitung hasil pengolahan fungsi KURT untuk keempat baris data pada rentang C37:C40!</t>
        </is>
      </c>
    </row>
    <row r="748">
      <c r="A748" s="5" t="n">
        <v>744</v>
      </c>
      <c r="B748" s="8" t="inlineStr">
        <is>
          <t>KURT</t>
        </is>
      </c>
      <c r="C748" s="6" t="inlineStr">
        <is>
          <t>Soal Tes #4</t>
        </is>
      </c>
      <c r="D748" s="33" t="inlineStr">
        <is>
          <t>KURT!E46</t>
        </is>
      </c>
      <c r="E748" s="22" t="inlineStr">
        <is>
          <t>'=KURT(C45:C48)</t>
        </is>
      </c>
      <c r="F748" s="34">
        <f>KURT('KURT'!C45:C48)</f>
        <v/>
      </c>
      <c r="G748" s="19" t="inlineStr">
        <is>
          <t>Hitung hasil pengolahan fungsi KURT untuk keempat baris data pada rentang C45:C48!</t>
        </is>
      </c>
    </row>
    <row r="749">
      <c r="A749" s="5" t="n">
        <v>745</v>
      </c>
      <c r="B749" s="8" t="inlineStr">
        <is>
          <t>KURT</t>
        </is>
      </c>
      <c r="C749" s="6" t="inlineStr">
        <is>
          <t>Soal Tes #5</t>
        </is>
      </c>
      <c r="D749" s="33" t="inlineStr">
        <is>
          <t>KURT!E54</t>
        </is>
      </c>
      <c r="E749" s="22" t="inlineStr">
        <is>
          <t>'=KURT(C53:C56)</t>
        </is>
      </c>
      <c r="F749" s="34">
        <f>KURT('KURT'!C53:C56)</f>
        <v/>
      </c>
      <c r="G749" s="19" t="inlineStr">
        <is>
          <t>Hitung hasil pengolahan fungsi KURT untuk keempat baris data pada rentang C53:C56!</t>
        </is>
      </c>
    </row>
    <row r="750">
      <c r="A750" s="5" t="n">
        <v>746</v>
      </c>
      <c r="B750" s="8" t="inlineStr">
        <is>
          <t>LARGE</t>
        </is>
      </c>
      <c r="C750" s="6" t="inlineStr">
        <is>
          <t>Soal Tes #1</t>
        </is>
      </c>
      <c r="D750" s="33" t="inlineStr">
        <is>
          <t>LARGE!E22</t>
        </is>
      </c>
      <c r="E750" s="22" t="inlineStr">
        <is>
          <t>'=LARGE(C21:C24, 1)</t>
        </is>
      </c>
      <c r="F750" s="34">
        <f>LARGE('LARGE'!C21:C24, 1)</f>
        <v/>
      </c>
      <c r="G750" s="19" t="inlineStr">
        <is>
          <t>Temukan nilai pada urutan ke-1 dari rentang data C21:C24 menggunakan fungsi LARGE!</t>
        </is>
      </c>
    </row>
    <row r="751">
      <c r="A751" s="5" t="n">
        <v>747</v>
      </c>
      <c r="B751" s="8" t="inlineStr">
        <is>
          <t>LARGE</t>
        </is>
      </c>
      <c r="C751" s="6" t="inlineStr">
        <is>
          <t>Soal Tes #2</t>
        </is>
      </c>
      <c r="D751" s="33" t="inlineStr">
        <is>
          <t>LARGE!E30</t>
        </is>
      </c>
      <c r="E751" s="22" t="inlineStr">
        <is>
          <t>'=LARGE(C29:C32, 2)</t>
        </is>
      </c>
      <c r="F751" s="34">
        <f>LARGE('LARGE'!C29:C32, 2)</f>
        <v/>
      </c>
      <c r="G751" s="19" t="inlineStr">
        <is>
          <t>Temukan nilai pada urutan ke-2 dari rentang data C29:C32 menggunakan fungsi LARGE!</t>
        </is>
      </c>
    </row>
    <row r="752">
      <c r="A752" s="5" t="n">
        <v>748</v>
      </c>
      <c r="B752" s="8" t="inlineStr">
        <is>
          <t>LARGE</t>
        </is>
      </c>
      <c r="C752" s="6" t="inlineStr">
        <is>
          <t>Soal Tes #3</t>
        </is>
      </c>
      <c r="D752" s="33" t="inlineStr">
        <is>
          <t>LARGE!E38</t>
        </is>
      </c>
      <c r="E752" s="22" t="inlineStr">
        <is>
          <t>'=LARGE(C37:C40, 3)</t>
        </is>
      </c>
      <c r="F752" s="34">
        <f>LARGE('LARGE'!C37:C40, 3)</f>
        <v/>
      </c>
      <c r="G752" s="19" t="inlineStr">
        <is>
          <t>Temukan nilai pada urutan ke-3 dari rentang data C37:C40 menggunakan fungsi LARGE!</t>
        </is>
      </c>
    </row>
    <row r="753">
      <c r="A753" s="5" t="n">
        <v>749</v>
      </c>
      <c r="B753" s="8" t="inlineStr">
        <is>
          <t>LARGE</t>
        </is>
      </c>
      <c r="C753" s="6" t="inlineStr">
        <is>
          <t>Soal Tes #4</t>
        </is>
      </c>
      <c r="D753" s="33" t="inlineStr">
        <is>
          <t>LARGE!E46</t>
        </is>
      </c>
      <c r="E753" s="22" t="inlineStr">
        <is>
          <t>'=LARGE(C45:C48, 1)</t>
        </is>
      </c>
      <c r="F753" s="34">
        <f>LARGE('LARGE'!C45:C48, 1)</f>
        <v/>
      </c>
      <c r="G753" s="19" t="inlineStr">
        <is>
          <t>Temukan nilai pada urutan ke-1 dari rentang data C45:C48 menggunakan fungsi LARGE!</t>
        </is>
      </c>
    </row>
    <row r="754">
      <c r="A754" s="5" t="n">
        <v>750</v>
      </c>
      <c r="B754" s="8" t="inlineStr">
        <is>
          <t>LARGE</t>
        </is>
      </c>
      <c r="C754" s="6" t="inlineStr">
        <is>
          <t>Soal Tes #5</t>
        </is>
      </c>
      <c r="D754" s="33" t="inlineStr">
        <is>
          <t>LARGE!E54</t>
        </is>
      </c>
      <c r="E754" s="22" t="inlineStr">
        <is>
          <t>'=LARGE(C53:C56, 2)</t>
        </is>
      </c>
      <c r="F754" s="34">
        <f>LARGE('LARGE'!C53:C56, 2)</f>
        <v/>
      </c>
      <c r="G754" s="19" t="inlineStr">
        <is>
          <t>Temukan nilai pada urutan ke-2 dari rentang data C53:C56 menggunakan fungsi LARGE!</t>
        </is>
      </c>
    </row>
    <row r="755">
      <c r="A755" s="5" t="n">
        <v>751</v>
      </c>
      <c r="B755" s="8" t="inlineStr">
        <is>
          <t>LOGNORM.DIST</t>
        </is>
      </c>
      <c r="C755" s="6" t="inlineStr">
        <is>
          <t>Soal Tes #1</t>
        </is>
      </c>
      <c r="D755" s="33" t="inlineStr">
        <is>
          <t>LOGNORM.DIST!E22</t>
        </is>
      </c>
      <c r="E755" s="22" t="inlineStr">
        <is>
          <t>'=LOGNORM.DIST(C21, C22, C23, TRUE)</t>
        </is>
      </c>
      <c r="F755" s="34">
        <f>LOGNORM.DIST('LOGNORM.DIST'!C21, 'LOGNORM.DIST'!C22, 'LOGNORM.DIST'!C23, TRUE)</f>
        <v/>
      </c>
      <c r="G755" s="19" t="inlineStr">
        <is>
          <t>Hitung nilai distribusi kumulatif (TRUE) menggunakan fungsi LOGNORM.DIST dengan argumen berurutan C21, C22, C23, dan TRUE!</t>
        </is>
      </c>
    </row>
    <row r="756">
      <c r="A756" s="5" t="n">
        <v>752</v>
      </c>
      <c r="B756" s="8" t="inlineStr">
        <is>
          <t>LOGNORM.DIST</t>
        </is>
      </c>
      <c r="C756" s="6" t="inlineStr">
        <is>
          <t>Soal Tes #2</t>
        </is>
      </c>
      <c r="D756" s="33" t="inlineStr">
        <is>
          <t>LOGNORM.DIST!E30</t>
        </is>
      </c>
      <c r="E756" s="22" t="inlineStr">
        <is>
          <t>'=LOGNORM.DIST(C29, C30, C31, TRUE)</t>
        </is>
      </c>
      <c r="F756" s="34">
        <f>LOGNORM.DIST('LOGNORM.DIST'!C29, 'LOGNORM.DIST'!C30, 'LOGNORM.DIST'!C31, TRUE)</f>
        <v/>
      </c>
      <c r="G756" s="19" t="inlineStr">
        <is>
          <t>Hitung nilai distribusi kumulatif (TRUE) menggunakan fungsi LOGNORM.DIST dengan argumen berurutan C29, C30, C31, dan TRUE!</t>
        </is>
      </c>
    </row>
    <row r="757">
      <c r="A757" s="5" t="n">
        <v>753</v>
      </c>
      <c r="B757" s="8" t="inlineStr">
        <is>
          <t>LOGNORM.DIST</t>
        </is>
      </c>
      <c r="C757" s="6" t="inlineStr">
        <is>
          <t>Soal Tes #3</t>
        </is>
      </c>
      <c r="D757" s="33" t="inlineStr">
        <is>
          <t>LOGNORM.DIST!E38</t>
        </is>
      </c>
      <c r="E757" s="22" t="inlineStr">
        <is>
          <t>'=LOGNORM.DIST(C37, C38, C39, TRUE)</t>
        </is>
      </c>
      <c r="F757" s="34">
        <f>LOGNORM.DIST('LOGNORM.DIST'!C37, 'LOGNORM.DIST'!C38, 'LOGNORM.DIST'!C39, TRUE)</f>
        <v/>
      </c>
      <c r="G757" s="19" t="inlineStr">
        <is>
          <t>Hitung nilai distribusi kumulatif (TRUE) menggunakan fungsi LOGNORM.DIST dengan argumen berurutan C37, C38, C39, dan TRUE!</t>
        </is>
      </c>
    </row>
    <row r="758">
      <c r="A758" s="5" t="n">
        <v>754</v>
      </c>
      <c r="B758" s="8" t="inlineStr">
        <is>
          <t>LOGNORM.DIST</t>
        </is>
      </c>
      <c r="C758" s="6" t="inlineStr">
        <is>
          <t>Soal Tes #4</t>
        </is>
      </c>
      <c r="D758" s="33" t="inlineStr">
        <is>
          <t>LOGNORM.DIST!E46</t>
        </is>
      </c>
      <c r="E758" s="22" t="inlineStr">
        <is>
          <t>'=LOGNORM.DIST(C45, C46, C47, TRUE)</t>
        </is>
      </c>
      <c r="F758" s="34">
        <f>LOGNORM.DIST('LOGNORM.DIST'!C45, 'LOGNORM.DIST'!C46, 'LOGNORM.DIST'!C47, TRUE)</f>
        <v/>
      </c>
      <c r="G758" s="19" t="inlineStr">
        <is>
          <t>Hitung nilai distribusi kumulatif (TRUE) menggunakan fungsi LOGNORM.DIST dengan argumen berurutan C45, C46, C47, dan TRUE!</t>
        </is>
      </c>
    </row>
    <row r="759">
      <c r="A759" s="5" t="n">
        <v>755</v>
      </c>
      <c r="B759" s="8" t="inlineStr">
        <is>
          <t>LOGNORM.DIST</t>
        </is>
      </c>
      <c r="C759" s="6" t="inlineStr">
        <is>
          <t>Soal Tes #5</t>
        </is>
      </c>
      <c r="D759" s="33" t="inlineStr">
        <is>
          <t>LOGNORM.DIST!E54</t>
        </is>
      </c>
      <c r="E759" s="22" t="inlineStr">
        <is>
          <t>'=LOGNORM.DIST(C53, C54, C55, TRUE)</t>
        </is>
      </c>
      <c r="F759" s="34">
        <f>LOGNORM.DIST('LOGNORM.DIST'!C53, 'LOGNORM.DIST'!C54, 'LOGNORM.DIST'!C55, TRUE)</f>
        <v/>
      </c>
      <c r="G759" s="19" t="inlineStr">
        <is>
          <t>Hitung nilai distribusi kumulatif (TRUE) menggunakan fungsi LOGNORM.DIST dengan argumen berurutan C53, C54, C55, dan TRUE!</t>
        </is>
      </c>
    </row>
    <row r="760">
      <c r="A760" s="5" t="n">
        <v>756</v>
      </c>
      <c r="B760" s="8" t="inlineStr">
        <is>
          <t>LOGINV</t>
        </is>
      </c>
      <c r="C760" s="6" t="inlineStr">
        <is>
          <t>Soal Tes #1</t>
        </is>
      </c>
      <c r="D760" s="33" t="inlineStr">
        <is>
          <t>LOGINV!E22</t>
        </is>
      </c>
      <c r="E760" s="22" t="inlineStr">
        <is>
          <t>'=LOGNORM.INV(C21, C22, C23)</t>
        </is>
      </c>
      <c r="F760" s="34">
        <f>LOGNORM.INV('LOGINV'!C21, 'LOGINV'!C22, 'LOGINV'!C23)</f>
        <v/>
      </c>
      <c r="G760" s="19" t="inlineStr">
        <is>
          <t>Hitung nilai invers distribusi menggunakan fungsi LOGNORM.INV dengan argumen berurutan C21, C22, dan C23!</t>
        </is>
      </c>
    </row>
    <row r="761">
      <c r="A761" s="5" t="n">
        <v>757</v>
      </c>
      <c r="B761" s="8" t="inlineStr">
        <is>
          <t>LOGINV</t>
        </is>
      </c>
      <c r="C761" s="6" t="inlineStr">
        <is>
          <t>Soal Tes #2</t>
        </is>
      </c>
      <c r="D761" s="33" t="inlineStr">
        <is>
          <t>LOGINV!E30</t>
        </is>
      </c>
      <c r="E761" s="22" t="inlineStr">
        <is>
          <t>'=LOGNORM.INV(C29, C30, C31)</t>
        </is>
      </c>
      <c r="F761" s="34">
        <f>LOGNORM.INV('LOGINV'!C29, 'LOGINV'!C30, 'LOGINV'!C31)</f>
        <v/>
      </c>
      <c r="G761" s="19" t="inlineStr">
        <is>
          <t>Hitung nilai invers distribusi menggunakan fungsi LOGNORM.INV dengan argumen berurutan C29, C30, dan C31!</t>
        </is>
      </c>
    </row>
    <row r="762">
      <c r="A762" s="5" t="n">
        <v>758</v>
      </c>
      <c r="B762" s="8" t="inlineStr">
        <is>
          <t>LOGINV</t>
        </is>
      </c>
      <c r="C762" s="6" t="inlineStr">
        <is>
          <t>Soal Tes #3</t>
        </is>
      </c>
      <c r="D762" s="33" t="inlineStr">
        <is>
          <t>LOGINV!E38</t>
        </is>
      </c>
      <c r="E762" s="22" t="inlineStr">
        <is>
          <t>'=LOGNORM.INV(C37, C38, C39)</t>
        </is>
      </c>
      <c r="F762" s="34">
        <f>LOGNORM.INV('LOGINV'!C37, 'LOGINV'!C38, 'LOGINV'!C39)</f>
        <v/>
      </c>
      <c r="G762" s="19" t="inlineStr">
        <is>
          <t>Hitung nilai invers distribusi menggunakan fungsi LOGNORM.INV dengan argumen berurutan C37, C38, dan C39!</t>
        </is>
      </c>
    </row>
    <row r="763">
      <c r="A763" s="5" t="n">
        <v>759</v>
      </c>
      <c r="B763" s="8" t="inlineStr">
        <is>
          <t>LOGINV</t>
        </is>
      </c>
      <c r="C763" s="6" t="inlineStr">
        <is>
          <t>Soal Tes #4</t>
        </is>
      </c>
      <c r="D763" s="33" t="inlineStr">
        <is>
          <t>LOGINV!E46</t>
        </is>
      </c>
      <c r="E763" s="22" t="inlineStr">
        <is>
          <t>'=LOGNORM.INV(C45, C46, C47)</t>
        </is>
      </c>
      <c r="F763" s="34">
        <f>LOGNORM.INV('LOGINV'!C45, 'LOGINV'!C46, 'LOGINV'!C47)</f>
        <v/>
      </c>
      <c r="G763" s="19" t="inlineStr">
        <is>
          <t>Hitung nilai invers distribusi menggunakan fungsi LOGNORM.INV dengan argumen berurutan C45, C46, dan C47!</t>
        </is>
      </c>
    </row>
    <row r="764">
      <c r="A764" s="5" t="n">
        <v>760</v>
      </c>
      <c r="B764" s="8" t="inlineStr">
        <is>
          <t>LOGINV</t>
        </is>
      </c>
      <c r="C764" s="6" t="inlineStr">
        <is>
          <t>Soal Tes #5</t>
        </is>
      </c>
      <c r="D764" s="33" t="inlineStr">
        <is>
          <t>LOGINV!E54</t>
        </is>
      </c>
      <c r="E764" s="22" t="inlineStr">
        <is>
          <t>'=LOGNORM.INV(C53, C54, C55)</t>
        </is>
      </c>
      <c r="F764" s="34">
        <f>LOGNORM.INV('LOGINV'!C53, 'LOGINV'!C54, 'LOGINV'!C55)</f>
        <v/>
      </c>
      <c r="G764" s="19" t="inlineStr">
        <is>
          <t>Hitung nilai invers distribusi menggunakan fungsi LOGNORM.INV dengan argumen berurutan C53, C54, dan C55!</t>
        </is>
      </c>
    </row>
    <row r="765">
      <c r="A765" s="5" t="n">
        <v>761</v>
      </c>
      <c r="B765" s="8" t="inlineStr">
        <is>
          <t>MAX</t>
        </is>
      </c>
      <c r="C765" s="6" t="inlineStr">
        <is>
          <t>Soal Tes #1</t>
        </is>
      </c>
      <c r="D765" s="33" t="inlineStr">
        <is>
          <t>MAX!E22</t>
        </is>
      </c>
      <c r="E765" s="22" t="inlineStr">
        <is>
          <t>'=MAX(C21:C24)</t>
        </is>
      </c>
      <c r="F765" s="34">
        <f>MAX('MAX'!C21:C24)</f>
        <v/>
      </c>
      <c r="G765" s="19" t="inlineStr">
        <is>
          <t>Hitung hasil pengolahan fungsi MAX untuk keempat baris data pada rentang C21:C24!</t>
        </is>
      </c>
    </row>
    <row r="766">
      <c r="A766" s="5" t="n">
        <v>762</v>
      </c>
      <c r="B766" s="8" t="inlineStr">
        <is>
          <t>MAX</t>
        </is>
      </c>
      <c r="C766" s="6" t="inlineStr">
        <is>
          <t>Soal Tes #2</t>
        </is>
      </c>
      <c r="D766" s="33" t="inlineStr">
        <is>
          <t>MAX!E30</t>
        </is>
      </c>
      <c r="E766" s="22" t="inlineStr">
        <is>
          <t>'=MAX(C29:C32)</t>
        </is>
      </c>
      <c r="F766" s="34">
        <f>MAX('MAX'!C29:C32)</f>
        <v/>
      </c>
      <c r="G766" s="19" t="inlineStr">
        <is>
          <t>Hitung hasil pengolahan fungsi MAX untuk keempat baris data pada rentang C29:C32!</t>
        </is>
      </c>
    </row>
    <row r="767">
      <c r="A767" s="5" t="n">
        <v>763</v>
      </c>
      <c r="B767" s="8" t="inlineStr">
        <is>
          <t>MAX</t>
        </is>
      </c>
      <c r="C767" s="6" t="inlineStr">
        <is>
          <t>Soal Tes #3</t>
        </is>
      </c>
      <c r="D767" s="33" t="inlineStr">
        <is>
          <t>MAX!E38</t>
        </is>
      </c>
      <c r="E767" s="22" t="inlineStr">
        <is>
          <t>'=MAX(C37:C40)</t>
        </is>
      </c>
      <c r="F767" s="34">
        <f>MAX('MAX'!C37:C40)</f>
        <v/>
      </c>
      <c r="G767" s="19" t="inlineStr">
        <is>
          <t>Hitung hasil pengolahan fungsi MAX untuk keempat baris data pada rentang C37:C40!</t>
        </is>
      </c>
    </row>
    <row r="768">
      <c r="A768" s="5" t="n">
        <v>764</v>
      </c>
      <c r="B768" s="8" t="inlineStr">
        <is>
          <t>MAX</t>
        </is>
      </c>
      <c r="C768" s="6" t="inlineStr">
        <is>
          <t>Soal Tes #4</t>
        </is>
      </c>
      <c r="D768" s="33" t="inlineStr">
        <is>
          <t>MAX!E46</t>
        </is>
      </c>
      <c r="E768" s="22" t="inlineStr">
        <is>
          <t>'=MAX(C45:C48)</t>
        </is>
      </c>
      <c r="F768" s="34">
        <f>MAX('MAX'!C45:C48)</f>
        <v/>
      </c>
      <c r="G768" s="19" t="inlineStr">
        <is>
          <t>Hitung hasil pengolahan fungsi MAX untuk keempat baris data pada rentang C45:C48!</t>
        </is>
      </c>
    </row>
    <row r="769">
      <c r="A769" s="5" t="n">
        <v>765</v>
      </c>
      <c r="B769" s="8" t="inlineStr">
        <is>
          <t>MAX</t>
        </is>
      </c>
      <c r="C769" s="6" t="inlineStr">
        <is>
          <t>Soal Tes #5</t>
        </is>
      </c>
      <c r="D769" s="33" t="inlineStr">
        <is>
          <t>MAX!E54</t>
        </is>
      </c>
      <c r="E769" s="22" t="inlineStr">
        <is>
          <t>'=MAX(C53:C56)</t>
        </is>
      </c>
      <c r="F769" s="34">
        <f>MAX('MAX'!C53:C56)</f>
        <v/>
      </c>
      <c r="G769" s="19" t="inlineStr">
        <is>
          <t>Hitung hasil pengolahan fungsi MAX untuk keempat baris data pada rentang C53:C56!</t>
        </is>
      </c>
    </row>
    <row r="770">
      <c r="A770" s="5" t="n">
        <v>766</v>
      </c>
      <c r="B770" s="8" t="inlineStr">
        <is>
          <t>MAXA</t>
        </is>
      </c>
      <c r="C770" s="6" t="inlineStr">
        <is>
          <t>Soal Tes #1</t>
        </is>
      </c>
      <c r="D770" s="33" t="inlineStr">
        <is>
          <t>MAXA!E22</t>
        </is>
      </c>
      <c r="E770" s="22" t="inlineStr">
        <is>
          <t>'=MAXA(C21:C24)</t>
        </is>
      </c>
      <c r="F770" s="34">
        <f>MAXA('MAXA'!C21:C24)</f>
        <v/>
      </c>
      <c r="G770" s="19" t="inlineStr">
        <is>
          <t>Hitung hasil pengolahan fungsi MAXA untuk keempat baris data pada rentang C21:C24!</t>
        </is>
      </c>
    </row>
    <row r="771">
      <c r="A771" s="5" t="n">
        <v>767</v>
      </c>
      <c r="B771" s="8" t="inlineStr">
        <is>
          <t>MAXA</t>
        </is>
      </c>
      <c r="C771" s="6" t="inlineStr">
        <is>
          <t>Soal Tes #2</t>
        </is>
      </c>
      <c r="D771" s="33" t="inlineStr">
        <is>
          <t>MAXA!E30</t>
        </is>
      </c>
      <c r="E771" s="22" t="inlineStr">
        <is>
          <t>'=MAXA(C29:C32)</t>
        </is>
      </c>
      <c r="F771" s="34">
        <f>MAXA('MAXA'!C29:C32)</f>
        <v/>
      </c>
      <c r="G771" s="19" t="inlineStr">
        <is>
          <t>Hitung hasil pengolahan fungsi MAXA untuk keempat baris data pada rentang C29:C32!</t>
        </is>
      </c>
    </row>
    <row r="772">
      <c r="A772" s="5" t="n">
        <v>768</v>
      </c>
      <c r="B772" s="8" t="inlineStr">
        <is>
          <t>MAXA</t>
        </is>
      </c>
      <c r="C772" s="6" t="inlineStr">
        <is>
          <t>Soal Tes #3</t>
        </is>
      </c>
      <c r="D772" s="33" t="inlineStr">
        <is>
          <t>MAXA!E38</t>
        </is>
      </c>
      <c r="E772" s="22" t="inlineStr">
        <is>
          <t>'=MAXA(C37:C40)</t>
        </is>
      </c>
      <c r="F772" s="34">
        <f>MAXA('MAXA'!C37:C40)</f>
        <v/>
      </c>
      <c r="G772" s="19" t="inlineStr">
        <is>
          <t>Hitung hasil pengolahan fungsi MAXA untuk keempat baris data pada rentang C37:C40!</t>
        </is>
      </c>
    </row>
    <row r="773">
      <c r="A773" s="5" t="n">
        <v>769</v>
      </c>
      <c r="B773" s="8" t="inlineStr">
        <is>
          <t>MAXA</t>
        </is>
      </c>
      <c r="C773" s="6" t="inlineStr">
        <is>
          <t>Soal Tes #4</t>
        </is>
      </c>
      <c r="D773" s="33" t="inlineStr">
        <is>
          <t>MAXA!E46</t>
        </is>
      </c>
      <c r="E773" s="22" t="inlineStr">
        <is>
          <t>'=MAXA(C45:C48)</t>
        </is>
      </c>
      <c r="F773" s="34">
        <f>MAXA('MAXA'!C45:C48)</f>
        <v/>
      </c>
      <c r="G773" s="19" t="inlineStr">
        <is>
          <t>Hitung hasil pengolahan fungsi MAXA untuk keempat baris data pada rentang C45:C48!</t>
        </is>
      </c>
    </row>
    <row r="774">
      <c r="A774" s="5" t="n">
        <v>770</v>
      </c>
      <c r="B774" s="8" t="inlineStr">
        <is>
          <t>MAXA</t>
        </is>
      </c>
      <c r="C774" s="6" t="inlineStr">
        <is>
          <t>Soal Tes #5</t>
        </is>
      </c>
      <c r="D774" s="33" t="inlineStr">
        <is>
          <t>MAXA!E54</t>
        </is>
      </c>
      <c r="E774" s="22" t="inlineStr">
        <is>
          <t>'=MAXA(C53:C56)</t>
        </is>
      </c>
      <c r="F774" s="34">
        <f>MAXA('MAXA'!C53:C56)</f>
        <v/>
      </c>
      <c r="G774" s="19" t="inlineStr">
        <is>
          <t>Hitung hasil pengolahan fungsi MAXA untuk keempat baris data pada rentang C53:C56!</t>
        </is>
      </c>
    </row>
    <row r="775">
      <c r="A775" s="5" t="n">
        <v>771</v>
      </c>
      <c r="B775" s="8" t="inlineStr">
        <is>
          <t>MEDIAN</t>
        </is>
      </c>
      <c r="C775" s="6" t="inlineStr">
        <is>
          <t>Soal Tes #1</t>
        </is>
      </c>
      <c r="D775" s="33" t="inlineStr">
        <is>
          <t>MEDIAN!E22</t>
        </is>
      </c>
      <c r="E775" s="22" t="inlineStr">
        <is>
          <t>'=MEDIAN(C21:C24)</t>
        </is>
      </c>
      <c r="F775" s="34">
        <f>MEDIAN('MEDIAN'!C21:C24)</f>
        <v/>
      </c>
      <c r="G775" s="19" t="inlineStr">
        <is>
          <t>Hitung hasil pengolahan fungsi MEDIAN untuk keempat baris data pada rentang C21:C24!</t>
        </is>
      </c>
    </row>
    <row r="776">
      <c r="A776" s="5" t="n">
        <v>772</v>
      </c>
      <c r="B776" s="8" t="inlineStr">
        <is>
          <t>MEDIAN</t>
        </is>
      </c>
      <c r="C776" s="6" t="inlineStr">
        <is>
          <t>Soal Tes #2</t>
        </is>
      </c>
      <c r="D776" s="33" t="inlineStr">
        <is>
          <t>MEDIAN!E30</t>
        </is>
      </c>
      <c r="E776" s="22" t="inlineStr">
        <is>
          <t>'=MEDIAN(C29:C32)</t>
        </is>
      </c>
      <c r="F776" s="34">
        <f>MEDIAN('MEDIAN'!C29:C32)</f>
        <v/>
      </c>
      <c r="G776" s="19" t="inlineStr">
        <is>
          <t>Hitung hasil pengolahan fungsi MEDIAN untuk keempat baris data pada rentang C29:C32!</t>
        </is>
      </c>
    </row>
    <row r="777">
      <c r="A777" s="5" t="n">
        <v>773</v>
      </c>
      <c r="B777" s="8" t="inlineStr">
        <is>
          <t>MEDIAN</t>
        </is>
      </c>
      <c r="C777" s="6" t="inlineStr">
        <is>
          <t>Soal Tes #3</t>
        </is>
      </c>
      <c r="D777" s="33" t="inlineStr">
        <is>
          <t>MEDIAN!E38</t>
        </is>
      </c>
      <c r="E777" s="22" t="inlineStr">
        <is>
          <t>'=MEDIAN(C37:C40)</t>
        </is>
      </c>
      <c r="F777" s="34">
        <f>MEDIAN('MEDIAN'!C37:C40)</f>
        <v/>
      </c>
      <c r="G777" s="19" t="inlineStr">
        <is>
          <t>Hitung hasil pengolahan fungsi MEDIAN untuk keempat baris data pada rentang C37:C40!</t>
        </is>
      </c>
    </row>
    <row r="778">
      <c r="A778" s="5" t="n">
        <v>774</v>
      </c>
      <c r="B778" s="8" t="inlineStr">
        <is>
          <t>MEDIAN</t>
        </is>
      </c>
      <c r="C778" s="6" t="inlineStr">
        <is>
          <t>Soal Tes #4</t>
        </is>
      </c>
      <c r="D778" s="33" t="inlineStr">
        <is>
          <t>MEDIAN!E46</t>
        </is>
      </c>
      <c r="E778" s="22" t="inlineStr">
        <is>
          <t>'=MEDIAN(C45:C48)</t>
        </is>
      </c>
      <c r="F778" s="34">
        <f>MEDIAN('MEDIAN'!C45:C48)</f>
        <v/>
      </c>
      <c r="G778" s="19" t="inlineStr">
        <is>
          <t>Hitung hasil pengolahan fungsi MEDIAN untuk keempat baris data pada rentang C45:C48!</t>
        </is>
      </c>
    </row>
    <row r="779">
      <c r="A779" s="5" t="n">
        <v>775</v>
      </c>
      <c r="B779" s="8" t="inlineStr">
        <is>
          <t>MEDIAN</t>
        </is>
      </c>
      <c r="C779" s="6" t="inlineStr">
        <is>
          <t>Soal Tes #5</t>
        </is>
      </c>
      <c r="D779" s="33" t="inlineStr">
        <is>
          <t>MEDIAN!E54</t>
        </is>
      </c>
      <c r="E779" s="22" t="inlineStr">
        <is>
          <t>'=MEDIAN(C53:C56)</t>
        </is>
      </c>
      <c r="F779" s="34">
        <f>MEDIAN('MEDIAN'!C53:C56)</f>
        <v/>
      </c>
      <c r="G779" s="19" t="inlineStr">
        <is>
          <t>Hitung hasil pengolahan fungsi MEDIAN untuk keempat baris data pada rentang C53:C56!</t>
        </is>
      </c>
    </row>
    <row r="780">
      <c r="A780" s="5" t="n">
        <v>776</v>
      </c>
      <c r="B780" s="8" t="inlineStr">
        <is>
          <t>MIN</t>
        </is>
      </c>
      <c r="C780" s="6" t="inlineStr">
        <is>
          <t>Soal Tes #1</t>
        </is>
      </c>
      <c r="D780" s="33" t="inlineStr">
        <is>
          <t>MIN!E22</t>
        </is>
      </c>
      <c r="E780" s="22" t="inlineStr">
        <is>
          <t>'=MIN(C21:C24)</t>
        </is>
      </c>
      <c r="F780" s="34">
        <f>MIN('MIN'!C21:C24)</f>
        <v/>
      </c>
      <c r="G780" s="19" t="inlineStr">
        <is>
          <t>Hitung hasil pengolahan fungsi MIN untuk keempat baris data pada rentang C21:C24!</t>
        </is>
      </c>
    </row>
    <row r="781">
      <c r="A781" s="5" t="n">
        <v>777</v>
      </c>
      <c r="B781" s="8" t="inlineStr">
        <is>
          <t>MIN</t>
        </is>
      </c>
      <c r="C781" s="6" t="inlineStr">
        <is>
          <t>Soal Tes #2</t>
        </is>
      </c>
      <c r="D781" s="33" t="inlineStr">
        <is>
          <t>MIN!E30</t>
        </is>
      </c>
      <c r="E781" s="22" t="inlineStr">
        <is>
          <t>'=MIN(C29:C32)</t>
        </is>
      </c>
      <c r="F781" s="34">
        <f>MIN('MIN'!C29:C32)</f>
        <v/>
      </c>
      <c r="G781" s="19" t="inlineStr">
        <is>
          <t>Hitung hasil pengolahan fungsi MIN untuk keempat baris data pada rentang C29:C32!</t>
        </is>
      </c>
    </row>
    <row r="782">
      <c r="A782" s="5" t="n">
        <v>778</v>
      </c>
      <c r="B782" s="8" t="inlineStr">
        <is>
          <t>MIN</t>
        </is>
      </c>
      <c r="C782" s="6" t="inlineStr">
        <is>
          <t>Soal Tes #3</t>
        </is>
      </c>
      <c r="D782" s="33" t="inlineStr">
        <is>
          <t>MIN!E38</t>
        </is>
      </c>
      <c r="E782" s="22" t="inlineStr">
        <is>
          <t>'=MIN(C37:C40)</t>
        </is>
      </c>
      <c r="F782" s="34">
        <f>MIN('MIN'!C37:C40)</f>
        <v/>
      </c>
      <c r="G782" s="19" t="inlineStr">
        <is>
          <t>Hitung hasil pengolahan fungsi MIN untuk keempat baris data pada rentang C37:C40!</t>
        </is>
      </c>
    </row>
    <row r="783">
      <c r="A783" s="5" t="n">
        <v>779</v>
      </c>
      <c r="B783" s="8" t="inlineStr">
        <is>
          <t>MIN</t>
        </is>
      </c>
      <c r="C783" s="6" t="inlineStr">
        <is>
          <t>Soal Tes #4</t>
        </is>
      </c>
      <c r="D783" s="33" t="inlineStr">
        <is>
          <t>MIN!E46</t>
        </is>
      </c>
      <c r="E783" s="22" t="inlineStr">
        <is>
          <t>'=MIN(C45:C48)</t>
        </is>
      </c>
      <c r="F783" s="34">
        <f>MIN('MIN'!C45:C48)</f>
        <v/>
      </c>
      <c r="G783" s="19" t="inlineStr">
        <is>
          <t>Hitung hasil pengolahan fungsi MIN untuk keempat baris data pada rentang C45:C48!</t>
        </is>
      </c>
    </row>
    <row r="784">
      <c r="A784" s="5" t="n">
        <v>780</v>
      </c>
      <c r="B784" s="8" t="inlineStr">
        <is>
          <t>MIN</t>
        </is>
      </c>
      <c r="C784" s="6" t="inlineStr">
        <is>
          <t>Soal Tes #5</t>
        </is>
      </c>
      <c r="D784" s="33" t="inlineStr">
        <is>
          <t>MIN!E54</t>
        </is>
      </c>
      <c r="E784" s="22" t="inlineStr">
        <is>
          <t>'=MIN(C53:C56)</t>
        </is>
      </c>
      <c r="F784" s="34">
        <f>MIN('MIN'!C53:C56)</f>
        <v/>
      </c>
      <c r="G784" s="19" t="inlineStr">
        <is>
          <t>Hitung hasil pengolahan fungsi MIN untuk keempat baris data pada rentang C53:C56!</t>
        </is>
      </c>
    </row>
    <row r="785">
      <c r="A785" s="5" t="n">
        <v>781</v>
      </c>
      <c r="B785" s="8" t="inlineStr">
        <is>
          <t>MINA</t>
        </is>
      </c>
      <c r="C785" s="6" t="inlineStr">
        <is>
          <t>Soal Tes #1</t>
        </is>
      </c>
      <c r="D785" s="33" t="inlineStr">
        <is>
          <t>MINA!E22</t>
        </is>
      </c>
      <c r="E785" s="22" t="inlineStr">
        <is>
          <t>'=MINA(C21:C24)</t>
        </is>
      </c>
      <c r="F785" s="34">
        <f>MINA('MINA'!C21:C24)</f>
        <v/>
      </c>
      <c r="G785" s="19" t="inlineStr">
        <is>
          <t>Hitung hasil pengolahan fungsi MINA untuk keempat baris data pada rentang C21:C24!</t>
        </is>
      </c>
    </row>
    <row r="786">
      <c r="A786" s="5" t="n">
        <v>782</v>
      </c>
      <c r="B786" s="8" t="inlineStr">
        <is>
          <t>MINA</t>
        </is>
      </c>
      <c r="C786" s="6" t="inlineStr">
        <is>
          <t>Soal Tes #2</t>
        </is>
      </c>
      <c r="D786" s="33" t="inlineStr">
        <is>
          <t>MINA!E30</t>
        </is>
      </c>
      <c r="E786" s="22" t="inlineStr">
        <is>
          <t>'=MINA(C29:C32)</t>
        </is>
      </c>
      <c r="F786" s="34">
        <f>MINA('MINA'!C29:C32)</f>
        <v/>
      </c>
      <c r="G786" s="19" t="inlineStr">
        <is>
          <t>Hitung hasil pengolahan fungsi MINA untuk keempat baris data pada rentang C29:C32!</t>
        </is>
      </c>
    </row>
    <row r="787">
      <c r="A787" s="5" t="n">
        <v>783</v>
      </c>
      <c r="B787" s="8" t="inlineStr">
        <is>
          <t>MINA</t>
        </is>
      </c>
      <c r="C787" s="6" t="inlineStr">
        <is>
          <t>Soal Tes #3</t>
        </is>
      </c>
      <c r="D787" s="33" t="inlineStr">
        <is>
          <t>MINA!E38</t>
        </is>
      </c>
      <c r="E787" s="22" t="inlineStr">
        <is>
          <t>'=MINA(C37:C40)</t>
        </is>
      </c>
      <c r="F787" s="34">
        <f>MINA('MINA'!C37:C40)</f>
        <v/>
      </c>
      <c r="G787" s="19" t="inlineStr">
        <is>
          <t>Hitung hasil pengolahan fungsi MINA untuk keempat baris data pada rentang C37:C40!</t>
        </is>
      </c>
    </row>
    <row r="788">
      <c r="A788" s="5" t="n">
        <v>784</v>
      </c>
      <c r="B788" s="8" t="inlineStr">
        <is>
          <t>MINA</t>
        </is>
      </c>
      <c r="C788" s="6" t="inlineStr">
        <is>
          <t>Soal Tes #4</t>
        </is>
      </c>
      <c r="D788" s="33" t="inlineStr">
        <is>
          <t>MINA!E46</t>
        </is>
      </c>
      <c r="E788" s="22" t="inlineStr">
        <is>
          <t>'=MINA(C45:C48)</t>
        </is>
      </c>
      <c r="F788" s="34">
        <f>MINA('MINA'!C45:C48)</f>
        <v/>
      </c>
      <c r="G788" s="19" t="inlineStr">
        <is>
          <t>Hitung hasil pengolahan fungsi MINA untuk keempat baris data pada rentang C45:C48!</t>
        </is>
      </c>
    </row>
    <row r="789">
      <c r="A789" s="5" t="n">
        <v>785</v>
      </c>
      <c r="B789" s="8" t="inlineStr">
        <is>
          <t>MINA</t>
        </is>
      </c>
      <c r="C789" s="6" t="inlineStr">
        <is>
          <t>Soal Tes #5</t>
        </is>
      </c>
      <c r="D789" s="33" t="inlineStr">
        <is>
          <t>MINA!E54</t>
        </is>
      </c>
      <c r="E789" s="22" t="inlineStr">
        <is>
          <t>'=MINA(C53:C56)</t>
        </is>
      </c>
      <c r="F789" s="34">
        <f>MINA('MINA'!C53:C56)</f>
        <v/>
      </c>
      <c r="G789" s="19" t="inlineStr">
        <is>
          <t>Hitung hasil pengolahan fungsi MINA untuk keempat baris data pada rentang C53:C56!</t>
        </is>
      </c>
    </row>
    <row r="790">
      <c r="A790" s="5" t="n">
        <v>786</v>
      </c>
      <c r="B790" s="8" t="inlineStr">
        <is>
          <t>MODE</t>
        </is>
      </c>
      <c r="C790" s="6" t="inlineStr">
        <is>
          <t>Soal Tes #1</t>
        </is>
      </c>
      <c r="D790" s="33" t="inlineStr">
        <is>
          <t>MODE!E22</t>
        </is>
      </c>
      <c r="E790" s="22" t="inlineStr">
        <is>
          <t>'=MODE(C21:C24)</t>
        </is>
      </c>
      <c r="F790" s="34">
        <f>MODE('MODE'!C21:C24)</f>
        <v/>
      </c>
      <c r="G790" s="19" t="inlineStr">
        <is>
          <t>Cari nilai yang paling sering muncul (modus) pada rentang data C21:C24 menggunakan fungsi MODE!</t>
        </is>
      </c>
    </row>
    <row r="791">
      <c r="A791" s="5" t="n">
        <v>787</v>
      </c>
      <c r="B791" s="8" t="inlineStr">
        <is>
          <t>MODE</t>
        </is>
      </c>
      <c r="C791" s="6" t="inlineStr">
        <is>
          <t>Soal Tes #2</t>
        </is>
      </c>
      <c r="D791" s="33" t="inlineStr">
        <is>
          <t>MODE!E30</t>
        </is>
      </c>
      <c r="E791" s="22" t="inlineStr">
        <is>
          <t>'=MODE(C29:C32)</t>
        </is>
      </c>
      <c r="F791" s="34">
        <f>MODE('MODE'!C29:C32)</f>
        <v/>
      </c>
      <c r="G791" s="19" t="inlineStr">
        <is>
          <t>Cari nilai yang paling sering muncul (modus) pada rentang data C29:C32 menggunakan fungsi MODE!</t>
        </is>
      </c>
    </row>
    <row r="792">
      <c r="A792" s="5" t="n">
        <v>788</v>
      </c>
      <c r="B792" s="8" t="inlineStr">
        <is>
          <t>MODE</t>
        </is>
      </c>
      <c r="C792" s="6" t="inlineStr">
        <is>
          <t>Soal Tes #3</t>
        </is>
      </c>
      <c r="D792" s="33" t="inlineStr">
        <is>
          <t>MODE!E38</t>
        </is>
      </c>
      <c r="E792" s="22" t="inlineStr">
        <is>
          <t>'=MODE(C37:C40)</t>
        </is>
      </c>
      <c r="F792" s="34">
        <f>MODE('MODE'!C37:C40)</f>
        <v/>
      </c>
      <c r="G792" s="19" t="inlineStr">
        <is>
          <t>Cari nilai yang paling sering muncul (modus) pada rentang data C37:C40 menggunakan fungsi MODE!</t>
        </is>
      </c>
    </row>
    <row r="793">
      <c r="A793" s="5" t="n">
        <v>789</v>
      </c>
      <c r="B793" s="8" t="inlineStr">
        <is>
          <t>MODE</t>
        </is>
      </c>
      <c r="C793" s="6" t="inlineStr">
        <is>
          <t>Soal Tes #4</t>
        </is>
      </c>
      <c r="D793" s="33" t="inlineStr">
        <is>
          <t>MODE!E46</t>
        </is>
      </c>
      <c r="E793" s="22" t="inlineStr">
        <is>
          <t>'=MODE(C45:C48)</t>
        </is>
      </c>
      <c r="F793" s="34">
        <f>MODE('MODE'!C45:C48)</f>
        <v/>
      </c>
      <c r="G793" s="19" t="inlineStr">
        <is>
          <t>Cari nilai yang paling sering muncul (modus) pada rentang data C45:C48 menggunakan fungsi MODE!</t>
        </is>
      </c>
    </row>
    <row r="794">
      <c r="A794" s="5" t="n">
        <v>790</v>
      </c>
      <c r="B794" s="8" t="inlineStr">
        <is>
          <t>MODE</t>
        </is>
      </c>
      <c r="C794" s="6" t="inlineStr">
        <is>
          <t>Soal Tes #5</t>
        </is>
      </c>
      <c r="D794" s="33" t="inlineStr">
        <is>
          <t>MODE!E54</t>
        </is>
      </c>
      <c r="E794" s="22" t="inlineStr">
        <is>
          <t>'=MODE(C53:C56)</t>
        </is>
      </c>
      <c r="F794" s="34">
        <f>MODE('MODE'!C53:C56)</f>
        <v/>
      </c>
      <c r="G794" s="19" t="inlineStr">
        <is>
          <t>Cari nilai yang paling sering muncul (modus) pada rentang data C53:C56 menggunakan fungsi MODE!</t>
        </is>
      </c>
    </row>
    <row r="795">
      <c r="A795" s="5" t="n">
        <v>791</v>
      </c>
      <c r="B795" s="8" t="inlineStr">
        <is>
          <t>NEGBINOM.DIST</t>
        </is>
      </c>
      <c r="C795" s="6" t="inlineStr">
        <is>
          <t>Soal Tes #1</t>
        </is>
      </c>
      <c r="D795" s="33" t="inlineStr">
        <is>
          <t>NEGBINOM.DIST!E22</t>
        </is>
      </c>
      <c r="E795" s="22" t="inlineStr">
        <is>
          <t>'=NEGBINOM.DIST(C21, C22, C23, TRUE)</t>
        </is>
      </c>
      <c r="F795" s="34">
        <f>NEGBINOM.DIST('NEGBINOM.DIST'!C21, 'NEGBINOM.DIST'!C22, 'NEGBINOM.DIST'!C23, TRUE)</f>
        <v/>
      </c>
      <c r="G795" s="19" t="inlineStr">
        <is>
          <t>Hitung peluang distribusi kumulatif (TRUE) menggunakan fungsi NEGBINOM.DIST dengan argumen C21, C22, C23, dan TRUE!</t>
        </is>
      </c>
    </row>
    <row r="796">
      <c r="A796" s="5" t="n">
        <v>792</v>
      </c>
      <c r="B796" s="8" t="inlineStr">
        <is>
          <t>NEGBINOM.DIST</t>
        </is>
      </c>
      <c r="C796" s="6" t="inlineStr">
        <is>
          <t>Soal Tes #2</t>
        </is>
      </c>
      <c r="D796" s="33" t="inlineStr">
        <is>
          <t>NEGBINOM.DIST!E30</t>
        </is>
      </c>
      <c r="E796" s="22" t="inlineStr">
        <is>
          <t>'=NEGBINOM.DIST(C29, C30, C31, TRUE)</t>
        </is>
      </c>
      <c r="F796" s="34">
        <f>NEGBINOM.DIST('NEGBINOM.DIST'!C29, 'NEGBINOM.DIST'!C30, 'NEGBINOM.DIST'!C31, TRUE)</f>
        <v/>
      </c>
      <c r="G796" s="19" t="inlineStr">
        <is>
          <t>Hitung peluang distribusi kumulatif (TRUE) menggunakan fungsi NEGBINOM.DIST dengan argumen C29, C30, C31, dan TRUE!</t>
        </is>
      </c>
    </row>
    <row r="797">
      <c r="A797" s="5" t="n">
        <v>793</v>
      </c>
      <c r="B797" s="8" t="inlineStr">
        <is>
          <t>NEGBINOM.DIST</t>
        </is>
      </c>
      <c r="C797" s="6" t="inlineStr">
        <is>
          <t>Soal Tes #3</t>
        </is>
      </c>
      <c r="D797" s="33" t="inlineStr">
        <is>
          <t>NEGBINOM.DIST!E38</t>
        </is>
      </c>
      <c r="E797" s="22" t="inlineStr">
        <is>
          <t>'=NEGBINOM.DIST(C37, C38, C39, TRUE)</t>
        </is>
      </c>
      <c r="F797" s="34">
        <f>NEGBINOM.DIST('NEGBINOM.DIST'!C37, 'NEGBINOM.DIST'!C38, 'NEGBINOM.DIST'!C39, TRUE)</f>
        <v/>
      </c>
      <c r="G797" s="19" t="inlineStr">
        <is>
          <t>Hitung peluang distribusi kumulatif (TRUE) menggunakan fungsi NEGBINOM.DIST dengan argumen C37, C38, C39, dan TRUE!</t>
        </is>
      </c>
    </row>
    <row r="798">
      <c r="A798" s="5" t="n">
        <v>794</v>
      </c>
      <c r="B798" s="8" t="inlineStr">
        <is>
          <t>NEGBINOM.DIST</t>
        </is>
      </c>
      <c r="C798" s="6" t="inlineStr">
        <is>
          <t>Soal Tes #4</t>
        </is>
      </c>
      <c r="D798" s="33" t="inlineStr">
        <is>
          <t>NEGBINOM.DIST!E46</t>
        </is>
      </c>
      <c r="E798" s="22" t="inlineStr">
        <is>
          <t>'=NEGBINOM.DIST(C45, C46, C47, TRUE)</t>
        </is>
      </c>
      <c r="F798" s="34">
        <f>NEGBINOM.DIST('NEGBINOM.DIST'!C45, 'NEGBINOM.DIST'!C46, 'NEGBINOM.DIST'!C47, TRUE)</f>
        <v/>
      </c>
      <c r="G798" s="19" t="inlineStr">
        <is>
          <t>Hitung peluang distribusi kumulatif (TRUE) menggunakan fungsi NEGBINOM.DIST dengan argumen C45, C46, C47, dan TRUE!</t>
        </is>
      </c>
    </row>
    <row r="799">
      <c r="A799" s="5" t="n">
        <v>795</v>
      </c>
      <c r="B799" s="8" t="inlineStr">
        <is>
          <t>NEGBINOM.DIST</t>
        </is>
      </c>
      <c r="C799" s="6" t="inlineStr">
        <is>
          <t>Soal Tes #5</t>
        </is>
      </c>
      <c r="D799" s="33" t="inlineStr">
        <is>
          <t>NEGBINOM.DIST!E54</t>
        </is>
      </c>
      <c r="E799" s="22" t="inlineStr">
        <is>
          <t>'=NEGBINOM.DIST(C53, C54, C55, TRUE)</t>
        </is>
      </c>
      <c r="F799" s="34">
        <f>NEGBINOM.DIST('NEGBINOM.DIST'!C53, 'NEGBINOM.DIST'!C54, 'NEGBINOM.DIST'!C55, TRUE)</f>
        <v/>
      </c>
      <c r="G799" s="19" t="inlineStr">
        <is>
          <t>Hitung peluang distribusi kumulatif (TRUE) menggunakan fungsi NEGBINOM.DIST dengan argumen C53, C54, C55, dan TRUE!</t>
        </is>
      </c>
    </row>
    <row r="800">
      <c r="A800" s="5" t="n">
        <v>796</v>
      </c>
      <c r="B800" s="8" t="inlineStr">
        <is>
          <t>NORM.DIST</t>
        </is>
      </c>
      <c r="C800" s="6" t="inlineStr">
        <is>
          <t>Soal Tes #1</t>
        </is>
      </c>
      <c r="D800" s="33" t="inlineStr">
        <is>
          <t>NORM.DIST!E22</t>
        </is>
      </c>
      <c r="E800" s="22" t="inlineStr">
        <is>
          <t>'=NORM.DIST(C21, C22, C23, TRUE)</t>
        </is>
      </c>
      <c r="F800" s="34">
        <f>NORM.DIST('NORM.DIST'!C21, 'NORM.DIST'!C22, 'NORM.DIST'!C23, TRUE)</f>
        <v/>
      </c>
      <c r="G800" s="19" t="inlineStr">
        <is>
          <t>Hitung nilai distribusi kumulatif (TRUE) menggunakan fungsi NORM.DIST dengan argumen berurutan C21, C22, C23, dan TRUE!</t>
        </is>
      </c>
    </row>
    <row r="801">
      <c r="A801" s="5" t="n">
        <v>797</v>
      </c>
      <c r="B801" s="8" t="inlineStr">
        <is>
          <t>NORM.DIST</t>
        </is>
      </c>
      <c r="C801" s="6" t="inlineStr">
        <is>
          <t>Soal Tes #2</t>
        </is>
      </c>
      <c r="D801" s="33" t="inlineStr">
        <is>
          <t>NORM.DIST!E30</t>
        </is>
      </c>
      <c r="E801" s="22" t="inlineStr">
        <is>
          <t>'=NORM.DIST(C29, C30, C31, TRUE)</t>
        </is>
      </c>
      <c r="F801" s="34">
        <f>NORM.DIST('NORM.DIST'!C29, 'NORM.DIST'!C30, 'NORM.DIST'!C31, TRUE)</f>
        <v/>
      </c>
      <c r="G801" s="19" t="inlineStr">
        <is>
          <t>Hitung nilai distribusi kumulatif (TRUE) menggunakan fungsi NORM.DIST dengan argumen berurutan C29, C30, C31, dan TRUE!</t>
        </is>
      </c>
    </row>
    <row r="802">
      <c r="A802" s="5" t="n">
        <v>798</v>
      </c>
      <c r="B802" s="8" t="inlineStr">
        <is>
          <t>NORM.DIST</t>
        </is>
      </c>
      <c r="C802" s="6" t="inlineStr">
        <is>
          <t>Soal Tes #3</t>
        </is>
      </c>
      <c r="D802" s="33" t="inlineStr">
        <is>
          <t>NORM.DIST!E38</t>
        </is>
      </c>
      <c r="E802" s="22" t="inlineStr">
        <is>
          <t>'=NORM.DIST(C37, C38, C39, TRUE)</t>
        </is>
      </c>
      <c r="F802" s="34">
        <f>NORM.DIST('NORM.DIST'!C37, 'NORM.DIST'!C38, 'NORM.DIST'!C39, TRUE)</f>
        <v/>
      </c>
      <c r="G802" s="19" t="inlineStr">
        <is>
          <t>Hitung nilai distribusi kumulatif (TRUE) menggunakan fungsi NORM.DIST dengan argumen berurutan C37, C38, C39, dan TRUE!</t>
        </is>
      </c>
    </row>
    <row r="803">
      <c r="A803" s="5" t="n">
        <v>799</v>
      </c>
      <c r="B803" s="8" t="inlineStr">
        <is>
          <t>NORM.DIST</t>
        </is>
      </c>
      <c r="C803" s="6" t="inlineStr">
        <is>
          <t>Soal Tes #4</t>
        </is>
      </c>
      <c r="D803" s="33" t="inlineStr">
        <is>
          <t>NORM.DIST!E46</t>
        </is>
      </c>
      <c r="E803" s="22" t="inlineStr">
        <is>
          <t>'=NORM.DIST(C45, C46, C47, TRUE)</t>
        </is>
      </c>
      <c r="F803" s="34">
        <f>NORM.DIST('NORM.DIST'!C45, 'NORM.DIST'!C46, 'NORM.DIST'!C47, TRUE)</f>
        <v/>
      </c>
      <c r="G803" s="19" t="inlineStr">
        <is>
          <t>Hitung nilai distribusi kumulatif (TRUE) menggunakan fungsi NORM.DIST dengan argumen berurutan C45, C46, C47, dan TRUE!</t>
        </is>
      </c>
    </row>
    <row r="804">
      <c r="A804" s="5" t="n">
        <v>800</v>
      </c>
      <c r="B804" s="8" t="inlineStr">
        <is>
          <t>NORM.DIST</t>
        </is>
      </c>
      <c r="C804" s="6" t="inlineStr">
        <is>
          <t>Soal Tes #5</t>
        </is>
      </c>
      <c r="D804" s="33" t="inlineStr">
        <is>
          <t>NORM.DIST!E54</t>
        </is>
      </c>
      <c r="E804" s="22" t="inlineStr">
        <is>
          <t>'=NORM.DIST(C53, C54, C55, TRUE)</t>
        </is>
      </c>
      <c r="F804" s="34">
        <f>NORM.DIST('NORM.DIST'!C53, 'NORM.DIST'!C54, 'NORM.DIST'!C55, TRUE)</f>
        <v/>
      </c>
      <c r="G804" s="19" t="inlineStr">
        <is>
          <t>Hitung nilai distribusi kumulatif (TRUE) menggunakan fungsi NORM.DIST dengan argumen berurutan C53, C54, C55, dan TRUE!</t>
        </is>
      </c>
    </row>
    <row r="805">
      <c r="A805" s="5" t="n">
        <v>801</v>
      </c>
      <c r="B805" s="8" t="inlineStr">
        <is>
          <t>NORM.INV</t>
        </is>
      </c>
      <c r="C805" s="6" t="inlineStr">
        <is>
          <t>Soal Tes #1</t>
        </is>
      </c>
      <c r="D805" s="33" t="inlineStr">
        <is>
          <t>NORM.INV!E22</t>
        </is>
      </c>
      <c r="E805" s="22" t="inlineStr">
        <is>
          <t>'=NORM.INV(C21, C22, C23)</t>
        </is>
      </c>
      <c r="F805" s="34">
        <f>NORM.INV('NORM.INV'!C21, 'NORM.INV'!C22, 'NORM.INV'!C23)</f>
        <v/>
      </c>
      <c r="G805" s="19" t="inlineStr">
        <is>
          <t>Hitung nilai invers distribusi menggunakan fungsi NORM.INV dengan argumen berurutan C21, C22, dan C23!</t>
        </is>
      </c>
    </row>
    <row r="806">
      <c r="A806" s="5" t="n">
        <v>802</v>
      </c>
      <c r="B806" s="8" t="inlineStr">
        <is>
          <t>NORM.INV</t>
        </is>
      </c>
      <c r="C806" s="6" t="inlineStr">
        <is>
          <t>Soal Tes #2</t>
        </is>
      </c>
      <c r="D806" s="33" t="inlineStr">
        <is>
          <t>NORM.INV!E30</t>
        </is>
      </c>
      <c r="E806" s="22" t="inlineStr">
        <is>
          <t>'=NORM.INV(C29, C30, C31)</t>
        </is>
      </c>
      <c r="F806" s="34">
        <f>NORM.INV('NORM.INV'!C29, 'NORM.INV'!C30, 'NORM.INV'!C31)</f>
        <v/>
      </c>
      <c r="G806" s="19" t="inlineStr">
        <is>
          <t>Hitung nilai invers distribusi menggunakan fungsi NORM.INV dengan argumen berurutan C29, C30, dan C31!</t>
        </is>
      </c>
    </row>
    <row r="807">
      <c r="A807" s="5" t="n">
        <v>803</v>
      </c>
      <c r="B807" s="8" t="inlineStr">
        <is>
          <t>NORM.INV</t>
        </is>
      </c>
      <c r="C807" s="6" t="inlineStr">
        <is>
          <t>Soal Tes #3</t>
        </is>
      </c>
      <c r="D807" s="33" t="inlineStr">
        <is>
          <t>NORM.INV!E38</t>
        </is>
      </c>
      <c r="E807" s="22" t="inlineStr">
        <is>
          <t>'=NORM.INV(C37, C38, C39)</t>
        </is>
      </c>
      <c r="F807" s="34">
        <f>NORM.INV('NORM.INV'!C37, 'NORM.INV'!C38, 'NORM.INV'!C39)</f>
        <v/>
      </c>
      <c r="G807" s="19" t="inlineStr">
        <is>
          <t>Hitung nilai invers distribusi menggunakan fungsi NORM.INV dengan argumen berurutan C37, C38, dan C39!</t>
        </is>
      </c>
    </row>
    <row r="808">
      <c r="A808" s="5" t="n">
        <v>804</v>
      </c>
      <c r="B808" s="8" t="inlineStr">
        <is>
          <t>NORM.INV</t>
        </is>
      </c>
      <c r="C808" s="6" t="inlineStr">
        <is>
          <t>Soal Tes #4</t>
        </is>
      </c>
      <c r="D808" s="33" t="inlineStr">
        <is>
          <t>NORM.INV!E46</t>
        </is>
      </c>
      <c r="E808" s="22" t="inlineStr">
        <is>
          <t>'=NORM.INV(C45, C46, C47)</t>
        </is>
      </c>
      <c r="F808" s="34">
        <f>NORM.INV('NORM.INV'!C45, 'NORM.INV'!C46, 'NORM.INV'!C47)</f>
        <v/>
      </c>
      <c r="G808" s="19" t="inlineStr">
        <is>
          <t>Hitung nilai invers distribusi menggunakan fungsi NORM.INV dengan argumen berurutan C45, C46, dan C47!</t>
        </is>
      </c>
    </row>
    <row r="809">
      <c r="A809" s="5" t="n">
        <v>805</v>
      </c>
      <c r="B809" s="8" t="inlineStr">
        <is>
          <t>NORM.INV</t>
        </is>
      </c>
      <c r="C809" s="6" t="inlineStr">
        <is>
          <t>Soal Tes #5</t>
        </is>
      </c>
      <c r="D809" s="33" t="inlineStr">
        <is>
          <t>NORM.INV!E54</t>
        </is>
      </c>
      <c r="E809" s="22" t="inlineStr">
        <is>
          <t>'=NORM.INV(C53, C54, C55)</t>
        </is>
      </c>
      <c r="F809" s="34">
        <f>NORM.INV('NORM.INV'!C53, 'NORM.INV'!C54, 'NORM.INV'!C55)</f>
        <v/>
      </c>
      <c r="G809" s="19" t="inlineStr">
        <is>
          <t>Hitung nilai invers distribusi menggunakan fungsi NORM.INV dengan argumen berurutan C53, C54, dan C55!</t>
        </is>
      </c>
    </row>
    <row r="810">
      <c r="A810" s="5" t="n">
        <v>806</v>
      </c>
      <c r="B810" s="8" t="inlineStr">
        <is>
          <t>NORM.S.DIST</t>
        </is>
      </c>
      <c r="C810" s="6" t="inlineStr">
        <is>
          <t>Soal Tes #1</t>
        </is>
      </c>
      <c r="D810" s="33" t="inlineStr">
        <is>
          <t>NORM.S.DIST!E22</t>
        </is>
      </c>
      <c r="E810" s="22" t="inlineStr">
        <is>
          <t>'=NORM.S.DIST(C21, TRUE)</t>
        </is>
      </c>
      <c r="F810" s="34">
        <f>NORM.S.DIST('NORM.S.DIST'!C21, TRUE)</f>
        <v/>
      </c>
      <c r="G810" s="19" t="inlineStr">
        <is>
          <t>Hitung nilai distribusi normal standar kumulatif (TRUE) untuk skor-Z di sel C21 (0.5) menggunakan fungsi NORM.S.DIST!</t>
        </is>
      </c>
    </row>
    <row r="811">
      <c r="A811" s="5" t="n">
        <v>807</v>
      </c>
      <c r="B811" s="8" t="inlineStr">
        <is>
          <t>NORM.S.DIST</t>
        </is>
      </c>
      <c r="C811" s="6" t="inlineStr">
        <is>
          <t>Soal Tes #2</t>
        </is>
      </c>
      <c r="D811" s="33" t="inlineStr">
        <is>
          <t>NORM.S.DIST!E30</t>
        </is>
      </c>
      <c r="E811" s="22" t="inlineStr">
        <is>
          <t>'=NORM.S.DIST(C29, TRUE)</t>
        </is>
      </c>
      <c r="F811" s="34">
        <f>NORM.S.DIST('NORM.S.DIST'!C29, TRUE)</f>
        <v/>
      </c>
      <c r="G811" s="19" t="inlineStr">
        <is>
          <t>Hitung nilai distribusi normal standar kumulatif (TRUE) untuk skor-Z di sel C29 (0.75) menggunakan fungsi NORM.S.DIST!</t>
        </is>
      </c>
    </row>
    <row r="812">
      <c r="A812" s="5" t="n">
        <v>808</v>
      </c>
      <c r="B812" s="8" t="inlineStr">
        <is>
          <t>NORM.S.DIST</t>
        </is>
      </c>
      <c r="C812" s="6" t="inlineStr">
        <is>
          <t>Soal Tes #3</t>
        </is>
      </c>
      <c r="D812" s="33" t="inlineStr">
        <is>
          <t>NORM.S.DIST!E38</t>
        </is>
      </c>
      <c r="E812" s="22" t="inlineStr">
        <is>
          <t>'=NORM.S.DIST(C37, TRUE)</t>
        </is>
      </c>
      <c r="F812" s="34">
        <f>NORM.S.DIST('NORM.S.DIST'!C37, TRUE)</f>
        <v/>
      </c>
      <c r="G812" s="19" t="inlineStr">
        <is>
          <t>Hitung nilai distribusi normal standar kumulatif (TRUE) untuk skor-Z di sel C37 (1.0) menggunakan fungsi NORM.S.DIST!</t>
        </is>
      </c>
    </row>
    <row r="813">
      <c r="A813" s="5" t="n">
        <v>809</v>
      </c>
      <c r="B813" s="8" t="inlineStr">
        <is>
          <t>NORM.S.DIST</t>
        </is>
      </c>
      <c r="C813" s="6" t="inlineStr">
        <is>
          <t>Soal Tes #4</t>
        </is>
      </c>
      <c r="D813" s="33" t="inlineStr">
        <is>
          <t>NORM.S.DIST!E46</t>
        </is>
      </c>
      <c r="E813" s="22" t="inlineStr">
        <is>
          <t>'=NORM.S.DIST(C45, TRUE)</t>
        </is>
      </c>
      <c r="F813" s="34">
        <f>NORM.S.DIST('NORM.S.DIST'!C45, TRUE)</f>
        <v/>
      </c>
      <c r="G813" s="19" t="inlineStr">
        <is>
          <t>Hitung nilai distribusi normal standar kumulatif (TRUE) untuk skor-Z di sel C45 (1.25) menggunakan fungsi NORM.S.DIST!</t>
        </is>
      </c>
    </row>
    <row r="814">
      <c r="A814" s="5" t="n">
        <v>810</v>
      </c>
      <c r="B814" s="8" t="inlineStr">
        <is>
          <t>NORM.S.DIST</t>
        </is>
      </c>
      <c r="C814" s="6" t="inlineStr">
        <is>
          <t>Soal Tes #5</t>
        </is>
      </c>
      <c r="D814" s="33" t="inlineStr">
        <is>
          <t>NORM.S.DIST!E54</t>
        </is>
      </c>
      <c r="E814" s="22" t="inlineStr">
        <is>
          <t>'=NORM.S.DIST(C53, TRUE)</t>
        </is>
      </c>
      <c r="F814" s="34">
        <f>NORM.S.DIST('NORM.S.DIST'!C53, TRUE)</f>
        <v/>
      </c>
      <c r="G814" s="19" t="inlineStr">
        <is>
          <t>Hitung nilai distribusi normal standar kumulatif (TRUE) untuk skor-Z di sel C53 (1.5) menggunakan fungsi NORM.S.DIST!</t>
        </is>
      </c>
    </row>
    <row r="815">
      <c r="A815" s="5" t="n">
        <v>811</v>
      </c>
      <c r="B815" s="8" t="inlineStr">
        <is>
          <t>NORM.S.INV</t>
        </is>
      </c>
      <c r="C815" s="6" t="inlineStr">
        <is>
          <t>Soal Tes #1</t>
        </is>
      </c>
      <c r="D815" s="33" t="inlineStr">
        <is>
          <t>NORM.S.INV!E22</t>
        </is>
      </c>
      <c r="E815" s="22" t="inlineStr">
        <is>
          <t>'=NORM.S.INV(C21)</t>
        </is>
      </c>
      <c r="F815" s="34">
        <f>NORM.S.INV('NORM.S.INV'!C21)</f>
        <v/>
      </c>
      <c r="G815" s="19" t="inlineStr">
        <is>
          <t>Hitung hasil transformasi NORM.S.INV untuk nilai koefisien pada sel C21 (0.25)!</t>
        </is>
      </c>
    </row>
    <row r="816">
      <c r="A816" s="5" t="n">
        <v>812</v>
      </c>
      <c r="B816" s="8" t="inlineStr">
        <is>
          <t>NORM.S.INV</t>
        </is>
      </c>
      <c r="C816" s="6" t="inlineStr">
        <is>
          <t>Soal Tes #2</t>
        </is>
      </c>
      <c r="D816" s="33" t="inlineStr">
        <is>
          <t>NORM.S.INV!E30</t>
        </is>
      </c>
      <c r="E816" s="22" t="inlineStr">
        <is>
          <t>'=NORM.S.INV(C29)</t>
        </is>
      </c>
      <c r="F816" s="34">
        <f>NORM.S.INV('NORM.S.INV'!C29)</f>
        <v/>
      </c>
      <c r="G816" s="19" t="inlineStr">
        <is>
          <t>Hitung hasil transformasi NORM.S.INV untuk nilai koefisien pada sel C29 (0.35)!</t>
        </is>
      </c>
    </row>
    <row r="817">
      <c r="A817" s="5" t="n">
        <v>813</v>
      </c>
      <c r="B817" s="8" t="inlineStr">
        <is>
          <t>NORM.S.INV</t>
        </is>
      </c>
      <c r="C817" s="6" t="inlineStr">
        <is>
          <t>Soal Tes #3</t>
        </is>
      </c>
      <c r="D817" s="33" t="inlineStr">
        <is>
          <t>NORM.S.INV!E38</t>
        </is>
      </c>
      <c r="E817" s="22" t="inlineStr">
        <is>
          <t>'=NORM.S.INV(C37)</t>
        </is>
      </c>
      <c r="F817" s="34">
        <f>NORM.S.INV('NORM.S.INV'!C37)</f>
        <v/>
      </c>
      <c r="G817" s="19" t="inlineStr">
        <is>
          <t>Hitung hasil transformasi NORM.S.INV untuk nilai koefisien pada sel C37 (0.45)!</t>
        </is>
      </c>
    </row>
    <row r="818">
      <c r="A818" s="5" t="n">
        <v>814</v>
      </c>
      <c r="B818" s="8" t="inlineStr">
        <is>
          <t>NORM.S.INV</t>
        </is>
      </c>
      <c r="C818" s="6" t="inlineStr">
        <is>
          <t>Soal Tes #4</t>
        </is>
      </c>
      <c r="D818" s="33" t="inlineStr">
        <is>
          <t>NORM.S.INV!E46</t>
        </is>
      </c>
      <c r="E818" s="22" t="inlineStr">
        <is>
          <t>'=NORM.S.INV(C45)</t>
        </is>
      </c>
      <c r="F818" s="34">
        <f>NORM.S.INV('NORM.S.INV'!C45)</f>
        <v/>
      </c>
      <c r="G818" s="19" t="inlineStr">
        <is>
          <t>Hitung hasil transformasi NORM.S.INV untuk nilai koefisien pada sel C45 (0.55)!</t>
        </is>
      </c>
    </row>
    <row r="819">
      <c r="A819" s="5" t="n">
        <v>815</v>
      </c>
      <c r="B819" s="8" t="inlineStr">
        <is>
          <t>NORM.S.INV</t>
        </is>
      </c>
      <c r="C819" s="6" t="inlineStr">
        <is>
          <t>Soal Tes #5</t>
        </is>
      </c>
      <c r="D819" s="33" t="inlineStr">
        <is>
          <t>NORM.S.INV!E54</t>
        </is>
      </c>
      <c r="E819" s="22" t="inlineStr">
        <is>
          <t>'=NORM.S.INV(C53)</t>
        </is>
      </c>
      <c r="F819" s="34">
        <f>NORM.S.INV('NORM.S.INV'!C53)</f>
        <v/>
      </c>
      <c r="G819" s="19" t="inlineStr">
        <is>
          <t>Hitung hasil transformasi NORM.S.INV untuk nilai koefisien pada sel C53 (0.65)!</t>
        </is>
      </c>
    </row>
    <row r="820">
      <c r="A820" s="5" t="n">
        <v>816</v>
      </c>
      <c r="B820" s="8" t="inlineStr">
        <is>
          <t>PEARSON</t>
        </is>
      </c>
      <c r="C820" s="6" t="inlineStr">
        <is>
          <t>Soal Tes #1</t>
        </is>
      </c>
      <c r="D820" s="33" t="inlineStr">
        <is>
          <t>PEARSON!E22</t>
        </is>
      </c>
      <c r="E820" s="22" t="inlineStr">
        <is>
          <t>'=PEARSON(B21:B24, C21:C24)</t>
        </is>
      </c>
      <c r="F820" s="34">
        <f>PEARSON('PEARSON'!B21:B24, 'PEARSON'!C21:C24)</f>
        <v/>
      </c>
      <c r="G820" s="19" t="inlineStr">
        <is>
          <t>Analisis hubungan antara data pertama (B21:B24) dan data kedua (C21:C24) menggunakan fungsi PEARSON!</t>
        </is>
      </c>
    </row>
    <row r="821">
      <c r="A821" s="5" t="n">
        <v>817</v>
      </c>
      <c r="B821" s="8" t="inlineStr">
        <is>
          <t>PEARSON</t>
        </is>
      </c>
      <c r="C821" s="6" t="inlineStr">
        <is>
          <t>Soal Tes #2</t>
        </is>
      </c>
      <c r="D821" s="33" t="inlineStr">
        <is>
          <t>PEARSON!E30</t>
        </is>
      </c>
      <c r="E821" s="22" t="inlineStr">
        <is>
          <t>'=PEARSON(B29:B32, C29:C32)</t>
        </is>
      </c>
      <c r="F821" s="34">
        <f>PEARSON('PEARSON'!B29:B32, 'PEARSON'!C29:C32)</f>
        <v/>
      </c>
      <c r="G821" s="19" t="inlineStr">
        <is>
          <t>Analisis hubungan antara data pertama (B29:B32) dan data kedua (C29:C32) menggunakan fungsi PEARSON!</t>
        </is>
      </c>
    </row>
    <row r="822">
      <c r="A822" s="5" t="n">
        <v>818</v>
      </c>
      <c r="B822" s="8" t="inlineStr">
        <is>
          <t>PEARSON</t>
        </is>
      </c>
      <c r="C822" s="6" t="inlineStr">
        <is>
          <t>Soal Tes #3</t>
        </is>
      </c>
      <c r="D822" s="33" t="inlineStr">
        <is>
          <t>PEARSON!E38</t>
        </is>
      </c>
      <c r="E822" s="22" t="inlineStr">
        <is>
          <t>'=PEARSON(B37:B40, C37:C40)</t>
        </is>
      </c>
      <c r="F822" s="34">
        <f>PEARSON('PEARSON'!B37:B40, 'PEARSON'!C37:C40)</f>
        <v/>
      </c>
      <c r="G822" s="19" t="inlineStr">
        <is>
          <t>Analisis hubungan antara data pertama (B37:B40) dan data kedua (C37:C40) menggunakan fungsi PEARSON!</t>
        </is>
      </c>
    </row>
    <row r="823">
      <c r="A823" s="5" t="n">
        <v>819</v>
      </c>
      <c r="B823" s="8" t="inlineStr">
        <is>
          <t>PEARSON</t>
        </is>
      </c>
      <c r="C823" s="6" t="inlineStr">
        <is>
          <t>Soal Tes #4</t>
        </is>
      </c>
      <c r="D823" s="33" t="inlineStr">
        <is>
          <t>PEARSON!E46</t>
        </is>
      </c>
      <c r="E823" s="22" t="inlineStr">
        <is>
          <t>'=PEARSON(B45:B48, C45:C48)</t>
        </is>
      </c>
      <c r="F823" s="34">
        <f>PEARSON('PEARSON'!B45:B48, 'PEARSON'!C45:C48)</f>
        <v/>
      </c>
      <c r="G823" s="19" t="inlineStr">
        <is>
          <t>Analisis hubungan antara data pertama (B45:B48) dan data kedua (C45:C48) menggunakan fungsi PEARSON!</t>
        </is>
      </c>
    </row>
    <row r="824">
      <c r="A824" s="5" t="n">
        <v>820</v>
      </c>
      <c r="B824" s="8" t="inlineStr">
        <is>
          <t>PEARSON</t>
        </is>
      </c>
      <c r="C824" s="6" t="inlineStr">
        <is>
          <t>Soal Tes #5</t>
        </is>
      </c>
      <c r="D824" s="33" t="inlineStr">
        <is>
          <t>PEARSON!E54</t>
        </is>
      </c>
      <c r="E824" s="22" t="inlineStr">
        <is>
          <t>'=PEARSON(B53:B56, C53:C56)</t>
        </is>
      </c>
      <c r="F824" s="34">
        <f>PEARSON('PEARSON'!B53:B56, 'PEARSON'!C53:C56)</f>
        <v/>
      </c>
      <c r="G824" s="19" t="inlineStr">
        <is>
          <t>Analisis hubungan antara data pertama (B53:B56) dan data kedua (C53:C56) menggunakan fungsi PEARSON!</t>
        </is>
      </c>
    </row>
    <row r="825">
      <c r="A825" s="5" t="n">
        <v>821</v>
      </c>
      <c r="B825" s="8" t="inlineStr">
        <is>
          <t>PERCENTILE.EXC</t>
        </is>
      </c>
      <c r="C825" s="6" t="inlineStr">
        <is>
          <t>Soal Tes #1</t>
        </is>
      </c>
      <c r="D825" s="33" t="inlineStr">
        <is>
          <t>PERCENTILE.EXC!E22</t>
        </is>
      </c>
      <c r="E825" s="22" t="inlineStr">
        <is>
          <t>'=PERCENTILE.EXC(C21:C24, 0.5)</t>
        </is>
      </c>
      <c r="F825" s="34">
        <f>PERCENTILE.EXC('PERCENTILE.EXC'!C21:C24, 0.5)</f>
        <v/>
      </c>
      <c r="G825" s="19" t="inlineStr">
        <is>
          <t>Hitung nilai persentil k = 0.5 (50%) dari rentang data C21:C24 menggunakan fungsi PERCENTILE.EXC!</t>
        </is>
      </c>
    </row>
    <row r="826">
      <c r="A826" s="5" t="n">
        <v>822</v>
      </c>
      <c r="B826" s="8" t="inlineStr">
        <is>
          <t>PERCENTILE.EXC</t>
        </is>
      </c>
      <c r="C826" s="6" t="inlineStr">
        <is>
          <t>Soal Tes #2</t>
        </is>
      </c>
      <c r="D826" s="33" t="inlineStr">
        <is>
          <t>PERCENTILE.EXC!E30</t>
        </is>
      </c>
      <c r="E826" s="22" t="inlineStr">
        <is>
          <t>'=PERCENTILE.EXC(C29:C32, 0.5)</t>
        </is>
      </c>
      <c r="F826" s="34">
        <f>PERCENTILE.EXC('PERCENTILE.EXC'!C29:C32, 0.5)</f>
        <v/>
      </c>
      <c r="G826" s="19" t="inlineStr">
        <is>
          <t>Hitung nilai persentil k = 0.5 (50%) dari rentang data C29:C32 menggunakan fungsi PERCENTILE.EXC!</t>
        </is>
      </c>
    </row>
    <row r="827">
      <c r="A827" s="5" t="n">
        <v>823</v>
      </c>
      <c r="B827" s="8" t="inlineStr">
        <is>
          <t>PERCENTILE.EXC</t>
        </is>
      </c>
      <c r="C827" s="6" t="inlineStr">
        <is>
          <t>Soal Tes #3</t>
        </is>
      </c>
      <c r="D827" s="33" t="inlineStr">
        <is>
          <t>PERCENTILE.EXC!E38</t>
        </is>
      </c>
      <c r="E827" s="22" t="inlineStr">
        <is>
          <t>'=PERCENTILE.EXC(C37:C40, 0.5)</t>
        </is>
      </c>
      <c r="F827" s="34">
        <f>PERCENTILE.EXC('PERCENTILE.EXC'!C37:C40, 0.5)</f>
        <v/>
      </c>
      <c r="G827" s="19" t="inlineStr">
        <is>
          <t>Hitung nilai persentil k = 0.5 (50%) dari rentang data C37:C40 menggunakan fungsi PERCENTILE.EXC!</t>
        </is>
      </c>
    </row>
    <row r="828">
      <c r="A828" s="5" t="n">
        <v>824</v>
      </c>
      <c r="B828" s="8" t="inlineStr">
        <is>
          <t>PERCENTILE.EXC</t>
        </is>
      </c>
      <c r="C828" s="6" t="inlineStr">
        <is>
          <t>Soal Tes #4</t>
        </is>
      </c>
      <c r="D828" s="33" t="inlineStr">
        <is>
          <t>PERCENTILE.EXC!E46</t>
        </is>
      </c>
      <c r="E828" s="22" t="inlineStr">
        <is>
          <t>'=PERCENTILE.EXC(C45:C48, 0.5)</t>
        </is>
      </c>
      <c r="F828" s="34">
        <f>PERCENTILE.EXC('PERCENTILE.EXC'!C45:C48, 0.5)</f>
        <v/>
      </c>
      <c r="G828" s="19" t="inlineStr">
        <is>
          <t>Hitung nilai persentil k = 0.5 (50%) dari rentang data C45:C48 menggunakan fungsi PERCENTILE.EXC!</t>
        </is>
      </c>
    </row>
    <row r="829">
      <c r="A829" s="5" t="n">
        <v>825</v>
      </c>
      <c r="B829" s="8" t="inlineStr">
        <is>
          <t>PERCENTILE.EXC</t>
        </is>
      </c>
      <c r="C829" s="6" t="inlineStr">
        <is>
          <t>Soal Tes #5</t>
        </is>
      </c>
      <c r="D829" s="33" t="inlineStr">
        <is>
          <t>PERCENTILE.EXC!E54</t>
        </is>
      </c>
      <c r="E829" s="22" t="inlineStr">
        <is>
          <t>'=PERCENTILE.EXC(C53:C56, 0.5)</t>
        </is>
      </c>
      <c r="F829" s="34">
        <f>PERCENTILE.EXC('PERCENTILE.EXC'!C53:C56, 0.5)</f>
        <v/>
      </c>
      <c r="G829" s="19" t="inlineStr">
        <is>
          <t>Hitung nilai persentil k = 0.5 (50%) dari rentang data C53:C56 menggunakan fungsi PERCENTILE.EXC!</t>
        </is>
      </c>
    </row>
    <row r="830">
      <c r="A830" s="5" t="n">
        <v>826</v>
      </c>
      <c r="B830" s="8" t="inlineStr">
        <is>
          <t>PERCENTILE.INC</t>
        </is>
      </c>
      <c r="C830" s="6" t="inlineStr">
        <is>
          <t>Soal Tes #1</t>
        </is>
      </c>
      <c r="D830" s="33" t="inlineStr">
        <is>
          <t>PERCENTILE.INC!E22</t>
        </is>
      </c>
      <c r="E830" s="22" t="inlineStr">
        <is>
          <t>'=PERCENTILE.INC(C21:C24, 0.5)</t>
        </is>
      </c>
      <c r="F830" s="34">
        <f>PERCENTILE.INC('PERCENTILE.INC'!C21:C24, 0.5)</f>
        <v/>
      </c>
      <c r="G830" s="19" t="inlineStr">
        <is>
          <t>Hitung nilai persentil k = 0.5 (50%) dari rentang data C21:C24 menggunakan fungsi PERCENTILE.INC!</t>
        </is>
      </c>
    </row>
    <row r="831">
      <c r="A831" s="5" t="n">
        <v>827</v>
      </c>
      <c r="B831" s="8" t="inlineStr">
        <is>
          <t>PERCENTILE.INC</t>
        </is>
      </c>
      <c r="C831" s="6" t="inlineStr">
        <is>
          <t>Soal Tes #2</t>
        </is>
      </c>
      <c r="D831" s="33" t="inlineStr">
        <is>
          <t>PERCENTILE.INC!E30</t>
        </is>
      </c>
      <c r="E831" s="22" t="inlineStr">
        <is>
          <t>'=PERCENTILE.INC(C29:C32, 0.5)</t>
        </is>
      </c>
      <c r="F831" s="34">
        <f>PERCENTILE.INC('PERCENTILE.INC'!C29:C32, 0.5)</f>
        <v/>
      </c>
      <c r="G831" s="19" t="inlineStr">
        <is>
          <t>Hitung nilai persentil k = 0.5 (50%) dari rentang data C29:C32 menggunakan fungsi PERCENTILE.INC!</t>
        </is>
      </c>
    </row>
    <row r="832">
      <c r="A832" s="5" t="n">
        <v>828</v>
      </c>
      <c r="B832" s="8" t="inlineStr">
        <is>
          <t>PERCENTILE.INC</t>
        </is>
      </c>
      <c r="C832" s="6" t="inlineStr">
        <is>
          <t>Soal Tes #3</t>
        </is>
      </c>
      <c r="D832" s="33" t="inlineStr">
        <is>
          <t>PERCENTILE.INC!E38</t>
        </is>
      </c>
      <c r="E832" s="22" t="inlineStr">
        <is>
          <t>'=PERCENTILE.INC(C37:C40, 0.5)</t>
        </is>
      </c>
      <c r="F832" s="34">
        <f>PERCENTILE.INC('PERCENTILE.INC'!C37:C40, 0.5)</f>
        <v/>
      </c>
      <c r="G832" s="19" t="inlineStr">
        <is>
          <t>Hitung nilai persentil k = 0.5 (50%) dari rentang data C37:C40 menggunakan fungsi PERCENTILE.INC!</t>
        </is>
      </c>
    </row>
    <row r="833">
      <c r="A833" s="5" t="n">
        <v>829</v>
      </c>
      <c r="B833" s="8" t="inlineStr">
        <is>
          <t>PERCENTILE.INC</t>
        </is>
      </c>
      <c r="C833" s="6" t="inlineStr">
        <is>
          <t>Soal Tes #4</t>
        </is>
      </c>
      <c r="D833" s="33" t="inlineStr">
        <is>
          <t>PERCENTILE.INC!E46</t>
        </is>
      </c>
      <c r="E833" s="22" t="inlineStr">
        <is>
          <t>'=PERCENTILE.INC(C45:C48, 0.5)</t>
        </is>
      </c>
      <c r="F833" s="34">
        <f>PERCENTILE.INC('PERCENTILE.INC'!C45:C48, 0.5)</f>
        <v/>
      </c>
      <c r="G833" s="19" t="inlineStr">
        <is>
          <t>Hitung nilai persentil k = 0.5 (50%) dari rentang data C45:C48 menggunakan fungsi PERCENTILE.INC!</t>
        </is>
      </c>
    </row>
    <row r="834">
      <c r="A834" s="5" t="n">
        <v>830</v>
      </c>
      <c r="B834" s="8" t="inlineStr">
        <is>
          <t>PERCENTILE.INC</t>
        </is>
      </c>
      <c r="C834" s="6" t="inlineStr">
        <is>
          <t>Soal Tes #5</t>
        </is>
      </c>
      <c r="D834" s="33" t="inlineStr">
        <is>
          <t>PERCENTILE.INC!E54</t>
        </is>
      </c>
      <c r="E834" s="22" t="inlineStr">
        <is>
          <t>'=PERCENTILE.INC(C53:C56, 0.5)</t>
        </is>
      </c>
      <c r="F834" s="34">
        <f>PERCENTILE.INC('PERCENTILE.INC'!C53:C56, 0.5)</f>
        <v/>
      </c>
      <c r="G834" s="19" t="inlineStr">
        <is>
          <t>Hitung nilai persentil k = 0.5 (50%) dari rentang data C53:C56 menggunakan fungsi PERCENTILE.INC!</t>
        </is>
      </c>
    </row>
    <row r="835">
      <c r="A835" s="5" t="n">
        <v>831</v>
      </c>
      <c r="B835" s="8" t="inlineStr">
        <is>
          <t>PERCENTRANK.EXC</t>
        </is>
      </c>
      <c r="C835" s="6" t="inlineStr">
        <is>
          <t>Soal Tes #1</t>
        </is>
      </c>
      <c r="D835" s="33" t="inlineStr">
        <is>
          <t>PERCENTRANK.EXC!E22</t>
        </is>
      </c>
      <c r="E835" s="22" t="inlineStr">
        <is>
          <t>'=PERCENTRANK.EXC(C21:C24, C22)</t>
        </is>
      </c>
      <c r="F835" s="34">
        <f>PERCENTRANK.EXC('PERCENTRANK.EXC'!C21:C24, 'PERCENTRANK.EXC'!C22)</f>
        <v/>
      </c>
      <c r="G835" s="19" t="inlineStr">
        <is>
          <t>Hitung peringkat persentase dari nilai di sel C22 terhadap rentang C21:C24 menggunakan fungsi PERCENTRANK.EXC!</t>
        </is>
      </c>
    </row>
    <row r="836">
      <c r="A836" s="5" t="n">
        <v>832</v>
      </c>
      <c r="B836" s="8" t="inlineStr">
        <is>
          <t>PERCENTRANK.EXC</t>
        </is>
      </c>
      <c r="C836" s="6" t="inlineStr">
        <is>
          <t>Soal Tes #2</t>
        </is>
      </c>
      <c r="D836" s="33" t="inlineStr">
        <is>
          <t>PERCENTRANK.EXC!E30</t>
        </is>
      </c>
      <c r="E836" s="22" t="inlineStr">
        <is>
          <t>'=PERCENTRANK.EXC(C29:C32, C30)</t>
        </is>
      </c>
      <c r="F836" s="34">
        <f>PERCENTRANK.EXC('PERCENTRANK.EXC'!C29:C32, 'PERCENTRANK.EXC'!C30)</f>
        <v/>
      </c>
      <c r="G836" s="19" t="inlineStr">
        <is>
          <t>Hitung peringkat persentase dari nilai di sel C30 terhadap rentang C29:C32 menggunakan fungsi PERCENTRANK.EXC!</t>
        </is>
      </c>
    </row>
    <row r="837">
      <c r="A837" s="5" t="n">
        <v>833</v>
      </c>
      <c r="B837" s="8" t="inlineStr">
        <is>
          <t>PERCENTRANK.EXC</t>
        </is>
      </c>
      <c r="C837" s="6" t="inlineStr">
        <is>
          <t>Soal Tes #3</t>
        </is>
      </c>
      <c r="D837" s="33" t="inlineStr">
        <is>
          <t>PERCENTRANK.EXC!E38</t>
        </is>
      </c>
      <c r="E837" s="22" t="inlineStr">
        <is>
          <t>'=PERCENTRANK.EXC(C37:C40, C38)</t>
        </is>
      </c>
      <c r="F837" s="34">
        <f>PERCENTRANK.EXC('PERCENTRANK.EXC'!C37:C40, 'PERCENTRANK.EXC'!C38)</f>
        <v/>
      </c>
      <c r="G837" s="19" t="inlineStr">
        <is>
          <t>Hitung peringkat persentase dari nilai di sel C38 terhadap rentang C37:C40 menggunakan fungsi PERCENTRANK.EXC!</t>
        </is>
      </c>
    </row>
    <row r="838">
      <c r="A838" s="5" t="n">
        <v>834</v>
      </c>
      <c r="B838" s="8" t="inlineStr">
        <is>
          <t>PERCENTRANK.EXC</t>
        </is>
      </c>
      <c r="C838" s="6" t="inlineStr">
        <is>
          <t>Soal Tes #4</t>
        </is>
      </c>
      <c r="D838" s="33" t="inlineStr">
        <is>
          <t>PERCENTRANK.EXC!E46</t>
        </is>
      </c>
      <c r="E838" s="22" t="inlineStr">
        <is>
          <t>'=PERCENTRANK.EXC(C45:C48, C46)</t>
        </is>
      </c>
      <c r="F838" s="34">
        <f>PERCENTRANK.EXC('PERCENTRANK.EXC'!C45:C48, 'PERCENTRANK.EXC'!C46)</f>
        <v/>
      </c>
      <c r="G838" s="19" t="inlineStr">
        <is>
          <t>Hitung peringkat persentase dari nilai di sel C46 terhadap rentang C45:C48 menggunakan fungsi PERCENTRANK.EXC!</t>
        </is>
      </c>
    </row>
    <row r="839">
      <c r="A839" s="5" t="n">
        <v>835</v>
      </c>
      <c r="B839" s="8" t="inlineStr">
        <is>
          <t>PERCENTRANK.EXC</t>
        </is>
      </c>
      <c r="C839" s="6" t="inlineStr">
        <is>
          <t>Soal Tes #5</t>
        </is>
      </c>
      <c r="D839" s="33" t="inlineStr">
        <is>
          <t>PERCENTRANK.EXC!E54</t>
        </is>
      </c>
      <c r="E839" s="22" t="inlineStr">
        <is>
          <t>'=PERCENTRANK.EXC(C53:C56, C54)</t>
        </is>
      </c>
      <c r="F839" s="34">
        <f>PERCENTRANK.EXC('PERCENTRANK.EXC'!C53:C56, 'PERCENTRANK.EXC'!C54)</f>
        <v/>
      </c>
      <c r="G839" s="19" t="inlineStr">
        <is>
          <t>Hitung peringkat persentase dari nilai di sel C54 terhadap rentang C53:C56 menggunakan fungsi PERCENTRANK.EXC!</t>
        </is>
      </c>
    </row>
    <row r="840">
      <c r="A840" s="5" t="n">
        <v>836</v>
      </c>
      <c r="B840" s="8" t="inlineStr">
        <is>
          <t>PERCENTRANK.INC</t>
        </is>
      </c>
      <c r="C840" s="6" t="inlineStr">
        <is>
          <t>Soal Tes #1</t>
        </is>
      </c>
      <c r="D840" s="33" t="inlineStr">
        <is>
          <t>PERCENTRANK.INC!E22</t>
        </is>
      </c>
      <c r="E840" s="22" t="inlineStr">
        <is>
          <t>'=PERCENTRANK.INC(C21:C24, C22)</t>
        </is>
      </c>
      <c r="F840" s="34">
        <f>PERCENTRANK.INC('PERCENTRANK.INC'!C21:C24, 'PERCENTRANK.INC'!C22)</f>
        <v/>
      </c>
      <c r="G840" s="19" t="inlineStr">
        <is>
          <t>Hitung peringkat persentase dari nilai di sel C22 terhadap rentang C21:C24 menggunakan fungsi PERCENTRANK.INC!</t>
        </is>
      </c>
    </row>
    <row r="841">
      <c r="A841" s="5" t="n">
        <v>837</v>
      </c>
      <c r="B841" s="8" t="inlineStr">
        <is>
          <t>PERCENTRANK.INC</t>
        </is>
      </c>
      <c r="C841" s="6" t="inlineStr">
        <is>
          <t>Soal Tes #2</t>
        </is>
      </c>
      <c r="D841" s="33" t="inlineStr">
        <is>
          <t>PERCENTRANK.INC!E30</t>
        </is>
      </c>
      <c r="E841" s="22" t="inlineStr">
        <is>
          <t>'=PERCENTRANK.INC(C29:C32, C30)</t>
        </is>
      </c>
      <c r="F841" s="34">
        <f>PERCENTRANK.INC('PERCENTRANK.INC'!C29:C32, 'PERCENTRANK.INC'!C30)</f>
        <v/>
      </c>
      <c r="G841" s="19" t="inlineStr">
        <is>
          <t>Hitung peringkat persentase dari nilai di sel C30 terhadap rentang C29:C32 menggunakan fungsi PERCENTRANK.INC!</t>
        </is>
      </c>
    </row>
    <row r="842">
      <c r="A842" s="5" t="n">
        <v>838</v>
      </c>
      <c r="B842" s="8" t="inlineStr">
        <is>
          <t>PERCENTRANK.INC</t>
        </is>
      </c>
      <c r="C842" s="6" t="inlineStr">
        <is>
          <t>Soal Tes #3</t>
        </is>
      </c>
      <c r="D842" s="33" t="inlineStr">
        <is>
          <t>PERCENTRANK.INC!E38</t>
        </is>
      </c>
      <c r="E842" s="22" t="inlineStr">
        <is>
          <t>'=PERCENTRANK.INC(C37:C40, C38)</t>
        </is>
      </c>
      <c r="F842" s="34">
        <f>PERCENTRANK.INC('PERCENTRANK.INC'!C37:C40, 'PERCENTRANK.INC'!C38)</f>
        <v/>
      </c>
      <c r="G842" s="19" t="inlineStr">
        <is>
          <t>Hitung peringkat persentase dari nilai di sel C38 terhadap rentang C37:C40 menggunakan fungsi PERCENTRANK.INC!</t>
        </is>
      </c>
    </row>
    <row r="843">
      <c r="A843" s="5" t="n">
        <v>839</v>
      </c>
      <c r="B843" s="8" t="inlineStr">
        <is>
          <t>PERCENTRANK.INC</t>
        </is>
      </c>
      <c r="C843" s="6" t="inlineStr">
        <is>
          <t>Soal Tes #4</t>
        </is>
      </c>
      <c r="D843" s="33" t="inlineStr">
        <is>
          <t>PERCENTRANK.INC!E46</t>
        </is>
      </c>
      <c r="E843" s="22" t="inlineStr">
        <is>
          <t>'=PERCENTRANK.INC(C45:C48, C46)</t>
        </is>
      </c>
      <c r="F843" s="34">
        <f>PERCENTRANK.INC('PERCENTRANK.INC'!C45:C48, 'PERCENTRANK.INC'!C46)</f>
        <v/>
      </c>
      <c r="G843" s="19" t="inlineStr">
        <is>
          <t>Hitung peringkat persentase dari nilai di sel C46 terhadap rentang C45:C48 menggunakan fungsi PERCENTRANK.INC!</t>
        </is>
      </c>
    </row>
    <row r="844">
      <c r="A844" s="5" t="n">
        <v>840</v>
      </c>
      <c r="B844" s="8" t="inlineStr">
        <is>
          <t>PERCENTRANK.INC</t>
        </is>
      </c>
      <c r="C844" s="6" t="inlineStr">
        <is>
          <t>Soal Tes #5</t>
        </is>
      </c>
      <c r="D844" s="33" t="inlineStr">
        <is>
          <t>PERCENTRANK.INC!E54</t>
        </is>
      </c>
      <c r="E844" s="22" t="inlineStr">
        <is>
          <t>'=PERCENTRANK.INC(C53:C56, C54)</t>
        </is>
      </c>
      <c r="F844" s="34">
        <f>PERCENTRANK.INC('PERCENTRANK.INC'!C53:C56, 'PERCENTRANK.INC'!C54)</f>
        <v/>
      </c>
      <c r="G844" s="19" t="inlineStr">
        <is>
          <t>Hitung peringkat persentase dari nilai di sel C54 terhadap rentang C53:C56 menggunakan fungsi PERCENTRANK.INC!</t>
        </is>
      </c>
    </row>
    <row r="845">
      <c r="A845" s="5" t="n">
        <v>841</v>
      </c>
      <c r="B845" s="8" t="inlineStr">
        <is>
          <t>PERMUT</t>
        </is>
      </c>
      <c r="C845" s="6" t="inlineStr">
        <is>
          <t>Soal Tes #1</t>
        </is>
      </c>
      <c r="D845" s="33" t="inlineStr">
        <is>
          <t>PERMUT!E22</t>
        </is>
      </c>
      <c r="E845" s="22" t="inlineStr">
        <is>
          <t>'=PERMUT(B21, C21)</t>
        </is>
      </c>
      <c r="F845" s="34">
        <f>PERMUT('PERMUT'!B21, 'PERMUT'!C21)</f>
        <v/>
      </c>
      <c r="G845" s="19" t="inlineStr">
        <is>
          <t>Hitung jumlah permutasi untuk total objek di B21 (8) yang diambil sebanyak C21 (2) menggunakan fungsi PERMUT!</t>
        </is>
      </c>
    </row>
    <row r="846">
      <c r="A846" s="5" t="n">
        <v>842</v>
      </c>
      <c r="B846" s="8" t="inlineStr">
        <is>
          <t>PERMUT</t>
        </is>
      </c>
      <c r="C846" s="6" t="inlineStr">
        <is>
          <t>Soal Tes #2</t>
        </is>
      </c>
      <c r="D846" s="33" t="inlineStr">
        <is>
          <t>PERMUT!E30</t>
        </is>
      </c>
      <c r="E846" s="22" t="inlineStr">
        <is>
          <t>'=PERMUT(B29, C29)</t>
        </is>
      </c>
      <c r="F846" s="34">
        <f>PERMUT('PERMUT'!B29, 'PERMUT'!C29)</f>
        <v/>
      </c>
      <c r="G846" s="19" t="inlineStr">
        <is>
          <t>Hitung jumlah permutasi untuk total objek di B29 (9) yang diambil sebanyak C29 (3) menggunakan fungsi PERMUT!</t>
        </is>
      </c>
    </row>
    <row r="847">
      <c r="A847" s="5" t="n">
        <v>843</v>
      </c>
      <c r="B847" s="8" t="inlineStr">
        <is>
          <t>PERMUT</t>
        </is>
      </c>
      <c r="C847" s="6" t="inlineStr">
        <is>
          <t>Soal Tes #3</t>
        </is>
      </c>
      <c r="D847" s="33" t="inlineStr">
        <is>
          <t>PERMUT!E38</t>
        </is>
      </c>
      <c r="E847" s="22" t="inlineStr">
        <is>
          <t>'=PERMUT(B37, C37)</t>
        </is>
      </c>
      <c r="F847" s="34">
        <f>PERMUT('PERMUT'!B37, 'PERMUT'!C37)</f>
        <v/>
      </c>
      <c r="G847" s="19" t="inlineStr">
        <is>
          <t>Hitung jumlah permutasi untuk total objek di B37 (10) yang diambil sebanyak C37 (2) menggunakan fungsi PERMUT!</t>
        </is>
      </c>
    </row>
    <row r="848">
      <c r="A848" s="5" t="n">
        <v>844</v>
      </c>
      <c r="B848" s="8" t="inlineStr">
        <is>
          <t>PERMUT</t>
        </is>
      </c>
      <c r="C848" s="6" t="inlineStr">
        <is>
          <t>Soal Tes #4</t>
        </is>
      </c>
      <c r="D848" s="33" t="inlineStr">
        <is>
          <t>PERMUT!E46</t>
        </is>
      </c>
      <c r="E848" s="22" t="inlineStr">
        <is>
          <t>'=PERMUT(B45, C45)</t>
        </is>
      </c>
      <c r="F848" s="34">
        <f>PERMUT('PERMUT'!B45, 'PERMUT'!C45)</f>
        <v/>
      </c>
      <c r="G848" s="19" t="inlineStr">
        <is>
          <t>Hitung jumlah permutasi untuk total objek di B45 (11) yang diambil sebanyak C45 (3) menggunakan fungsi PERMUT!</t>
        </is>
      </c>
    </row>
    <row r="849">
      <c r="A849" s="5" t="n">
        <v>845</v>
      </c>
      <c r="B849" s="8" t="inlineStr">
        <is>
          <t>PERMUT</t>
        </is>
      </c>
      <c r="C849" s="6" t="inlineStr">
        <is>
          <t>Soal Tes #5</t>
        </is>
      </c>
      <c r="D849" s="33" t="inlineStr">
        <is>
          <t>PERMUT!E54</t>
        </is>
      </c>
      <c r="E849" s="22" t="inlineStr">
        <is>
          <t>'=PERMUT(B53, C53)</t>
        </is>
      </c>
      <c r="F849" s="34">
        <f>PERMUT('PERMUT'!B53, 'PERMUT'!C53)</f>
        <v/>
      </c>
      <c r="G849" s="19" t="inlineStr">
        <is>
          <t>Hitung jumlah permutasi untuk total objek di B53 (12) yang diambil sebanyak C53 (2) menggunakan fungsi PERMUT!</t>
        </is>
      </c>
    </row>
    <row r="850">
      <c r="A850" s="5" t="n">
        <v>846</v>
      </c>
      <c r="B850" s="8" t="inlineStr">
        <is>
          <t>POISSON</t>
        </is>
      </c>
      <c r="C850" s="6" t="inlineStr">
        <is>
          <t>Soal Tes #1</t>
        </is>
      </c>
      <c r="D850" s="33" t="inlineStr">
        <is>
          <t>POISSON!E22</t>
        </is>
      </c>
      <c r="E850" s="22" t="inlineStr">
        <is>
          <t>'=POISSON(C21, C22, TRUE)</t>
        </is>
      </c>
      <c r="F850" s="34">
        <f>POISSON('POISSON'!C21, 'POISSON'!C22, TRUE)</f>
        <v/>
      </c>
      <c r="G850" s="19" t="inlineStr">
        <is>
          <t>Hitung nilai distribusi kumulatif (TRUE) menggunakan fungsi POISSON dengan argumen C21, C22, dan TRUE!</t>
        </is>
      </c>
    </row>
    <row r="851">
      <c r="A851" s="5" t="n">
        <v>847</v>
      </c>
      <c r="B851" s="8" t="inlineStr">
        <is>
          <t>POISSON</t>
        </is>
      </c>
      <c r="C851" s="6" t="inlineStr">
        <is>
          <t>Soal Tes #2</t>
        </is>
      </c>
      <c r="D851" s="33" t="inlineStr">
        <is>
          <t>POISSON!E30</t>
        </is>
      </c>
      <c r="E851" s="22" t="inlineStr">
        <is>
          <t>'=POISSON(C29, C30, TRUE)</t>
        </is>
      </c>
      <c r="F851" s="34">
        <f>POISSON('POISSON'!C29, 'POISSON'!C30, TRUE)</f>
        <v/>
      </c>
      <c r="G851" s="19" t="inlineStr">
        <is>
          <t>Hitung nilai distribusi kumulatif (TRUE) menggunakan fungsi POISSON dengan argumen C29, C30, dan TRUE!</t>
        </is>
      </c>
    </row>
    <row r="852">
      <c r="A852" s="5" t="n">
        <v>848</v>
      </c>
      <c r="B852" s="8" t="inlineStr">
        <is>
          <t>POISSON</t>
        </is>
      </c>
      <c r="C852" s="6" t="inlineStr">
        <is>
          <t>Soal Tes #3</t>
        </is>
      </c>
      <c r="D852" s="33" t="inlineStr">
        <is>
          <t>POISSON!E38</t>
        </is>
      </c>
      <c r="E852" s="22" t="inlineStr">
        <is>
          <t>'=POISSON(C37, C38, TRUE)</t>
        </is>
      </c>
      <c r="F852" s="34">
        <f>POISSON('POISSON'!C37, 'POISSON'!C38, TRUE)</f>
        <v/>
      </c>
      <c r="G852" s="19" t="inlineStr">
        <is>
          <t>Hitung nilai distribusi kumulatif (TRUE) menggunakan fungsi POISSON dengan argumen C37, C38, dan TRUE!</t>
        </is>
      </c>
    </row>
    <row r="853">
      <c r="A853" s="5" t="n">
        <v>849</v>
      </c>
      <c r="B853" s="8" t="inlineStr">
        <is>
          <t>POISSON</t>
        </is>
      </c>
      <c r="C853" s="6" t="inlineStr">
        <is>
          <t>Soal Tes #4</t>
        </is>
      </c>
      <c r="D853" s="33" t="inlineStr">
        <is>
          <t>POISSON!E46</t>
        </is>
      </c>
      <c r="E853" s="22" t="inlineStr">
        <is>
          <t>'=POISSON(C45, C46, TRUE)</t>
        </is>
      </c>
      <c r="F853" s="34">
        <f>POISSON('POISSON'!C45, 'POISSON'!C46, TRUE)</f>
        <v/>
      </c>
      <c r="G853" s="19" t="inlineStr">
        <is>
          <t>Hitung nilai distribusi kumulatif (TRUE) menggunakan fungsi POISSON dengan argumen C45, C46, dan TRUE!</t>
        </is>
      </c>
    </row>
    <row r="854">
      <c r="A854" s="5" t="n">
        <v>850</v>
      </c>
      <c r="B854" s="8" t="inlineStr">
        <is>
          <t>POISSON</t>
        </is>
      </c>
      <c r="C854" s="6" t="inlineStr">
        <is>
          <t>Soal Tes #5</t>
        </is>
      </c>
      <c r="D854" s="33" t="inlineStr">
        <is>
          <t>POISSON!E54</t>
        </is>
      </c>
      <c r="E854" s="22" t="inlineStr">
        <is>
          <t>'=POISSON(C53, C54, TRUE)</t>
        </is>
      </c>
      <c r="F854" s="34">
        <f>POISSON('POISSON'!C53, 'POISSON'!C54, TRUE)</f>
        <v/>
      </c>
      <c r="G854" s="19" t="inlineStr">
        <is>
          <t>Hitung nilai distribusi kumulatif (TRUE) menggunakan fungsi POISSON dengan argumen C53, C54, dan TRUE!</t>
        </is>
      </c>
    </row>
    <row r="855">
      <c r="A855" s="5" t="n">
        <v>851</v>
      </c>
      <c r="B855" s="8" t="inlineStr">
        <is>
          <t>PROB</t>
        </is>
      </c>
      <c r="C855" s="6" t="inlineStr">
        <is>
          <t>Soal Tes #1</t>
        </is>
      </c>
      <c r="D855" s="33" t="inlineStr">
        <is>
          <t>PROB!E22</t>
        </is>
      </c>
      <c r="E855" s="22" t="inlineStr">
        <is>
          <t>'=PROB(B21:B24, C21:C24, 2)</t>
        </is>
      </c>
      <c r="F855" s="34">
        <f>PROB('PROB'!B21:B24, 'PROB'!C21:C24, 2)</f>
        <v/>
      </c>
      <c r="G855" s="19" t="inlineStr">
        <is>
          <t>Hitung peluang terjadinya nilai 2 berdasarkan daftar kejadian di B21:B24 dan daftar peluang di C21:C24 menggunakan fungsi PROB!</t>
        </is>
      </c>
    </row>
    <row r="856">
      <c r="A856" s="5" t="n">
        <v>852</v>
      </c>
      <c r="B856" s="8" t="inlineStr">
        <is>
          <t>PROB</t>
        </is>
      </c>
      <c r="C856" s="6" t="inlineStr">
        <is>
          <t>Soal Tes #2</t>
        </is>
      </c>
      <c r="D856" s="33" t="inlineStr">
        <is>
          <t>PROB!E30</t>
        </is>
      </c>
      <c r="E856" s="22" t="inlineStr">
        <is>
          <t>'=PROB(B29:B32, C29:C32, 2)</t>
        </is>
      </c>
      <c r="F856" s="34">
        <f>PROB('PROB'!B29:B32, 'PROB'!C29:C32, 2)</f>
        <v/>
      </c>
      <c r="G856" s="19" t="inlineStr">
        <is>
          <t>Hitung peluang terjadinya nilai 2 berdasarkan daftar kejadian di B29:B32 dan daftar peluang di C29:C32 menggunakan fungsi PROB!</t>
        </is>
      </c>
    </row>
    <row r="857">
      <c r="A857" s="5" t="n">
        <v>853</v>
      </c>
      <c r="B857" s="8" t="inlineStr">
        <is>
          <t>PROB</t>
        </is>
      </c>
      <c r="C857" s="6" t="inlineStr">
        <is>
          <t>Soal Tes #3</t>
        </is>
      </c>
      <c r="D857" s="33" t="inlineStr">
        <is>
          <t>PROB!E38</t>
        </is>
      </c>
      <c r="E857" s="22" t="inlineStr">
        <is>
          <t>'=PROB(B37:B40, C37:C40, 2)</t>
        </is>
      </c>
      <c r="F857" s="34">
        <f>PROB('PROB'!B37:B40, 'PROB'!C37:C40, 2)</f>
        <v/>
      </c>
      <c r="G857" s="19" t="inlineStr">
        <is>
          <t>Hitung peluang terjadinya nilai 2 berdasarkan daftar kejadian di B37:B40 dan daftar peluang di C37:C40 menggunakan fungsi PROB!</t>
        </is>
      </c>
    </row>
    <row r="858">
      <c r="A858" s="5" t="n">
        <v>854</v>
      </c>
      <c r="B858" s="8" t="inlineStr">
        <is>
          <t>PROB</t>
        </is>
      </c>
      <c r="C858" s="6" t="inlineStr">
        <is>
          <t>Soal Tes #4</t>
        </is>
      </c>
      <c r="D858" s="33" t="inlineStr">
        <is>
          <t>PROB!E46</t>
        </is>
      </c>
      <c r="E858" s="22" t="inlineStr">
        <is>
          <t>'=PROB(B45:B48, C45:C48, 2)</t>
        </is>
      </c>
      <c r="F858" s="34">
        <f>PROB('PROB'!B45:B48, 'PROB'!C45:C48, 2)</f>
        <v/>
      </c>
      <c r="G858" s="19" t="inlineStr">
        <is>
          <t>Hitung peluang terjadinya nilai 2 berdasarkan daftar kejadian di B45:B48 dan daftar peluang di C45:C48 menggunakan fungsi PROB!</t>
        </is>
      </c>
    </row>
    <row r="859">
      <c r="A859" s="5" t="n">
        <v>855</v>
      </c>
      <c r="B859" s="8" t="inlineStr">
        <is>
          <t>PROB</t>
        </is>
      </c>
      <c r="C859" s="6" t="inlineStr">
        <is>
          <t>Soal Tes #5</t>
        </is>
      </c>
      <c r="D859" s="33" t="inlineStr">
        <is>
          <t>PROB!E54</t>
        </is>
      </c>
      <c r="E859" s="22" t="inlineStr">
        <is>
          <t>'=PROB(B53:B56, C53:C56, 2)</t>
        </is>
      </c>
      <c r="F859" s="34">
        <f>PROB('PROB'!B53:B56, 'PROB'!C53:C56, 2)</f>
        <v/>
      </c>
      <c r="G859" s="19" t="inlineStr">
        <is>
          <t>Hitung peluang terjadinya nilai 2 berdasarkan daftar kejadian di B53:B56 dan daftar peluang di C53:C56 menggunakan fungsi PROB!</t>
        </is>
      </c>
    </row>
    <row r="860">
      <c r="A860" s="5" t="n">
        <v>856</v>
      </c>
      <c r="B860" s="8" t="inlineStr">
        <is>
          <t>QUARTILE.EXC</t>
        </is>
      </c>
      <c r="C860" s="6" t="inlineStr">
        <is>
          <t>Soal Tes #1</t>
        </is>
      </c>
      <c r="D860" s="33" t="inlineStr">
        <is>
          <t>QUARTILE.EXC!E22</t>
        </is>
      </c>
      <c r="E860" s="22" t="inlineStr">
        <is>
          <t>'=QUARTILE.EXC(C21:C24, 1)</t>
        </is>
      </c>
      <c r="F860" s="34">
        <f>QUARTILE.EXC('QUARTILE.EXC'!C21:C24, 1)</f>
        <v/>
      </c>
      <c r="G860" s="19" t="inlineStr">
        <is>
          <t>Hitung nilai Kuartil ke-1 dari rentang data C21:C24 menggunakan fungsi QUARTILE.EXC!</t>
        </is>
      </c>
    </row>
    <row r="861">
      <c r="A861" s="5" t="n">
        <v>857</v>
      </c>
      <c r="B861" s="8" t="inlineStr">
        <is>
          <t>QUARTILE.EXC</t>
        </is>
      </c>
      <c r="C861" s="6" t="inlineStr">
        <is>
          <t>Soal Tes #2</t>
        </is>
      </c>
      <c r="D861" s="33" t="inlineStr">
        <is>
          <t>QUARTILE.EXC!E30</t>
        </is>
      </c>
      <c r="E861" s="22" t="inlineStr">
        <is>
          <t>'=QUARTILE.EXC(C29:C32, 1)</t>
        </is>
      </c>
      <c r="F861" s="34">
        <f>QUARTILE.EXC('QUARTILE.EXC'!C29:C32, 1)</f>
        <v/>
      </c>
      <c r="G861" s="19" t="inlineStr">
        <is>
          <t>Hitung nilai Kuartil ke-1 dari rentang data C29:C32 menggunakan fungsi QUARTILE.EXC!</t>
        </is>
      </c>
    </row>
    <row r="862">
      <c r="A862" s="5" t="n">
        <v>858</v>
      </c>
      <c r="B862" s="8" t="inlineStr">
        <is>
          <t>QUARTILE.EXC</t>
        </is>
      </c>
      <c r="C862" s="6" t="inlineStr">
        <is>
          <t>Soal Tes #3</t>
        </is>
      </c>
      <c r="D862" s="33" t="inlineStr">
        <is>
          <t>QUARTILE.EXC!E38</t>
        </is>
      </c>
      <c r="E862" s="22" t="inlineStr">
        <is>
          <t>'=QUARTILE.EXC(C37:C40, 1)</t>
        </is>
      </c>
      <c r="F862" s="34">
        <f>QUARTILE.EXC('QUARTILE.EXC'!C37:C40, 1)</f>
        <v/>
      </c>
      <c r="G862" s="19" t="inlineStr">
        <is>
          <t>Hitung nilai Kuartil ke-1 dari rentang data C37:C40 menggunakan fungsi QUARTILE.EXC!</t>
        </is>
      </c>
    </row>
    <row r="863">
      <c r="A863" s="5" t="n">
        <v>859</v>
      </c>
      <c r="B863" s="8" t="inlineStr">
        <is>
          <t>QUARTILE.EXC</t>
        </is>
      </c>
      <c r="C863" s="6" t="inlineStr">
        <is>
          <t>Soal Tes #4</t>
        </is>
      </c>
      <c r="D863" s="33" t="inlineStr">
        <is>
          <t>QUARTILE.EXC!E46</t>
        </is>
      </c>
      <c r="E863" s="22" t="inlineStr">
        <is>
          <t>'=QUARTILE.EXC(C45:C48, 1)</t>
        </is>
      </c>
      <c r="F863" s="34">
        <f>QUARTILE.EXC('QUARTILE.EXC'!C45:C48, 1)</f>
        <v/>
      </c>
      <c r="G863" s="19" t="inlineStr">
        <is>
          <t>Hitung nilai Kuartil ke-1 dari rentang data C45:C48 menggunakan fungsi QUARTILE.EXC!</t>
        </is>
      </c>
    </row>
    <row r="864">
      <c r="A864" s="5" t="n">
        <v>860</v>
      </c>
      <c r="B864" s="8" t="inlineStr">
        <is>
          <t>QUARTILE.EXC</t>
        </is>
      </c>
      <c r="C864" s="6" t="inlineStr">
        <is>
          <t>Soal Tes #5</t>
        </is>
      </c>
      <c r="D864" s="33" t="inlineStr">
        <is>
          <t>QUARTILE.EXC!E54</t>
        </is>
      </c>
      <c r="E864" s="22" t="inlineStr">
        <is>
          <t>'=QUARTILE.EXC(C53:C56, 1)</t>
        </is>
      </c>
      <c r="F864" s="34">
        <f>QUARTILE.EXC('QUARTILE.EXC'!C53:C56, 1)</f>
        <v/>
      </c>
      <c r="G864" s="19" t="inlineStr">
        <is>
          <t>Hitung nilai Kuartil ke-1 dari rentang data C53:C56 menggunakan fungsi QUARTILE.EXC!</t>
        </is>
      </c>
    </row>
    <row r="865">
      <c r="A865" s="5" t="n">
        <v>861</v>
      </c>
      <c r="B865" s="8" t="inlineStr">
        <is>
          <t>QUARTILE.INC</t>
        </is>
      </c>
      <c r="C865" s="6" t="inlineStr">
        <is>
          <t>Soal Tes #1</t>
        </is>
      </c>
      <c r="D865" s="33" t="inlineStr">
        <is>
          <t>QUARTILE.INC!E22</t>
        </is>
      </c>
      <c r="E865" s="22" t="inlineStr">
        <is>
          <t>'=QUARTILE.INC(C21:C24, 1)</t>
        </is>
      </c>
      <c r="F865" s="34">
        <f>QUARTILE.INC('QUARTILE.INC'!C21:C24, 1)</f>
        <v/>
      </c>
      <c r="G865" s="19" t="inlineStr">
        <is>
          <t>Hitung nilai Kuartil ke-1 dari rentang data C21:C24 menggunakan fungsi QUARTILE.INC!</t>
        </is>
      </c>
    </row>
    <row r="866">
      <c r="A866" s="5" t="n">
        <v>862</v>
      </c>
      <c r="B866" s="8" t="inlineStr">
        <is>
          <t>QUARTILE.INC</t>
        </is>
      </c>
      <c r="C866" s="6" t="inlineStr">
        <is>
          <t>Soal Tes #2</t>
        </is>
      </c>
      <c r="D866" s="33" t="inlineStr">
        <is>
          <t>QUARTILE.INC!E30</t>
        </is>
      </c>
      <c r="E866" s="22" t="inlineStr">
        <is>
          <t>'=QUARTILE.INC(C29:C32, 1)</t>
        </is>
      </c>
      <c r="F866" s="34">
        <f>QUARTILE.INC('QUARTILE.INC'!C29:C32, 1)</f>
        <v/>
      </c>
      <c r="G866" s="19" t="inlineStr">
        <is>
          <t>Hitung nilai Kuartil ke-1 dari rentang data C29:C32 menggunakan fungsi QUARTILE.INC!</t>
        </is>
      </c>
    </row>
    <row r="867">
      <c r="A867" s="5" t="n">
        <v>863</v>
      </c>
      <c r="B867" s="8" t="inlineStr">
        <is>
          <t>QUARTILE.INC</t>
        </is>
      </c>
      <c r="C867" s="6" t="inlineStr">
        <is>
          <t>Soal Tes #3</t>
        </is>
      </c>
      <c r="D867" s="33" t="inlineStr">
        <is>
          <t>QUARTILE.INC!E38</t>
        </is>
      </c>
      <c r="E867" s="22" t="inlineStr">
        <is>
          <t>'=QUARTILE.INC(C37:C40, 1)</t>
        </is>
      </c>
      <c r="F867" s="34">
        <f>QUARTILE.INC('QUARTILE.INC'!C37:C40, 1)</f>
        <v/>
      </c>
      <c r="G867" s="19" t="inlineStr">
        <is>
          <t>Hitung nilai Kuartil ke-1 dari rentang data C37:C40 menggunakan fungsi QUARTILE.INC!</t>
        </is>
      </c>
    </row>
    <row r="868">
      <c r="A868" s="5" t="n">
        <v>864</v>
      </c>
      <c r="B868" s="8" t="inlineStr">
        <is>
          <t>QUARTILE.INC</t>
        </is>
      </c>
      <c r="C868" s="6" t="inlineStr">
        <is>
          <t>Soal Tes #4</t>
        </is>
      </c>
      <c r="D868" s="33" t="inlineStr">
        <is>
          <t>QUARTILE.INC!E46</t>
        </is>
      </c>
      <c r="E868" s="22" t="inlineStr">
        <is>
          <t>'=QUARTILE.INC(C45:C48, 1)</t>
        </is>
      </c>
      <c r="F868" s="34">
        <f>QUARTILE.INC('QUARTILE.INC'!C45:C48, 1)</f>
        <v/>
      </c>
      <c r="G868" s="19" t="inlineStr">
        <is>
          <t>Hitung nilai Kuartil ke-1 dari rentang data C45:C48 menggunakan fungsi QUARTILE.INC!</t>
        </is>
      </c>
    </row>
    <row r="869">
      <c r="A869" s="5" t="n">
        <v>865</v>
      </c>
      <c r="B869" s="8" t="inlineStr">
        <is>
          <t>QUARTILE.INC</t>
        </is>
      </c>
      <c r="C869" s="6" t="inlineStr">
        <is>
          <t>Soal Tes #5</t>
        </is>
      </c>
      <c r="D869" s="33" t="inlineStr">
        <is>
          <t>QUARTILE.INC!E54</t>
        </is>
      </c>
      <c r="E869" s="22" t="inlineStr">
        <is>
          <t>'=QUARTILE.INC(C53:C56, 1)</t>
        </is>
      </c>
      <c r="F869" s="34">
        <f>QUARTILE.INC('QUARTILE.INC'!C53:C56, 1)</f>
        <v/>
      </c>
      <c r="G869" s="19" t="inlineStr">
        <is>
          <t>Hitung nilai Kuartil ke-1 dari rentang data C53:C56 menggunakan fungsi QUARTILE.INC!</t>
        </is>
      </c>
    </row>
    <row r="870">
      <c r="A870" s="5" t="n">
        <v>866</v>
      </c>
      <c r="B870" s="8" t="inlineStr">
        <is>
          <t>RANK</t>
        </is>
      </c>
      <c r="C870" s="6" t="inlineStr">
        <is>
          <t>Soal Tes #1</t>
        </is>
      </c>
      <c r="D870" s="33" t="inlineStr">
        <is>
          <t>RANK!E22</t>
        </is>
      </c>
      <c r="E870" s="22" t="inlineStr">
        <is>
          <t>'=RANK(C21, C21:C24)</t>
        </is>
      </c>
      <c r="F870" s="34">
        <f>RANK('RANK'!C21, 'RANK'!C21:C24)</f>
        <v/>
      </c>
      <c r="G870" s="19" t="inlineStr">
        <is>
          <t>Tentukan peringkat nilai sel C21 di dalam daftar referensi C21:C24 menggunakan fungsi RANK!</t>
        </is>
      </c>
    </row>
    <row r="871">
      <c r="A871" s="5" t="n">
        <v>867</v>
      </c>
      <c r="B871" s="8" t="inlineStr">
        <is>
          <t>RANK</t>
        </is>
      </c>
      <c r="C871" s="6" t="inlineStr">
        <is>
          <t>Soal Tes #2</t>
        </is>
      </c>
      <c r="D871" s="33" t="inlineStr">
        <is>
          <t>RANK!E30</t>
        </is>
      </c>
      <c r="E871" s="22" t="inlineStr">
        <is>
          <t>'=RANK(C29, C29:C32)</t>
        </is>
      </c>
      <c r="F871" s="34">
        <f>RANK('RANK'!C29, 'RANK'!C29:C32)</f>
        <v/>
      </c>
      <c r="G871" s="19" t="inlineStr">
        <is>
          <t>Tentukan peringkat nilai sel C29 di dalam daftar referensi C29:C32 menggunakan fungsi RANK!</t>
        </is>
      </c>
    </row>
    <row r="872">
      <c r="A872" s="5" t="n">
        <v>868</v>
      </c>
      <c r="B872" s="8" t="inlineStr">
        <is>
          <t>RANK</t>
        </is>
      </c>
      <c r="C872" s="6" t="inlineStr">
        <is>
          <t>Soal Tes #3</t>
        </is>
      </c>
      <c r="D872" s="33" t="inlineStr">
        <is>
          <t>RANK!E38</t>
        </is>
      </c>
      <c r="E872" s="22" t="inlineStr">
        <is>
          <t>'=RANK(C37, C37:C40)</t>
        </is>
      </c>
      <c r="F872" s="34">
        <f>RANK('RANK'!C37, 'RANK'!C37:C40)</f>
        <v/>
      </c>
      <c r="G872" s="19" t="inlineStr">
        <is>
          <t>Tentukan peringkat nilai sel C37 di dalam daftar referensi C37:C40 menggunakan fungsi RANK!</t>
        </is>
      </c>
    </row>
    <row r="873">
      <c r="A873" s="5" t="n">
        <v>869</v>
      </c>
      <c r="B873" s="8" t="inlineStr">
        <is>
          <t>RANK</t>
        </is>
      </c>
      <c r="C873" s="6" t="inlineStr">
        <is>
          <t>Soal Tes #4</t>
        </is>
      </c>
      <c r="D873" s="33" t="inlineStr">
        <is>
          <t>RANK!E46</t>
        </is>
      </c>
      <c r="E873" s="22" t="inlineStr">
        <is>
          <t>'=RANK(C45, C45:C48)</t>
        </is>
      </c>
      <c r="F873" s="34">
        <f>RANK('RANK'!C45, 'RANK'!C45:C48)</f>
        <v/>
      </c>
      <c r="G873" s="19" t="inlineStr">
        <is>
          <t>Tentukan peringkat nilai sel C45 di dalam daftar referensi C45:C48 menggunakan fungsi RANK!</t>
        </is>
      </c>
    </row>
    <row r="874">
      <c r="A874" s="5" t="n">
        <v>870</v>
      </c>
      <c r="B874" s="8" t="inlineStr">
        <is>
          <t>RANK</t>
        </is>
      </c>
      <c r="C874" s="6" t="inlineStr">
        <is>
          <t>Soal Tes #5</t>
        </is>
      </c>
      <c r="D874" s="33" t="inlineStr">
        <is>
          <t>RANK!E54</t>
        </is>
      </c>
      <c r="E874" s="22" t="inlineStr">
        <is>
          <t>'=RANK(C53, C53:C56)</t>
        </is>
      </c>
      <c r="F874" s="34">
        <f>RANK('RANK'!C53, 'RANK'!C53:C56)</f>
        <v/>
      </c>
      <c r="G874" s="19" t="inlineStr">
        <is>
          <t>Tentukan peringkat nilai sel C53 di dalam daftar referensi C53:C56 menggunakan fungsi RANK!</t>
        </is>
      </c>
    </row>
    <row r="875">
      <c r="A875" s="5" t="n">
        <v>871</v>
      </c>
      <c r="B875" s="8" t="inlineStr">
        <is>
          <t>RSQ</t>
        </is>
      </c>
      <c r="C875" s="6" t="inlineStr">
        <is>
          <t>Soal Tes #1</t>
        </is>
      </c>
      <c r="D875" s="33" t="inlineStr">
        <is>
          <t>RSQ!E22</t>
        </is>
      </c>
      <c r="E875" s="22" t="inlineStr">
        <is>
          <t>'=RSQ(C21:C24, B21:B24)</t>
        </is>
      </c>
      <c r="F875" s="34">
        <f>RSQ('RSQ'!C21:C24, 'RSQ'!B21:B24)</f>
        <v/>
      </c>
      <c r="G875" s="19" t="inlineStr">
        <is>
          <t>Analisis regresi linear dengan menempatkan rentang hasil Y (C21:C24) dan rentang variabel X (B21:B24) menggunakan fungsi RSQ!</t>
        </is>
      </c>
    </row>
    <row r="876">
      <c r="A876" s="5" t="n">
        <v>872</v>
      </c>
      <c r="B876" s="8" t="inlineStr">
        <is>
          <t>RSQ</t>
        </is>
      </c>
      <c r="C876" s="6" t="inlineStr">
        <is>
          <t>Soal Tes #2</t>
        </is>
      </c>
      <c r="D876" s="33" t="inlineStr">
        <is>
          <t>RSQ!E30</t>
        </is>
      </c>
      <c r="E876" s="22" t="inlineStr">
        <is>
          <t>'=RSQ(C29:C32, B29:B32)</t>
        </is>
      </c>
      <c r="F876" s="34">
        <f>RSQ('RSQ'!C29:C32, 'RSQ'!B29:B32)</f>
        <v/>
      </c>
      <c r="G876" s="19" t="inlineStr">
        <is>
          <t>Analisis regresi linear dengan menempatkan rentang hasil Y (C29:C32) dan rentang variabel X (B29:B32) menggunakan fungsi RSQ!</t>
        </is>
      </c>
    </row>
    <row r="877">
      <c r="A877" s="5" t="n">
        <v>873</v>
      </c>
      <c r="B877" s="8" t="inlineStr">
        <is>
          <t>RSQ</t>
        </is>
      </c>
      <c r="C877" s="6" t="inlineStr">
        <is>
          <t>Soal Tes #3</t>
        </is>
      </c>
      <c r="D877" s="33" t="inlineStr">
        <is>
          <t>RSQ!E38</t>
        </is>
      </c>
      <c r="E877" s="22" t="inlineStr">
        <is>
          <t>'=RSQ(C37:C40, B37:B40)</t>
        </is>
      </c>
      <c r="F877" s="34">
        <f>RSQ('RSQ'!C37:C40, 'RSQ'!B37:B40)</f>
        <v/>
      </c>
      <c r="G877" s="19" t="inlineStr">
        <is>
          <t>Analisis regresi linear dengan menempatkan rentang hasil Y (C37:C40) dan rentang variabel X (B37:B40) menggunakan fungsi RSQ!</t>
        </is>
      </c>
    </row>
    <row r="878">
      <c r="A878" s="5" t="n">
        <v>874</v>
      </c>
      <c r="B878" s="8" t="inlineStr">
        <is>
          <t>RSQ</t>
        </is>
      </c>
      <c r="C878" s="6" t="inlineStr">
        <is>
          <t>Soal Tes #4</t>
        </is>
      </c>
      <c r="D878" s="33" t="inlineStr">
        <is>
          <t>RSQ!E46</t>
        </is>
      </c>
      <c r="E878" s="22" t="inlineStr">
        <is>
          <t>'=RSQ(C45:C48, B45:B48)</t>
        </is>
      </c>
      <c r="F878" s="34">
        <f>RSQ('RSQ'!C45:C48, 'RSQ'!B45:B48)</f>
        <v/>
      </c>
      <c r="G878" s="19" t="inlineStr">
        <is>
          <t>Analisis regresi linear dengan menempatkan rentang hasil Y (C45:C48) dan rentang variabel X (B45:B48) menggunakan fungsi RSQ!</t>
        </is>
      </c>
    </row>
    <row r="879">
      <c r="A879" s="5" t="n">
        <v>875</v>
      </c>
      <c r="B879" s="8" t="inlineStr">
        <is>
          <t>RSQ</t>
        </is>
      </c>
      <c r="C879" s="6" t="inlineStr">
        <is>
          <t>Soal Tes #5</t>
        </is>
      </c>
      <c r="D879" s="33" t="inlineStr">
        <is>
          <t>RSQ!E54</t>
        </is>
      </c>
      <c r="E879" s="22" t="inlineStr">
        <is>
          <t>'=RSQ(C53:C56, B53:B56)</t>
        </is>
      </c>
      <c r="F879" s="34">
        <f>RSQ('RSQ'!C53:C56, 'RSQ'!B53:B56)</f>
        <v/>
      </c>
      <c r="G879" s="19" t="inlineStr">
        <is>
          <t>Analisis regresi linear dengan menempatkan rentang hasil Y (C53:C56) dan rentang variabel X (B53:B56) menggunakan fungsi RSQ!</t>
        </is>
      </c>
    </row>
    <row r="880">
      <c r="A880" s="5" t="n">
        <v>876</v>
      </c>
      <c r="B880" s="8" t="inlineStr">
        <is>
          <t>SKEW</t>
        </is>
      </c>
      <c r="C880" s="6" t="inlineStr">
        <is>
          <t>Soal Tes #1</t>
        </is>
      </c>
      <c r="D880" s="33" t="inlineStr">
        <is>
          <t>SKEW!E22</t>
        </is>
      </c>
      <c r="E880" s="22" t="inlineStr">
        <is>
          <t>'=SKEW(C21:C24)</t>
        </is>
      </c>
      <c r="F880" s="34">
        <f>SKEW('SKEW'!C21:C24)</f>
        <v/>
      </c>
      <c r="G880" s="19" t="inlineStr">
        <is>
          <t>Hitung hasil pengolahan fungsi SKEW untuk keempat baris data pada rentang C21:C24!</t>
        </is>
      </c>
    </row>
    <row r="881">
      <c r="A881" s="5" t="n">
        <v>877</v>
      </c>
      <c r="B881" s="8" t="inlineStr">
        <is>
          <t>SKEW</t>
        </is>
      </c>
      <c r="C881" s="6" t="inlineStr">
        <is>
          <t>Soal Tes #2</t>
        </is>
      </c>
      <c r="D881" s="33" t="inlineStr">
        <is>
          <t>SKEW!E30</t>
        </is>
      </c>
      <c r="E881" s="22" t="inlineStr">
        <is>
          <t>'=SKEW(C29:C32)</t>
        </is>
      </c>
      <c r="F881" s="34">
        <f>SKEW('SKEW'!C29:C32)</f>
        <v/>
      </c>
      <c r="G881" s="19" t="inlineStr">
        <is>
          <t>Hitung hasil pengolahan fungsi SKEW untuk keempat baris data pada rentang C29:C32!</t>
        </is>
      </c>
    </row>
    <row r="882">
      <c r="A882" s="5" t="n">
        <v>878</v>
      </c>
      <c r="B882" s="8" t="inlineStr">
        <is>
          <t>SKEW</t>
        </is>
      </c>
      <c r="C882" s="6" t="inlineStr">
        <is>
          <t>Soal Tes #3</t>
        </is>
      </c>
      <c r="D882" s="33" t="inlineStr">
        <is>
          <t>SKEW!E38</t>
        </is>
      </c>
      <c r="E882" s="22" t="inlineStr">
        <is>
          <t>'=SKEW(C37:C40)</t>
        </is>
      </c>
      <c r="F882" s="34">
        <f>SKEW('SKEW'!C37:C40)</f>
        <v/>
      </c>
      <c r="G882" s="19" t="inlineStr">
        <is>
          <t>Hitung hasil pengolahan fungsi SKEW untuk keempat baris data pada rentang C37:C40!</t>
        </is>
      </c>
    </row>
    <row r="883">
      <c r="A883" s="5" t="n">
        <v>879</v>
      </c>
      <c r="B883" s="8" t="inlineStr">
        <is>
          <t>SKEW</t>
        </is>
      </c>
      <c r="C883" s="6" t="inlineStr">
        <is>
          <t>Soal Tes #4</t>
        </is>
      </c>
      <c r="D883" s="33" t="inlineStr">
        <is>
          <t>SKEW!E46</t>
        </is>
      </c>
      <c r="E883" s="22" t="inlineStr">
        <is>
          <t>'=SKEW(C45:C48)</t>
        </is>
      </c>
      <c r="F883" s="34">
        <f>SKEW('SKEW'!C45:C48)</f>
        <v/>
      </c>
      <c r="G883" s="19" t="inlineStr">
        <is>
          <t>Hitung hasil pengolahan fungsi SKEW untuk keempat baris data pada rentang C45:C48!</t>
        </is>
      </c>
    </row>
    <row r="884">
      <c r="A884" s="5" t="n">
        <v>880</v>
      </c>
      <c r="B884" s="8" t="inlineStr">
        <is>
          <t>SKEW</t>
        </is>
      </c>
      <c r="C884" s="6" t="inlineStr">
        <is>
          <t>Soal Tes #5</t>
        </is>
      </c>
      <c r="D884" s="33" t="inlineStr">
        <is>
          <t>SKEW!E54</t>
        </is>
      </c>
      <c r="E884" s="22" t="inlineStr">
        <is>
          <t>'=SKEW(C53:C56)</t>
        </is>
      </c>
      <c r="F884" s="34">
        <f>SKEW('SKEW'!C53:C56)</f>
        <v/>
      </c>
      <c r="G884" s="19" t="inlineStr">
        <is>
          <t>Hitung hasil pengolahan fungsi SKEW untuk keempat baris data pada rentang C53:C56!</t>
        </is>
      </c>
    </row>
    <row r="885">
      <c r="A885" s="5" t="n">
        <v>881</v>
      </c>
      <c r="B885" s="8" t="inlineStr">
        <is>
          <t>SLOPE</t>
        </is>
      </c>
      <c r="C885" s="6" t="inlineStr">
        <is>
          <t>Soal Tes #1</t>
        </is>
      </c>
      <c r="D885" s="33" t="inlineStr">
        <is>
          <t>SLOPE!E22</t>
        </is>
      </c>
      <c r="E885" s="22" t="inlineStr">
        <is>
          <t>'=SLOPE(C21:C24, B21:B24)</t>
        </is>
      </c>
      <c r="F885" s="34">
        <f>SLOPE('SLOPE'!C21:C24, 'SLOPE'!B21:B24)</f>
        <v/>
      </c>
      <c r="G885" s="19" t="inlineStr">
        <is>
          <t>Analisis regresi linear dengan menempatkan rentang hasil Y (C21:C24) dan rentang variabel X (B21:B24) menggunakan fungsi SLOPE!</t>
        </is>
      </c>
    </row>
    <row r="886">
      <c r="A886" s="5" t="n">
        <v>882</v>
      </c>
      <c r="B886" s="8" t="inlineStr">
        <is>
          <t>SLOPE</t>
        </is>
      </c>
      <c r="C886" s="6" t="inlineStr">
        <is>
          <t>Soal Tes #2</t>
        </is>
      </c>
      <c r="D886" s="33" t="inlineStr">
        <is>
          <t>SLOPE!E30</t>
        </is>
      </c>
      <c r="E886" s="22" t="inlineStr">
        <is>
          <t>'=SLOPE(C29:C32, B29:B32)</t>
        </is>
      </c>
      <c r="F886" s="34">
        <f>SLOPE('SLOPE'!C29:C32, 'SLOPE'!B29:B32)</f>
        <v/>
      </c>
      <c r="G886" s="19" t="inlineStr">
        <is>
          <t>Analisis regresi linear dengan menempatkan rentang hasil Y (C29:C32) dan rentang variabel X (B29:B32) menggunakan fungsi SLOPE!</t>
        </is>
      </c>
    </row>
    <row r="887">
      <c r="A887" s="5" t="n">
        <v>883</v>
      </c>
      <c r="B887" s="8" t="inlineStr">
        <is>
          <t>SLOPE</t>
        </is>
      </c>
      <c r="C887" s="6" t="inlineStr">
        <is>
          <t>Soal Tes #3</t>
        </is>
      </c>
      <c r="D887" s="33" t="inlineStr">
        <is>
          <t>SLOPE!E38</t>
        </is>
      </c>
      <c r="E887" s="22" t="inlineStr">
        <is>
          <t>'=SLOPE(C37:C40, B37:B40)</t>
        </is>
      </c>
      <c r="F887" s="34">
        <f>SLOPE('SLOPE'!C37:C40, 'SLOPE'!B37:B40)</f>
        <v/>
      </c>
      <c r="G887" s="19" t="inlineStr">
        <is>
          <t>Analisis regresi linear dengan menempatkan rentang hasil Y (C37:C40) dan rentang variabel X (B37:B40) menggunakan fungsi SLOPE!</t>
        </is>
      </c>
    </row>
    <row r="888">
      <c r="A888" s="5" t="n">
        <v>884</v>
      </c>
      <c r="B888" s="8" t="inlineStr">
        <is>
          <t>SLOPE</t>
        </is>
      </c>
      <c r="C888" s="6" t="inlineStr">
        <is>
          <t>Soal Tes #4</t>
        </is>
      </c>
      <c r="D888" s="33" t="inlineStr">
        <is>
          <t>SLOPE!E46</t>
        </is>
      </c>
      <c r="E888" s="22" t="inlineStr">
        <is>
          <t>'=SLOPE(C45:C48, B45:B48)</t>
        </is>
      </c>
      <c r="F888" s="34">
        <f>SLOPE('SLOPE'!C45:C48, 'SLOPE'!B45:B48)</f>
        <v/>
      </c>
      <c r="G888" s="19" t="inlineStr">
        <is>
          <t>Analisis regresi linear dengan menempatkan rentang hasil Y (C45:C48) dan rentang variabel X (B45:B48) menggunakan fungsi SLOPE!</t>
        </is>
      </c>
    </row>
    <row r="889">
      <c r="A889" s="5" t="n">
        <v>885</v>
      </c>
      <c r="B889" s="8" t="inlineStr">
        <is>
          <t>SLOPE</t>
        </is>
      </c>
      <c r="C889" s="6" t="inlineStr">
        <is>
          <t>Soal Tes #5</t>
        </is>
      </c>
      <c r="D889" s="33" t="inlineStr">
        <is>
          <t>SLOPE!E54</t>
        </is>
      </c>
      <c r="E889" s="22" t="inlineStr">
        <is>
          <t>'=SLOPE(C53:C56, B53:B56)</t>
        </is>
      </c>
      <c r="F889" s="34">
        <f>SLOPE('SLOPE'!C53:C56, 'SLOPE'!B53:B56)</f>
        <v/>
      </c>
      <c r="G889" s="19" t="inlineStr">
        <is>
          <t>Analisis regresi linear dengan menempatkan rentang hasil Y (C53:C56) dan rentang variabel X (B53:B56) menggunakan fungsi SLOPE!</t>
        </is>
      </c>
    </row>
    <row r="890">
      <c r="A890" s="5" t="n">
        <v>886</v>
      </c>
      <c r="B890" s="8" t="inlineStr">
        <is>
          <t>SMALL</t>
        </is>
      </c>
      <c r="C890" s="6" t="inlineStr">
        <is>
          <t>Soal Tes #1</t>
        </is>
      </c>
      <c r="D890" s="33" t="inlineStr">
        <is>
          <t>SMALL!E22</t>
        </is>
      </c>
      <c r="E890" s="22" t="inlineStr">
        <is>
          <t>'=SMALL(C21:C24, 1)</t>
        </is>
      </c>
      <c r="F890" s="34">
        <f>SMALL('SMALL'!C21:C24, 1)</f>
        <v/>
      </c>
      <c r="G890" s="19" t="inlineStr">
        <is>
          <t>Temukan nilai pada urutan ke-1 dari rentang data C21:C24 menggunakan fungsi SMALL!</t>
        </is>
      </c>
    </row>
    <row r="891">
      <c r="A891" s="5" t="n">
        <v>887</v>
      </c>
      <c r="B891" s="8" t="inlineStr">
        <is>
          <t>SMALL</t>
        </is>
      </c>
      <c r="C891" s="6" t="inlineStr">
        <is>
          <t>Soal Tes #2</t>
        </is>
      </c>
      <c r="D891" s="33" t="inlineStr">
        <is>
          <t>SMALL!E30</t>
        </is>
      </c>
      <c r="E891" s="22" t="inlineStr">
        <is>
          <t>'=SMALL(C29:C32, 2)</t>
        </is>
      </c>
      <c r="F891" s="34">
        <f>SMALL('SMALL'!C29:C32, 2)</f>
        <v/>
      </c>
      <c r="G891" s="19" t="inlineStr">
        <is>
          <t>Temukan nilai pada urutan ke-2 dari rentang data C29:C32 menggunakan fungsi SMALL!</t>
        </is>
      </c>
    </row>
    <row r="892">
      <c r="A892" s="5" t="n">
        <v>888</v>
      </c>
      <c r="B892" s="8" t="inlineStr">
        <is>
          <t>SMALL</t>
        </is>
      </c>
      <c r="C892" s="6" t="inlineStr">
        <is>
          <t>Soal Tes #3</t>
        </is>
      </c>
      <c r="D892" s="33" t="inlineStr">
        <is>
          <t>SMALL!E38</t>
        </is>
      </c>
      <c r="E892" s="22" t="inlineStr">
        <is>
          <t>'=SMALL(C37:C40, 3)</t>
        </is>
      </c>
      <c r="F892" s="34">
        <f>SMALL('SMALL'!C37:C40, 3)</f>
        <v/>
      </c>
      <c r="G892" s="19" t="inlineStr">
        <is>
          <t>Temukan nilai pada urutan ke-3 dari rentang data C37:C40 menggunakan fungsi SMALL!</t>
        </is>
      </c>
    </row>
    <row r="893">
      <c r="A893" s="5" t="n">
        <v>889</v>
      </c>
      <c r="B893" s="8" t="inlineStr">
        <is>
          <t>SMALL</t>
        </is>
      </c>
      <c r="C893" s="6" t="inlineStr">
        <is>
          <t>Soal Tes #4</t>
        </is>
      </c>
      <c r="D893" s="33" t="inlineStr">
        <is>
          <t>SMALL!E46</t>
        </is>
      </c>
      <c r="E893" s="22" t="inlineStr">
        <is>
          <t>'=SMALL(C45:C48, 1)</t>
        </is>
      </c>
      <c r="F893" s="34">
        <f>SMALL('SMALL'!C45:C48, 1)</f>
        <v/>
      </c>
      <c r="G893" s="19" t="inlineStr">
        <is>
          <t>Temukan nilai pada urutan ke-1 dari rentang data C45:C48 menggunakan fungsi SMALL!</t>
        </is>
      </c>
    </row>
    <row r="894">
      <c r="A894" s="5" t="n">
        <v>890</v>
      </c>
      <c r="B894" s="8" t="inlineStr">
        <is>
          <t>SMALL</t>
        </is>
      </c>
      <c r="C894" s="6" t="inlineStr">
        <is>
          <t>Soal Tes #5</t>
        </is>
      </c>
      <c r="D894" s="33" t="inlineStr">
        <is>
          <t>SMALL!E54</t>
        </is>
      </c>
      <c r="E894" s="22" t="inlineStr">
        <is>
          <t>'=SMALL(C53:C56, 2)</t>
        </is>
      </c>
      <c r="F894" s="34">
        <f>SMALL('SMALL'!C53:C56, 2)</f>
        <v/>
      </c>
      <c r="G894" s="19" t="inlineStr">
        <is>
          <t>Temukan nilai pada urutan ke-2 dari rentang data C53:C56 menggunakan fungsi SMALL!</t>
        </is>
      </c>
    </row>
    <row r="895">
      <c r="A895" s="5" t="n">
        <v>891</v>
      </c>
      <c r="B895" s="8" t="inlineStr">
        <is>
          <t>STANDARDIZE</t>
        </is>
      </c>
      <c r="C895" s="6" t="inlineStr">
        <is>
          <t>Soal Tes #1</t>
        </is>
      </c>
      <c r="D895" s="33" t="inlineStr">
        <is>
          <t>STANDARDIZE!E22</t>
        </is>
      </c>
      <c r="E895" s="22" t="inlineStr">
        <is>
          <t>'=STANDARDIZE(C21, C22, C23)</t>
        </is>
      </c>
      <c r="F895" s="34">
        <f>STANDARDIZE('STANDARDIZE'!C21, 'STANDARDIZE'!C22, 'STANDARDIZE'!C23)</f>
        <v/>
      </c>
      <c r="G895" s="19" t="inlineStr">
        <is>
          <t>Hitung nilai baku Z-score menggunakan fungsi STANDARDIZE dengan parameter X di C21, Mean di C22, dan Standar Deviasi di C23!</t>
        </is>
      </c>
    </row>
    <row r="896">
      <c r="A896" s="5" t="n">
        <v>892</v>
      </c>
      <c r="B896" s="8" t="inlineStr">
        <is>
          <t>STANDARDIZE</t>
        </is>
      </c>
      <c r="C896" s="6" t="inlineStr">
        <is>
          <t>Soal Tes #2</t>
        </is>
      </c>
      <c r="D896" s="33" t="inlineStr">
        <is>
          <t>STANDARDIZE!E30</t>
        </is>
      </c>
      <c r="E896" s="22" t="inlineStr">
        <is>
          <t>'=STANDARDIZE(C29, C30, C31)</t>
        </is>
      </c>
      <c r="F896" s="34">
        <f>STANDARDIZE('STANDARDIZE'!C29, 'STANDARDIZE'!C30, 'STANDARDIZE'!C31)</f>
        <v/>
      </c>
      <c r="G896" s="19" t="inlineStr">
        <is>
          <t>Hitung nilai baku Z-score menggunakan fungsi STANDARDIZE dengan parameter X di C29, Mean di C30, dan Standar Deviasi di C31!</t>
        </is>
      </c>
    </row>
    <row r="897">
      <c r="A897" s="5" t="n">
        <v>893</v>
      </c>
      <c r="B897" s="8" t="inlineStr">
        <is>
          <t>STANDARDIZE</t>
        </is>
      </c>
      <c r="C897" s="6" t="inlineStr">
        <is>
          <t>Soal Tes #3</t>
        </is>
      </c>
      <c r="D897" s="33" t="inlineStr">
        <is>
          <t>STANDARDIZE!E38</t>
        </is>
      </c>
      <c r="E897" s="22" t="inlineStr">
        <is>
          <t>'=STANDARDIZE(C37, C38, C39)</t>
        </is>
      </c>
      <c r="F897" s="34">
        <f>STANDARDIZE('STANDARDIZE'!C37, 'STANDARDIZE'!C38, 'STANDARDIZE'!C39)</f>
        <v/>
      </c>
      <c r="G897" s="19" t="inlineStr">
        <is>
          <t>Hitung nilai baku Z-score menggunakan fungsi STANDARDIZE dengan parameter X di C37, Mean di C38, dan Standar Deviasi di C39!</t>
        </is>
      </c>
    </row>
    <row r="898">
      <c r="A898" s="5" t="n">
        <v>894</v>
      </c>
      <c r="B898" s="8" t="inlineStr">
        <is>
          <t>STANDARDIZE</t>
        </is>
      </c>
      <c r="C898" s="6" t="inlineStr">
        <is>
          <t>Soal Tes #4</t>
        </is>
      </c>
      <c r="D898" s="33" t="inlineStr">
        <is>
          <t>STANDARDIZE!E46</t>
        </is>
      </c>
      <c r="E898" s="22" t="inlineStr">
        <is>
          <t>'=STANDARDIZE(C45, C46, C47)</t>
        </is>
      </c>
      <c r="F898" s="34">
        <f>STANDARDIZE('STANDARDIZE'!C45, 'STANDARDIZE'!C46, 'STANDARDIZE'!C47)</f>
        <v/>
      </c>
      <c r="G898" s="19" t="inlineStr">
        <is>
          <t>Hitung nilai baku Z-score menggunakan fungsi STANDARDIZE dengan parameter X di C45, Mean di C46, dan Standar Deviasi di C47!</t>
        </is>
      </c>
    </row>
    <row r="899">
      <c r="A899" s="5" t="n">
        <v>895</v>
      </c>
      <c r="B899" s="8" t="inlineStr">
        <is>
          <t>STANDARDIZE</t>
        </is>
      </c>
      <c r="C899" s="6" t="inlineStr">
        <is>
          <t>Soal Tes #5</t>
        </is>
      </c>
      <c r="D899" s="33" t="inlineStr">
        <is>
          <t>STANDARDIZE!E54</t>
        </is>
      </c>
      <c r="E899" s="22" t="inlineStr">
        <is>
          <t>'=STANDARDIZE(C53, C54, C55)</t>
        </is>
      </c>
      <c r="F899" s="34">
        <f>STANDARDIZE('STANDARDIZE'!C53, 'STANDARDIZE'!C54, 'STANDARDIZE'!C55)</f>
        <v/>
      </c>
      <c r="G899" s="19" t="inlineStr">
        <is>
          <t>Hitung nilai baku Z-score menggunakan fungsi STANDARDIZE dengan parameter X di C53, Mean di C54, dan Standar Deviasi di C55!</t>
        </is>
      </c>
    </row>
    <row r="900">
      <c r="A900" s="5" t="n">
        <v>896</v>
      </c>
      <c r="B900" s="8" t="inlineStr">
        <is>
          <t>STDEV.P</t>
        </is>
      </c>
      <c r="C900" s="6" t="inlineStr">
        <is>
          <t>Soal Tes #1</t>
        </is>
      </c>
      <c r="D900" s="33" t="inlineStr">
        <is>
          <t>STDEV.P!E22</t>
        </is>
      </c>
      <c r="E900" s="22" t="inlineStr">
        <is>
          <t>'=STDEV.P(C21:C24)</t>
        </is>
      </c>
      <c r="F900" s="34">
        <f>STDEV.P('STDEV.P'!C21:C24)</f>
        <v/>
      </c>
      <c r="G900" s="19" t="inlineStr">
        <is>
          <t>Hitung hasil pengolahan fungsi STDEV.P untuk keempat baris data pada rentang C21:C24!</t>
        </is>
      </c>
    </row>
    <row r="901">
      <c r="A901" s="5" t="n">
        <v>897</v>
      </c>
      <c r="B901" s="8" t="inlineStr">
        <is>
          <t>STDEV.P</t>
        </is>
      </c>
      <c r="C901" s="6" t="inlineStr">
        <is>
          <t>Soal Tes #2</t>
        </is>
      </c>
      <c r="D901" s="33" t="inlineStr">
        <is>
          <t>STDEV.P!E30</t>
        </is>
      </c>
      <c r="E901" s="22" t="inlineStr">
        <is>
          <t>'=STDEV.P(C29:C32)</t>
        </is>
      </c>
      <c r="F901" s="34">
        <f>STDEV.P('STDEV.P'!C29:C32)</f>
        <v/>
      </c>
      <c r="G901" s="19" t="inlineStr">
        <is>
          <t>Hitung hasil pengolahan fungsi STDEV.P untuk keempat baris data pada rentang C29:C32!</t>
        </is>
      </c>
    </row>
    <row r="902">
      <c r="A902" s="5" t="n">
        <v>898</v>
      </c>
      <c r="B902" s="8" t="inlineStr">
        <is>
          <t>STDEV.P</t>
        </is>
      </c>
      <c r="C902" s="6" t="inlineStr">
        <is>
          <t>Soal Tes #3</t>
        </is>
      </c>
      <c r="D902" s="33" t="inlineStr">
        <is>
          <t>STDEV.P!E38</t>
        </is>
      </c>
      <c r="E902" s="22" t="inlineStr">
        <is>
          <t>'=STDEV.P(C37:C40)</t>
        </is>
      </c>
      <c r="F902" s="34">
        <f>STDEV.P('STDEV.P'!C37:C40)</f>
        <v/>
      </c>
      <c r="G902" s="19" t="inlineStr">
        <is>
          <t>Hitung hasil pengolahan fungsi STDEV.P untuk keempat baris data pada rentang C37:C40!</t>
        </is>
      </c>
    </row>
    <row r="903">
      <c r="A903" s="5" t="n">
        <v>899</v>
      </c>
      <c r="B903" s="8" t="inlineStr">
        <is>
          <t>STDEV.P</t>
        </is>
      </c>
      <c r="C903" s="6" t="inlineStr">
        <is>
          <t>Soal Tes #4</t>
        </is>
      </c>
      <c r="D903" s="33" t="inlineStr">
        <is>
          <t>STDEV.P!E46</t>
        </is>
      </c>
      <c r="E903" s="22" t="inlineStr">
        <is>
          <t>'=STDEV.P(C45:C48)</t>
        </is>
      </c>
      <c r="F903" s="34">
        <f>STDEV.P('STDEV.P'!C45:C48)</f>
        <v/>
      </c>
      <c r="G903" s="19" t="inlineStr">
        <is>
          <t>Hitung hasil pengolahan fungsi STDEV.P untuk keempat baris data pada rentang C45:C48!</t>
        </is>
      </c>
    </row>
    <row r="904">
      <c r="A904" s="5" t="n">
        <v>900</v>
      </c>
      <c r="B904" s="8" t="inlineStr">
        <is>
          <t>STDEV.P</t>
        </is>
      </c>
      <c r="C904" s="6" t="inlineStr">
        <is>
          <t>Soal Tes #5</t>
        </is>
      </c>
      <c r="D904" s="33" t="inlineStr">
        <is>
          <t>STDEV.P!E54</t>
        </is>
      </c>
      <c r="E904" s="22" t="inlineStr">
        <is>
          <t>'=STDEV.P(C53:C56)</t>
        </is>
      </c>
      <c r="F904" s="34">
        <f>STDEV.P('STDEV.P'!C53:C56)</f>
        <v/>
      </c>
      <c r="G904" s="19" t="inlineStr">
        <is>
          <t>Hitung hasil pengolahan fungsi STDEV.P untuk keempat baris data pada rentang C53:C56!</t>
        </is>
      </c>
    </row>
    <row r="905">
      <c r="A905" s="5" t="n">
        <v>901</v>
      </c>
      <c r="B905" s="8" t="inlineStr">
        <is>
          <t>STDEV.S</t>
        </is>
      </c>
      <c r="C905" s="6" t="inlineStr">
        <is>
          <t>Soal Tes #1</t>
        </is>
      </c>
      <c r="D905" s="33" t="inlineStr">
        <is>
          <t>STDEV.S!E22</t>
        </is>
      </c>
      <c r="E905" s="22" t="inlineStr">
        <is>
          <t>'=STDEV.S(C21:C24)</t>
        </is>
      </c>
      <c r="F905" s="34">
        <f>STDEV.S('STDEV.S'!C21:C24)</f>
        <v/>
      </c>
      <c r="G905" s="19" t="inlineStr">
        <is>
          <t>Hitung hasil pengolahan fungsi STDEV.S untuk keempat baris data pada rentang C21:C24!</t>
        </is>
      </c>
    </row>
    <row r="906">
      <c r="A906" s="5" t="n">
        <v>902</v>
      </c>
      <c r="B906" s="8" t="inlineStr">
        <is>
          <t>STDEV.S</t>
        </is>
      </c>
      <c r="C906" s="6" t="inlineStr">
        <is>
          <t>Soal Tes #2</t>
        </is>
      </c>
      <c r="D906" s="33" t="inlineStr">
        <is>
          <t>STDEV.S!E30</t>
        </is>
      </c>
      <c r="E906" s="22" t="inlineStr">
        <is>
          <t>'=STDEV.S(C29:C32)</t>
        </is>
      </c>
      <c r="F906" s="34">
        <f>STDEV.S('STDEV.S'!C29:C32)</f>
        <v/>
      </c>
      <c r="G906" s="19" t="inlineStr">
        <is>
          <t>Hitung hasil pengolahan fungsi STDEV.S untuk keempat baris data pada rentang C29:C32!</t>
        </is>
      </c>
    </row>
    <row r="907">
      <c r="A907" s="5" t="n">
        <v>903</v>
      </c>
      <c r="B907" s="8" t="inlineStr">
        <is>
          <t>STDEV.S</t>
        </is>
      </c>
      <c r="C907" s="6" t="inlineStr">
        <is>
          <t>Soal Tes #3</t>
        </is>
      </c>
      <c r="D907" s="33" t="inlineStr">
        <is>
          <t>STDEV.S!E38</t>
        </is>
      </c>
      <c r="E907" s="22" t="inlineStr">
        <is>
          <t>'=STDEV.S(C37:C40)</t>
        </is>
      </c>
      <c r="F907" s="34">
        <f>STDEV.S('STDEV.S'!C37:C40)</f>
        <v/>
      </c>
      <c r="G907" s="19" t="inlineStr">
        <is>
          <t>Hitung hasil pengolahan fungsi STDEV.S untuk keempat baris data pada rentang C37:C40!</t>
        </is>
      </c>
    </row>
    <row r="908">
      <c r="A908" s="5" t="n">
        <v>904</v>
      </c>
      <c r="B908" s="8" t="inlineStr">
        <is>
          <t>STDEV.S</t>
        </is>
      </c>
      <c r="C908" s="6" t="inlineStr">
        <is>
          <t>Soal Tes #4</t>
        </is>
      </c>
      <c r="D908" s="33" t="inlineStr">
        <is>
          <t>STDEV.S!E46</t>
        </is>
      </c>
      <c r="E908" s="22" t="inlineStr">
        <is>
          <t>'=STDEV.S(C45:C48)</t>
        </is>
      </c>
      <c r="F908" s="34">
        <f>STDEV.S('STDEV.S'!C45:C48)</f>
        <v/>
      </c>
      <c r="G908" s="19" t="inlineStr">
        <is>
          <t>Hitung hasil pengolahan fungsi STDEV.S untuk keempat baris data pada rentang C45:C48!</t>
        </is>
      </c>
    </row>
    <row r="909">
      <c r="A909" s="5" t="n">
        <v>905</v>
      </c>
      <c r="B909" s="8" t="inlineStr">
        <is>
          <t>STDEV.S</t>
        </is>
      </c>
      <c r="C909" s="6" t="inlineStr">
        <is>
          <t>Soal Tes #5</t>
        </is>
      </c>
      <c r="D909" s="33" t="inlineStr">
        <is>
          <t>STDEV.S!E54</t>
        </is>
      </c>
      <c r="E909" s="22" t="inlineStr">
        <is>
          <t>'=STDEV.S(C53:C56)</t>
        </is>
      </c>
      <c r="F909" s="34">
        <f>STDEV.S('STDEV.S'!C53:C56)</f>
        <v/>
      </c>
      <c r="G909" s="19" t="inlineStr">
        <is>
          <t>Hitung hasil pengolahan fungsi STDEV.S untuk keempat baris data pada rentang C53:C56!</t>
        </is>
      </c>
    </row>
    <row r="910">
      <c r="A910" s="5" t="n">
        <v>906</v>
      </c>
      <c r="B910" s="8" t="inlineStr">
        <is>
          <t>STDEVA</t>
        </is>
      </c>
      <c r="C910" s="6" t="inlineStr">
        <is>
          <t>Soal Tes #1</t>
        </is>
      </c>
      <c r="D910" s="33" t="inlineStr">
        <is>
          <t>STDEVA!E22</t>
        </is>
      </c>
      <c r="E910" s="22" t="inlineStr">
        <is>
          <t>'=STDEVA(C21:C24)</t>
        </is>
      </c>
      <c r="F910" s="34">
        <f>STDEVA('STDEVA'!C21:C24)</f>
        <v/>
      </c>
      <c r="G910" s="19" t="inlineStr">
        <is>
          <t>Hitung hasil pengolahan fungsi STDEVA untuk keempat baris data pada rentang C21:C24!</t>
        </is>
      </c>
    </row>
    <row r="911">
      <c r="A911" s="5" t="n">
        <v>907</v>
      </c>
      <c r="B911" s="8" t="inlineStr">
        <is>
          <t>STDEVA</t>
        </is>
      </c>
      <c r="C911" s="6" t="inlineStr">
        <is>
          <t>Soal Tes #2</t>
        </is>
      </c>
      <c r="D911" s="33" t="inlineStr">
        <is>
          <t>STDEVA!E30</t>
        </is>
      </c>
      <c r="E911" s="22" t="inlineStr">
        <is>
          <t>'=STDEVA(C29:C32)</t>
        </is>
      </c>
      <c r="F911" s="34">
        <f>STDEVA('STDEVA'!C29:C32)</f>
        <v/>
      </c>
      <c r="G911" s="19" t="inlineStr">
        <is>
          <t>Hitung hasil pengolahan fungsi STDEVA untuk keempat baris data pada rentang C29:C32!</t>
        </is>
      </c>
    </row>
    <row r="912">
      <c r="A912" s="5" t="n">
        <v>908</v>
      </c>
      <c r="B912" s="8" t="inlineStr">
        <is>
          <t>STDEVA</t>
        </is>
      </c>
      <c r="C912" s="6" t="inlineStr">
        <is>
          <t>Soal Tes #3</t>
        </is>
      </c>
      <c r="D912" s="33" t="inlineStr">
        <is>
          <t>STDEVA!E38</t>
        </is>
      </c>
      <c r="E912" s="22" t="inlineStr">
        <is>
          <t>'=STDEVA(C37:C40)</t>
        </is>
      </c>
      <c r="F912" s="34">
        <f>STDEVA('STDEVA'!C37:C40)</f>
        <v/>
      </c>
      <c r="G912" s="19" t="inlineStr">
        <is>
          <t>Hitung hasil pengolahan fungsi STDEVA untuk keempat baris data pada rentang C37:C40!</t>
        </is>
      </c>
    </row>
    <row r="913">
      <c r="A913" s="5" t="n">
        <v>909</v>
      </c>
      <c r="B913" s="8" t="inlineStr">
        <is>
          <t>STDEVA</t>
        </is>
      </c>
      <c r="C913" s="6" t="inlineStr">
        <is>
          <t>Soal Tes #4</t>
        </is>
      </c>
      <c r="D913" s="33" t="inlineStr">
        <is>
          <t>STDEVA!E46</t>
        </is>
      </c>
      <c r="E913" s="22" t="inlineStr">
        <is>
          <t>'=STDEVA(C45:C48)</t>
        </is>
      </c>
      <c r="F913" s="34">
        <f>STDEVA('STDEVA'!C45:C48)</f>
        <v/>
      </c>
      <c r="G913" s="19" t="inlineStr">
        <is>
          <t>Hitung hasil pengolahan fungsi STDEVA untuk keempat baris data pada rentang C45:C48!</t>
        </is>
      </c>
    </row>
    <row r="914">
      <c r="A914" s="5" t="n">
        <v>910</v>
      </c>
      <c r="B914" s="8" t="inlineStr">
        <is>
          <t>STDEVA</t>
        </is>
      </c>
      <c r="C914" s="6" t="inlineStr">
        <is>
          <t>Soal Tes #5</t>
        </is>
      </c>
      <c r="D914" s="33" t="inlineStr">
        <is>
          <t>STDEVA!E54</t>
        </is>
      </c>
      <c r="E914" s="22" t="inlineStr">
        <is>
          <t>'=STDEVA(C53:C56)</t>
        </is>
      </c>
      <c r="F914" s="34">
        <f>STDEVA('STDEVA'!C53:C56)</f>
        <v/>
      </c>
      <c r="G914" s="19" t="inlineStr">
        <is>
          <t>Hitung hasil pengolahan fungsi STDEVA untuk keempat baris data pada rentang C53:C56!</t>
        </is>
      </c>
    </row>
    <row r="915">
      <c r="A915" s="5" t="n">
        <v>911</v>
      </c>
      <c r="B915" s="8" t="inlineStr">
        <is>
          <t>STDEVP</t>
        </is>
      </c>
      <c r="C915" s="6" t="inlineStr">
        <is>
          <t>Soal Tes #1</t>
        </is>
      </c>
      <c r="D915" s="33" t="inlineStr">
        <is>
          <t>STDEVP!E22</t>
        </is>
      </c>
      <c r="E915" s="22" t="inlineStr">
        <is>
          <t>'=STDEVP(C21:C24)</t>
        </is>
      </c>
      <c r="F915" s="34">
        <f>STDEVP('STDEVP'!C21:C24)</f>
        <v/>
      </c>
      <c r="G915" s="19" t="inlineStr">
        <is>
          <t>Hitung hasil pengolahan fungsi STDEVP untuk keempat baris data pada rentang C21:C24!</t>
        </is>
      </c>
    </row>
    <row r="916">
      <c r="A916" s="5" t="n">
        <v>912</v>
      </c>
      <c r="B916" s="8" t="inlineStr">
        <is>
          <t>STDEVP</t>
        </is>
      </c>
      <c r="C916" s="6" t="inlineStr">
        <is>
          <t>Soal Tes #2</t>
        </is>
      </c>
      <c r="D916" s="33" t="inlineStr">
        <is>
          <t>STDEVP!E30</t>
        </is>
      </c>
      <c r="E916" s="22" t="inlineStr">
        <is>
          <t>'=STDEVP(C29:C32)</t>
        </is>
      </c>
      <c r="F916" s="34">
        <f>STDEVP('STDEVP'!C29:C32)</f>
        <v/>
      </c>
      <c r="G916" s="19" t="inlineStr">
        <is>
          <t>Hitung hasil pengolahan fungsi STDEVP untuk keempat baris data pada rentang C29:C32!</t>
        </is>
      </c>
    </row>
    <row r="917">
      <c r="A917" s="5" t="n">
        <v>913</v>
      </c>
      <c r="B917" s="8" t="inlineStr">
        <is>
          <t>STDEVP</t>
        </is>
      </c>
      <c r="C917" s="6" t="inlineStr">
        <is>
          <t>Soal Tes #3</t>
        </is>
      </c>
      <c r="D917" s="33" t="inlineStr">
        <is>
          <t>STDEVP!E38</t>
        </is>
      </c>
      <c r="E917" s="22" t="inlineStr">
        <is>
          <t>'=STDEVP(C37:C40)</t>
        </is>
      </c>
      <c r="F917" s="34">
        <f>STDEVP('STDEVP'!C37:C40)</f>
        <v/>
      </c>
      <c r="G917" s="19" t="inlineStr">
        <is>
          <t>Hitung hasil pengolahan fungsi STDEVP untuk keempat baris data pada rentang C37:C40!</t>
        </is>
      </c>
    </row>
    <row r="918">
      <c r="A918" s="5" t="n">
        <v>914</v>
      </c>
      <c r="B918" s="8" t="inlineStr">
        <is>
          <t>STDEVP</t>
        </is>
      </c>
      <c r="C918" s="6" t="inlineStr">
        <is>
          <t>Soal Tes #4</t>
        </is>
      </c>
      <c r="D918" s="33" t="inlineStr">
        <is>
          <t>STDEVP!E46</t>
        </is>
      </c>
      <c r="E918" s="22" t="inlineStr">
        <is>
          <t>'=STDEVP(C45:C48)</t>
        </is>
      </c>
      <c r="F918" s="34">
        <f>STDEVP('STDEVP'!C45:C48)</f>
        <v/>
      </c>
      <c r="G918" s="19" t="inlineStr">
        <is>
          <t>Hitung hasil pengolahan fungsi STDEVP untuk keempat baris data pada rentang C45:C48!</t>
        </is>
      </c>
    </row>
    <row r="919">
      <c r="A919" s="5" t="n">
        <v>915</v>
      </c>
      <c r="B919" s="8" t="inlineStr">
        <is>
          <t>STDEVP</t>
        </is>
      </c>
      <c r="C919" s="6" t="inlineStr">
        <is>
          <t>Soal Tes #5</t>
        </is>
      </c>
      <c r="D919" s="33" t="inlineStr">
        <is>
          <t>STDEVP!E54</t>
        </is>
      </c>
      <c r="E919" s="22" t="inlineStr">
        <is>
          <t>'=STDEVP(C53:C56)</t>
        </is>
      </c>
      <c r="F919" s="34">
        <f>STDEVP('STDEVP'!C53:C56)</f>
        <v/>
      </c>
      <c r="G919" s="19" t="inlineStr">
        <is>
          <t>Hitung hasil pengolahan fungsi STDEVP untuk keempat baris data pada rentang C53:C56!</t>
        </is>
      </c>
    </row>
    <row r="920">
      <c r="A920" s="5" t="n">
        <v>916</v>
      </c>
      <c r="B920" s="8" t="inlineStr">
        <is>
          <t>STDEVPA</t>
        </is>
      </c>
      <c r="C920" s="6" t="inlineStr">
        <is>
          <t>Soal Tes #1</t>
        </is>
      </c>
      <c r="D920" s="33" t="inlineStr">
        <is>
          <t>STDEVPA!E22</t>
        </is>
      </c>
      <c r="E920" s="22" t="inlineStr">
        <is>
          <t>'=STDEVPA(C21:C24)</t>
        </is>
      </c>
      <c r="F920" s="34">
        <f>STDEVPA('STDEVPA'!C21:C24)</f>
        <v/>
      </c>
      <c r="G920" s="19" t="inlineStr">
        <is>
          <t>Hitung hasil pengolahan fungsi STDEVPA untuk keempat baris data pada rentang C21:C24!</t>
        </is>
      </c>
    </row>
    <row r="921">
      <c r="A921" s="5" t="n">
        <v>917</v>
      </c>
      <c r="B921" s="8" t="inlineStr">
        <is>
          <t>STDEVPA</t>
        </is>
      </c>
      <c r="C921" s="6" t="inlineStr">
        <is>
          <t>Soal Tes #2</t>
        </is>
      </c>
      <c r="D921" s="33" t="inlineStr">
        <is>
          <t>STDEVPA!E30</t>
        </is>
      </c>
      <c r="E921" s="22" t="inlineStr">
        <is>
          <t>'=STDEVPA(C29:C32)</t>
        </is>
      </c>
      <c r="F921" s="34">
        <f>STDEVPA('STDEVPA'!C29:C32)</f>
        <v/>
      </c>
      <c r="G921" s="19" t="inlineStr">
        <is>
          <t>Hitung hasil pengolahan fungsi STDEVPA untuk keempat baris data pada rentang C29:C32!</t>
        </is>
      </c>
    </row>
    <row r="922">
      <c r="A922" s="5" t="n">
        <v>918</v>
      </c>
      <c r="B922" s="8" t="inlineStr">
        <is>
          <t>STDEVPA</t>
        </is>
      </c>
      <c r="C922" s="6" t="inlineStr">
        <is>
          <t>Soal Tes #3</t>
        </is>
      </c>
      <c r="D922" s="33" t="inlineStr">
        <is>
          <t>STDEVPA!E38</t>
        </is>
      </c>
      <c r="E922" s="22" t="inlineStr">
        <is>
          <t>'=STDEVPA(C37:C40)</t>
        </is>
      </c>
      <c r="F922" s="34">
        <f>STDEVPA('STDEVPA'!C37:C40)</f>
        <v/>
      </c>
      <c r="G922" s="19" t="inlineStr">
        <is>
          <t>Hitung hasil pengolahan fungsi STDEVPA untuk keempat baris data pada rentang C37:C40!</t>
        </is>
      </c>
    </row>
    <row r="923">
      <c r="A923" s="5" t="n">
        <v>919</v>
      </c>
      <c r="B923" s="8" t="inlineStr">
        <is>
          <t>STDEVPA</t>
        </is>
      </c>
      <c r="C923" s="6" t="inlineStr">
        <is>
          <t>Soal Tes #4</t>
        </is>
      </c>
      <c r="D923" s="33" t="inlineStr">
        <is>
          <t>STDEVPA!E46</t>
        </is>
      </c>
      <c r="E923" s="22" t="inlineStr">
        <is>
          <t>'=STDEVPA(C45:C48)</t>
        </is>
      </c>
      <c r="F923" s="34">
        <f>STDEVPA('STDEVPA'!C45:C48)</f>
        <v/>
      </c>
      <c r="G923" s="19" t="inlineStr">
        <is>
          <t>Hitung hasil pengolahan fungsi STDEVPA untuk keempat baris data pada rentang C45:C48!</t>
        </is>
      </c>
    </row>
    <row r="924">
      <c r="A924" s="5" t="n">
        <v>920</v>
      </c>
      <c r="B924" s="8" t="inlineStr">
        <is>
          <t>STDEVPA</t>
        </is>
      </c>
      <c r="C924" s="6" t="inlineStr">
        <is>
          <t>Soal Tes #5</t>
        </is>
      </c>
      <c r="D924" s="33" t="inlineStr">
        <is>
          <t>STDEVPA!E54</t>
        </is>
      </c>
      <c r="E924" s="22" t="inlineStr">
        <is>
          <t>'=STDEVPA(C53:C56)</t>
        </is>
      </c>
      <c r="F924" s="34">
        <f>STDEVPA('STDEVPA'!C53:C56)</f>
        <v/>
      </c>
      <c r="G924" s="19" t="inlineStr">
        <is>
          <t>Hitung hasil pengolahan fungsi STDEVPA untuk keempat baris data pada rentang C53:C56!</t>
        </is>
      </c>
    </row>
    <row r="925">
      <c r="A925" s="5" t="n">
        <v>921</v>
      </c>
      <c r="B925" s="8" t="inlineStr">
        <is>
          <t>STEYX</t>
        </is>
      </c>
      <c r="C925" s="6" t="inlineStr">
        <is>
          <t>Soal Tes #1</t>
        </is>
      </c>
      <c r="D925" s="33" t="inlineStr">
        <is>
          <t>STEYX!E22</t>
        </is>
      </c>
      <c r="E925" s="22" t="inlineStr">
        <is>
          <t>'=STEYX(C21:C24, B21:B24)</t>
        </is>
      </c>
      <c r="F925" s="34">
        <f>STEYX('STEYX'!C21:C24, 'STEYX'!B21:B24)</f>
        <v/>
      </c>
      <c r="G925" s="19" t="inlineStr">
        <is>
          <t>Analisis regresi linear dengan menempatkan rentang hasil Y (C21:C24) dan rentang variabel X (B21:B24) menggunakan fungsi STEYX!</t>
        </is>
      </c>
    </row>
    <row r="926">
      <c r="A926" s="5" t="n">
        <v>922</v>
      </c>
      <c r="B926" s="8" t="inlineStr">
        <is>
          <t>STEYX</t>
        </is>
      </c>
      <c r="C926" s="6" t="inlineStr">
        <is>
          <t>Soal Tes #2</t>
        </is>
      </c>
      <c r="D926" s="33" t="inlineStr">
        <is>
          <t>STEYX!E30</t>
        </is>
      </c>
      <c r="E926" s="22" t="inlineStr">
        <is>
          <t>'=STEYX(C29:C32, B29:B32)</t>
        </is>
      </c>
      <c r="F926" s="34">
        <f>STEYX('STEYX'!C29:C32, 'STEYX'!B29:B32)</f>
        <v/>
      </c>
      <c r="G926" s="19" t="inlineStr">
        <is>
          <t>Analisis regresi linear dengan menempatkan rentang hasil Y (C29:C32) dan rentang variabel X (B29:B32) menggunakan fungsi STEYX!</t>
        </is>
      </c>
    </row>
    <row r="927">
      <c r="A927" s="5" t="n">
        <v>923</v>
      </c>
      <c r="B927" s="8" t="inlineStr">
        <is>
          <t>STEYX</t>
        </is>
      </c>
      <c r="C927" s="6" t="inlineStr">
        <is>
          <t>Soal Tes #3</t>
        </is>
      </c>
      <c r="D927" s="33" t="inlineStr">
        <is>
          <t>STEYX!E38</t>
        </is>
      </c>
      <c r="E927" s="22" t="inlineStr">
        <is>
          <t>'=STEYX(C37:C40, B37:B40)</t>
        </is>
      </c>
      <c r="F927" s="34">
        <f>STEYX('STEYX'!C37:C40, 'STEYX'!B37:B40)</f>
        <v/>
      </c>
      <c r="G927" s="19" t="inlineStr">
        <is>
          <t>Analisis regresi linear dengan menempatkan rentang hasil Y (C37:C40) dan rentang variabel X (B37:B40) menggunakan fungsi STEYX!</t>
        </is>
      </c>
    </row>
    <row r="928">
      <c r="A928" s="5" t="n">
        <v>924</v>
      </c>
      <c r="B928" s="8" t="inlineStr">
        <is>
          <t>STEYX</t>
        </is>
      </c>
      <c r="C928" s="6" t="inlineStr">
        <is>
          <t>Soal Tes #4</t>
        </is>
      </c>
      <c r="D928" s="33" t="inlineStr">
        <is>
          <t>STEYX!E46</t>
        </is>
      </c>
      <c r="E928" s="22" t="inlineStr">
        <is>
          <t>'=STEYX(C45:C48, B45:B48)</t>
        </is>
      </c>
      <c r="F928" s="34">
        <f>STEYX('STEYX'!C45:C48, 'STEYX'!B45:B48)</f>
        <v/>
      </c>
      <c r="G928" s="19" t="inlineStr">
        <is>
          <t>Analisis regresi linear dengan menempatkan rentang hasil Y (C45:C48) dan rentang variabel X (B45:B48) menggunakan fungsi STEYX!</t>
        </is>
      </c>
    </row>
    <row r="929">
      <c r="A929" s="5" t="n">
        <v>925</v>
      </c>
      <c r="B929" s="8" t="inlineStr">
        <is>
          <t>STEYX</t>
        </is>
      </c>
      <c r="C929" s="6" t="inlineStr">
        <is>
          <t>Soal Tes #5</t>
        </is>
      </c>
      <c r="D929" s="33" t="inlineStr">
        <is>
          <t>STEYX!E54</t>
        </is>
      </c>
      <c r="E929" s="22" t="inlineStr">
        <is>
          <t>'=STEYX(C53:C56, B53:B56)</t>
        </is>
      </c>
      <c r="F929" s="34">
        <f>STEYX('STEYX'!C53:C56, 'STEYX'!B53:B56)</f>
        <v/>
      </c>
      <c r="G929" s="19" t="inlineStr">
        <is>
          <t>Analisis regresi linear dengan menempatkan rentang hasil Y (C53:C56) dan rentang variabel X (B53:B56) menggunakan fungsi STEYX!</t>
        </is>
      </c>
    </row>
    <row r="930">
      <c r="A930" s="5" t="n">
        <v>926</v>
      </c>
      <c r="B930" s="8" t="inlineStr">
        <is>
          <t>T.DIST</t>
        </is>
      </c>
      <c r="C930" s="6" t="inlineStr">
        <is>
          <t>Soal Tes #1</t>
        </is>
      </c>
      <c r="D930" s="33" t="inlineStr">
        <is>
          <t>T.DIST!E22</t>
        </is>
      </c>
      <c r="E930" s="22" t="inlineStr">
        <is>
          <t>'=T.DIST(C21, C22, TRUE)</t>
        </is>
      </c>
      <c r="F930" s="34">
        <f>T.DIST('T.DIST'!C21, 'T.DIST'!C22, TRUE)</f>
        <v/>
      </c>
      <c r="G930" s="19" t="inlineStr">
        <is>
          <t>Hitung nilai distribusi kumulatif (TRUE) menggunakan fungsi T.DIST dengan argumen C21, C22, dan TRUE!</t>
        </is>
      </c>
    </row>
    <row r="931">
      <c r="A931" s="5" t="n">
        <v>927</v>
      </c>
      <c r="B931" s="8" t="inlineStr">
        <is>
          <t>T.DIST</t>
        </is>
      </c>
      <c r="C931" s="6" t="inlineStr">
        <is>
          <t>Soal Tes #2</t>
        </is>
      </c>
      <c r="D931" s="33" t="inlineStr">
        <is>
          <t>T.DIST!E30</t>
        </is>
      </c>
      <c r="E931" s="22" t="inlineStr">
        <is>
          <t>'=T.DIST(C29, C30, TRUE)</t>
        </is>
      </c>
      <c r="F931" s="34">
        <f>T.DIST('T.DIST'!C29, 'T.DIST'!C30, TRUE)</f>
        <v/>
      </c>
      <c r="G931" s="19" t="inlineStr">
        <is>
          <t>Hitung nilai distribusi kumulatif (TRUE) menggunakan fungsi T.DIST dengan argumen C29, C30, dan TRUE!</t>
        </is>
      </c>
    </row>
    <row r="932">
      <c r="A932" s="5" t="n">
        <v>928</v>
      </c>
      <c r="B932" s="8" t="inlineStr">
        <is>
          <t>T.DIST</t>
        </is>
      </c>
      <c r="C932" s="6" t="inlineStr">
        <is>
          <t>Soal Tes #3</t>
        </is>
      </c>
      <c r="D932" s="33" t="inlineStr">
        <is>
          <t>T.DIST!E38</t>
        </is>
      </c>
      <c r="E932" s="22" t="inlineStr">
        <is>
          <t>'=T.DIST(C37, C38, TRUE)</t>
        </is>
      </c>
      <c r="F932" s="34">
        <f>T.DIST('T.DIST'!C37, 'T.DIST'!C38, TRUE)</f>
        <v/>
      </c>
      <c r="G932" s="19" t="inlineStr">
        <is>
          <t>Hitung nilai distribusi kumulatif (TRUE) menggunakan fungsi T.DIST dengan argumen C37, C38, dan TRUE!</t>
        </is>
      </c>
    </row>
    <row r="933">
      <c r="A933" s="5" t="n">
        <v>929</v>
      </c>
      <c r="B933" s="8" t="inlineStr">
        <is>
          <t>T.DIST</t>
        </is>
      </c>
      <c r="C933" s="6" t="inlineStr">
        <is>
          <t>Soal Tes #4</t>
        </is>
      </c>
      <c r="D933" s="33" t="inlineStr">
        <is>
          <t>T.DIST!E46</t>
        </is>
      </c>
      <c r="E933" s="22" t="inlineStr">
        <is>
          <t>'=T.DIST(C45, C46, TRUE)</t>
        </is>
      </c>
      <c r="F933" s="34">
        <f>T.DIST('T.DIST'!C45, 'T.DIST'!C46, TRUE)</f>
        <v/>
      </c>
      <c r="G933" s="19" t="inlineStr">
        <is>
          <t>Hitung nilai distribusi kumulatif (TRUE) menggunakan fungsi T.DIST dengan argumen C45, C46, dan TRUE!</t>
        </is>
      </c>
    </row>
    <row r="934">
      <c r="A934" s="5" t="n">
        <v>930</v>
      </c>
      <c r="B934" s="8" t="inlineStr">
        <is>
          <t>T.DIST</t>
        </is>
      </c>
      <c r="C934" s="6" t="inlineStr">
        <is>
          <t>Soal Tes #5</t>
        </is>
      </c>
      <c r="D934" s="33" t="inlineStr">
        <is>
          <t>T.DIST!E54</t>
        </is>
      </c>
      <c r="E934" s="22" t="inlineStr">
        <is>
          <t>'=T.DIST(C53, C54, TRUE)</t>
        </is>
      </c>
      <c r="F934" s="34">
        <f>T.DIST('T.DIST'!C53, 'T.DIST'!C54, TRUE)</f>
        <v/>
      </c>
      <c r="G934" s="19" t="inlineStr">
        <is>
          <t>Hitung nilai distribusi kumulatif (TRUE) menggunakan fungsi T.DIST dengan argumen C53, C54, dan TRUE!</t>
        </is>
      </c>
    </row>
    <row r="935">
      <c r="A935" s="5" t="n">
        <v>931</v>
      </c>
      <c r="B935" s="8" t="inlineStr">
        <is>
          <t>T.DIST.2T</t>
        </is>
      </c>
      <c r="C935" s="6" t="inlineStr">
        <is>
          <t>Soal Tes #1</t>
        </is>
      </c>
      <c r="D935" s="33" t="inlineStr">
        <is>
          <t>T.DIST.2T!E22</t>
        </is>
      </c>
      <c r="E935" s="22" t="inlineStr">
        <is>
          <t>'=T.DIST.2T(C21, C22)</t>
        </is>
      </c>
      <c r="F935" s="34">
        <f>T.DIST.2T('T.DIST.2T'!C21, 'T.DIST.2T'!C22)</f>
        <v/>
      </c>
      <c r="G935" s="19" t="inlineStr">
        <is>
          <t>Hitung nilai probabilitas distribusi menggunakan fungsi T.DIST.2T dengan argumen nilai X di C21 dan derajat kebebasan di C22!</t>
        </is>
      </c>
    </row>
    <row r="936">
      <c r="A936" s="5" t="n">
        <v>932</v>
      </c>
      <c r="B936" s="8" t="inlineStr">
        <is>
          <t>T.DIST.2T</t>
        </is>
      </c>
      <c r="C936" s="6" t="inlineStr">
        <is>
          <t>Soal Tes #2</t>
        </is>
      </c>
      <c r="D936" s="33" t="inlineStr">
        <is>
          <t>T.DIST.2T!E30</t>
        </is>
      </c>
      <c r="E936" s="22" t="inlineStr">
        <is>
          <t>'=T.DIST.2T(C29, C30)</t>
        </is>
      </c>
      <c r="F936" s="34">
        <f>T.DIST.2T('T.DIST.2T'!C29, 'T.DIST.2T'!C30)</f>
        <v/>
      </c>
      <c r="G936" s="19" t="inlineStr">
        <is>
          <t>Hitung nilai probabilitas distribusi menggunakan fungsi T.DIST.2T dengan argumen nilai X di C29 dan derajat kebebasan di C30!</t>
        </is>
      </c>
    </row>
    <row r="937">
      <c r="A937" s="5" t="n">
        <v>933</v>
      </c>
      <c r="B937" s="8" t="inlineStr">
        <is>
          <t>T.DIST.2T</t>
        </is>
      </c>
      <c r="C937" s="6" t="inlineStr">
        <is>
          <t>Soal Tes #3</t>
        </is>
      </c>
      <c r="D937" s="33" t="inlineStr">
        <is>
          <t>T.DIST.2T!E38</t>
        </is>
      </c>
      <c r="E937" s="22" t="inlineStr">
        <is>
          <t>'=T.DIST.2T(C37, C38)</t>
        </is>
      </c>
      <c r="F937" s="34">
        <f>T.DIST.2T('T.DIST.2T'!C37, 'T.DIST.2T'!C38)</f>
        <v/>
      </c>
      <c r="G937" s="19" t="inlineStr">
        <is>
          <t>Hitung nilai probabilitas distribusi menggunakan fungsi T.DIST.2T dengan argumen nilai X di C37 dan derajat kebebasan di C38!</t>
        </is>
      </c>
    </row>
    <row r="938">
      <c r="A938" s="5" t="n">
        <v>934</v>
      </c>
      <c r="B938" s="8" t="inlineStr">
        <is>
          <t>T.DIST.2T</t>
        </is>
      </c>
      <c r="C938" s="6" t="inlineStr">
        <is>
          <t>Soal Tes #4</t>
        </is>
      </c>
      <c r="D938" s="33" t="inlineStr">
        <is>
          <t>T.DIST.2T!E46</t>
        </is>
      </c>
      <c r="E938" s="22" t="inlineStr">
        <is>
          <t>'=T.DIST.2T(C45, C46)</t>
        </is>
      </c>
      <c r="F938" s="34">
        <f>T.DIST.2T('T.DIST.2T'!C45, 'T.DIST.2T'!C46)</f>
        <v/>
      </c>
      <c r="G938" s="19" t="inlineStr">
        <is>
          <t>Hitung nilai probabilitas distribusi menggunakan fungsi T.DIST.2T dengan argumen nilai X di C45 dan derajat kebebasan di C46!</t>
        </is>
      </c>
    </row>
    <row r="939">
      <c r="A939" s="5" t="n">
        <v>935</v>
      </c>
      <c r="B939" s="8" t="inlineStr">
        <is>
          <t>T.DIST.2T</t>
        </is>
      </c>
      <c r="C939" s="6" t="inlineStr">
        <is>
          <t>Soal Tes #5</t>
        </is>
      </c>
      <c r="D939" s="33" t="inlineStr">
        <is>
          <t>T.DIST.2T!E54</t>
        </is>
      </c>
      <c r="E939" s="22" t="inlineStr">
        <is>
          <t>'=T.DIST.2T(C53, C54)</t>
        </is>
      </c>
      <c r="F939" s="34">
        <f>T.DIST.2T('T.DIST.2T'!C53, 'T.DIST.2T'!C54)</f>
        <v/>
      </c>
      <c r="G939" s="19" t="inlineStr">
        <is>
          <t>Hitung nilai probabilitas distribusi menggunakan fungsi T.DIST.2T dengan argumen nilai X di C53 dan derajat kebebasan di C54!</t>
        </is>
      </c>
    </row>
    <row r="940">
      <c r="A940" s="5" t="n">
        <v>936</v>
      </c>
      <c r="B940" s="8" t="inlineStr">
        <is>
          <t>T.DIST.RT</t>
        </is>
      </c>
      <c r="C940" s="6" t="inlineStr">
        <is>
          <t>Soal Tes #1</t>
        </is>
      </c>
      <c r="D940" s="33" t="inlineStr">
        <is>
          <t>T.DIST.RT!E22</t>
        </is>
      </c>
      <c r="E940" s="22" t="inlineStr">
        <is>
          <t>'=T.DIST.RT(C21, C22)</t>
        </is>
      </c>
      <c r="F940" s="34">
        <f>T.DIST.RT('T.DIST.RT'!C21, 'T.DIST.RT'!C22)</f>
        <v/>
      </c>
      <c r="G940" s="19" t="inlineStr">
        <is>
          <t>Hitung nilai probabilitas distribusi menggunakan fungsi T.DIST.RT dengan argumen nilai X di C21 dan derajat kebebasan di C22!</t>
        </is>
      </c>
    </row>
    <row r="941">
      <c r="A941" s="5" t="n">
        <v>937</v>
      </c>
      <c r="B941" s="8" t="inlineStr">
        <is>
          <t>T.DIST.RT</t>
        </is>
      </c>
      <c r="C941" s="6" t="inlineStr">
        <is>
          <t>Soal Tes #2</t>
        </is>
      </c>
      <c r="D941" s="33" t="inlineStr">
        <is>
          <t>T.DIST.RT!E30</t>
        </is>
      </c>
      <c r="E941" s="22" t="inlineStr">
        <is>
          <t>'=T.DIST.RT(C29, C30)</t>
        </is>
      </c>
      <c r="F941" s="34">
        <f>T.DIST.RT('T.DIST.RT'!C29, 'T.DIST.RT'!C30)</f>
        <v/>
      </c>
      <c r="G941" s="19" t="inlineStr">
        <is>
          <t>Hitung nilai probabilitas distribusi menggunakan fungsi T.DIST.RT dengan argumen nilai X di C29 dan derajat kebebasan di C30!</t>
        </is>
      </c>
    </row>
    <row r="942">
      <c r="A942" s="5" t="n">
        <v>938</v>
      </c>
      <c r="B942" s="8" t="inlineStr">
        <is>
          <t>T.DIST.RT</t>
        </is>
      </c>
      <c r="C942" s="6" t="inlineStr">
        <is>
          <t>Soal Tes #3</t>
        </is>
      </c>
      <c r="D942" s="33" t="inlineStr">
        <is>
          <t>T.DIST.RT!E38</t>
        </is>
      </c>
      <c r="E942" s="22" t="inlineStr">
        <is>
          <t>'=T.DIST.RT(C37, C38)</t>
        </is>
      </c>
      <c r="F942" s="34">
        <f>T.DIST.RT('T.DIST.RT'!C37, 'T.DIST.RT'!C38)</f>
        <v/>
      </c>
      <c r="G942" s="19" t="inlineStr">
        <is>
          <t>Hitung nilai probabilitas distribusi menggunakan fungsi T.DIST.RT dengan argumen nilai X di C37 dan derajat kebebasan di C38!</t>
        </is>
      </c>
    </row>
    <row r="943">
      <c r="A943" s="5" t="n">
        <v>939</v>
      </c>
      <c r="B943" s="8" t="inlineStr">
        <is>
          <t>T.DIST.RT</t>
        </is>
      </c>
      <c r="C943" s="6" t="inlineStr">
        <is>
          <t>Soal Tes #4</t>
        </is>
      </c>
      <c r="D943" s="33" t="inlineStr">
        <is>
          <t>T.DIST.RT!E46</t>
        </is>
      </c>
      <c r="E943" s="22" t="inlineStr">
        <is>
          <t>'=T.DIST.RT(C45, C46)</t>
        </is>
      </c>
      <c r="F943" s="34">
        <f>T.DIST.RT('T.DIST.RT'!C45, 'T.DIST.RT'!C46)</f>
        <v/>
      </c>
      <c r="G943" s="19" t="inlineStr">
        <is>
          <t>Hitung nilai probabilitas distribusi menggunakan fungsi T.DIST.RT dengan argumen nilai X di C45 dan derajat kebebasan di C46!</t>
        </is>
      </c>
    </row>
    <row r="944">
      <c r="A944" s="5" t="n">
        <v>940</v>
      </c>
      <c r="B944" s="8" t="inlineStr">
        <is>
          <t>T.DIST.RT</t>
        </is>
      </c>
      <c r="C944" s="6" t="inlineStr">
        <is>
          <t>Soal Tes #5</t>
        </is>
      </c>
      <c r="D944" s="33" t="inlineStr">
        <is>
          <t>T.DIST.RT!E54</t>
        </is>
      </c>
      <c r="E944" s="22" t="inlineStr">
        <is>
          <t>'=T.DIST.RT(C53, C54)</t>
        </is>
      </c>
      <c r="F944" s="34">
        <f>T.DIST.RT('T.DIST.RT'!C53, 'T.DIST.RT'!C54)</f>
        <v/>
      </c>
      <c r="G944" s="19" t="inlineStr">
        <is>
          <t>Hitung nilai probabilitas distribusi menggunakan fungsi T.DIST.RT dengan argumen nilai X di C53 dan derajat kebebasan di C54!</t>
        </is>
      </c>
    </row>
    <row r="945">
      <c r="A945" s="5" t="n">
        <v>941</v>
      </c>
      <c r="B945" s="8" t="inlineStr">
        <is>
          <t>T.INV</t>
        </is>
      </c>
      <c r="C945" s="6" t="inlineStr">
        <is>
          <t>Soal Tes #1</t>
        </is>
      </c>
      <c r="D945" s="33" t="inlineStr">
        <is>
          <t>T.INV!E22</t>
        </is>
      </c>
      <c r="E945" s="22" t="inlineStr">
        <is>
          <t>'=T.INV(C21, C22)</t>
        </is>
      </c>
      <c r="F945" s="34">
        <f>T.INV('T.INV'!C21, 'T.INV'!C22)</f>
        <v/>
      </c>
      <c r="G945" s="19" t="inlineStr">
        <is>
          <t>Hitung nilai invers distribusi menggunakan fungsi T.INV dengan probabilitas di C21 dan derajat kebebasan di C22!</t>
        </is>
      </c>
    </row>
    <row r="946">
      <c r="A946" s="5" t="n">
        <v>942</v>
      </c>
      <c r="B946" s="8" t="inlineStr">
        <is>
          <t>T.INV</t>
        </is>
      </c>
      <c r="C946" s="6" t="inlineStr">
        <is>
          <t>Soal Tes #2</t>
        </is>
      </c>
      <c r="D946" s="33" t="inlineStr">
        <is>
          <t>T.INV!E30</t>
        </is>
      </c>
      <c r="E946" s="22" t="inlineStr">
        <is>
          <t>'=T.INV(C29, C30)</t>
        </is>
      </c>
      <c r="F946" s="34">
        <f>T.INV('T.INV'!C29, 'T.INV'!C30)</f>
        <v/>
      </c>
      <c r="G946" s="19" t="inlineStr">
        <is>
          <t>Hitung nilai invers distribusi menggunakan fungsi T.INV dengan probabilitas di C29 dan derajat kebebasan di C30!</t>
        </is>
      </c>
    </row>
    <row r="947">
      <c r="A947" s="5" t="n">
        <v>943</v>
      </c>
      <c r="B947" s="8" t="inlineStr">
        <is>
          <t>T.INV</t>
        </is>
      </c>
      <c r="C947" s="6" t="inlineStr">
        <is>
          <t>Soal Tes #3</t>
        </is>
      </c>
      <c r="D947" s="33" t="inlineStr">
        <is>
          <t>T.INV!E38</t>
        </is>
      </c>
      <c r="E947" s="22" t="inlineStr">
        <is>
          <t>'=T.INV(C37, C38)</t>
        </is>
      </c>
      <c r="F947" s="34">
        <f>T.INV('T.INV'!C37, 'T.INV'!C38)</f>
        <v/>
      </c>
      <c r="G947" s="19" t="inlineStr">
        <is>
          <t>Hitung nilai invers distribusi menggunakan fungsi T.INV dengan probabilitas di C37 dan derajat kebebasan di C38!</t>
        </is>
      </c>
    </row>
    <row r="948">
      <c r="A948" s="5" t="n">
        <v>944</v>
      </c>
      <c r="B948" s="8" t="inlineStr">
        <is>
          <t>T.INV</t>
        </is>
      </c>
      <c r="C948" s="6" t="inlineStr">
        <is>
          <t>Soal Tes #4</t>
        </is>
      </c>
      <c r="D948" s="33" t="inlineStr">
        <is>
          <t>T.INV!E46</t>
        </is>
      </c>
      <c r="E948" s="22" t="inlineStr">
        <is>
          <t>'=T.INV(C45, C46)</t>
        </is>
      </c>
      <c r="F948" s="34">
        <f>T.INV('T.INV'!C45, 'T.INV'!C46)</f>
        <v/>
      </c>
      <c r="G948" s="19" t="inlineStr">
        <is>
          <t>Hitung nilai invers distribusi menggunakan fungsi T.INV dengan probabilitas di C45 dan derajat kebebasan di C46!</t>
        </is>
      </c>
    </row>
    <row r="949">
      <c r="A949" s="5" t="n">
        <v>945</v>
      </c>
      <c r="B949" s="8" t="inlineStr">
        <is>
          <t>T.INV</t>
        </is>
      </c>
      <c r="C949" s="6" t="inlineStr">
        <is>
          <t>Soal Tes #5</t>
        </is>
      </c>
      <c r="D949" s="33" t="inlineStr">
        <is>
          <t>T.INV!E54</t>
        </is>
      </c>
      <c r="E949" s="22" t="inlineStr">
        <is>
          <t>'=T.INV(C53, C54)</t>
        </is>
      </c>
      <c r="F949" s="34">
        <f>T.INV('T.INV'!C53, 'T.INV'!C54)</f>
        <v/>
      </c>
      <c r="G949" s="19" t="inlineStr">
        <is>
          <t>Hitung nilai invers distribusi menggunakan fungsi T.INV dengan probabilitas di C53 dan derajat kebebasan di C54!</t>
        </is>
      </c>
    </row>
    <row r="950">
      <c r="A950" s="5" t="n">
        <v>946</v>
      </c>
      <c r="B950" s="8" t="inlineStr">
        <is>
          <t>T.INV.2T</t>
        </is>
      </c>
      <c r="C950" s="6" t="inlineStr">
        <is>
          <t>Soal Tes #1</t>
        </is>
      </c>
      <c r="D950" s="33" t="inlineStr">
        <is>
          <t>T.INV.2T!E22</t>
        </is>
      </c>
      <c r="E950" s="22" t="inlineStr">
        <is>
          <t>'=T.INV.2T(C21, C22)</t>
        </is>
      </c>
      <c r="F950" s="34">
        <f>T.INV.2T('T.INV.2T'!C21, 'T.INV.2T'!C22)</f>
        <v/>
      </c>
      <c r="G950" s="19" t="inlineStr">
        <is>
          <t>Hitung nilai invers distribusi menggunakan fungsi T.INV.2T dengan probabilitas di C21 dan derajat kebebasan di C22!</t>
        </is>
      </c>
    </row>
    <row r="951">
      <c r="A951" s="5" t="n">
        <v>947</v>
      </c>
      <c r="B951" s="8" t="inlineStr">
        <is>
          <t>T.INV.2T</t>
        </is>
      </c>
      <c r="C951" s="6" t="inlineStr">
        <is>
          <t>Soal Tes #2</t>
        </is>
      </c>
      <c r="D951" s="33" t="inlineStr">
        <is>
          <t>T.INV.2T!E30</t>
        </is>
      </c>
      <c r="E951" s="22" t="inlineStr">
        <is>
          <t>'=T.INV.2T(C29, C30)</t>
        </is>
      </c>
      <c r="F951" s="34">
        <f>T.INV.2T('T.INV.2T'!C29, 'T.INV.2T'!C30)</f>
        <v/>
      </c>
      <c r="G951" s="19" t="inlineStr">
        <is>
          <t>Hitung nilai invers distribusi menggunakan fungsi T.INV.2T dengan probabilitas di C29 dan derajat kebebasan di C30!</t>
        </is>
      </c>
    </row>
    <row r="952">
      <c r="A952" s="5" t="n">
        <v>948</v>
      </c>
      <c r="B952" s="8" t="inlineStr">
        <is>
          <t>T.INV.2T</t>
        </is>
      </c>
      <c r="C952" s="6" t="inlineStr">
        <is>
          <t>Soal Tes #3</t>
        </is>
      </c>
      <c r="D952" s="33" t="inlineStr">
        <is>
          <t>T.INV.2T!E38</t>
        </is>
      </c>
      <c r="E952" s="22" t="inlineStr">
        <is>
          <t>'=T.INV.2T(C37, C38)</t>
        </is>
      </c>
      <c r="F952" s="34">
        <f>T.INV.2T('T.INV.2T'!C37, 'T.INV.2T'!C38)</f>
        <v/>
      </c>
      <c r="G952" s="19" t="inlineStr">
        <is>
          <t>Hitung nilai invers distribusi menggunakan fungsi T.INV.2T dengan probabilitas di C37 dan derajat kebebasan di C38!</t>
        </is>
      </c>
    </row>
    <row r="953">
      <c r="A953" s="5" t="n">
        <v>949</v>
      </c>
      <c r="B953" s="8" t="inlineStr">
        <is>
          <t>T.INV.2T</t>
        </is>
      </c>
      <c r="C953" s="6" t="inlineStr">
        <is>
          <t>Soal Tes #4</t>
        </is>
      </c>
      <c r="D953" s="33" t="inlineStr">
        <is>
          <t>T.INV.2T!E46</t>
        </is>
      </c>
      <c r="E953" s="22" t="inlineStr">
        <is>
          <t>'=T.INV.2T(C45, C46)</t>
        </is>
      </c>
      <c r="F953" s="34">
        <f>T.INV.2T('T.INV.2T'!C45, 'T.INV.2T'!C46)</f>
        <v/>
      </c>
      <c r="G953" s="19" t="inlineStr">
        <is>
          <t>Hitung nilai invers distribusi menggunakan fungsi T.INV.2T dengan probabilitas di C45 dan derajat kebebasan di C46!</t>
        </is>
      </c>
    </row>
    <row r="954">
      <c r="A954" s="5" t="n">
        <v>950</v>
      </c>
      <c r="B954" s="8" t="inlineStr">
        <is>
          <t>T.INV.2T</t>
        </is>
      </c>
      <c r="C954" s="6" t="inlineStr">
        <is>
          <t>Soal Tes #5</t>
        </is>
      </c>
      <c r="D954" s="33" t="inlineStr">
        <is>
          <t>T.INV.2T!E54</t>
        </is>
      </c>
      <c r="E954" s="22" t="inlineStr">
        <is>
          <t>'=T.INV.2T(C53, C54)</t>
        </is>
      </c>
      <c r="F954" s="34">
        <f>T.INV.2T('T.INV.2T'!C53, 'T.INV.2T'!C54)</f>
        <v/>
      </c>
      <c r="G954" s="19" t="inlineStr">
        <is>
          <t>Hitung nilai invers distribusi menggunakan fungsi T.INV.2T dengan probabilitas di C53 dan derajat kebebasan di C54!</t>
        </is>
      </c>
    </row>
    <row r="955">
      <c r="A955" s="5" t="n">
        <v>951</v>
      </c>
      <c r="B955" s="8" t="inlineStr">
        <is>
          <t>TREND</t>
        </is>
      </c>
      <c r="C955" s="6" t="inlineStr">
        <is>
          <t>Soal Tes #1</t>
        </is>
      </c>
      <c r="D955" s="33" t="inlineStr">
        <is>
          <t>TREND!E22</t>
        </is>
      </c>
      <c r="E955" s="22" t="inlineStr">
        <is>
          <t>'=TREND(C21:C24, B21:B24, 5)</t>
        </is>
      </c>
      <c r="F955" s="34">
        <f>TREND('TREND'!C21:C24, 'TREND'!B21:B24, 5)</f>
        <v/>
      </c>
      <c r="G955" s="19" t="inlineStr">
        <is>
          <t>Prediksi nilai periode ke-5 berdasarkan deret hasil Y (C21:C24) dan periode X (B21:B24) menggunakan fungsi TREND!</t>
        </is>
      </c>
    </row>
    <row r="956">
      <c r="A956" s="5" t="n">
        <v>952</v>
      </c>
      <c r="B956" s="8" t="inlineStr">
        <is>
          <t>TREND</t>
        </is>
      </c>
      <c r="C956" s="6" t="inlineStr">
        <is>
          <t>Soal Tes #2</t>
        </is>
      </c>
      <c r="D956" s="33" t="inlineStr">
        <is>
          <t>TREND!E30</t>
        </is>
      </c>
      <c r="E956" s="22" t="inlineStr">
        <is>
          <t>'=TREND(C29:C32, B29:B32, 5)</t>
        </is>
      </c>
      <c r="F956" s="34">
        <f>TREND('TREND'!C29:C32, 'TREND'!B29:B32, 5)</f>
        <v/>
      </c>
      <c r="G956" s="19" t="inlineStr">
        <is>
          <t>Prediksi nilai periode ke-5 berdasarkan deret hasil Y (C29:C32) dan periode X (B29:B32) menggunakan fungsi TREND!</t>
        </is>
      </c>
    </row>
    <row r="957">
      <c r="A957" s="5" t="n">
        <v>953</v>
      </c>
      <c r="B957" s="8" t="inlineStr">
        <is>
          <t>TREND</t>
        </is>
      </c>
      <c r="C957" s="6" t="inlineStr">
        <is>
          <t>Soal Tes #3</t>
        </is>
      </c>
      <c r="D957" s="33" t="inlineStr">
        <is>
          <t>TREND!E38</t>
        </is>
      </c>
      <c r="E957" s="22" t="inlineStr">
        <is>
          <t>'=TREND(C37:C40, B37:B40, 5)</t>
        </is>
      </c>
      <c r="F957" s="34">
        <f>TREND('TREND'!C37:C40, 'TREND'!B37:B40, 5)</f>
        <v/>
      </c>
      <c r="G957" s="19" t="inlineStr">
        <is>
          <t>Prediksi nilai periode ke-5 berdasarkan deret hasil Y (C37:C40) dan periode X (B37:B40) menggunakan fungsi TREND!</t>
        </is>
      </c>
    </row>
    <row r="958">
      <c r="A958" s="5" t="n">
        <v>954</v>
      </c>
      <c r="B958" s="8" t="inlineStr">
        <is>
          <t>TREND</t>
        </is>
      </c>
      <c r="C958" s="6" t="inlineStr">
        <is>
          <t>Soal Tes #4</t>
        </is>
      </c>
      <c r="D958" s="33" t="inlineStr">
        <is>
          <t>TREND!E46</t>
        </is>
      </c>
      <c r="E958" s="22" t="inlineStr">
        <is>
          <t>'=TREND(C45:C48, B45:B48, 5)</t>
        </is>
      </c>
      <c r="F958" s="34">
        <f>TREND('TREND'!C45:C48, 'TREND'!B45:B48, 5)</f>
        <v/>
      </c>
      <c r="G958" s="19" t="inlineStr">
        <is>
          <t>Prediksi nilai periode ke-5 berdasarkan deret hasil Y (C45:C48) dan periode X (B45:B48) menggunakan fungsi TREND!</t>
        </is>
      </c>
    </row>
    <row r="959">
      <c r="A959" s="5" t="n">
        <v>955</v>
      </c>
      <c r="B959" s="8" t="inlineStr">
        <is>
          <t>TREND</t>
        </is>
      </c>
      <c r="C959" s="6" t="inlineStr">
        <is>
          <t>Soal Tes #5</t>
        </is>
      </c>
      <c r="D959" s="33" t="inlineStr">
        <is>
          <t>TREND!E54</t>
        </is>
      </c>
      <c r="E959" s="22" t="inlineStr">
        <is>
          <t>'=TREND(C53:C56, B53:B56, 5)</t>
        </is>
      </c>
      <c r="F959" s="34">
        <f>TREND('TREND'!C53:C56, 'TREND'!B53:B56, 5)</f>
        <v/>
      </c>
      <c r="G959" s="19" t="inlineStr">
        <is>
          <t>Prediksi nilai periode ke-5 berdasarkan deret hasil Y (C53:C56) dan periode X (B53:B56) menggunakan fungsi TREND!</t>
        </is>
      </c>
    </row>
    <row r="960">
      <c r="A960" s="5" t="n">
        <v>956</v>
      </c>
      <c r="B960" s="8" t="inlineStr">
        <is>
          <t>T.TEST</t>
        </is>
      </c>
      <c r="C960" s="6" t="inlineStr">
        <is>
          <t>Soal Tes #1</t>
        </is>
      </c>
      <c r="D960" s="33" t="inlineStr">
        <is>
          <t>T.TEST!E22</t>
        </is>
      </c>
      <c r="E960" s="22" t="inlineStr">
        <is>
          <t>'=T.TEST(B21:B24, C21:C24, 2, 1)</t>
        </is>
      </c>
      <c r="F960" s="34">
        <f>T.TEST('T.TEST'!B21:B24, 'T.TEST'!C21:C24, 2, 1)</f>
        <v/>
      </c>
      <c r="G960" s="19" t="inlineStr">
        <is>
          <t>Hitung uji-t berpasangan (tails = 2, type = 1) antara Kelompok 1 (B21:B24) dan Kelompok 2 (C21:C24) menggunakan fungsi T.TEST!</t>
        </is>
      </c>
    </row>
    <row r="961">
      <c r="A961" s="5" t="n">
        <v>957</v>
      </c>
      <c r="B961" s="8" t="inlineStr">
        <is>
          <t>T.TEST</t>
        </is>
      </c>
      <c r="C961" s="6" t="inlineStr">
        <is>
          <t>Soal Tes #2</t>
        </is>
      </c>
      <c r="D961" s="33" t="inlineStr">
        <is>
          <t>T.TEST!E30</t>
        </is>
      </c>
      <c r="E961" s="22" t="inlineStr">
        <is>
          <t>'=T.TEST(B29:B32, C29:C32, 2, 1)</t>
        </is>
      </c>
      <c r="F961" s="34">
        <f>T.TEST('T.TEST'!B29:B32, 'T.TEST'!C29:C32, 2, 1)</f>
        <v/>
      </c>
      <c r="G961" s="19" t="inlineStr">
        <is>
          <t>Hitung uji-t berpasangan (tails = 2, type = 1) antara Kelompok 1 (B29:B32) dan Kelompok 2 (C29:C32) menggunakan fungsi T.TEST!</t>
        </is>
      </c>
    </row>
    <row r="962">
      <c r="A962" s="5" t="n">
        <v>958</v>
      </c>
      <c r="B962" s="8" t="inlineStr">
        <is>
          <t>T.TEST</t>
        </is>
      </c>
      <c r="C962" s="6" t="inlineStr">
        <is>
          <t>Soal Tes #3</t>
        </is>
      </c>
      <c r="D962" s="33" t="inlineStr">
        <is>
          <t>T.TEST!E38</t>
        </is>
      </c>
      <c r="E962" s="22" t="inlineStr">
        <is>
          <t>'=T.TEST(B37:B40, C37:C40, 2, 1)</t>
        </is>
      </c>
      <c r="F962" s="34">
        <f>T.TEST('T.TEST'!B37:B40, 'T.TEST'!C37:C40, 2, 1)</f>
        <v/>
      </c>
      <c r="G962" s="19" t="inlineStr">
        <is>
          <t>Hitung uji-t berpasangan (tails = 2, type = 1) antara Kelompok 1 (B37:B40) dan Kelompok 2 (C37:C40) menggunakan fungsi T.TEST!</t>
        </is>
      </c>
    </row>
    <row r="963">
      <c r="A963" s="5" t="n">
        <v>959</v>
      </c>
      <c r="B963" s="8" t="inlineStr">
        <is>
          <t>T.TEST</t>
        </is>
      </c>
      <c r="C963" s="6" t="inlineStr">
        <is>
          <t>Soal Tes #4</t>
        </is>
      </c>
      <c r="D963" s="33" t="inlineStr">
        <is>
          <t>T.TEST!E46</t>
        </is>
      </c>
      <c r="E963" s="22" t="inlineStr">
        <is>
          <t>'=T.TEST(B45:B48, C45:C48, 2, 1)</t>
        </is>
      </c>
      <c r="F963" s="34">
        <f>T.TEST('T.TEST'!B45:B48, 'T.TEST'!C45:C48, 2, 1)</f>
        <v/>
      </c>
      <c r="G963" s="19" t="inlineStr">
        <is>
          <t>Hitung uji-t berpasangan (tails = 2, type = 1) antara Kelompok 1 (B45:B48) dan Kelompok 2 (C45:C48) menggunakan fungsi T.TEST!</t>
        </is>
      </c>
    </row>
    <row r="964">
      <c r="A964" s="5" t="n">
        <v>960</v>
      </c>
      <c r="B964" s="8" t="inlineStr">
        <is>
          <t>T.TEST</t>
        </is>
      </c>
      <c r="C964" s="6" t="inlineStr">
        <is>
          <t>Soal Tes #5</t>
        </is>
      </c>
      <c r="D964" s="33" t="inlineStr">
        <is>
          <t>T.TEST!E54</t>
        </is>
      </c>
      <c r="E964" s="22" t="inlineStr">
        <is>
          <t>'=T.TEST(B53:B56, C53:C56, 2, 1)</t>
        </is>
      </c>
      <c r="F964" s="34">
        <f>T.TEST('T.TEST'!B53:B56, 'T.TEST'!C53:C56, 2, 1)</f>
        <v/>
      </c>
      <c r="G964" s="19" t="inlineStr">
        <is>
          <t>Hitung uji-t berpasangan (tails = 2, type = 1) antara Kelompok 1 (B53:B56) dan Kelompok 2 (C53:C56) menggunakan fungsi T.TEST!</t>
        </is>
      </c>
    </row>
    <row r="965">
      <c r="A965" s="5" t="n">
        <v>961</v>
      </c>
      <c r="B965" s="8" t="inlineStr">
        <is>
          <t>TRIMMEAN</t>
        </is>
      </c>
      <c r="C965" s="6" t="inlineStr">
        <is>
          <t>Soal Tes #1</t>
        </is>
      </c>
      <c r="D965" s="33" t="inlineStr">
        <is>
          <t>TRIMMEAN!E22</t>
        </is>
      </c>
      <c r="E965" s="22" t="inlineStr">
        <is>
          <t>'=TRIMMEAN(C21:C24, 0.2)</t>
        </is>
      </c>
      <c r="F965" s="34">
        <f>TRIMMEAN('TRIMMEAN'!C21:C24, 0.2)</f>
        <v/>
      </c>
      <c r="G965" s="19" t="inlineStr">
        <is>
          <t>Hitung rata-rata terpangkas dengan proporsi pemangkasan 0.2 (20%) pada rentang C21:C24 menggunakan fungsi TRIMMEAN!</t>
        </is>
      </c>
    </row>
    <row r="966">
      <c r="A966" s="5" t="n">
        <v>962</v>
      </c>
      <c r="B966" s="8" t="inlineStr">
        <is>
          <t>TRIMMEAN</t>
        </is>
      </c>
      <c r="C966" s="6" t="inlineStr">
        <is>
          <t>Soal Tes #2</t>
        </is>
      </c>
      <c r="D966" s="33" t="inlineStr">
        <is>
          <t>TRIMMEAN!E30</t>
        </is>
      </c>
      <c r="E966" s="22" t="inlineStr">
        <is>
          <t>'=TRIMMEAN(C29:C32, 0.2)</t>
        </is>
      </c>
      <c r="F966" s="34">
        <f>TRIMMEAN('TRIMMEAN'!C29:C32, 0.2)</f>
        <v/>
      </c>
      <c r="G966" s="19" t="inlineStr">
        <is>
          <t>Hitung rata-rata terpangkas dengan proporsi pemangkasan 0.2 (20%) pada rentang C29:C32 menggunakan fungsi TRIMMEAN!</t>
        </is>
      </c>
    </row>
    <row r="967">
      <c r="A967" s="5" t="n">
        <v>963</v>
      </c>
      <c r="B967" s="8" t="inlineStr">
        <is>
          <t>TRIMMEAN</t>
        </is>
      </c>
      <c r="C967" s="6" t="inlineStr">
        <is>
          <t>Soal Tes #3</t>
        </is>
      </c>
      <c r="D967" s="33" t="inlineStr">
        <is>
          <t>TRIMMEAN!E38</t>
        </is>
      </c>
      <c r="E967" s="22" t="inlineStr">
        <is>
          <t>'=TRIMMEAN(C37:C40, 0.2)</t>
        </is>
      </c>
      <c r="F967" s="34">
        <f>TRIMMEAN('TRIMMEAN'!C37:C40, 0.2)</f>
        <v/>
      </c>
      <c r="G967" s="19" t="inlineStr">
        <is>
          <t>Hitung rata-rata terpangkas dengan proporsi pemangkasan 0.2 (20%) pada rentang C37:C40 menggunakan fungsi TRIMMEAN!</t>
        </is>
      </c>
    </row>
    <row r="968">
      <c r="A968" s="5" t="n">
        <v>964</v>
      </c>
      <c r="B968" s="8" t="inlineStr">
        <is>
          <t>TRIMMEAN</t>
        </is>
      </c>
      <c r="C968" s="6" t="inlineStr">
        <is>
          <t>Soal Tes #4</t>
        </is>
      </c>
      <c r="D968" s="33" t="inlineStr">
        <is>
          <t>TRIMMEAN!E46</t>
        </is>
      </c>
      <c r="E968" s="22" t="inlineStr">
        <is>
          <t>'=TRIMMEAN(C45:C48, 0.2)</t>
        </is>
      </c>
      <c r="F968" s="34">
        <f>TRIMMEAN('TRIMMEAN'!C45:C48, 0.2)</f>
        <v/>
      </c>
      <c r="G968" s="19" t="inlineStr">
        <is>
          <t>Hitung rata-rata terpangkas dengan proporsi pemangkasan 0.2 (20%) pada rentang C45:C48 menggunakan fungsi TRIMMEAN!</t>
        </is>
      </c>
    </row>
    <row r="969">
      <c r="A969" s="5" t="n">
        <v>965</v>
      </c>
      <c r="B969" s="8" t="inlineStr">
        <is>
          <t>TRIMMEAN</t>
        </is>
      </c>
      <c r="C969" s="6" t="inlineStr">
        <is>
          <t>Soal Tes #5</t>
        </is>
      </c>
      <c r="D969" s="33" t="inlineStr">
        <is>
          <t>TRIMMEAN!E54</t>
        </is>
      </c>
      <c r="E969" s="22" t="inlineStr">
        <is>
          <t>'=TRIMMEAN(C53:C56, 0.2)</t>
        </is>
      </c>
      <c r="F969" s="34">
        <f>TRIMMEAN('TRIMMEAN'!C53:C56, 0.2)</f>
        <v/>
      </c>
      <c r="G969" s="19" t="inlineStr">
        <is>
          <t>Hitung rata-rata terpangkas dengan proporsi pemangkasan 0.2 (20%) pada rentang C53:C56 menggunakan fungsi TRIMMEAN!</t>
        </is>
      </c>
    </row>
    <row r="970">
      <c r="A970" s="5" t="n">
        <v>966</v>
      </c>
      <c r="B970" s="8" t="inlineStr">
        <is>
          <t>VAR.P</t>
        </is>
      </c>
      <c r="C970" s="6" t="inlineStr">
        <is>
          <t>Soal Tes #1</t>
        </is>
      </c>
      <c r="D970" s="33" t="inlineStr">
        <is>
          <t>VAR.P!E22</t>
        </is>
      </c>
      <c r="E970" s="22" t="inlineStr">
        <is>
          <t>'=VAR.P(C21:C24)</t>
        </is>
      </c>
      <c r="F970" s="34">
        <f>VAR.P('VAR.P'!C21:C24)</f>
        <v/>
      </c>
      <c r="G970" s="19" t="inlineStr">
        <is>
          <t>Hitung hasil pengolahan fungsi VAR.P untuk keempat baris data pada rentang C21:C24!</t>
        </is>
      </c>
    </row>
    <row r="971">
      <c r="A971" s="5" t="n">
        <v>967</v>
      </c>
      <c r="B971" s="8" t="inlineStr">
        <is>
          <t>VAR.P</t>
        </is>
      </c>
      <c r="C971" s="6" t="inlineStr">
        <is>
          <t>Soal Tes #2</t>
        </is>
      </c>
      <c r="D971" s="33" t="inlineStr">
        <is>
          <t>VAR.P!E30</t>
        </is>
      </c>
      <c r="E971" s="22" t="inlineStr">
        <is>
          <t>'=VAR.P(C29:C32)</t>
        </is>
      </c>
      <c r="F971" s="34">
        <f>VAR.P('VAR.P'!C29:C32)</f>
        <v/>
      </c>
      <c r="G971" s="19" t="inlineStr">
        <is>
          <t>Hitung hasil pengolahan fungsi VAR.P untuk keempat baris data pada rentang C29:C32!</t>
        </is>
      </c>
    </row>
    <row r="972">
      <c r="A972" s="5" t="n">
        <v>968</v>
      </c>
      <c r="B972" s="8" t="inlineStr">
        <is>
          <t>VAR.P</t>
        </is>
      </c>
      <c r="C972" s="6" t="inlineStr">
        <is>
          <t>Soal Tes #3</t>
        </is>
      </c>
      <c r="D972" s="33" t="inlineStr">
        <is>
          <t>VAR.P!E38</t>
        </is>
      </c>
      <c r="E972" s="22" t="inlineStr">
        <is>
          <t>'=VAR.P(C37:C40)</t>
        </is>
      </c>
      <c r="F972" s="34">
        <f>VAR.P('VAR.P'!C37:C40)</f>
        <v/>
      </c>
      <c r="G972" s="19" t="inlineStr">
        <is>
          <t>Hitung hasil pengolahan fungsi VAR.P untuk keempat baris data pada rentang C37:C40!</t>
        </is>
      </c>
    </row>
    <row r="973">
      <c r="A973" s="5" t="n">
        <v>969</v>
      </c>
      <c r="B973" s="8" t="inlineStr">
        <is>
          <t>VAR.P</t>
        </is>
      </c>
      <c r="C973" s="6" t="inlineStr">
        <is>
          <t>Soal Tes #4</t>
        </is>
      </c>
      <c r="D973" s="33" t="inlineStr">
        <is>
          <t>VAR.P!E46</t>
        </is>
      </c>
      <c r="E973" s="22" t="inlineStr">
        <is>
          <t>'=VAR.P(C45:C48)</t>
        </is>
      </c>
      <c r="F973" s="34">
        <f>VAR.P('VAR.P'!C45:C48)</f>
        <v/>
      </c>
      <c r="G973" s="19" t="inlineStr">
        <is>
          <t>Hitung hasil pengolahan fungsi VAR.P untuk keempat baris data pada rentang C45:C48!</t>
        </is>
      </c>
    </row>
    <row r="974">
      <c r="A974" s="5" t="n">
        <v>970</v>
      </c>
      <c r="B974" s="8" t="inlineStr">
        <is>
          <t>VAR.P</t>
        </is>
      </c>
      <c r="C974" s="6" t="inlineStr">
        <is>
          <t>Soal Tes #5</t>
        </is>
      </c>
      <c r="D974" s="33" t="inlineStr">
        <is>
          <t>VAR.P!E54</t>
        </is>
      </c>
      <c r="E974" s="22" t="inlineStr">
        <is>
          <t>'=VAR.P(C53:C56)</t>
        </is>
      </c>
      <c r="F974" s="34">
        <f>VAR.P('VAR.P'!C53:C56)</f>
        <v/>
      </c>
      <c r="G974" s="19" t="inlineStr">
        <is>
          <t>Hitung hasil pengolahan fungsi VAR.P untuk keempat baris data pada rentang C53:C56!</t>
        </is>
      </c>
    </row>
    <row r="975">
      <c r="A975" s="5" t="n">
        <v>971</v>
      </c>
      <c r="B975" s="8" t="inlineStr">
        <is>
          <t>VAR.S</t>
        </is>
      </c>
      <c r="C975" s="6" t="inlineStr">
        <is>
          <t>Soal Tes #1</t>
        </is>
      </c>
      <c r="D975" s="33" t="inlineStr">
        <is>
          <t>VAR.S!E22</t>
        </is>
      </c>
      <c r="E975" s="22" t="inlineStr">
        <is>
          <t>'=VAR.S(C21:C24)</t>
        </is>
      </c>
      <c r="F975" s="34">
        <f>VAR.S('VAR.S'!C21:C24)</f>
        <v/>
      </c>
      <c r="G975" s="19" t="inlineStr">
        <is>
          <t>Hitung hasil pengolahan fungsi VAR.S untuk keempat baris data pada rentang C21:C24!</t>
        </is>
      </c>
    </row>
    <row r="976">
      <c r="A976" s="5" t="n">
        <v>972</v>
      </c>
      <c r="B976" s="8" t="inlineStr">
        <is>
          <t>VAR.S</t>
        </is>
      </c>
      <c r="C976" s="6" t="inlineStr">
        <is>
          <t>Soal Tes #2</t>
        </is>
      </c>
      <c r="D976" s="33" t="inlineStr">
        <is>
          <t>VAR.S!E30</t>
        </is>
      </c>
      <c r="E976" s="22" t="inlineStr">
        <is>
          <t>'=VAR.S(C29:C32)</t>
        </is>
      </c>
      <c r="F976" s="34">
        <f>VAR.S('VAR.S'!C29:C32)</f>
        <v/>
      </c>
      <c r="G976" s="19" t="inlineStr">
        <is>
          <t>Hitung hasil pengolahan fungsi VAR.S untuk keempat baris data pada rentang C29:C32!</t>
        </is>
      </c>
    </row>
    <row r="977">
      <c r="A977" s="5" t="n">
        <v>973</v>
      </c>
      <c r="B977" s="8" t="inlineStr">
        <is>
          <t>VAR.S</t>
        </is>
      </c>
      <c r="C977" s="6" t="inlineStr">
        <is>
          <t>Soal Tes #3</t>
        </is>
      </c>
      <c r="D977" s="33" t="inlineStr">
        <is>
          <t>VAR.S!E38</t>
        </is>
      </c>
      <c r="E977" s="22" t="inlineStr">
        <is>
          <t>'=VAR.S(C37:C40)</t>
        </is>
      </c>
      <c r="F977" s="34">
        <f>VAR.S('VAR.S'!C37:C40)</f>
        <v/>
      </c>
      <c r="G977" s="19" t="inlineStr">
        <is>
          <t>Hitung hasil pengolahan fungsi VAR.S untuk keempat baris data pada rentang C37:C40!</t>
        </is>
      </c>
    </row>
    <row r="978">
      <c r="A978" s="5" t="n">
        <v>974</v>
      </c>
      <c r="B978" s="8" t="inlineStr">
        <is>
          <t>VAR.S</t>
        </is>
      </c>
      <c r="C978" s="6" t="inlineStr">
        <is>
          <t>Soal Tes #4</t>
        </is>
      </c>
      <c r="D978" s="33" t="inlineStr">
        <is>
          <t>VAR.S!E46</t>
        </is>
      </c>
      <c r="E978" s="22" t="inlineStr">
        <is>
          <t>'=VAR.S(C45:C48)</t>
        </is>
      </c>
      <c r="F978" s="34">
        <f>VAR.S('VAR.S'!C45:C48)</f>
        <v/>
      </c>
      <c r="G978" s="19" t="inlineStr">
        <is>
          <t>Hitung hasil pengolahan fungsi VAR.S untuk keempat baris data pada rentang C45:C48!</t>
        </is>
      </c>
    </row>
    <row r="979">
      <c r="A979" s="5" t="n">
        <v>975</v>
      </c>
      <c r="B979" s="8" t="inlineStr">
        <is>
          <t>VAR.S</t>
        </is>
      </c>
      <c r="C979" s="6" t="inlineStr">
        <is>
          <t>Soal Tes #5</t>
        </is>
      </c>
      <c r="D979" s="33" t="inlineStr">
        <is>
          <t>VAR.S!E54</t>
        </is>
      </c>
      <c r="E979" s="22" t="inlineStr">
        <is>
          <t>'=VAR.S(C53:C56)</t>
        </is>
      </c>
      <c r="F979" s="34">
        <f>VAR.S('VAR.S'!C53:C56)</f>
        <v/>
      </c>
      <c r="G979" s="19" t="inlineStr">
        <is>
          <t>Hitung hasil pengolahan fungsi VAR.S untuk keempat baris data pada rentang C53:C56!</t>
        </is>
      </c>
    </row>
    <row r="980">
      <c r="A980" s="5" t="n">
        <v>976</v>
      </c>
      <c r="B980" s="8" t="inlineStr">
        <is>
          <t>VARA</t>
        </is>
      </c>
      <c r="C980" s="6" t="inlineStr">
        <is>
          <t>Soal Tes #1</t>
        </is>
      </c>
      <c r="D980" s="33" t="inlineStr">
        <is>
          <t>VARA!E22</t>
        </is>
      </c>
      <c r="E980" s="22" t="inlineStr">
        <is>
          <t>'=VARA(C21:C24)</t>
        </is>
      </c>
      <c r="F980" s="34">
        <f>VARA('VARA'!C21:C24)</f>
        <v/>
      </c>
      <c r="G980" s="19" t="inlineStr">
        <is>
          <t>Hitung hasil pengolahan fungsi VARA untuk keempat baris data pada rentang C21:C24!</t>
        </is>
      </c>
    </row>
    <row r="981">
      <c r="A981" s="5" t="n">
        <v>977</v>
      </c>
      <c r="B981" s="8" t="inlineStr">
        <is>
          <t>VARA</t>
        </is>
      </c>
      <c r="C981" s="6" t="inlineStr">
        <is>
          <t>Soal Tes #2</t>
        </is>
      </c>
      <c r="D981" s="33" t="inlineStr">
        <is>
          <t>VARA!E30</t>
        </is>
      </c>
      <c r="E981" s="22" t="inlineStr">
        <is>
          <t>'=VARA(C29:C32)</t>
        </is>
      </c>
      <c r="F981" s="34">
        <f>VARA('VARA'!C29:C32)</f>
        <v/>
      </c>
      <c r="G981" s="19" t="inlineStr">
        <is>
          <t>Hitung hasil pengolahan fungsi VARA untuk keempat baris data pada rentang C29:C32!</t>
        </is>
      </c>
    </row>
    <row r="982">
      <c r="A982" s="5" t="n">
        <v>978</v>
      </c>
      <c r="B982" s="8" t="inlineStr">
        <is>
          <t>VARA</t>
        </is>
      </c>
      <c r="C982" s="6" t="inlineStr">
        <is>
          <t>Soal Tes #3</t>
        </is>
      </c>
      <c r="D982" s="33" t="inlineStr">
        <is>
          <t>VARA!E38</t>
        </is>
      </c>
      <c r="E982" s="22" t="inlineStr">
        <is>
          <t>'=VARA(C37:C40)</t>
        </is>
      </c>
      <c r="F982" s="34">
        <f>VARA('VARA'!C37:C40)</f>
        <v/>
      </c>
      <c r="G982" s="19" t="inlineStr">
        <is>
          <t>Hitung hasil pengolahan fungsi VARA untuk keempat baris data pada rentang C37:C40!</t>
        </is>
      </c>
    </row>
    <row r="983">
      <c r="A983" s="5" t="n">
        <v>979</v>
      </c>
      <c r="B983" s="8" t="inlineStr">
        <is>
          <t>VARA</t>
        </is>
      </c>
      <c r="C983" s="6" t="inlineStr">
        <is>
          <t>Soal Tes #4</t>
        </is>
      </c>
      <c r="D983" s="33" t="inlineStr">
        <is>
          <t>VARA!E46</t>
        </is>
      </c>
      <c r="E983" s="22" t="inlineStr">
        <is>
          <t>'=VARA(C45:C48)</t>
        </is>
      </c>
      <c r="F983" s="34">
        <f>VARA('VARA'!C45:C48)</f>
        <v/>
      </c>
      <c r="G983" s="19" t="inlineStr">
        <is>
          <t>Hitung hasil pengolahan fungsi VARA untuk keempat baris data pada rentang C45:C48!</t>
        </is>
      </c>
    </row>
    <row r="984">
      <c r="A984" s="5" t="n">
        <v>980</v>
      </c>
      <c r="B984" s="8" t="inlineStr">
        <is>
          <t>VARA</t>
        </is>
      </c>
      <c r="C984" s="6" t="inlineStr">
        <is>
          <t>Soal Tes #5</t>
        </is>
      </c>
      <c r="D984" s="33" t="inlineStr">
        <is>
          <t>VARA!E54</t>
        </is>
      </c>
      <c r="E984" s="22" t="inlineStr">
        <is>
          <t>'=VARA(C53:C56)</t>
        </is>
      </c>
      <c r="F984" s="34">
        <f>VARA('VARA'!C53:C56)</f>
        <v/>
      </c>
      <c r="G984" s="19" t="inlineStr">
        <is>
          <t>Hitung hasil pengolahan fungsi VARA untuk keempat baris data pada rentang C53:C56!</t>
        </is>
      </c>
    </row>
    <row r="985">
      <c r="A985" s="5" t="n">
        <v>981</v>
      </c>
      <c r="B985" s="8" t="inlineStr">
        <is>
          <t>VARPA</t>
        </is>
      </c>
      <c r="C985" s="6" t="inlineStr">
        <is>
          <t>Soal Tes #1</t>
        </is>
      </c>
      <c r="D985" s="33" t="inlineStr">
        <is>
          <t>VARPA!E22</t>
        </is>
      </c>
      <c r="E985" s="22" t="inlineStr">
        <is>
          <t>'=VARPA(C21:C24)</t>
        </is>
      </c>
      <c r="F985" s="34">
        <f>VARPA('VARPA'!C21:C24)</f>
        <v/>
      </c>
      <c r="G985" s="19" t="inlineStr">
        <is>
          <t>Hitung hasil pengolahan fungsi VARPA untuk keempat baris data pada rentang C21:C24!</t>
        </is>
      </c>
    </row>
    <row r="986">
      <c r="A986" s="5" t="n">
        <v>982</v>
      </c>
      <c r="B986" s="8" t="inlineStr">
        <is>
          <t>VARPA</t>
        </is>
      </c>
      <c r="C986" s="6" t="inlineStr">
        <is>
          <t>Soal Tes #2</t>
        </is>
      </c>
      <c r="D986" s="33" t="inlineStr">
        <is>
          <t>VARPA!E30</t>
        </is>
      </c>
      <c r="E986" s="22" t="inlineStr">
        <is>
          <t>'=VARPA(C29:C32)</t>
        </is>
      </c>
      <c r="F986" s="34">
        <f>VARPA('VARPA'!C29:C32)</f>
        <v/>
      </c>
      <c r="G986" s="19" t="inlineStr">
        <is>
          <t>Hitung hasil pengolahan fungsi VARPA untuk keempat baris data pada rentang C29:C32!</t>
        </is>
      </c>
    </row>
    <row r="987">
      <c r="A987" s="5" t="n">
        <v>983</v>
      </c>
      <c r="B987" s="8" t="inlineStr">
        <is>
          <t>VARPA</t>
        </is>
      </c>
      <c r="C987" s="6" t="inlineStr">
        <is>
          <t>Soal Tes #3</t>
        </is>
      </c>
      <c r="D987" s="33" t="inlineStr">
        <is>
          <t>VARPA!E38</t>
        </is>
      </c>
      <c r="E987" s="22" t="inlineStr">
        <is>
          <t>'=VARPA(C37:C40)</t>
        </is>
      </c>
      <c r="F987" s="34">
        <f>VARPA('VARPA'!C37:C40)</f>
        <v/>
      </c>
      <c r="G987" s="19" t="inlineStr">
        <is>
          <t>Hitung hasil pengolahan fungsi VARPA untuk keempat baris data pada rentang C37:C40!</t>
        </is>
      </c>
    </row>
    <row r="988">
      <c r="A988" s="5" t="n">
        <v>984</v>
      </c>
      <c r="B988" s="8" t="inlineStr">
        <is>
          <t>VARPA</t>
        </is>
      </c>
      <c r="C988" s="6" t="inlineStr">
        <is>
          <t>Soal Tes #4</t>
        </is>
      </c>
      <c r="D988" s="33" t="inlineStr">
        <is>
          <t>VARPA!E46</t>
        </is>
      </c>
      <c r="E988" s="22" t="inlineStr">
        <is>
          <t>'=VARPA(C45:C48)</t>
        </is>
      </c>
      <c r="F988" s="34">
        <f>VARPA('VARPA'!C45:C48)</f>
        <v/>
      </c>
      <c r="G988" s="19" t="inlineStr">
        <is>
          <t>Hitung hasil pengolahan fungsi VARPA untuk keempat baris data pada rentang C45:C48!</t>
        </is>
      </c>
    </row>
    <row r="989">
      <c r="A989" s="5" t="n">
        <v>985</v>
      </c>
      <c r="B989" s="8" t="inlineStr">
        <is>
          <t>VARPA</t>
        </is>
      </c>
      <c r="C989" s="6" t="inlineStr">
        <is>
          <t>Soal Tes #5</t>
        </is>
      </c>
      <c r="D989" s="33" t="inlineStr">
        <is>
          <t>VARPA!E54</t>
        </is>
      </c>
      <c r="E989" s="22" t="inlineStr">
        <is>
          <t>'=VARPA(C53:C56)</t>
        </is>
      </c>
      <c r="F989" s="34">
        <f>VARPA('VARPA'!C53:C56)</f>
        <v/>
      </c>
      <c r="G989" s="19" t="inlineStr">
        <is>
          <t>Hitung hasil pengolahan fungsi VARPA untuk keempat baris data pada rentang C53:C56!</t>
        </is>
      </c>
    </row>
    <row r="990">
      <c r="A990" s="5" t="n">
        <v>986</v>
      </c>
      <c r="B990" s="8" t="inlineStr">
        <is>
          <t>WEIBULL</t>
        </is>
      </c>
      <c r="C990" s="6" t="inlineStr">
        <is>
          <t>Soal Tes #1</t>
        </is>
      </c>
      <c r="D990" s="33" t="inlineStr">
        <is>
          <t>WEIBULL!E22</t>
        </is>
      </c>
      <c r="E990" s="22" t="inlineStr">
        <is>
          <t>'=WEIBULL(C21, C22, C23, TRUE)</t>
        </is>
      </c>
      <c r="F990" s="34">
        <f>WEIBULL('WEIBULL'!C21, 'WEIBULL'!C22, 'WEIBULL'!C23, TRUE)</f>
        <v/>
      </c>
      <c r="G990" s="19" t="inlineStr">
        <is>
          <t>Hitung nilai distribusi kumulatif (TRUE) menggunakan fungsi WEIBULL dengan argumen berurutan C21, C22, C23, dan TRUE!</t>
        </is>
      </c>
    </row>
    <row r="991">
      <c r="A991" s="5" t="n">
        <v>987</v>
      </c>
      <c r="B991" s="8" t="inlineStr">
        <is>
          <t>WEIBULL</t>
        </is>
      </c>
      <c r="C991" s="6" t="inlineStr">
        <is>
          <t>Soal Tes #2</t>
        </is>
      </c>
      <c r="D991" s="33" t="inlineStr">
        <is>
          <t>WEIBULL!E30</t>
        </is>
      </c>
      <c r="E991" s="22" t="inlineStr">
        <is>
          <t>'=WEIBULL(C29, C30, C31, TRUE)</t>
        </is>
      </c>
      <c r="F991" s="34">
        <f>WEIBULL('WEIBULL'!C29, 'WEIBULL'!C30, 'WEIBULL'!C31, TRUE)</f>
        <v/>
      </c>
      <c r="G991" s="19" t="inlineStr">
        <is>
          <t>Hitung nilai distribusi kumulatif (TRUE) menggunakan fungsi WEIBULL dengan argumen berurutan C29, C30, C31, dan TRUE!</t>
        </is>
      </c>
    </row>
    <row r="992">
      <c r="A992" s="5" t="n">
        <v>988</v>
      </c>
      <c r="B992" s="8" t="inlineStr">
        <is>
          <t>WEIBULL</t>
        </is>
      </c>
      <c r="C992" s="6" t="inlineStr">
        <is>
          <t>Soal Tes #3</t>
        </is>
      </c>
      <c r="D992" s="33" t="inlineStr">
        <is>
          <t>WEIBULL!E38</t>
        </is>
      </c>
      <c r="E992" s="22" t="inlineStr">
        <is>
          <t>'=WEIBULL(C37, C38, C39, TRUE)</t>
        </is>
      </c>
      <c r="F992" s="34">
        <f>WEIBULL('WEIBULL'!C37, 'WEIBULL'!C38, 'WEIBULL'!C39, TRUE)</f>
        <v/>
      </c>
      <c r="G992" s="19" t="inlineStr">
        <is>
          <t>Hitung nilai distribusi kumulatif (TRUE) menggunakan fungsi WEIBULL dengan argumen berurutan C37, C38, C39, dan TRUE!</t>
        </is>
      </c>
    </row>
    <row r="993">
      <c r="A993" s="5" t="n">
        <v>989</v>
      </c>
      <c r="B993" s="8" t="inlineStr">
        <is>
          <t>WEIBULL</t>
        </is>
      </c>
      <c r="C993" s="6" t="inlineStr">
        <is>
          <t>Soal Tes #4</t>
        </is>
      </c>
      <c r="D993" s="33" t="inlineStr">
        <is>
          <t>WEIBULL!E46</t>
        </is>
      </c>
      <c r="E993" s="22" t="inlineStr">
        <is>
          <t>'=WEIBULL(C45, C46, C47, TRUE)</t>
        </is>
      </c>
      <c r="F993" s="34">
        <f>WEIBULL('WEIBULL'!C45, 'WEIBULL'!C46, 'WEIBULL'!C47, TRUE)</f>
        <v/>
      </c>
      <c r="G993" s="19" t="inlineStr">
        <is>
          <t>Hitung nilai distribusi kumulatif (TRUE) menggunakan fungsi WEIBULL dengan argumen berurutan C45, C46, C47, dan TRUE!</t>
        </is>
      </c>
    </row>
    <row r="994">
      <c r="A994" s="5" t="n">
        <v>990</v>
      </c>
      <c r="B994" s="8" t="inlineStr">
        <is>
          <t>WEIBULL</t>
        </is>
      </c>
      <c r="C994" s="6" t="inlineStr">
        <is>
          <t>Soal Tes #5</t>
        </is>
      </c>
      <c r="D994" s="33" t="inlineStr">
        <is>
          <t>WEIBULL!E54</t>
        </is>
      </c>
      <c r="E994" s="22" t="inlineStr">
        <is>
          <t>'=WEIBULL(C53, C54, C55, TRUE)</t>
        </is>
      </c>
      <c r="F994" s="34">
        <f>WEIBULL('WEIBULL'!C53, 'WEIBULL'!C54, 'WEIBULL'!C55, TRUE)</f>
        <v/>
      </c>
      <c r="G994" s="19" t="inlineStr">
        <is>
          <t>Hitung nilai distribusi kumulatif (TRUE) menggunakan fungsi WEIBULL dengan argumen berurutan C53, C54, C55, dan TRUE!</t>
        </is>
      </c>
    </row>
    <row r="995">
      <c r="A995" s="5" t="n">
        <v>991</v>
      </c>
      <c r="B995" s="8" t="inlineStr">
        <is>
          <t>ZTEST</t>
        </is>
      </c>
      <c r="C995" s="6" t="inlineStr">
        <is>
          <t>Soal Tes #1</t>
        </is>
      </c>
      <c r="D995" s="33" t="inlineStr">
        <is>
          <t>ZTEST!E22</t>
        </is>
      </c>
      <c r="E995" s="22" t="inlineStr">
        <is>
          <t>'=ZTEST(C21:C24, C21)</t>
        </is>
      </c>
      <c r="F995" s="34">
        <f>ZTEST('ZTEST'!C21:C24, 'ZTEST'!C21)</f>
        <v/>
      </c>
      <c r="G995" s="19" t="inlineStr">
        <is>
          <t>Hitung nilai peluang uji-Z pada rentang sampel C21:C24 terhadap nilai uji di sel C21 menggunakan fungsi ZTEST!</t>
        </is>
      </c>
    </row>
    <row r="996">
      <c r="A996" s="5" t="n">
        <v>992</v>
      </c>
      <c r="B996" s="8" t="inlineStr">
        <is>
          <t>ZTEST</t>
        </is>
      </c>
      <c r="C996" s="6" t="inlineStr">
        <is>
          <t>Soal Tes #2</t>
        </is>
      </c>
      <c r="D996" s="33" t="inlineStr">
        <is>
          <t>ZTEST!E30</t>
        </is>
      </c>
      <c r="E996" s="22" t="inlineStr">
        <is>
          <t>'=ZTEST(C29:C32, C29)</t>
        </is>
      </c>
      <c r="F996" s="34">
        <f>ZTEST('ZTEST'!C29:C32, 'ZTEST'!C29)</f>
        <v/>
      </c>
      <c r="G996" s="19" t="inlineStr">
        <is>
          <t>Hitung nilai peluang uji-Z pada rentang sampel C29:C32 terhadap nilai uji di sel C29 menggunakan fungsi ZTEST!</t>
        </is>
      </c>
    </row>
    <row r="997">
      <c r="A997" s="5" t="n">
        <v>993</v>
      </c>
      <c r="B997" s="8" t="inlineStr">
        <is>
          <t>ZTEST</t>
        </is>
      </c>
      <c r="C997" s="6" t="inlineStr">
        <is>
          <t>Soal Tes #3</t>
        </is>
      </c>
      <c r="D997" s="33" t="inlineStr">
        <is>
          <t>ZTEST!E38</t>
        </is>
      </c>
      <c r="E997" s="22" t="inlineStr">
        <is>
          <t>'=ZTEST(C37:C40, C37)</t>
        </is>
      </c>
      <c r="F997" s="34">
        <f>ZTEST('ZTEST'!C37:C40, 'ZTEST'!C37)</f>
        <v/>
      </c>
      <c r="G997" s="19" t="inlineStr">
        <is>
          <t>Hitung nilai peluang uji-Z pada rentang sampel C37:C40 terhadap nilai uji di sel C37 menggunakan fungsi ZTEST!</t>
        </is>
      </c>
    </row>
    <row r="998">
      <c r="A998" s="5" t="n">
        <v>994</v>
      </c>
      <c r="B998" s="8" t="inlineStr">
        <is>
          <t>ZTEST</t>
        </is>
      </c>
      <c r="C998" s="6" t="inlineStr">
        <is>
          <t>Soal Tes #4</t>
        </is>
      </c>
      <c r="D998" s="33" t="inlineStr">
        <is>
          <t>ZTEST!E46</t>
        </is>
      </c>
      <c r="E998" s="22" t="inlineStr">
        <is>
          <t>'=ZTEST(C45:C48, C45)</t>
        </is>
      </c>
      <c r="F998" s="34">
        <f>ZTEST('ZTEST'!C45:C48, 'ZTEST'!C45)</f>
        <v/>
      </c>
      <c r="G998" s="19" t="inlineStr">
        <is>
          <t>Hitung nilai peluang uji-Z pada rentang sampel C45:C48 terhadap nilai uji di sel C45 menggunakan fungsi ZTEST!</t>
        </is>
      </c>
    </row>
    <row r="999">
      <c r="A999" s="5" t="n">
        <v>995</v>
      </c>
      <c r="B999" s="8" t="inlineStr">
        <is>
          <t>ZTEST</t>
        </is>
      </c>
      <c r="C999" s="6" t="inlineStr">
        <is>
          <t>Soal Tes #5</t>
        </is>
      </c>
      <c r="D999" s="33" t="inlineStr">
        <is>
          <t>ZTEST!E54</t>
        </is>
      </c>
      <c r="E999" s="22" t="inlineStr">
        <is>
          <t>'=ZTEST(C53:C56, C53)</t>
        </is>
      </c>
      <c r="F999" s="34">
        <f>ZTEST('ZTEST'!C53:C56, 'ZTEST'!C53)</f>
        <v/>
      </c>
      <c r="G999" s="19" t="inlineStr">
        <is>
          <t>Hitung nilai peluang uji-Z pada rentang sampel C53:C56 terhadap nilai uji di sel C53 menggunakan fungsi ZTEST!</t>
        </is>
      </c>
    </row>
  </sheetData>
  <mergeCells count="2">
    <mergeCell ref="A2:F2"/>
    <mergeCell ref="A1:G1"/>
  </mergeCells>
  <hyperlinks>
    <hyperlink xmlns:r="http://schemas.openxmlformats.org/officeDocument/2006/relationships" ref="G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  <hyperlink xmlns:r="http://schemas.openxmlformats.org/officeDocument/2006/relationships" ref="B35" r:id="rId32"/>
    <hyperlink xmlns:r="http://schemas.openxmlformats.org/officeDocument/2006/relationships" ref="B36" r:id="rId33"/>
    <hyperlink xmlns:r="http://schemas.openxmlformats.org/officeDocument/2006/relationships" ref="B37" r:id="rId34"/>
    <hyperlink xmlns:r="http://schemas.openxmlformats.org/officeDocument/2006/relationships" ref="B38" r:id="rId35"/>
    <hyperlink xmlns:r="http://schemas.openxmlformats.org/officeDocument/2006/relationships" ref="B39" r:id="rId36"/>
    <hyperlink xmlns:r="http://schemas.openxmlformats.org/officeDocument/2006/relationships" ref="B40" r:id="rId37"/>
    <hyperlink xmlns:r="http://schemas.openxmlformats.org/officeDocument/2006/relationships" ref="B41" r:id="rId38"/>
    <hyperlink xmlns:r="http://schemas.openxmlformats.org/officeDocument/2006/relationships" ref="B42" r:id="rId39"/>
    <hyperlink xmlns:r="http://schemas.openxmlformats.org/officeDocument/2006/relationships" ref="B43" r:id="rId40"/>
    <hyperlink xmlns:r="http://schemas.openxmlformats.org/officeDocument/2006/relationships" ref="B44" r:id="rId41"/>
    <hyperlink xmlns:r="http://schemas.openxmlformats.org/officeDocument/2006/relationships" ref="B45" r:id="rId42"/>
    <hyperlink xmlns:r="http://schemas.openxmlformats.org/officeDocument/2006/relationships" ref="B46" r:id="rId43"/>
    <hyperlink xmlns:r="http://schemas.openxmlformats.org/officeDocument/2006/relationships" ref="B47" r:id="rId44"/>
    <hyperlink xmlns:r="http://schemas.openxmlformats.org/officeDocument/2006/relationships" ref="B48" r:id="rId45"/>
    <hyperlink xmlns:r="http://schemas.openxmlformats.org/officeDocument/2006/relationships" ref="B49" r:id="rId46"/>
    <hyperlink xmlns:r="http://schemas.openxmlformats.org/officeDocument/2006/relationships" ref="B50" r:id="rId47"/>
    <hyperlink xmlns:r="http://schemas.openxmlformats.org/officeDocument/2006/relationships" ref="B51" r:id="rId48"/>
    <hyperlink xmlns:r="http://schemas.openxmlformats.org/officeDocument/2006/relationships" ref="B52" r:id="rId49"/>
    <hyperlink xmlns:r="http://schemas.openxmlformats.org/officeDocument/2006/relationships" ref="B53" r:id="rId50"/>
    <hyperlink xmlns:r="http://schemas.openxmlformats.org/officeDocument/2006/relationships" ref="B54" r:id="rId51"/>
    <hyperlink xmlns:r="http://schemas.openxmlformats.org/officeDocument/2006/relationships" ref="B55" r:id="rId52"/>
    <hyperlink xmlns:r="http://schemas.openxmlformats.org/officeDocument/2006/relationships" ref="B56" r:id="rId53"/>
    <hyperlink xmlns:r="http://schemas.openxmlformats.org/officeDocument/2006/relationships" ref="B57" r:id="rId54"/>
    <hyperlink xmlns:r="http://schemas.openxmlformats.org/officeDocument/2006/relationships" ref="B58" r:id="rId55"/>
    <hyperlink xmlns:r="http://schemas.openxmlformats.org/officeDocument/2006/relationships" ref="B59" r:id="rId56"/>
    <hyperlink xmlns:r="http://schemas.openxmlformats.org/officeDocument/2006/relationships" ref="B60" r:id="rId57"/>
    <hyperlink xmlns:r="http://schemas.openxmlformats.org/officeDocument/2006/relationships" ref="B61" r:id="rId58"/>
    <hyperlink xmlns:r="http://schemas.openxmlformats.org/officeDocument/2006/relationships" ref="B62" r:id="rId59"/>
    <hyperlink xmlns:r="http://schemas.openxmlformats.org/officeDocument/2006/relationships" ref="B63" r:id="rId60"/>
    <hyperlink xmlns:r="http://schemas.openxmlformats.org/officeDocument/2006/relationships" ref="B64" r:id="rId61"/>
    <hyperlink xmlns:r="http://schemas.openxmlformats.org/officeDocument/2006/relationships" ref="B65" r:id="rId62"/>
    <hyperlink xmlns:r="http://schemas.openxmlformats.org/officeDocument/2006/relationships" ref="B66" r:id="rId63"/>
    <hyperlink xmlns:r="http://schemas.openxmlformats.org/officeDocument/2006/relationships" ref="B67" r:id="rId64"/>
    <hyperlink xmlns:r="http://schemas.openxmlformats.org/officeDocument/2006/relationships" ref="B68" r:id="rId65"/>
    <hyperlink xmlns:r="http://schemas.openxmlformats.org/officeDocument/2006/relationships" ref="B69" r:id="rId66"/>
    <hyperlink xmlns:r="http://schemas.openxmlformats.org/officeDocument/2006/relationships" ref="B70" r:id="rId67"/>
    <hyperlink xmlns:r="http://schemas.openxmlformats.org/officeDocument/2006/relationships" ref="B71" r:id="rId68"/>
    <hyperlink xmlns:r="http://schemas.openxmlformats.org/officeDocument/2006/relationships" ref="B72" r:id="rId69"/>
    <hyperlink xmlns:r="http://schemas.openxmlformats.org/officeDocument/2006/relationships" ref="B73" r:id="rId70"/>
    <hyperlink xmlns:r="http://schemas.openxmlformats.org/officeDocument/2006/relationships" ref="B74" r:id="rId71"/>
    <hyperlink xmlns:r="http://schemas.openxmlformats.org/officeDocument/2006/relationships" ref="B75" r:id="rId72"/>
    <hyperlink xmlns:r="http://schemas.openxmlformats.org/officeDocument/2006/relationships" ref="B76" r:id="rId73"/>
    <hyperlink xmlns:r="http://schemas.openxmlformats.org/officeDocument/2006/relationships" ref="B77" r:id="rId74"/>
    <hyperlink xmlns:r="http://schemas.openxmlformats.org/officeDocument/2006/relationships" ref="B78" r:id="rId75"/>
    <hyperlink xmlns:r="http://schemas.openxmlformats.org/officeDocument/2006/relationships" ref="B79" r:id="rId76"/>
    <hyperlink xmlns:r="http://schemas.openxmlformats.org/officeDocument/2006/relationships" ref="B80" r:id="rId77"/>
    <hyperlink xmlns:r="http://schemas.openxmlformats.org/officeDocument/2006/relationships" ref="B81" r:id="rId78"/>
    <hyperlink xmlns:r="http://schemas.openxmlformats.org/officeDocument/2006/relationships" ref="B82" r:id="rId79"/>
    <hyperlink xmlns:r="http://schemas.openxmlformats.org/officeDocument/2006/relationships" ref="B83" r:id="rId80"/>
    <hyperlink xmlns:r="http://schemas.openxmlformats.org/officeDocument/2006/relationships" ref="B84" r:id="rId81"/>
    <hyperlink xmlns:r="http://schemas.openxmlformats.org/officeDocument/2006/relationships" ref="B85" r:id="rId82"/>
    <hyperlink xmlns:r="http://schemas.openxmlformats.org/officeDocument/2006/relationships" ref="B86" r:id="rId83"/>
    <hyperlink xmlns:r="http://schemas.openxmlformats.org/officeDocument/2006/relationships" ref="B87" r:id="rId84"/>
    <hyperlink xmlns:r="http://schemas.openxmlformats.org/officeDocument/2006/relationships" ref="B88" r:id="rId85"/>
    <hyperlink xmlns:r="http://schemas.openxmlformats.org/officeDocument/2006/relationships" ref="B89" r:id="rId86"/>
    <hyperlink xmlns:r="http://schemas.openxmlformats.org/officeDocument/2006/relationships" ref="B90" r:id="rId87"/>
    <hyperlink xmlns:r="http://schemas.openxmlformats.org/officeDocument/2006/relationships" ref="B91" r:id="rId88"/>
    <hyperlink xmlns:r="http://schemas.openxmlformats.org/officeDocument/2006/relationships" ref="B92" r:id="rId89"/>
    <hyperlink xmlns:r="http://schemas.openxmlformats.org/officeDocument/2006/relationships" ref="B93" r:id="rId90"/>
    <hyperlink xmlns:r="http://schemas.openxmlformats.org/officeDocument/2006/relationships" ref="B94" r:id="rId91"/>
    <hyperlink xmlns:r="http://schemas.openxmlformats.org/officeDocument/2006/relationships" ref="B95" r:id="rId92"/>
    <hyperlink xmlns:r="http://schemas.openxmlformats.org/officeDocument/2006/relationships" ref="B96" r:id="rId93"/>
    <hyperlink xmlns:r="http://schemas.openxmlformats.org/officeDocument/2006/relationships" ref="B97" r:id="rId94"/>
    <hyperlink xmlns:r="http://schemas.openxmlformats.org/officeDocument/2006/relationships" ref="B98" r:id="rId95"/>
    <hyperlink xmlns:r="http://schemas.openxmlformats.org/officeDocument/2006/relationships" ref="B99" r:id="rId96"/>
    <hyperlink xmlns:r="http://schemas.openxmlformats.org/officeDocument/2006/relationships" ref="B100" r:id="rId97"/>
    <hyperlink xmlns:r="http://schemas.openxmlformats.org/officeDocument/2006/relationships" ref="B101" r:id="rId98"/>
    <hyperlink xmlns:r="http://schemas.openxmlformats.org/officeDocument/2006/relationships" ref="B102" r:id="rId99"/>
    <hyperlink xmlns:r="http://schemas.openxmlformats.org/officeDocument/2006/relationships" ref="B103" r:id="rId100"/>
    <hyperlink xmlns:r="http://schemas.openxmlformats.org/officeDocument/2006/relationships" ref="B104" r:id="rId101"/>
    <hyperlink xmlns:r="http://schemas.openxmlformats.org/officeDocument/2006/relationships" ref="B105" r:id="rId102"/>
    <hyperlink xmlns:r="http://schemas.openxmlformats.org/officeDocument/2006/relationships" ref="B106" r:id="rId103"/>
    <hyperlink xmlns:r="http://schemas.openxmlformats.org/officeDocument/2006/relationships" ref="B107" r:id="rId104"/>
    <hyperlink xmlns:r="http://schemas.openxmlformats.org/officeDocument/2006/relationships" ref="B108" r:id="rId105"/>
    <hyperlink xmlns:r="http://schemas.openxmlformats.org/officeDocument/2006/relationships" ref="B109" r:id="rId106"/>
    <hyperlink xmlns:r="http://schemas.openxmlformats.org/officeDocument/2006/relationships" ref="B110" r:id="rId107"/>
    <hyperlink xmlns:r="http://schemas.openxmlformats.org/officeDocument/2006/relationships" ref="B111" r:id="rId108"/>
    <hyperlink xmlns:r="http://schemas.openxmlformats.org/officeDocument/2006/relationships" ref="B112" r:id="rId109"/>
    <hyperlink xmlns:r="http://schemas.openxmlformats.org/officeDocument/2006/relationships" ref="B113" r:id="rId110"/>
    <hyperlink xmlns:r="http://schemas.openxmlformats.org/officeDocument/2006/relationships" ref="B114" r:id="rId111"/>
    <hyperlink xmlns:r="http://schemas.openxmlformats.org/officeDocument/2006/relationships" ref="B115" r:id="rId112"/>
    <hyperlink xmlns:r="http://schemas.openxmlformats.org/officeDocument/2006/relationships" ref="B116" r:id="rId113"/>
    <hyperlink xmlns:r="http://schemas.openxmlformats.org/officeDocument/2006/relationships" ref="B117" r:id="rId114"/>
    <hyperlink xmlns:r="http://schemas.openxmlformats.org/officeDocument/2006/relationships" ref="B118" r:id="rId115"/>
    <hyperlink xmlns:r="http://schemas.openxmlformats.org/officeDocument/2006/relationships" ref="B119" r:id="rId116"/>
    <hyperlink xmlns:r="http://schemas.openxmlformats.org/officeDocument/2006/relationships" ref="B120" r:id="rId117"/>
    <hyperlink xmlns:r="http://schemas.openxmlformats.org/officeDocument/2006/relationships" ref="B121" r:id="rId118"/>
    <hyperlink xmlns:r="http://schemas.openxmlformats.org/officeDocument/2006/relationships" ref="B122" r:id="rId119"/>
    <hyperlink xmlns:r="http://schemas.openxmlformats.org/officeDocument/2006/relationships" ref="B123" r:id="rId120"/>
    <hyperlink xmlns:r="http://schemas.openxmlformats.org/officeDocument/2006/relationships" ref="B124" r:id="rId121"/>
    <hyperlink xmlns:r="http://schemas.openxmlformats.org/officeDocument/2006/relationships" ref="B125" r:id="rId122"/>
    <hyperlink xmlns:r="http://schemas.openxmlformats.org/officeDocument/2006/relationships" ref="B126" r:id="rId123"/>
    <hyperlink xmlns:r="http://schemas.openxmlformats.org/officeDocument/2006/relationships" ref="B127" r:id="rId124"/>
    <hyperlink xmlns:r="http://schemas.openxmlformats.org/officeDocument/2006/relationships" ref="B128" r:id="rId125"/>
    <hyperlink xmlns:r="http://schemas.openxmlformats.org/officeDocument/2006/relationships" ref="B129" r:id="rId126"/>
    <hyperlink xmlns:r="http://schemas.openxmlformats.org/officeDocument/2006/relationships" ref="B130" r:id="rId127"/>
    <hyperlink xmlns:r="http://schemas.openxmlformats.org/officeDocument/2006/relationships" ref="B131" r:id="rId128"/>
    <hyperlink xmlns:r="http://schemas.openxmlformats.org/officeDocument/2006/relationships" ref="B132" r:id="rId129"/>
    <hyperlink xmlns:r="http://schemas.openxmlformats.org/officeDocument/2006/relationships" ref="B133" r:id="rId130"/>
    <hyperlink xmlns:r="http://schemas.openxmlformats.org/officeDocument/2006/relationships" ref="B134" r:id="rId131"/>
    <hyperlink xmlns:r="http://schemas.openxmlformats.org/officeDocument/2006/relationships" ref="B135" r:id="rId132"/>
    <hyperlink xmlns:r="http://schemas.openxmlformats.org/officeDocument/2006/relationships" ref="B136" r:id="rId133"/>
    <hyperlink xmlns:r="http://schemas.openxmlformats.org/officeDocument/2006/relationships" ref="B137" r:id="rId134"/>
    <hyperlink xmlns:r="http://schemas.openxmlformats.org/officeDocument/2006/relationships" ref="B138" r:id="rId135"/>
    <hyperlink xmlns:r="http://schemas.openxmlformats.org/officeDocument/2006/relationships" ref="B139" r:id="rId136"/>
    <hyperlink xmlns:r="http://schemas.openxmlformats.org/officeDocument/2006/relationships" ref="B140" r:id="rId137"/>
    <hyperlink xmlns:r="http://schemas.openxmlformats.org/officeDocument/2006/relationships" ref="B141" r:id="rId138"/>
    <hyperlink xmlns:r="http://schemas.openxmlformats.org/officeDocument/2006/relationships" ref="B142" r:id="rId139"/>
    <hyperlink xmlns:r="http://schemas.openxmlformats.org/officeDocument/2006/relationships" ref="B143" r:id="rId140"/>
    <hyperlink xmlns:r="http://schemas.openxmlformats.org/officeDocument/2006/relationships" ref="B144" r:id="rId141"/>
    <hyperlink xmlns:r="http://schemas.openxmlformats.org/officeDocument/2006/relationships" ref="B145" r:id="rId142"/>
    <hyperlink xmlns:r="http://schemas.openxmlformats.org/officeDocument/2006/relationships" ref="B146" r:id="rId143"/>
    <hyperlink xmlns:r="http://schemas.openxmlformats.org/officeDocument/2006/relationships" ref="B147" r:id="rId144"/>
    <hyperlink xmlns:r="http://schemas.openxmlformats.org/officeDocument/2006/relationships" ref="B148" r:id="rId145"/>
    <hyperlink xmlns:r="http://schemas.openxmlformats.org/officeDocument/2006/relationships" ref="B149" r:id="rId146"/>
    <hyperlink xmlns:r="http://schemas.openxmlformats.org/officeDocument/2006/relationships" ref="B150" r:id="rId147"/>
    <hyperlink xmlns:r="http://schemas.openxmlformats.org/officeDocument/2006/relationships" ref="B151" r:id="rId148"/>
    <hyperlink xmlns:r="http://schemas.openxmlformats.org/officeDocument/2006/relationships" ref="B152" r:id="rId149"/>
    <hyperlink xmlns:r="http://schemas.openxmlformats.org/officeDocument/2006/relationships" ref="B153" r:id="rId150"/>
    <hyperlink xmlns:r="http://schemas.openxmlformats.org/officeDocument/2006/relationships" ref="B154" r:id="rId151"/>
    <hyperlink xmlns:r="http://schemas.openxmlformats.org/officeDocument/2006/relationships" ref="B155" r:id="rId152"/>
    <hyperlink xmlns:r="http://schemas.openxmlformats.org/officeDocument/2006/relationships" ref="B156" r:id="rId153"/>
    <hyperlink xmlns:r="http://schemas.openxmlformats.org/officeDocument/2006/relationships" ref="B157" r:id="rId154"/>
    <hyperlink xmlns:r="http://schemas.openxmlformats.org/officeDocument/2006/relationships" ref="B158" r:id="rId155"/>
    <hyperlink xmlns:r="http://schemas.openxmlformats.org/officeDocument/2006/relationships" ref="B159" r:id="rId156"/>
    <hyperlink xmlns:r="http://schemas.openxmlformats.org/officeDocument/2006/relationships" ref="B160" r:id="rId157"/>
    <hyperlink xmlns:r="http://schemas.openxmlformats.org/officeDocument/2006/relationships" ref="B161" r:id="rId158"/>
    <hyperlink xmlns:r="http://schemas.openxmlformats.org/officeDocument/2006/relationships" ref="B162" r:id="rId159"/>
    <hyperlink xmlns:r="http://schemas.openxmlformats.org/officeDocument/2006/relationships" ref="B163" r:id="rId160"/>
    <hyperlink xmlns:r="http://schemas.openxmlformats.org/officeDocument/2006/relationships" ref="B164" r:id="rId161"/>
    <hyperlink xmlns:r="http://schemas.openxmlformats.org/officeDocument/2006/relationships" ref="B165" r:id="rId162"/>
    <hyperlink xmlns:r="http://schemas.openxmlformats.org/officeDocument/2006/relationships" ref="B166" r:id="rId163"/>
    <hyperlink xmlns:r="http://schemas.openxmlformats.org/officeDocument/2006/relationships" ref="B167" r:id="rId164"/>
    <hyperlink xmlns:r="http://schemas.openxmlformats.org/officeDocument/2006/relationships" ref="B168" r:id="rId165"/>
    <hyperlink xmlns:r="http://schemas.openxmlformats.org/officeDocument/2006/relationships" ref="B169" r:id="rId166"/>
    <hyperlink xmlns:r="http://schemas.openxmlformats.org/officeDocument/2006/relationships" ref="B170" r:id="rId167"/>
    <hyperlink xmlns:r="http://schemas.openxmlformats.org/officeDocument/2006/relationships" ref="B171" r:id="rId168"/>
    <hyperlink xmlns:r="http://schemas.openxmlformats.org/officeDocument/2006/relationships" ref="B172" r:id="rId169"/>
    <hyperlink xmlns:r="http://schemas.openxmlformats.org/officeDocument/2006/relationships" ref="B173" r:id="rId170"/>
    <hyperlink xmlns:r="http://schemas.openxmlformats.org/officeDocument/2006/relationships" ref="B174" r:id="rId171"/>
    <hyperlink xmlns:r="http://schemas.openxmlformats.org/officeDocument/2006/relationships" ref="B175" r:id="rId172"/>
    <hyperlink xmlns:r="http://schemas.openxmlformats.org/officeDocument/2006/relationships" ref="B176" r:id="rId173"/>
    <hyperlink xmlns:r="http://schemas.openxmlformats.org/officeDocument/2006/relationships" ref="B177" r:id="rId174"/>
    <hyperlink xmlns:r="http://schemas.openxmlformats.org/officeDocument/2006/relationships" ref="B178" r:id="rId175"/>
    <hyperlink xmlns:r="http://schemas.openxmlformats.org/officeDocument/2006/relationships" ref="B179" r:id="rId176"/>
    <hyperlink xmlns:r="http://schemas.openxmlformats.org/officeDocument/2006/relationships" ref="B180" r:id="rId177"/>
    <hyperlink xmlns:r="http://schemas.openxmlformats.org/officeDocument/2006/relationships" ref="B181" r:id="rId178"/>
    <hyperlink xmlns:r="http://schemas.openxmlformats.org/officeDocument/2006/relationships" ref="B182" r:id="rId179"/>
    <hyperlink xmlns:r="http://schemas.openxmlformats.org/officeDocument/2006/relationships" ref="B183" r:id="rId180"/>
    <hyperlink xmlns:r="http://schemas.openxmlformats.org/officeDocument/2006/relationships" ref="B184" r:id="rId181"/>
    <hyperlink xmlns:r="http://schemas.openxmlformats.org/officeDocument/2006/relationships" ref="B185" r:id="rId182"/>
    <hyperlink xmlns:r="http://schemas.openxmlformats.org/officeDocument/2006/relationships" ref="B186" r:id="rId183"/>
    <hyperlink xmlns:r="http://schemas.openxmlformats.org/officeDocument/2006/relationships" ref="B187" r:id="rId184"/>
    <hyperlink xmlns:r="http://schemas.openxmlformats.org/officeDocument/2006/relationships" ref="B188" r:id="rId185"/>
    <hyperlink xmlns:r="http://schemas.openxmlformats.org/officeDocument/2006/relationships" ref="B189" r:id="rId186"/>
    <hyperlink xmlns:r="http://schemas.openxmlformats.org/officeDocument/2006/relationships" ref="B190" r:id="rId187"/>
    <hyperlink xmlns:r="http://schemas.openxmlformats.org/officeDocument/2006/relationships" ref="B191" r:id="rId188"/>
    <hyperlink xmlns:r="http://schemas.openxmlformats.org/officeDocument/2006/relationships" ref="B192" r:id="rId189"/>
    <hyperlink xmlns:r="http://schemas.openxmlformats.org/officeDocument/2006/relationships" ref="B193" r:id="rId190"/>
    <hyperlink xmlns:r="http://schemas.openxmlformats.org/officeDocument/2006/relationships" ref="B194" r:id="rId191"/>
    <hyperlink xmlns:r="http://schemas.openxmlformats.org/officeDocument/2006/relationships" ref="B195" r:id="rId192"/>
    <hyperlink xmlns:r="http://schemas.openxmlformats.org/officeDocument/2006/relationships" ref="B196" r:id="rId193"/>
    <hyperlink xmlns:r="http://schemas.openxmlformats.org/officeDocument/2006/relationships" ref="B197" r:id="rId194"/>
    <hyperlink xmlns:r="http://schemas.openxmlformats.org/officeDocument/2006/relationships" ref="B198" r:id="rId195"/>
    <hyperlink xmlns:r="http://schemas.openxmlformats.org/officeDocument/2006/relationships" ref="B199" r:id="rId196"/>
    <hyperlink xmlns:r="http://schemas.openxmlformats.org/officeDocument/2006/relationships" ref="B200" r:id="rId197"/>
    <hyperlink xmlns:r="http://schemas.openxmlformats.org/officeDocument/2006/relationships" ref="B201" r:id="rId198"/>
    <hyperlink xmlns:r="http://schemas.openxmlformats.org/officeDocument/2006/relationships" ref="B202" r:id="rId199"/>
    <hyperlink xmlns:r="http://schemas.openxmlformats.org/officeDocument/2006/relationships" ref="B203" r:id="rId200"/>
    <hyperlink xmlns:r="http://schemas.openxmlformats.org/officeDocument/2006/relationships" ref="B204" r:id="rId201"/>
    <hyperlink xmlns:r="http://schemas.openxmlformats.org/officeDocument/2006/relationships" ref="B205" r:id="rId202"/>
    <hyperlink xmlns:r="http://schemas.openxmlformats.org/officeDocument/2006/relationships" ref="B206" r:id="rId203"/>
    <hyperlink xmlns:r="http://schemas.openxmlformats.org/officeDocument/2006/relationships" ref="B207" r:id="rId204"/>
    <hyperlink xmlns:r="http://schemas.openxmlformats.org/officeDocument/2006/relationships" ref="B208" r:id="rId205"/>
    <hyperlink xmlns:r="http://schemas.openxmlformats.org/officeDocument/2006/relationships" ref="B209" r:id="rId206"/>
    <hyperlink xmlns:r="http://schemas.openxmlformats.org/officeDocument/2006/relationships" ref="B210" r:id="rId207"/>
    <hyperlink xmlns:r="http://schemas.openxmlformats.org/officeDocument/2006/relationships" ref="B211" r:id="rId208"/>
    <hyperlink xmlns:r="http://schemas.openxmlformats.org/officeDocument/2006/relationships" ref="B212" r:id="rId209"/>
    <hyperlink xmlns:r="http://schemas.openxmlformats.org/officeDocument/2006/relationships" ref="B213" r:id="rId210"/>
    <hyperlink xmlns:r="http://schemas.openxmlformats.org/officeDocument/2006/relationships" ref="B214" r:id="rId211"/>
    <hyperlink xmlns:r="http://schemas.openxmlformats.org/officeDocument/2006/relationships" ref="B215" r:id="rId212"/>
    <hyperlink xmlns:r="http://schemas.openxmlformats.org/officeDocument/2006/relationships" ref="B216" r:id="rId213"/>
    <hyperlink xmlns:r="http://schemas.openxmlformats.org/officeDocument/2006/relationships" ref="B217" r:id="rId214"/>
    <hyperlink xmlns:r="http://schemas.openxmlformats.org/officeDocument/2006/relationships" ref="B218" r:id="rId215"/>
    <hyperlink xmlns:r="http://schemas.openxmlformats.org/officeDocument/2006/relationships" ref="B219" r:id="rId216"/>
    <hyperlink xmlns:r="http://schemas.openxmlformats.org/officeDocument/2006/relationships" ref="B220" r:id="rId217"/>
    <hyperlink xmlns:r="http://schemas.openxmlformats.org/officeDocument/2006/relationships" ref="B221" r:id="rId218"/>
    <hyperlink xmlns:r="http://schemas.openxmlformats.org/officeDocument/2006/relationships" ref="B222" r:id="rId219"/>
    <hyperlink xmlns:r="http://schemas.openxmlformats.org/officeDocument/2006/relationships" ref="B223" r:id="rId220"/>
    <hyperlink xmlns:r="http://schemas.openxmlformats.org/officeDocument/2006/relationships" ref="B224" r:id="rId221"/>
    <hyperlink xmlns:r="http://schemas.openxmlformats.org/officeDocument/2006/relationships" ref="B225" r:id="rId222"/>
    <hyperlink xmlns:r="http://schemas.openxmlformats.org/officeDocument/2006/relationships" ref="B226" r:id="rId223"/>
    <hyperlink xmlns:r="http://schemas.openxmlformats.org/officeDocument/2006/relationships" ref="B227" r:id="rId224"/>
    <hyperlink xmlns:r="http://schemas.openxmlformats.org/officeDocument/2006/relationships" ref="B228" r:id="rId225"/>
    <hyperlink xmlns:r="http://schemas.openxmlformats.org/officeDocument/2006/relationships" ref="B229" r:id="rId226"/>
    <hyperlink xmlns:r="http://schemas.openxmlformats.org/officeDocument/2006/relationships" ref="B230" r:id="rId227"/>
    <hyperlink xmlns:r="http://schemas.openxmlformats.org/officeDocument/2006/relationships" ref="B231" r:id="rId228"/>
    <hyperlink xmlns:r="http://schemas.openxmlformats.org/officeDocument/2006/relationships" ref="B232" r:id="rId229"/>
    <hyperlink xmlns:r="http://schemas.openxmlformats.org/officeDocument/2006/relationships" ref="B233" r:id="rId230"/>
    <hyperlink xmlns:r="http://schemas.openxmlformats.org/officeDocument/2006/relationships" ref="B234" r:id="rId231"/>
    <hyperlink xmlns:r="http://schemas.openxmlformats.org/officeDocument/2006/relationships" ref="B235" r:id="rId232"/>
    <hyperlink xmlns:r="http://schemas.openxmlformats.org/officeDocument/2006/relationships" ref="B236" r:id="rId233"/>
    <hyperlink xmlns:r="http://schemas.openxmlformats.org/officeDocument/2006/relationships" ref="B237" r:id="rId234"/>
    <hyperlink xmlns:r="http://schemas.openxmlformats.org/officeDocument/2006/relationships" ref="B238" r:id="rId235"/>
    <hyperlink xmlns:r="http://schemas.openxmlformats.org/officeDocument/2006/relationships" ref="B239" r:id="rId236"/>
    <hyperlink xmlns:r="http://schemas.openxmlformats.org/officeDocument/2006/relationships" ref="B240" r:id="rId237"/>
    <hyperlink xmlns:r="http://schemas.openxmlformats.org/officeDocument/2006/relationships" ref="B241" r:id="rId238"/>
    <hyperlink xmlns:r="http://schemas.openxmlformats.org/officeDocument/2006/relationships" ref="B242" r:id="rId239"/>
    <hyperlink xmlns:r="http://schemas.openxmlformats.org/officeDocument/2006/relationships" ref="B243" r:id="rId240"/>
    <hyperlink xmlns:r="http://schemas.openxmlformats.org/officeDocument/2006/relationships" ref="B244" r:id="rId241"/>
    <hyperlink xmlns:r="http://schemas.openxmlformats.org/officeDocument/2006/relationships" ref="B245" r:id="rId242"/>
    <hyperlink xmlns:r="http://schemas.openxmlformats.org/officeDocument/2006/relationships" ref="B246" r:id="rId243"/>
    <hyperlink xmlns:r="http://schemas.openxmlformats.org/officeDocument/2006/relationships" ref="B247" r:id="rId244"/>
    <hyperlink xmlns:r="http://schemas.openxmlformats.org/officeDocument/2006/relationships" ref="B248" r:id="rId245"/>
    <hyperlink xmlns:r="http://schemas.openxmlformats.org/officeDocument/2006/relationships" ref="B249" r:id="rId246"/>
    <hyperlink xmlns:r="http://schemas.openxmlformats.org/officeDocument/2006/relationships" ref="B250" r:id="rId247"/>
    <hyperlink xmlns:r="http://schemas.openxmlformats.org/officeDocument/2006/relationships" ref="B251" r:id="rId248"/>
    <hyperlink xmlns:r="http://schemas.openxmlformats.org/officeDocument/2006/relationships" ref="B252" r:id="rId249"/>
    <hyperlink xmlns:r="http://schemas.openxmlformats.org/officeDocument/2006/relationships" ref="B253" r:id="rId250"/>
    <hyperlink xmlns:r="http://schemas.openxmlformats.org/officeDocument/2006/relationships" ref="B254" r:id="rId251"/>
    <hyperlink xmlns:r="http://schemas.openxmlformats.org/officeDocument/2006/relationships" ref="B255" r:id="rId252"/>
    <hyperlink xmlns:r="http://schemas.openxmlformats.org/officeDocument/2006/relationships" ref="B256" r:id="rId253"/>
    <hyperlink xmlns:r="http://schemas.openxmlformats.org/officeDocument/2006/relationships" ref="B257" r:id="rId254"/>
    <hyperlink xmlns:r="http://schemas.openxmlformats.org/officeDocument/2006/relationships" ref="B258" r:id="rId255"/>
    <hyperlink xmlns:r="http://schemas.openxmlformats.org/officeDocument/2006/relationships" ref="B259" r:id="rId256"/>
    <hyperlink xmlns:r="http://schemas.openxmlformats.org/officeDocument/2006/relationships" ref="B260" r:id="rId257"/>
    <hyperlink xmlns:r="http://schemas.openxmlformats.org/officeDocument/2006/relationships" ref="B261" r:id="rId258"/>
    <hyperlink xmlns:r="http://schemas.openxmlformats.org/officeDocument/2006/relationships" ref="B262" r:id="rId259"/>
    <hyperlink xmlns:r="http://schemas.openxmlformats.org/officeDocument/2006/relationships" ref="B263" r:id="rId260"/>
    <hyperlink xmlns:r="http://schemas.openxmlformats.org/officeDocument/2006/relationships" ref="B264" r:id="rId261"/>
    <hyperlink xmlns:r="http://schemas.openxmlformats.org/officeDocument/2006/relationships" ref="B265" r:id="rId262"/>
    <hyperlink xmlns:r="http://schemas.openxmlformats.org/officeDocument/2006/relationships" ref="B266" r:id="rId263"/>
    <hyperlink xmlns:r="http://schemas.openxmlformats.org/officeDocument/2006/relationships" ref="B267" r:id="rId264"/>
    <hyperlink xmlns:r="http://schemas.openxmlformats.org/officeDocument/2006/relationships" ref="B268" r:id="rId265"/>
    <hyperlink xmlns:r="http://schemas.openxmlformats.org/officeDocument/2006/relationships" ref="B269" r:id="rId266"/>
    <hyperlink xmlns:r="http://schemas.openxmlformats.org/officeDocument/2006/relationships" ref="B270" r:id="rId267"/>
    <hyperlink xmlns:r="http://schemas.openxmlformats.org/officeDocument/2006/relationships" ref="B271" r:id="rId268"/>
    <hyperlink xmlns:r="http://schemas.openxmlformats.org/officeDocument/2006/relationships" ref="B272" r:id="rId269"/>
    <hyperlink xmlns:r="http://schemas.openxmlformats.org/officeDocument/2006/relationships" ref="B273" r:id="rId270"/>
    <hyperlink xmlns:r="http://schemas.openxmlformats.org/officeDocument/2006/relationships" ref="B274" r:id="rId271"/>
    <hyperlink xmlns:r="http://schemas.openxmlformats.org/officeDocument/2006/relationships" ref="B275" r:id="rId272"/>
    <hyperlink xmlns:r="http://schemas.openxmlformats.org/officeDocument/2006/relationships" ref="B276" r:id="rId273"/>
    <hyperlink xmlns:r="http://schemas.openxmlformats.org/officeDocument/2006/relationships" ref="B277" r:id="rId274"/>
    <hyperlink xmlns:r="http://schemas.openxmlformats.org/officeDocument/2006/relationships" ref="B278" r:id="rId275"/>
    <hyperlink xmlns:r="http://schemas.openxmlformats.org/officeDocument/2006/relationships" ref="B279" r:id="rId276"/>
    <hyperlink xmlns:r="http://schemas.openxmlformats.org/officeDocument/2006/relationships" ref="B280" r:id="rId277"/>
    <hyperlink xmlns:r="http://schemas.openxmlformats.org/officeDocument/2006/relationships" ref="B281" r:id="rId278"/>
    <hyperlink xmlns:r="http://schemas.openxmlformats.org/officeDocument/2006/relationships" ref="B282" r:id="rId279"/>
    <hyperlink xmlns:r="http://schemas.openxmlformats.org/officeDocument/2006/relationships" ref="B283" r:id="rId280"/>
    <hyperlink xmlns:r="http://schemas.openxmlformats.org/officeDocument/2006/relationships" ref="B284" r:id="rId281"/>
    <hyperlink xmlns:r="http://schemas.openxmlformats.org/officeDocument/2006/relationships" ref="B285" r:id="rId282"/>
    <hyperlink xmlns:r="http://schemas.openxmlformats.org/officeDocument/2006/relationships" ref="B286" r:id="rId283"/>
    <hyperlink xmlns:r="http://schemas.openxmlformats.org/officeDocument/2006/relationships" ref="B287" r:id="rId284"/>
    <hyperlink xmlns:r="http://schemas.openxmlformats.org/officeDocument/2006/relationships" ref="B288" r:id="rId285"/>
    <hyperlink xmlns:r="http://schemas.openxmlformats.org/officeDocument/2006/relationships" ref="B289" r:id="rId286"/>
    <hyperlink xmlns:r="http://schemas.openxmlformats.org/officeDocument/2006/relationships" ref="B290" r:id="rId287"/>
    <hyperlink xmlns:r="http://schemas.openxmlformats.org/officeDocument/2006/relationships" ref="B291" r:id="rId288"/>
    <hyperlink xmlns:r="http://schemas.openxmlformats.org/officeDocument/2006/relationships" ref="B292" r:id="rId289"/>
    <hyperlink xmlns:r="http://schemas.openxmlformats.org/officeDocument/2006/relationships" ref="B293" r:id="rId290"/>
    <hyperlink xmlns:r="http://schemas.openxmlformats.org/officeDocument/2006/relationships" ref="B294" r:id="rId291"/>
    <hyperlink xmlns:r="http://schemas.openxmlformats.org/officeDocument/2006/relationships" ref="B295" r:id="rId292"/>
    <hyperlink xmlns:r="http://schemas.openxmlformats.org/officeDocument/2006/relationships" ref="B296" r:id="rId293"/>
    <hyperlink xmlns:r="http://schemas.openxmlformats.org/officeDocument/2006/relationships" ref="B297" r:id="rId294"/>
    <hyperlink xmlns:r="http://schemas.openxmlformats.org/officeDocument/2006/relationships" ref="B298" r:id="rId295"/>
    <hyperlink xmlns:r="http://schemas.openxmlformats.org/officeDocument/2006/relationships" ref="B299" r:id="rId296"/>
    <hyperlink xmlns:r="http://schemas.openxmlformats.org/officeDocument/2006/relationships" ref="B300" r:id="rId297"/>
    <hyperlink xmlns:r="http://schemas.openxmlformats.org/officeDocument/2006/relationships" ref="B301" r:id="rId298"/>
    <hyperlink xmlns:r="http://schemas.openxmlformats.org/officeDocument/2006/relationships" ref="B302" r:id="rId299"/>
    <hyperlink xmlns:r="http://schemas.openxmlformats.org/officeDocument/2006/relationships" ref="B303" r:id="rId300"/>
    <hyperlink xmlns:r="http://schemas.openxmlformats.org/officeDocument/2006/relationships" ref="B304" r:id="rId301"/>
    <hyperlink xmlns:r="http://schemas.openxmlformats.org/officeDocument/2006/relationships" ref="B305" r:id="rId302"/>
    <hyperlink xmlns:r="http://schemas.openxmlformats.org/officeDocument/2006/relationships" ref="B306" r:id="rId303"/>
    <hyperlink xmlns:r="http://schemas.openxmlformats.org/officeDocument/2006/relationships" ref="B307" r:id="rId304"/>
    <hyperlink xmlns:r="http://schemas.openxmlformats.org/officeDocument/2006/relationships" ref="B308" r:id="rId305"/>
    <hyperlink xmlns:r="http://schemas.openxmlformats.org/officeDocument/2006/relationships" ref="B309" r:id="rId306"/>
    <hyperlink xmlns:r="http://schemas.openxmlformats.org/officeDocument/2006/relationships" ref="B310" r:id="rId307"/>
    <hyperlink xmlns:r="http://schemas.openxmlformats.org/officeDocument/2006/relationships" ref="B311" r:id="rId308"/>
    <hyperlink xmlns:r="http://schemas.openxmlformats.org/officeDocument/2006/relationships" ref="B312" r:id="rId309"/>
    <hyperlink xmlns:r="http://schemas.openxmlformats.org/officeDocument/2006/relationships" ref="B313" r:id="rId310"/>
    <hyperlink xmlns:r="http://schemas.openxmlformats.org/officeDocument/2006/relationships" ref="B314" r:id="rId311"/>
    <hyperlink xmlns:r="http://schemas.openxmlformats.org/officeDocument/2006/relationships" ref="B315" r:id="rId312"/>
    <hyperlink xmlns:r="http://schemas.openxmlformats.org/officeDocument/2006/relationships" ref="B316" r:id="rId313"/>
    <hyperlink xmlns:r="http://schemas.openxmlformats.org/officeDocument/2006/relationships" ref="B317" r:id="rId314"/>
    <hyperlink xmlns:r="http://schemas.openxmlformats.org/officeDocument/2006/relationships" ref="B318" r:id="rId315"/>
    <hyperlink xmlns:r="http://schemas.openxmlformats.org/officeDocument/2006/relationships" ref="B319" r:id="rId316"/>
    <hyperlink xmlns:r="http://schemas.openxmlformats.org/officeDocument/2006/relationships" ref="B320" r:id="rId317"/>
    <hyperlink xmlns:r="http://schemas.openxmlformats.org/officeDocument/2006/relationships" ref="B321" r:id="rId318"/>
    <hyperlink xmlns:r="http://schemas.openxmlformats.org/officeDocument/2006/relationships" ref="B322" r:id="rId319"/>
    <hyperlink xmlns:r="http://schemas.openxmlformats.org/officeDocument/2006/relationships" ref="B323" r:id="rId320"/>
    <hyperlink xmlns:r="http://schemas.openxmlformats.org/officeDocument/2006/relationships" ref="B324" r:id="rId321"/>
    <hyperlink xmlns:r="http://schemas.openxmlformats.org/officeDocument/2006/relationships" ref="B325" r:id="rId322"/>
    <hyperlink xmlns:r="http://schemas.openxmlformats.org/officeDocument/2006/relationships" ref="B326" r:id="rId323"/>
    <hyperlink xmlns:r="http://schemas.openxmlformats.org/officeDocument/2006/relationships" ref="B327" r:id="rId324"/>
    <hyperlink xmlns:r="http://schemas.openxmlformats.org/officeDocument/2006/relationships" ref="B328" r:id="rId325"/>
    <hyperlink xmlns:r="http://schemas.openxmlformats.org/officeDocument/2006/relationships" ref="B329" r:id="rId326"/>
    <hyperlink xmlns:r="http://schemas.openxmlformats.org/officeDocument/2006/relationships" ref="B330" r:id="rId327"/>
    <hyperlink xmlns:r="http://schemas.openxmlformats.org/officeDocument/2006/relationships" ref="B331" r:id="rId328"/>
    <hyperlink xmlns:r="http://schemas.openxmlformats.org/officeDocument/2006/relationships" ref="B332" r:id="rId329"/>
    <hyperlink xmlns:r="http://schemas.openxmlformats.org/officeDocument/2006/relationships" ref="B333" r:id="rId330"/>
    <hyperlink xmlns:r="http://schemas.openxmlformats.org/officeDocument/2006/relationships" ref="B334" r:id="rId331"/>
    <hyperlink xmlns:r="http://schemas.openxmlformats.org/officeDocument/2006/relationships" ref="B335" r:id="rId332"/>
    <hyperlink xmlns:r="http://schemas.openxmlformats.org/officeDocument/2006/relationships" ref="B336" r:id="rId333"/>
    <hyperlink xmlns:r="http://schemas.openxmlformats.org/officeDocument/2006/relationships" ref="B337" r:id="rId334"/>
    <hyperlink xmlns:r="http://schemas.openxmlformats.org/officeDocument/2006/relationships" ref="B338" r:id="rId335"/>
    <hyperlink xmlns:r="http://schemas.openxmlformats.org/officeDocument/2006/relationships" ref="B339" r:id="rId336"/>
    <hyperlink xmlns:r="http://schemas.openxmlformats.org/officeDocument/2006/relationships" ref="B340" r:id="rId337"/>
    <hyperlink xmlns:r="http://schemas.openxmlformats.org/officeDocument/2006/relationships" ref="B341" r:id="rId338"/>
    <hyperlink xmlns:r="http://schemas.openxmlformats.org/officeDocument/2006/relationships" ref="B342" r:id="rId339"/>
    <hyperlink xmlns:r="http://schemas.openxmlformats.org/officeDocument/2006/relationships" ref="B343" r:id="rId340"/>
    <hyperlink xmlns:r="http://schemas.openxmlformats.org/officeDocument/2006/relationships" ref="B344" r:id="rId341"/>
    <hyperlink xmlns:r="http://schemas.openxmlformats.org/officeDocument/2006/relationships" ref="B345" r:id="rId342"/>
    <hyperlink xmlns:r="http://schemas.openxmlformats.org/officeDocument/2006/relationships" ref="B346" r:id="rId343"/>
    <hyperlink xmlns:r="http://schemas.openxmlformats.org/officeDocument/2006/relationships" ref="B347" r:id="rId344"/>
    <hyperlink xmlns:r="http://schemas.openxmlformats.org/officeDocument/2006/relationships" ref="B348" r:id="rId345"/>
    <hyperlink xmlns:r="http://schemas.openxmlformats.org/officeDocument/2006/relationships" ref="B349" r:id="rId346"/>
    <hyperlink xmlns:r="http://schemas.openxmlformats.org/officeDocument/2006/relationships" ref="B350" r:id="rId347"/>
    <hyperlink xmlns:r="http://schemas.openxmlformats.org/officeDocument/2006/relationships" ref="B351" r:id="rId348"/>
    <hyperlink xmlns:r="http://schemas.openxmlformats.org/officeDocument/2006/relationships" ref="B352" r:id="rId349"/>
    <hyperlink xmlns:r="http://schemas.openxmlformats.org/officeDocument/2006/relationships" ref="B353" r:id="rId350"/>
    <hyperlink xmlns:r="http://schemas.openxmlformats.org/officeDocument/2006/relationships" ref="B354" r:id="rId351"/>
    <hyperlink xmlns:r="http://schemas.openxmlformats.org/officeDocument/2006/relationships" ref="B355" r:id="rId352"/>
    <hyperlink xmlns:r="http://schemas.openxmlformats.org/officeDocument/2006/relationships" ref="B356" r:id="rId353"/>
    <hyperlink xmlns:r="http://schemas.openxmlformats.org/officeDocument/2006/relationships" ref="B357" r:id="rId354"/>
    <hyperlink xmlns:r="http://schemas.openxmlformats.org/officeDocument/2006/relationships" ref="B358" r:id="rId355"/>
    <hyperlink xmlns:r="http://schemas.openxmlformats.org/officeDocument/2006/relationships" ref="B359" r:id="rId356"/>
    <hyperlink xmlns:r="http://schemas.openxmlformats.org/officeDocument/2006/relationships" ref="B360" r:id="rId357"/>
    <hyperlink xmlns:r="http://schemas.openxmlformats.org/officeDocument/2006/relationships" ref="B361" r:id="rId358"/>
    <hyperlink xmlns:r="http://schemas.openxmlformats.org/officeDocument/2006/relationships" ref="B362" r:id="rId359"/>
    <hyperlink xmlns:r="http://schemas.openxmlformats.org/officeDocument/2006/relationships" ref="B363" r:id="rId360"/>
    <hyperlink xmlns:r="http://schemas.openxmlformats.org/officeDocument/2006/relationships" ref="B364" r:id="rId361"/>
    <hyperlink xmlns:r="http://schemas.openxmlformats.org/officeDocument/2006/relationships" ref="B365" r:id="rId362"/>
    <hyperlink xmlns:r="http://schemas.openxmlformats.org/officeDocument/2006/relationships" ref="B366" r:id="rId363"/>
    <hyperlink xmlns:r="http://schemas.openxmlformats.org/officeDocument/2006/relationships" ref="B367" r:id="rId364"/>
    <hyperlink xmlns:r="http://schemas.openxmlformats.org/officeDocument/2006/relationships" ref="B368" r:id="rId365"/>
    <hyperlink xmlns:r="http://schemas.openxmlformats.org/officeDocument/2006/relationships" ref="B369" r:id="rId366"/>
    <hyperlink xmlns:r="http://schemas.openxmlformats.org/officeDocument/2006/relationships" ref="B370" r:id="rId367"/>
    <hyperlink xmlns:r="http://schemas.openxmlformats.org/officeDocument/2006/relationships" ref="B371" r:id="rId368"/>
    <hyperlink xmlns:r="http://schemas.openxmlformats.org/officeDocument/2006/relationships" ref="B372" r:id="rId369"/>
    <hyperlink xmlns:r="http://schemas.openxmlformats.org/officeDocument/2006/relationships" ref="B373" r:id="rId370"/>
    <hyperlink xmlns:r="http://schemas.openxmlformats.org/officeDocument/2006/relationships" ref="B374" r:id="rId371"/>
    <hyperlink xmlns:r="http://schemas.openxmlformats.org/officeDocument/2006/relationships" ref="B375" r:id="rId372"/>
    <hyperlink xmlns:r="http://schemas.openxmlformats.org/officeDocument/2006/relationships" ref="B376" r:id="rId373"/>
    <hyperlink xmlns:r="http://schemas.openxmlformats.org/officeDocument/2006/relationships" ref="B377" r:id="rId374"/>
    <hyperlink xmlns:r="http://schemas.openxmlformats.org/officeDocument/2006/relationships" ref="B378" r:id="rId375"/>
    <hyperlink xmlns:r="http://schemas.openxmlformats.org/officeDocument/2006/relationships" ref="B379" r:id="rId376"/>
    <hyperlink xmlns:r="http://schemas.openxmlformats.org/officeDocument/2006/relationships" ref="B380" r:id="rId377"/>
    <hyperlink xmlns:r="http://schemas.openxmlformats.org/officeDocument/2006/relationships" ref="B381" r:id="rId378"/>
    <hyperlink xmlns:r="http://schemas.openxmlformats.org/officeDocument/2006/relationships" ref="B382" r:id="rId379"/>
    <hyperlink xmlns:r="http://schemas.openxmlformats.org/officeDocument/2006/relationships" ref="B383" r:id="rId380"/>
    <hyperlink xmlns:r="http://schemas.openxmlformats.org/officeDocument/2006/relationships" ref="B384" r:id="rId381"/>
    <hyperlink xmlns:r="http://schemas.openxmlformats.org/officeDocument/2006/relationships" ref="B385" r:id="rId382"/>
    <hyperlink xmlns:r="http://schemas.openxmlformats.org/officeDocument/2006/relationships" ref="B386" r:id="rId383"/>
    <hyperlink xmlns:r="http://schemas.openxmlformats.org/officeDocument/2006/relationships" ref="B387" r:id="rId384"/>
    <hyperlink xmlns:r="http://schemas.openxmlformats.org/officeDocument/2006/relationships" ref="B388" r:id="rId385"/>
    <hyperlink xmlns:r="http://schemas.openxmlformats.org/officeDocument/2006/relationships" ref="B389" r:id="rId386"/>
    <hyperlink xmlns:r="http://schemas.openxmlformats.org/officeDocument/2006/relationships" ref="B390" r:id="rId387"/>
    <hyperlink xmlns:r="http://schemas.openxmlformats.org/officeDocument/2006/relationships" ref="B391" r:id="rId388"/>
    <hyperlink xmlns:r="http://schemas.openxmlformats.org/officeDocument/2006/relationships" ref="B392" r:id="rId389"/>
    <hyperlink xmlns:r="http://schemas.openxmlformats.org/officeDocument/2006/relationships" ref="B393" r:id="rId390"/>
    <hyperlink xmlns:r="http://schemas.openxmlformats.org/officeDocument/2006/relationships" ref="B394" r:id="rId391"/>
    <hyperlink xmlns:r="http://schemas.openxmlformats.org/officeDocument/2006/relationships" ref="B395" r:id="rId392"/>
    <hyperlink xmlns:r="http://schemas.openxmlformats.org/officeDocument/2006/relationships" ref="B396" r:id="rId393"/>
    <hyperlink xmlns:r="http://schemas.openxmlformats.org/officeDocument/2006/relationships" ref="B397" r:id="rId394"/>
    <hyperlink xmlns:r="http://schemas.openxmlformats.org/officeDocument/2006/relationships" ref="B398" r:id="rId395"/>
    <hyperlink xmlns:r="http://schemas.openxmlformats.org/officeDocument/2006/relationships" ref="B399" r:id="rId396"/>
    <hyperlink xmlns:r="http://schemas.openxmlformats.org/officeDocument/2006/relationships" ref="B400" r:id="rId397"/>
    <hyperlink xmlns:r="http://schemas.openxmlformats.org/officeDocument/2006/relationships" ref="B401" r:id="rId398"/>
    <hyperlink xmlns:r="http://schemas.openxmlformats.org/officeDocument/2006/relationships" ref="B402" r:id="rId399"/>
    <hyperlink xmlns:r="http://schemas.openxmlformats.org/officeDocument/2006/relationships" ref="B403" r:id="rId400"/>
    <hyperlink xmlns:r="http://schemas.openxmlformats.org/officeDocument/2006/relationships" ref="B404" r:id="rId401"/>
    <hyperlink xmlns:r="http://schemas.openxmlformats.org/officeDocument/2006/relationships" ref="B405" r:id="rId402"/>
    <hyperlink xmlns:r="http://schemas.openxmlformats.org/officeDocument/2006/relationships" ref="B406" r:id="rId403"/>
    <hyperlink xmlns:r="http://schemas.openxmlformats.org/officeDocument/2006/relationships" ref="B407" r:id="rId404"/>
    <hyperlink xmlns:r="http://schemas.openxmlformats.org/officeDocument/2006/relationships" ref="B408" r:id="rId405"/>
    <hyperlink xmlns:r="http://schemas.openxmlformats.org/officeDocument/2006/relationships" ref="B409" r:id="rId406"/>
    <hyperlink xmlns:r="http://schemas.openxmlformats.org/officeDocument/2006/relationships" ref="B410" r:id="rId407"/>
    <hyperlink xmlns:r="http://schemas.openxmlformats.org/officeDocument/2006/relationships" ref="B411" r:id="rId408"/>
    <hyperlink xmlns:r="http://schemas.openxmlformats.org/officeDocument/2006/relationships" ref="B412" r:id="rId409"/>
    <hyperlink xmlns:r="http://schemas.openxmlformats.org/officeDocument/2006/relationships" ref="B413" r:id="rId410"/>
    <hyperlink xmlns:r="http://schemas.openxmlformats.org/officeDocument/2006/relationships" ref="B414" r:id="rId411"/>
    <hyperlink xmlns:r="http://schemas.openxmlformats.org/officeDocument/2006/relationships" ref="B415" r:id="rId412"/>
    <hyperlink xmlns:r="http://schemas.openxmlformats.org/officeDocument/2006/relationships" ref="B416" r:id="rId413"/>
    <hyperlink xmlns:r="http://schemas.openxmlformats.org/officeDocument/2006/relationships" ref="B417" r:id="rId414"/>
    <hyperlink xmlns:r="http://schemas.openxmlformats.org/officeDocument/2006/relationships" ref="B418" r:id="rId415"/>
    <hyperlink xmlns:r="http://schemas.openxmlformats.org/officeDocument/2006/relationships" ref="B419" r:id="rId416"/>
    <hyperlink xmlns:r="http://schemas.openxmlformats.org/officeDocument/2006/relationships" ref="B420" r:id="rId417"/>
    <hyperlink xmlns:r="http://schemas.openxmlformats.org/officeDocument/2006/relationships" ref="B421" r:id="rId418"/>
    <hyperlink xmlns:r="http://schemas.openxmlformats.org/officeDocument/2006/relationships" ref="B422" r:id="rId419"/>
    <hyperlink xmlns:r="http://schemas.openxmlformats.org/officeDocument/2006/relationships" ref="B423" r:id="rId420"/>
    <hyperlink xmlns:r="http://schemas.openxmlformats.org/officeDocument/2006/relationships" ref="B424" r:id="rId421"/>
    <hyperlink xmlns:r="http://schemas.openxmlformats.org/officeDocument/2006/relationships" ref="B425" r:id="rId422"/>
    <hyperlink xmlns:r="http://schemas.openxmlformats.org/officeDocument/2006/relationships" ref="B426" r:id="rId423"/>
    <hyperlink xmlns:r="http://schemas.openxmlformats.org/officeDocument/2006/relationships" ref="B427" r:id="rId424"/>
    <hyperlink xmlns:r="http://schemas.openxmlformats.org/officeDocument/2006/relationships" ref="B428" r:id="rId425"/>
    <hyperlink xmlns:r="http://schemas.openxmlformats.org/officeDocument/2006/relationships" ref="B429" r:id="rId426"/>
    <hyperlink xmlns:r="http://schemas.openxmlformats.org/officeDocument/2006/relationships" ref="B430" r:id="rId427"/>
    <hyperlink xmlns:r="http://schemas.openxmlformats.org/officeDocument/2006/relationships" ref="B431" r:id="rId428"/>
    <hyperlink xmlns:r="http://schemas.openxmlformats.org/officeDocument/2006/relationships" ref="B432" r:id="rId429"/>
    <hyperlink xmlns:r="http://schemas.openxmlformats.org/officeDocument/2006/relationships" ref="B433" r:id="rId430"/>
    <hyperlink xmlns:r="http://schemas.openxmlformats.org/officeDocument/2006/relationships" ref="B434" r:id="rId431"/>
    <hyperlink xmlns:r="http://schemas.openxmlformats.org/officeDocument/2006/relationships" ref="B435" r:id="rId432"/>
    <hyperlink xmlns:r="http://schemas.openxmlformats.org/officeDocument/2006/relationships" ref="B436" r:id="rId433"/>
    <hyperlink xmlns:r="http://schemas.openxmlformats.org/officeDocument/2006/relationships" ref="B437" r:id="rId434"/>
    <hyperlink xmlns:r="http://schemas.openxmlformats.org/officeDocument/2006/relationships" ref="B438" r:id="rId435"/>
    <hyperlink xmlns:r="http://schemas.openxmlformats.org/officeDocument/2006/relationships" ref="B439" r:id="rId436"/>
    <hyperlink xmlns:r="http://schemas.openxmlformats.org/officeDocument/2006/relationships" ref="B440" r:id="rId437"/>
    <hyperlink xmlns:r="http://schemas.openxmlformats.org/officeDocument/2006/relationships" ref="B441" r:id="rId438"/>
    <hyperlink xmlns:r="http://schemas.openxmlformats.org/officeDocument/2006/relationships" ref="B442" r:id="rId439"/>
    <hyperlink xmlns:r="http://schemas.openxmlformats.org/officeDocument/2006/relationships" ref="B443" r:id="rId440"/>
    <hyperlink xmlns:r="http://schemas.openxmlformats.org/officeDocument/2006/relationships" ref="B444" r:id="rId441"/>
    <hyperlink xmlns:r="http://schemas.openxmlformats.org/officeDocument/2006/relationships" ref="B445" r:id="rId442"/>
    <hyperlink xmlns:r="http://schemas.openxmlformats.org/officeDocument/2006/relationships" ref="B446" r:id="rId443"/>
    <hyperlink xmlns:r="http://schemas.openxmlformats.org/officeDocument/2006/relationships" ref="B447" r:id="rId444"/>
    <hyperlink xmlns:r="http://schemas.openxmlformats.org/officeDocument/2006/relationships" ref="B448" r:id="rId445"/>
    <hyperlink xmlns:r="http://schemas.openxmlformats.org/officeDocument/2006/relationships" ref="B449" r:id="rId446"/>
    <hyperlink xmlns:r="http://schemas.openxmlformats.org/officeDocument/2006/relationships" ref="B450" r:id="rId447"/>
    <hyperlink xmlns:r="http://schemas.openxmlformats.org/officeDocument/2006/relationships" ref="B451" r:id="rId448"/>
    <hyperlink xmlns:r="http://schemas.openxmlformats.org/officeDocument/2006/relationships" ref="B452" r:id="rId449"/>
    <hyperlink xmlns:r="http://schemas.openxmlformats.org/officeDocument/2006/relationships" ref="B453" r:id="rId450"/>
    <hyperlink xmlns:r="http://schemas.openxmlformats.org/officeDocument/2006/relationships" ref="B454" r:id="rId451"/>
    <hyperlink xmlns:r="http://schemas.openxmlformats.org/officeDocument/2006/relationships" ref="B455" r:id="rId452"/>
    <hyperlink xmlns:r="http://schemas.openxmlformats.org/officeDocument/2006/relationships" ref="B456" r:id="rId453"/>
    <hyperlink xmlns:r="http://schemas.openxmlformats.org/officeDocument/2006/relationships" ref="B457" r:id="rId454"/>
    <hyperlink xmlns:r="http://schemas.openxmlformats.org/officeDocument/2006/relationships" ref="B458" r:id="rId455"/>
    <hyperlink xmlns:r="http://schemas.openxmlformats.org/officeDocument/2006/relationships" ref="B459" r:id="rId456"/>
    <hyperlink xmlns:r="http://schemas.openxmlformats.org/officeDocument/2006/relationships" ref="B460" r:id="rId457"/>
    <hyperlink xmlns:r="http://schemas.openxmlformats.org/officeDocument/2006/relationships" ref="B461" r:id="rId458"/>
    <hyperlink xmlns:r="http://schemas.openxmlformats.org/officeDocument/2006/relationships" ref="B462" r:id="rId459"/>
    <hyperlink xmlns:r="http://schemas.openxmlformats.org/officeDocument/2006/relationships" ref="B463" r:id="rId460"/>
    <hyperlink xmlns:r="http://schemas.openxmlformats.org/officeDocument/2006/relationships" ref="B464" r:id="rId461"/>
    <hyperlink xmlns:r="http://schemas.openxmlformats.org/officeDocument/2006/relationships" ref="B465" r:id="rId462"/>
    <hyperlink xmlns:r="http://schemas.openxmlformats.org/officeDocument/2006/relationships" ref="B466" r:id="rId463"/>
    <hyperlink xmlns:r="http://schemas.openxmlformats.org/officeDocument/2006/relationships" ref="B467" r:id="rId464"/>
    <hyperlink xmlns:r="http://schemas.openxmlformats.org/officeDocument/2006/relationships" ref="B468" r:id="rId465"/>
    <hyperlink xmlns:r="http://schemas.openxmlformats.org/officeDocument/2006/relationships" ref="B469" r:id="rId466"/>
    <hyperlink xmlns:r="http://schemas.openxmlformats.org/officeDocument/2006/relationships" ref="B470" r:id="rId467"/>
    <hyperlink xmlns:r="http://schemas.openxmlformats.org/officeDocument/2006/relationships" ref="B471" r:id="rId468"/>
    <hyperlink xmlns:r="http://schemas.openxmlformats.org/officeDocument/2006/relationships" ref="B472" r:id="rId469"/>
    <hyperlink xmlns:r="http://schemas.openxmlformats.org/officeDocument/2006/relationships" ref="B473" r:id="rId470"/>
    <hyperlink xmlns:r="http://schemas.openxmlformats.org/officeDocument/2006/relationships" ref="B474" r:id="rId471"/>
    <hyperlink xmlns:r="http://schemas.openxmlformats.org/officeDocument/2006/relationships" ref="B475" r:id="rId472"/>
    <hyperlink xmlns:r="http://schemas.openxmlformats.org/officeDocument/2006/relationships" ref="B476" r:id="rId473"/>
    <hyperlink xmlns:r="http://schemas.openxmlformats.org/officeDocument/2006/relationships" ref="B477" r:id="rId474"/>
    <hyperlink xmlns:r="http://schemas.openxmlformats.org/officeDocument/2006/relationships" ref="B478" r:id="rId475"/>
    <hyperlink xmlns:r="http://schemas.openxmlformats.org/officeDocument/2006/relationships" ref="B479" r:id="rId476"/>
    <hyperlink xmlns:r="http://schemas.openxmlformats.org/officeDocument/2006/relationships" ref="B480" r:id="rId477"/>
    <hyperlink xmlns:r="http://schemas.openxmlformats.org/officeDocument/2006/relationships" ref="B481" r:id="rId478"/>
    <hyperlink xmlns:r="http://schemas.openxmlformats.org/officeDocument/2006/relationships" ref="B482" r:id="rId479"/>
    <hyperlink xmlns:r="http://schemas.openxmlformats.org/officeDocument/2006/relationships" ref="B483" r:id="rId480"/>
    <hyperlink xmlns:r="http://schemas.openxmlformats.org/officeDocument/2006/relationships" ref="B484" r:id="rId481"/>
    <hyperlink xmlns:r="http://schemas.openxmlformats.org/officeDocument/2006/relationships" ref="B485" r:id="rId482"/>
    <hyperlink xmlns:r="http://schemas.openxmlformats.org/officeDocument/2006/relationships" ref="B486" r:id="rId483"/>
    <hyperlink xmlns:r="http://schemas.openxmlformats.org/officeDocument/2006/relationships" ref="B487" r:id="rId484"/>
    <hyperlink xmlns:r="http://schemas.openxmlformats.org/officeDocument/2006/relationships" ref="B488" r:id="rId485"/>
    <hyperlink xmlns:r="http://schemas.openxmlformats.org/officeDocument/2006/relationships" ref="B489" r:id="rId486"/>
    <hyperlink xmlns:r="http://schemas.openxmlformats.org/officeDocument/2006/relationships" ref="B490" r:id="rId487"/>
    <hyperlink xmlns:r="http://schemas.openxmlformats.org/officeDocument/2006/relationships" ref="B491" r:id="rId488"/>
    <hyperlink xmlns:r="http://schemas.openxmlformats.org/officeDocument/2006/relationships" ref="B492" r:id="rId489"/>
    <hyperlink xmlns:r="http://schemas.openxmlformats.org/officeDocument/2006/relationships" ref="B493" r:id="rId490"/>
    <hyperlink xmlns:r="http://schemas.openxmlformats.org/officeDocument/2006/relationships" ref="B494" r:id="rId491"/>
    <hyperlink xmlns:r="http://schemas.openxmlformats.org/officeDocument/2006/relationships" ref="B495" r:id="rId492"/>
    <hyperlink xmlns:r="http://schemas.openxmlformats.org/officeDocument/2006/relationships" ref="B496" r:id="rId493"/>
    <hyperlink xmlns:r="http://schemas.openxmlformats.org/officeDocument/2006/relationships" ref="B497" r:id="rId494"/>
    <hyperlink xmlns:r="http://schemas.openxmlformats.org/officeDocument/2006/relationships" ref="B498" r:id="rId495"/>
    <hyperlink xmlns:r="http://schemas.openxmlformats.org/officeDocument/2006/relationships" ref="B499" r:id="rId496"/>
    <hyperlink xmlns:r="http://schemas.openxmlformats.org/officeDocument/2006/relationships" ref="B500" r:id="rId497"/>
    <hyperlink xmlns:r="http://schemas.openxmlformats.org/officeDocument/2006/relationships" ref="B501" r:id="rId498"/>
    <hyperlink xmlns:r="http://schemas.openxmlformats.org/officeDocument/2006/relationships" ref="B502" r:id="rId499"/>
    <hyperlink xmlns:r="http://schemas.openxmlformats.org/officeDocument/2006/relationships" ref="B503" r:id="rId500"/>
    <hyperlink xmlns:r="http://schemas.openxmlformats.org/officeDocument/2006/relationships" ref="B504" r:id="rId501"/>
    <hyperlink xmlns:r="http://schemas.openxmlformats.org/officeDocument/2006/relationships" ref="B505" r:id="rId502"/>
    <hyperlink xmlns:r="http://schemas.openxmlformats.org/officeDocument/2006/relationships" ref="B506" r:id="rId503"/>
    <hyperlink xmlns:r="http://schemas.openxmlformats.org/officeDocument/2006/relationships" ref="B507" r:id="rId504"/>
    <hyperlink xmlns:r="http://schemas.openxmlformats.org/officeDocument/2006/relationships" ref="B508" r:id="rId505"/>
    <hyperlink xmlns:r="http://schemas.openxmlformats.org/officeDocument/2006/relationships" ref="B509" r:id="rId506"/>
    <hyperlink xmlns:r="http://schemas.openxmlformats.org/officeDocument/2006/relationships" ref="B510" r:id="rId507"/>
    <hyperlink xmlns:r="http://schemas.openxmlformats.org/officeDocument/2006/relationships" ref="B511" r:id="rId508"/>
    <hyperlink xmlns:r="http://schemas.openxmlformats.org/officeDocument/2006/relationships" ref="B512" r:id="rId509"/>
    <hyperlink xmlns:r="http://schemas.openxmlformats.org/officeDocument/2006/relationships" ref="B513" r:id="rId510"/>
    <hyperlink xmlns:r="http://schemas.openxmlformats.org/officeDocument/2006/relationships" ref="B514" r:id="rId511"/>
    <hyperlink xmlns:r="http://schemas.openxmlformats.org/officeDocument/2006/relationships" ref="B515" r:id="rId512"/>
    <hyperlink xmlns:r="http://schemas.openxmlformats.org/officeDocument/2006/relationships" ref="B516" r:id="rId513"/>
    <hyperlink xmlns:r="http://schemas.openxmlformats.org/officeDocument/2006/relationships" ref="B517" r:id="rId514"/>
    <hyperlink xmlns:r="http://schemas.openxmlformats.org/officeDocument/2006/relationships" ref="B518" r:id="rId515"/>
    <hyperlink xmlns:r="http://schemas.openxmlformats.org/officeDocument/2006/relationships" ref="B519" r:id="rId516"/>
    <hyperlink xmlns:r="http://schemas.openxmlformats.org/officeDocument/2006/relationships" ref="B520" r:id="rId517"/>
    <hyperlink xmlns:r="http://schemas.openxmlformats.org/officeDocument/2006/relationships" ref="B521" r:id="rId518"/>
    <hyperlink xmlns:r="http://schemas.openxmlformats.org/officeDocument/2006/relationships" ref="B522" r:id="rId519"/>
    <hyperlink xmlns:r="http://schemas.openxmlformats.org/officeDocument/2006/relationships" ref="B523" r:id="rId520"/>
    <hyperlink xmlns:r="http://schemas.openxmlformats.org/officeDocument/2006/relationships" ref="B524" r:id="rId521"/>
    <hyperlink xmlns:r="http://schemas.openxmlformats.org/officeDocument/2006/relationships" ref="B525" r:id="rId522"/>
    <hyperlink xmlns:r="http://schemas.openxmlformats.org/officeDocument/2006/relationships" ref="B526" r:id="rId523"/>
    <hyperlink xmlns:r="http://schemas.openxmlformats.org/officeDocument/2006/relationships" ref="B527" r:id="rId524"/>
    <hyperlink xmlns:r="http://schemas.openxmlformats.org/officeDocument/2006/relationships" ref="B528" r:id="rId525"/>
    <hyperlink xmlns:r="http://schemas.openxmlformats.org/officeDocument/2006/relationships" ref="B529" r:id="rId526"/>
    <hyperlink xmlns:r="http://schemas.openxmlformats.org/officeDocument/2006/relationships" ref="B530" r:id="rId527"/>
    <hyperlink xmlns:r="http://schemas.openxmlformats.org/officeDocument/2006/relationships" ref="B531" r:id="rId528"/>
    <hyperlink xmlns:r="http://schemas.openxmlformats.org/officeDocument/2006/relationships" ref="B532" r:id="rId529"/>
    <hyperlink xmlns:r="http://schemas.openxmlformats.org/officeDocument/2006/relationships" ref="B533" r:id="rId530"/>
    <hyperlink xmlns:r="http://schemas.openxmlformats.org/officeDocument/2006/relationships" ref="B534" r:id="rId531"/>
    <hyperlink xmlns:r="http://schemas.openxmlformats.org/officeDocument/2006/relationships" ref="B535" r:id="rId532"/>
    <hyperlink xmlns:r="http://schemas.openxmlformats.org/officeDocument/2006/relationships" ref="B536" r:id="rId533"/>
    <hyperlink xmlns:r="http://schemas.openxmlformats.org/officeDocument/2006/relationships" ref="B537" r:id="rId534"/>
    <hyperlink xmlns:r="http://schemas.openxmlformats.org/officeDocument/2006/relationships" ref="B538" r:id="rId535"/>
    <hyperlink xmlns:r="http://schemas.openxmlformats.org/officeDocument/2006/relationships" ref="B539" r:id="rId536"/>
    <hyperlink xmlns:r="http://schemas.openxmlformats.org/officeDocument/2006/relationships" ref="B540" r:id="rId537"/>
    <hyperlink xmlns:r="http://schemas.openxmlformats.org/officeDocument/2006/relationships" ref="B541" r:id="rId538"/>
    <hyperlink xmlns:r="http://schemas.openxmlformats.org/officeDocument/2006/relationships" ref="B542" r:id="rId539"/>
    <hyperlink xmlns:r="http://schemas.openxmlformats.org/officeDocument/2006/relationships" ref="B543" r:id="rId540"/>
    <hyperlink xmlns:r="http://schemas.openxmlformats.org/officeDocument/2006/relationships" ref="B544" r:id="rId541"/>
    <hyperlink xmlns:r="http://schemas.openxmlformats.org/officeDocument/2006/relationships" ref="B545" r:id="rId542"/>
    <hyperlink xmlns:r="http://schemas.openxmlformats.org/officeDocument/2006/relationships" ref="B546" r:id="rId543"/>
    <hyperlink xmlns:r="http://schemas.openxmlformats.org/officeDocument/2006/relationships" ref="B547" r:id="rId544"/>
    <hyperlink xmlns:r="http://schemas.openxmlformats.org/officeDocument/2006/relationships" ref="B548" r:id="rId545"/>
    <hyperlink xmlns:r="http://schemas.openxmlformats.org/officeDocument/2006/relationships" ref="B549" r:id="rId546"/>
    <hyperlink xmlns:r="http://schemas.openxmlformats.org/officeDocument/2006/relationships" ref="B550" r:id="rId547"/>
    <hyperlink xmlns:r="http://schemas.openxmlformats.org/officeDocument/2006/relationships" ref="B551" r:id="rId548"/>
    <hyperlink xmlns:r="http://schemas.openxmlformats.org/officeDocument/2006/relationships" ref="B552" r:id="rId549"/>
    <hyperlink xmlns:r="http://schemas.openxmlformats.org/officeDocument/2006/relationships" ref="B553" r:id="rId550"/>
    <hyperlink xmlns:r="http://schemas.openxmlformats.org/officeDocument/2006/relationships" ref="B554" r:id="rId551"/>
    <hyperlink xmlns:r="http://schemas.openxmlformats.org/officeDocument/2006/relationships" ref="B555" r:id="rId552"/>
    <hyperlink xmlns:r="http://schemas.openxmlformats.org/officeDocument/2006/relationships" ref="B556" r:id="rId553"/>
    <hyperlink xmlns:r="http://schemas.openxmlformats.org/officeDocument/2006/relationships" ref="B557" r:id="rId554"/>
    <hyperlink xmlns:r="http://schemas.openxmlformats.org/officeDocument/2006/relationships" ref="B558" r:id="rId555"/>
    <hyperlink xmlns:r="http://schemas.openxmlformats.org/officeDocument/2006/relationships" ref="B559" r:id="rId556"/>
    <hyperlink xmlns:r="http://schemas.openxmlformats.org/officeDocument/2006/relationships" ref="B560" r:id="rId557"/>
    <hyperlink xmlns:r="http://schemas.openxmlformats.org/officeDocument/2006/relationships" ref="B561" r:id="rId558"/>
    <hyperlink xmlns:r="http://schemas.openxmlformats.org/officeDocument/2006/relationships" ref="B562" r:id="rId559"/>
    <hyperlink xmlns:r="http://schemas.openxmlformats.org/officeDocument/2006/relationships" ref="B563" r:id="rId560"/>
    <hyperlink xmlns:r="http://schemas.openxmlformats.org/officeDocument/2006/relationships" ref="B564" r:id="rId561"/>
    <hyperlink xmlns:r="http://schemas.openxmlformats.org/officeDocument/2006/relationships" ref="B565" r:id="rId562"/>
    <hyperlink xmlns:r="http://schemas.openxmlformats.org/officeDocument/2006/relationships" ref="B566" r:id="rId563"/>
    <hyperlink xmlns:r="http://schemas.openxmlformats.org/officeDocument/2006/relationships" ref="B567" r:id="rId564"/>
    <hyperlink xmlns:r="http://schemas.openxmlformats.org/officeDocument/2006/relationships" ref="B568" r:id="rId565"/>
    <hyperlink xmlns:r="http://schemas.openxmlformats.org/officeDocument/2006/relationships" ref="B569" r:id="rId566"/>
    <hyperlink xmlns:r="http://schemas.openxmlformats.org/officeDocument/2006/relationships" ref="B570" r:id="rId567"/>
    <hyperlink xmlns:r="http://schemas.openxmlformats.org/officeDocument/2006/relationships" ref="B571" r:id="rId568"/>
    <hyperlink xmlns:r="http://schemas.openxmlformats.org/officeDocument/2006/relationships" ref="B572" r:id="rId569"/>
    <hyperlink xmlns:r="http://schemas.openxmlformats.org/officeDocument/2006/relationships" ref="B573" r:id="rId570"/>
    <hyperlink xmlns:r="http://schemas.openxmlformats.org/officeDocument/2006/relationships" ref="B574" r:id="rId571"/>
    <hyperlink xmlns:r="http://schemas.openxmlformats.org/officeDocument/2006/relationships" ref="B575" r:id="rId572"/>
    <hyperlink xmlns:r="http://schemas.openxmlformats.org/officeDocument/2006/relationships" ref="B576" r:id="rId573"/>
    <hyperlink xmlns:r="http://schemas.openxmlformats.org/officeDocument/2006/relationships" ref="B577" r:id="rId574"/>
    <hyperlink xmlns:r="http://schemas.openxmlformats.org/officeDocument/2006/relationships" ref="B578" r:id="rId575"/>
    <hyperlink xmlns:r="http://schemas.openxmlformats.org/officeDocument/2006/relationships" ref="B579" r:id="rId576"/>
    <hyperlink xmlns:r="http://schemas.openxmlformats.org/officeDocument/2006/relationships" ref="B580" r:id="rId577"/>
    <hyperlink xmlns:r="http://schemas.openxmlformats.org/officeDocument/2006/relationships" ref="B581" r:id="rId578"/>
    <hyperlink xmlns:r="http://schemas.openxmlformats.org/officeDocument/2006/relationships" ref="B582" r:id="rId579"/>
    <hyperlink xmlns:r="http://schemas.openxmlformats.org/officeDocument/2006/relationships" ref="B583" r:id="rId580"/>
    <hyperlink xmlns:r="http://schemas.openxmlformats.org/officeDocument/2006/relationships" ref="B584" r:id="rId581"/>
    <hyperlink xmlns:r="http://schemas.openxmlformats.org/officeDocument/2006/relationships" ref="B585" r:id="rId582"/>
    <hyperlink xmlns:r="http://schemas.openxmlformats.org/officeDocument/2006/relationships" ref="B586" r:id="rId583"/>
    <hyperlink xmlns:r="http://schemas.openxmlformats.org/officeDocument/2006/relationships" ref="B587" r:id="rId584"/>
    <hyperlink xmlns:r="http://schemas.openxmlformats.org/officeDocument/2006/relationships" ref="B588" r:id="rId585"/>
    <hyperlink xmlns:r="http://schemas.openxmlformats.org/officeDocument/2006/relationships" ref="B589" r:id="rId586"/>
    <hyperlink xmlns:r="http://schemas.openxmlformats.org/officeDocument/2006/relationships" ref="B590" r:id="rId587"/>
    <hyperlink xmlns:r="http://schemas.openxmlformats.org/officeDocument/2006/relationships" ref="B591" r:id="rId588"/>
    <hyperlink xmlns:r="http://schemas.openxmlformats.org/officeDocument/2006/relationships" ref="B592" r:id="rId589"/>
    <hyperlink xmlns:r="http://schemas.openxmlformats.org/officeDocument/2006/relationships" ref="B593" r:id="rId590"/>
    <hyperlink xmlns:r="http://schemas.openxmlformats.org/officeDocument/2006/relationships" ref="B594" r:id="rId591"/>
    <hyperlink xmlns:r="http://schemas.openxmlformats.org/officeDocument/2006/relationships" ref="B595" r:id="rId592"/>
    <hyperlink xmlns:r="http://schemas.openxmlformats.org/officeDocument/2006/relationships" ref="B596" r:id="rId593"/>
    <hyperlink xmlns:r="http://schemas.openxmlformats.org/officeDocument/2006/relationships" ref="B597" r:id="rId594"/>
    <hyperlink xmlns:r="http://schemas.openxmlformats.org/officeDocument/2006/relationships" ref="B598" r:id="rId595"/>
    <hyperlink xmlns:r="http://schemas.openxmlformats.org/officeDocument/2006/relationships" ref="B599" r:id="rId596"/>
    <hyperlink xmlns:r="http://schemas.openxmlformats.org/officeDocument/2006/relationships" ref="B600" r:id="rId597"/>
    <hyperlink xmlns:r="http://schemas.openxmlformats.org/officeDocument/2006/relationships" ref="B601" r:id="rId598"/>
    <hyperlink xmlns:r="http://schemas.openxmlformats.org/officeDocument/2006/relationships" ref="B602" r:id="rId599"/>
    <hyperlink xmlns:r="http://schemas.openxmlformats.org/officeDocument/2006/relationships" ref="B603" r:id="rId600"/>
    <hyperlink xmlns:r="http://schemas.openxmlformats.org/officeDocument/2006/relationships" ref="B604" r:id="rId601"/>
    <hyperlink xmlns:r="http://schemas.openxmlformats.org/officeDocument/2006/relationships" ref="B605" r:id="rId602"/>
    <hyperlink xmlns:r="http://schemas.openxmlformats.org/officeDocument/2006/relationships" ref="B606" r:id="rId603"/>
    <hyperlink xmlns:r="http://schemas.openxmlformats.org/officeDocument/2006/relationships" ref="B607" r:id="rId604"/>
    <hyperlink xmlns:r="http://schemas.openxmlformats.org/officeDocument/2006/relationships" ref="B608" r:id="rId605"/>
    <hyperlink xmlns:r="http://schemas.openxmlformats.org/officeDocument/2006/relationships" ref="B609" r:id="rId606"/>
    <hyperlink xmlns:r="http://schemas.openxmlformats.org/officeDocument/2006/relationships" ref="B610" r:id="rId607"/>
    <hyperlink xmlns:r="http://schemas.openxmlformats.org/officeDocument/2006/relationships" ref="B611" r:id="rId608"/>
    <hyperlink xmlns:r="http://schemas.openxmlformats.org/officeDocument/2006/relationships" ref="B612" r:id="rId609"/>
    <hyperlink xmlns:r="http://schemas.openxmlformats.org/officeDocument/2006/relationships" ref="B613" r:id="rId610"/>
    <hyperlink xmlns:r="http://schemas.openxmlformats.org/officeDocument/2006/relationships" ref="B614" r:id="rId611"/>
    <hyperlink xmlns:r="http://schemas.openxmlformats.org/officeDocument/2006/relationships" ref="B615" r:id="rId612"/>
    <hyperlink xmlns:r="http://schemas.openxmlformats.org/officeDocument/2006/relationships" ref="B616" r:id="rId613"/>
    <hyperlink xmlns:r="http://schemas.openxmlformats.org/officeDocument/2006/relationships" ref="B617" r:id="rId614"/>
    <hyperlink xmlns:r="http://schemas.openxmlformats.org/officeDocument/2006/relationships" ref="B618" r:id="rId615"/>
    <hyperlink xmlns:r="http://schemas.openxmlformats.org/officeDocument/2006/relationships" ref="B619" r:id="rId616"/>
    <hyperlink xmlns:r="http://schemas.openxmlformats.org/officeDocument/2006/relationships" ref="B620" r:id="rId617"/>
    <hyperlink xmlns:r="http://schemas.openxmlformats.org/officeDocument/2006/relationships" ref="B621" r:id="rId618"/>
    <hyperlink xmlns:r="http://schemas.openxmlformats.org/officeDocument/2006/relationships" ref="B622" r:id="rId619"/>
    <hyperlink xmlns:r="http://schemas.openxmlformats.org/officeDocument/2006/relationships" ref="B623" r:id="rId620"/>
    <hyperlink xmlns:r="http://schemas.openxmlformats.org/officeDocument/2006/relationships" ref="B624" r:id="rId621"/>
    <hyperlink xmlns:r="http://schemas.openxmlformats.org/officeDocument/2006/relationships" ref="B625" r:id="rId622"/>
    <hyperlink xmlns:r="http://schemas.openxmlformats.org/officeDocument/2006/relationships" ref="B626" r:id="rId623"/>
    <hyperlink xmlns:r="http://schemas.openxmlformats.org/officeDocument/2006/relationships" ref="B627" r:id="rId624"/>
    <hyperlink xmlns:r="http://schemas.openxmlformats.org/officeDocument/2006/relationships" ref="B628" r:id="rId625"/>
    <hyperlink xmlns:r="http://schemas.openxmlformats.org/officeDocument/2006/relationships" ref="B629" r:id="rId626"/>
    <hyperlink xmlns:r="http://schemas.openxmlformats.org/officeDocument/2006/relationships" ref="B630" r:id="rId627"/>
    <hyperlink xmlns:r="http://schemas.openxmlformats.org/officeDocument/2006/relationships" ref="B631" r:id="rId628"/>
    <hyperlink xmlns:r="http://schemas.openxmlformats.org/officeDocument/2006/relationships" ref="B632" r:id="rId629"/>
    <hyperlink xmlns:r="http://schemas.openxmlformats.org/officeDocument/2006/relationships" ref="B633" r:id="rId630"/>
    <hyperlink xmlns:r="http://schemas.openxmlformats.org/officeDocument/2006/relationships" ref="B634" r:id="rId631"/>
    <hyperlink xmlns:r="http://schemas.openxmlformats.org/officeDocument/2006/relationships" ref="B635" r:id="rId632"/>
    <hyperlink xmlns:r="http://schemas.openxmlformats.org/officeDocument/2006/relationships" ref="B636" r:id="rId633"/>
    <hyperlink xmlns:r="http://schemas.openxmlformats.org/officeDocument/2006/relationships" ref="B637" r:id="rId634"/>
    <hyperlink xmlns:r="http://schemas.openxmlformats.org/officeDocument/2006/relationships" ref="B638" r:id="rId635"/>
    <hyperlink xmlns:r="http://schemas.openxmlformats.org/officeDocument/2006/relationships" ref="B639" r:id="rId636"/>
    <hyperlink xmlns:r="http://schemas.openxmlformats.org/officeDocument/2006/relationships" ref="B640" r:id="rId637"/>
    <hyperlink xmlns:r="http://schemas.openxmlformats.org/officeDocument/2006/relationships" ref="B641" r:id="rId638"/>
    <hyperlink xmlns:r="http://schemas.openxmlformats.org/officeDocument/2006/relationships" ref="B642" r:id="rId639"/>
    <hyperlink xmlns:r="http://schemas.openxmlformats.org/officeDocument/2006/relationships" ref="B643" r:id="rId640"/>
    <hyperlink xmlns:r="http://schemas.openxmlformats.org/officeDocument/2006/relationships" ref="B644" r:id="rId641"/>
    <hyperlink xmlns:r="http://schemas.openxmlformats.org/officeDocument/2006/relationships" ref="B645" r:id="rId642"/>
    <hyperlink xmlns:r="http://schemas.openxmlformats.org/officeDocument/2006/relationships" ref="B646" r:id="rId643"/>
    <hyperlink xmlns:r="http://schemas.openxmlformats.org/officeDocument/2006/relationships" ref="B647" r:id="rId644"/>
    <hyperlink xmlns:r="http://schemas.openxmlformats.org/officeDocument/2006/relationships" ref="B648" r:id="rId645"/>
    <hyperlink xmlns:r="http://schemas.openxmlformats.org/officeDocument/2006/relationships" ref="B649" r:id="rId646"/>
    <hyperlink xmlns:r="http://schemas.openxmlformats.org/officeDocument/2006/relationships" ref="B650" r:id="rId647"/>
    <hyperlink xmlns:r="http://schemas.openxmlformats.org/officeDocument/2006/relationships" ref="B651" r:id="rId648"/>
    <hyperlink xmlns:r="http://schemas.openxmlformats.org/officeDocument/2006/relationships" ref="B652" r:id="rId649"/>
    <hyperlink xmlns:r="http://schemas.openxmlformats.org/officeDocument/2006/relationships" ref="B653" r:id="rId650"/>
    <hyperlink xmlns:r="http://schemas.openxmlformats.org/officeDocument/2006/relationships" ref="B654" r:id="rId651"/>
    <hyperlink xmlns:r="http://schemas.openxmlformats.org/officeDocument/2006/relationships" ref="B655" r:id="rId652"/>
    <hyperlink xmlns:r="http://schemas.openxmlformats.org/officeDocument/2006/relationships" ref="B656" r:id="rId653"/>
    <hyperlink xmlns:r="http://schemas.openxmlformats.org/officeDocument/2006/relationships" ref="B657" r:id="rId654"/>
    <hyperlink xmlns:r="http://schemas.openxmlformats.org/officeDocument/2006/relationships" ref="B658" r:id="rId655"/>
    <hyperlink xmlns:r="http://schemas.openxmlformats.org/officeDocument/2006/relationships" ref="B659" r:id="rId656"/>
    <hyperlink xmlns:r="http://schemas.openxmlformats.org/officeDocument/2006/relationships" ref="B660" r:id="rId657"/>
    <hyperlink xmlns:r="http://schemas.openxmlformats.org/officeDocument/2006/relationships" ref="B661" r:id="rId658"/>
    <hyperlink xmlns:r="http://schemas.openxmlformats.org/officeDocument/2006/relationships" ref="B662" r:id="rId659"/>
    <hyperlink xmlns:r="http://schemas.openxmlformats.org/officeDocument/2006/relationships" ref="B663" r:id="rId660"/>
    <hyperlink xmlns:r="http://schemas.openxmlformats.org/officeDocument/2006/relationships" ref="B664" r:id="rId661"/>
    <hyperlink xmlns:r="http://schemas.openxmlformats.org/officeDocument/2006/relationships" ref="B665" r:id="rId662"/>
    <hyperlink xmlns:r="http://schemas.openxmlformats.org/officeDocument/2006/relationships" ref="B666" r:id="rId663"/>
    <hyperlink xmlns:r="http://schemas.openxmlformats.org/officeDocument/2006/relationships" ref="B667" r:id="rId664"/>
    <hyperlink xmlns:r="http://schemas.openxmlformats.org/officeDocument/2006/relationships" ref="B668" r:id="rId665"/>
    <hyperlink xmlns:r="http://schemas.openxmlformats.org/officeDocument/2006/relationships" ref="B669" r:id="rId666"/>
    <hyperlink xmlns:r="http://schemas.openxmlformats.org/officeDocument/2006/relationships" ref="B670" r:id="rId667"/>
    <hyperlink xmlns:r="http://schemas.openxmlformats.org/officeDocument/2006/relationships" ref="B671" r:id="rId668"/>
    <hyperlink xmlns:r="http://schemas.openxmlformats.org/officeDocument/2006/relationships" ref="B672" r:id="rId669"/>
    <hyperlink xmlns:r="http://schemas.openxmlformats.org/officeDocument/2006/relationships" ref="B673" r:id="rId670"/>
    <hyperlink xmlns:r="http://schemas.openxmlformats.org/officeDocument/2006/relationships" ref="B674" r:id="rId671"/>
    <hyperlink xmlns:r="http://schemas.openxmlformats.org/officeDocument/2006/relationships" ref="B675" r:id="rId672"/>
    <hyperlink xmlns:r="http://schemas.openxmlformats.org/officeDocument/2006/relationships" ref="B676" r:id="rId673"/>
    <hyperlink xmlns:r="http://schemas.openxmlformats.org/officeDocument/2006/relationships" ref="B677" r:id="rId674"/>
    <hyperlink xmlns:r="http://schemas.openxmlformats.org/officeDocument/2006/relationships" ref="B678" r:id="rId675"/>
    <hyperlink xmlns:r="http://schemas.openxmlformats.org/officeDocument/2006/relationships" ref="B679" r:id="rId676"/>
    <hyperlink xmlns:r="http://schemas.openxmlformats.org/officeDocument/2006/relationships" ref="B680" r:id="rId677"/>
    <hyperlink xmlns:r="http://schemas.openxmlformats.org/officeDocument/2006/relationships" ref="B681" r:id="rId678"/>
    <hyperlink xmlns:r="http://schemas.openxmlformats.org/officeDocument/2006/relationships" ref="B682" r:id="rId679"/>
    <hyperlink xmlns:r="http://schemas.openxmlformats.org/officeDocument/2006/relationships" ref="B683" r:id="rId680"/>
    <hyperlink xmlns:r="http://schemas.openxmlformats.org/officeDocument/2006/relationships" ref="B684" r:id="rId681"/>
    <hyperlink xmlns:r="http://schemas.openxmlformats.org/officeDocument/2006/relationships" ref="B685" r:id="rId682"/>
    <hyperlink xmlns:r="http://schemas.openxmlformats.org/officeDocument/2006/relationships" ref="B686" r:id="rId683"/>
    <hyperlink xmlns:r="http://schemas.openxmlformats.org/officeDocument/2006/relationships" ref="B687" r:id="rId684"/>
    <hyperlink xmlns:r="http://schemas.openxmlformats.org/officeDocument/2006/relationships" ref="B688" r:id="rId685"/>
    <hyperlink xmlns:r="http://schemas.openxmlformats.org/officeDocument/2006/relationships" ref="B689" r:id="rId686"/>
    <hyperlink xmlns:r="http://schemas.openxmlformats.org/officeDocument/2006/relationships" ref="B690" r:id="rId687"/>
    <hyperlink xmlns:r="http://schemas.openxmlformats.org/officeDocument/2006/relationships" ref="B691" r:id="rId688"/>
    <hyperlink xmlns:r="http://schemas.openxmlformats.org/officeDocument/2006/relationships" ref="B692" r:id="rId689"/>
    <hyperlink xmlns:r="http://schemas.openxmlformats.org/officeDocument/2006/relationships" ref="B693" r:id="rId690"/>
    <hyperlink xmlns:r="http://schemas.openxmlformats.org/officeDocument/2006/relationships" ref="B694" r:id="rId691"/>
    <hyperlink xmlns:r="http://schemas.openxmlformats.org/officeDocument/2006/relationships" ref="B695" r:id="rId692"/>
    <hyperlink xmlns:r="http://schemas.openxmlformats.org/officeDocument/2006/relationships" ref="B696" r:id="rId693"/>
    <hyperlink xmlns:r="http://schemas.openxmlformats.org/officeDocument/2006/relationships" ref="B697" r:id="rId694"/>
    <hyperlink xmlns:r="http://schemas.openxmlformats.org/officeDocument/2006/relationships" ref="B698" r:id="rId695"/>
    <hyperlink xmlns:r="http://schemas.openxmlformats.org/officeDocument/2006/relationships" ref="B699" r:id="rId696"/>
    <hyperlink xmlns:r="http://schemas.openxmlformats.org/officeDocument/2006/relationships" ref="B700" r:id="rId697"/>
    <hyperlink xmlns:r="http://schemas.openxmlformats.org/officeDocument/2006/relationships" ref="B701" r:id="rId698"/>
    <hyperlink xmlns:r="http://schemas.openxmlformats.org/officeDocument/2006/relationships" ref="B702" r:id="rId699"/>
    <hyperlink xmlns:r="http://schemas.openxmlformats.org/officeDocument/2006/relationships" ref="B703" r:id="rId700"/>
    <hyperlink xmlns:r="http://schemas.openxmlformats.org/officeDocument/2006/relationships" ref="B704" r:id="rId701"/>
    <hyperlink xmlns:r="http://schemas.openxmlformats.org/officeDocument/2006/relationships" ref="B705" r:id="rId702"/>
    <hyperlink xmlns:r="http://schemas.openxmlformats.org/officeDocument/2006/relationships" ref="B706" r:id="rId703"/>
    <hyperlink xmlns:r="http://schemas.openxmlformats.org/officeDocument/2006/relationships" ref="B707" r:id="rId704"/>
    <hyperlink xmlns:r="http://schemas.openxmlformats.org/officeDocument/2006/relationships" ref="B708" r:id="rId705"/>
    <hyperlink xmlns:r="http://schemas.openxmlformats.org/officeDocument/2006/relationships" ref="B709" r:id="rId706"/>
    <hyperlink xmlns:r="http://schemas.openxmlformats.org/officeDocument/2006/relationships" ref="B710" r:id="rId707"/>
    <hyperlink xmlns:r="http://schemas.openxmlformats.org/officeDocument/2006/relationships" ref="B711" r:id="rId708"/>
    <hyperlink xmlns:r="http://schemas.openxmlformats.org/officeDocument/2006/relationships" ref="B712" r:id="rId709"/>
    <hyperlink xmlns:r="http://schemas.openxmlformats.org/officeDocument/2006/relationships" ref="B713" r:id="rId710"/>
    <hyperlink xmlns:r="http://schemas.openxmlformats.org/officeDocument/2006/relationships" ref="B714" r:id="rId711"/>
    <hyperlink xmlns:r="http://schemas.openxmlformats.org/officeDocument/2006/relationships" ref="B715" r:id="rId712"/>
    <hyperlink xmlns:r="http://schemas.openxmlformats.org/officeDocument/2006/relationships" ref="B716" r:id="rId713"/>
    <hyperlink xmlns:r="http://schemas.openxmlformats.org/officeDocument/2006/relationships" ref="B717" r:id="rId714"/>
    <hyperlink xmlns:r="http://schemas.openxmlformats.org/officeDocument/2006/relationships" ref="B718" r:id="rId715"/>
    <hyperlink xmlns:r="http://schemas.openxmlformats.org/officeDocument/2006/relationships" ref="B719" r:id="rId716"/>
    <hyperlink xmlns:r="http://schemas.openxmlformats.org/officeDocument/2006/relationships" ref="B720" r:id="rId717"/>
    <hyperlink xmlns:r="http://schemas.openxmlformats.org/officeDocument/2006/relationships" ref="B721" r:id="rId718"/>
    <hyperlink xmlns:r="http://schemas.openxmlformats.org/officeDocument/2006/relationships" ref="B722" r:id="rId719"/>
    <hyperlink xmlns:r="http://schemas.openxmlformats.org/officeDocument/2006/relationships" ref="B723" r:id="rId720"/>
    <hyperlink xmlns:r="http://schemas.openxmlformats.org/officeDocument/2006/relationships" ref="B724" r:id="rId721"/>
    <hyperlink xmlns:r="http://schemas.openxmlformats.org/officeDocument/2006/relationships" ref="B725" r:id="rId722"/>
    <hyperlink xmlns:r="http://schemas.openxmlformats.org/officeDocument/2006/relationships" ref="B726" r:id="rId723"/>
    <hyperlink xmlns:r="http://schemas.openxmlformats.org/officeDocument/2006/relationships" ref="B727" r:id="rId724"/>
    <hyperlink xmlns:r="http://schemas.openxmlformats.org/officeDocument/2006/relationships" ref="B728" r:id="rId725"/>
    <hyperlink xmlns:r="http://schemas.openxmlformats.org/officeDocument/2006/relationships" ref="B729" r:id="rId726"/>
    <hyperlink xmlns:r="http://schemas.openxmlformats.org/officeDocument/2006/relationships" ref="B730" r:id="rId727"/>
    <hyperlink xmlns:r="http://schemas.openxmlformats.org/officeDocument/2006/relationships" ref="B731" r:id="rId728"/>
    <hyperlink xmlns:r="http://schemas.openxmlformats.org/officeDocument/2006/relationships" ref="B732" r:id="rId729"/>
    <hyperlink xmlns:r="http://schemas.openxmlformats.org/officeDocument/2006/relationships" ref="B733" r:id="rId730"/>
    <hyperlink xmlns:r="http://schemas.openxmlformats.org/officeDocument/2006/relationships" ref="B734" r:id="rId731"/>
    <hyperlink xmlns:r="http://schemas.openxmlformats.org/officeDocument/2006/relationships" ref="B735" r:id="rId732"/>
    <hyperlink xmlns:r="http://schemas.openxmlformats.org/officeDocument/2006/relationships" ref="B736" r:id="rId733"/>
    <hyperlink xmlns:r="http://schemas.openxmlformats.org/officeDocument/2006/relationships" ref="B737" r:id="rId734"/>
    <hyperlink xmlns:r="http://schemas.openxmlformats.org/officeDocument/2006/relationships" ref="B738" r:id="rId735"/>
    <hyperlink xmlns:r="http://schemas.openxmlformats.org/officeDocument/2006/relationships" ref="B739" r:id="rId736"/>
    <hyperlink xmlns:r="http://schemas.openxmlformats.org/officeDocument/2006/relationships" ref="B740" r:id="rId737"/>
    <hyperlink xmlns:r="http://schemas.openxmlformats.org/officeDocument/2006/relationships" ref="B741" r:id="rId738"/>
    <hyperlink xmlns:r="http://schemas.openxmlformats.org/officeDocument/2006/relationships" ref="B742" r:id="rId739"/>
    <hyperlink xmlns:r="http://schemas.openxmlformats.org/officeDocument/2006/relationships" ref="B743" r:id="rId740"/>
    <hyperlink xmlns:r="http://schemas.openxmlformats.org/officeDocument/2006/relationships" ref="B744" r:id="rId741"/>
    <hyperlink xmlns:r="http://schemas.openxmlformats.org/officeDocument/2006/relationships" ref="B745" r:id="rId742"/>
    <hyperlink xmlns:r="http://schemas.openxmlformats.org/officeDocument/2006/relationships" ref="B746" r:id="rId743"/>
    <hyperlink xmlns:r="http://schemas.openxmlformats.org/officeDocument/2006/relationships" ref="B747" r:id="rId744"/>
    <hyperlink xmlns:r="http://schemas.openxmlformats.org/officeDocument/2006/relationships" ref="B748" r:id="rId745"/>
    <hyperlink xmlns:r="http://schemas.openxmlformats.org/officeDocument/2006/relationships" ref="B749" r:id="rId746"/>
    <hyperlink xmlns:r="http://schemas.openxmlformats.org/officeDocument/2006/relationships" ref="B750" r:id="rId747"/>
    <hyperlink xmlns:r="http://schemas.openxmlformats.org/officeDocument/2006/relationships" ref="B751" r:id="rId748"/>
    <hyperlink xmlns:r="http://schemas.openxmlformats.org/officeDocument/2006/relationships" ref="B752" r:id="rId749"/>
    <hyperlink xmlns:r="http://schemas.openxmlformats.org/officeDocument/2006/relationships" ref="B753" r:id="rId750"/>
    <hyperlink xmlns:r="http://schemas.openxmlformats.org/officeDocument/2006/relationships" ref="B754" r:id="rId751"/>
    <hyperlink xmlns:r="http://schemas.openxmlformats.org/officeDocument/2006/relationships" ref="B755" r:id="rId752"/>
    <hyperlink xmlns:r="http://schemas.openxmlformats.org/officeDocument/2006/relationships" ref="B756" r:id="rId753"/>
    <hyperlink xmlns:r="http://schemas.openxmlformats.org/officeDocument/2006/relationships" ref="B757" r:id="rId754"/>
    <hyperlink xmlns:r="http://schemas.openxmlformats.org/officeDocument/2006/relationships" ref="B758" r:id="rId755"/>
    <hyperlink xmlns:r="http://schemas.openxmlformats.org/officeDocument/2006/relationships" ref="B759" r:id="rId756"/>
    <hyperlink xmlns:r="http://schemas.openxmlformats.org/officeDocument/2006/relationships" ref="B760" r:id="rId757"/>
    <hyperlink xmlns:r="http://schemas.openxmlformats.org/officeDocument/2006/relationships" ref="B761" r:id="rId758"/>
    <hyperlink xmlns:r="http://schemas.openxmlformats.org/officeDocument/2006/relationships" ref="B762" r:id="rId759"/>
    <hyperlink xmlns:r="http://schemas.openxmlformats.org/officeDocument/2006/relationships" ref="B763" r:id="rId760"/>
    <hyperlink xmlns:r="http://schemas.openxmlformats.org/officeDocument/2006/relationships" ref="B764" r:id="rId761"/>
    <hyperlink xmlns:r="http://schemas.openxmlformats.org/officeDocument/2006/relationships" ref="B765" r:id="rId762"/>
    <hyperlink xmlns:r="http://schemas.openxmlformats.org/officeDocument/2006/relationships" ref="B766" r:id="rId763"/>
    <hyperlink xmlns:r="http://schemas.openxmlformats.org/officeDocument/2006/relationships" ref="B767" r:id="rId764"/>
    <hyperlink xmlns:r="http://schemas.openxmlformats.org/officeDocument/2006/relationships" ref="B768" r:id="rId765"/>
    <hyperlink xmlns:r="http://schemas.openxmlformats.org/officeDocument/2006/relationships" ref="B769" r:id="rId766"/>
    <hyperlink xmlns:r="http://schemas.openxmlformats.org/officeDocument/2006/relationships" ref="B770" r:id="rId767"/>
    <hyperlink xmlns:r="http://schemas.openxmlformats.org/officeDocument/2006/relationships" ref="B771" r:id="rId768"/>
    <hyperlink xmlns:r="http://schemas.openxmlformats.org/officeDocument/2006/relationships" ref="B772" r:id="rId769"/>
    <hyperlink xmlns:r="http://schemas.openxmlformats.org/officeDocument/2006/relationships" ref="B773" r:id="rId770"/>
    <hyperlink xmlns:r="http://schemas.openxmlformats.org/officeDocument/2006/relationships" ref="B774" r:id="rId771"/>
    <hyperlink xmlns:r="http://schemas.openxmlformats.org/officeDocument/2006/relationships" ref="B775" r:id="rId772"/>
    <hyperlink xmlns:r="http://schemas.openxmlformats.org/officeDocument/2006/relationships" ref="B776" r:id="rId773"/>
    <hyperlink xmlns:r="http://schemas.openxmlformats.org/officeDocument/2006/relationships" ref="B777" r:id="rId774"/>
    <hyperlink xmlns:r="http://schemas.openxmlformats.org/officeDocument/2006/relationships" ref="B778" r:id="rId775"/>
    <hyperlink xmlns:r="http://schemas.openxmlformats.org/officeDocument/2006/relationships" ref="B779" r:id="rId776"/>
    <hyperlink xmlns:r="http://schemas.openxmlformats.org/officeDocument/2006/relationships" ref="B780" r:id="rId777"/>
    <hyperlink xmlns:r="http://schemas.openxmlformats.org/officeDocument/2006/relationships" ref="B781" r:id="rId778"/>
    <hyperlink xmlns:r="http://schemas.openxmlformats.org/officeDocument/2006/relationships" ref="B782" r:id="rId779"/>
    <hyperlink xmlns:r="http://schemas.openxmlformats.org/officeDocument/2006/relationships" ref="B783" r:id="rId780"/>
    <hyperlink xmlns:r="http://schemas.openxmlformats.org/officeDocument/2006/relationships" ref="B784" r:id="rId781"/>
    <hyperlink xmlns:r="http://schemas.openxmlformats.org/officeDocument/2006/relationships" ref="B785" r:id="rId782"/>
    <hyperlink xmlns:r="http://schemas.openxmlformats.org/officeDocument/2006/relationships" ref="B786" r:id="rId783"/>
    <hyperlink xmlns:r="http://schemas.openxmlformats.org/officeDocument/2006/relationships" ref="B787" r:id="rId784"/>
    <hyperlink xmlns:r="http://schemas.openxmlformats.org/officeDocument/2006/relationships" ref="B788" r:id="rId785"/>
    <hyperlink xmlns:r="http://schemas.openxmlformats.org/officeDocument/2006/relationships" ref="B789" r:id="rId786"/>
    <hyperlink xmlns:r="http://schemas.openxmlformats.org/officeDocument/2006/relationships" ref="B790" r:id="rId787"/>
    <hyperlink xmlns:r="http://schemas.openxmlformats.org/officeDocument/2006/relationships" ref="B791" r:id="rId788"/>
    <hyperlink xmlns:r="http://schemas.openxmlformats.org/officeDocument/2006/relationships" ref="B792" r:id="rId789"/>
    <hyperlink xmlns:r="http://schemas.openxmlformats.org/officeDocument/2006/relationships" ref="B793" r:id="rId790"/>
    <hyperlink xmlns:r="http://schemas.openxmlformats.org/officeDocument/2006/relationships" ref="B794" r:id="rId791"/>
    <hyperlink xmlns:r="http://schemas.openxmlformats.org/officeDocument/2006/relationships" ref="B795" r:id="rId792"/>
    <hyperlink xmlns:r="http://schemas.openxmlformats.org/officeDocument/2006/relationships" ref="B796" r:id="rId793"/>
    <hyperlink xmlns:r="http://schemas.openxmlformats.org/officeDocument/2006/relationships" ref="B797" r:id="rId794"/>
    <hyperlink xmlns:r="http://schemas.openxmlformats.org/officeDocument/2006/relationships" ref="B798" r:id="rId795"/>
    <hyperlink xmlns:r="http://schemas.openxmlformats.org/officeDocument/2006/relationships" ref="B799" r:id="rId796"/>
    <hyperlink xmlns:r="http://schemas.openxmlformats.org/officeDocument/2006/relationships" ref="B800" r:id="rId797"/>
    <hyperlink xmlns:r="http://schemas.openxmlformats.org/officeDocument/2006/relationships" ref="B801" r:id="rId798"/>
    <hyperlink xmlns:r="http://schemas.openxmlformats.org/officeDocument/2006/relationships" ref="B802" r:id="rId799"/>
    <hyperlink xmlns:r="http://schemas.openxmlformats.org/officeDocument/2006/relationships" ref="B803" r:id="rId800"/>
    <hyperlink xmlns:r="http://schemas.openxmlformats.org/officeDocument/2006/relationships" ref="B804" r:id="rId801"/>
    <hyperlink xmlns:r="http://schemas.openxmlformats.org/officeDocument/2006/relationships" ref="B805" r:id="rId802"/>
    <hyperlink xmlns:r="http://schemas.openxmlformats.org/officeDocument/2006/relationships" ref="B806" r:id="rId803"/>
    <hyperlink xmlns:r="http://schemas.openxmlformats.org/officeDocument/2006/relationships" ref="B807" r:id="rId804"/>
    <hyperlink xmlns:r="http://schemas.openxmlformats.org/officeDocument/2006/relationships" ref="B808" r:id="rId805"/>
    <hyperlink xmlns:r="http://schemas.openxmlformats.org/officeDocument/2006/relationships" ref="B809" r:id="rId806"/>
    <hyperlink xmlns:r="http://schemas.openxmlformats.org/officeDocument/2006/relationships" ref="B810" r:id="rId807"/>
    <hyperlink xmlns:r="http://schemas.openxmlformats.org/officeDocument/2006/relationships" ref="B811" r:id="rId808"/>
    <hyperlink xmlns:r="http://schemas.openxmlformats.org/officeDocument/2006/relationships" ref="B812" r:id="rId809"/>
    <hyperlink xmlns:r="http://schemas.openxmlformats.org/officeDocument/2006/relationships" ref="B813" r:id="rId810"/>
    <hyperlink xmlns:r="http://schemas.openxmlformats.org/officeDocument/2006/relationships" ref="B814" r:id="rId811"/>
    <hyperlink xmlns:r="http://schemas.openxmlformats.org/officeDocument/2006/relationships" ref="B815" r:id="rId812"/>
    <hyperlink xmlns:r="http://schemas.openxmlformats.org/officeDocument/2006/relationships" ref="B816" r:id="rId813"/>
    <hyperlink xmlns:r="http://schemas.openxmlformats.org/officeDocument/2006/relationships" ref="B817" r:id="rId814"/>
    <hyperlink xmlns:r="http://schemas.openxmlformats.org/officeDocument/2006/relationships" ref="B818" r:id="rId815"/>
    <hyperlink xmlns:r="http://schemas.openxmlformats.org/officeDocument/2006/relationships" ref="B819" r:id="rId816"/>
    <hyperlink xmlns:r="http://schemas.openxmlformats.org/officeDocument/2006/relationships" ref="B820" r:id="rId817"/>
    <hyperlink xmlns:r="http://schemas.openxmlformats.org/officeDocument/2006/relationships" ref="B821" r:id="rId818"/>
    <hyperlink xmlns:r="http://schemas.openxmlformats.org/officeDocument/2006/relationships" ref="B822" r:id="rId819"/>
    <hyperlink xmlns:r="http://schemas.openxmlformats.org/officeDocument/2006/relationships" ref="B823" r:id="rId820"/>
    <hyperlink xmlns:r="http://schemas.openxmlformats.org/officeDocument/2006/relationships" ref="B824" r:id="rId821"/>
    <hyperlink xmlns:r="http://schemas.openxmlformats.org/officeDocument/2006/relationships" ref="B825" r:id="rId822"/>
    <hyperlink xmlns:r="http://schemas.openxmlformats.org/officeDocument/2006/relationships" ref="B826" r:id="rId823"/>
    <hyperlink xmlns:r="http://schemas.openxmlformats.org/officeDocument/2006/relationships" ref="B827" r:id="rId824"/>
    <hyperlink xmlns:r="http://schemas.openxmlformats.org/officeDocument/2006/relationships" ref="B828" r:id="rId825"/>
    <hyperlink xmlns:r="http://schemas.openxmlformats.org/officeDocument/2006/relationships" ref="B829" r:id="rId826"/>
    <hyperlink xmlns:r="http://schemas.openxmlformats.org/officeDocument/2006/relationships" ref="B830" r:id="rId827"/>
    <hyperlink xmlns:r="http://schemas.openxmlformats.org/officeDocument/2006/relationships" ref="B831" r:id="rId828"/>
    <hyperlink xmlns:r="http://schemas.openxmlformats.org/officeDocument/2006/relationships" ref="B832" r:id="rId829"/>
    <hyperlink xmlns:r="http://schemas.openxmlformats.org/officeDocument/2006/relationships" ref="B833" r:id="rId830"/>
    <hyperlink xmlns:r="http://schemas.openxmlformats.org/officeDocument/2006/relationships" ref="B834" r:id="rId831"/>
    <hyperlink xmlns:r="http://schemas.openxmlformats.org/officeDocument/2006/relationships" ref="B835" r:id="rId832"/>
    <hyperlink xmlns:r="http://schemas.openxmlformats.org/officeDocument/2006/relationships" ref="B836" r:id="rId833"/>
    <hyperlink xmlns:r="http://schemas.openxmlformats.org/officeDocument/2006/relationships" ref="B837" r:id="rId834"/>
    <hyperlink xmlns:r="http://schemas.openxmlformats.org/officeDocument/2006/relationships" ref="B838" r:id="rId835"/>
    <hyperlink xmlns:r="http://schemas.openxmlformats.org/officeDocument/2006/relationships" ref="B839" r:id="rId836"/>
    <hyperlink xmlns:r="http://schemas.openxmlformats.org/officeDocument/2006/relationships" ref="B840" r:id="rId837"/>
    <hyperlink xmlns:r="http://schemas.openxmlformats.org/officeDocument/2006/relationships" ref="B841" r:id="rId838"/>
    <hyperlink xmlns:r="http://schemas.openxmlformats.org/officeDocument/2006/relationships" ref="B842" r:id="rId839"/>
    <hyperlink xmlns:r="http://schemas.openxmlformats.org/officeDocument/2006/relationships" ref="B843" r:id="rId840"/>
    <hyperlink xmlns:r="http://schemas.openxmlformats.org/officeDocument/2006/relationships" ref="B844" r:id="rId841"/>
    <hyperlink xmlns:r="http://schemas.openxmlformats.org/officeDocument/2006/relationships" ref="B845" r:id="rId842"/>
    <hyperlink xmlns:r="http://schemas.openxmlformats.org/officeDocument/2006/relationships" ref="B846" r:id="rId843"/>
    <hyperlink xmlns:r="http://schemas.openxmlformats.org/officeDocument/2006/relationships" ref="B847" r:id="rId844"/>
    <hyperlink xmlns:r="http://schemas.openxmlformats.org/officeDocument/2006/relationships" ref="B848" r:id="rId845"/>
    <hyperlink xmlns:r="http://schemas.openxmlformats.org/officeDocument/2006/relationships" ref="B849" r:id="rId846"/>
    <hyperlink xmlns:r="http://schemas.openxmlformats.org/officeDocument/2006/relationships" ref="B850" r:id="rId847"/>
    <hyperlink xmlns:r="http://schemas.openxmlformats.org/officeDocument/2006/relationships" ref="B851" r:id="rId848"/>
    <hyperlink xmlns:r="http://schemas.openxmlformats.org/officeDocument/2006/relationships" ref="B852" r:id="rId849"/>
    <hyperlink xmlns:r="http://schemas.openxmlformats.org/officeDocument/2006/relationships" ref="B853" r:id="rId850"/>
    <hyperlink xmlns:r="http://schemas.openxmlformats.org/officeDocument/2006/relationships" ref="B854" r:id="rId851"/>
    <hyperlink xmlns:r="http://schemas.openxmlformats.org/officeDocument/2006/relationships" ref="B855" r:id="rId852"/>
    <hyperlink xmlns:r="http://schemas.openxmlformats.org/officeDocument/2006/relationships" ref="B856" r:id="rId853"/>
    <hyperlink xmlns:r="http://schemas.openxmlformats.org/officeDocument/2006/relationships" ref="B857" r:id="rId854"/>
    <hyperlink xmlns:r="http://schemas.openxmlformats.org/officeDocument/2006/relationships" ref="B858" r:id="rId855"/>
    <hyperlink xmlns:r="http://schemas.openxmlformats.org/officeDocument/2006/relationships" ref="B859" r:id="rId856"/>
    <hyperlink xmlns:r="http://schemas.openxmlformats.org/officeDocument/2006/relationships" ref="B860" r:id="rId857"/>
    <hyperlink xmlns:r="http://schemas.openxmlformats.org/officeDocument/2006/relationships" ref="B861" r:id="rId858"/>
    <hyperlink xmlns:r="http://schemas.openxmlformats.org/officeDocument/2006/relationships" ref="B862" r:id="rId859"/>
    <hyperlink xmlns:r="http://schemas.openxmlformats.org/officeDocument/2006/relationships" ref="B863" r:id="rId860"/>
    <hyperlink xmlns:r="http://schemas.openxmlformats.org/officeDocument/2006/relationships" ref="B864" r:id="rId861"/>
    <hyperlink xmlns:r="http://schemas.openxmlformats.org/officeDocument/2006/relationships" ref="B865" r:id="rId862"/>
    <hyperlink xmlns:r="http://schemas.openxmlformats.org/officeDocument/2006/relationships" ref="B866" r:id="rId863"/>
    <hyperlink xmlns:r="http://schemas.openxmlformats.org/officeDocument/2006/relationships" ref="B867" r:id="rId864"/>
    <hyperlink xmlns:r="http://schemas.openxmlformats.org/officeDocument/2006/relationships" ref="B868" r:id="rId865"/>
    <hyperlink xmlns:r="http://schemas.openxmlformats.org/officeDocument/2006/relationships" ref="B869" r:id="rId866"/>
    <hyperlink xmlns:r="http://schemas.openxmlformats.org/officeDocument/2006/relationships" ref="B870" r:id="rId867"/>
    <hyperlink xmlns:r="http://schemas.openxmlformats.org/officeDocument/2006/relationships" ref="B871" r:id="rId868"/>
    <hyperlink xmlns:r="http://schemas.openxmlformats.org/officeDocument/2006/relationships" ref="B872" r:id="rId869"/>
    <hyperlink xmlns:r="http://schemas.openxmlformats.org/officeDocument/2006/relationships" ref="B873" r:id="rId870"/>
    <hyperlink xmlns:r="http://schemas.openxmlformats.org/officeDocument/2006/relationships" ref="B874" r:id="rId871"/>
    <hyperlink xmlns:r="http://schemas.openxmlformats.org/officeDocument/2006/relationships" ref="B875" r:id="rId872"/>
    <hyperlink xmlns:r="http://schemas.openxmlformats.org/officeDocument/2006/relationships" ref="B876" r:id="rId873"/>
    <hyperlink xmlns:r="http://schemas.openxmlformats.org/officeDocument/2006/relationships" ref="B877" r:id="rId874"/>
    <hyperlink xmlns:r="http://schemas.openxmlformats.org/officeDocument/2006/relationships" ref="B878" r:id="rId875"/>
    <hyperlink xmlns:r="http://schemas.openxmlformats.org/officeDocument/2006/relationships" ref="B879" r:id="rId876"/>
    <hyperlink xmlns:r="http://schemas.openxmlformats.org/officeDocument/2006/relationships" ref="B880" r:id="rId877"/>
    <hyperlink xmlns:r="http://schemas.openxmlformats.org/officeDocument/2006/relationships" ref="B881" r:id="rId878"/>
    <hyperlink xmlns:r="http://schemas.openxmlformats.org/officeDocument/2006/relationships" ref="B882" r:id="rId879"/>
    <hyperlink xmlns:r="http://schemas.openxmlformats.org/officeDocument/2006/relationships" ref="B883" r:id="rId880"/>
    <hyperlink xmlns:r="http://schemas.openxmlformats.org/officeDocument/2006/relationships" ref="B884" r:id="rId881"/>
    <hyperlink xmlns:r="http://schemas.openxmlformats.org/officeDocument/2006/relationships" ref="B885" r:id="rId882"/>
    <hyperlink xmlns:r="http://schemas.openxmlformats.org/officeDocument/2006/relationships" ref="B886" r:id="rId883"/>
    <hyperlink xmlns:r="http://schemas.openxmlformats.org/officeDocument/2006/relationships" ref="B887" r:id="rId884"/>
    <hyperlink xmlns:r="http://schemas.openxmlformats.org/officeDocument/2006/relationships" ref="B888" r:id="rId885"/>
    <hyperlink xmlns:r="http://schemas.openxmlformats.org/officeDocument/2006/relationships" ref="B889" r:id="rId886"/>
    <hyperlink xmlns:r="http://schemas.openxmlformats.org/officeDocument/2006/relationships" ref="B890" r:id="rId887"/>
    <hyperlink xmlns:r="http://schemas.openxmlformats.org/officeDocument/2006/relationships" ref="B891" r:id="rId888"/>
    <hyperlink xmlns:r="http://schemas.openxmlformats.org/officeDocument/2006/relationships" ref="B892" r:id="rId889"/>
    <hyperlink xmlns:r="http://schemas.openxmlformats.org/officeDocument/2006/relationships" ref="B893" r:id="rId890"/>
    <hyperlink xmlns:r="http://schemas.openxmlformats.org/officeDocument/2006/relationships" ref="B894" r:id="rId891"/>
    <hyperlink xmlns:r="http://schemas.openxmlformats.org/officeDocument/2006/relationships" ref="B895" r:id="rId892"/>
    <hyperlink xmlns:r="http://schemas.openxmlformats.org/officeDocument/2006/relationships" ref="B896" r:id="rId893"/>
    <hyperlink xmlns:r="http://schemas.openxmlformats.org/officeDocument/2006/relationships" ref="B897" r:id="rId894"/>
    <hyperlink xmlns:r="http://schemas.openxmlformats.org/officeDocument/2006/relationships" ref="B898" r:id="rId895"/>
    <hyperlink xmlns:r="http://schemas.openxmlformats.org/officeDocument/2006/relationships" ref="B899" r:id="rId896"/>
    <hyperlink xmlns:r="http://schemas.openxmlformats.org/officeDocument/2006/relationships" ref="B900" r:id="rId897"/>
    <hyperlink xmlns:r="http://schemas.openxmlformats.org/officeDocument/2006/relationships" ref="B901" r:id="rId898"/>
    <hyperlink xmlns:r="http://schemas.openxmlformats.org/officeDocument/2006/relationships" ref="B902" r:id="rId899"/>
    <hyperlink xmlns:r="http://schemas.openxmlformats.org/officeDocument/2006/relationships" ref="B903" r:id="rId900"/>
    <hyperlink xmlns:r="http://schemas.openxmlformats.org/officeDocument/2006/relationships" ref="B904" r:id="rId901"/>
    <hyperlink xmlns:r="http://schemas.openxmlformats.org/officeDocument/2006/relationships" ref="B905" r:id="rId902"/>
    <hyperlink xmlns:r="http://schemas.openxmlformats.org/officeDocument/2006/relationships" ref="B906" r:id="rId903"/>
    <hyperlink xmlns:r="http://schemas.openxmlformats.org/officeDocument/2006/relationships" ref="B907" r:id="rId904"/>
    <hyperlink xmlns:r="http://schemas.openxmlformats.org/officeDocument/2006/relationships" ref="B908" r:id="rId905"/>
    <hyperlink xmlns:r="http://schemas.openxmlformats.org/officeDocument/2006/relationships" ref="B909" r:id="rId906"/>
    <hyperlink xmlns:r="http://schemas.openxmlformats.org/officeDocument/2006/relationships" ref="B910" r:id="rId907"/>
    <hyperlink xmlns:r="http://schemas.openxmlformats.org/officeDocument/2006/relationships" ref="B911" r:id="rId908"/>
    <hyperlink xmlns:r="http://schemas.openxmlformats.org/officeDocument/2006/relationships" ref="B912" r:id="rId909"/>
    <hyperlink xmlns:r="http://schemas.openxmlformats.org/officeDocument/2006/relationships" ref="B913" r:id="rId910"/>
    <hyperlink xmlns:r="http://schemas.openxmlformats.org/officeDocument/2006/relationships" ref="B914" r:id="rId911"/>
    <hyperlink xmlns:r="http://schemas.openxmlformats.org/officeDocument/2006/relationships" ref="B915" r:id="rId912"/>
    <hyperlink xmlns:r="http://schemas.openxmlformats.org/officeDocument/2006/relationships" ref="B916" r:id="rId913"/>
    <hyperlink xmlns:r="http://schemas.openxmlformats.org/officeDocument/2006/relationships" ref="B917" r:id="rId914"/>
    <hyperlink xmlns:r="http://schemas.openxmlformats.org/officeDocument/2006/relationships" ref="B918" r:id="rId915"/>
    <hyperlink xmlns:r="http://schemas.openxmlformats.org/officeDocument/2006/relationships" ref="B919" r:id="rId916"/>
    <hyperlink xmlns:r="http://schemas.openxmlformats.org/officeDocument/2006/relationships" ref="B920" r:id="rId917"/>
    <hyperlink xmlns:r="http://schemas.openxmlformats.org/officeDocument/2006/relationships" ref="B921" r:id="rId918"/>
    <hyperlink xmlns:r="http://schemas.openxmlformats.org/officeDocument/2006/relationships" ref="B922" r:id="rId919"/>
    <hyperlink xmlns:r="http://schemas.openxmlformats.org/officeDocument/2006/relationships" ref="B923" r:id="rId920"/>
    <hyperlink xmlns:r="http://schemas.openxmlformats.org/officeDocument/2006/relationships" ref="B924" r:id="rId921"/>
    <hyperlink xmlns:r="http://schemas.openxmlformats.org/officeDocument/2006/relationships" ref="B925" r:id="rId922"/>
    <hyperlink xmlns:r="http://schemas.openxmlformats.org/officeDocument/2006/relationships" ref="B926" r:id="rId923"/>
    <hyperlink xmlns:r="http://schemas.openxmlformats.org/officeDocument/2006/relationships" ref="B927" r:id="rId924"/>
    <hyperlink xmlns:r="http://schemas.openxmlformats.org/officeDocument/2006/relationships" ref="B928" r:id="rId925"/>
    <hyperlink xmlns:r="http://schemas.openxmlformats.org/officeDocument/2006/relationships" ref="B929" r:id="rId926"/>
    <hyperlink xmlns:r="http://schemas.openxmlformats.org/officeDocument/2006/relationships" ref="B930" r:id="rId927"/>
    <hyperlink xmlns:r="http://schemas.openxmlformats.org/officeDocument/2006/relationships" ref="B931" r:id="rId928"/>
    <hyperlink xmlns:r="http://schemas.openxmlformats.org/officeDocument/2006/relationships" ref="B932" r:id="rId929"/>
    <hyperlink xmlns:r="http://schemas.openxmlformats.org/officeDocument/2006/relationships" ref="B933" r:id="rId930"/>
    <hyperlink xmlns:r="http://schemas.openxmlformats.org/officeDocument/2006/relationships" ref="B934" r:id="rId931"/>
    <hyperlink xmlns:r="http://schemas.openxmlformats.org/officeDocument/2006/relationships" ref="B935" r:id="rId932"/>
    <hyperlink xmlns:r="http://schemas.openxmlformats.org/officeDocument/2006/relationships" ref="B936" r:id="rId933"/>
    <hyperlink xmlns:r="http://schemas.openxmlformats.org/officeDocument/2006/relationships" ref="B937" r:id="rId934"/>
    <hyperlink xmlns:r="http://schemas.openxmlformats.org/officeDocument/2006/relationships" ref="B938" r:id="rId935"/>
    <hyperlink xmlns:r="http://schemas.openxmlformats.org/officeDocument/2006/relationships" ref="B939" r:id="rId936"/>
    <hyperlink xmlns:r="http://schemas.openxmlformats.org/officeDocument/2006/relationships" ref="B940" r:id="rId937"/>
    <hyperlink xmlns:r="http://schemas.openxmlformats.org/officeDocument/2006/relationships" ref="B941" r:id="rId938"/>
    <hyperlink xmlns:r="http://schemas.openxmlformats.org/officeDocument/2006/relationships" ref="B942" r:id="rId939"/>
    <hyperlink xmlns:r="http://schemas.openxmlformats.org/officeDocument/2006/relationships" ref="B943" r:id="rId940"/>
    <hyperlink xmlns:r="http://schemas.openxmlformats.org/officeDocument/2006/relationships" ref="B944" r:id="rId941"/>
    <hyperlink xmlns:r="http://schemas.openxmlformats.org/officeDocument/2006/relationships" ref="B945" r:id="rId942"/>
    <hyperlink xmlns:r="http://schemas.openxmlformats.org/officeDocument/2006/relationships" ref="B946" r:id="rId943"/>
    <hyperlink xmlns:r="http://schemas.openxmlformats.org/officeDocument/2006/relationships" ref="B947" r:id="rId944"/>
    <hyperlink xmlns:r="http://schemas.openxmlformats.org/officeDocument/2006/relationships" ref="B948" r:id="rId945"/>
    <hyperlink xmlns:r="http://schemas.openxmlformats.org/officeDocument/2006/relationships" ref="B949" r:id="rId946"/>
    <hyperlink xmlns:r="http://schemas.openxmlformats.org/officeDocument/2006/relationships" ref="B950" r:id="rId947"/>
    <hyperlink xmlns:r="http://schemas.openxmlformats.org/officeDocument/2006/relationships" ref="B951" r:id="rId948"/>
    <hyperlink xmlns:r="http://schemas.openxmlformats.org/officeDocument/2006/relationships" ref="B952" r:id="rId949"/>
    <hyperlink xmlns:r="http://schemas.openxmlformats.org/officeDocument/2006/relationships" ref="B953" r:id="rId950"/>
    <hyperlink xmlns:r="http://schemas.openxmlformats.org/officeDocument/2006/relationships" ref="B954" r:id="rId951"/>
    <hyperlink xmlns:r="http://schemas.openxmlformats.org/officeDocument/2006/relationships" ref="B955" r:id="rId952"/>
    <hyperlink xmlns:r="http://schemas.openxmlformats.org/officeDocument/2006/relationships" ref="B956" r:id="rId953"/>
    <hyperlink xmlns:r="http://schemas.openxmlformats.org/officeDocument/2006/relationships" ref="B957" r:id="rId954"/>
    <hyperlink xmlns:r="http://schemas.openxmlformats.org/officeDocument/2006/relationships" ref="B958" r:id="rId955"/>
    <hyperlink xmlns:r="http://schemas.openxmlformats.org/officeDocument/2006/relationships" ref="B959" r:id="rId956"/>
    <hyperlink xmlns:r="http://schemas.openxmlformats.org/officeDocument/2006/relationships" ref="B960" r:id="rId957"/>
    <hyperlink xmlns:r="http://schemas.openxmlformats.org/officeDocument/2006/relationships" ref="B961" r:id="rId958"/>
    <hyperlink xmlns:r="http://schemas.openxmlformats.org/officeDocument/2006/relationships" ref="B962" r:id="rId959"/>
    <hyperlink xmlns:r="http://schemas.openxmlformats.org/officeDocument/2006/relationships" ref="B963" r:id="rId960"/>
    <hyperlink xmlns:r="http://schemas.openxmlformats.org/officeDocument/2006/relationships" ref="B964" r:id="rId961"/>
    <hyperlink xmlns:r="http://schemas.openxmlformats.org/officeDocument/2006/relationships" ref="B965" r:id="rId962"/>
    <hyperlink xmlns:r="http://schemas.openxmlformats.org/officeDocument/2006/relationships" ref="B966" r:id="rId963"/>
    <hyperlink xmlns:r="http://schemas.openxmlformats.org/officeDocument/2006/relationships" ref="B967" r:id="rId964"/>
    <hyperlink xmlns:r="http://schemas.openxmlformats.org/officeDocument/2006/relationships" ref="B968" r:id="rId965"/>
    <hyperlink xmlns:r="http://schemas.openxmlformats.org/officeDocument/2006/relationships" ref="B969" r:id="rId966"/>
    <hyperlink xmlns:r="http://schemas.openxmlformats.org/officeDocument/2006/relationships" ref="B970" r:id="rId967"/>
    <hyperlink xmlns:r="http://schemas.openxmlformats.org/officeDocument/2006/relationships" ref="B971" r:id="rId968"/>
    <hyperlink xmlns:r="http://schemas.openxmlformats.org/officeDocument/2006/relationships" ref="B972" r:id="rId969"/>
    <hyperlink xmlns:r="http://schemas.openxmlformats.org/officeDocument/2006/relationships" ref="B973" r:id="rId970"/>
    <hyperlink xmlns:r="http://schemas.openxmlformats.org/officeDocument/2006/relationships" ref="B974" r:id="rId971"/>
    <hyperlink xmlns:r="http://schemas.openxmlformats.org/officeDocument/2006/relationships" ref="B975" r:id="rId972"/>
    <hyperlink xmlns:r="http://schemas.openxmlformats.org/officeDocument/2006/relationships" ref="B976" r:id="rId973"/>
    <hyperlink xmlns:r="http://schemas.openxmlformats.org/officeDocument/2006/relationships" ref="B977" r:id="rId974"/>
    <hyperlink xmlns:r="http://schemas.openxmlformats.org/officeDocument/2006/relationships" ref="B978" r:id="rId975"/>
    <hyperlink xmlns:r="http://schemas.openxmlformats.org/officeDocument/2006/relationships" ref="B979" r:id="rId976"/>
    <hyperlink xmlns:r="http://schemas.openxmlformats.org/officeDocument/2006/relationships" ref="B980" r:id="rId977"/>
    <hyperlink xmlns:r="http://schemas.openxmlformats.org/officeDocument/2006/relationships" ref="B981" r:id="rId978"/>
    <hyperlink xmlns:r="http://schemas.openxmlformats.org/officeDocument/2006/relationships" ref="B982" r:id="rId979"/>
    <hyperlink xmlns:r="http://schemas.openxmlformats.org/officeDocument/2006/relationships" ref="B983" r:id="rId980"/>
    <hyperlink xmlns:r="http://schemas.openxmlformats.org/officeDocument/2006/relationships" ref="B984" r:id="rId981"/>
    <hyperlink xmlns:r="http://schemas.openxmlformats.org/officeDocument/2006/relationships" ref="B985" r:id="rId982"/>
    <hyperlink xmlns:r="http://schemas.openxmlformats.org/officeDocument/2006/relationships" ref="B986" r:id="rId983"/>
    <hyperlink xmlns:r="http://schemas.openxmlformats.org/officeDocument/2006/relationships" ref="B987" r:id="rId984"/>
    <hyperlink xmlns:r="http://schemas.openxmlformats.org/officeDocument/2006/relationships" ref="B988" r:id="rId985"/>
    <hyperlink xmlns:r="http://schemas.openxmlformats.org/officeDocument/2006/relationships" ref="B989" r:id="rId986"/>
    <hyperlink xmlns:r="http://schemas.openxmlformats.org/officeDocument/2006/relationships" ref="B990" r:id="rId987"/>
    <hyperlink xmlns:r="http://schemas.openxmlformats.org/officeDocument/2006/relationships" ref="B991" r:id="rId988"/>
    <hyperlink xmlns:r="http://schemas.openxmlformats.org/officeDocument/2006/relationships" ref="B992" r:id="rId989"/>
    <hyperlink xmlns:r="http://schemas.openxmlformats.org/officeDocument/2006/relationships" ref="B993" r:id="rId990"/>
    <hyperlink xmlns:r="http://schemas.openxmlformats.org/officeDocument/2006/relationships" ref="B994" r:id="rId991"/>
    <hyperlink xmlns:r="http://schemas.openxmlformats.org/officeDocument/2006/relationships" ref="B995" r:id="rId992"/>
    <hyperlink xmlns:r="http://schemas.openxmlformats.org/officeDocument/2006/relationships" ref="B996" r:id="rId993"/>
    <hyperlink xmlns:r="http://schemas.openxmlformats.org/officeDocument/2006/relationships" ref="B997" r:id="rId994"/>
    <hyperlink xmlns:r="http://schemas.openxmlformats.org/officeDocument/2006/relationships" ref="B998" r:id="rId995"/>
    <hyperlink xmlns:r="http://schemas.openxmlformats.org/officeDocument/2006/relationships" ref="B999" r:id="rId9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2026-10-13T04:17:52Z</dcterms:created>
  <dcterms:modified xmlns:dcterms="http://purl.org/dc/terms/" xmlns:xsi="http://www.w3.org/2001/XMLSchema-instance" xsi:type="dcterms:W3CDTF">2026-10-13T04:17:54Z</dcterms:modified>
</cp:coreProperties>
</file>