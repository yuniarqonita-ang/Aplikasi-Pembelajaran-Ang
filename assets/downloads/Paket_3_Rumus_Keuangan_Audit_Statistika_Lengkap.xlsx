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DAFTAR_ISI" sheetId="1" state="visible" r:id="rId1"/>
    <sheet xmlns:r="http://schemas.openxmlformats.org/officeDocument/2006/relationships" name="PMT" sheetId="2" state="visible" r:id="rId2"/>
    <sheet xmlns:r="http://schemas.openxmlformats.org/officeDocument/2006/relationships" name="IPMT" sheetId="3" state="visible" r:id="rId3"/>
    <sheet xmlns:r="http://schemas.openxmlformats.org/officeDocument/2006/relationships" name="PPMT" sheetId="4" state="visible" r:id="rId4"/>
    <sheet xmlns:r="http://schemas.openxmlformats.org/officeDocument/2006/relationships" name="FV" sheetId="5" state="visible" r:id="rId5"/>
    <sheet xmlns:r="http://schemas.openxmlformats.org/officeDocument/2006/relationships" name="PV" sheetId="6" state="visible" r:id="rId6"/>
    <sheet xmlns:r="http://schemas.openxmlformats.org/officeDocument/2006/relationships" name="NPV" sheetId="7" state="visible" r:id="rId7"/>
    <sheet xmlns:r="http://schemas.openxmlformats.org/officeDocument/2006/relationships" name="SLN" sheetId="8" state="visible" r:id="rId8"/>
    <sheet xmlns:r="http://schemas.openxmlformats.org/officeDocument/2006/relationships" name="SYD" sheetId="9" state="visible" r:id="rId9"/>
    <sheet xmlns:r="http://schemas.openxmlformats.org/officeDocument/2006/relationships" name="DB" sheetId="10" state="visible" r:id="rId10"/>
    <sheet xmlns:r="http://schemas.openxmlformats.org/officeDocument/2006/relationships" name="EFFECT" sheetId="11" state="visible" r:id="rId11"/>
    <sheet xmlns:r="http://schemas.openxmlformats.org/officeDocument/2006/relationships" name="ISBLANK" sheetId="12" state="visible" r:id="rId12"/>
    <sheet xmlns:r="http://schemas.openxmlformats.org/officeDocument/2006/relationships" name="ISNUMBER" sheetId="13" state="visible" r:id="rId13"/>
    <sheet xmlns:r="http://schemas.openxmlformats.org/officeDocument/2006/relationships" name="ISTEXT" sheetId="14" state="visible" r:id="rId14"/>
    <sheet xmlns:r="http://schemas.openxmlformats.org/officeDocument/2006/relationships" name="ISERROR" sheetId="15" state="visible" r:id="rId15"/>
    <sheet xmlns:r="http://schemas.openxmlformats.org/officeDocument/2006/relationships" name="ISEVEN" sheetId="16" state="visible" r:id="rId16"/>
    <sheet xmlns:r="http://schemas.openxmlformats.org/officeDocument/2006/relationships" name="ISODD" sheetId="17" state="visible" r:id="rId17"/>
    <sheet xmlns:r="http://schemas.openxmlformats.org/officeDocument/2006/relationships" name="N" sheetId="18" state="visible" r:id="rId18"/>
    <sheet xmlns:r="http://schemas.openxmlformats.org/officeDocument/2006/relationships" name="TYPE" sheetId="19" state="visible" r:id="rId19"/>
    <sheet xmlns:r="http://schemas.openxmlformats.org/officeDocument/2006/relationships" name="DELTA" sheetId="20" state="visible" r:id="rId20"/>
    <sheet xmlns:r="http://schemas.openxmlformats.org/officeDocument/2006/relationships" name="GESTEP" sheetId="21" state="visible" r:id="rId21"/>
    <sheet xmlns:r="http://schemas.openxmlformats.org/officeDocument/2006/relationships" name="DEC2BIN" sheetId="22" state="visible" r:id="rId22"/>
    <sheet xmlns:r="http://schemas.openxmlformats.org/officeDocument/2006/relationships" name="DEC2HEX" sheetId="23" state="visible" r:id="rId23"/>
    <sheet xmlns:r="http://schemas.openxmlformats.org/officeDocument/2006/relationships" name="AVEDEV" sheetId="24" state="visible" r:id="rId24"/>
    <sheet xmlns:r="http://schemas.openxmlformats.org/officeDocument/2006/relationships" name="AVERAGE" sheetId="25" state="visible" r:id="rId25"/>
    <sheet xmlns:r="http://schemas.openxmlformats.org/officeDocument/2006/relationships" name="AVERAGEA" sheetId="26" state="visible" r:id="rId26"/>
    <sheet xmlns:r="http://schemas.openxmlformats.org/officeDocument/2006/relationships" name="AVERAGEIF" sheetId="27" state="visible" r:id="rId27"/>
    <sheet xmlns:r="http://schemas.openxmlformats.org/officeDocument/2006/relationships" name="AVERAGEIFS" sheetId="28" state="visible" r:id="rId28"/>
    <sheet xmlns:r="http://schemas.openxmlformats.org/officeDocument/2006/relationships" name="BETA.DIST" sheetId="29" state="visible" r:id="rId29"/>
    <sheet xmlns:r="http://schemas.openxmlformats.org/officeDocument/2006/relationships" name="BETA.INV" sheetId="30" state="visible" r:id="rId30"/>
    <sheet xmlns:r="http://schemas.openxmlformats.org/officeDocument/2006/relationships" name="BINOM.DIST" sheetId="31" state="visible" r:id="rId31"/>
    <sheet xmlns:r="http://schemas.openxmlformats.org/officeDocument/2006/relationships" name="BINOM.INV" sheetId="32" state="visible" r:id="rId32"/>
    <sheet xmlns:r="http://schemas.openxmlformats.org/officeDocument/2006/relationships" name="CHISQ.DIST" sheetId="33" state="visible" r:id="rId33"/>
    <sheet xmlns:r="http://schemas.openxmlformats.org/officeDocument/2006/relationships" name="CHISQ.DIST.RT" sheetId="34" state="visible" r:id="rId34"/>
    <sheet xmlns:r="http://schemas.openxmlformats.org/officeDocument/2006/relationships" name="CHISQ.INV" sheetId="35" state="visible" r:id="rId35"/>
    <sheet xmlns:r="http://schemas.openxmlformats.org/officeDocument/2006/relationships" name="CHISQ.RT.INV" sheetId="36" state="visible" r:id="rId36"/>
    <sheet xmlns:r="http://schemas.openxmlformats.org/officeDocument/2006/relationships" name="CHITEST" sheetId="37" state="visible" r:id="rId37"/>
    <sheet xmlns:r="http://schemas.openxmlformats.org/officeDocument/2006/relationships" name="CONFIDENCE.NORM" sheetId="38" state="visible" r:id="rId38"/>
    <sheet xmlns:r="http://schemas.openxmlformats.org/officeDocument/2006/relationships" name="CONFIDENCE.T" sheetId="39" state="visible" r:id="rId39"/>
    <sheet xmlns:r="http://schemas.openxmlformats.org/officeDocument/2006/relationships" name="CORREL" sheetId="40" state="visible" r:id="rId40"/>
    <sheet xmlns:r="http://schemas.openxmlformats.org/officeDocument/2006/relationships" name="COUNT" sheetId="41" state="visible" r:id="rId41"/>
    <sheet xmlns:r="http://schemas.openxmlformats.org/officeDocument/2006/relationships" name="COUNTA" sheetId="42" state="visible" r:id="rId42"/>
    <sheet xmlns:r="http://schemas.openxmlformats.org/officeDocument/2006/relationships" name="COUNTBLANK" sheetId="43" state="visible" r:id="rId43"/>
    <sheet xmlns:r="http://schemas.openxmlformats.org/officeDocument/2006/relationships" name="COUNTIF" sheetId="44" state="visible" r:id="rId44"/>
    <sheet xmlns:r="http://schemas.openxmlformats.org/officeDocument/2006/relationships" name="COUNTIFS" sheetId="45" state="visible" r:id="rId45"/>
    <sheet xmlns:r="http://schemas.openxmlformats.org/officeDocument/2006/relationships" name="COVARIANCE.P" sheetId="46" state="visible" r:id="rId46"/>
    <sheet xmlns:r="http://schemas.openxmlformats.org/officeDocument/2006/relationships" name="COVARIANCE.T" sheetId="47" state="visible" r:id="rId47"/>
    <sheet xmlns:r="http://schemas.openxmlformats.org/officeDocument/2006/relationships" name="CRITBINOM" sheetId="48" state="visible" r:id="rId48"/>
    <sheet xmlns:r="http://schemas.openxmlformats.org/officeDocument/2006/relationships" name="DEVSQ" sheetId="49" state="visible" r:id="rId49"/>
    <sheet xmlns:r="http://schemas.openxmlformats.org/officeDocument/2006/relationships" name="EXPON.DIST" sheetId="50" state="visible" r:id="rId50"/>
    <sheet xmlns:r="http://schemas.openxmlformats.org/officeDocument/2006/relationships" name="F.DIST" sheetId="51" state="visible" r:id="rId51"/>
    <sheet xmlns:r="http://schemas.openxmlformats.org/officeDocument/2006/relationships" name="F.DIST.RT" sheetId="52" state="visible" r:id="rId52"/>
    <sheet xmlns:r="http://schemas.openxmlformats.org/officeDocument/2006/relationships" name="F.INV" sheetId="53" state="visible" r:id="rId53"/>
    <sheet xmlns:r="http://schemas.openxmlformats.org/officeDocument/2006/relationships" name="F.INV.RT" sheetId="54" state="visible" r:id="rId54"/>
    <sheet xmlns:r="http://schemas.openxmlformats.org/officeDocument/2006/relationships" name="FTEST" sheetId="55" state="visible" r:id="rId55"/>
    <sheet xmlns:r="http://schemas.openxmlformats.org/officeDocument/2006/relationships" name="FISHER" sheetId="56" state="visible" r:id="rId56"/>
    <sheet xmlns:r="http://schemas.openxmlformats.org/officeDocument/2006/relationships" name="FISHER.INV" sheetId="57" state="visible" r:id="rId57"/>
    <sheet xmlns:r="http://schemas.openxmlformats.org/officeDocument/2006/relationships" name="FORECAST" sheetId="58" state="visible" r:id="rId58"/>
    <sheet xmlns:r="http://schemas.openxmlformats.org/officeDocument/2006/relationships" name="FREQUENCY" sheetId="59" state="visible" r:id="rId59"/>
    <sheet xmlns:r="http://schemas.openxmlformats.org/officeDocument/2006/relationships" name="GAMMADIST" sheetId="60" state="visible" r:id="rId60"/>
    <sheet xmlns:r="http://schemas.openxmlformats.org/officeDocument/2006/relationships" name="GAMMAINV" sheetId="61" state="visible" r:id="rId61"/>
    <sheet xmlns:r="http://schemas.openxmlformats.org/officeDocument/2006/relationships" name="GAMMALN" sheetId="62" state="visible" r:id="rId62"/>
    <sheet xmlns:r="http://schemas.openxmlformats.org/officeDocument/2006/relationships" name="GEOMEAN" sheetId="63" state="visible" r:id="rId63"/>
    <sheet xmlns:r="http://schemas.openxmlformats.org/officeDocument/2006/relationships" name="GROWTH" sheetId="64" state="visible" r:id="rId64"/>
    <sheet xmlns:r="http://schemas.openxmlformats.org/officeDocument/2006/relationships" name="HARMEAN" sheetId="65" state="visible" r:id="rId65"/>
    <sheet xmlns:r="http://schemas.openxmlformats.org/officeDocument/2006/relationships" name="HYPGEOMDIST" sheetId="66" state="visible" r:id="rId66"/>
    <sheet xmlns:r="http://schemas.openxmlformats.org/officeDocument/2006/relationships" name="INTERCEPT" sheetId="67" state="visible" r:id="rId67"/>
    <sheet xmlns:r="http://schemas.openxmlformats.org/officeDocument/2006/relationships" name="KURT" sheetId="68" state="visible" r:id="rId68"/>
    <sheet xmlns:r="http://schemas.openxmlformats.org/officeDocument/2006/relationships" name="LARGE" sheetId="69" state="visible" r:id="rId69"/>
    <sheet xmlns:r="http://schemas.openxmlformats.org/officeDocument/2006/relationships" name="LOGNORM.DIST" sheetId="70" state="visible" r:id="rId70"/>
    <sheet xmlns:r="http://schemas.openxmlformats.org/officeDocument/2006/relationships" name="LOGINV" sheetId="71" state="visible" r:id="rId71"/>
    <sheet xmlns:r="http://schemas.openxmlformats.org/officeDocument/2006/relationships" name="MAX" sheetId="72" state="visible" r:id="rId72"/>
    <sheet xmlns:r="http://schemas.openxmlformats.org/officeDocument/2006/relationships" name="MAXA" sheetId="73" state="visible" r:id="rId73"/>
    <sheet xmlns:r="http://schemas.openxmlformats.org/officeDocument/2006/relationships" name="MEDIAN" sheetId="74" state="visible" r:id="rId74"/>
    <sheet xmlns:r="http://schemas.openxmlformats.org/officeDocument/2006/relationships" name="MIN" sheetId="75" state="visible" r:id="rId75"/>
    <sheet xmlns:r="http://schemas.openxmlformats.org/officeDocument/2006/relationships" name="MINA" sheetId="76" state="visible" r:id="rId76"/>
    <sheet xmlns:r="http://schemas.openxmlformats.org/officeDocument/2006/relationships" name="MODE" sheetId="77" state="visible" r:id="rId77"/>
    <sheet xmlns:r="http://schemas.openxmlformats.org/officeDocument/2006/relationships" name="NEGBINOM.DIST" sheetId="78" state="visible" r:id="rId78"/>
    <sheet xmlns:r="http://schemas.openxmlformats.org/officeDocument/2006/relationships" name="NORM.DIST" sheetId="79" state="visible" r:id="rId79"/>
    <sheet xmlns:r="http://schemas.openxmlformats.org/officeDocument/2006/relationships" name="NORM.INV" sheetId="80" state="visible" r:id="rId80"/>
    <sheet xmlns:r="http://schemas.openxmlformats.org/officeDocument/2006/relationships" name="NORM.S.DIST" sheetId="81" state="visible" r:id="rId81"/>
    <sheet xmlns:r="http://schemas.openxmlformats.org/officeDocument/2006/relationships" name="NORM.S.INV" sheetId="82" state="visible" r:id="rId82"/>
    <sheet xmlns:r="http://schemas.openxmlformats.org/officeDocument/2006/relationships" name="PEARSON" sheetId="83" state="visible" r:id="rId83"/>
    <sheet xmlns:r="http://schemas.openxmlformats.org/officeDocument/2006/relationships" name="PERCENTILE.EXC" sheetId="84" state="visible" r:id="rId84"/>
    <sheet xmlns:r="http://schemas.openxmlformats.org/officeDocument/2006/relationships" name="PERCENTILE.INC" sheetId="85" state="visible" r:id="rId85"/>
    <sheet xmlns:r="http://schemas.openxmlformats.org/officeDocument/2006/relationships" name="PERCENTRANK.EXC" sheetId="86" state="visible" r:id="rId86"/>
    <sheet xmlns:r="http://schemas.openxmlformats.org/officeDocument/2006/relationships" name="PERCENTRANK.INC" sheetId="87" state="visible" r:id="rId87"/>
    <sheet xmlns:r="http://schemas.openxmlformats.org/officeDocument/2006/relationships" name="PERMUT" sheetId="88" state="visible" r:id="rId88"/>
    <sheet xmlns:r="http://schemas.openxmlformats.org/officeDocument/2006/relationships" name="POISSON" sheetId="89" state="visible" r:id="rId89"/>
    <sheet xmlns:r="http://schemas.openxmlformats.org/officeDocument/2006/relationships" name="PROB" sheetId="90" state="visible" r:id="rId90"/>
    <sheet xmlns:r="http://schemas.openxmlformats.org/officeDocument/2006/relationships" name="QUARTILE.EXC" sheetId="91" state="visible" r:id="rId91"/>
    <sheet xmlns:r="http://schemas.openxmlformats.org/officeDocument/2006/relationships" name="QUARTILE.INC" sheetId="92" state="visible" r:id="rId92"/>
    <sheet xmlns:r="http://schemas.openxmlformats.org/officeDocument/2006/relationships" name="RANK" sheetId="93" state="visible" r:id="rId93"/>
    <sheet xmlns:r="http://schemas.openxmlformats.org/officeDocument/2006/relationships" name="RSQ" sheetId="94" state="visible" r:id="rId94"/>
    <sheet xmlns:r="http://schemas.openxmlformats.org/officeDocument/2006/relationships" name="SKEW" sheetId="95" state="visible" r:id="rId95"/>
    <sheet xmlns:r="http://schemas.openxmlformats.org/officeDocument/2006/relationships" name="SLOPE" sheetId="96" state="visible" r:id="rId96"/>
    <sheet xmlns:r="http://schemas.openxmlformats.org/officeDocument/2006/relationships" name="SMALL" sheetId="97" state="visible" r:id="rId97"/>
    <sheet xmlns:r="http://schemas.openxmlformats.org/officeDocument/2006/relationships" name="STANDARDIZE" sheetId="98" state="visible" r:id="rId98"/>
    <sheet xmlns:r="http://schemas.openxmlformats.org/officeDocument/2006/relationships" name="STDEV.P" sheetId="99" state="visible" r:id="rId99"/>
    <sheet xmlns:r="http://schemas.openxmlformats.org/officeDocument/2006/relationships" name="STDEV.S" sheetId="100" state="visible" r:id="rId100"/>
    <sheet xmlns:r="http://schemas.openxmlformats.org/officeDocument/2006/relationships" name="STDEVA" sheetId="101" state="visible" r:id="rId101"/>
    <sheet xmlns:r="http://schemas.openxmlformats.org/officeDocument/2006/relationships" name="STDEVP" sheetId="102" state="visible" r:id="rId102"/>
    <sheet xmlns:r="http://schemas.openxmlformats.org/officeDocument/2006/relationships" name="STDEVPA" sheetId="103" state="visible" r:id="rId103"/>
    <sheet xmlns:r="http://schemas.openxmlformats.org/officeDocument/2006/relationships" name="STEYX" sheetId="104" state="visible" r:id="rId104"/>
    <sheet xmlns:r="http://schemas.openxmlformats.org/officeDocument/2006/relationships" name="T.DIST" sheetId="105" state="visible" r:id="rId105"/>
    <sheet xmlns:r="http://schemas.openxmlformats.org/officeDocument/2006/relationships" name="T.DIST.2T" sheetId="106" state="visible" r:id="rId106"/>
    <sheet xmlns:r="http://schemas.openxmlformats.org/officeDocument/2006/relationships" name="T.DIST.RT" sheetId="107" state="visible" r:id="rId107"/>
    <sheet xmlns:r="http://schemas.openxmlformats.org/officeDocument/2006/relationships" name="T.INV" sheetId="108" state="visible" r:id="rId108"/>
    <sheet xmlns:r="http://schemas.openxmlformats.org/officeDocument/2006/relationships" name="T.INV.2T" sheetId="109" state="visible" r:id="rId109"/>
    <sheet xmlns:r="http://schemas.openxmlformats.org/officeDocument/2006/relationships" name="TREND" sheetId="110" state="visible" r:id="rId110"/>
    <sheet xmlns:r="http://schemas.openxmlformats.org/officeDocument/2006/relationships" name="T.TEST" sheetId="111" state="visible" r:id="rId111"/>
    <sheet xmlns:r="http://schemas.openxmlformats.org/officeDocument/2006/relationships" name="TRIMMEAN" sheetId="112" state="visible" r:id="rId112"/>
    <sheet xmlns:r="http://schemas.openxmlformats.org/officeDocument/2006/relationships" name="VAR.P" sheetId="113" state="visible" r:id="rId113"/>
    <sheet xmlns:r="http://schemas.openxmlformats.org/officeDocument/2006/relationships" name="VAR.S" sheetId="114" state="visible" r:id="rId114"/>
    <sheet xmlns:r="http://schemas.openxmlformats.org/officeDocument/2006/relationships" name="VARA" sheetId="115" state="visible" r:id="rId115"/>
    <sheet xmlns:r="http://schemas.openxmlformats.org/officeDocument/2006/relationships" name="VARPA" sheetId="116" state="visible" r:id="rId116"/>
    <sheet xmlns:r="http://schemas.openxmlformats.org/officeDocument/2006/relationships" name="WEIBULL" sheetId="117" state="visible" r:id="rId117"/>
    <sheet xmlns:r="http://schemas.openxmlformats.org/officeDocument/2006/relationships" name="ZTEST" sheetId="118" state="visible" r:id="rId1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i val="1"/>
      <color rgb="00E2E8F0"/>
      <sz val="10"/>
    </font>
    <font>
      <name val="Segoe UI"/>
      <b val="1"/>
      <color rgb="00FFFFFF"/>
      <sz val="10"/>
    </font>
    <font>
      <name val="Segoe UI"/>
      <b val="1"/>
      <color rgb="0038BDF8"/>
      <sz val="10"/>
      <u val="single"/>
    </font>
    <font>
      <name val="Segoe UI"/>
      <b val="1"/>
      <color rgb="00FFFFFF"/>
      <sz val="11"/>
    </font>
    <font>
      <name val="Segoe UI"/>
      <b val="1"/>
      <color rgb="000F172A"/>
      <sz val="10"/>
    </font>
    <font>
      <name val="Consolas"/>
      <b val="1"/>
      <color rgb="000369A1"/>
      <sz val="10"/>
    </font>
    <font>
      <name val="Segoe UI"/>
      <color rgb="001E293B"/>
      <sz val="10"/>
    </font>
    <font>
      <name val="Consolas"/>
      <b val="1"/>
      <color rgb="000F172A"/>
      <sz val="11"/>
    </font>
    <font>
      <name val="Segoe UI"/>
      <b val="1"/>
      <color rgb="00065F46"/>
      <sz val="10"/>
    </font>
    <font>
      <name val="Segoe UI"/>
      <b val="1"/>
      <color rgb="002563EB"/>
      <sz val="10"/>
      <u val="single"/>
    </font>
  </fonts>
  <fills count="11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0284C7"/>
        <bgColor rgb="000284C7"/>
      </patternFill>
    </fill>
    <fill>
      <patternFill patternType="solid">
        <fgColor rgb="00E0F2FE"/>
        <bgColor rgb="00E0F2FE"/>
      </patternFill>
    </fill>
    <fill>
      <patternFill patternType="solid">
        <fgColor rgb="00F8FAFC"/>
        <bgColor rgb="00F8FAFC"/>
      </patternFill>
    </fill>
    <fill>
      <patternFill patternType="solid">
        <fgColor rgb="00059669"/>
        <bgColor rgb="00059669"/>
      </patternFill>
    </fill>
    <fill>
      <patternFill patternType="solid">
        <fgColor rgb="00DCFCE7"/>
        <bgColor rgb="00DCFCE7"/>
      </patternFill>
    </fill>
    <fill>
      <patternFill patternType="solid">
        <fgColor rgb="007C3AED"/>
        <bgColor rgb="007C3AED"/>
      </patternFill>
    </fill>
    <fill>
      <patternFill patternType="solid">
        <fgColor rgb="00D97706"/>
        <bgColor rgb="00D97706"/>
      </patternFill>
    </fill>
    <fill>
      <patternFill patternType="solid">
        <fgColor rgb="00FEF08A"/>
        <bgColor rgb="00FEF08A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medium">
        <color rgb="00D97706"/>
      </left>
      <right style="medium">
        <color rgb="00D97706"/>
      </right>
      <top style="medium">
        <color rgb="00D97706"/>
      </top>
      <bottom style="medium">
        <color rgb="00D97706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1" pivotButton="0" quotePrefix="0" xfId="0"/>
    <xf numFmtId="0" fontId="0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0" fontId="11" fillId="0" borderId="1" pivotButton="0" quotePrefix="0" xfId="0"/>
    <xf numFmtId="0" fontId="1" fillId="2" borderId="0" applyAlignment="1" pivotButton="0" quotePrefix="0" xfId="0">
      <alignment vertical="center" indent="1"/>
    </xf>
    <xf numFmtId="0" fontId="2" fillId="2" borderId="0" applyAlignment="1" pivotButton="0" quotePrefix="0" xfId="0">
      <alignment vertical="center" indent="1"/>
    </xf>
    <xf numFmtId="0" fontId="4" fillId="2" borderId="0" applyAlignment="1" pivotButton="0" quotePrefix="0" xfId="0">
      <alignment horizontal="center" vertical="center"/>
    </xf>
    <xf numFmtId="0" fontId="5" fillId="3" borderId="0" pivotButton="0" quotePrefix="0" xfId="0"/>
    <xf numFmtId="0" fontId="6" fillId="4" borderId="1" pivotButton="0" quotePrefix="0" xfId="0"/>
    <xf numFmtId="0" fontId="7" fillId="5" borderId="1" applyAlignment="1" pivotButton="0" quotePrefix="0" xfId="0">
      <alignment vertical="center" wrapText="1"/>
    </xf>
    <xf numFmtId="0" fontId="8" fillId="5" borderId="1" applyAlignment="1" pivotButton="0" quotePrefix="0" xfId="0">
      <alignment vertical="center" wrapText="1"/>
    </xf>
    <xf numFmtId="0" fontId="5" fillId="6" borderId="0" pivotButton="0" quotePrefix="0" xfId="0"/>
    <xf numFmtId="0" fontId="6" fillId="7" borderId="1" pivotButton="0" quotePrefix="0" xfId="0"/>
    <xf numFmtId="0" fontId="6" fillId="7" borderId="0" pivotButton="0" quotePrefix="0" xfId="0"/>
    <xf numFmtId="0" fontId="8" fillId="0" borderId="1" pivotButton="0" quotePrefix="0" xfId="0"/>
    <xf numFmtId="0" fontId="6" fillId="0" borderId="0" pivotButton="0" quotePrefix="0" xfId="0"/>
    <xf numFmtId="0" fontId="8" fillId="0" borderId="0" applyAlignment="1" pivotButton="0" quotePrefix="0" xfId="0">
      <alignment wrapText="1"/>
    </xf>
    <xf numFmtId="0" fontId="7" fillId="0" borderId="0" pivotButton="0" quotePrefix="0" xfId="0"/>
    <xf numFmtId="0" fontId="9" fillId="7" borderId="1" pivotButton="0" quotePrefix="0" xfId="0"/>
    <xf numFmtId="0" fontId="5" fillId="8" borderId="0" pivotButton="0" quotePrefix="0" xfId="0"/>
    <xf numFmtId="0" fontId="5" fillId="9" borderId="0" pivotButton="0" quotePrefix="0" xfId="0"/>
    <xf numFmtId="0" fontId="6" fillId="0" borderId="0" applyAlignment="1" pivotButton="0" quotePrefix="0" xfId="0">
      <alignment vertical="center" wrapText="1"/>
    </xf>
    <xf numFmtId="0" fontId="9" fillId="10" borderId="2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worksheet" Target="/xl/worksheets/sheet89.xml" Id="rId89"/><Relationship Type="http://schemas.openxmlformats.org/officeDocument/2006/relationships/worksheet" Target="/xl/worksheets/sheet90.xml" Id="rId90"/><Relationship Type="http://schemas.openxmlformats.org/officeDocument/2006/relationships/worksheet" Target="/xl/worksheets/sheet91.xml" Id="rId91"/><Relationship Type="http://schemas.openxmlformats.org/officeDocument/2006/relationships/worksheet" Target="/xl/worksheets/sheet92.xml" Id="rId92"/><Relationship Type="http://schemas.openxmlformats.org/officeDocument/2006/relationships/worksheet" Target="/xl/worksheets/sheet93.xml" Id="rId93"/><Relationship Type="http://schemas.openxmlformats.org/officeDocument/2006/relationships/worksheet" Target="/xl/worksheets/sheet94.xml" Id="rId94"/><Relationship Type="http://schemas.openxmlformats.org/officeDocument/2006/relationships/worksheet" Target="/xl/worksheets/sheet95.xml" Id="rId95"/><Relationship Type="http://schemas.openxmlformats.org/officeDocument/2006/relationships/worksheet" Target="/xl/worksheets/sheet96.xml" Id="rId96"/><Relationship Type="http://schemas.openxmlformats.org/officeDocument/2006/relationships/worksheet" Target="/xl/worksheets/sheet97.xml" Id="rId97"/><Relationship Type="http://schemas.openxmlformats.org/officeDocument/2006/relationships/worksheet" Target="/xl/worksheets/sheet98.xml" Id="rId98"/><Relationship Type="http://schemas.openxmlformats.org/officeDocument/2006/relationships/worksheet" Target="/xl/worksheets/sheet99.xml" Id="rId99"/><Relationship Type="http://schemas.openxmlformats.org/officeDocument/2006/relationships/worksheet" Target="/xl/worksheets/sheet100.xml" Id="rId100"/><Relationship Type="http://schemas.openxmlformats.org/officeDocument/2006/relationships/worksheet" Target="/xl/worksheets/sheet101.xml" Id="rId101"/><Relationship Type="http://schemas.openxmlformats.org/officeDocument/2006/relationships/worksheet" Target="/xl/worksheets/sheet102.xml" Id="rId102"/><Relationship Type="http://schemas.openxmlformats.org/officeDocument/2006/relationships/worksheet" Target="/xl/worksheets/sheet103.xml" Id="rId103"/><Relationship Type="http://schemas.openxmlformats.org/officeDocument/2006/relationships/worksheet" Target="/xl/worksheets/sheet104.xml" Id="rId104"/><Relationship Type="http://schemas.openxmlformats.org/officeDocument/2006/relationships/worksheet" Target="/xl/worksheets/sheet105.xml" Id="rId105"/><Relationship Type="http://schemas.openxmlformats.org/officeDocument/2006/relationships/worksheet" Target="/xl/worksheets/sheet106.xml" Id="rId106"/><Relationship Type="http://schemas.openxmlformats.org/officeDocument/2006/relationships/worksheet" Target="/xl/worksheets/sheet107.xml" Id="rId107"/><Relationship Type="http://schemas.openxmlformats.org/officeDocument/2006/relationships/worksheet" Target="/xl/worksheets/sheet108.xml" Id="rId108"/><Relationship Type="http://schemas.openxmlformats.org/officeDocument/2006/relationships/worksheet" Target="/xl/worksheets/sheet109.xml" Id="rId109"/><Relationship Type="http://schemas.openxmlformats.org/officeDocument/2006/relationships/worksheet" Target="/xl/worksheets/sheet110.xml" Id="rId110"/><Relationship Type="http://schemas.openxmlformats.org/officeDocument/2006/relationships/worksheet" Target="/xl/worksheets/sheet111.xml" Id="rId111"/><Relationship Type="http://schemas.openxmlformats.org/officeDocument/2006/relationships/worksheet" Target="/xl/worksheets/sheet112.xml" Id="rId112"/><Relationship Type="http://schemas.openxmlformats.org/officeDocument/2006/relationships/worksheet" Target="/xl/worksheets/sheet113.xml" Id="rId113"/><Relationship Type="http://schemas.openxmlformats.org/officeDocument/2006/relationships/worksheet" Target="/xl/worksheets/sheet114.xml" Id="rId114"/><Relationship Type="http://schemas.openxmlformats.org/officeDocument/2006/relationships/worksheet" Target="/xl/worksheets/sheet115.xml" Id="rId115"/><Relationship Type="http://schemas.openxmlformats.org/officeDocument/2006/relationships/worksheet" Target="/xl/worksheets/sheet116.xml" Id="rId116"/><Relationship Type="http://schemas.openxmlformats.org/officeDocument/2006/relationships/worksheet" Target="/xl/worksheets/sheet117.xml" Id="rId117"/><Relationship Type="http://schemas.openxmlformats.org/officeDocument/2006/relationships/worksheet" Target="/xl/worksheets/sheet118.xml" Id="rId118"/><Relationship Type="http://schemas.openxmlformats.org/officeDocument/2006/relationships/styles" Target="styles.xml" Id="rId119"/><Relationship Type="http://schemas.openxmlformats.org/officeDocument/2006/relationships/theme" Target="theme/theme1.xml" Id="rId1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MT'!A1" TargetMode="External" Id="rId1"/><Relationship Type="http://schemas.openxmlformats.org/officeDocument/2006/relationships/hyperlink" Target="#'IPMT'!A1" TargetMode="External" Id="rId2"/><Relationship Type="http://schemas.openxmlformats.org/officeDocument/2006/relationships/hyperlink" Target="#'PPMT'!A1" TargetMode="External" Id="rId3"/><Relationship Type="http://schemas.openxmlformats.org/officeDocument/2006/relationships/hyperlink" Target="#'FV'!A1" TargetMode="External" Id="rId4"/><Relationship Type="http://schemas.openxmlformats.org/officeDocument/2006/relationships/hyperlink" Target="#'PV'!A1" TargetMode="External" Id="rId5"/><Relationship Type="http://schemas.openxmlformats.org/officeDocument/2006/relationships/hyperlink" Target="#'NPV'!A1" TargetMode="External" Id="rId6"/><Relationship Type="http://schemas.openxmlformats.org/officeDocument/2006/relationships/hyperlink" Target="#'SLN'!A1" TargetMode="External" Id="rId7"/><Relationship Type="http://schemas.openxmlformats.org/officeDocument/2006/relationships/hyperlink" Target="#'SYD'!A1" TargetMode="External" Id="rId8"/><Relationship Type="http://schemas.openxmlformats.org/officeDocument/2006/relationships/hyperlink" Target="#'DB'!A1" TargetMode="External" Id="rId9"/><Relationship Type="http://schemas.openxmlformats.org/officeDocument/2006/relationships/hyperlink" Target="#'EFFECT'!A1" TargetMode="External" Id="rId10"/><Relationship Type="http://schemas.openxmlformats.org/officeDocument/2006/relationships/hyperlink" Target="#'ISBLANK'!A1" TargetMode="External" Id="rId11"/><Relationship Type="http://schemas.openxmlformats.org/officeDocument/2006/relationships/hyperlink" Target="#'ISNUMBER'!A1" TargetMode="External" Id="rId12"/><Relationship Type="http://schemas.openxmlformats.org/officeDocument/2006/relationships/hyperlink" Target="#'ISTEXT'!A1" TargetMode="External" Id="rId13"/><Relationship Type="http://schemas.openxmlformats.org/officeDocument/2006/relationships/hyperlink" Target="#'ISERROR'!A1" TargetMode="External" Id="rId14"/><Relationship Type="http://schemas.openxmlformats.org/officeDocument/2006/relationships/hyperlink" Target="#'ISEVEN'!A1" TargetMode="External" Id="rId15"/><Relationship Type="http://schemas.openxmlformats.org/officeDocument/2006/relationships/hyperlink" Target="#'ISODD'!A1" TargetMode="External" Id="rId16"/><Relationship Type="http://schemas.openxmlformats.org/officeDocument/2006/relationships/hyperlink" Target="#'N'!A1" TargetMode="External" Id="rId17"/><Relationship Type="http://schemas.openxmlformats.org/officeDocument/2006/relationships/hyperlink" Target="#'TYPE'!A1" TargetMode="External" Id="rId18"/><Relationship Type="http://schemas.openxmlformats.org/officeDocument/2006/relationships/hyperlink" Target="#'DELTA'!A1" TargetMode="External" Id="rId19"/><Relationship Type="http://schemas.openxmlformats.org/officeDocument/2006/relationships/hyperlink" Target="#'GESTEP'!A1" TargetMode="External" Id="rId20"/><Relationship Type="http://schemas.openxmlformats.org/officeDocument/2006/relationships/hyperlink" Target="#'DEC2BIN'!A1" TargetMode="External" Id="rId21"/><Relationship Type="http://schemas.openxmlformats.org/officeDocument/2006/relationships/hyperlink" Target="#'DEC2HEX'!A1" TargetMode="External" Id="rId22"/><Relationship Type="http://schemas.openxmlformats.org/officeDocument/2006/relationships/hyperlink" Target="#'AVEDEV'!A1" TargetMode="External" Id="rId23"/><Relationship Type="http://schemas.openxmlformats.org/officeDocument/2006/relationships/hyperlink" Target="#'AVERAGE'!A1" TargetMode="External" Id="rId24"/><Relationship Type="http://schemas.openxmlformats.org/officeDocument/2006/relationships/hyperlink" Target="#'AVERAGEA'!A1" TargetMode="External" Id="rId25"/><Relationship Type="http://schemas.openxmlformats.org/officeDocument/2006/relationships/hyperlink" Target="#'AVERAGEIF'!A1" TargetMode="External" Id="rId26"/><Relationship Type="http://schemas.openxmlformats.org/officeDocument/2006/relationships/hyperlink" Target="#'AVERAGEIFS'!A1" TargetMode="External" Id="rId27"/><Relationship Type="http://schemas.openxmlformats.org/officeDocument/2006/relationships/hyperlink" Target="#'BETA.DIST'!A1" TargetMode="External" Id="rId28"/><Relationship Type="http://schemas.openxmlformats.org/officeDocument/2006/relationships/hyperlink" Target="#'BETA.INV'!A1" TargetMode="External" Id="rId29"/><Relationship Type="http://schemas.openxmlformats.org/officeDocument/2006/relationships/hyperlink" Target="#'BINOM.DIST'!A1" TargetMode="External" Id="rId30"/><Relationship Type="http://schemas.openxmlformats.org/officeDocument/2006/relationships/hyperlink" Target="#'BINOM.INV'!A1" TargetMode="External" Id="rId31"/><Relationship Type="http://schemas.openxmlformats.org/officeDocument/2006/relationships/hyperlink" Target="#'CHISQ.DIST'!A1" TargetMode="External" Id="rId32"/><Relationship Type="http://schemas.openxmlformats.org/officeDocument/2006/relationships/hyperlink" Target="#'CHISQ.DIST.RT'!A1" TargetMode="External" Id="rId33"/><Relationship Type="http://schemas.openxmlformats.org/officeDocument/2006/relationships/hyperlink" Target="#'CHISQ.INV'!A1" TargetMode="External" Id="rId34"/><Relationship Type="http://schemas.openxmlformats.org/officeDocument/2006/relationships/hyperlink" Target="#'CHISQ.RT.INV'!A1" TargetMode="External" Id="rId35"/><Relationship Type="http://schemas.openxmlformats.org/officeDocument/2006/relationships/hyperlink" Target="#'CHITEST'!A1" TargetMode="External" Id="rId36"/><Relationship Type="http://schemas.openxmlformats.org/officeDocument/2006/relationships/hyperlink" Target="#'CONFIDENCE.NORM'!A1" TargetMode="External" Id="rId37"/><Relationship Type="http://schemas.openxmlformats.org/officeDocument/2006/relationships/hyperlink" Target="#'CONFIDENCE.T'!A1" TargetMode="External" Id="rId38"/><Relationship Type="http://schemas.openxmlformats.org/officeDocument/2006/relationships/hyperlink" Target="#'CORREL'!A1" TargetMode="External" Id="rId39"/><Relationship Type="http://schemas.openxmlformats.org/officeDocument/2006/relationships/hyperlink" Target="#'COUNT'!A1" TargetMode="External" Id="rId40"/><Relationship Type="http://schemas.openxmlformats.org/officeDocument/2006/relationships/hyperlink" Target="#'COUNTA'!A1" TargetMode="External" Id="rId41"/><Relationship Type="http://schemas.openxmlformats.org/officeDocument/2006/relationships/hyperlink" Target="#'COUNTBLANK'!A1" TargetMode="External" Id="rId42"/><Relationship Type="http://schemas.openxmlformats.org/officeDocument/2006/relationships/hyperlink" Target="#'COUNTIF'!A1" TargetMode="External" Id="rId43"/><Relationship Type="http://schemas.openxmlformats.org/officeDocument/2006/relationships/hyperlink" Target="#'COUNTIFS'!A1" TargetMode="External" Id="rId44"/><Relationship Type="http://schemas.openxmlformats.org/officeDocument/2006/relationships/hyperlink" Target="#'COVARIANCE.P'!A1" TargetMode="External" Id="rId45"/><Relationship Type="http://schemas.openxmlformats.org/officeDocument/2006/relationships/hyperlink" Target="#'COVARIANCE.T'!A1" TargetMode="External" Id="rId46"/><Relationship Type="http://schemas.openxmlformats.org/officeDocument/2006/relationships/hyperlink" Target="#'CRITBINOM'!A1" TargetMode="External" Id="rId47"/><Relationship Type="http://schemas.openxmlformats.org/officeDocument/2006/relationships/hyperlink" Target="#'DEVSQ'!A1" TargetMode="External" Id="rId48"/><Relationship Type="http://schemas.openxmlformats.org/officeDocument/2006/relationships/hyperlink" Target="#'EXPON.DIST'!A1" TargetMode="External" Id="rId49"/><Relationship Type="http://schemas.openxmlformats.org/officeDocument/2006/relationships/hyperlink" Target="#'F.DIST'!A1" TargetMode="External" Id="rId50"/><Relationship Type="http://schemas.openxmlformats.org/officeDocument/2006/relationships/hyperlink" Target="#'F.DIST.RT'!A1" TargetMode="External" Id="rId51"/><Relationship Type="http://schemas.openxmlformats.org/officeDocument/2006/relationships/hyperlink" Target="#'F.INV'!A1" TargetMode="External" Id="rId52"/><Relationship Type="http://schemas.openxmlformats.org/officeDocument/2006/relationships/hyperlink" Target="#'F.INV.RT'!A1" TargetMode="External" Id="rId53"/><Relationship Type="http://schemas.openxmlformats.org/officeDocument/2006/relationships/hyperlink" Target="#'FTEST'!A1" TargetMode="External" Id="rId54"/><Relationship Type="http://schemas.openxmlformats.org/officeDocument/2006/relationships/hyperlink" Target="#'FISHER'!A1" TargetMode="External" Id="rId55"/><Relationship Type="http://schemas.openxmlformats.org/officeDocument/2006/relationships/hyperlink" Target="#'FISHER.INV'!A1" TargetMode="External" Id="rId56"/><Relationship Type="http://schemas.openxmlformats.org/officeDocument/2006/relationships/hyperlink" Target="#'FORECAST'!A1" TargetMode="External" Id="rId57"/><Relationship Type="http://schemas.openxmlformats.org/officeDocument/2006/relationships/hyperlink" Target="#'FREQUENCY'!A1" TargetMode="External" Id="rId58"/><Relationship Type="http://schemas.openxmlformats.org/officeDocument/2006/relationships/hyperlink" Target="#'GAMMADIST'!A1" TargetMode="External" Id="rId59"/><Relationship Type="http://schemas.openxmlformats.org/officeDocument/2006/relationships/hyperlink" Target="#'GAMMAINV'!A1" TargetMode="External" Id="rId60"/><Relationship Type="http://schemas.openxmlformats.org/officeDocument/2006/relationships/hyperlink" Target="#'GAMMALN'!A1" TargetMode="External" Id="rId61"/><Relationship Type="http://schemas.openxmlformats.org/officeDocument/2006/relationships/hyperlink" Target="#'GEOMEAN'!A1" TargetMode="External" Id="rId62"/><Relationship Type="http://schemas.openxmlformats.org/officeDocument/2006/relationships/hyperlink" Target="#'GROWTH'!A1" TargetMode="External" Id="rId63"/><Relationship Type="http://schemas.openxmlformats.org/officeDocument/2006/relationships/hyperlink" Target="#'HARMEAN'!A1" TargetMode="External" Id="rId64"/><Relationship Type="http://schemas.openxmlformats.org/officeDocument/2006/relationships/hyperlink" Target="#'HYPGEOMDIST'!A1" TargetMode="External" Id="rId65"/><Relationship Type="http://schemas.openxmlformats.org/officeDocument/2006/relationships/hyperlink" Target="#'INTERCEPT'!A1" TargetMode="External" Id="rId66"/><Relationship Type="http://schemas.openxmlformats.org/officeDocument/2006/relationships/hyperlink" Target="#'KURT'!A1" TargetMode="External" Id="rId67"/><Relationship Type="http://schemas.openxmlformats.org/officeDocument/2006/relationships/hyperlink" Target="#'LARGE'!A1" TargetMode="External" Id="rId68"/><Relationship Type="http://schemas.openxmlformats.org/officeDocument/2006/relationships/hyperlink" Target="#'LOGNORM.DIST'!A1" TargetMode="External" Id="rId69"/><Relationship Type="http://schemas.openxmlformats.org/officeDocument/2006/relationships/hyperlink" Target="#'LOGINV'!A1" TargetMode="External" Id="rId70"/><Relationship Type="http://schemas.openxmlformats.org/officeDocument/2006/relationships/hyperlink" Target="#'MAX'!A1" TargetMode="External" Id="rId71"/><Relationship Type="http://schemas.openxmlformats.org/officeDocument/2006/relationships/hyperlink" Target="#'MAXA'!A1" TargetMode="External" Id="rId72"/><Relationship Type="http://schemas.openxmlformats.org/officeDocument/2006/relationships/hyperlink" Target="#'MEDIAN'!A1" TargetMode="External" Id="rId73"/><Relationship Type="http://schemas.openxmlformats.org/officeDocument/2006/relationships/hyperlink" Target="#'MIN'!A1" TargetMode="External" Id="rId74"/><Relationship Type="http://schemas.openxmlformats.org/officeDocument/2006/relationships/hyperlink" Target="#'MINA'!A1" TargetMode="External" Id="rId75"/><Relationship Type="http://schemas.openxmlformats.org/officeDocument/2006/relationships/hyperlink" Target="#'MODE'!A1" TargetMode="External" Id="rId76"/><Relationship Type="http://schemas.openxmlformats.org/officeDocument/2006/relationships/hyperlink" Target="#'NEGBINOM.DIST'!A1" TargetMode="External" Id="rId77"/><Relationship Type="http://schemas.openxmlformats.org/officeDocument/2006/relationships/hyperlink" Target="#'NORM.DIST'!A1" TargetMode="External" Id="rId78"/><Relationship Type="http://schemas.openxmlformats.org/officeDocument/2006/relationships/hyperlink" Target="#'NORM.INV'!A1" TargetMode="External" Id="rId79"/><Relationship Type="http://schemas.openxmlformats.org/officeDocument/2006/relationships/hyperlink" Target="#'NORM.S.DIST'!A1" TargetMode="External" Id="rId80"/><Relationship Type="http://schemas.openxmlformats.org/officeDocument/2006/relationships/hyperlink" Target="#'NORM.S.INV'!A1" TargetMode="External" Id="rId81"/><Relationship Type="http://schemas.openxmlformats.org/officeDocument/2006/relationships/hyperlink" Target="#'PEARSON'!A1" TargetMode="External" Id="rId82"/><Relationship Type="http://schemas.openxmlformats.org/officeDocument/2006/relationships/hyperlink" Target="#'PERCENTILE.EXC'!A1" TargetMode="External" Id="rId83"/><Relationship Type="http://schemas.openxmlformats.org/officeDocument/2006/relationships/hyperlink" Target="#'PERCENTILE.INC'!A1" TargetMode="External" Id="rId84"/><Relationship Type="http://schemas.openxmlformats.org/officeDocument/2006/relationships/hyperlink" Target="#'PERCENTRANK.EXC'!A1" TargetMode="External" Id="rId85"/><Relationship Type="http://schemas.openxmlformats.org/officeDocument/2006/relationships/hyperlink" Target="#'PERCENTRANK.INC'!A1" TargetMode="External" Id="rId86"/><Relationship Type="http://schemas.openxmlformats.org/officeDocument/2006/relationships/hyperlink" Target="#'PERMUT'!A1" TargetMode="External" Id="rId87"/><Relationship Type="http://schemas.openxmlformats.org/officeDocument/2006/relationships/hyperlink" Target="#'POISSON'!A1" TargetMode="External" Id="rId88"/><Relationship Type="http://schemas.openxmlformats.org/officeDocument/2006/relationships/hyperlink" Target="#'PROB'!A1" TargetMode="External" Id="rId89"/><Relationship Type="http://schemas.openxmlformats.org/officeDocument/2006/relationships/hyperlink" Target="#'QUARTILE.EXC'!A1" TargetMode="External" Id="rId90"/><Relationship Type="http://schemas.openxmlformats.org/officeDocument/2006/relationships/hyperlink" Target="#'QUARTILE.INC'!A1" TargetMode="External" Id="rId91"/><Relationship Type="http://schemas.openxmlformats.org/officeDocument/2006/relationships/hyperlink" Target="#'RANK'!A1" TargetMode="External" Id="rId92"/><Relationship Type="http://schemas.openxmlformats.org/officeDocument/2006/relationships/hyperlink" Target="#'RSQ'!A1" TargetMode="External" Id="rId93"/><Relationship Type="http://schemas.openxmlformats.org/officeDocument/2006/relationships/hyperlink" Target="#'SKEW'!A1" TargetMode="External" Id="rId94"/><Relationship Type="http://schemas.openxmlformats.org/officeDocument/2006/relationships/hyperlink" Target="#'SLOPE'!A1" TargetMode="External" Id="rId95"/><Relationship Type="http://schemas.openxmlformats.org/officeDocument/2006/relationships/hyperlink" Target="#'SMALL'!A1" TargetMode="External" Id="rId96"/><Relationship Type="http://schemas.openxmlformats.org/officeDocument/2006/relationships/hyperlink" Target="#'STANDARDIZE'!A1" TargetMode="External" Id="rId97"/><Relationship Type="http://schemas.openxmlformats.org/officeDocument/2006/relationships/hyperlink" Target="#'STDEV.P'!A1" TargetMode="External" Id="rId98"/><Relationship Type="http://schemas.openxmlformats.org/officeDocument/2006/relationships/hyperlink" Target="#'STDEV.S'!A1" TargetMode="External" Id="rId99"/><Relationship Type="http://schemas.openxmlformats.org/officeDocument/2006/relationships/hyperlink" Target="#'STDEVA'!A1" TargetMode="External" Id="rId100"/><Relationship Type="http://schemas.openxmlformats.org/officeDocument/2006/relationships/hyperlink" Target="#'STDEVP'!A1" TargetMode="External" Id="rId101"/><Relationship Type="http://schemas.openxmlformats.org/officeDocument/2006/relationships/hyperlink" Target="#'STDEVPA'!A1" TargetMode="External" Id="rId102"/><Relationship Type="http://schemas.openxmlformats.org/officeDocument/2006/relationships/hyperlink" Target="#'STEYX'!A1" TargetMode="External" Id="rId103"/><Relationship Type="http://schemas.openxmlformats.org/officeDocument/2006/relationships/hyperlink" Target="#'T.DIST'!A1" TargetMode="External" Id="rId104"/><Relationship Type="http://schemas.openxmlformats.org/officeDocument/2006/relationships/hyperlink" Target="#'T.DIST.2T'!A1" TargetMode="External" Id="rId105"/><Relationship Type="http://schemas.openxmlformats.org/officeDocument/2006/relationships/hyperlink" Target="#'T.DIST.RT'!A1" TargetMode="External" Id="rId106"/><Relationship Type="http://schemas.openxmlformats.org/officeDocument/2006/relationships/hyperlink" Target="#'T.INV'!A1" TargetMode="External" Id="rId107"/><Relationship Type="http://schemas.openxmlformats.org/officeDocument/2006/relationships/hyperlink" Target="#'T.INV.2T'!A1" TargetMode="External" Id="rId108"/><Relationship Type="http://schemas.openxmlformats.org/officeDocument/2006/relationships/hyperlink" Target="#'TREND'!A1" TargetMode="External" Id="rId109"/><Relationship Type="http://schemas.openxmlformats.org/officeDocument/2006/relationships/hyperlink" Target="#'T.TEST'!A1" TargetMode="External" Id="rId110"/><Relationship Type="http://schemas.openxmlformats.org/officeDocument/2006/relationships/hyperlink" Target="#'TRIMMEAN'!A1" TargetMode="External" Id="rId111"/><Relationship Type="http://schemas.openxmlformats.org/officeDocument/2006/relationships/hyperlink" Target="#'VAR.P'!A1" TargetMode="External" Id="rId112"/><Relationship Type="http://schemas.openxmlformats.org/officeDocument/2006/relationships/hyperlink" Target="#'VAR.S'!A1" TargetMode="External" Id="rId113"/><Relationship Type="http://schemas.openxmlformats.org/officeDocument/2006/relationships/hyperlink" Target="#'VARA'!A1" TargetMode="External" Id="rId114"/><Relationship Type="http://schemas.openxmlformats.org/officeDocument/2006/relationships/hyperlink" Target="#'VARPA'!A1" TargetMode="External" Id="rId115"/><Relationship Type="http://schemas.openxmlformats.org/officeDocument/2006/relationships/hyperlink" Target="#'WEIBULL'!A1" TargetMode="External" Id="rId116"/><Relationship Type="http://schemas.openxmlformats.org/officeDocument/2006/relationships/hyperlink" Target="#'ZTEST'!A1" TargetMode="External" Id="rId117"/></Relationships>
</file>

<file path=xl/worksheets/_rels/sheet2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22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23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24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25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26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27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28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29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30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31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32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33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34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35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36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37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38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39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40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41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42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43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44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45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46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47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48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49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50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51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52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53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54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55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56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57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58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59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60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61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62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63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64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65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66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67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68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69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70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71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72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73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74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75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76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77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78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79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80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81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82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83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84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85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86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87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88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89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90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91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92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93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94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95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96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97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98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99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100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101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102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103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104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105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106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107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108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109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110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111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112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113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114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115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116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117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_rels/sheet118.xml.rels><Relationships xmlns="http://schemas.openxmlformats.org/package/2006/relationships"><Relationship Type="http://schemas.openxmlformats.org/officeDocument/2006/relationships/hyperlink" Target="#'00_DAFTAR_ISI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1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30" customWidth="1" min="3" max="3"/>
    <col width="36" customWidth="1" min="4" max="4"/>
    <col width="65" customWidth="1" min="5" max="5"/>
    <col width="24" customWidth="1" min="6" max="6"/>
  </cols>
  <sheetData>
    <row r="1" ht="32" customHeight="1">
      <c r="A1" s="1" t="inlineStr">
        <is>
          <t>📚 PAKET 3: RUMUS KEUANGAN, AUDIT &amp; STATISTIKA LENGKAP (117 SHEET RUMUS &amp; 585 SOAL DUNIA NYATA)</t>
        </is>
      </c>
    </row>
    <row r="2" ht="22" customHeight="1">
      <c r="A2" s="2" t="inlineStr">
        <is>
          <t>Klik nama sheet di kolom 'Link Langsung' atau pilih tab di bawah untuk langsung mempraktekkan 5 Persoalan Dunia Nyata di setiap rumus!</t>
        </is>
      </c>
    </row>
    <row r="4" ht="24" customHeight="1">
      <c r="A4" s="3" t="inlineStr">
        <is>
          <t>No</t>
        </is>
      </c>
      <c r="B4" s="3" t="inlineStr">
        <is>
          <t>Nama Rumus (Sheet)</t>
        </is>
      </c>
      <c r="C4" s="3" t="inlineStr">
        <is>
          <t>Kategori</t>
        </is>
      </c>
      <c r="D4" s="3" t="inlineStr">
        <is>
          <t>Sintaks Penulisan</t>
        </is>
      </c>
      <c r="E4" s="3" t="inlineStr">
        <is>
          <t>Fungsinya Buat Apa (Bahasa Bayi &amp; Dunia Nyata)</t>
        </is>
      </c>
      <c r="F4" s="3" t="inlineStr">
        <is>
          <t>Link Langsung</t>
        </is>
      </c>
    </row>
    <row r="5">
      <c r="A5" s="4" t="n">
        <v>1</v>
      </c>
      <c r="B5" s="5" t="inlineStr">
        <is>
          <t>PMT</t>
        </is>
      </c>
      <c r="C5" s="4" t="inlineStr">
        <is>
          <t>6. Keuangan &amp; Investasi</t>
        </is>
      </c>
      <c r="D5" s="6">
        <f>PMT(bunga_per_periode, jumlah_periode, nilai_pinjaman)</f>
        <v/>
      </c>
      <c r="E5" s="4" t="inlineStr">
        <is>
          <t>Menghitung cicilan bulanan tetap (KPR Rumah / Kredit Mobil / Pinjaman Bank) lengkap pokok + bunga.</t>
        </is>
      </c>
      <c r="F5" s="7" t="inlineStr">
        <is>
          <t>👉 Buka Sheet PMT</t>
        </is>
      </c>
    </row>
    <row r="6">
      <c r="A6" s="4" t="n">
        <v>2</v>
      </c>
      <c r="B6" s="5" t="inlineStr">
        <is>
          <t>IPMT</t>
        </is>
      </c>
      <c r="C6" s="4" t="inlineStr">
        <is>
          <t>6. Keuangan &amp; Investasi</t>
        </is>
      </c>
      <c r="D6" s="6">
        <f>IPMT(bunga, periode_ke, total_periode, nilai_pinjaman)</f>
        <v/>
      </c>
      <c r="E6" s="4" t="inlineStr">
        <is>
          <t>Menghitung porsi BUNGA saja yang dibayar pada cicilan bulan tertentu.</t>
        </is>
      </c>
      <c r="F6" s="7" t="inlineStr">
        <is>
          <t>👉 Buka Sheet IPMT</t>
        </is>
      </c>
    </row>
    <row r="7">
      <c r="A7" s="4" t="n">
        <v>3</v>
      </c>
      <c r="B7" s="5" t="inlineStr">
        <is>
          <t>PPMT</t>
        </is>
      </c>
      <c r="C7" s="4" t="inlineStr">
        <is>
          <t>6. Keuangan &amp; Investasi</t>
        </is>
      </c>
      <c r="D7" s="6">
        <f>PPMT(bunga, periode_ke, total_periode, nilai_pinjaman)</f>
        <v/>
      </c>
      <c r="E7" s="4" t="inlineStr">
        <is>
          <t>Menghitung porsi POKOK PINJAMAN saja yang berkurang pada cicilan bulan tertentu.</t>
        </is>
      </c>
      <c r="F7" s="7" t="inlineStr">
        <is>
          <t>👉 Buka Sheet PPMT</t>
        </is>
      </c>
    </row>
    <row r="8">
      <c r="A8" s="4" t="n">
        <v>4</v>
      </c>
      <c r="B8" s="5" t="inlineStr">
        <is>
          <t>FV</t>
        </is>
      </c>
      <c r="C8" s="4" t="inlineStr">
        <is>
          <t>6. Keuangan &amp; Investasi</t>
        </is>
      </c>
      <c r="D8" s="6">
        <f>FV(bunga, jumlah_periode, setoran_rutin, [nilai_awal])</f>
        <v/>
      </c>
      <c r="E8" s="4" t="inlineStr">
        <is>
          <t>Future Value: Menghitung total uang tabungan/deposito di masa depan jika rutin menabung tiap periode.</t>
        </is>
      </c>
      <c r="F8" s="7" t="inlineStr">
        <is>
          <t>👉 Buka Sheet FV</t>
        </is>
      </c>
    </row>
    <row r="9">
      <c r="A9" s="4" t="n">
        <v>5</v>
      </c>
      <c r="B9" s="5" t="inlineStr">
        <is>
          <t>PV</t>
        </is>
      </c>
      <c r="C9" s="4" t="inlineStr">
        <is>
          <t>6. Keuangan &amp; Investasi</t>
        </is>
      </c>
      <c r="D9" s="6">
        <f>PV(bunga, jumlah_periode, hasil_rutin)</f>
        <v/>
      </c>
      <c r="E9" s="4" t="inlineStr">
        <is>
          <t>Present Value: Menghitung berapa nilai uang saat ini dari rangkaian arus kas masa depan.</t>
        </is>
      </c>
      <c r="F9" s="7" t="inlineStr">
        <is>
          <t>👉 Buka Sheet PV</t>
        </is>
      </c>
    </row>
    <row r="10">
      <c r="A10" s="4" t="n">
        <v>6</v>
      </c>
      <c r="B10" s="5" t="inlineStr">
        <is>
          <t>NPV</t>
        </is>
      </c>
      <c r="C10" s="4" t="inlineStr">
        <is>
          <t>6. Keuangan &amp; Investasi</t>
        </is>
      </c>
      <c r="D10" s="6">
        <f>NPV(suku_diskonto, arus_kas1, arus_kas2, ...)</f>
        <v/>
      </c>
      <c r="E10" s="4" t="inlineStr">
        <is>
          <t>Net Present Value: Mengukur apakah sebuah proyek investasi menguntungkan atau merugikan dibanding bunga bank.</t>
        </is>
      </c>
      <c r="F10" s="7" t="inlineStr">
        <is>
          <t>👉 Buka Sheet NPV</t>
        </is>
      </c>
    </row>
    <row r="11">
      <c r="A11" s="4" t="n">
        <v>7</v>
      </c>
      <c r="B11" s="5" t="inlineStr">
        <is>
          <t>SLN</t>
        </is>
      </c>
      <c r="C11" s="4" t="inlineStr">
        <is>
          <t>6. Keuangan &amp; Investasi</t>
        </is>
      </c>
      <c r="D11" s="6">
        <f>SLN(harga_beli, nilai_sisa, umur_ekonomis)</f>
        <v/>
      </c>
      <c r="E11" s="4" t="inlineStr">
        <is>
          <t>Straight-Line Depreciation: Menghitung biaya penyusutan aset kantor (mesin/kendaraan) metode garis lurus per tahun.</t>
        </is>
      </c>
      <c r="F11" s="7" t="inlineStr">
        <is>
          <t>👉 Buka Sheet SLN</t>
        </is>
      </c>
    </row>
    <row r="12">
      <c r="A12" s="4" t="n">
        <v>8</v>
      </c>
      <c r="B12" s="5" t="inlineStr">
        <is>
          <t>SYD</t>
        </is>
      </c>
      <c r="C12" s="4" t="inlineStr">
        <is>
          <t>6. Keuangan &amp; Investasi</t>
        </is>
      </c>
      <c r="D12" s="6">
        <f>SYD(harga_beli, nilai_sisa, umur, periode)</f>
        <v/>
      </c>
      <c r="E12" s="4" t="inlineStr">
        <is>
          <t>Menghitung penyusutan aset dengan metode jumlah angka tahun (Sum-of-Years' Digits).</t>
        </is>
      </c>
      <c r="F12" s="7" t="inlineStr">
        <is>
          <t>👉 Buka Sheet SYD</t>
        </is>
      </c>
    </row>
    <row r="13">
      <c r="A13" s="4" t="n">
        <v>9</v>
      </c>
      <c r="B13" s="5" t="inlineStr">
        <is>
          <t>DB</t>
        </is>
      </c>
      <c r="C13" s="4" t="inlineStr">
        <is>
          <t>6. Keuangan &amp; Investasi</t>
        </is>
      </c>
      <c r="D13" s="6">
        <f>DB(harga_beli, nilai_sisa, umur, periode)</f>
        <v/>
      </c>
      <c r="E13" s="4" t="inlineStr">
        <is>
          <t>Menghitung penyusutan aset dengan metode saldo menurun tetap (Fixed Declining Balance).</t>
        </is>
      </c>
      <c r="F13" s="7" t="inlineStr">
        <is>
          <t>👉 Buka Sheet DB</t>
        </is>
      </c>
    </row>
    <row r="14">
      <c r="A14" s="4" t="n">
        <v>10</v>
      </c>
      <c r="B14" s="5" t="inlineStr">
        <is>
          <t>EFFECT</t>
        </is>
      </c>
      <c r="C14" s="4" t="inlineStr">
        <is>
          <t>6. Keuangan &amp; Investasi</t>
        </is>
      </c>
      <c r="D14" s="6">
        <f>EFFECT(bunga_nominal_tahunan, frekuensi_majemuk_per_tahun)</f>
        <v/>
      </c>
      <c r="E14" s="4" t="inlineStr">
        <is>
          <t>Menghitung suku bunga efektif tahunan yang sebenarnya jika bunga dimajemukkan tiap bulan/kuartal.</t>
        </is>
      </c>
      <c r="F14" s="7" t="inlineStr">
        <is>
          <t>👉 Buka Sheet EFFECT</t>
        </is>
      </c>
    </row>
    <row r="15">
      <c r="A15" s="4" t="n">
        <v>11</v>
      </c>
      <c r="B15" s="5" t="inlineStr">
        <is>
          <t>ISBLANK</t>
        </is>
      </c>
      <c r="C15" s="4" t="inlineStr">
        <is>
          <t>7. Informasi &amp; Audit Data</t>
        </is>
      </c>
      <c r="D15" s="6">
        <f>ISBLANK(sel)</f>
        <v/>
      </c>
      <c r="E15" s="4" t="inlineStr">
        <is>
          <t>Mengecek apakah suatu sel KOSONG melompong (TRUE jika kosong, FALSE jika ada isinya).</t>
        </is>
      </c>
      <c r="F15" s="7" t="inlineStr">
        <is>
          <t>👉 Buka Sheet ISBLANK</t>
        </is>
      </c>
    </row>
    <row r="16">
      <c r="A16" s="4" t="n">
        <v>12</v>
      </c>
      <c r="B16" s="5" t="inlineStr">
        <is>
          <t>ISNUMBER</t>
        </is>
      </c>
      <c r="C16" s="4" t="inlineStr">
        <is>
          <t>7. Informasi &amp; Audit Data</t>
        </is>
      </c>
      <c r="D16" s="6">
        <f>ISNUMBER(sel)</f>
        <v/>
      </c>
      <c r="E16" s="4" t="inlineStr">
        <is>
          <t>Mengecek apakah isi sel benar-benar berupa ANGKA murni.</t>
        </is>
      </c>
      <c r="F16" s="7" t="inlineStr">
        <is>
          <t>👉 Buka Sheet ISNUMBER</t>
        </is>
      </c>
    </row>
    <row r="17">
      <c r="A17" s="4" t="n">
        <v>13</v>
      </c>
      <c r="B17" s="5" t="inlineStr">
        <is>
          <t>ISTEXT</t>
        </is>
      </c>
      <c r="C17" s="4" t="inlineStr">
        <is>
          <t>7. Informasi &amp; Audit Data</t>
        </is>
      </c>
      <c r="D17" s="6">
        <f>ISTEXT(sel)</f>
        <v/>
      </c>
      <c r="E17" s="4" t="inlineStr">
        <is>
          <t>Mengecek apakah isi sel berupa TEKS / huruf.</t>
        </is>
      </c>
      <c r="F17" s="7" t="inlineStr">
        <is>
          <t>👉 Buka Sheet ISTEXT</t>
        </is>
      </c>
    </row>
    <row r="18">
      <c r="A18" s="4" t="n">
        <v>14</v>
      </c>
      <c r="B18" s="5" t="inlineStr">
        <is>
          <t>ISERROR</t>
        </is>
      </c>
      <c r="C18" s="4" t="inlineStr">
        <is>
          <t>7. Informasi &amp; Audit Data</t>
        </is>
      </c>
      <c r="D18" s="6">
        <f>ISERROR(sel)</f>
        <v/>
      </c>
      <c r="E18" s="4" t="inlineStr">
        <is>
          <t>Mendeteksi apakah suatu sel mengalami ERROR apa pun.</t>
        </is>
      </c>
      <c r="F18" s="7" t="inlineStr">
        <is>
          <t>👉 Buka Sheet ISERROR</t>
        </is>
      </c>
    </row>
    <row r="19">
      <c r="A19" s="4" t="n">
        <v>15</v>
      </c>
      <c r="B19" s="5" t="inlineStr">
        <is>
          <t>ISEVEN</t>
        </is>
      </c>
      <c r="C19" s="4" t="inlineStr">
        <is>
          <t>7. Informasi &amp; Audit Data</t>
        </is>
      </c>
      <c r="D19" s="6">
        <f>ISEVEN(angka)</f>
        <v/>
      </c>
      <c r="E19" s="4" t="inlineStr">
        <is>
          <t>Mengecek apakah suatu angka merupakan bilangan GENAP (Misal: aturan plat nomor genap-ganjil).</t>
        </is>
      </c>
      <c r="F19" s="7" t="inlineStr">
        <is>
          <t>👉 Buka Sheet ISEVEN</t>
        </is>
      </c>
    </row>
    <row r="20">
      <c r="A20" s="4" t="n">
        <v>16</v>
      </c>
      <c r="B20" s="5" t="inlineStr">
        <is>
          <t>ISODD</t>
        </is>
      </c>
      <c r="C20" s="4" t="inlineStr">
        <is>
          <t>7. Informasi &amp; Audit Data</t>
        </is>
      </c>
      <c r="D20" s="6">
        <f>ISODD(angka)</f>
        <v/>
      </c>
      <c r="E20" s="4" t="inlineStr">
        <is>
          <t>Mengecek apakah suatu angka merupakan bilangan GANJIL.</t>
        </is>
      </c>
      <c r="F20" s="7" t="inlineStr">
        <is>
          <t>👉 Buka Sheet ISODD</t>
        </is>
      </c>
    </row>
    <row r="21">
      <c r="A21" s="4" t="n">
        <v>17</v>
      </c>
      <c r="B21" s="5" t="inlineStr">
        <is>
          <t>N</t>
        </is>
      </c>
      <c r="C21" s="4" t="inlineStr">
        <is>
          <t>7. Informasi &amp; Audit Data</t>
        </is>
      </c>
      <c r="D21" s="6">
        <f>N(nilai)</f>
        <v/>
      </c>
      <c r="E21" s="4" t="inlineStr">
        <is>
          <t>Mengubah nilai logika menjadi angka (TRUE jadi 1, FALSE jadi 0, Teks jadi 0, Angka tetap Angka).</t>
        </is>
      </c>
      <c r="F21" s="7" t="inlineStr">
        <is>
          <t>👉 Buka Sheet N</t>
        </is>
      </c>
    </row>
    <row r="22">
      <c r="A22" s="4" t="n">
        <v>18</v>
      </c>
      <c r="B22" s="5" t="inlineStr">
        <is>
          <t>TYPE</t>
        </is>
      </c>
      <c r="C22" s="4" t="inlineStr">
        <is>
          <t>7. Informasi &amp; Audit Data</t>
        </is>
      </c>
      <c r="D22" s="6">
        <f>TYPE(nilai)</f>
        <v/>
      </c>
      <c r="E22" s="4" t="inlineStr">
        <is>
          <t>Mendeteksi kode tipe data di dalam sel (1=Angka, 2=Teks, 4=Logika, 16=Error).</t>
        </is>
      </c>
      <c r="F22" s="7" t="inlineStr">
        <is>
          <t>👉 Buka Sheet TYPE</t>
        </is>
      </c>
    </row>
    <row r="23">
      <c r="A23" s="4" t="n">
        <v>19</v>
      </c>
      <c r="B23" s="5" t="inlineStr">
        <is>
          <t>DELTA</t>
        </is>
      </c>
      <c r="C23" s="4" t="inlineStr">
        <is>
          <t>7. Informasi &amp; Audit Data</t>
        </is>
      </c>
      <c r="D23" s="6">
        <f>DELTA(angka1, angka2)</f>
        <v/>
      </c>
      <c r="E23" s="4" t="inlineStr">
        <is>
          <t>Menguji apakah dua angka SAMA PERSIS: menghasilkan 1 jika sama, dan 0 jika berbeda (Sering dipakai untuk audit rekonsiliasi bank!).</t>
        </is>
      </c>
      <c r="F23" s="7" t="inlineStr">
        <is>
          <t>👉 Buka Sheet DELTA</t>
        </is>
      </c>
    </row>
    <row r="24">
      <c r="A24" s="4" t="n">
        <v>20</v>
      </c>
      <c r="B24" s="5" t="inlineStr">
        <is>
          <t>GESTEP</t>
        </is>
      </c>
      <c r="C24" s="4" t="inlineStr">
        <is>
          <t>7. Informasi &amp; Audit Data</t>
        </is>
      </c>
      <c r="D24" s="6">
        <f>GESTEP(angka, batas_ambang)</f>
        <v/>
      </c>
      <c r="E24" s="4" t="inlineStr">
        <is>
          <t>Menguji apakah angka sudah mencapai target ambang batas (&gt;= batas): menghasilkan 1 jika tercapai, 0 jika belum.</t>
        </is>
      </c>
      <c r="F24" s="7" t="inlineStr">
        <is>
          <t>👉 Buka Sheet GESTEP</t>
        </is>
      </c>
    </row>
    <row r="25">
      <c r="A25" s="4" t="n">
        <v>21</v>
      </c>
      <c r="B25" s="5" t="inlineStr">
        <is>
          <t>DEC2BIN</t>
        </is>
      </c>
      <c r="C25" s="4" t="inlineStr">
        <is>
          <t>7. Informasi &amp; Audit Data</t>
        </is>
      </c>
      <c r="D25" s="6">
        <f>DEC2BIN(angka_desimal)</f>
        <v/>
      </c>
      <c r="E25" s="4" t="inlineStr">
        <is>
          <t>Mengonversi angka desimal biasa menjadi bilangan Biner (0 dan 1) untuk jaringan komputer/IT.</t>
        </is>
      </c>
      <c r="F25" s="7" t="inlineStr">
        <is>
          <t>👉 Buka Sheet DEC2BIN</t>
        </is>
      </c>
    </row>
    <row r="26">
      <c r="A26" s="4" t="n">
        <v>22</v>
      </c>
      <c r="B26" s="5" t="inlineStr">
        <is>
          <t>DEC2HEX</t>
        </is>
      </c>
      <c r="C26" s="4" t="inlineStr">
        <is>
          <t>7. Informasi &amp; Audit Data</t>
        </is>
      </c>
      <c r="D26" s="6">
        <f>DEC2HEX(angka_desimal)</f>
        <v/>
      </c>
      <c r="E26" s="4" t="inlineStr">
        <is>
          <t>Mengonversi angka desimal menjadi bilangan Heksadesimal.</t>
        </is>
      </c>
      <c r="F26" s="7" t="inlineStr">
        <is>
          <t>👉 Buka Sheet DEC2HEX</t>
        </is>
      </c>
    </row>
    <row r="27">
      <c r="A27" s="4" t="n">
        <v>23</v>
      </c>
      <c r="B27" s="5" t="inlineStr">
        <is>
          <t>AVEDEV</t>
        </is>
      </c>
      <c r="C27" s="4" t="inlineStr">
        <is>
          <t>8. Statistik &amp; Analisis Data</t>
        </is>
      </c>
      <c r="D27" s="6">
        <f>AVEDEV(range_data)</f>
        <v/>
      </c>
      <c r="E27" s="4" t="inlineStr">
        <is>
          <t>Mengukur rata-rata simpangan mutlak data dari nilai rata-ratanya (seberapa jauh angka-angka menyebar dari rata-rata).</t>
        </is>
      </c>
      <c r="F27" s="7" t="inlineStr">
        <is>
          <t>👉 Buka Sheet AVEDEV</t>
        </is>
      </c>
    </row>
    <row r="28">
      <c r="A28" s="4" t="n">
        <v>24</v>
      </c>
      <c r="B28" s="5" t="inlineStr">
        <is>
          <t>AVERAGE</t>
        </is>
      </c>
      <c r="C28" s="4" t="inlineStr">
        <is>
          <t>8. Statistik &amp; Analisis Data</t>
        </is>
      </c>
      <c r="D28" s="6">
        <f>AVERAGE(range_data)</f>
        <v/>
      </c>
      <c r="E28" s="4" t="inlineStr">
        <is>
          <t>Menghitung nilai RATA-RATA (Mean) dari sekumpulan angka (Total dibagi banyaknya data).</t>
        </is>
      </c>
      <c r="F28" s="7" t="inlineStr">
        <is>
          <t>👉 Buka Sheet AVERAGE</t>
        </is>
      </c>
    </row>
    <row r="29">
      <c r="A29" s="4" t="n">
        <v>25</v>
      </c>
      <c r="B29" s="5" t="inlineStr">
        <is>
          <t>AVERAGEA</t>
        </is>
      </c>
      <c r="C29" s="4" t="inlineStr">
        <is>
          <t>8. Statistik &amp; Analisis Data</t>
        </is>
      </c>
      <c r="D29" s="6">
        <f>AVERAGEA(range_data)</f>
        <v/>
      </c>
      <c r="E29" s="4" t="inlineStr">
        <is>
          <t>Menghitung rata-rata dengan mengikutsertakan sel teks (dianggap 0) dan logika TRUE (dianggap 1).</t>
        </is>
      </c>
      <c r="F29" s="7" t="inlineStr">
        <is>
          <t>👉 Buka Sheet AVERAGEA</t>
        </is>
      </c>
    </row>
    <row r="30">
      <c r="A30" s="4" t="n">
        <v>26</v>
      </c>
      <c r="B30" s="5" t="inlineStr">
        <is>
          <t>AVERAGEIF</t>
        </is>
      </c>
      <c r="C30" s="4" t="inlineStr">
        <is>
          <t>8. Statistik &amp; Analisis Data</t>
        </is>
      </c>
      <c r="D30" s="6">
        <f>AVERAGEIF(range_syarat, syarat, [range_rata2])</f>
        <v/>
      </c>
      <c r="E30" s="4" t="inlineStr">
        <is>
          <t>Menghitung rata-rata khusus untuk data yang memenuhi 1 syarat tertentu saja.</t>
        </is>
      </c>
      <c r="F30" s="7" t="inlineStr">
        <is>
          <t>👉 Buka Sheet AVERAGEIF</t>
        </is>
      </c>
    </row>
    <row r="31">
      <c r="A31" s="4" t="n">
        <v>27</v>
      </c>
      <c r="B31" s="5" t="inlineStr">
        <is>
          <t>AVERAGEIFS</t>
        </is>
      </c>
      <c r="C31" s="4" t="inlineStr">
        <is>
          <t>8. Statistik &amp; Analisis Data</t>
        </is>
      </c>
      <c r="D31" s="6">
        <f>AVERAGEIFS(range_rata2, range_syarat1, syarat1, ...)</f>
        <v/>
      </c>
      <c r="E31" s="4" t="inlineStr">
        <is>
          <t>Menghitung rata-rata dengan banyak syarat sekaligus.</t>
        </is>
      </c>
      <c r="F31" s="7" t="inlineStr">
        <is>
          <t>👉 Buka Sheet AVERAGEIFS</t>
        </is>
      </c>
    </row>
    <row r="32">
      <c r="A32" s="4" t="n">
        <v>28</v>
      </c>
      <c r="B32" s="5" t="inlineStr">
        <is>
          <t>BETA.DIST</t>
        </is>
      </c>
      <c r="C32" s="4" t="inlineStr">
        <is>
          <t>8. Statistik &amp; Analisis Data</t>
        </is>
      </c>
      <c r="D32" s="6">
        <f>BETA.DIST(...)</f>
        <v/>
      </c>
      <c r="E32" s="4" t="inlineStr">
        <is>
          <t>Fungsi Statistik &amp; Analisis Data Excel (BETA.DIST) untuk mengolah distribusi, peluang, standar deviasi, dan pengujian hipotesis data secara presisi.</t>
        </is>
      </c>
      <c r="F32" s="7" t="inlineStr">
        <is>
          <t>👉 Buka Sheet BETA.DIST</t>
        </is>
      </c>
    </row>
    <row r="33">
      <c r="A33" s="4" t="n">
        <v>29</v>
      </c>
      <c r="B33" s="5" t="inlineStr">
        <is>
          <t>BETA.INV</t>
        </is>
      </c>
      <c r="C33" s="4" t="inlineStr">
        <is>
          <t>8. Statistik &amp; Analisis Data</t>
        </is>
      </c>
      <c r="D33" s="6">
        <f>BETA.INV(...)</f>
        <v/>
      </c>
      <c r="E33" s="4" t="inlineStr">
        <is>
          <t>Fungsi Statistik &amp; Analisis Data Excel (BETA.INV) untuk mengolah distribusi, peluang, standar deviasi, dan pengujian hipotesis data secara presisi.</t>
        </is>
      </c>
      <c r="F33" s="7" t="inlineStr">
        <is>
          <t>👉 Buka Sheet BETA.INV</t>
        </is>
      </c>
    </row>
    <row r="34">
      <c r="A34" s="4" t="n">
        <v>30</v>
      </c>
      <c r="B34" s="5" t="inlineStr">
        <is>
          <t>BINOM.DIST</t>
        </is>
      </c>
      <c r="C34" s="4" t="inlineStr">
        <is>
          <t>8. Statistik &amp; Analisis Data</t>
        </is>
      </c>
      <c r="D34" s="6">
        <f>BINOM.DIST(...)</f>
        <v/>
      </c>
      <c r="E34" s="4" t="inlineStr">
        <is>
          <t>Fungsi Statistik &amp; Analisis Data Excel (BINOM.DIST) untuk mengolah distribusi, peluang, standar deviasi, dan pengujian hipotesis data secara presisi.</t>
        </is>
      </c>
      <c r="F34" s="7" t="inlineStr">
        <is>
          <t>👉 Buka Sheet BINOM.DIST</t>
        </is>
      </c>
    </row>
    <row r="35">
      <c r="A35" s="4" t="n">
        <v>31</v>
      </c>
      <c r="B35" s="5" t="inlineStr">
        <is>
          <t>BINOM.INV</t>
        </is>
      </c>
      <c r="C35" s="4" t="inlineStr">
        <is>
          <t>8. Statistik &amp; Analisis Data</t>
        </is>
      </c>
      <c r="D35" s="6">
        <f>BINOM.INV(...)</f>
        <v/>
      </c>
      <c r="E35" s="4" t="inlineStr">
        <is>
          <t>Fungsi Statistik &amp; Analisis Data Excel (BINOM.INV) untuk mengolah distribusi, peluang, standar deviasi, dan pengujian hipotesis data secara presisi.</t>
        </is>
      </c>
      <c r="F35" s="7" t="inlineStr">
        <is>
          <t>👉 Buka Sheet BINOM.INV</t>
        </is>
      </c>
    </row>
    <row r="36">
      <c r="A36" s="4" t="n">
        <v>32</v>
      </c>
      <c r="B36" s="5" t="inlineStr">
        <is>
          <t>CHISQ.DIST</t>
        </is>
      </c>
      <c r="C36" s="4" t="inlineStr">
        <is>
          <t>8. Statistik &amp; Analisis Data</t>
        </is>
      </c>
      <c r="D36" s="6">
        <f>CHISQ.DIST(...)</f>
        <v/>
      </c>
      <c r="E36" s="4" t="inlineStr">
        <is>
          <t>Fungsi Statistik &amp; Analisis Data Excel (CHISQ.DIST) untuk mengolah distribusi, peluang, standar deviasi, dan pengujian hipotesis data secara presisi.</t>
        </is>
      </c>
      <c r="F36" s="7" t="inlineStr">
        <is>
          <t>👉 Buka Sheet CHISQ.DIST</t>
        </is>
      </c>
    </row>
    <row r="37">
      <c r="A37" s="4" t="n">
        <v>33</v>
      </c>
      <c r="B37" s="5" t="inlineStr">
        <is>
          <t>CHISQ.DIST.RT</t>
        </is>
      </c>
      <c r="C37" s="4" t="inlineStr">
        <is>
          <t>8. Statistik &amp; Analisis Data</t>
        </is>
      </c>
      <c r="D37" s="6">
        <f>CHISQ.DIST.RT(...)</f>
        <v/>
      </c>
      <c r="E37" s="4" t="inlineStr">
        <is>
          <t>Fungsi Statistik &amp; Analisis Data Excel (CHISQ.DIST.RT) untuk mengolah distribusi, peluang, standar deviasi, dan pengujian hipotesis data secara presisi.</t>
        </is>
      </c>
      <c r="F37" s="7" t="inlineStr">
        <is>
          <t>👉 Buka Sheet CHISQ.DIST.RT</t>
        </is>
      </c>
    </row>
    <row r="38">
      <c r="A38" s="4" t="n">
        <v>34</v>
      </c>
      <c r="B38" s="5" t="inlineStr">
        <is>
          <t>CHISQ.INV</t>
        </is>
      </c>
      <c r="C38" s="4" t="inlineStr">
        <is>
          <t>8. Statistik &amp; Analisis Data</t>
        </is>
      </c>
      <c r="D38" s="6">
        <f>CHISQ.INV(...)</f>
        <v/>
      </c>
      <c r="E38" s="4" t="inlineStr">
        <is>
          <t>Fungsi Statistik &amp; Analisis Data Excel (CHISQ.INV) untuk mengolah distribusi, peluang, standar deviasi, dan pengujian hipotesis data secara presisi.</t>
        </is>
      </c>
      <c r="F38" s="7" t="inlineStr">
        <is>
          <t>👉 Buka Sheet CHISQ.INV</t>
        </is>
      </c>
    </row>
    <row r="39">
      <c r="A39" s="4" t="n">
        <v>35</v>
      </c>
      <c r="B39" s="5" t="inlineStr">
        <is>
          <t>CHISQ.RT.INV</t>
        </is>
      </c>
      <c r="C39" s="4" t="inlineStr">
        <is>
          <t>8. Statistik &amp; Analisis Data</t>
        </is>
      </c>
      <c r="D39" s="6">
        <f>CHISQ.RT.INV(...)</f>
        <v/>
      </c>
      <c r="E39" s="4" t="inlineStr">
        <is>
          <t>Fungsi Statistik &amp; Analisis Data Excel (CHISQ.RT.INV) untuk mengolah distribusi, peluang, standar deviasi, dan pengujian hipotesis data secara presisi.</t>
        </is>
      </c>
      <c r="F39" s="7" t="inlineStr">
        <is>
          <t>👉 Buka Sheet CHISQ.RT.INV</t>
        </is>
      </c>
    </row>
    <row r="40">
      <c r="A40" s="4" t="n">
        <v>36</v>
      </c>
      <c r="B40" s="5" t="inlineStr">
        <is>
          <t>CHITEST</t>
        </is>
      </c>
      <c r="C40" s="4" t="inlineStr">
        <is>
          <t>8. Statistik &amp; Analisis Data</t>
        </is>
      </c>
      <c r="D40" s="6">
        <f>CHITEST(...)</f>
        <v/>
      </c>
      <c r="E40" s="4" t="inlineStr">
        <is>
          <t>Fungsi Statistik &amp; Analisis Data Excel (CHITEST) untuk mengolah distribusi, peluang, standar deviasi, dan pengujian hipotesis data secara presisi.</t>
        </is>
      </c>
      <c r="F40" s="7" t="inlineStr">
        <is>
          <t>👉 Buka Sheet CHITEST</t>
        </is>
      </c>
    </row>
    <row r="41">
      <c r="A41" s="4" t="n">
        <v>37</v>
      </c>
      <c r="B41" s="5" t="inlineStr">
        <is>
          <t>CONFIDENCE.NORM</t>
        </is>
      </c>
      <c r="C41" s="4" t="inlineStr">
        <is>
          <t>8. Statistik &amp; Analisis Data</t>
        </is>
      </c>
      <c r="D41" s="6">
        <f>CONFIDENCE.NORM(...)</f>
        <v/>
      </c>
      <c r="E41" s="4" t="inlineStr">
        <is>
          <t>Fungsi Statistik &amp; Analisis Data Excel (CONFIDENCE.NORM) untuk mengolah distribusi, peluang, standar deviasi, dan pengujian hipotesis data secara presisi.</t>
        </is>
      </c>
      <c r="F41" s="7" t="inlineStr">
        <is>
          <t>👉 Buka Sheet CONFIDENCE.NORM</t>
        </is>
      </c>
    </row>
    <row r="42">
      <c r="A42" s="4" t="n">
        <v>38</v>
      </c>
      <c r="B42" s="5" t="inlineStr">
        <is>
          <t>CONFIDENCE.T</t>
        </is>
      </c>
      <c r="C42" s="4" t="inlineStr">
        <is>
          <t>8. Statistik &amp; Analisis Data</t>
        </is>
      </c>
      <c r="D42" s="6">
        <f>CONFIDENCE.T(...)</f>
        <v/>
      </c>
      <c r="E42" s="4" t="inlineStr">
        <is>
          <t>Fungsi Statistik &amp; Analisis Data Excel (CONFIDENCE.T) untuk mengolah distribusi, peluang, standar deviasi, dan pengujian hipotesis data secara presisi.</t>
        </is>
      </c>
      <c r="F42" s="7" t="inlineStr">
        <is>
          <t>👉 Buka Sheet CONFIDENCE.T</t>
        </is>
      </c>
    </row>
    <row r="43">
      <c r="A43" s="4" t="n">
        <v>39</v>
      </c>
      <c r="B43" s="5" t="inlineStr">
        <is>
          <t>CORREL</t>
        </is>
      </c>
      <c r="C43" s="4" t="inlineStr">
        <is>
          <t>8. Statistik &amp; Analisis Data</t>
        </is>
      </c>
      <c r="D43" s="6">
        <f>CORREL(range_x, range_y)</f>
        <v/>
      </c>
      <c r="E43" s="4" t="inlineStr">
        <is>
          <t>Mengukur seberapa kuat hubungan (korelasi -1 s/d +1) antara dua variabel (Misal: Biaya Iklan vs Omzet Penjualan).</t>
        </is>
      </c>
      <c r="F43" s="7" t="inlineStr">
        <is>
          <t>👉 Buka Sheet CORREL</t>
        </is>
      </c>
    </row>
    <row r="44">
      <c r="A44" s="4" t="n">
        <v>40</v>
      </c>
      <c r="B44" s="5" t="inlineStr">
        <is>
          <t>COUNT</t>
        </is>
      </c>
      <c r="C44" s="4" t="inlineStr">
        <is>
          <t>8. Statistik &amp; Analisis Data</t>
        </is>
      </c>
      <c r="D44" s="6">
        <f>COUNT(range_data)</f>
        <v/>
      </c>
      <c r="E44" s="4" t="inlineStr">
        <is>
          <t>Menghitung berapa banyak sel yang berisi ANGKA saja di dalam suatu tabel.</t>
        </is>
      </c>
      <c r="F44" s="7" t="inlineStr">
        <is>
          <t>👉 Buka Sheet COUNT</t>
        </is>
      </c>
    </row>
    <row r="45">
      <c r="A45" s="4" t="n">
        <v>41</v>
      </c>
      <c r="B45" s="5" t="inlineStr">
        <is>
          <t>COUNTA</t>
        </is>
      </c>
      <c r="C45" s="4" t="inlineStr">
        <is>
          <t>8. Statistik &amp; Analisis Data</t>
        </is>
      </c>
      <c r="D45" s="6">
        <f>COUNTA(range_data)</f>
        <v/>
      </c>
      <c r="E45" s="4" t="inlineStr">
        <is>
          <t>Menghitung berapa banyak sel yang TIDAK KOSONG (baik berisi angka maupun teks nama).</t>
        </is>
      </c>
      <c r="F45" s="7" t="inlineStr">
        <is>
          <t>👉 Buka Sheet COUNTA</t>
        </is>
      </c>
    </row>
    <row r="46">
      <c r="A46" s="4" t="n">
        <v>42</v>
      </c>
      <c r="B46" s="5" t="inlineStr">
        <is>
          <t>COUNTBLANK</t>
        </is>
      </c>
      <c r="C46" s="4" t="inlineStr">
        <is>
          <t>8. Statistik &amp; Analisis Data</t>
        </is>
      </c>
      <c r="D46" s="6">
        <f>COUNTBLANK(range_data)</f>
        <v/>
      </c>
      <c r="E46" s="4" t="inlineStr">
        <is>
          <t>Menghitung berapa banyak sel yang masih KOSONG / belum diisi di dalam formulir/tabel.</t>
        </is>
      </c>
      <c r="F46" s="7" t="inlineStr">
        <is>
          <t>👉 Buka Sheet COUNTBLANK</t>
        </is>
      </c>
    </row>
    <row r="47">
      <c r="A47" s="4" t="n">
        <v>43</v>
      </c>
      <c r="B47" s="5" t="inlineStr">
        <is>
          <t>COUNTIF</t>
        </is>
      </c>
      <c r="C47" s="4" t="inlineStr">
        <is>
          <t>8. Statistik &amp; Analisis Data</t>
        </is>
      </c>
      <c r="D47" s="6">
        <f>COUNTIF(range_data, syarat)</f>
        <v/>
      </c>
      <c r="E47" s="4" t="inlineStr">
        <is>
          <t>Menghitung berapa banyak data yang memenuhi 1 syarat (Misal: hitung berapa orang yang hadir 'H').</t>
        </is>
      </c>
      <c r="F47" s="7" t="inlineStr">
        <is>
          <t>👉 Buka Sheet COUNTIF</t>
        </is>
      </c>
    </row>
    <row r="48">
      <c r="A48" s="4" t="n">
        <v>44</v>
      </c>
      <c r="B48" s="5" t="inlineStr">
        <is>
          <t>COUNTIFS</t>
        </is>
      </c>
      <c r="C48" s="4" t="inlineStr">
        <is>
          <t>8. Statistik &amp; Analisis Data</t>
        </is>
      </c>
      <c r="D48" s="6">
        <f>COUNTIFS(range1, syarat1, range2, syarat2)</f>
        <v/>
      </c>
      <c r="E48" s="4" t="inlineStr">
        <is>
          <t>Menghitung berapa banyak data yang memenuhi banyak kriteria sekaligus.</t>
        </is>
      </c>
      <c r="F48" s="7" t="inlineStr">
        <is>
          <t>👉 Buka Sheet COUNTIFS</t>
        </is>
      </c>
    </row>
    <row r="49">
      <c r="A49" s="4" t="n">
        <v>45</v>
      </c>
      <c r="B49" s="5" t="inlineStr">
        <is>
          <t>COVARIANCE.P</t>
        </is>
      </c>
      <c r="C49" s="4" t="inlineStr">
        <is>
          <t>8. Statistik &amp; Analisis Data</t>
        </is>
      </c>
      <c r="D49" s="6">
        <f>COVARIANCE.P(range_x, range_y)</f>
        <v/>
      </c>
      <c r="E49" s="4" t="inlineStr">
        <is>
          <t>Menghitung kovarians populasi antara dua kumpulan data.</t>
        </is>
      </c>
      <c r="F49" s="7" t="inlineStr">
        <is>
          <t>👉 Buka Sheet COVARIANCE.P</t>
        </is>
      </c>
    </row>
    <row r="50">
      <c r="A50" s="4" t="n">
        <v>46</v>
      </c>
      <c r="B50" s="5" t="inlineStr">
        <is>
          <t>COVARIANCE.T</t>
        </is>
      </c>
      <c r="C50" s="4" t="inlineStr">
        <is>
          <t>8. Statistik &amp; Analisis Data</t>
        </is>
      </c>
      <c r="D50" s="6">
        <f>COVARIANCE.T(...)</f>
        <v/>
      </c>
      <c r="E50" s="4" t="inlineStr">
        <is>
          <t>Fungsi Statistik &amp; Analisis Data Excel (COVARIANCE.T) untuk mengolah distribusi, peluang, standar deviasi, dan pengujian hipotesis data secara presisi.</t>
        </is>
      </c>
      <c r="F50" s="7" t="inlineStr">
        <is>
          <t>👉 Buka Sheet COVARIANCE.T</t>
        </is>
      </c>
    </row>
    <row r="51">
      <c r="A51" s="4" t="n">
        <v>47</v>
      </c>
      <c r="B51" s="5" t="inlineStr">
        <is>
          <t>CRITBINOM</t>
        </is>
      </c>
      <c r="C51" s="4" t="inlineStr">
        <is>
          <t>8. Statistik &amp; Analisis Data</t>
        </is>
      </c>
      <c r="D51" s="6">
        <f>CRITBINOM(...)</f>
        <v/>
      </c>
      <c r="E51" s="4" t="inlineStr">
        <is>
          <t>Fungsi Statistik &amp; Analisis Data Excel (CRITBINOM) untuk mengolah distribusi, peluang, standar deviasi, dan pengujian hipotesis data secara presisi.</t>
        </is>
      </c>
      <c r="F51" s="7" t="inlineStr">
        <is>
          <t>👉 Buka Sheet CRITBINOM</t>
        </is>
      </c>
    </row>
    <row r="52">
      <c r="A52" s="4" t="n">
        <v>48</v>
      </c>
      <c r="B52" s="5" t="inlineStr">
        <is>
          <t>DEVSQ</t>
        </is>
      </c>
      <c r="C52" s="4" t="inlineStr">
        <is>
          <t>8. Statistik &amp; Analisis Data</t>
        </is>
      </c>
      <c r="D52" s="6">
        <f>DEVSQ(range_data)</f>
        <v/>
      </c>
      <c r="E52" s="4" t="inlineStr">
        <is>
          <t>Menghitung jumlah kuadrat simpangan data dari rata-ratanya.</t>
        </is>
      </c>
      <c r="F52" s="7" t="inlineStr">
        <is>
          <t>👉 Buka Sheet DEVSQ</t>
        </is>
      </c>
    </row>
    <row r="53">
      <c r="A53" s="4" t="n">
        <v>49</v>
      </c>
      <c r="B53" s="5" t="inlineStr">
        <is>
          <t>EXPON.DIST</t>
        </is>
      </c>
      <c r="C53" s="4" t="inlineStr">
        <is>
          <t>8. Statistik &amp; Analisis Data</t>
        </is>
      </c>
      <c r="D53" s="6">
        <f>EXPON.DIST(...)</f>
        <v/>
      </c>
      <c r="E53" s="4" t="inlineStr">
        <is>
          <t>Fungsi Statistik &amp; Analisis Data Excel (EXPON.DIST) untuk mengolah distribusi, peluang, standar deviasi, dan pengujian hipotesis data secara presisi.</t>
        </is>
      </c>
      <c r="F53" s="7" t="inlineStr">
        <is>
          <t>👉 Buka Sheet EXPON.DIST</t>
        </is>
      </c>
    </row>
    <row r="54">
      <c r="A54" s="4" t="n">
        <v>50</v>
      </c>
      <c r="B54" s="5" t="inlineStr">
        <is>
          <t>F.DIST</t>
        </is>
      </c>
      <c r="C54" s="4" t="inlineStr">
        <is>
          <t>8. Statistik &amp; Analisis Data</t>
        </is>
      </c>
      <c r="D54" s="6">
        <f>F.DIST(...)</f>
        <v/>
      </c>
      <c r="E54" s="4" t="inlineStr">
        <is>
          <t>Fungsi Statistik &amp; Analisis Data Excel (F.DIST) untuk mengolah distribusi, peluang, standar deviasi, dan pengujian hipotesis data secara presisi.</t>
        </is>
      </c>
      <c r="F54" s="7" t="inlineStr">
        <is>
          <t>👉 Buka Sheet F.DIST</t>
        </is>
      </c>
    </row>
    <row r="55">
      <c r="A55" s="4" t="n">
        <v>51</v>
      </c>
      <c r="B55" s="5" t="inlineStr">
        <is>
          <t>F.DIST.RT</t>
        </is>
      </c>
      <c r="C55" s="4" t="inlineStr">
        <is>
          <t>8. Statistik &amp; Analisis Data</t>
        </is>
      </c>
      <c r="D55" s="6">
        <f>F.DIST.RT(...)</f>
        <v/>
      </c>
      <c r="E55" s="4" t="inlineStr">
        <is>
          <t>Fungsi Statistik &amp; Analisis Data Excel (F.DIST.RT) untuk mengolah distribusi, peluang, standar deviasi, dan pengujian hipotesis data secara presisi.</t>
        </is>
      </c>
      <c r="F55" s="7" t="inlineStr">
        <is>
          <t>👉 Buka Sheet F.DIST.RT</t>
        </is>
      </c>
    </row>
    <row r="56">
      <c r="A56" s="4" t="n">
        <v>52</v>
      </c>
      <c r="B56" s="5" t="inlineStr">
        <is>
          <t>F.INV</t>
        </is>
      </c>
      <c r="C56" s="4" t="inlineStr">
        <is>
          <t>8. Statistik &amp; Analisis Data</t>
        </is>
      </c>
      <c r="D56" s="6">
        <f>F.INV(...)</f>
        <v/>
      </c>
      <c r="E56" s="4" t="inlineStr">
        <is>
          <t>Fungsi Statistik &amp; Analisis Data Excel (F.INV) untuk mengolah distribusi, peluang, standar deviasi, dan pengujian hipotesis data secara presisi.</t>
        </is>
      </c>
      <c r="F56" s="7" t="inlineStr">
        <is>
          <t>👉 Buka Sheet F.INV</t>
        </is>
      </c>
    </row>
    <row r="57">
      <c r="A57" s="4" t="n">
        <v>53</v>
      </c>
      <c r="B57" s="5" t="inlineStr">
        <is>
          <t>F.INV.RT</t>
        </is>
      </c>
      <c r="C57" s="4" t="inlineStr">
        <is>
          <t>8. Statistik &amp; Analisis Data</t>
        </is>
      </c>
      <c r="D57" s="6">
        <f>F.INV.RT(...)</f>
        <v/>
      </c>
      <c r="E57" s="4" t="inlineStr">
        <is>
          <t>Fungsi Statistik &amp; Analisis Data Excel (F.INV.RT) untuk mengolah distribusi, peluang, standar deviasi, dan pengujian hipotesis data secara presisi.</t>
        </is>
      </c>
      <c r="F57" s="7" t="inlineStr">
        <is>
          <t>👉 Buka Sheet F.INV.RT</t>
        </is>
      </c>
    </row>
    <row r="58">
      <c r="A58" s="4" t="n">
        <v>54</v>
      </c>
      <c r="B58" s="5" t="inlineStr">
        <is>
          <t>FTEST</t>
        </is>
      </c>
      <c r="C58" s="4" t="inlineStr">
        <is>
          <t>8. Statistik &amp; Analisis Data</t>
        </is>
      </c>
      <c r="D58" s="6">
        <f>FTEST(...)</f>
        <v/>
      </c>
      <c r="E58" s="4" t="inlineStr">
        <is>
          <t>Fungsi Statistik &amp; Analisis Data Excel (FTEST) untuk mengolah distribusi, peluang, standar deviasi, dan pengujian hipotesis data secara presisi.</t>
        </is>
      </c>
      <c r="F58" s="7" t="inlineStr">
        <is>
          <t>👉 Buka Sheet FTEST</t>
        </is>
      </c>
    </row>
    <row r="59">
      <c r="A59" s="4" t="n">
        <v>55</v>
      </c>
      <c r="B59" s="5" t="inlineStr">
        <is>
          <t>FISHER</t>
        </is>
      </c>
      <c r="C59" s="4" t="inlineStr">
        <is>
          <t>8. Statistik &amp; Analisis Data</t>
        </is>
      </c>
      <c r="D59" s="6">
        <f>FISHER(...)</f>
        <v/>
      </c>
      <c r="E59" s="4" t="inlineStr">
        <is>
          <t>Fungsi Statistik &amp; Analisis Data Excel (FISHER) untuk mengolah distribusi, peluang, standar deviasi, dan pengujian hipotesis data secara presisi.</t>
        </is>
      </c>
      <c r="F59" s="7" t="inlineStr">
        <is>
          <t>👉 Buka Sheet FISHER</t>
        </is>
      </c>
    </row>
    <row r="60">
      <c r="A60" s="4" t="n">
        <v>56</v>
      </c>
      <c r="B60" s="5" t="inlineStr">
        <is>
          <t>FISHER.INV</t>
        </is>
      </c>
      <c r="C60" s="4" t="inlineStr">
        <is>
          <t>8. Statistik &amp; Analisis Data</t>
        </is>
      </c>
      <c r="D60" s="6">
        <f>FISHER.INV(...)</f>
        <v/>
      </c>
      <c r="E60" s="4" t="inlineStr">
        <is>
          <t>Fungsi Statistik &amp; Analisis Data Excel (FISHER.INV) untuk mengolah distribusi, peluang, standar deviasi, dan pengujian hipotesis data secara presisi.</t>
        </is>
      </c>
      <c r="F60" s="7" t="inlineStr">
        <is>
          <t>👉 Buka Sheet FISHER.INV</t>
        </is>
      </c>
    </row>
    <row r="61">
      <c r="A61" s="4" t="n">
        <v>57</v>
      </c>
      <c r="B61" s="5" t="inlineStr">
        <is>
          <t>FORECAST</t>
        </is>
      </c>
      <c r="C61" s="4" t="inlineStr">
        <is>
          <t>8. Statistik &amp; Analisis Data</t>
        </is>
      </c>
      <c r="D61" s="6">
        <f>FORECAST(target_x, range_y, range_x)</f>
        <v/>
      </c>
      <c r="E61" s="4" t="inlineStr">
        <is>
          <t>Meramal angka masa depan (Misal: memprediksi omzet bulan ke-6 berdasarkan tren bulan 1 s/d 5)!</t>
        </is>
      </c>
      <c r="F61" s="7" t="inlineStr">
        <is>
          <t>👉 Buka Sheet FORECAST</t>
        </is>
      </c>
    </row>
    <row r="62">
      <c r="A62" s="4" t="n">
        <v>58</v>
      </c>
      <c r="B62" s="5" t="inlineStr">
        <is>
          <t>FREQUENCY</t>
        </is>
      </c>
      <c r="C62" s="4" t="inlineStr">
        <is>
          <t>8. Statistik &amp; Analisis Data</t>
        </is>
      </c>
      <c r="D62" s="6">
        <f>FREQUENCY(...)</f>
        <v/>
      </c>
      <c r="E62" s="4" t="inlineStr">
        <is>
          <t>Fungsi Statistik &amp; Analisis Data Excel (FREQUENCY) untuk mengolah distribusi, peluang, standar deviasi, dan pengujian hipotesis data secara presisi.</t>
        </is>
      </c>
      <c r="F62" s="7" t="inlineStr">
        <is>
          <t>👉 Buka Sheet FREQUENCY</t>
        </is>
      </c>
    </row>
    <row r="63">
      <c r="A63" s="4" t="n">
        <v>59</v>
      </c>
      <c r="B63" s="5" t="inlineStr">
        <is>
          <t>GAMMADIST</t>
        </is>
      </c>
      <c r="C63" s="4" t="inlineStr">
        <is>
          <t>8. Statistik &amp; Analisis Data</t>
        </is>
      </c>
      <c r="D63" s="6">
        <f>GAMMADIST(...)</f>
        <v/>
      </c>
      <c r="E63" s="4" t="inlineStr">
        <is>
          <t>Fungsi Statistik &amp; Analisis Data Excel (GAMMADIST) untuk mengolah distribusi, peluang, standar deviasi, dan pengujian hipotesis data secara presisi.</t>
        </is>
      </c>
      <c r="F63" s="7" t="inlineStr">
        <is>
          <t>👉 Buka Sheet GAMMADIST</t>
        </is>
      </c>
    </row>
    <row r="64">
      <c r="A64" s="4" t="n">
        <v>60</v>
      </c>
      <c r="B64" s="5" t="inlineStr">
        <is>
          <t>GAMMAINV</t>
        </is>
      </c>
      <c r="C64" s="4" t="inlineStr">
        <is>
          <t>8. Statistik &amp; Analisis Data</t>
        </is>
      </c>
      <c r="D64" s="6">
        <f>GAMMAINV(...)</f>
        <v/>
      </c>
      <c r="E64" s="4" t="inlineStr">
        <is>
          <t>Fungsi Statistik &amp; Analisis Data Excel (GAMMAINV) untuk mengolah distribusi, peluang, standar deviasi, dan pengujian hipotesis data secara presisi.</t>
        </is>
      </c>
      <c r="F64" s="7" t="inlineStr">
        <is>
          <t>👉 Buka Sheet GAMMAINV</t>
        </is>
      </c>
    </row>
    <row r="65">
      <c r="A65" s="4" t="n">
        <v>61</v>
      </c>
      <c r="B65" s="5" t="inlineStr">
        <is>
          <t>GAMMALN</t>
        </is>
      </c>
      <c r="C65" s="4" t="inlineStr">
        <is>
          <t>8. Statistik &amp; Analisis Data</t>
        </is>
      </c>
      <c r="D65" s="6">
        <f>GAMMALN(...)</f>
        <v/>
      </c>
      <c r="E65" s="4" t="inlineStr">
        <is>
          <t>Fungsi Statistik &amp; Analisis Data Excel (GAMMALN) untuk mengolah distribusi, peluang, standar deviasi, dan pengujian hipotesis data secara presisi.</t>
        </is>
      </c>
      <c r="F65" s="7" t="inlineStr">
        <is>
          <t>👉 Buka Sheet GAMMALN</t>
        </is>
      </c>
    </row>
    <row r="66">
      <c r="A66" s="4" t="n">
        <v>62</v>
      </c>
      <c r="B66" s="5" t="inlineStr">
        <is>
          <t>GEOMEAN</t>
        </is>
      </c>
      <c r="C66" s="4" t="inlineStr">
        <is>
          <t>8. Statistik &amp; Analisis Data</t>
        </is>
      </c>
      <c r="D66" s="6">
        <f>GEOMEAN(range_data)</f>
        <v/>
      </c>
      <c r="E66" s="4" t="inlineStr">
        <is>
          <t>Menghitung Rata-Rata Geometrik (sangat penting untuk menghitung rata-rata pertumbuhan investasi tahunan).</t>
        </is>
      </c>
      <c r="F66" s="7" t="inlineStr">
        <is>
          <t>👉 Buka Sheet GEOMEAN</t>
        </is>
      </c>
    </row>
    <row r="67">
      <c r="A67" s="4" t="n">
        <v>63</v>
      </c>
      <c r="B67" s="5" t="inlineStr">
        <is>
          <t>GROWTH</t>
        </is>
      </c>
      <c r="C67" s="4" t="inlineStr">
        <is>
          <t>8. Statistik &amp; Analisis Data</t>
        </is>
      </c>
      <c r="D67" s="6">
        <f>GROWTH(...)</f>
        <v/>
      </c>
      <c r="E67" s="4" t="inlineStr">
        <is>
          <t>Fungsi Statistik &amp; Analisis Data Excel (GROWTH) untuk mengolah distribusi, peluang, standar deviasi, dan pengujian hipotesis data secara presisi.</t>
        </is>
      </c>
      <c r="F67" s="7" t="inlineStr">
        <is>
          <t>👉 Buka Sheet GROWTH</t>
        </is>
      </c>
    </row>
    <row r="68">
      <c r="A68" s="4" t="n">
        <v>64</v>
      </c>
      <c r="B68" s="5" t="inlineStr">
        <is>
          <t>HARMEAN</t>
        </is>
      </c>
      <c r="C68" s="4" t="inlineStr">
        <is>
          <t>8. Statistik &amp; Analisis Data</t>
        </is>
      </c>
      <c r="D68" s="6">
        <f>HARMEAN(range_data)</f>
        <v/>
      </c>
      <c r="E68" s="4" t="inlineStr">
        <is>
          <t>Menghitung Rata-Rata Harmonik (cocok untuk menghitung rata-rata kecepatan perjalanan pulang-pergi).</t>
        </is>
      </c>
      <c r="F68" s="7" t="inlineStr">
        <is>
          <t>👉 Buka Sheet HARMEAN</t>
        </is>
      </c>
    </row>
    <row r="69">
      <c r="A69" s="4" t="n">
        <v>65</v>
      </c>
      <c r="B69" s="5" t="inlineStr">
        <is>
          <t>HYPGEOMDIST</t>
        </is>
      </c>
      <c r="C69" s="4" t="inlineStr">
        <is>
          <t>8. Statistik &amp; Analisis Data</t>
        </is>
      </c>
      <c r="D69" s="6">
        <f>HYPGEOMDIST(...)</f>
        <v/>
      </c>
      <c r="E69" s="4" t="inlineStr">
        <is>
          <t>Fungsi Statistik &amp; Analisis Data Excel (HYPGEOMDIST) untuk mengolah distribusi, peluang, standar deviasi, dan pengujian hipotesis data secara presisi.</t>
        </is>
      </c>
      <c r="F69" s="7" t="inlineStr">
        <is>
          <t>👉 Buka Sheet HYPGEOMDIST</t>
        </is>
      </c>
    </row>
    <row r="70">
      <c r="A70" s="4" t="n">
        <v>66</v>
      </c>
      <c r="B70" s="5" t="inlineStr">
        <is>
          <t>INTERCEPT</t>
        </is>
      </c>
      <c r="C70" s="4" t="inlineStr">
        <is>
          <t>8. Statistik &amp; Analisis Data</t>
        </is>
      </c>
      <c r="D70" s="6">
        <f>INTERCEPT(range_y, range_x)</f>
        <v/>
      </c>
      <c r="E70" s="4" t="inlineStr">
        <is>
          <t>Mencari titik potong sumbu Y pada garis regresi linear (nilai dasar saat X = 0).</t>
        </is>
      </c>
      <c r="F70" s="7" t="inlineStr">
        <is>
          <t>👉 Buka Sheet INTERCEPT</t>
        </is>
      </c>
    </row>
    <row r="71">
      <c r="A71" s="4" t="n">
        <v>67</v>
      </c>
      <c r="B71" s="5" t="inlineStr">
        <is>
          <t>KURT</t>
        </is>
      </c>
      <c r="C71" s="4" t="inlineStr">
        <is>
          <t>8. Statistik &amp; Analisis Data</t>
        </is>
      </c>
      <c r="D71" s="6">
        <f>KURT(range_data)</f>
        <v/>
      </c>
      <c r="E71" s="4" t="inlineStr">
        <is>
          <t>Mengukur keruncingan (Kurtosis) distribusi data statistik.</t>
        </is>
      </c>
      <c r="F71" s="7" t="inlineStr">
        <is>
          <t>👉 Buka Sheet KURT</t>
        </is>
      </c>
    </row>
    <row r="72">
      <c r="A72" s="4" t="n">
        <v>68</v>
      </c>
      <c r="B72" s="5" t="inlineStr">
        <is>
          <t>LARGE</t>
        </is>
      </c>
      <c r="C72" s="4" t="inlineStr">
        <is>
          <t>8. Statistik &amp; Analisis Data</t>
        </is>
      </c>
      <c r="D72" s="6">
        <f>LARGE(range_data, k)</f>
        <v/>
      </c>
      <c r="E72" s="4" t="inlineStr">
        <is>
          <t>Mencari nilai terbesar ke-k (Misal k=2 untuk mencari Juara 2, k=3 untuk Juara 3).</t>
        </is>
      </c>
      <c r="F72" s="7" t="inlineStr">
        <is>
          <t>👉 Buka Sheet LARGE</t>
        </is>
      </c>
    </row>
    <row r="73">
      <c r="A73" s="4" t="n">
        <v>69</v>
      </c>
      <c r="B73" s="5" t="inlineStr">
        <is>
          <t>LOGNORM.DIST</t>
        </is>
      </c>
      <c r="C73" s="4" t="inlineStr">
        <is>
          <t>8. Statistik &amp; Analisis Data</t>
        </is>
      </c>
      <c r="D73" s="6">
        <f>LOGNORM.DIST(...)</f>
        <v/>
      </c>
      <c r="E73" s="4" t="inlineStr">
        <is>
          <t>Fungsi Statistik &amp; Analisis Data Excel (LOGNORM.DIST) untuk mengolah distribusi, peluang, standar deviasi, dan pengujian hipotesis data secara presisi.</t>
        </is>
      </c>
      <c r="F73" s="7" t="inlineStr">
        <is>
          <t>👉 Buka Sheet LOGNORM.DIST</t>
        </is>
      </c>
    </row>
    <row r="74">
      <c r="A74" s="4" t="n">
        <v>70</v>
      </c>
      <c r="B74" s="5" t="inlineStr">
        <is>
          <t>LOGINV</t>
        </is>
      </c>
      <c r="C74" s="4" t="inlineStr">
        <is>
          <t>8. Statistik &amp; Analisis Data</t>
        </is>
      </c>
      <c r="D74" s="6">
        <f>LOGINV(...)</f>
        <v/>
      </c>
      <c r="E74" s="4" t="inlineStr">
        <is>
          <t>Fungsi Statistik &amp; Analisis Data Excel (LOGINV) untuk mengolah distribusi, peluang, standar deviasi, dan pengujian hipotesis data secara presisi.</t>
        </is>
      </c>
      <c r="F74" s="7" t="inlineStr">
        <is>
          <t>👉 Buka Sheet LOGINV</t>
        </is>
      </c>
    </row>
    <row r="75">
      <c r="A75" s="4" t="n">
        <v>71</v>
      </c>
      <c r="B75" s="5" t="inlineStr">
        <is>
          <t>MAX</t>
        </is>
      </c>
      <c r="C75" s="4" t="inlineStr">
        <is>
          <t>8. Statistik &amp; Analisis Data</t>
        </is>
      </c>
      <c r="D75" s="6">
        <f>MAX(range_data)</f>
        <v/>
      </c>
      <c r="E75" s="4" t="inlineStr">
        <is>
          <t>Mencari nilai PALING TINGGI (Juara 1 / Rekor Tertinggi) dari sekumpulan angka.</t>
        </is>
      </c>
      <c r="F75" s="7" t="inlineStr">
        <is>
          <t>👉 Buka Sheet MAX</t>
        </is>
      </c>
    </row>
    <row r="76">
      <c r="A76" s="4" t="n">
        <v>72</v>
      </c>
      <c r="B76" s="5" t="inlineStr">
        <is>
          <t>MAXA</t>
        </is>
      </c>
      <c r="C76" s="4" t="inlineStr">
        <is>
          <t>8. Statistik &amp; Analisis Data</t>
        </is>
      </c>
      <c r="D76" s="6">
        <f>MAXA(range_data)</f>
        <v/>
      </c>
      <c r="E76" s="4" t="inlineStr">
        <is>
          <t>Mencari nilai tertinggi termasuk mengevaluasi nilai logika dan teks.</t>
        </is>
      </c>
      <c r="F76" s="7" t="inlineStr">
        <is>
          <t>👉 Buka Sheet MAXA</t>
        </is>
      </c>
    </row>
    <row r="77">
      <c r="A77" s="4" t="n">
        <v>73</v>
      </c>
      <c r="B77" s="5" t="inlineStr">
        <is>
          <t>MEDIAN</t>
        </is>
      </c>
      <c r="C77" s="4" t="inlineStr">
        <is>
          <t>8. Statistik &amp; Analisis Data</t>
        </is>
      </c>
      <c r="D77" s="6">
        <f>MEDIAN(range_data)</f>
        <v/>
      </c>
      <c r="E77" s="4" t="inlineStr">
        <is>
          <t>Mencari NILAI TENGAH setelah data diurutkan dari terkecil ke terbesar (tidak terpengaruh angka ekstrem).</t>
        </is>
      </c>
      <c r="F77" s="7" t="inlineStr">
        <is>
          <t>👉 Buka Sheet MEDIAN</t>
        </is>
      </c>
    </row>
    <row r="78">
      <c r="A78" s="4" t="n">
        <v>74</v>
      </c>
      <c r="B78" s="5" t="inlineStr">
        <is>
          <t>MIN</t>
        </is>
      </c>
      <c r="C78" s="4" t="inlineStr">
        <is>
          <t>8. Statistik &amp; Analisis Data</t>
        </is>
      </c>
      <c r="D78" s="6">
        <f>MIN(range_data)</f>
        <v/>
      </c>
      <c r="E78" s="4" t="inlineStr">
        <is>
          <t>Mencari nilai PALING RENDAH / paling murah dari sekumpulan angka.</t>
        </is>
      </c>
      <c r="F78" s="7" t="inlineStr">
        <is>
          <t>👉 Buka Sheet MIN</t>
        </is>
      </c>
    </row>
    <row r="79">
      <c r="A79" s="4" t="n">
        <v>75</v>
      </c>
      <c r="B79" s="5" t="inlineStr">
        <is>
          <t>MINA</t>
        </is>
      </c>
      <c r="C79" s="4" t="inlineStr">
        <is>
          <t>8. Statistik &amp; Analisis Data</t>
        </is>
      </c>
      <c r="D79" s="6">
        <f>MINA(range_data)</f>
        <v/>
      </c>
      <c r="E79" s="4" t="inlineStr">
        <is>
          <t>Mencari nilai terendah termasuk mengevaluasi nilai logika dan teks (0).</t>
        </is>
      </c>
      <c r="F79" s="7" t="inlineStr">
        <is>
          <t>👉 Buka Sheet MINA</t>
        </is>
      </c>
    </row>
    <row r="80">
      <c r="A80" s="4" t="n">
        <v>76</v>
      </c>
      <c r="B80" s="5" t="inlineStr">
        <is>
          <t>MODE</t>
        </is>
      </c>
      <c r="C80" s="4" t="inlineStr">
        <is>
          <t>8. Statistik &amp; Analisis Data</t>
        </is>
      </c>
      <c r="D80" s="6">
        <f>MODE(range_data)</f>
        <v/>
      </c>
      <c r="E80" s="4" t="inlineStr">
        <is>
          <t>Mencari angka yang PALING SERING MUNCUL (Modus / ukuran paling laris).</t>
        </is>
      </c>
      <c r="F80" s="7" t="inlineStr">
        <is>
          <t>👉 Buka Sheet MODE</t>
        </is>
      </c>
    </row>
    <row r="81">
      <c r="A81" s="4" t="n">
        <v>77</v>
      </c>
      <c r="B81" s="5" t="inlineStr">
        <is>
          <t>NEGBINOM.DIST</t>
        </is>
      </c>
      <c r="C81" s="4" t="inlineStr">
        <is>
          <t>8. Statistik &amp; Analisis Data</t>
        </is>
      </c>
      <c r="D81" s="6">
        <f>NEGBINOM.DIST(...)</f>
        <v/>
      </c>
      <c r="E81" s="4" t="inlineStr">
        <is>
          <t>Fungsi Statistik &amp; Analisis Data Excel (NEGBINOM.DIST) untuk mengolah distribusi, peluang, standar deviasi, dan pengujian hipotesis data secara presisi.</t>
        </is>
      </c>
      <c r="F81" s="7" t="inlineStr">
        <is>
          <t>👉 Buka Sheet NEGBINOM.DIST</t>
        </is>
      </c>
    </row>
    <row r="82">
      <c r="A82" s="4" t="n">
        <v>78</v>
      </c>
      <c r="B82" s="5" t="inlineStr">
        <is>
          <t>NORM.DIST</t>
        </is>
      </c>
      <c r="C82" s="4" t="inlineStr">
        <is>
          <t>8. Statistik &amp; Analisis Data</t>
        </is>
      </c>
      <c r="D82" s="6">
        <f>NORM.DIST(...)</f>
        <v/>
      </c>
      <c r="E82" s="4" t="inlineStr">
        <is>
          <t>Fungsi Statistik &amp; Analisis Data Excel (NORM.DIST) untuk mengolah distribusi, peluang, standar deviasi, dan pengujian hipotesis data secara presisi.</t>
        </is>
      </c>
      <c r="F82" s="7" t="inlineStr">
        <is>
          <t>👉 Buka Sheet NORM.DIST</t>
        </is>
      </c>
    </row>
    <row r="83">
      <c r="A83" s="4" t="n">
        <v>79</v>
      </c>
      <c r="B83" s="5" t="inlineStr">
        <is>
          <t>NORM.INV</t>
        </is>
      </c>
      <c r="C83" s="4" t="inlineStr">
        <is>
          <t>8. Statistik &amp; Analisis Data</t>
        </is>
      </c>
      <c r="D83" s="6">
        <f>NORM.INV(...)</f>
        <v/>
      </c>
      <c r="E83" s="4" t="inlineStr">
        <is>
          <t>Fungsi Statistik &amp; Analisis Data Excel (NORM.INV) untuk mengolah distribusi, peluang, standar deviasi, dan pengujian hipotesis data secara presisi.</t>
        </is>
      </c>
      <c r="F83" s="7" t="inlineStr">
        <is>
          <t>👉 Buka Sheet NORM.INV</t>
        </is>
      </c>
    </row>
    <row r="84">
      <c r="A84" s="4" t="n">
        <v>80</v>
      </c>
      <c r="B84" s="5" t="inlineStr">
        <is>
          <t>NORM.S.DIST</t>
        </is>
      </c>
      <c r="C84" s="4" t="inlineStr">
        <is>
          <t>8. Statistik &amp; Analisis Data</t>
        </is>
      </c>
      <c r="D84" s="6">
        <f>NORM.S.DIST(...)</f>
        <v/>
      </c>
      <c r="E84" s="4" t="inlineStr">
        <is>
          <t>Fungsi Statistik &amp; Analisis Data Excel (NORM.S.DIST) untuk mengolah distribusi, peluang, standar deviasi, dan pengujian hipotesis data secara presisi.</t>
        </is>
      </c>
      <c r="F84" s="7" t="inlineStr">
        <is>
          <t>👉 Buka Sheet NORM.S.DIST</t>
        </is>
      </c>
    </row>
    <row r="85">
      <c r="A85" s="4" t="n">
        <v>81</v>
      </c>
      <c r="B85" s="5" t="inlineStr">
        <is>
          <t>NORM.S.INV</t>
        </is>
      </c>
      <c r="C85" s="4" t="inlineStr">
        <is>
          <t>8. Statistik &amp; Analisis Data</t>
        </is>
      </c>
      <c r="D85" s="6">
        <f>NORM.S.INV(...)</f>
        <v/>
      </c>
      <c r="E85" s="4" t="inlineStr">
        <is>
          <t>Fungsi Statistik &amp; Analisis Data Excel (NORM.S.INV) untuk mengolah distribusi, peluang, standar deviasi, dan pengujian hipotesis data secara presisi.</t>
        </is>
      </c>
      <c r="F85" s="7" t="inlineStr">
        <is>
          <t>👉 Buka Sheet NORM.S.INV</t>
        </is>
      </c>
    </row>
    <row r="86">
      <c r="A86" s="4" t="n">
        <v>82</v>
      </c>
      <c r="B86" s="5" t="inlineStr">
        <is>
          <t>PEARSON</t>
        </is>
      </c>
      <c r="C86" s="4" t="inlineStr">
        <is>
          <t>8. Statistik &amp; Analisis Data</t>
        </is>
      </c>
      <c r="D86" s="6">
        <f>PEARSON(range_x, range_y)</f>
        <v/>
      </c>
      <c r="E86" s="4" t="inlineStr">
        <is>
          <t>Menghitung koefisien korelasi Pearson antara dua kumpulan data.</t>
        </is>
      </c>
      <c r="F86" s="7" t="inlineStr">
        <is>
          <t>👉 Buka Sheet PEARSON</t>
        </is>
      </c>
    </row>
    <row r="87">
      <c r="A87" s="4" t="n">
        <v>83</v>
      </c>
      <c r="B87" s="5" t="inlineStr">
        <is>
          <t>PERCENTILE.EXC</t>
        </is>
      </c>
      <c r="C87" s="4" t="inlineStr">
        <is>
          <t>8. Statistik &amp; Analisis Data</t>
        </is>
      </c>
      <c r="D87" s="6">
        <f>PERCENTILE.EXC(...)</f>
        <v/>
      </c>
      <c r="E87" s="4" t="inlineStr">
        <is>
          <t>Fungsi Statistik &amp; Analisis Data Excel (PERCENTILE.EXC) untuk mengolah distribusi, peluang, standar deviasi, dan pengujian hipotesis data secara presisi.</t>
        </is>
      </c>
      <c r="F87" s="7" t="inlineStr">
        <is>
          <t>👉 Buka Sheet PERCENTILE.EXC</t>
        </is>
      </c>
    </row>
    <row r="88">
      <c r="A88" s="4" t="n">
        <v>84</v>
      </c>
      <c r="B88" s="5" t="inlineStr">
        <is>
          <t>PERCENTILE.INC</t>
        </is>
      </c>
      <c r="C88" s="4" t="inlineStr">
        <is>
          <t>8. Statistik &amp; Analisis Data</t>
        </is>
      </c>
      <c r="D88" s="6">
        <f>PERCENTILE.INC(...)</f>
        <v/>
      </c>
      <c r="E88" s="4" t="inlineStr">
        <is>
          <t>Fungsi Statistik &amp; Analisis Data Excel (PERCENTILE.INC) untuk mengolah distribusi, peluang, standar deviasi, dan pengujian hipotesis data secara presisi.</t>
        </is>
      </c>
      <c r="F88" s="7" t="inlineStr">
        <is>
          <t>👉 Buka Sheet PERCENTILE.INC</t>
        </is>
      </c>
    </row>
    <row r="89">
      <c r="A89" s="4" t="n">
        <v>85</v>
      </c>
      <c r="B89" s="5" t="inlineStr">
        <is>
          <t>PERCENTRANK.EXC</t>
        </is>
      </c>
      <c r="C89" s="4" t="inlineStr">
        <is>
          <t>8. Statistik &amp; Analisis Data</t>
        </is>
      </c>
      <c r="D89" s="6">
        <f>PERCENTRANK.EXC(...)</f>
        <v/>
      </c>
      <c r="E89" s="4" t="inlineStr">
        <is>
          <t>Fungsi Statistik &amp; Analisis Data Excel (PERCENTRANK.EXC) untuk mengolah distribusi, peluang, standar deviasi, dan pengujian hipotesis data secara presisi.</t>
        </is>
      </c>
      <c r="F89" s="7" t="inlineStr">
        <is>
          <t>👉 Buka Sheet PERCENTRANK.EXC</t>
        </is>
      </c>
    </row>
    <row r="90">
      <c r="A90" s="4" t="n">
        <v>86</v>
      </c>
      <c r="B90" s="5" t="inlineStr">
        <is>
          <t>PERCENTRANK.INC</t>
        </is>
      </c>
      <c r="C90" s="4" t="inlineStr">
        <is>
          <t>8. Statistik &amp; Analisis Data</t>
        </is>
      </c>
      <c r="D90" s="6">
        <f>PERCENTRANK.INC(...)</f>
        <v/>
      </c>
      <c r="E90" s="4" t="inlineStr">
        <is>
          <t>Fungsi Statistik &amp; Analisis Data Excel (PERCENTRANK.INC) untuk mengolah distribusi, peluang, standar deviasi, dan pengujian hipotesis data secara presisi.</t>
        </is>
      </c>
      <c r="F90" s="7" t="inlineStr">
        <is>
          <t>👉 Buka Sheet PERCENTRANK.INC</t>
        </is>
      </c>
    </row>
    <row r="91">
      <c r="A91" s="4" t="n">
        <v>87</v>
      </c>
      <c r="B91" s="5" t="inlineStr">
        <is>
          <t>PERMUT</t>
        </is>
      </c>
      <c r="C91" s="4" t="inlineStr">
        <is>
          <t>8. Statistik &amp; Analisis Data</t>
        </is>
      </c>
      <c r="D91" s="6">
        <f>PERMUT(...)</f>
        <v/>
      </c>
      <c r="E91" s="4" t="inlineStr">
        <is>
          <t>Fungsi Statistik &amp; Analisis Data Excel (PERMUT) untuk mengolah distribusi, peluang, standar deviasi, dan pengujian hipotesis data secara presisi.</t>
        </is>
      </c>
      <c r="F91" s="7" t="inlineStr">
        <is>
          <t>👉 Buka Sheet PERMUT</t>
        </is>
      </c>
    </row>
    <row r="92">
      <c r="A92" s="4" t="n">
        <v>88</v>
      </c>
      <c r="B92" s="5" t="inlineStr">
        <is>
          <t>POISSON</t>
        </is>
      </c>
      <c r="C92" s="4" t="inlineStr">
        <is>
          <t>8. Statistik &amp; Analisis Data</t>
        </is>
      </c>
      <c r="D92" s="6">
        <f>POISSON(...)</f>
        <v/>
      </c>
      <c r="E92" s="4" t="inlineStr">
        <is>
          <t>Fungsi Statistik &amp; Analisis Data Excel (POISSON) untuk mengolah distribusi, peluang, standar deviasi, dan pengujian hipotesis data secara presisi.</t>
        </is>
      </c>
      <c r="F92" s="7" t="inlineStr">
        <is>
          <t>👉 Buka Sheet POISSON</t>
        </is>
      </c>
    </row>
    <row r="93">
      <c r="A93" s="4" t="n">
        <v>89</v>
      </c>
      <c r="B93" s="5" t="inlineStr">
        <is>
          <t>PROB</t>
        </is>
      </c>
      <c r="C93" s="4" t="inlineStr">
        <is>
          <t>8. Statistik &amp; Analisis Data</t>
        </is>
      </c>
      <c r="D93" s="6">
        <f>PROB(...)</f>
        <v/>
      </c>
      <c r="E93" s="4" t="inlineStr">
        <is>
          <t>Fungsi Statistik &amp; Analisis Data Excel (PROB) untuk mengolah distribusi, peluang, standar deviasi, dan pengujian hipotesis data secara presisi.</t>
        </is>
      </c>
      <c r="F93" s="7" t="inlineStr">
        <is>
          <t>👉 Buka Sheet PROB</t>
        </is>
      </c>
    </row>
    <row r="94">
      <c r="A94" s="4" t="n">
        <v>90</v>
      </c>
      <c r="B94" s="5" t="inlineStr">
        <is>
          <t>QUARTILE.EXC</t>
        </is>
      </c>
      <c r="C94" s="4" t="inlineStr">
        <is>
          <t>8. Statistik &amp; Analisis Data</t>
        </is>
      </c>
      <c r="D94" s="6">
        <f>QUARTILE.EXC(...)</f>
        <v/>
      </c>
      <c r="E94" s="4" t="inlineStr">
        <is>
          <t>Fungsi Statistik &amp; Analisis Data Excel (QUARTILE.EXC) untuk mengolah distribusi, peluang, standar deviasi, dan pengujian hipotesis data secara presisi.</t>
        </is>
      </c>
      <c r="F94" s="7" t="inlineStr">
        <is>
          <t>👉 Buka Sheet QUARTILE.EXC</t>
        </is>
      </c>
    </row>
    <row r="95">
      <c r="A95" s="4" t="n">
        <v>91</v>
      </c>
      <c r="B95" s="5" t="inlineStr">
        <is>
          <t>QUARTILE.INC</t>
        </is>
      </c>
      <c r="C95" s="4" t="inlineStr">
        <is>
          <t>8. Statistik &amp; Analisis Data</t>
        </is>
      </c>
      <c r="D95" s="6">
        <f>QUARTILE.INC(...)</f>
        <v/>
      </c>
      <c r="E95" s="4" t="inlineStr">
        <is>
          <t>Fungsi Statistik &amp; Analisis Data Excel (QUARTILE.INC) untuk mengolah distribusi, peluang, standar deviasi, dan pengujian hipotesis data secara presisi.</t>
        </is>
      </c>
      <c r="F95" s="7" t="inlineStr">
        <is>
          <t>👉 Buka Sheet QUARTILE.INC</t>
        </is>
      </c>
    </row>
    <row r="96">
      <c r="A96" s="4" t="n">
        <v>92</v>
      </c>
      <c r="B96" s="5" t="inlineStr">
        <is>
          <t>RANK</t>
        </is>
      </c>
      <c r="C96" s="4" t="inlineStr">
        <is>
          <t>8. Statistik &amp; Analisis Data</t>
        </is>
      </c>
      <c r="D96" s="6">
        <f>RANK(angka, range_daftar)</f>
        <v/>
      </c>
      <c r="E96" s="4" t="inlineStr">
        <is>
          <t>Menentukan peringkat juara ke berapa suatu angka dibandingkan seluruh daftar.</t>
        </is>
      </c>
      <c r="F96" s="7" t="inlineStr">
        <is>
          <t>👉 Buka Sheet RANK</t>
        </is>
      </c>
    </row>
    <row r="97">
      <c r="A97" s="4" t="n">
        <v>93</v>
      </c>
      <c r="B97" s="5" t="inlineStr">
        <is>
          <t>RSQ</t>
        </is>
      </c>
      <c r="C97" s="4" t="inlineStr">
        <is>
          <t>8. Statistik &amp; Analisis Data</t>
        </is>
      </c>
      <c r="D97" s="6">
        <f>RSQ(range_y, range_x)</f>
        <v/>
      </c>
      <c r="E97" s="4" t="inlineStr">
        <is>
          <t>Menghitung nilai R-Squared (Koefisien Determinasi) untuk melihat seberapa akurat model prediksi.</t>
        </is>
      </c>
      <c r="F97" s="7" t="inlineStr">
        <is>
          <t>👉 Buka Sheet RSQ</t>
        </is>
      </c>
    </row>
    <row r="98">
      <c r="A98" s="4" t="n">
        <v>94</v>
      </c>
      <c r="B98" s="5" t="inlineStr">
        <is>
          <t>SKEW</t>
        </is>
      </c>
      <c r="C98" s="4" t="inlineStr">
        <is>
          <t>8. Statistik &amp; Analisis Data</t>
        </is>
      </c>
      <c r="D98" s="6">
        <f>SKEW(range_data)</f>
        <v/>
      </c>
      <c r="E98" s="4" t="inlineStr">
        <is>
          <t>Mengukur kemencengan (Skewness) distribusi data.</t>
        </is>
      </c>
      <c r="F98" s="7" t="inlineStr">
        <is>
          <t>👉 Buka Sheet SKEW</t>
        </is>
      </c>
    </row>
    <row r="99">
      <c r="A99" s="4" t="n">
        <v>95</v>
      </c>
      <c r="B99" s="5" t="inlineStr">
        <is>
          <t>SLOPE</t>
        </is>
      </c>
      <c r="C99" s="4" t="inlineStr">
        <is>
          <t>8. Statistik &amp; Analisis Data</t>
        </is>
      </c>
      <c r="D99" s="6">
        <f>SLOPE(range_y, range_x)</f>
        <v/>
      </c>
      <c r="E99" s="4" t="inlineStr">
        <is>
          <t>Menghitung kemiringan garis tren regresi linear (seberapa besar kenaikan Y setiap X naik 1 unit).</t>
        </is>
      </c>
      <c r="F99" s="7" t="inlineStr">
        <is>
          <t>👉 Buka Sheet SLOPE</t>
        </is>
      </c>
    </row>
    <row r="100">
      <c r="A100" s="4" t="n">
        <v>96</v>
      </c>
      <c r="B100" s="5" t="inlineStr">
        <is>
          <t>SMALL</t>
        </is>
      </c>
      <c r="C100" s="4" t="inlineStr">
        <is>
          <t>8. Statistik &amp; Analisis Data</t>
        </is>
      </c>
      <c r="D100" s="6">
        <f>SMALL(range_data, k)</f>
        <v/>
      </c>
      <c r="E100" s="4" t="inlineStr">
        <is>
          <t>Mencari nilai terkecil ke-k (Misal mencari 3 cabang dengan biaya termurah).</t>
        </is>
      </c>
      <c r="F100" s="7" t="inlineStr">
        <is>
          <t>👉 Buka Sheet SMALL</t>
        </is>
      </c>
    </row>
    <row r="101">
      <c r="A101" s="4" t="n">
        <v>97</v>
      </c>
      <c r="B101" s="5" t="inlineStr">
        <is>
          <t>STANDARDIZE</t>
        </is>
      </c>
      <c r="C101" s="4" t="inlineStr">
        <is>
          <t>8. Statistik &amp; Analisis Data</t>
        </is>
      </c>
      <c r="D101" s="6">
        <f>STANDARDIZE(...)</f>
        <v/>
      </c>
      <c r="E101" s="4" t="inlineStr">
        <is>
          <t>Fungsi Statistik &amp; Analisis Data Excel (STANDARDIZE) untuk mengolah distribusi, peluang, standar deviasi, dan pengujian hipotesis data secara presisi.</t>
        </is>
      </c>
      <c r="F101" s="7" t="inlineStr">
        <is>
          <t>👉 Buka Sheet STANDARDIZE</t>
        </is>
      </c>
    </row>
    <row r="102">
      <c r="A102" s="4" t="n">
        <v>98</v>
      </c>
      <c r="B102" s="5" t="inlineStr">
        <is>
          <t>STDEV.P</t>
        </is>
      </c>
      <c r="C102" s="4" t="inlineStr">
        <is>
          <t>8. Statistik &amp; Analisis Data</t>
        </is>
      </c>
      <c r="D102" s="6">
        <f>STDEV.P(range_data)</f>
        <v/>
      </c>
      <c r="E102" s="4" t="inlineStr">
        <is>
          <t>Menghitung Standar Deviasi untuk seluruh populasi data.</t>
        </is>
      </c>
      <c r="F102" s="7" t="inlineStr">
        <is>
          <t>👉 Buka Sheet STDEV.P</t>
        </is>
      </c>
    </row>
    <row r="103">
      <c r="A103" s="4" t="n">
        <v>99</v>
      </c>
      <c r="B103" s="5" t="inlineStr">
        <is>
          <t>STDEV.S</t>
        </is>
      </c>
      <c r="C103" s="4" t="inlineStr">
        <is>
          <t>8. Statistik &amp; Analisis Data</t>
        </is>
      </c>
      <c r="D103" s="6">
        <f>STDEV.S(range_data)</f>
        <v/>
      </c>
      <c r="E103" s="4" t="inlineStr">
        <is>
          <t>Menghitung Standar Deviasi sampel untuk melihat tingkat fluktuasi/ketidakstabilan data.</t>
        </is>
      </c>
      <c r="F103" s="7" t="inlineStr">
        <is>
          <t>👉 Buka Sheet STDEV.S</t>
        </is>
      </c>
    </row>
    <row r="104">
      <c r="A104" s="4" t="n">
        <v>100</v>
      </c>
      <c r="B104" s="5" t="inlineStr">
        <is>
          <t>STDEVA</t>
        </is>
      </c>
      <c r="C104" s="4" t="inlineStr">
        <is>
          <t>8. Statistik &amp; Analisis Data</t>
        </is>
      </c>
      <c r="D104" s="6">
        <f>STDEVA(...)</f>
        <v/>
      </c>
      <c r="E104" s="4" t="inlineStr">
        <is>
          <t>Fungsi Statistik &amp; Analisis Data Excel (STDEVA) untuk mengolah distribusi, peluang, standar deviasi, dan pengujian hipotesis data secara presisi.</t>
        </is>
      </c>
      <c r="F104" s="7" t="inlineStr">
        <is>
          <t>👉 Buka Sheet STDEVA</t>
        </is>
      </c>
    </row>
    <row r="105">
      <c r="A105" s="4" t="n">
        <v>101</v>
      </c>
      <c r="B105" s="5" t="inlineStr">
        <is>
          <t>STDEVP</t>
        </is>
      </c>
      <c r="C105" s="4" t="inlineStr">
        <is>
          <t>8. Statistik &amp; Analisis Data</t>
        </is>
      </c>
      <c r="D105" s="6">
        <f>STDEVP(...)</f>
        <v/>
      </c>
      <c r="E105" s="4" t="inlineStr">
        <is>
          <t>Fungsi Statistik &amp; Analisis Data Excel (STDEVP) untuk mengolah distribusi, peluang, standar deviasi, dan pengujian hipotesis data secara presisi.</t>
        </is>
      </c>
      <c r="F105" s="7" t="inlineStr">
        <is>
          <t>👉 Buka Sheet STDEVP</t>
        </is>
      </c>
    </row>
    <row r="106">
      <c r="A106" s="4" t="n">
        <v>102</v>
      </c>
      <c r="B106" s="5" t="inlineStr">
        <is>
          <t>STDEVPA</t>
        </is>
      </c>
      <c r="C106" s="4" t="inlineStr">
        <is>
          <t>8. Statistik &amp; Analisis Data</t>
        </is>
      </c>
      <c r="D106" s="6">
        <f>STDEVPA(...)</f>
        <v/>
      </c>
      <c r="E106" s="4" t="inlineStr">
        <is>
          <t>Fungsi Statistik &amp; Analisis Data Excel (STDEVPA) untuk mengolah distribusi, peluang, standar deviasi, dan pengujian hipotesis data secara presisi.</t>
        </is>
      </c>
      <c r="F106" s="7" t="inlineStr">
        <is>
          <t>👉 Buka Sheet STDEVPA</t>
        </is>
      </c>
    </row>
    <row r="107">
      <c r="A107" s="4" t="n">
        <v>103</v>
      </c>
      <c r="B107" s="5" t="inlineStr">
        <is>
          <t>STEYX</t>
        </is>
      </c>
      <c r="C107" s="4" t="inlineStr">
        <is>
          <t>8. Statistik &amp; Analisis Data</t>
        </is>
      </c>
      <c r="D107" s="6">
        <f>STEYX(range_y, range_x)</f>
        <v/>
      </c>
      <c r="E107" s="4" t="inlineStr">
        <is>
          <t>Menghitung standar error dari prediksi regresi Y terhadap X.</t>
        </is>
      </c>
      <c r="F107" s="7" t="inlineStr">
        <is>
          <t>👉 Buka Sheet STEYX</t>
        </is>
      </c>
    </row>
    <row r="108">
      <c r="A108" s="4" t="n">
        <v>104</v>
      </c>
      <c r="B108" s="5" t="inlineStr">
        <is>
          <t>T.DIST</t>
        </is>
      </c>
      <c r="C108" s="4" t="inlineStr">
        <is>
          <t>8. Statistik &amp; Analisis Data</t>
        </is>
      </c>
      <c r="D108" s="6">
        <f>T.DIST(...)</f>
        <v/>
      </c>
      <c r="E108" s="4" t="inlineStr">
        <is>
          <t>Fungsi Statistik &amp; Analisis Data Excel (T.DIST) untuk mengolah distribusi, peluang, standar deviasi, dan pengujian hipotesis data secara presisi.</t>
        </is>
      </c>
      <c r="F108" s="7" t="inlineStr">
        <is>
          <t>👉 Buka Sheet T.DIST</t>
        </is>
      </c>
    </row>
    <row r="109">
      <c r="A109" s="4" t="n">
        <v>105</v>
      </c>
      <c r="B109" s="5" t="inlineStr">
        <is>
          <t>T.DIST.2T</t>
        </is>
      </c>
      <c r="C109" s="4" t="inlineStr">
        <is>
          <t>8. Statistik &amp; Analisis Data</t>
        </is>
      </c>
      <c r="D109" s="6">
        <f>T.DIST.2T(...)</f>
        <v/>
      </c>
      <c r="E109" s="4" t="inlineStr">
        <is>
          <t>Fungsi Statistik &amp; Analisis Data Excel (T.DIST.2T) untuk mengolah distribusi, peluang, standar deviasi, dan pengujian hipotesis data secara presisi.</t>
        </is>
      </c>
      <c r="F109" s="7" t="inlineStr">
        <is>
          <t>👉 Buka Sheet T.DIST.2T</t>
        </is>
      </c>
    </row>
    <row r="110">
      <c r="A110" s="4" t="n">
        <v>106</v>
      </c>
      <c r="B110" s="5" t="inlineStr">
        <is>
          <t>T.DIST.RT</t>
        </is>
      </c>
      <c r="C110" s="4" t="inlineStr">
        <is>
          <t>8. Statistik &amp; Analisis Data</t>
        </is>
      </c>
      <c r="D110" s="6">
        <f>T.DIST.RT(...)</f>
        <v/>
      </c>
      <c r="E110" s="4" t="inlineStr">
        <is>
          <t>Fungsi Statistik &amp; Analisis Data Excel (T.DIST.RT) untuk mengolah distribusi, peluang, standar deviasi, dan pengujian hipotesis data secara presisi.</t>
        </is>
      </c>
      <c r="F110" s="7" t="inlineStr">
        <is>
          <t>👉 Buka Sheet T.DIST.RT</t>
        </is>
      </c>
    </row>
    <row r="111">
      <c r="A111" s="4" t="n">
        <v>107</v>
      </c>
      <c r="B111" s="5" t="inlineStr">
        <is>
          <t>T.INV</t>
        </is>
      </c>
      <c r="C111" s="4" t="inlineStr">
        <is>
          <t>8. Statistik &amp; Analisis Data</t>
        </is>
      </c>
      <c r="D111" s="6">
        <f>T.INV(...)</f>
        <v/>
      </c>
      <c r="E111" s="4" t="inlineStr">
        <is>
          <t>Fungsi Statistik &amp; Analisis Data Excel (T.INV) untuk mengolah distribusi, peluang, standar deviasi, dan pengujian hipotesis data secara presisi.</t>
        </is>
      </c>
      <c r="F111" s="7" t="inlineStr">
        <is>
          <t>👉 Buka Sheet T.INV</t>
        </is>
      </c>
    </row>
    <row r="112">
      <c r="A112" s="4" t="n">
        <v>108</v>
      </c>
      <c r="B112" s="5" t="inlineStr">
        <is>
          <t>T.INV.2T</t>
        </is>
      </c>
      <c r="C112" s="4" t="inlineStr">
        <is>
          <t>8. Statistik &amp; Analisis Data</t>
        </is>
      </c>
      <c r="D112" s="6">
        <f>T.INV.2T(...)</f>
        <v/>
      </c>
      <c r="E112" s="4" t="inlineStr">
        <is>
          <t>Fungsi Statistik &amp; Analisis Data Excel (T.INV.2T) untuk mengolah distribusi, peluang, standar deviasi, dan pengujian hipotesis data secara presisi.</t>
        </is>
      </c>
      <c r="F112" s="7" t="inlineStr">
        <is>
          <t>👉 Buka Sheet T.INV.2T</t>
        </is>
      </c>
    </row>
    <row r="113">
      <c r="A113" s="4" t="n">
        <v>109</v>
      </c>
      <c r="B113" s="5" t="inlineStr">
        <is>
          <t>TREND</t>
        </is>
      </c>
      <c r="C113" s="4" t="inlineStr">
        <is>
          <t>8. Statistik &amp; Analisis Data</t>
        </is>
      </c>
      <c r="D113" s="6">
        <f>TREND(...)</f>
        <v/>
      </c>
      <c r="E113" s="4" t="inlineStr">
        <is>
          <t>Fungsi Statistik &amp; Analisis Data Excel (TREND) untuk mengolah distribusi, peluang, standar deviasi, dan pengujian hipotesis data secara presisi.</t>
        </is>
      </c>
      <c r="F113" s="7" t="inlineStr">
        <is>
          <t>👉 Buka Sheet TREND</t>
        </is>
      </c>
    </row>
    <row r="114">
      <c r="A114" s="4" t="n">
        <v>110</v>
      </c>
      <c r="B114" s="5" t="inlineStr">
        <is>
          <t>T.TEST</t>
        </is>
      </c>
      <c r="C114" s="4" t="inlineStr">
        <is>
          <t>8. Statistik &amp; Analisis Data</t>
        </is>
      </c>
      <c r="D114" s="6">
        <f>T.TEST(...)</f>
        <v/>
      </c>
      <c r="E114" s="4" t="inlineStr">
        <is>
          <t>Fungsi Statistik &amp; Analisis Data Excel (T.TEST) untuk mengolah distribusi, peluang, standar deviasi, dan pengujian hipotesis data secara presisi.</t>
        </is>
      </c>
      <c r="F114" s="7" t="inlineStr">
        <is>
          <t>👉 Buka Sheet T.TEST</t>
        </is>
      </c>
    </row>
    <row r="115">
      <c r="A115" s="4" t="n">
        <v>111</v>
      </c>
      <c r="B115" s="5" t="inlineStr">
        <is>
          <t>TRIMMEAN</t>
        </is>
      </c>
      <c r="C115" s="4" t="inlineStr">
        <is>
          <t>8. Statistik &amp; Analisis Data</t>
        </is>
      </c>
      <c r="D115" s="6">
        <f>TRIMMEAN(range_data, persen_pangkas)</f>
        <v/>
      </c>
      <c r="E115" s="4" t="inlineStr">
        <is>
          <t>Menghitung rata-rata adil dengan membuang nilai ekstrem tertinggi dan terendah terlebih dahulu (seperti nilai juri senam!).</t>
        </is>
      </c>
      <c r="F115" s="7" t="inlineStr">
        <is>
          <t>👉 Buka Sheet TRIMMEAN</t>
        </is>
      </c>
    </row>
    <row r="116">
      <c r="A116" s="4" t="n">
        <v>112</v>
      </c>
      <c r="B116" s="5" t="inlineStr">
        <is>
          <t>VAR.P</t>
        </is>
      </c>
      <c r="C116" s="4" t="inlineStr">
        <is>
          <t>8. Statistik &amp; Analisis Data</t>
        </is>
      </c>
      <c r="D116" s="6">
        <f>VAR.P(range_data)</f>
        <v/>
      </c>
      <c r="E116" s="4" t="inlineStr">
        <is>
          <t>Menghitung Varians seluruh populasi.</t>
        </is>
      </c>
      <c r="F116" s="7" t="inlineStr">
        <is>
          <t>👉 Buka Sheet VAR.P</t>
        </is>
      </c>
    </row>
    <row r="117">
      <c r="A117" s="4" t="n">
        <v>113</v>
      </c>
      <c r="B117" s="5" t="inlineStr">
        <is>
          <t>VAR.S</t>
        </is>
      </c>
      <c r="C117" s="4" t="inlineStr">
        <is>
          <t>8. Statistik &amp; Analisis Data</t>
        </is>
      </c>
      <c r="D117" s="6">
        <f>VAR.S(range_data)</f>
        <v/>
      </c>
      <c r="E117" s="4" t="inlineStr">
        <is>
          <t>Menghitung Varians sampel statistik.</t>
        </is>
      </c>
      <c r="F117" s="7" t="inlineStr">
        <is>
          <t>👉 Buka Sheet VAR.S</t>
        </is>
      </c>
    </row>
    <row r="118">
      <c r="A118" s="4" t="n">
        <v>114</v>
      </c>
      <c r="B118" s="5" t="inlineStr">
        <is>
          <t>VARA</t>
        </is>
      </c>
      <c r="C118" s="4" t="inlineStr">
        <is>
          <t>8. Statistik &amp; Analisis Data</t>
        </is>
      </c>
      <c r="D118" s="6">
        <f>VARA(...)</f>
        <v/>
      </c>
      <c r="E118" s="4" t="inlineStr">
        <is>
          <t>Fungsi Statistik &amp; Analisis Data Excel (VARA) untuk mengolah distribusi, peluang, standar deviasi, dan pengujian hipotesis data secara presisi.</t>
        </is>
      </c>
      <c r="F118" s="7" t="inlineStr">
        <is>
          <t>👉 Buka Sheet VARA</t>
        </is>
      </c>
    </row>
    <row r="119">
      <c r="A119" s="4" t="n">
        <v>115</v>
      </c>
      <c r="B119" s="5" t="inlineStr">
        <is>
          <t>VARPA</t>
        </is>
      </c>
      <c r="C119" s="4" t="inlineStr">
        <is>
          <t>8. Statistik &amp; Analisis Data</t>
        </is>
      </c>
      <c r="D119" s="6">
        <f>VARPA(...)</f>
        <v/>
      </c>
      <c r="E119" s="4" t="inlineStr">
        <is>
          <t>Fungsi Statistik &amp; Analisis Data Excel (VARPA) untuk mengolah distribusi, peluang, standar deviasi, dan pengujian hipotesis data secara presisi.</t>
        </is>
      </c>
      <c r="F119" s="7" t="inlineStr">
        <is>
          <t>👉 Buka Sheet VARPA</t>
        </is>
      </c>
    </row>
    <row r="120">
      <c r="A120" s="4" t="n">
        <v>116</v>
      </c>
      <c r="B120" s="5" t="inlineStr">
        <is>
          <t>WEIBULL</t>
        </is>
      </c>
      <c r="C120" s="4" t="inlineStr">
        <is>
          <t>8. Statistik &amp; Analisis Data</t>
        </is>
      </c>
      <c r="D120" s="6">
        <f>WEIBULL(...)</f>
        <v/>
      </c>
      <c r="E120" s="4" t="inlineStr">
        <is>
          <t>Fungsi Statistik &amp; Analisis Data Excel (WEIBULL) untuk mengolah distribusi, peluang, standar deviasi, dan pengujian hipotesis data secara presisi.</t>
        </is>
      </c>
      <c r="F120" s="7" t="inlineStr">
        <is>
          <t>👉 Buka Sheet WEIBULL</t>
        </is>
      </c>
    </row>
    <row r="121">
      <c r="A121" s="4" t="n">
        <v>117</v>
      </c>
      <c r="B121" s="5" t="inlineStr">
        <is>
          <t>ZTEST</t>
        </is>
      </c>
      <c r="C121" s="4" t="inlineStr">
        <is>
          <t>8. Statistik &amp; Analisis Data</t>
        </is>
      </c>
      <c r="D121" s="6">
        <f>ZTEST(...)</f>
        <v/>
      </c>
      <c r="E121" s="4" t="inlineStr">
        <is>
          <t>Fungsi Statistik &amp; Analisis Data Excel (ZTEST) untuk mengolah distribusi, peluang, standar deviasi, dan pengujian hipotesis data secara presisi.</t>
        </is>
      </c>
      <c r="F121" s="7" t="inlineStr">
        <is>
          <t>👉 Buka Sheet ZTEST</t>
        </is>
      </c>
    </row>
  </sheetData>
  <mergeCells count="2">
    <mergeCell ref="A2:F2"/>
    <mergeCell ref="A1:F1"/>
  </mergeCells>
  <hyperlinks>
    <hyperlink xmlns:r="http://schemas.openxmlformats.org/officeDocument/2006/relationships" ref="F5" r:id="rId1"/>
    <hyperlink xmlns:r="http://schemas.openxmlformats.org/officeDocument/2006/relationships" ref="F6" r:id="rId2"/>
    <hyperlink xmlns:r="http://schemas.openxmlformats.org/officeDocument/2006/relationships" ref="F7" r:id="rId3"/>
    <hyperlink xmlns:r="http://schemas.openxmlformats.org/officeDocument/2006/relationships" ref="F8" r:id="rId4"/>
    <hyperlink xmlns:r="http://schemas.openxmlformats.org/officeDocument/2006/relationships" ref="F9" r:id="rId5"/>
    <hyperlink xmlns:r="http://schemas.openxmlformats.org/officeDocument/2006/relationships" ref="F10" r:id="rId6"/>
    <hyperlink xmlns:r="http://schemas.openxmlformats.org/officeDocument/2006/relationships" ref="F11" r:id="rId7"/>
    <hyperlink xmlns:r="http://schemas.openxmlformats.org/officeDocument/2006/relationships" ref="F12" r:id="rId8"/>
    <hyperlink xmlns:r="http://schemas.openxmlformats.org/officeDocument/2006/relationships" ref="F13" r:id="rId9"/>
    <hyperlink xmlns:r="http://schemas.openxmlformats.org/officeDocument/2006/relationships" ref="F14" r:id="rId10"/>
    <hyperlink xmlns:r="http://schemas.openxmlformats.org/officeDocument/2006/relationships" ref="F15" r:id="rId11"/>
    <hyperlink xmlns:r="http://schemas.openxmlformats.org/officeDocument/2006/relationships" ref="F16" r:id="rId12"/>
    <hyperlink xmlns:r="http://schemas.openxmlformats.org/officeDocument/2006/relationships" ref="F17" r:id="rId13"/>
    <hyperlink xmlns:r="http://schemas.openxmlformats.org/officeDocument/2006/relationships" ref="F18" r:id="rId14"/>
    <hyperlink xmlns:r="http://schemas.openxmlformats.org/officeDocument/2006/relationships" ref="F19" r:id="rId15"/>
    <hyperlink xmlns:r="http://schemas.openxmlformats.org/officeDocument/2006/relationships" ref="F20" r:id="rId16"/>
    <hyperlink xmlns:r="http://schemas.openxmlformats.org/officeDocument/2006/relationships" ref="F21" r:id="rId17"/>
    <hyperlink xmlns:r="http://schemas.openxmlformats.org/officeDocument/2006/relationships" ref="F22" r:id="rId18"/>
    <hyperlink xmlns:r="http://schemas.openxmlformats.org/officeDocument/2006/relationships" ref="F23" r:id="rId19"/>
    <hyperlink xmlns:r="http://schemas.openxmlformats.org/officeDocument/2006/relationships" ref="F24" r:id="rId20"/>
    <hyperlink xmlns:r="http://schemas.openxmlformats.org/officeDocument/2006/relationships" ref="F25" r:id="rId21"/>
    <hyperlink xmlns:r="http://schemas.openxmlformats.org/officeDocument/2006/relationships" ref="F26" r:id="rId22"/>
    <hyperlink xmlns:r="http://schemas.openxmlformats.org/officeDocument/2006/relationships" ref="F27" r:id="rId23"/>
    <hyperlink xmlns:r="http://schemas.openxmlformats.org/officeDocument/2006/relationships" ref="F28" r:id="rId24"/>
    <hyperlink xmlns:r="http://schemas.openxmlformats.org/officeDocument/2006/relationships" ref="F29" r:id="rId25"/>
    <hyperlink xmlns:r="http://schemas.openxmlformats.org/officeDocument/2006/relationships" ref="F30" r:id="rId26"/>
    <hyperlink xmlns:r="http://schemas.openxmlformats.org/officeDocument/2006/relationships" ref="F31" r:id="rId27"/>
    <hyperlink xmlns:r="http://schemas.openxmlformats.org/officeDocument/2006/relationships" ref="F32" r:id="rId28"/>
    <hyperlink xmlns:r="http://schemas.openxmlformats.org/officeDocument/2006/relationships" ref="F33" r:id="rId29"/>
    <hyperlink xmlns:r="http://schemas.openxmlformats.org/officeDocument/2006/relationships" ref="F34" r:id="rId30"/>
    <hyperlink xmlns:r="http://schemas.openxmlformats.org/officeDocument/2006/relationships" ref="F35" r:id="rId31"/>
    <hyperlink xmlns:r="http://schemas.openxmlformats.org/officeDocument/2006/relationships" ref="F36" r:id="rId32"/>
    <hyperlink xmlns:r="http://schemas.openxmlformats.org/officeDocument/2006/relationships" ref="F37" r:id="rId33"/>
    <hyperlink xmlns:r="http://schemas.openxmlformats.org/officeDocument/2006/relationships" ref="F38" r:id="rId34"/>
    <hyperlink xmlns:r="http://schemas.openxmlformats.org/officeDocument/2006/relationships" ref="F39" r:id="rId35"/>
    <hyperlink xmlns:r="http://schemas.openxmlformats.org/officeDocument/2006/relationships" ref="F40" r:id="rId36"/>
    <hyperlink xmlns:r="http://schemas.openxmlformats.org/officeDocument/2006/relationships" ref="F41" r:id="rId37"/>
    <hyperlink xmlns:r="http://schemas.openxmlformats.org/officeDocument/2006/relationships" ref="F42" r:id="rId38"/>
    <hyperlink xmlns:r="http://schemas.openxmlformats.org/officeDocument/2006/relationships" ref="F43" r:id="rId39"/>
    <hyperlink xmlns:r="http://schemas.openxmlformats.org/officeDocument/2006/relationships" ref="F44" r:id="rId40"/>
    <hyperlink xmlns:r="http://schemas.openxmlformats.org/officeDocument/2006/relationships" ref="F45" r:id="rId41"/>
    <hyperlink xmlns:r="http://schemas.openxmlformats.org/officeDocument/2006/relationships" ref="F46" r:id="rId42"/>
    <hyperlink xmlns:r="http://schemas.openxmlformats.org/officeDocument/2006/relationships" ref="F47" r:id="rId43"/>
    <hyperlink xmlns:r="http://schemas.openxmlformats.org/officeDocument/2006/relationships" ref="F48" r:id="rId44"/>
    <hyperlink xmlns:r="http://schemas.openxmlformats.org/officeDocument/2006/relationships" ref="F49" r:id="rId45"/>
    <hyperlink xmlns:r="http://schemas.openxmlformats.org/officeDocument/2006/relationships" ref="F50" r:id="rId46"/>
    <hyperlink xmlns:r="http://schemas.openxmlformats.org/officeDocument/2006/relationships" ref="F51" r:id="rId47"/>
    <hyperlink xmlns:r="http://schemas.openxmlformats.org/officeDocument/2006/relationships" ref="F52" r:id="rId48"/>
    <hyperlink xmlns:r="http://schemas.openxmlformats.org/officeDocument/2006/relationships" ref="F53" r:id="rId49"/>
    <hyperlink xmlns:r="http://schemas.openxmlformats.org/officeDocument/2006/relationships" ref="F54" r:id="rId50"/>
    <hyperlink xmlns:r="http://schemas.openxmlformats.org/officeDocument/2006/relationships" ref="F55" r:id="rId51"/>
    <hyperlink xmlns:r="http://schemas.openxmlformats.org/officeDocument/2006/relationships" ref="F56" r:id="rId52"/>
    <hyperlink xmlns:r="http://schemas.openxmlformats.org/officeDocument/2006/relationships" ref="F57" r:id="rId53"/>
    <hyperlink xmlns:r="http://schemas.openxmlformats.org/officeDocument/2006/relationships" ref="F58" r:id="rId54"/>
    <hyperlink xmlns:r="http://schemas.openxmlformats.org/officeDocument/2006/relationships" ref="F59" r:id="rId55"/>
    <hyperlink xmlns:r="http://schemas.openxmlformats.org/officeDocument/2006/relationships" ref="F60" r:id="rId56"/>
    <hyperlink xmlns:r="http://schemas.openxmlformats.org/officeDocument/2006/relationships" ref="F61" r:id="rId57"/>
    <hyperlink xmlns:r="http://schemas.openxmlformats.org/officeDocument/2006/relationships" ref="F62" r:id="rId58"/>
    <hyperlink xmlns:r="http://schemas.openxmlformats.org/officeDocument/2006/relationships" ref="F63" r:id="rId59"/>
    <hyperlink xmlns:r="http://schemas.openxmlformats.org/officeDocument/2006/relationships" ref="F64" r:id="rId60"/>
    <hyperlink xmlns:r="http://schemas.openxmlformats.org/officeDocument/2006/relationships" ref="F65" r:id="rId61"/>
    <hyperlink xmlns:r="http://schemas.openxmlformats.org/officeDocument/2006/relationships" ref="F66" r:id="rId62"/>
    <hyperlink xmlns:r="http://schemas.openxmlformats.org/officeDocument/2006/relationships" ref="F67" r:id="rId63"/>
    <hyperlink xmlns:r="http://schemas.openxmlformats.org/officeDocument/2006/relationships" ref="F68" r:id="rId64"/>
    <hyperlink xmlns:r="http://schemas.openxmlformats.org/officeDocument/2006/relationships" ref="F69" r:id="rId65"/>
    <hyperlink xmlns:r="http://schemas.openxmlformats.org/officeDocument/2006/relationships" ref="F70" r:id="rId66"/>
    <hyperlink xmlns:r="http://schemas.openxmlformats.org/officeDocument/2006/relationships" ref="F71" r:id="rId67"/>
    <hyperlink xmlns:r="http://schemas.openxmlformats.org/officeDocument/2006/relationships" ref="F72" r:id="rId68"/>
    <hyperlink xmlns:r="http://schemas.openxmlformats.org/officeDocument/2006/relationships" ref="F73" r:id="rId69"/>
    <hyperlink xmlns:r="http://schemas.openxmlformats.org/officeDocument/2006/relationships" ref="F74" r:id="rId70"/>
    <hyperlink xmlns:r="http://schemas.openxmlformats.org/officeDocument/2006/relationships" ref="F75" r:id="rId71"/>
    <hyperlink xmlns:r="http://schemas.openxmlformats.org/officeDocument/2006/relationships" ref="F76" r:id="rId72"/>
    <hyperlink xmlns:r="http://schemas.openxmlformats.org/officeDocument/2006/relationships" ref="F77" r:id="rId73"/>
    <hyperlink xmlns:r="http://schemas.openxmlformats.org/officeDocument/2006/relationships" ref="F78" r:id="rId74"/>
    <hyperlink xmlns:r="http://schemas.openxmlformats.org/officeDocument/2006/relationships" ref="F79" r:id="rId75"/>
    <hyperlink xmlns:r="http://schemas.openxmlformats.org/officeDocument/2006/relationships" ref="F80" r:id="rId76"/>
    <hyperlink xmlns:r="http://schemas.openxmlformats.org/officeDocument/2006/relationships" ref="F81" r:id="rId77"/>
    <hyperlink xmlns:r="http://schemas.openxmlformats.org/officeDocument/2006/relationships" ref="F82" r:id="rId78"/>
    <hyperlink xmlns:r="http://schemas.openxmlformats.org/officeDocument/2006/relationships" ref="F83" r:id="rId79"/>
    <hyperlink xmlns:r="http://schemas.openxmlformats.org/officeDocument/2006/relationships" ref="F84" r:id="rId80"/>
    <hyperlink xmlns:r="http://schemas.openxmlformats.org/officeDocument/2006/relationships" ref="F85" r:id="rId81"/>
    <hyperlink xmlns:r="http://schemas.openxmlformats.org/officeDocument/2006/relationships" ref="F86" r:id="rId82"/>
    <hyperlink xmlns:r="http://schemas.openxmlformats.org/officeDocument/2006/relationships" ref="F87" r:id="rId83"/>
    <hyperlink xmlns:r="http://schemas.openxmlformats.org/officeDocument/2006/relationships" ref="F88" r:id="rId84"/>
    <hyperlink xmlns:r="http://schemas.openxmlformats.org/officeDocument/2006/relationships" ref="F89" r:id="rId85"/>
    <hyperlink xmlns:r="http://schemas.openxmlformats.org/officeDocument/2006/relationships" ref="F90" r:id="rId86"/>
    <hyperlink xmlns:r="http://schemas.openxmlformats.org/officeDocument/2006/relationships" ref="F91" r:id="rId87"/>
    <hyperlink xmlns:r="http://schemas.openxmlformats.org/officeDocument/2006/relationships" ref="F92" r:id="rId88"/>
    <hyperlink xmlns:r="http://schemas.openxmlformats.org/officeDocument/2006/relationships" ref="F93" r:id="rId89"/>
    <hyperlink xmlns:r="http://schemas.openxmlformats.org/officeDocument/2006/relationships" ref="F94" r:id="rId90"/>
    <hyperlink xmlns:r="http://schemas.openxmlformats.org/officeDocument/2006/relationships" ref="F95" r:id="rId91"/>
    <hyperlink xmlns:r="http://schemas.openxmlformats.org/officeDocument/2006/relationships" ref="F96" r:id="rId92"/>
    <hyperlink xmlns:r="http://schemas.openxmlformats.org/officeDocument/2006/relationships" ref="F97" r:id="rId93"/>
    <hyperlink xmlns:r="http://schemas.openxmlformats.org/officeDocument/2006/relationships" ref="F98" r:id="rId94"/>
    <hyperlink xmlns:r="http://schemas.openxmlformats.org/officeDocument/2006/relationships" ref="F99" r:id="rId95"/>
    <hyperlink xmlns:r="http://schemas.openxmlformats.org/officeDocument/2006/relationships" ref="F100" r:id="rId96"/>
    <hyperlink xmlns:r="http://schemas.openxmlformats.org/officeDocument/2006/relationships" ref="F101" r:id="rId97"/>
    <hyperlink xmlns:r="http://schemas.openxmlformats.org/officeDocument/2006/relationships" ref="F102" r:id="rId98"/>
    <hyperlink xmlns:r="http://schemas.openxmlformats.org/officeDocument/2006/relationships" ref="F103" r:id="rId99"/>
    <hyperlink xmlns:r="http://schemas.openxmlformats.org/officeDocument/2006/relationships" ref="F104" r:id="rId100"/>
    <hyperlink xmlns:r="http://schemas.openxmlformats.org/officeDocument/2006/relationships" ref="F105" r:id="rId101"/>
    <hyperlink xmlns:r="http://schemas.openxmlformats.org/officeDocument/2006/relationships" ref="F106" r:id="rId102"/>
    <hyperlink xmlns:r="http://schemas.openxmlformats.org/officeDocument/2006/relationships" ref="F107" r:id="rId103"/>
    <hyperlink xmlns:r="http://schemas.openxmlformats.org/officeDocument/2006/relationships" ref="F108" r:id="rId104"/>
    <hyperlink xmlns:r="http://schemas.openxmlformats.org/officeDocument/2006/relationships" ref="F109" r:id="rId105"/>
    <hyperlink xmlns:r="http://schemas.openxmlformats.org/officeDocument/2006/relationships" ref="F110" r:id="rId106"/>
    <hyperlink xmlns:r="http://schemas.openxmlformats.org/officeDocument/2006/relationships" ref="F111" r:id="rId107"/>
    <hyperlink xmlns:r="http://schemas.openxmlformats.org/officeDocument/2006/relationships" ref="F112" r:id="rId108"/>
    <hyperlink xmlns:r="http://schemas.openxmlformats.org/officeDocument/2006/relationships" ref="F113" r:id="rId109"/>
    <hyperlink xmlns:r="http://schemas.openxmlformats.org/officeDocument/2006/relationships" ref="F114" r:id="rId110"/>
    <hyperlink xmlns:r="http://schemas.openxmlformats.org/officeDocument/2006/relationships" ref="F115" r:id="rId111"/>
    <hyperlink xmlns:r="http://schemas.openxmlformats.org/officeDocument/2006/relationships" ref="F116" r:id="rId112"/>
    <hyperlink xmlns:r="http://schemas.openxmlformats.org/officeDocument/2006/relationships" ref="F117" r:id="rId113"/>
    <hyperlink xmlns:r="http://schemas.openxmlformats.org/officeDocument/2006/relationships" ref="F118" r:id="rId114"/>
    <hyperlink xmlns:r="http://schemas.openxmlformats.org/officeDocument/2006/relationships" ref="F119" r:id="rId115"/>
    <hyperlink xmlns:r="http://schemas.openxmlformats.org/officeDocument/2006/relationships" ref="F120" r:id="rId116"/>
    <hyperlink xmlns:r="http://schemas.openxmlformats.org/officeDocument/2006/relationships" ref="F121" r:id="rId11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#001 — RUMUS EXCEL: PMT   |   Kategori: 6. Keuangan &amp; Investasi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(PMT)</t>
        </is>
      </c>
    </row>
    <row r="5" ht="21" customHeight="1">
      <c r="B5" s="12" t="inlineStr">
        <is>
          <t>Nama Rumus Excel</t>
        </is>
      </c>
      <c r="C5" s="13">
        <f>PMT(...)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PMT(bunga_per_periode, jumlah_periode, nilai_pinjaman)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Menghitung cicilan bulanan tetap (KPR Rumah / Kredit Mobil / Pinjaman Bank) lengkap pokok + bunga.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PMT)</t>
        </is>
      </c>
    </row>
    <row r="10">
      <c r="B10" s="16" t="inlineStr">
        <is>
          <t>Program Kredit</t>
        </is>
      </c>
      <c r="C10" s="16" t="inlineStr">
        <is>
          <t>Nilai Pokok (Rp)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12000000</v>
      </c>
      <c r="E11" s="19" t="inlineStr">
        <is>
          <t>Kasus Contoh:</t>
        </is>
      </c>
      <c r="F11" s="20" t="inlineStr">
        <is>
          <t>Gunakan rumus PMT dengan bunga 1% (0.01), tenor 12 periode, dan nilai -C11!</t>
        </is>
      </c>
    </row>
    <row r="12">
      <c r="B12" s="18" t="inlineStr">
        <is>
          <t>Cabang Bandung</t>
        </is>
      </c>
      <c r="C12" s="18" t="n">
        <v>24000000</v>
      </c>
      <c r="E12" s="19" t="inlineStr">
        <is>
          <t>Rumus yang Diketik:</t>
        </is>
      </c>
      <c r="F12" s="21" t="inlineStr">
        <is>
          <t>'=PMT(0.01, 12, -C11)</t>
        </is>
      </c>
    </row>
    <row r="13">
      <c r="B13" s="18" t="inlineStr">
        <is>
          <t>Cabang Surabaya</t>
        </is>
      </c>
      <c r="C13" s="18" t="n">
        <v>36000000</v>
      </c>
      <c r="E13" s="19" t="inlineStr">
        <is>
          <t>Hasil Otomatis Excel:</t>
        </is>
      </c>
      <c r="F13" s="22">
        <f>PMT(0.01, 12, -C11)</f>
        <v/>
      </c>
    </row>
    <row r="14">
      <c r="B14" s="18" t="inlineStr">
        <is>
          <t>Cabang Medan</t>
        </is>
      </c>
      <c r="C14" s="18" t="n">
        <v>50000000</v>
      </c>
    </row>
    <row r="16" ht="26" customHeight="1">
      <c r="B16" s="23" t="inlineStr">
        <is>
          <t>3️⃣ 5 PERSOALAN DUNIA NYATA (KETIK RUMUS PMT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Program Kredit</t>
        </is>
      </c>
      <c r="C19" s="12" t="inlineStr">
        <is>
          <t>Nilai Pokok (Rp)</t>
        </is>
      </c>
      <c r="E19" s="25" t="inlineStr">
        <is>
          <t>Persoalan #1: Gunakan rumus PMT dengan bunga 1% (0.01), tenor 12 periode, dan nilai -C20!</t>
        </is>
      </c>
    </row>
    <row r="20">
      <c r="B20" s="18" t="inlineStr">
        <is>
          <t>Cabang Jakarta</t>
        </is>
      </c>
      <c r="C20" s="18" t="n">
        <v>12000000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24000000</v>
      </c>
      <c r="E21" s="26" t="n"/>
      <c r="F21" s="27">
        <f>IF(ISBLANK(E21), "⏳ Ketik rumus di sel kuning E21", IF(E21=G21, "✅ BENAR! LUAR BIASA!", "❌ Belum Tepat, Cek Kunci"))</f>
        <v/>
      </c>
      <c r="G21" s="28">
        <f>PMT(0.01, 12, -C20)</f>
        <v/>
      </c>
      <c r="H21" s="29" t="inlineStr">
        <is>
          <t>Ketik: =PMT(0.01, 12, -C20)</t>
        </is>
      </c>
    </row>
    <row r="22">
      <c r="B22" s="18" t="inlineStr">
        <is>
          <t>Cabang Surabaya</t>
        </is>
      </c>
      <c r="C22" s="18" t="n">
        <v>36000000</v>
      </c>
    </row>
    <row r="23">
      <c r="B23" s="18" t="inlineStr">
        <is>
          <t>Cabang Medan</t>
        </is>
      </c>
      <c r="C23" s="18" t="n">
        <v>50000000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Program Kredit</t>
        </is>
      </c>
      <c r="C27" s="12" t="inlineStr">
        <is>
          <t>Nilai Pokok (Rp)</t>
        </is>
      </c>
      <c r="E27" s="25" t="inlineStr">
        <is>
          <t>Persoalan #2: Gunakan rumus PMT dengan bunga 1% (0.01), tenor 12 periode, dan nilai -C28!</t>
        </is>
      </c>
    </row>
    <row r="28">
      <c r="B28" s="18" t="inlineStr">
        <is>
          <t>Budi Santoso</t>
        </is>
      </c>
      <c r="C28" s="18" t="n">
        <v>24000000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24000000</v>
      </c>
      <c r="E29" s="26" t="n"/>
      <c r="F29" s="27">
        <f>IF(ISBLANK(E29), "⏳ Ketik rumus di sel kuning E29", IF(E29=G29, "✅ BENAR! LUAR BIASA!", "❌ Belum Tepat, Cek Kunci"))</f>
        <v/>
      </c>
      <c r="G29" s="28">
        <f>PMT(0.01, 12, -C28)</f>
        <v/>
      </c>
      <c r="H29" s="29" t="inlineStr">
        <is>
          <t>Ketik: =PMT(0.01, 12, -C28)</t>
        </is>
      </c>
    </row>
    <row r="30">
      <c r="B30" s="18" t="inlineStr">
        <is>
          <t>Andi Pratama</t>
        </is>
      </c>
      <c r="C30" s="18" t="n">
        <v>36000000</v>
      </c>
    </row>
    <row r="31">
      <c r="B31" s="18" t="inlineStr">
        <is>
          <t>Rina Wijaya</t>
        </is>
      </c>
      <c r="C31" s="18" t="n">
        <v>50000000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Program Kredit</t>
        </is>
      </c>
      <c r="C35" s="12" t="inlineStr">
        <is>
          <t>Nilai Pokok (Rp)</t>
        </is>
      </c>
      <c r="E35" s="25" t="inlineStr">
        <is>
          <t>Persoalan #3: Gunakan rumus PMT dengan bunga 1% (0.01), tenor 12 periode, dan nilai -C36!</t>
        </is>
      </c>
    </row>
    <row r="36">
      <c r="B36" s="18" t="inlineStr">
        <is>
          <t>Gudang Blok A</t>
        </is>
      </c>
      <c r="C36" s="18" t="n">
        <v>36000000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24000000</v>
      </c>
      <c r="E37" s="26" t="n"/>
      <c r="F37" s="27">
        <f>IF(ISBLANK(E37), "⏳ Ketik rumus di sel kuning E37", IF(E37=G37, "✅ BENAR! LUAR BIASA!", "❌ Belum Tepat, Cek Kunci"))</f>
        <v/>
      </c>
      <c r="G37" s="28">
        <f>PMT(0.01, 12, -C36)</f>
        <v/>
      </c>
      <c r="H37" s="29" t="inlineStr">
        <is>
          <t>Ketik: =PMT(0.01, 12, -C36)</t>
        </is>
      </c>
    </row>
    <row r="38">
      <c r="B38" s="18" t="inlineStr">
        <is>
          <t>Gudang Blok C</t>
        </is>
      </c>
      <c r="C38" s="18" t="n">
        <v>36000000</v>
      </c>
    </row>
    <row r="39">
      <c r="B39" s="18" t="inlineStr">
        <is>
          <t>Gudang Blok D</t>
        </is>
      </c>
      <c r="C39" s="18" t="n">
        <v>50000000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Program Kredit</t>
        </is>
      </c>
      <c r="C43" s="12" t="inlineStr">
        <is>
          <t>Nilai Pokok (Rp)</t>
        </is>
      </c>
      <c r="E43" s="25" t="inlineStr">
        <is>
          <t>Persoalan #4: Gunakan rumus PMT dengan bunga 1% (0.01), tenor 12 periode, dan nilai -C44!</t>
        </is>
      </c>
    </row>
    <row r="44">
      <c r="B44" s="18" t="inlineStr">
        <is>
          <t>Toko Elektronik</t>
        </is>
      </c>
      <c r="C44" s="18" t="n">
        <v>48000000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24000000</v>
      </c>
      <c r="E45" s="26" t="n"/>
      <c r="F45" s="27">
        <f>IF(ISBLANK(E45), "⏳ Ketik rumus di sel kuning E45", IF(E45=G45, "✅ BENAR! LUAR BIASA!", "❌ Belum Tepat, Cek Kunci"))</f>
        <v/>
      </c>
      <c r="G45" s="28">
        <f>PMT(0.01, 12, -C44)</f>
        <v/>
      </c>
      <c r="H45" s="29" t="inlineStr">
        <is>
          <t>Ketik: =PMT(0.01, 12, -C44)</t>
        </is>
      </c>
    </row>
    <row r="46">
      <c r="B46" s="18" t="inlineStr">
        <is>
          <t>Toko Aksesoris</t>
        </is>
      </c>
      <c r="C46" s="18" t="n">
        <v>36000000</v>
      </c>
    </row>
    <row r="47">
      <c r="B47" s="18" t="inlineStr">
        <is>
          <t>Toko Servis</t>
        </is>
      </c>
      <c r="C47" s="18" t="n">
        <v>50000000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Program Kredit</t>
        </is>
      </c>
      <c r="C51" s="12" t="inlineStr">
        <is>
          <t>Nilai Pokok (Rp)</t>
        </is>
      </c>
      <c r="E51" s="25" t="inlineStr">
        <is>
          <t>Persoalan #5: Gunakan rumus PMT dengan bunga 1% (0.01), tenor 12 periode, dan nilai -C52!</t>
        </is>
      </c>
    </row>
    <row r="52">
      <c r="B52" s="18" t="inlineStr">
        <is>
          <t>Kelas 10 IPA</t>
        </is>
      </c>
      <c r="C52" s="18" t="n">
        <v>60000000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24000000</v>
      </c>
      <c r="E53" s="26" t="n"/>
      <c r="F53" s="27">
        <f>IF(ISBLANK(E53), "⏳ Ketik rumus di sel kuning E53", IF(E53=G53, "✅ BENAR! LUAR BIASA!", "❌ Belum Tepat, Cek Kunci"))</f>
        <v/>
      </c>
      <c r="G53" s="28">
        <f>PMT(0.01, 12, -C52)</f>
        <v/>
      </c>
      <c r="H53" s="29" t="inlineStr">
        <is>
          <t>Ketik: =PMT(0.01, 12, -C52)</t>
        </is>
      </c>
    </row>
    <row r="54">
      <c r="B54" s="18" t="inlineStr">
        <is>
          <t>Kelas 12 IPA</t>
        </is>
      </c>
      <c r="C54" s="18" t="n">
        <v>36000000</v>
      </c>
    </row>
    <row r="55">
      <c r="B55" s="18" t="inlineStr">
        <is>
          <t>Kelas Unggulan</t>
        </is>
      </c>
      <c r="C55" s="18" t="n">
        <v>50000000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#002 — RUMUS EXCEL: IPMT   |   Kategori: 6. Keuangan &amp; Investasi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(IPMT)</t>
        </is>
      </c>
    </row>
    <row r="5" ht="21" customHeight="1">
      <c r="B5" s="12" t="inlineStr">
        <is>
          <t>Nama Rumus Excel</t>
        </is>
      </c>
      <c r="C5" s="13">
        <f>IPMT(...)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IPMT(bunga, periode_ke, total_periode, nilai_pinjaman)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Menghitung porsi BUNGA saja yang dibayar pada cicilan bulan tertentu.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IPMT)</t>
        </is>
      </c>
    </row>
    <row r="10">
      <c r="B10" s="16" t="inlineStr">
        <is>
          <t>Program Kredit</t>
        </is>
      </c>
      <c r="C10" s="16" t="inlineStr">
        <is>
          <t>Nilai Pokok (Rp)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12000000</v>
      </c>
      <c r="E11" s="19" t="inlineStr">
        <is>
          <t>Kasus Contoh:</t>
        </is>
      </c>
      <c r="F11" s="20" t="inlineStr">
        <is>
          <t>Hitung IPMT dengan bunga 1% (0.01), periode ke-1, total 12 bulan, untuk pokok -C11!</t>
        </is>
      </c>
    </row>
    <row r="12">
      <c r="B12" s="18" t="inlineStr">
        <is>
          <t>Cabang Bandung</t>
        </is>
      </c>
      <c r="C12" s="18" t="n">
        <v>24000000</v>
      </c>
      <c r="E12" s="19" t="inlineStr">
        <is>
          <t>Rumus yang Diketik:</t>
        </is>
      </c>
      <c r="F12" s="21" t="inlineStr">
        <is>
          <t>'=IPMT(0.01, 1, 12, -C11)</t>
        </is>
      </c>
    </row>
    <row r="13">
      <c r="B13" s="18" t="inlineStr">
        <is>
          <t>Cabang Surabaya</t>
        </is>
      </c>
      <c r="C13" s="18" t="n">
        <v>36000000</v>
      </c>
      <c r="E13" s="19" t="inlineStr">
        <is>
          <t>Hasil Otomatis Excel:</t>
        </is>
      </c>
      <c r="F13" s="22">
        <f>IPMT(0.01, 1, 12, -C11)</f>
        <v/>
      </c>
    </row>
    <row r="14">
      <c r="B14" s="18" t="inlineStr">
        <is>
          <t>Cabang Medan</t>
        </is>
      </c>
      <c r="C14" s="18" t="n">
        <v>50000000</v>
      </c>
    </row>
    <row r="16" ht="26" customHeight="1">
      <c r="B16" s="23" t="inlineStr">
        <is>
          <t>3️⃣ 5 PERSOALAN DUNIA NYATA (KETIK RUMUS IPMT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Program Kredit</t>
        </is>
      </c>
      <c r="C19" s="12" t="inlineStr">
        <is>
          <t>Nilai Pokok (Rp)</t>
        </is>
      </c>
      <c r="E19" s="25" t="inlineStr">
        <is>
          <t>Persoalan #1: Hitung IPMT dengan bunga 1% (0.01), periode ke-1, total 12 bulan, untuk pokok -C20!</t>
        </is>
      </c>
    </row>
    <row r="20">
      <c r="B20" s="18" t="inlineStr">
        <is>
          <t>Cabang Jakarta</t>
        </is>
      </c>
      <c r="C20" s="18" t="n">
        <v>12000000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24000000</v>
      </c>
      <c r="E21" s="26" t="n"/>
      <c r="F21" s="27">
        <f>IF(ISBLANK(E21), "⏳ Ketik rumus di sel kuning E21", IF(E21=G21, "✅ BENAR! LUAR BIASA!", "❌ Belum Tepat, Cek Kunci"))</f>
        <v/>
      </c>
      <c r="G21" s="28">
        <f>IPMT(0.01, 1, 12, -C20)</f>
        <v/>
      </c>
      <c r="H21" s="29" t="inlineStr">
        <is>
          <t>Ketik: =IPMT(0.01, 1, 12, -C20)</t>
        </is>
      </c>
    </row>
    <row r="22">
      <c r="B22" s="18" t="inlineStr">
        <is>
          <t>Cabang Surabaya</t>
        </is>
      </c>
      <c r="C22" s="18" t="n">
        <v>36000000</v>
      </c>
    </row>
    <row r="23">
      <c r="B23" s="18" t="inlineStr">
        <is>
          <t>Cabang Medan</t>
        </is>
      </c>
      <c r="C23" s="18" t="n">
        <v>50000000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Program Kredit</t>
        </is>
      </c>
      <c r="C27" s="12" t="inlineStr">
        <is>
          <t>Nilai Pokok (Rp)</t>
        </is>
      </c>
      <c r="E27" s="25" t="inlineStr">
        <is>
          <t>Persoalan #2: Hitung IPMT dengan bunga 1% (0.01), periode ke-1, total 12 bulan, untuk pokok -C28!</t>
        </is>
      </c>
    </row>
    <row r="28">
      <c r="B28" s="18" t="inlineStr">
        <is>
          <t>Budi Santoso</t>
        </is>
      </c>
      <c r="C28" s="18" t="n">
        <v>24000000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24000000</v>
      </c>
      <c r="E29" s="26" t="n"/>
      <c r="F29" s="27">
        <f>IF(ISBLANK(E29), "⏳ Ketik rumus di sel kuning E29", IF(E29=G29, "✅ BENAR! LUAR BIASA!", "❌ Belum Tepat, Cek Kunci"))</f>
        <v/>
      </c>
      <c r="G29" s="28">
        <f>IPMT(0.01, 1, 12, -C28)</f>
        <v/>
      </c>
      <c r="H29" s="29" t="inlineStr">
        <is>
          <t>Ketik: =IPMT(0.01, 1, 12, -C28)</t>
        </is>
      </c>
    </row>
    <row r="30">
      <c r="B30" s="18" t="inlineStr">
        <is>
          <t>Andi Pratama</t>
        </is>
      </c>
      <c r="C30" s="18" t="n">
        <v>36000000</v>
      </c>
    </row>
    <row r="31">
      <c r="B31" s="18" t="inlineStr">
        <is>
          <t>Rina Wijaya</t>
        </is>
      </c>
      <c r="C31" s="18" t="n">
        <v>50000000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Program Kredit</t>
        </is>
      </c>
      <c r="C35" s="12" t="inlineStr">
        <is>
          <t>Nilai Pokok (Rp)</t>
        </is>
      </c>
      <c r="E35" s="25" t="inlineStr">
        <is>
          <t>Persoalan #3: Hitung IPMT dengan bunga 1% (0.01), periode ke-1, total 12 bulan, untuk pokok -C36!</t>
        </is>
      </c>
    </row>
    <row r="36">
      <c r="B36" s="18" t="inlineStr">
        <is>
          <t>Gudang Blok A</t>
        </is>
      </c>
      <c r="C36" s="18" t="n">
        <v>36000000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24000000</v>
      </c>
      <c r="E37" s="26" t="n"/>
      <c r="F37" s="27">
        <f>IF(ISBLANK(E37), "⏳ Ketik rumus di sel kuning E37", IF(E37=G37, "✅ BENAR! LUAR BIASA!", "❌ Belum Tepat, Cek Kunci"))</f>
        <v/>
      </c>
      <c r="G37" s="28">
        <f>IPMT(0.01, 1, 12, -C36)</f>
        <v/>
      </c>
      <c r="H37" s="29" t="inlineStr">
        <is>
          <t>Ketik: =IPMT(0.01, 1, 12, -C36)</t>
        </is>
      </c>
    </row>
    <row r="38">
      <c r="B38" s="18" t="inlineStr">
        <is>
          <t>Gudang Blok C</t>
        </is>
      </c>
      <c r="C38" s="18" t="n">
        <v>36000000</v>
      </c>
    </row>
    <row r="39">
      <c r="B39" s="18" t="inlineStr">
        <is>
          <t>Gudang Blok D</t>
        </is>
      </c>
      <c r="C39" s="18" t="n">
        <v>50000000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Program Kredit</t>
        </is>
      </c>
      <c r="C43" s="12" t="inlineStr">
        <is>
          <t>Nilai Pokok (Rp)</t>
        </is>
      </c>
      <c r="E43" s="25" t="inlineStr">
        <is>
          <t>Persoalan #4: Hitung IPMT dengan bunga 1% (0.01), periode ke-1, total 12 bulan, untuk pokok -C44!</t>
        </is>
      </c>
    </row>
    <row r="44">
      <c r="B44" s="18" t="inlineStr">
        <is>
          <t>Toko Elektronik</t>
        </is>
      </c>
      <c r="C44" s="18" t="n">
        <v>48000000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24000000</v>
      </c>
      <c r="E45" s="26" t="n"/>
      <c r="F45" s="27">
        <f>IF(ISBLANK(E45), "⏳ Ketik rumus di sel kuning E45", IF(E45=G45, "✅ BENAR! LUAR BIASA!", "❌ Belum Tepat, Cek Kunci"))</f>
        <v/>
      </c>
      <c r="G45" s="28">
        <f>IPMT(0.01, 1, 12, -C44)</f>
        <v/>
      </c>
      <c r="H45" s="29" t="inlineStr">
        <is>
          <t>Ketik: =IPMT(0.01, 1, 12, -C44)</t>
        </is>
      </c>
    </row>
    <row r="46">
      <c r="B46" s="18" t="inlineStr">
        <is>
          <t>Toko Aksesoris</t>
        </is>
      </c>
      <c r="C46" s="18" t="n">
        <v>36000000</v>
      </c>
    </row>
    <row r="47">
      <c r="B47" s="18" t="inlineStr">
        <is>
          <t>Toko Servis</t>
        </is>
      </c>
      <c r="C47" s="18" t="n">
        <v>50000000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Program Kredit</t>
        </is>
      </c>
      <c r="C51" s="12" t="inlineStr">
        <is>
          <t>Nilai Pokok (Rp)</t>
        </is>
      </c>
      <c r="E51" s="25" t="inlineStr">
        <is>
          <t>Persoalan #5: Hitung IPMT dengan bunga 1% (0.01), periode ke-1, total 12 bulan, untuk pokok -C52!</t>
        </is>
      </c>
    </row>
    <row r="52">
      <c r="B52" s="18" t="inlineStr">
        <is>
          <t>Kelas 10 IPA</t>
        </is>
      </c>
      <c r="C52" s="18" t="n">
        <v>60000000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24000000</v>
      </c>
      <c r="E53" s="26" t="n"/>
      <c r="F53" s="27">
        <f>IF(ISBLANK(E53), "⏳ Ketik rumus di sel kuning E53", IF(E53=G53, "✅ BENAR! LUAR BIASA!", "❌ Belum Tepat, Cek Kunci"))</f>
        <v/>
      </c>
      <c r="G53" s="28">
        <f>IPMT(0.01, 1, 12, -C52)</f>
        <v/>
      </c>
      <c r="H53" s="29" t="inlineStr">
        <is>
          <t>Ketik: =IPMT(0.01, 1, 12, -C52)</t>
        </is>
      </c>
    </row>
    <row r="54">
      <c r="B54" s="18" t="inlineStr">
        <is>
          <t>Kelas 12 IPA</t>
        </is>
      </c>
      <c r="C54" s="18" t="n">
        <v>36000000</v>
      </c>
    </row>
    <row r="55">
      <c r="B55" s="18" t="inlineStr">
        <is>
          <t>Kelas Unggulan</t>
        </is>
      </c>
      <c r="C55" s="18" t="n">
        <v>50000000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#003 — RUMUS EXCEL: PPMT   |   Kategori: 6. Keuangan &amp; Investasi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(PPMT)</t>
        </is>
      </c>
    </row>
    <row r="5" ht="21" customHeight="1">
      <c r="B5" s="12" t="inlineStr">
        <is>
          <t>Nama Rumus Excel</t>
        </is>
      </c>
      <c r="C5" s="13">
        <f>PPMT(...)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PPMT(bunga, periode_ke, total_periode, nilai_pinjaman)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Menghitung porsi POKOK PINJAMAN saja yang berkurang pada cicilan bulan tertentu.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PPMT)</t>
        </is>
      </c>
    </row>
    <row r="10">
      <c r="B10" s="16" t="inlineStr">
        <is>
          <t>Program Kredit</t>
        </is>
      </c>
      <c r="C10" s="16" t="inlineStr">
        <is>
          <t>Nilai Pokok (Rp)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12000000</v>
      </c>
      <c r="E11" s="19" t="inlineStr">
        <is>
          <t>Kasus Contoh:</t>
        </is>
      </c>
      <c r="F11" s="20" t="inlineStr">
        <is>
          <t>Hitung PPMT dengan bunga 1% (0.01), periode ke-1, total 12 bulan, untuk pokok -C11!</t>
        </is>
      </c>
    </row>
    <row r="12">
      <c r="B12" s="18" t="inlineStr">
        <is>
          <t>Cabang Bandung</t>
        </is>
      </c>
      <c r="C12" s="18" t="n">
        <v>24000000</v>
      </c>
      <c r="E12" s="19" t="inlineStr">
        <is>
          <t>Rumus yang Diketik:</t>
        </is>
      </c>
      <c r="F12" s="21" t="inlineStr">
        <is>
          <t>'=PPMT(0.01, 1, 12, -C11)</t>
        </is>
      </c>
    </row>
    <row r="13">
      <c r="B13" s="18" t="inlineStr">
        <is>
          <t>Cabang Surabaya</t>
        </is>
      </c>
      <c r="C13" s="18" t="n">
        <v>36000000</v>
      </c>
      <c r="E13" s="19" t="inlineStr">
        <is>
          <t>Hasil Otomatis Excel:</t>
        </is>
      </c>
      <c r="F13" s="22">
        <f>PPMT(0.01, 1, 12, -C11)</f>
        <v/>
      </c>
    </row>
    <row r="14">
      <c r="B14" s="18" t="inlineStr">
        <is>
          <t>Cabang Medan</t>
        </is>
      </c>
      <c r="C14" s="18" t="n">
        <v>50000000</v>
      </c>
    </row>
    <row r="16" ht="26" customHeight="1">
      <c r="B16" s="23" t="inlineStr">
        <is>
          <t>3️⃣ 5 PERSOALAN DUNIA NYATA (KETIK RUMUS PPMT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Program Kredit</t>
        </is>
      </c>
      <c r="C19" s="12" t="inlineStr">
        <is>
          <t>Nilai Pokok (Rp)</t>
        </is>
      </c>
      <c r="E19" s="25" t="inlineStr">
        <is>
          <t>Persoalan #1: Hitung PPMT dengan bunga 1% (0.01), periode ke-1, total 12 bulan, untuk pokok -C20!</t>
        </is>
      </c>
    </row>
    <row r="20">
      <c r="B20" s="18" t="inlineStr">
        <is>
          <t>Cabang Jakarta</t>
        </is>
      </c>
      <c r="C20" s="18" t="n">
        <v>12000000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24000000</v>
      </c>
      <c r="E21" s="26" t="n"/>
      <c r="F21" s="27">
        <f>IF(ISBLANK(E21), "⏳ Ketik rumus di sel kuning E21", IF(E21=G21, "✅ BENAR! LUAR BIASA!", "❌ Belum Tepat, Cek Kunci"))</f>
        <v/>
      </c>
      <c r="G21" s="28">
        <f>PPMT(0.01, 1, 12, -C20)</f>
        <v/>
      </c>
      <c r="H21" s="29" t="inlineStr">
        <is>
          <t>Ketik: =PPMT(0.01, 1, 12, -C20)</t>
        </is>
      </c>
    </row>
    <row r="22">
      <c r="B22" s="18" t="inlineStr">
        <is>
          <t>Cabang Surabaya</t>
        </is>
      </c>
      <c r="C22" s="18" t="n">
        <v>36000000</v>
      </c>
    </row>
    <row r="23">
      <c r="B23" s="18" t="inlineStr">
        <is>
          <t>Cabang Medan</t>
        </is>
      </c>
      <c r="C23" s="18" t="n">
        <v>50000000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Program Kredit</t>
        </is>
      </c>
      <c r="C27" s="12" t="inlineStr">
        <is>
          <t>Nilai Pokok (Rp)</t>
        </is>
      </c>
      <c r="E27" s="25" t="inlineStr">
        <is>
          <t>Persoalan #2: Hitung PPMT dengan bunga 1% (0.01), periode ke-1, total 12 bulan, untuk pokok -C28!</t>
        </is>
      </c>
    </row>
    <row r="28">
      <c r="B28" s="18" t="inlineStr">
        <is>
          <t>Budi Santoso</t>
        </is>
      </c>
      <c r="C28" s="18" t="n">
        <v>24000000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24000000</v>
      </c>
      <c r="E29" s="26" t="n"/>
      <c r="F29" s="27">
        <f>IF(ISBLANK(E29), "⏳ Ketik rumus di sel kuning E29", IF(E29=G29, "✅ BENAR! LUAR BIASA!", "❌ Belum Tepat, Cek Kunci"))</f>
        <v/>
      </c>
      <c r="G29" s="28">
        <f>PPMT(0.01, 1, 12, -C28)</f>
        <v/>
      </c>
      <c r="H29" s="29" t="inlineStr">
        <is>
          <t>Ketik: =PPMT(0.01, 1, 12, -C28)</t>
        </is>
      </c>
    </row>
    <row r="30">
      <c r="B30" s="18" t="inlineStr">
        <is>
          <t>Andi Pratama</t>
        </is>
      </c>
      <c r="C30" s="18" t="n">
        <v>36000000</v>
      </c>
    </row>
    <row r="31">
      <c r="B31" s="18" t="inlineStr">
        <is>
          <t>Rina Wijaya</t>
        </is>
      </c>
      <c r="C31" s="18" t="n">
        <v>50000000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Program Kredit</t>
        </is>
      </c>
      <c r="C35" s="12" t="inlineStr">
        <is>
          <t>Nilai Pokok (Rp)</t>
        </is>
      </c>
      <c r="E35" s="25" t="inlineStr">
        <is>
          <t>Persoalan #3: Hitung PPMT dengan bunga 1% (0.01), periode ke-1, total 12 bulan, untuk pokok -C36!</t>
        </is>
      </c>
    </row>
    <row r="36">
      <c r="B36" s="18" t="inlineStr">
        <is>
          <t>Gudang Blok A</t>
        </is>
      </c>
      <c r="C36" s="18" t="n">
        <v>36000000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24000000</v>
      </c>
      <c r="E37" s="26" t="n"/>
      <c r="F37" s="27">
        <f>IF(ISBLANK(E37), "⏳ Ketik rumus di sel kuning E37", IF(E37=G37, "✅ BENAR! LUAR BIASA!", "❌ Belum Tepat, Cek Kunci"))</f>
        <v/>
      </c>
      <c r="G37" s="28">
        <f>PPMT(0.01, 1, 12, -C36)</f>
        <v/>
      </c>
      <c r="H37" s="29" t="inlineStr">
        <is>
          <t>Ketik: =PPMT(0.01, 1, 12, -C36)</t>
        </is>
      </c>
    </row>
    <row r="38">
      <c r="B38" s="18" t="inlineStr">
        <is>
          <t>Gudang Blok C</t>
        </is>
      </c>
      <c r="C38" s="18" t="n">
        <v>36000000</v>
      </c>
    </row>
    <row r="39">
      <c r="B39" s="18" t="inlineStr">
        <is>
          <t>Gudang Blok D</t>
        </is>
      </c>
      <c r="C39" s="18" t="n">
        <v>50000000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Program Kredit</t>
        </is>
      </c>
      <c r="C43" s="12" t="inlineStr">
        <is>
          <t>Nilai Pokok (Rp)</t>
        </is>
      </c>
      <c r="E43" s="25" t="inlineStr">
        <is>
          <t>Persoalan #4: Hitung PPMT dengan bunga 1% (0.01), periode ke-1, total 12 bulan, untuk pokok -C44!</t>
        </is>
      </c>
    </row>
    <row r="44">
      <c r="B44" s="18" t="inlineStr">
        <is>
          <t>Toko Elektronik</t>
        </is>
      </c>
      <c r="C44" s="18" t="n">
        <v>48000000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24000000</v>
      </c>
      <c r="E45" s="26" t="n"/>
      <c r="F45" s="27">
        <f>IF(ISBLANK(E45), "⏳ Ketik rumus di sel kuning E45", IF(E45=G45, "✅ BENAR! LUAR BIASA!", "❌ Belum Tepat, Cek Kunci"))</f>
        <v/>
      </c>
      <c r="G45" s="28">
        <f>PPMT(0.01, 1, 12, -C44)</f>
        <v/>
      </c>
      <c r="H45" s="29" t="inlineStr">
        <is>
          <t>Ketik: =PPMT(0.01, 1, 12, -C44)</t>
        </is>
      </c>
    </row>
    <row r="46">
      <c r="B46" s="18" t="inlineStr">
        <is>
          <t>Toko Aksesoris</t>
        </is>
      </c>
      <c r="C46" s="18" t="n">
        <v>36000000</v>
      </c>
    </row>
    <row r="47">
      <c r="B47" s="18" t="inlineStr">
        <is>
          <t>Toko Servis</t>
        </is>
      </c>
      <c r="C47" s="18" t="n">
        <v>50000000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Program Kredit</t>
        </is>
      </c>
      <c r="C51" s="12" t="inlineStr">
        <is>
          <t>Nilai Pokok (Rp)</t>
        </is>
      </c>
      <c r="E51" s="25" t="inlineStr">
        <is>
          <t>Persoalan #5: Hitung PPMT dengan bunga 1% (0.01), periode ke-1, total 12 bulan, untuk pokok -C52!</t>
        </is>
      </c>
    </row>
    <row r="52">
      <c r="B52" s="18" t="inlineStr">
        <is>
          <t>Kelas 10 IPA</t>
        </is>
      </c>
      <c r="C52" s="18" t="n">
        <v>60000000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24000000</v>
      </c>
      <c r="E53" s="26" t="n"/>
      <c r="F53" s="27">
        <f>IF(ISBLANK(E53), "⏳ Ketik rumus di sel kuning E53", IF(E53=G53, "✅ BENAR! LUAR BIASA!", "❌ Belum Tepat, Cek Kunci"))</f>
        <v/>
      </c>
      <c r="G53" s="28">
        <f>PPMT(0.01, 1, 12, -C52)</f>
        <v/>
      </c>
      <c r="H53" s="29" t="inlineStr">
        <is>
          <t>Ketik: =PPMT(0.01, 1, 12, -C52)</t>
        </is>
      </c>
    </row>
    <row r="54">
      <c r="B54" s="18" t="inlineStr">
        <is>
          <t>Kelas 12 IPA</t>
        </is>
      </c>
      <c r="C54" s="18" t="n">
        <v>36000000</v>
      </c>
    </row>
    <row r="55">
      <c r="B55" s="18" t="inlineStr">
        <is>
          <t>Kelas Unggulan</t>
        </is>
      </c>
      <c r="C55" s="18" t="n">
        <v>50000000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#004 — RUMUS EXCEL: FV   |   Kategori: 6. Keuangan &amp; Investasi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(FV)</t>
        </is>
      </c>
    </row>
    <row r="5" ht="21" customHeight="1">
      <c r="B5" s="12" t="inlineStr">
        <is>
          <t>Nama Rumus Excel</t>
        </is>
      </c>
      <c r="C5" s="13">
        <f>FV(...)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FV(bunga, jumlah_periode, setoran_rutin, [nilai_awal])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Future Value: Menghitung total uang tabungan/deposito di masa depan jika rutin menabung tiap periode.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FV)</t>
        </is>
      </c>
    </row>
    <row r="10">
      <c r="B10" s="16" t="inlineStr">
        <is>
          <t>Program Kredit</t>
        </is>
      </c>
      <c r="C10" s="16" t="inlineStr">
        <is>
          <t>Nilai Pokok (Rp)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12000000</v>
      </c>
      <c r="E11" s="19" t="inlineStr">
        <is>
          <t>Kasus Contoh:</t>
        </is>
      </c>
      <c r="F11" s="20" t="inlineStr">
        <is>
          <t>Gunakan rumus FV dengan bunga 1% (0.01), tenor 12 periode, dan nilai -C11!</t>
        </is>
      </c>
    </row>
    <row r="12">
      <c r="B12" s="18" t="inlineStr">
        <is>
          <t>Cabang Bandung</t>
        </is>
      </c>
      <c r="C12" s="18" t="n">
        <v>24000000</v>
      </c>
      <c r="E12" s="19" t="inlineStr">
        <is>
          <t>Rumus yang Diketik:</t>
        </is>
      </c>
      <c r="F12" s="21" t="inlineStr">
        <is>
          <t>'=FV(0.01, 12, -C11)</t>
        </is>
      </c>
    </row>
    <row r="13">
      <c r="B13" s="18" t="inlineStr">
        <is>
          <t>Cabang Surabaya</t>
        </is>
      </c>
      <c r="C13" s="18" t="n">
        <v>36000000</v>
      </c>
      <c r="E13" s="19" t="inlineStr">
        <is>
          <t>Hasil Otomatis Excel:</t>
        </is>
      </c>
      <c r="F13" s="22">
        <f>FV(0.01, 12, -C11)</f>
        <v/>
      </c>
    </row>
    <row r="14">
      <c r="B14" s="18" t="inlineStr">
        <is>
          <t>Cabang Medan</t>
        </is>
      </c>
      <c r="C14" s="18" t="n">
        <v>50000000</v>
      </c>
    </row>
    <row r="16" ht="26" customHeight="1">
      <c r="B16" s="23" t="inlineStr">
        <is>
          <t>3️⃣ 5 PERSOALAN DUNIA NYATA (KETIK RUMUS FV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Program Kredit</t>
        </is>
      </c>
      <c r="C19" s="12" t="inlineStr">
        <is>
          <t>Nilai Pokok (Rp)</t>
        </is>
      </c>
      <c r="E19" s="25" t="inlineStr">
        <is>
          <t>Persoalan #1: Gunakan rumus FV dengan bunga 1% (0.01), tenor 12 periode, dan nilai -C20!</t>
        </is>
      </c>
    </row>
    <row r="20">
      <c r="B20" s="18" t="inlineStr">
        <is>
          <t>Cabang Jakarta</t>
        </is>
      </c>
      <c r="C20" s="18" t="n">
        <v>12000000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24000000</v>
      </c>
      <c r="E21" s="26" t="n"/>
      <c r="F21" s="27">
        <f>IF(ISBLANK(E21), "⏳ Ketik rumus di sel kuning E21", IF(E21=G21, "✅ BENAR! LUAR BIASA!", "❌ Belum Tepat, Cek Kunci"))</f>
        <v/>
      </c>
      <c r="G21" s="28">
        <f>FV(0.01, 12, -C20)</f>
        <v/>
      </c>
      <c r="H21" s="29" t="inlineStr">
        <is>
          <t>Ketik: =FV(0.01, 12, -C20)</t>
        </is>
      </c>
    </row>
    <row r="22">
      <c r="B22" s="18" t="inlineStr">
        <is>
          <t>Cabang Surabaya</t>
        </is>
      </c>
      <c r="C22" s="18" t="n">
        <v>36000000</v>
      </c>
    </row>
    <row r="23">
      <c r="B23" s="18" t="inlineStr">
        <is>
          <t>Cabang Medan</t>
        </is>
      </c>
      <c r="C23" s="18" t="n">
        <v>50000000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Program Kredit</t>
        </is>
      </c>
      <c r="C27" s="12" t="inlineStr">
        <is>
          <t>Nilai Pokok (Rp)</t>
        </is>
      </c>
      <c r="E27" s="25" t="inlineStr">
        <is>
          <t>Persoalan #2: Gunakan rumus FV dengan bunga 1% (0.01), tenor 12 periode, dan nilai -C28!</t>
        </is>
      </c>
    </row>
    <row r="28">
      <c r="B28" s="18" t="inlineStr">
        <is>
          <t>Budi Santoso</t>
        </is>
      </c>
      <c r="C28" s="18" t="n">
        <v>24000000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24000000</v>
      </c>
      <c r="E29" s="26" t="n"/>
      <c r="F29" s="27">
        <f>IF(ISBLANK(E29), "⏳ Ketik rumus di sel kuning E29", IF(E29=G29, "✅ BENAR! LUAR BIASA!", "❌ Belum Tepat, Cek Kunci"))</f>
        <v/>
      </c>
      <c r="G29" s="28">
        <f>FV(0.01, 12, -C28)</f>
        <v/>
      </c>
      <c r="H29" s="29" t="inlineStr">
        <is>
          <t>Ketik: =FV(0.01, 12, -C28)</t>
        </is>
      </c>
    </row>
    <row r="30">
      <c r="B30" s="18" t="inlineStr">
        <is>
          <t>Andi Pratama</t>
        </is>
      </c>
      <c r="C30" s="18" t="n">
        <v>36000000</v>
      </c>
    </row>
    <row r="31">
      <c r="B31" s="18" t="inlineStr">
        <is>
          <t>Rina Wijaya</t>
        </is>
      </c>
      <c r="C31" s="18" t="n">
        <v>50000000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Program Kredit</t>
        </is>
      </c>
      <c r="C35" s="12" t="inlineStr">
        <is>
          <t>Nilai Pokok (Rp)</t>
        </is>
      </c>
      <c r="E35" s="25" t="inlineStr">
        <is>
          <t>Persoalan #3: Gunakan rumus FV dengan bunga 1% (0.01), tenor 12 periode, dan nilai -C36!</t>
        </is>
      </c>
    </row>
    <row r="36">
      <c r="B36" s="18" t="inlineStr">
        <is>
          <t>Gudang Blok A</t>
        </is>
      </c>
      <c r="C36" s="18" t="n">
        <v>36000000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24000000</v>
      </c>
      <c r="E37" s="26" t="n"/>
      <c r="F37" s="27">
        <f>IF(ISBLANK(E37), "⏳ Ketik rumus di sel kuning E37", IF(E37=G37, "✅ BENAR! LUAR BIASA!", "❌ Belum Tepat, Cek Kunci"))</f>
        <v/>
      </c>
      <c r="G37" s="28">
        <f>FV(0.01, 12, -C36)</f>
        <v/>
      </c>
      <c r="H37" s="29" t="inlineStr">
        <is>
          <t>Ketik: =FV(0.01, 12, -C36)</t>
        </is>
      </c>
    </row>
    <row r="38">
      <c r="B38" s="18" t="inlineStr">
        <is>
          <t>Gudang Blok C</t>
        </is>
      </c>
      <c r="C38" s="18" t="n">
        <v>36000000</v>
      </c>
    </row>
    <row r="39">
      <c r="B39" s="18" t="inlineStr">
        <is>
          <t>Gudang Blok D</t>
        </is>
      </c>
      <c r="C39" s="18" t="n">
        <v>50000000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Program Kredit</t>
        </is>
      </c>
      <c r="C43" s="12" t="inlineStr">
        <is>
          <t>Nilai Pokok (Rp)</t>
        </is>
      </c>
      <c r="E43" s="25" t="inlineStr">
        <is>
          <t>Persoalan #4: Gunakan rumus FV dengan bunga 1% (0.01), tenor 12 periode, dan nilai -C44!</t>
        </is>
      </c>
    </row>
    <row r="44">
      <c r="B44" s="18" t="inlineStr">
        <is>
          <t>Toko Elektronik</t>
        </is>
      </c>
      <c r="C44" s="18" t="n">
        <v>48000000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24000000</v>
      </c>
      <c r="E45" s="26" t="n"/>
      <c r="F45" s="27">
        <f>IF(ISBLANK(E45), "⏳ Ketik rumus di sel kuning E45", IF(E45=G45, "✅ BENAR! LUAR BIASA!", "❌ Belum Tepat, Cek Kunci"))</f>
        <v/>
      </c>
      <c r="G45" s="28">
        <f>FV(0.01, 12, -C44)</f>
        <v/>
      </c>
      <c r="H45" s="29" t="inlineStr">
        <is>
          <t>Ketik: =FV(0.01, 12, -C44)</t>
        </is>
      </c>
    </row>
    <row r="46">
      <c r="B46" s="18" t="inlineStr">
        <is>
          <t>Toko Aksesoris</t>
        </is>
      </c>
      <c r="C46" s="18" t="n">
        <v>36000000</v>
      </c>
    </row>
    <row r="47">
      <c r="B47" s="18" t="inlineStr">
        <is>
          <t>Toko Servis</t>
        </is>
      </c>
      <c r="C47" s="18" t="n">
        <v>50000000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Program Kredit</t>
        </is>
      </c>
      <c r="C51" s="12" t="inlineStr">
        <is>
          <t>Nilai Pokok (Rp)</t>
        </is>
      </c>
      <c r="E51" s="25" t="inlineStr">
        <is>
          <t>Persoalan #5: Gunakan rumus FV dengan bunga 1% (0.01), tenor 12 periode, dan nilai -C52!</t>
        </is>
      </c>
    </row>
    <row r="52">
      <c r="B52" s="18" t="inlineStr">
        <is>
          <t>Kelas 10 IPA</t>
        </is>
      </c>
      <c r="C52" s="18" t="n">
        <v>60000000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24000000</v>
      </c>
      <c r="E53" s="26" t="n"/>
      <c r="F53" s="27">
        <f>IF(ISBLANK(E53), "⏳ Ketik rumus di sel kuning E53", IF(E53=G53, "✅ BENAR! LUAR BIASA!", "❌ Belum Tepat, Cek Kunci"))</f>
        <v/>
      </c>
      <c r="G53" s="28">
        <f>FV(0.01, 12, -C52)</f>
        <v/>
      </c>
      <c r="H53" s="29" t="inlineStr">
        <is>
          <t>Ketik: =FV(0.01, 12, -C52)</t>
        </is>
      </c>
    </row>
    <row r="54">
      <c r="B54" s="18" t="inlineStr">
        <is>
          <t>Kelas 12 IPA</t>
        </is>
      </c>
      <c r="C54" s="18" t="n">
        <v>36000000</v>
      </c>
    </row>
    <row r="55">
      <c r="B55" s="18" t="inlineStr">
        <is>
          <t>Kelas Unggulan</t>
        </is>
      </c>
      <c r="C55" s="18" t="n">
        <v>50000000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#005 — RUMUS EXCEL: PV   |   Kategori: 6. Keuangan &amp; Investasi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(PV)</t>
        </is>
      </c>
    </row>
    <row r="5" ht="21" customHeight="1">
      <c r="B5" s="12" t="inlineStr">
        <is>
          <t>Nama Rumus Excel</t>
        </is>
      </c>
      <c r="C5" s="13">
        <f>PV(...)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PV(bunga, jumlah_periode, hasil_rutin)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Present Value: Menghitung berapa nilai uang saat ini dari rangkaian arus kas masa depan.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PV)</t>
        </is>
      </c>
    </row>
    <row r="10">
      <c r="B10" s="16" t="inlineStr">
        <is>
          <t>Program Kredit</t>
        </is>
      </c>
      <c r="C10" s="16" t="inlineStr">
        <is>
          <t>Nilai Pokok (Rp)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12000000</v>
      </c>
      <c r="E11" s="19" t="inlineStr">
        <is>
          <t>Kasus Contoh:</t>
        </is>
      </c>
      <c r="F11" s="20" t="inlineStr">
        <is>
          <t>Gunakan rumus PV dengan bunga 1% (0.01), tenor 12 periode, dan nilai -C11!</t>
        </is>
      </c>
    </row>
    <row r="12">
      <c r="B12" s="18" t="inlineStr">
        <is>
          <t>Cabang Bandung</t>
        </is>
      </c>
      <c r="C12" s="18" t="n">
        <v>24000000</v>
      </c>
      <c r="E12" s="19" t="inlineStr">
        <is>
          <t>Rumus yang Diketik:</t>
        </is>
      </c>
      <c r="F12" s="21" t="inlineStr">
        <is>
          <t>'=PV(0.01, 12, -C11)</t>
        </is>
      </c>
    </row>
    <row r="13">
      <c r="B13" s="18" t="inlineStr">
        <is>
          <t>Cabang Surabaya</t>
        </is>
      </c>
      <c r="C13" s="18" t="n">
        <v>36000000</v>
      </c>
      <c r="E13" s="19" t="inlineStr">
        <is>
          <t>Hasil Otomatis Excel:</t>
        </is>
      </c>
      <c r="F13" s="22">
        <f>PV(0.01, 12, -C11)</f>
        <v/>
      </c>
    </row>
    <row r="14">
      <c r="B14" s="18" t="inlineStr">
        <is>
          <t>Cabang Medan</t>
        </is>
      </c>
      <c r="C14" s="18" t="n">
        <v>50000000</v>
      </c>
    </row>
    <row r="16" ht="26" customHeight="1">
      <c r="B16" s="23" t="inlineStr">
        <is>
          <t>3️⃣ 5 PERSOALAN DUNIA NYATA (KETIK RUMUS PV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Program Kredit</t>
        </is>
      </c>
      <c r="C19" s="12" t="inlineStr">
        <is>
          <t>Nilai Pokok (Rp)</t>
        </is>
      </c>
      <c r="E19" s="25" t="inlineStr">
        <is>
          <t>Persoalan #1: Gunakan rumus PV dengan bunga 1% (0.01), tenor 12 periode, dan nilai -C20!</t>
        </is>
      </c>
    </row>
    <row r="20">
      <c r="B20" s="18" t="inlineStr">
        <is>
          <t>Cabang Jakarta</t>
        </is>
      </c>
      <c r="C20" s="18" t="n">
        <v>12000000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24000000</v>
      </c>
      <c r="E21" s="26" t="n"/>
      <c r="F21" s="27">
        <f>IF(ISBLANK(E21), "⏳ Ketik rumus di sel kuning E21", IF(E21=G21, "✅ BENAR! LUAR BIASA!", "❌ Belum Tepat, Cek Kunci"))</f>
        <v/>
      </c>
      <c r="G21" s="28">
        <f>PV(0.01, 12, -C20)</f>
        <v/>
      </c>
      <c r="H21" s="29" t="inlineStr">
        <is>
          <t>Ketik: =PV(0.01, 12, -C20)</t>
        </is>
      </c>
    </row>
    <row r="22">
      <c r="B22" s="18" t="inlineStr">
        <is>
          <t>Cabang Surabaya</t>
        </is>
      </c>
      <c r="C22" s="18" t="n">
        <v>36000000</v>
      </c>
    </row>
    <row r="23">
      <c r="B23" s="18" t="inlineStr">
        <is>
          <t>Cabang Medan</t>
        </is>
      </c>
      <c r="C23" s="18" t="n">
        <v>50000000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Program Kredit</t>
        </is>
      </c>
      <c r="C27" s="12" t="inlineStr">
        <is>
          <t>Nilai Pokok (Rp)</t>
        </is>
      </c>
      <c r="E27" s="25" t="inlineStr">
        <is>
          <t>Persoalan #2: Gunakan rumus PV dengan bunga 1% (0.01), tenor 12 periode, dan nilai -C28!</t>
        </is>
      </c>
    </row>
    <row r="28">
      <c r="B28" s="18" t="inlineStr">
        <is>
          <t>Budi Santoso</t>
        </is>
      </c>
      <c r="C28" s="18" t="n">
        <v>24000000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24000000</v>
      </c>
      <c r="E29" s="26" t="n"/>
      <c r="F29" s="27">
        <f>IF(ISBLANK(E29), "⏳ Ketik rumus di sel kuning E29", IF(E29=G29, "✅ BENAR! LUAR BIASA!", "❌ Belum Tepat, Cek Kunci"))</f>
        <v/>
      </c>
      <c r="G29" s="28">
        <f>PV(0.01, 12, -C28)</f>
        <v/>
      </c>
      <c r="H29" s="29" t="inlineStr">
        <is>
          <t>Ketik: =PV(0.01, 12, -C28)</t>
        </is>
      </c>
    </row>
    <row r="30">
      <c r="B30" s="18" t="inlineStr">
        <is>
          <t>Andi Pratama</t>
        </is>
      </c>
      <c r="C30" s="18" t="n">
        <v>36000000</v>
      </c>
    </row>
    <row r="31">
      <c r="B31" s="18" t="inlineStr">
        <is>
          <t>Rina Wijaya</t>
        </is>
      </c>
      <c r="C31" s="18" t="n">
        <v>50000000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Program Kredit</t>
        </is>
      </c>
      <c r="C35" s="12" t="inlineStr">
        <is>
          <t>Nilai Pokok (Rp)</t>
        </is>
      </c>
      <c r="E35" s="25" t="inlineStr">
        <is>
          <t>Persoalan #3: Gunakan rumus PV dengan bunga 1% (0.01), tenor 12 periode, dan nilai -C36!</t>
        </is>
      </c>
    </row>
    <row r="36">
      <c r="B36" s="18" t="inlineStr">
        <is>
          <t>Gudang Blok A</t>
        </is>
      </c>
      <c r="C36" s="18" t="n">
        <v>36000000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24000000</v>
      </c>
      <c r="E37" s="26" t="n"/>
      <c r="F37" s="27">
        <f>IF(ISBLANK(E37), "⏳ Ketik rumus di sel kuning E37", IF(E37=G37, "✅ BENAR! LUAR BIASA!", "❌ Belum Tepat, Cek Kunci"))</f>
        <v/>
      </c>
      <c r="G37" s="28">
        <f>PV(0.01, 12, -C36)</f>
        <v/>
      </c>
      <c r="H37" s="29" t="inlineStr">
        <is>
          <t>Ketik: =PV(0.01, 12, -C36)</t>
        </is>
      </c>
    </row>
    <row r="38">
      <c r="B38" s="18" t="inlineStr">
        <is>
          <t>Gudang Blok C</t>
        </is>
      </c>
      <c r="C38" s="18" t="n">
        <v>36000000</v>
      </c>
    </row>
    <row r="39">
      <c r="B39" s="18" t="inlineStr">
        <is>
          <t>Gudang Blok D</t>
        </is>
      </c>
      <c r="C39" s="18" t="n">
        <v>50000000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Program Kredit</t>
        </is>
      </c>
      <c r="C43" s="12" t="inlineStr">
        <is>
          <t>Nilai Pokok (Rp)</t>
        </is>
      </c>
      <c r="E43" s="25" t="inlineStr">
        <is>
          <t>Persoalan #4: Gunakan rumus PV dengan bunga 1% (0.01), tenor 12 periode, dan nilai -C44!</t>
        </is>
      </c>
    </row>
    <row r="44">
      <c r="B44" s="18" t="inlineStr">
        <is>
          <t>Toko Elektronik</t>
        </is>
      </c>
      <c r="C44" s="18" t="n">
        <v>48000000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24000000</v>
      </c>
      <c r="E45" s="26" t="n"/>
      <c r="F45" s="27">
        <f>IF(ISBLANK(E45), "⏳ Ketik rumus di sel kuning E45", IF(E45=G45, "✅ BENAR! LUAR BIASA!", "❌ Belum Tepat, Cek Kunci"))</f>
        <v/>
      </c>
      <c r="G45" s="28">
        <f>PV(0.01, 12, -C44)</f>
        <v/>
      </c>
      <c r="H45" s="29" t="inlineStr">
        <is>
          <t>Ketik: =PV(0.01, 12, -C44)</t>
        </is>
      </c>
    </row>
    <row r="46">
      <c r="B46" s="18" t="inlineStr">
        <is>
          <t>Toko Aksesoris</t>
        </is>
      </c>
      <c r="C46" s="18" t="n">
        <v>36000000</v>
      </c>
    </row>
    <row r="47">
      <c r="B47" s="18" t="inlineStr">
        <is>
          <t>Toko Servis</t>
        </is>
      </c>
      <c r="C47" s="18" t="n">
        <v>50000000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Program Kredit</t>
        </is>
      </c>
      <c r="C51" s="12" t="inlineStr">
        <is>
          <t>Nilai Pokok (Rp)</t>
        </is>
      </c>
      <c r="E51" s="25" t="inlineStr">
        <is>
          <t>Persoalan #5: Gunakan rumus PV dengan bunga 1% (0.01), tenor 12 periode, dan nilai -C52!</t>
        </is>
      </c>
    </row>
    <row r="52">
      <c r="B52" s="18" t="inlineStr">
        <is>
          <t>Kelas 10 IPA</t>
        </is>
      </c>
      <c r="C52" s="18" t="n">
        <v>60000000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24000000</v>
      </c>
      <c r="E53" s="26" t="n"/>
      <c r="F53" s="27">
        <f>IF(ISBLANK(E53), "⏳ Ketik rumus di sel kuning E53", IF(E53=G53, "✅ BENAR! LUAR BIASA!", "❌ Belum Tepat, Cek Kunci"))</f>
        <v/>
      </c>
      <c r="G53" s="28">
        <f>PV(0.01, 12, -C52)</f>
        <v/>
      </c>
      <c r="H53" s="29" t="inlineStr">
        <is>
          <t>Ketik: =PV(0.01, 12, -C52)</t>
        </is>
      </c>
    </row>
    <row r="54">
      <c r="B54" s="18" t="inlineStr">
        <is>
          <t>Kelas 12 IPA</t>
        </is>
      </c>
      <c r="C54" s="18" t="n">
        <v>36000000</v>
      </c>
    </row>
    <row r="55">
      <c r="B55" s="18" t="inlineStr">
        <is>
          <t>Kelas Unggulan</t>
        </is>
      </c>
      <c r="C55" s="18" t="n">
        <v>50000000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#006 — RUMUS EXCEL: NPV   |   Kategori: 6. Keuangan &amp; Investasi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(NPV)</t>
        </is>
      </c>
    </row>
    <row r="5" ht="21" customHeight="1">
      <c r="B5" s="12" t="inlineStr">
        <is>
          <t>Nama Rumus Excel</t>
        </is>
      </c>
      <c r="C5" s="13">
        <f>NPV(...)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NPV(suku_diskonto, arus_kas1, arus_kas2, 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Net Present Value: Mengukur apakah sebuah proyek investasi menguntungkan atau merugikan dibanding bunga bank.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NPV)</t>
        </is>
      </c>
    </row>
    <row r="10">
      <c r="B10" s="16" t="inlineStr">
        <is>
          <t>Periode Arus Kas</t>
        </is>
      </c>
      <c r="C10" s="16" t="inlineStr">
        <is>
          <t>Nilai Arus Kas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1000000</v>
      </c>
      <c r="E11" s="19" t="inlineStr">
        <is>
          <t>Kasus Contoh:</t>
        </is>
      </c>
      <c r="F11" s="20" t="inlineStr">
        <is>
          <t>Hitung Net Present Value (NPV) dengan bunga diskonto 10% (0.1) untuk arus kas di C11:C14 menggunakan rumus NPV!</t>
        </is>
      </c>
    </row>
    <row r="12">
      <c r="B12" s="18" t="inlineStr">
        <is>
          <t>Cabang Bandung</t>
        </is>
      </c>
      <c r="C12" s="18" t="n">
        <v>1500000</v>
      </c>
      <c r="E12" s="19" t="inlineStr">
        <is>
          <t>Rumus yang Diketik:</t>
        </is>
      </c>
      <c r="F12" s="21" t="inlineStr">
        <is>
          <t>'=NPV(0.1, C11:C14)</t>
        </is>
      </c>
    </row>
    <row r="13">
      <c r="B13" s="18" t="inlineStr">
        <is>
          <t>Cabang Surabaya</t>
        </is>
      </c>
      <c r="C13" s="18" t="n">
        <v>1800000</v>
      </c>
      <c r="E13" s="19" t="inlineStr">
        <is>
          <t>Hasil Otomatis Excel:</t>
        </is>
      </c>
      <c r="F13" s="22">
        <f>NPV(0.1, C11:C14)</f>
        <v/>
      </c>
    </row>
    <row r="14">
      <c r="B14" s="18" t="inlineStr">
        <is>
          <t>Cabang Medan</t>
        </is>
      </c>
      <c r="C14" s="18" t="n">
        <v>2200000</v>
      </c>
    </row>
    <row r="16" ht="26" customHeight="1">
      <c r="B16" s="23" t="inlineStr">
        <is>
          <t>3️⃣ 5 PERSOALAN DUNIA NYATA (KETIK RUMUS NPV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Periode Arus Kas</t>
        </is>
      </c>
      <c r="C19" s="12" t="inlineStr">
        <is>
          <t>Nilai Arus Kas</t>
        </is>
      </c>
      <c r="E19" s="25" t="inlineStr">
        <is>
          <t>Persoalan #1: Hitung Net Present Value (NPV) dengan bunga diskonto 10% (0.1) untuk arus kas di C20:C23 menggunakan rumus NPV!</t>
        </is>
      </c>
    </row>
    <row r="20">
      <c r="B20" s="18" t="inlineStr">
        <is>
          <t>Cabang Jakarta</t>
        </is>
      </c>
      <c r="C20" s="18" t="n">
        <v>1000000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1500000</v>
      </c>
      <c r="E21" s="26" t="n"/>
      <c r="F21" s="27">
        <f>IF(ISBLANK(E21), "⏳ Ketik rumus di sel kuning E21", IF(E21=G21, "✅ BENAR! LUAR BIASA!", "❌ Belum Tepat, Cek Kunci"))</f>
        <v/>
      </c>
      <c r="G21" s="28">
        <f>NPV(0.1, C20:C23)</f>
        <v/>
      </c>
      <c r="H21" s="29" t="inlineStr">
        <is>
          <t>Ketik: =NPV(0.1, C20:C23)</t>
        </is>
      </c>
    </row>
    <row r="22">
      <c r="B22" s="18" t="inlineStr">
        <is>
          <t>Cabang Surabaya</t>
        </is>
      </c>
      <c r="C22" s="18" t="n">
        <v>1800000</v>
      </c>
    </row>
    <row r="23">
      <c r="B23" s="18" t="inlineStr">
        <is>
          <t>Cabang Medan</t>
        </is>
      </c>
      <c r="C23" s="18" t="n">
        <v>2200000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Periode Arus Kas</t>
        </is>
      </c>
      <c r="C27" s="12" t="inlineStr">
        <is>
          <t>Nilai Arus Kas</t>
        </is>
      </c>
      <c r="E27" s="25" t="inlineStr">
        <is>
          <t>Persoalan #2: Hitung Net Present Value (NPV) dengan bunga diskonto 10% (0.1) untuk arus kas di C28:C31 menggunakan rumus NPV!</t>
        </is>
      </c>
    </row>
    <row r="28">
      <c r="B28" s="18" t="inlineStr">
        <is>
          <t>Budi Santoso</t>
        </is>
      </c>
      <c r="C28" s="18" t="n">
        <v>2000000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3000000</v>
      </c>
      <c r="E29" s="26" t="n"/>
      <c r="F29" s="27">
        <f>IF(ISBLANK(E29), "⏳ Ketik rumus di sel kuning E29", IF(E29=G29, "✅ BENAR! LUAR BIASA!", "❌ Belum Tepat, Cek Kunci"))</f>
        <v/>
      </c>
      <c r="G29" s="28">
        <f>NPV(0.1, C28:C31)</f>
        <v/>
      </c>
      <c r="H29" s="29" t="inlineStr">
        <is>
          <t>Ketik: =NPV(0.1, C28:C31)</t>
        </is>
      </c>
    </row>
    <row r="30">
      <c r="B30" s="18" t="inlineStr">
        <is>
          <t>Andi Pratama</t>
        </is>
      </c>
      <c r="C30" s="18" t="n">
        <v>3600000</v>
      </c>
    </row>
    <row r="31">
      <c r="B31" s="18" t="inlineStr">
        <is>
          <t>Rina Wijaya</t>
        </is>
      </c>
      <c r="C31" s="18" t="n">
        <v>4400000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Periode Arus Kas</t>
        </is>
      </c>
      <c r="C35" s="12" t="inlineStr">
        <is>
          <t>Nilai Arus Kas</t>
        </is>
      </c>
      <c r="E35" s="25" t="inlineStr">
        <is>
          <t>Persoalan #3: Hitung Net Present Value (NPV) dengan bunga diskonto 10% (0.1) untuk arus kas di C36:C39 menggunakan rumus NPV!</t>
        </is>
      </c>
    </row>
    <row r="36">
      <c r="B36" s="18" t="inlineStr">
        <is>
          <t>Gudang Blok A</t>
        </is>
      </c>
      <c r="C36" s="18" t="n">
        <v>3000000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4500000</v>
      </c>
      <c r="E37" s="26" t="n"/>
      <c r="F37" s="27">
        <f>IF(ISBLANK(E37), "⏳ Ketik rumus di sel kuning E37", IF(E37=G37, "✅ BENAR! LUAR BIASA!", "❌ Belum Tepat, Cek Kunci"))</f>
        <v/>
      </c>
      <c r="G37" s="28">
        <f>NPV(0.1, C36:C39)</f>
        <v/>
      </c>
      <c r="H37" s="29" t="inlineStr">
        <is>
          <t>Ketik: =NPV(0.1, C36:C39)</t>
        </is>
      </c>
    </row>
    <row r="38">
      <c r="B38" s="18" t="inlineStr">
        <is>
          <t>Gudang Blok C</t>
        </is>
      </c>
      <c r="C38" s="18" t="n">
        <v>5400000</v>
      </c>
    </row>
    <row r="39">
      <c r="B39" s="18" t="inlineStr">
        <is>
          <t>Gudang Blok D</t>
        </is>
      </c>
      <c r="C39" s="18" t="n">
        <v>6600000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Periode Arus Kas</t>
        </is>
      </c>
      <c r="C43" s="12" t="inlineStr">
        <is>
          <t>Nilai Arus Kas</t>
        </is>
      </c>
      <c r="E43" s="25" t="inlineStr">
        <is>
          <t>Persoalan #4: Hitung Net Present Value (NPV) dengan bunga diskonto 10% (0.1) untuk arus kas di C44:C47 menggunakan rumus NPV!</t>
        </is>
      </c>
    </row>
    <row r="44">
      <c r="B44" s="18" t="inlineStr">
        <is>
          <t>Toko Elektronik</t>
        </is>
      </c>
      <c r="C44" s="18" t="n">
        <v>4000000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6000000</v>
      </c>
      <c r="E45" s="26" t="n"/>
      <c r="F45" s="27">
        <f>IF(ISBLANK(E45), "⏳ Ketik rumus di sel kuning E45", IF(E45=G45, "✅ BENAR! LUAR BIASA!", "❌ Belum Tepat, Cek Kunci"))</f>
        <v/>
      </c>
      <c r="G45" s="28">
        <f>NPV(0.1, C44:C47)</f>
        <v/>
      </c>
      <c r="H45" s="29" t="inlineStr">
        <is>
          <t>Ketik: =NPV(0.1, C44:C47)</t>
        </is>
      </c>
    </row>
    <row r="46">
      <c r="B46" s="18" t="inlineStr">
        <is>
          <t>Toko Aksesoris</t>
        </is>
      </c>
      <c r="C46" s="18" t="n">
        <v>7200000</v>
      </c>
    </row>
    <row r="47">
      <c r="B47" s="18" t="inlineStr">
        <is>
          <t>Toko Servis</t>
        </is>
      </c>
      <c r="C47" s="18" t="n">
        <v>8800000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Periode Arus Kas</t>
        </is>
      </c>
      <c r="C51" s="12" t="inlineStr">
        <is>
          <t>Nilai Arus Kas</t>
        </is>
      </c>
      <c r="E51" s="25" t="inlineStr">
        <is>
          <t>Persoalan #5: Hitung Net Present Value (NPV) dengan bunga diskonto 10% (0.1) untuk arus kas di C52:C55 menggunakan rumus NPV!</t>
        </is>
      </c>
    </row>
    <row r="52">
      <c r="B52" s="18" t="inlineStr">
        <is>
          <t>Kelas 10 IPA</t>
        </is>
      </c>
      <c r="C52" s="18" t="n">
        <v>5000000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7500000</v>
      </c>
      <c r="E53" s="26" t="n"/>
      <c r="F53" s="27">
        <f>IF(ISBLANK(E53), "⏳ Ketik rumus di sel kuning E53", IF(E53=G53, "✅ BENAR! LUAR BIASA!", "❌ Belum Tepat, Cek Kunci"))</f>
        <v/>
      </c>
      <c r="G53" s="28">
        <f>NPV(0.1, C52:C55)</f>
        <v/>
      </c>
      <c r="H53" s="29" t="inlineStr">
        <is>
          <t>Ketik: =NPV(0.1, C52:C55)</t>
        </is>
      </c>
    </row>
    <row r="54">
      <c r="B54" s="18" t="inlineStr">
        <is>
          <t>Kelas 12 IPA</t>
        </is>
      </c>
      <c r="C54" s="18" t="n">
        <v>9000000</v>
      </c>
    </row>
    <row r="55">
      <c r="B55" s="18" t="inlineStr">
        <is>
          <t>Kelas Unggulan</t>
        </is>
      </c>
      <c r="C55" s="18" t="n">
        <v>11000000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#007 — RUMUS EXCEL: SLN   |   Kategori: 6. Keuangan &amp; Investasi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(SLN)</t>
        </is>
      </c>
    </row>
    <row r="5" ht="21" customHeight="1">
      <c r="B5" s="12" t="inlineStr">
        <is>
          <t>Nama Rumus Excel</t>
        </is>
      </c>
      <c r="C5" s="13">
        <f>SLN(...)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SLN(harga_beli, nilai_sisa, umur_ekonomis)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Straight-Line Depreciation: Menghitung biaya penyusutan aset kantor (mesin/kendaraan) metode garis lurus per tahun.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SLN)</t>
        </is>
      </c>
    </row>
    <row r="10">
      <c r="B10" s="16" t="inlineStr">
        <is>
          <t>Nama Aset Mesin</t>
        </is>
      </c>
      <c r="C10" s="16" t="inlineStr">
        <is>
          <t>Harga Perolehan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50000000</v>
      </c>
      <c r="E11" s="19" t="inlineStr">
        <is>
          <t>Kasus Contoh:</t>
        </is>
      </c>
      <c r="F11" s="20" t="inlineStr">
        <is>
          <t>Hitung penyusutan SLN dengan harga beli C11, nilai sisa 5000000, dan umur 5 tahun!</t>
        </is>
      </c>
    </row>
    <row r="12">
      <c r="B12" s="18" t="inlineStr">
        <is>
          <t>Cabang Bandung</t>
        </is>
      </c>
      <c r="C12" s="18" t="n">
        <v>80000000</v>
      </c>
      <c r="E12" s="19" t="inlineStr">
        <is>
          <t>Rumus yang Diketik:</t>
        </is>
      </c>
      <c r="F12" s="21" t="inlineStr">
        <is>
          <t>'=SLN(C11, 5000000, 5)</t>
        </is>
      </c>
    </row>
    <row r="13">
      <c r="B13" s="18" t="inlineStr">
        <is>
          <t>Cabang Surabaya</t>
        </is>
      </c>
      <c r="C13" s="18" t="n">
        <v>120000000</v>
      </c>
      <c r="E13" s="19" t="inlineStr">
        <is>
          <t>Hasil Otomatis Excel:</t>
        </is>
      </c>
      <c r="F13" s="22">
        <f>SLN(C11, 5000000, 5)</f>
        <v/>
      </c>
    </row>
    <row r="14">
      <c r="B14" s="18" t="inlineStr">
        <is>
          <t>Cabang Medan</t>
        </is>
      </c>
      <c r="C14" s="18" t="n">
        <v>150000000</v>
      </c>
    </row>
    <row r="16" ht="26" customHeight="1">
      <c r="B16" s="23" t="inlineStr">
        <is>
          <t>3️⃣ 5 PERSOALAN DUNIA NYATA (KETIK RUMUS SLN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Nama Aset Mesin</t>
        </is>
      </c>
      <c r="C19" s="12" t="inlineStr">
        <is>
          <t>Harga Perolehan</t>
        </is>
      </c>
      <c r="E19" s="25" t="inlineStr">
        <is>
          <t>Persoalan #1: Hitung penyusutan SLN dengan harga beli C20, nilai sisa 5000000, dan umur 5 tahun!</t>
        </is>
      </c>
    </row>
    <row r="20">
      <c r="B20" s="18" t="inlineStr">
        <is>
          <t>Cabang Jakarta</t>
        </is>
      </c>
      <c r="C20" s="18" t="n">
        <v>50000000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80000000</v>
      </c>
      <c r="E21" s="26" t="n"/>
      <c r="F21" s="27">
        <f>IF(ISBLANK(E21), "⏳ Ketik rumus di sel kuning E21", IF(E21=G21, "✅ BENAR! LUAR BIASA!", "❌ Belum Tepat, Cek Kunci"))</f>
        <v/>
      </c>
      <c r="G21" s="28">
        <f>SLN(C20, 5000000, 5)</f>
        <v/>
      </c>
      <c r="H21" s="29" t="inlineStr">
        <is>
          <t>Ketik: =SLN(C20, 5000000, 5)</t>
        </is>
      </c>
    </row>
    <row r="22">
      <c r="B22" s="18" t="inlineStr">
        <is>
          <t>Cabang Surabaya</t>
        </is>
      </c>
      <c r="C22" s="18" t="n">
        <v>120000000</v>
      </c>
    </row>
    <row r="23">
      <c r="B23" s="18" t="inlineStr">
        <is>
          <t>Cabang Medan</t>
        </is>
      </c>
      <c r="C23" s="18" t="n">
        <v>150000000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Nama Aset Mesin</t>
        </is>
      </c>
      <c r="C27" s="12" t="inlineStr">
        <is>
          <t>Harga Perolehan</t>
        </is>
      </c>
      <c r="E27" s="25" t="inlineStr">
        <is>
          <t>Persoalan #2: Hitung penyusutan SLN dengan harga beli C28, nilai sisa 5000000, dan umur 5 tahun!</t>
        </is>
      </c>
    </row>
    <row r="28">
      <c r="B28" s="18" t="inlineStr">
        <is>
          <t>Budi Santoso</t>
        </is>
      </c>
      <c r="C28" s="18" t="n">
        <v>100000000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80000000</v>
      </c>
      <c r="E29" s="26" t="n"/>
      <c r="F29" s="27">
        <f>IF(ISBLANK(E29), "⏳ Ketik rumus di sel kuning E29", IF(E29=G29, "✅ BENAR! LUAR BIASA!", "❌ Belum Tepat, Cek Kunci"))</f>
        <v/>
      </c>
      <c r="G29" s="28">
        <f>SLN(C28, 5000000, 5)</f>
        <v/>
      </c>
      <c r="H29" s="29" t="inlineStr">
        <is>
          <t>Ketik: =SLN(C28, 5000000, 5)</t>
        </is>
      </c>
    </row>
    <row r="30">
      <c r="B30" s="18" t="inlineStr">
        <is>
          <t>Andi Pratama</t>
        </is>
      </c>
      <c r="C30" s="18" t="n">
        <v>120000000</v>
      </c>
    </row>
    <row r="31">
      <c r="B31" s="18" t="inlineStr">
        <is>
          <t>Rina Wijaya</t>
        </is>
      </c>
      <c r="C31" s="18" t="n">
        <v>150000000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Nama Aset Mesin</t>
        </is>
      </c>
      <c r="C35" s="12" t="inlineStr">
        <is>
          <t>Harga Perolehan</t>
        </is>
      </c>
      <c r="E35" s="25" t="inlineStr">
        <is>
          <t>Persoalan #3: Hitung penyusutan SLN dengan harga beli C36, nilai sisa 5000000, dan umur 5 tahun!</t>
        </is>
      </c>
    </row>
    <row r="36">
      <c r="B36" s="18" t="inlineStr">
        <is>
          <t>Gudang Blok A</t>
        </is>
      </c>
      <c r="C36" s="18" t="n">
        <v>150000000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80000000</v>
      </c>
      <c r="E37" s="26" t="n"/>
      <c r="F37" s="27">
        <f>IF(ISBLANK(E37), "⏳ Ketik rumus di sel kuning E37", IF(E37=G37, "✅ BENAR! LUAR BIASA!", "❌ Belum Tepat, Cek Kunci"))</f>
        <v/>
      </c>
      <c r="G37" s="28">
        <f>SLN(C36, 5000000, 5)</f>
        <v/>
      </c>
      <c r="H37" s="29" t="inlineStr">
        <is>
          <t>Ketik: =SLN(C36, 5000000, 5)</t>
        </is>
      </c>
    </row>
    <row r="38">
      <c r="B38" s="18" t="inlineStr">
        <is>
          <t>Gudang Blok C</t>
        </is>
      </c>
      <c r="C38" s="18" t="n">
        <v>120000000</v>
      </c>
    </row>
    <row r="39">
      <c r="B39" s="18" t="inlineStr">
        <is>
          <t>Gudang Blok D</t>
        </is>
      </c>
      <c r="C39" s="18" t="n">
        <v>150000000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Nama Aset Mesin</t>
        </is>
      </c>
      <c r="C43" s="12" t="inlineStr">
        <is>
          <t>Harga Perolehan</t>
        </is>
      </c>
      <c r="E43" s="25" t="inlineStr">
        <is>
          <t>Persoalan #4: Hitung penyusutan SLN dengan harga beli C44, nilai sisa 5000000, dan umur 5 tahun!</t>
        </is>
      </c>
    </row>
    <row r="44">
      <c r="B44" s="18" t="inlineStr">
        <is>
          <t>Toko Elektronik</t>
        </is>
      </c>
      <c r="C44" s="18" t="n">
        <v>200000000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80000000</v>
      </c>
      <c r="E45" s="26" t="n"/>
      <c r="F45" s="27">
        <f>IF(ISBLANK(E45), "⏳ Ketik rumus di sel kuning E45", IF(E45=G45, "✅ BENAR! LUAR BIASA!", "❌ Belum Tepat, Cek Kunci"))</f>
        <v/>
      </c>
      <c r="G45" s="28">
        <f>SLN(C44, 5000000, 5)</f>
        <v/>
      </c>
      <c r="H45" s="29" t="inlineStr">
        <is>
          <t>Ketik: =SLN(C44, 5000000, 5)</t>
        </is>
      </c>
    </row>
    <row r="46">
      <c r="B46" s="18" t="inlineStr">
        <is>
          <t>Toko Aksesoris</t>
        </is>
      </c>
      <c r="C46" s="18" t="n">
        <v>120000000</v>
      </c>
    </row>
    <row r="47">
      <c r="B47" s="18" t="inlineStr">
        <is>
          <t>Toko Servis</t>
        </is>
      </c>
      <c r="C47" s="18" t="n">
        <v>150000000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Nama Aset Mesin</t>
        </is>
      </c>
      <c r="C51" s="12" t="inlineStr">
        <is>
          <t>Harga Perolehan</t>
        </is>
      </c>
      <c r="E51" s="25" t="inlineStr">
        <is>
          <t>Persoalan #5: Hitung penyusutan SLN dengan harga beli C52, nilai sisa 5000000, dan umur 5 tahun!</t>
        </is>
      </c>
    </row>
    <row r="52">
      <c r="B52" s="18" t="inlineStr">
        <is>
          <t>Kelas 10 IPA</t>
        </is>
      </c>
      <c r="C52" s="18" t="n">
        <v>250000000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80000000</v>
      </c>
      <c r="E53" s="26" t="n"/>
      <c r="F53" s="27">
        <f>IF(ISBLANK(E53), "⏳ Ketik rumus di sel kuning E53", IF(E53=G53, "✅ BENAR! LUAR BIASA!", "❌ Belum Tepat, Cek Kunci"))</f>
        <v/>
      </c>
      <c r="G53" s="28">
        <f>SLN(C52, 5000000, 5)</f>
        <v/>
      </c>
      <c r="H53" s="29" t="inlineStr">
        <is>
          <t>Ketik: =SLN(C52, 5000000, 5)</t>
        </is>
      </c>
    </row>
    <row r="54">
      <c r="B54" s="18" t="inlineStr">
        <is>
          <t>Kelas 12 IPA</t>
        </is>
      </c>
      <c r="C54" s="18" t="n">
        <v>120000000</v>
      </c>
    </row>
    <row r="55">
      <c r="B55" s="18" t="inlineStr">
        <is>
          <t>Kelas Unggulan</t>
        </is>
      </c>
      <c r="C55" s="18" t="n">
        <v>150000000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#008 — RUMUS EXCEL: SYD   |   Kategori: 6. Keuangan &amp; Investasi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(SYD)</t>
        </is>
      </c>
    </row>
    <row r="5" ht="21" customHeight="1">
      <c r="B5" s="12" t="inlineStr">
        <is>
          <t>Nama Rumus Excel</t>
        </is>
      </c>
      <c r="C5" s="13">
        <f>SYD(...)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SYD(harga_beli, nilai_sisa, umur, periode)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Menghitung penyusutan aset dengan metode jumlah angka tahun (Sum-of-Years' Digits).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SYD)</t>
        </is>
      </c>
    </row>
    <row r="10">
      <c r="B10" s="16" t="inlineStr">
        <is>
          <t>Nama Aset Mesin</t>
        </is>
      </c>
      <c r="C10" s="16" t="inlineStr">
        <is>
          <t>Harga Perolehan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50000000</v>
      </c>
      <c r="E11" s="19" t="inlineStr">
        <is>
          <t>Kasus Contoh:</t>
        </is>
      </c>
      <c r="F11" s="20" t="inlineStr">
        <is>
          <t>Hitung penyusutan SYD dengan harga beli C11, nilai sisa 5000000, umur 5 tahun, periode ke-1!</t>
        </is>
      </c>
    </row>
    <row r="12">
      <c r="B12" s="18" t="inlineStr">
        <is>
          <t>Cabang Bandung</t>
        </is>
      </c>
      <c r="C12" s="18" t="n">
        <v>80000000</v>
      </c>
      <c r="E12" s="19" t="inlineStr">
        <is>
          <t>Rumus yang Diketik:</t>
        </is>
      </c>
      <c r="F12" s="21" t="inlineStr">
        <is>
          <t>'=SYD(C11, 5000000, 5, 1)</t>
        </is>
      </c>
    </row>
    <row r="13">
      <c r="B13" s="18" t="inlineStr">
        <is>
          <t>Cabang Surabaya</t>
        </is>
      </c>
      <c r="C13" s="18" t="n">
        <v>120000000</v>
      </c>
      <c r="E13" s="19" t="inlineStr">
        <is>
          <t>Hasil Otomatis Excel:</t>
        </is>
      </c>
      <c r="F13" s="22">
        <f>SYD(C11, 5000000, 5, 1)</f>
        <v/>
      </c>
    </row>
    <row r="14">
      <c r="B14" s="18" t="inlineStr">
        <is>
          <t>Cabang Medan</t>
        </is>
      </c>
      <c r="C14" s="18" t="n">
        <v>150000000</v>
      </c>
    </row>
    <row r="16" ht="26" customHeight="1">
      <c r="B16" s="23" t="inlineStr">
        <is>
          <t>3️⃣ 5 PERSOALAN DUNIA NYATA (KETIK RUMUS SYD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Nama Aset Mesin</t>
        </is>
      </c>
      <c r="C19" s="12" t="inlineStr">
        <is>
          <t>Harga Perolehan</t>
        </is>
      </c>
      <c r="E19" s="25" t="inlineStr">
        <is>
          <t>Persoalan #1: Hitung penyusutan SYD dengan harga beli C20, nilai sisa 5000000, umur 5 tahun, periode ke-1!</t>
        </is>
      </c>
    </row>
    <row r="20">
      <c r="B20" s="18" t="inlineStr">
        <is>
          <t>Cabang Jakarta</t>
        </is>
      </c>
      <c r="C20" s="18" t="n">
        <v>50000000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80000000</v>
      </c>
      <c r="E21" s="26" t="n"/>
      <c r="F21" s="27">
        <f>IF(ISBLANK(E21), "⏳ Ketik rumus di sel kuning E21", IF(E21=G21, "✅ BENAR! LUAR BIASA!", "❌ Belum Tepat, Cek Kunci"))</f>
        <v/>
      </c>
      <c r="G21" s="28">
        <f>SYD(C20, 5000000, 5, 1)</f>
        <v/>
      </c>
      <c r="H21" s="29" t="inlineStr">
        <is>
          <t>Ketik: =SYD(C20, 5000000, 5, 1)</t>
        </is>
      </c>
    </row>
    <row r="22">
      <c r="B22" s="18" t="inlineStr">
        <is>
          <t>Cabang Surabaya</t>
        </is>
      </c>
      <c r="C22" s="18" t="n">
        <v>120000000</v>
      </c>
    </row>
    <row r="23">
      <c r="B23" s="18" t="inlineStr">
        <is>
          <t>Cabang Medan</t>
        </is>
      </c>
      <c r="C23" s="18" t="n">
        <v>150000000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Nama Aset Mesin</t>
        </is>
      </c>
      <c r="C27" s="12" t="inlineStr">
        <is>
          <t>Harga Perolehan</t>
        </is>
      </c>
      <c r="E27" s="25" t="inlineStr">
        <is>
          <t>Persoalan #2: Hitung penyusutan SYD dengan harga beli C28, nilai sisa 5000000, umur 5 tahun, periode ke-1!</t>
        </is>
      </c>
    </row>
    <row r="28">
      <c r="B28" s="18" t="inlineStr">
        <is>
          <t>Budi Santoso</t>
        </is>
      </c>
      <c r="C28" s="18" t="n">
        <v>100000000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80000000</v>
      </c>
      <c r="E29" s="26" t="n"/>
      <c r="F29" s="27">
        <f>IF(ISBLANK(E29), "⏳ Ketik rumus di sel kuning E29", IF(E29=G29, "✅ BENAR! LUAR BIASA!", "❌ Belum Tepat, Cek Kunci"))</f>
        <v/>
      </c>
      <c r="G29" s="28">
        <f>SYD(C28, 5000000, 5, 1)</f>
        <v/>
      </c>
      <c r="H29" s="29" t="inlineStr">
        <is>
          <t>Ketik: =SYD(C28, 5000000, 5, 1)</t>
        </is>
      </c>
    </row>
    <row r="30">
      <c r="B30" s="18" t="inlineStr">
        <is>
          <t>Andi Pratama</t>
        </is>
      </c>
      <c r="C30" s="18" t="n">
        <v>120000000</v>
      </c>
    </row>
    <row r="31">
      <c r="B31" s="18" t="inlineStr">
        <is>
          <t>Rina Wijaya</t>
        </is>
      </c>
      <c r="C31" s="18" t="n">
        <v>150000000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Nama Aset Mesin</t>
        </is>
      </c>
      <c r="C35" s="12" t="inlineStr">
        <is>
          <t>Harga Perolehan</t>
        </is>
      </c>
      <c r="E35" s="25" t="inlineStr">
        <is>
          <t>Persoalan #3: Hitung penyusutan SYD dengan harga beli C36, nilai sisa 5000000, umur 5 tahun, periode ke-1!</t>
        </is>
      </c>
    </row>
    <row r="36">
      <c r="B36" s="18" t="inlineStr">
        <is>
          <t>Gudang Blok A</t>
        </is>
      </c>
      <c r="C36" s="18" t="n">
        <v>150000000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80000000</v>
      </c>
      <c r="E37" s="26" t="n"/>
      <c r="F37" s="27">
        <f>IF(ISBLANK(E37), "⏳ Ketik rumus di sel kuning E37", IF(E37=G37, "✅ BENAR! LUAR BIASA!", "❌ Belum Tepat, Cek Kunci"))</f>
        <v/>
      </c>
      <c r="G37" s="28">
        <f>SYD(C36, 5000000, 5, 1)</f>
        <v/>
      </c>
      <c r="H37" s="29" t="inlineStr">
        <is>
          <t>Ketik: =SYD(C36, 5000000, 5, 1)</t>
        </is>
      </c>
    </row>
    <row r="38">
      <c r="B38" s="18" t="inlineStr">
        <is>
          <t>Gudang Blok C</t>
        </is>
      </c>
      <c r="C38" s="18" t="n">
        <v>120000000</v>
      </c>
    </row>
    <row r="39">
      <c r="B39" s="18" t="inlineStr">
        <is>
          <t>Gudang Blok D</t>
        </is>
      </c>
      <c r="C39" s="18" t="n">
        <v>150000000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Nama Aset Mesin</t>
        </is>
      </c>
      <c r="C43" s="12" t="inlineStr">
        <is>
          <t>Harga Perolehan</t>
        </is>
      </c>
      <c r="E43" s="25" t="inlineStr">
        <is>
          <t>Persoalan #4: Hitung penyusutan SYD dengan harga beli C44, nilai sisa 5000000, umur 5 tahun, periode ke-1!</t>
        </is>
      </c>
    </row>
    <row r="44">
      <c r="B44" s="18" t="inlineStr">
        <is>
          <t>Toko Elektronik</t>
        </is>
      </c>
      <c r="C44" s="18" t="n">
        <v>200000000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80000000</v>
      </c>
      <c r="E45" s="26" t="n"/>
      <c r="F45" s="27">
        <f>IF(ISBLANK(E45), "⏳ Ketik rumus di sel kuning E45", IF(E45=G45, "✅ BENAR! LUAR BIASA!", "❌ Belum Tepat, Cek Kunci"))</f>
        <v/>
      </c>
      <c r="G45" s="28">
        <f>SYD(C44, 5000000, 5, 1)</f>
        <v/>
      </c>
      <c r="H45" s="29" t="inlineStr">
        <is>
          <t>Ketik: =SYD(C44, 5000000, 5, 1)</t>
        </is>
      </c>
    </row>
    <row r="46">
      <c r="B46" s="18" t="inlineStr">
        <is>
          <t>Toko Aksesoris</t>
        </is>
      </c>
      <c r="C46" s="18" t="n">
        <v>120000000</v>
      </c>
    </row>
    <row r="47">
      <c r="B47" s="18" t="inlineStr">
        <is>
          <t>Toko Servis</t>
        </is>
      </c>
      <c r="C47" s="18" t="n">
        <v>150000000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Nama Aset Mesin</t>
        </is>
      </c>
      <c r="C51" s="12" t="inlineStr">
        <is>
          <t>Harga Perolehan</t>
        </is>
      </c>
      <c r="E51" s="25" t="inlineStr">
        <is>
          <t>Persoalan #5: Hitung penyusutan SYD dengan harga beli C52, nilai sisa 5000000, umur 5 tahun, periode ke-1!</t>
        </is>
      </c>
    </row>
    <row r="52">
      <c r="B52" s="18" t="inlineStr">
        <is>
          <t>Kelas 10 IPA</t>
        </is>
      </c>
      <c r="C52" s="18" t="n">
        <v>250000000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80000000</v>
      </c>
      <c r="E53" s="26" t="n"/>
      <c r="F53" s="27">
        <f>IF(ISBLANK(E53), "⏳ Ketik rumus di sel kuning E53", IF(E53=G53, "✅ BENAR! LUAR BIASA!", "❌ Belum Tepat, Cek Kunci"))</f>
        <v/>
      </c>
      <c r="G53" s="28">
        <f>SYD(C52, 5000000, 5, 1)</f>
        <v/>
      </c>
      <c r="H53" s="29" t="inlineStr">
        <is>
          <t>Ketik: =SYD(C52, 5000000, 5, 1)</t>
        </is>
      </c>
    </row>
    <row r="54">
      <c r="B54" s="18" t="inlineStr">
        <is>
          <t>Kelas 12 IPA</t>
        </is>
      </c>
      <c r="C54" s="18" t="n">
        <v>120000000</v>
      </c>
    </row>
    <row r="55">
      <c r="B55" s="18" t="inlineStr">
        <is>
          <t>Kelas Unggulan</t>
        </is>
      </c>
      <c r="C55" s="18" t="n">
        <v>150000000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#009 — RUMUS EXCEL: DB   |   Kategori: 6. Keuangan &amp; Investasi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(DB)</t>
        </is>
      </c>
    </row>
    <row r="5" ht="21" customHeight="1">
      <c r="B5" s="12" t="inlineStr">
        <is>
          <t>Nama Rumus Excel</t>
        </is>
      </c>
      <c r="C5" s="13">
        <f>DB(...)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DB(harga_beli, nilai_sisa, umur, periode)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Menghitung penyusutan aset dengan metode saldo menurun tetap (Fixed Declining Balance).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DB)</t>
        </is>
      </c>
    </row>
    <row r="10">
      <c r="B10" s="16" t="inlineStr">
        <is>
          <t>Nama Aset Mesin</t>
        </is>
      </c>
      <c r="C10" s="16" t="inlineStr">
        <is>
          <t>Harga Perolehan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50000000</v>
      </c>
      <c r="E11" s="19" t="inlineStr">
        <is>
          <t>Kasus Contoh:</t>
        </is>
      </c>
      <c r="F11" s="20" t="inlineStr">
        <is>
          <t>Hitung penyusutan DB dengan harga beli C11, nilai sisa 5000000, umur 5 tahun, periode ke-1!</t>
        </is>
      </c>
    </row>
    <row r="12">
      <c r="B12" s="18" t="inlineStr">
        <is>
          <t>Cabang Bandung</t>
        </is>
      </c>
      <c r="C12" s="18" t="n">
        <v>80000000</v>
      </c>
      <c r="E12" s="19" t="inlineStr">
        <is>
          <t>Rumus yang Diketik:</t>
        </is>
      </c>
      <c r="F12" s="21" t="inlineStr">
        <is>
          <t>'=DB(C11, 5000000, 5, 1)</t>
        </is>
      </c>
    </row>
    <row r="13">
      <c r="B13" s="18" t="inlineStr">
        <is>
          <t>Cabang Surabaya</t>
        </is>
      </c>
      <c r="C13" s="18" t="n">
        <v>120000000</v>
      </c>
      <c r="E13" s="19" t="inlineStr">
        <is>
          <t>Hasil Otomatis Excel:</t>
        </is>
      </c>
      <c r="F13" s="22">
        <f>DB(C11, 5000000, 5, 1)</f>
        <v/>
      </c>
    </row>
    <row r="14">
      <c r="B14" s="18" t="inlineStr">
        <is>
          <t>Cabang Medan</t>
        </is>
      </c>
      <c r="C14" s="18" t="n">
        <v>150000000</v>
      </c>
    </row>
    <row r="16" ht="26" customHeight="1">
      <c r="B16" s="23" t="inlineStr">
        <is>
          <t>3️⃣ 5 PERSOALAN DUNIA NYATA (KETIK RUMUS DB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Nama Aset Mesin</t>
        </is>
      </c>
      <c r="C19" s="12" t="inlineStr">
        <is>
          <t>Harga Perolehan</t>
        </is>
      </c>
      <c r="E19" s="25" t="inlineStr">
        <is>
          <t>Persoalan #1: Hitung penyusutan DB dengan harga beli C20, nilai sisa 5000000, umur 5 tahun, periode ke-1!</t>
        </is>
      </c>
    </row>
    <row r="20">
      <c r="B20" s="18" t="inlineStr">
        <is>
          <t>Cabang Jakarta</t>
        </is>
      </c>
      <c r="C20" s="18" t="n">
        <v>50000000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80000000</v>
      </c>
      <c r="E21" s="26" t="n"/>
      <c r="F21" s="27">
        <f>IF(ISBLANK(E21), "⏳ Ketik rumus di sel kuning E21", IF(E21=G21, "✅ BENAR! LUAR BIASA!", "❌ Belum Tepat, Cek Kunci"))</f>
        <v/>
      </c>
      <c r="G21" s="28">
        <f>DB(C20, 5000000, 5, 1)</f>
        <v/>
      </c>
      <c r="H21" s="29" t="inlineStr">
        <is>
          <t>Ketik: =DB(C20, 5000000, 5, 1)</t>
        </is>
      </c>
    </row>
    <row r="22">
      <c r="B22" s="18" t="inlineStr">
        <is>
          <t>Cabang Surabaya</t>
        </is>
      </c>
      <c r="C22" s="18" t="n">
        <v>120000000</v>
      </c>
    </row>
    <row r="23">
      <c r="B23" s="18" t="inlineStr">
        <is>
          <t>Cabang Medan</t>
        </is>
      </c>
      <c r="C23" s="18" t="n">
        <v>150000000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Nama Aset Mesin</t>
        </is>
      </c>
      <c r="C27" s="12" t="inlineStr">
        <is>
          <t>Harga Perolehan</t>
        </is>
      </c>
      <c r="E27" s="25" t="inlineStr">
        <is>
          <t>Persoalan #2: Hitung penyusutan DB dengan harga beli C28, nilai sisa 5000000, umur 5 tahun, periode ke-1!</t>
        </is>
      </c>
    </row>
    <row r="28">
      <c r="B28" s="18" t="inlineStr">
        <is>
          <t>Budi Santoso</t>
        </is>
      </c>
      <c r="C28" s="18" t="n">
        <v>100000000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80000000</v>
      </c>
      <c r="E29" s="26" t="n"/>
      <c r="F29" s="27">
        <f>IF(ISBLANK(E29), "⏳ Ketik rumus di sel kuning E29", IF(E29=G29, "✅ BENAR! LUAR BIASA!", "❌ Belum Tepat, Cek Kunci"))</f>
        <v/>
      </c>
      <c r="G29" s="28">
        <f>DB(C28, 5000000, 5, 1)</f>
        <v/>
      </c>
      <c r="H29" s="29" t="inlineStr">
        <is>
          <t>Ketik: =DB(C28, 5000000, 5, 1)</t>
        </is>
      </c>
    </row>
    <row r="30">
      <c r="B30" s="18" t="inlineStr">
        <is>
          <t>Andi Pratama</t>
        </is>
      </c>
      <c r="C30" s="18" t="n">
        <v>120000000</v>
      </c>
    </row>
    <row r="31">
      <c r="B31" s="18" t="inlineStr">
        <is>
          <t>Rina Wijaya</t>
        </is>
      </c>
      <c r="C31" s="18" t="n">
        <v>150000000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Nama Aset Mesin</t>
        </is>
      </c>
      <c r="C35" s="12" t="inlineStr">
        <is>
          <t>Harga Perolehan</t>
        </is>
      </c>
      <c r="E35" s="25" t="inlineStr">
        <is>
          <t>Persoalan #3: Hitung penyusutan DB dengan harga beli C36, nilai sisa 5000000, umur 5 tahun, periode ke-1!</t>
        </is>
      </c>
    </row>
    <row r="36">
      <c r="B36" s="18" t="inlineStr">
        <is>
          <t>Gudang Blok A</t>
        </is>
      </c>
      <c r="C36" s="18" t="n">
        <v>150000000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80000000</v>
      </c>
      <c r="E37" s="26" t="n"/>
      <c r="F37" s="27">
        <f>IF(ISBLANK(E37), "⏳ Ketik rumus di sel kuning E37", IF(E37=G37, "✅ BENAR! LUAR BIASA!", "❌ Belum Tepat, Cek Kunci"))</f>
        <v/>
      </c>
      <c r="G37" s="28">
        <f>DB(C36, 5000000, 5, 1)</f>
        <v/>
      </c>
      <c r="H37" s="29" t="inlineStr">
        <is>
          <t>Ketik: =DB(C36, 5000000, 5, 1)</t>
        </is>
      </c>
    </row>
    <row r="38">
      <c r="B38" s="18" t="inlineStr">
        <is>
          <t>Gudang Blok C</t>
        </is>
      </c>
      <c r="C38" s="18" t="n">
        <v>120000000</v>
      </c>
    </row>
    <row r="39">
      <c r="B39" s="18" t="inlineStr">
        <is>
          <t>Gudang Blok D</t>
        </is>
      </c>
      <c r="C39" s="18" t="n">
        <v>150000000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Nama Aset Mesin</t>
        </is>
      </c>
      <c r="C43" s="12" t="inlineStr">
        <is>
          <t>Harga Perolehan</t>
        </is>
      </c>
      <c r="E43" s="25" t="inlineStr">
        <is>
          <t>Persoalan #4: Hitung penyusutan DB dengan harga beli C44, nilai sisa 5000000, umur 5 tahun, periode ke-1!</t>
        </is>
      </c>
    </row>
    <row r="44">
      <c r="B44" s="18" t="inlineStr">
        <is>
          <t>Toko Elektronik</t>
        </is>
      </c>
      <c r="C44" s="18" t="n">
        <v>200000000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80000000</v>
      </c>
      <c r="E45" s="26" t="n"/>
      <c r="F45" s="27">
        <f>IF(ISBLANK(E45), "⏳ Ketik rumus di sel kuning E45", IF(E45=G45, "✅ BENAR! LUAR BIASA!", "❌ Belum Tepat, Cek Kunci"))</f>
        <v/>
      </c>
      <c r="G45" s="28">
        <f>DB(C44, 5000000, 5, 1)</f>
        <v/>
      </c>
      <c r="H45" s="29" t="inlineStr">
        <is>
          <t>Ketik: =DB(C44, 5000000, 5, 1)</t>
        </is>
      </c>
    </row>
    <row r="46">
      <c r="B46" s="18" t="inlineStr">
        <is>
          <t>Toko Aksesoris</t>
        </is>
      </c>
      <c r="C46" s="18" t="n">
        <v>120000000</v>
      </c>
    </row>
    <row r="47">
      <c r="B47" s="18" t="inlineStr">
        <is>
          <t>Toko Servis</t>
        </is>
      </c>
      <c r="C47" s="18" t="n">
        <v>150000000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Nama Aset Mesin</t>
        </is>
      </c>
      <c r="C51" s="12" t="inlineStr">
        <is>
          <t>Harga Perolehan</t>
        </is>
      </c>
      <c r="E51" s="25" t="inlineStr">
        <is>
          <t>Persoalan #5: Hitung penyusutan DB dengan harga beli C52, nilai sisa 5000000, umur 5 tahun, periode ke-1!</t>
        </is>
      </c>
    </row>
    <row r="52">
      <c r="B52" s="18" t="inlineStr">
        <is>
          <t>Kelas 10 IPA</t>
        </is>
      </c>
      <c r="C52" s="18" t="n">
        <v>250000000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80000000</v>
      </c>
      <c r="E53" s="26" t="n"/>
      <c r="F53" s="27">
        <f>IF(ISBLANK(E53), "⏳ Ketik rumus di sel kuning E53", IF(E53=G53, "✅ BENAR! LUAR BIASA!", "❌ Belum Tepat, Cek Kunci"))</f>
        <v/>
      </c>
      <c r="G53" s="28">
        <f>DB(C52, 5000000, 5, 1)</f>
        <v/>
      </c>
      <c r="H53" s="29" t="inlineStr">
        <is>
          <t>Ketik: =DB(C52, 5000000, 5, 1)</t>
        </is>
      </c>
    </row>
    <row r="54">
      <c r="B54" s="18" t="inlineStr">
        <is>
          <t>Kelas 12 IPA</t>
        </is>
      </c>
      <c r="C54" s="18" t="n">
        <v>120000000</v>
      </c>
    </row>
    <row r="55">
      <c r="B55" s="18" t="inlineStr">
        <is>
          <t>Kelas Unggulan</t>
        </is>
      </c>
      <c r="C55" s="18" t="n">
        <v>150000000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#010 — RUMUS EXCEL: EFFECT   |   Kategori: 6. Keuangan &amp; Investasi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(EFFECT)</t>
        </is>
      </c>
    </row>
    <row r="5" ht="21" customHeight="1">
      <c r="B5" s="12" t="inlineStr">
        <is>
          <t>Nama Rumus Excel</t>
        </is>
      </c>
      <c r="C5" s="13">
        <f>EFFECT(...)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EFFECT(bunga_nominal_tahunan, frekuensi_majemuk_per_tahun)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Menghitung suku bunga efektif tahunan yang sebenarnya jika bunga dimajemukkan tiap bulan/kuartal.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EFFECT)</t>
        </is>
      </c>
    </row>
    <row r="10">
      <c r="B10" s="16" t="inlineStr">
        <is>
          <t>Jenis Pinjaman</t>
        </is>
      </c>
      <c r="C10" s="16" t="inlineStr">
        <is>
          <t>Bunga Nominal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0.12</v>
      </c>
      <c r="E11" s="19" t="inlineStr">
        <is>
          <t>Kasus Contoh:</t>
        </is>
      </c>
      <c r="F11" s="20" t="inlineStr">
        <is>
          <t>Hitung bunga efektif tahunan dari bunga nominal C11 yang dimajemukkan 12 kali setahun memakai EFFECT!</t>
        </is>
      </c>
    </row>
    <row r="12">
      <c r="B12" s="18" t="inlineStr">
        <is>
          <t>Cabang Bandung</t>
        </is>
      </c>
      <c r="C12" s="18" t="n">
        <v>0.1</v>
      </c>
      <c r="E12" s="19" t="inlineStr">
        <is>
          <t>Rumus yang Diketik:</t>
        </is>
      </c>
      <c r="F12" s="21" t="inlineStr">
        <is>
          <t>'=EFFECT(C11, 12)</t>
        </is>
      </c>
    </row>
    <row r="13">
      <c r="B13" s="18" t="inlineStr">
        <is>
          <t>Cabang Surabaya</t>
        </is>
      </c>
      <c r="C13" s="18" t="n">
        <v>0.08</v>
      </c>
      <c r="E13" s="19" t="inlineStr">
        <is>
          <t>Hasil Otomatis Excel:</t>
        </is>
      </c>
      <c r="F13" s="22">
        <f>EFFECT(C11, 12)</f>
        <v/>
      </c>
    </row>
    <row r="14">
      <c r="B14" s="18" t="inlineStr">
        <is>
          <t>Cabang Medan</t>
        </is>
      </c>
      <c r="C14" s="18" t="n">
        <v>0.15</v>
      </c>
    </row>
    <row r="16" ht="26" customHeight="1">
      <c r="B16" s="23" t="inlineStr">
        <is>
          <t>3️⃣ 5 PERSOALAN DUNIA NYATA (KETIK RUMUS EFFECT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Jenis Pinjaman</t>
        </is>
      </c>
      <c r="C19" s="12" t="inlineStr">
        <is>
          <t>Bunga Nominal</t>
        </is>
      </c>
      <c r="E19" s="25" t="inlineStr">
        <is>
          <t>Persoalan #1: Hitung bunga efektif tahunan dari bunga nominal C20 yang dimajemukkan 12 kali setahun memakai EFFECT!</t>
        </is>
      </c>
    </row>
    <row r="20">
      <c r="B20" s="18" t="inlineStr">
        <is>
          <t>Cabang Jakarta</t>
        </is>
      </c>
      <c r="C20" s="18" t="n">
        <v>0.12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0.1</v>
      </c>
      <c r="E21" s="26" t="n"/>
      <c r="F21" s="27">
        <f>IF(ISBLANK(E21), "⏳ Ketik rumus di sel kuning E21", IF(E21=G21, "✅ BENAR! LUAR BIASA!", "❌ Belum Tepat, Cek Kunci"))</f>
        <v/>
      </c>
      <c r="G21" s="28">
        <f>EFFECT(C20, 12)</f>
        <v/>
      </c>
      <c r="H21" s="29" t="inlineStr">
        <is>
          <t>Ketik: =EFFECT(C20, 12)</t>
        </is>
      </c>
    </row>
    <row r="22">
      <c r="B22" s="18" t="inlineStr">
        <is>
          <t>Cabang Surabaya</t>
        </is>
      </c>
      <c r="C22" s="18" t="n">
        <v>0.08</v>
      </c>
    </row>
    <row r="23">
      <c r="B23" s="18" t="inlineStr">
        <is>
          <t>Cabang Medan</t>
        </is>
      </c>
      <c r="C23" s="18" t="n">
        <v>0.15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Jenis Pinjaman</t>
        </is>
      </c>
      <c r="C27" s="12" t="inlineStr">
        <is>
          <t>Bunga Nominal</t>
        </is>
      </c>
      <c r="E27" s="25" t="inlineStr">
        <is>
          <t>Persoalan #2: Hitung bunga efektif tahunan dari bunga nominal C28 yang dimajemukkan 12 kali setahun memakai EFFECT!</t>
        </is>
      </c>
    </row>
    <row r="28">
      <c r="B28" s="18" t="inlineStr">
        <is>
          <t>Budi Santoso</t>
        </is>
      </c>
      <c r="C28" s="18" t="n">
        <v>0.12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0.1</v>
      </c>
      <c r="E29" s="26" t="n"/>
      <c r="F29" s="27">
        <f>IF(ISBLANK(E29), "⏳ Ketik rumus di sel kuning E29", IF(E29=G29, "✅ BENAR! LUAR BIASA!", "❌ Belum Tepat, Cek Kunci"))</f>
        <v/>
      </c>
      <c r="G29" s="28">
        <f>EFFECT(C28, 12)</f>
        <v/>
      </c>
      <c r="H29" s="29" t="inlineStr">
        <is>
          <t>Ketik: =EFFECT(C28, 12)</t>
        </is>
      </c>
    </row>
    <row r="30">
      <c r="B30" s="18" t="inlineStr">
        <is>
          <t>Andi Pratama</t>
        </is>
      </c>
      <c r="C30" s="18" t="n">
        <v>0.08</v>
      </c>
    </row>
    <row r="31">
      <c r="B31" s="18" t="inlineStr">
        <is>
          <t>Rina Wijaya</t>
        </is>
      </c>
      <c r="C31" s="18" t="n">
        <v>0.15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Jenis Pinjaman</t>
        </is>
      </c>
      <c r="C35" s="12" t="inlineStr">
        <is>
          <t>Bunga Nominal</t>
        </is>
      </c>
      <c r="E35" s="25" t="inlineStr">
        <is>
          <t>Persoalan #3: Hitung bunga efektif tahunan dari bunga nominal C36 yang dimajemukkan 12 kali setahun memakai EFFECT!</t>
        </is>
      </c>
    </row>
    <row r="36">
      <c r="B36" s="18" t="inlineStr">
        <is>
          <t>Gudang Blok A</t>
        </is>
      </c>
      <c r="C36" s="18" t="n">
        <v>0.12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0.1</v>
      </c>
      <c r="E37" s="26" t="n"/>
      <c r="F37" s="27">
        <f>IF(ISBLANK(E37), "⏳ Ketik rumus di sel kuning E37", IF(E37=G37, "✅ BENAR! LUAR BIASA!", "❌ Belum Tepat, Cek Kunci"))</f>
        <v/>
      </c>
      <c r="G37" s="28">
        <f>EFFECT(C36, 12)</f>
        <v/>
      </c>
      <c r="H37" s="29" t="inlineStr">
        <is>
          <t>Ketik: =EFFECT(C36, 12)</t>
        </is>
      </c>
    </row>
    <row r="38">
      <c r="B38" s="18" t="inlineStr">
        <is>
          <t>Gudang Blok C</t>
        </is>
      </c>
      <c r="C38" s="18" t="n">
        <v>0.08</v>
      </c>
    </row>
    <row r="39">
      <c r="B39" s="18" t="inlineStr">
        <is>
          <t>Gudang Blok D</t>
        </is>
      </c>
      <c r="C39" s="18" t="n">
        <v>0.15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Jenis Pinjaman</t>
        </is>
      </c>
      <c r="C43" s="12" t="inlineStr">
        <is>
          <t>Bunga Nominal</t>
        </is>
      </c>
      <c r="E43" s="25" t="inlineStr">
        <is>
          <t>Persoalan #4: Hitung bunga efektif tahunan dari bunga nominal C44 yang dimajemukkan 12 kali setahun memakai EFFECT!</t>
        </is>
      </c>
    </row>
    <row r="44">
      <c r="B44" s="18" t="inlineStr">
        <is>
          <t>Toko Elektronik</t>
        </is>
      </c>
      <c r="C44" s="18" t="n">
        <v>0.12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0.1</v>
      </c>
      <c r="E45" s="26" t="n"/>
      <c r="F45" s="27">
        <f>IF(ISBLANK(E45), "⏳ Ketik rumus di sel kuning E45", IF(E45=G45, "✅ BENAR! LUAR BIASA!", "❌ Belum Tepat, Cek Kunci"))</f>
        <v/>
      </c>
      <c r="G45" s="28">
        <f>EFFECT(C44, 12)</f>
        <v/>
      </c>
      <c r="H45" s="29" t="inlineStr">
        <is>
          <t>Ketik: =EFFECT(C44, 12)</t>
        </is>
      </c>
    </row>
    <row r="46">
      <c r="B46" s="18" t="inlineStr">
        <is>
          <t>Toko Aksesoris</t>
        </is>
      </c>
      <c r="C46" s="18" t="n">
        <v>0.08</v>
      </c>
    </row>
    <row r="47">
      <c r="B47" s="18" t="inlineStr">
        <is>
          <t>Toko Servis</t>
        </is>
      </c>
      <c r="C47" s="18" t="n">
        <v>0.15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Jenis Pinjaman</t>
        </is>
      </c>
      <c r="C51" s="12" t="inlineStr">
        <is>
          <t>Bunga Nominal</t>
        </is>
      </c>
      <c r="E51" s="25" t="inlineStr">
        <is>
          <t>Persoalan #5: Hitung bunga efektif tahunan dari bunga nominal C52 yang dimajemukkan 12 kali setahun memakai EFFECT!</t>
        </is>
      </c>
    </row>
    <row r="52">
      <c r="B52" s="18" t="inlineStr">
        <is>
          <t>Kelas 10 IPA</t>
        </is>
      </c>
      <c r="C52" s="18" t="n">
        <v>0.12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0.1</v>
      </c>
      <c r="E53" s="26" t="n"/>
      <c r="F53" s="27">
        <f>IF(ISBLANK(E53), "⏳ Ketik rumus di sel kuning E53", IF(E53=G53, "✅ BENAR! LUAR BIASA!", "❌ Belum Tepat, Cek Kunci"))</f>
        <v/>
      </c>
      <c r="G53" s="28">
        <f>EFFECT(C52, 12)</f>
        <v/>
      </c>
      <c r="H53" s="29" t="inlineStr">
        <is>
          <t>Ketik: =EFFECT(C52, 12)</t>
        </is>
      </c>
    </row>
    <row r="54">
      <c r="B54" s="18" t="inlineStr">
        <is>
          <t>Kelas 12 IPA</t>
        </is>
      </c>
      <c r="C54" s="18" t="n">
        <v>0.08</v>
      </c>
    </row>
    <row r="55">
      <c r="B55" s="18" t="inlineStr">
        <is>
          <t>Kelas Unggulan</t>
        </is>
      </c>
      <c r="C55" s="18" t="n">
        <v>0.15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#011 — RUMUS EXCEL: ISBLANK   |   Kategori: 7. Informasi &amp; Audit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(ISBLANK)</t>
        </is>
      </c>
    </row>
    <row r="5" ht="21" customHeight="1">
      <c r="B5" s="12" t="inlineStr">
        <is>
          <t>Nama Rumus Excel</t>
        </is>
      </c>
      <c r="C5" s="13">
        <f>ISBLANK(...)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ISBLANK(sel)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Mengecek apakah suatu sel KOSONG melompong (TRUE jika kosong, FALSE jika ada isinya).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ISBLANK)</t>
        </is>
      </c>
    </row>
    <row r="10">
      <c r="B10" s="16" t="inlineStr">
        <is>
          <t>Pos Pemeriksaan</t>
        </is>
      </c>
      <c r="C10" s="16" t="inlineStr">
        <is>
          <t>Isi Sel Uji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Audit sel C11 menggunakan fungsi informasi ISBLANK!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'=ISBLANK(C11)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ISBLANK(C11)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ISBLANK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Pos Pemeriksaan</t>
        </is>
      </c>
      <c r="C19" s="12" t="inlineStr">
        <is>
          <t>Isi Sel Uji</t>
        </is>
      </c>
      <c r="E19" s="25" t="inlineStr">
        <is>
          <t>Persoalan #1: Audit sel C20 menggunakan fungsi informasi ISBLANK!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ISBLANK(C20)</f>
        <v/>
      </c>
      <c r="H21" s="29" t="inlineStr">
        <is>
          <t>Ketik: =ISBLANK(C20)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Pos Pemeriksaan</t>
        </is>
      </c>
      <c r="C27" s="12" t="inlineStr">
        <is>
          <t>Isi Sel Uji</t>
        </is>
      </c>
      <c r="E27" s="25" t="inlineStr">
        <is>
          <t>Persoalan #2: Audit sel C28 menggunakan fungsi informasi ISBLANK!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ISBLANK(C28)</f>
        <v/>
      </c>
      <c r="H29" s="29" t="inlineStr">
        <is>
          <t>Ketik: =ISBLANK(C28)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Pos Pemeriksaan</t>
        </is>
      </c>
      <c r="C35" s="12" t="inlineStr">
        <is>
          <t>Isi Sel Uji</t>
        </is>
      </c>
      <c r="E35" s="25" t="inlineStr">
        <is>
          <t>Persoalan #3: Audit sel C36 menggunakan fungsi informasi ISBLANK!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ISBLANK(C36)</f>
        <v/>
      </c>
      <c r="H37" s="29" t="inlineStr">
        <is>
          <t>Ketik: =ISBLANK(C36)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Pos Pemeriksaan</t>
        </is>
      </c>
      <c r="C43" s="12" t="inlineStr">
        <is>
          <t>Isi Sel Uji</t>
        </is>
      </c>
      <c r="E43" s="25" t="inlineStr">
        <is>
          <t>Persoalan #4: Audit sel C44 menggunakan fungsi informasi ISBLANK!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ISBLANK(C44)</f>
        <v/>
      </c>
      <c r="H45" s="29" t="inlineStr">
        <is>
          <t>Ketik: =ISBLANK(C44)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Pos Pemeriksaan</t>
        </is>
      </c>
      <c r="C51" s="12" t="inlineStr">
        <is>
          <t>Isi Sel Uji</t>
        </is>
      </c>
      <c r="E51" s="25" t="inlineStr">
        <is>
          <t>Persoalan #5: Audit sel C52 menggunakan fungsi informasi ISBLANK!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ISBLANK(C52)</f>
        <v/>
      </c>
      <c r="H53" s="29" t="inlineStr">
        <is>
          <t>Ketik: =ISBLANK(C52)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#012 — RUMUS EXCEL: ISNUMBER   |   Kategori: 7. Informasi &amp; Audit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(ISNUMBER)</t>
        </is>
      </c>
    </row>
    <row r="5" ht="21" customHeight="1">
      <c r="B5" s="12" t="inlineStr">
        <is>
          <t>Nama Rumus Excel</t>
        </is>
      </c>
      <c r="C5" s="13">
        <f>ISNUMBER(...)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ISNUMBER(sel)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Mengecek apakah isi sel benar-benar berupa ANGKA murni.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ISNUMBER)</t>
        </is>
      </c>
    </row>
    <row r="10">
      <c r="B10" s="16" t="inlineStr">
        <is>
          <t>Pos Pemeriksaan</t>
        </is>
      </c>
      <c r="C10" s="16" t="inlineStr">
        <is>
          <t>Isi Sel Uji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Audit sel C11 menggunakan fungsi informasi ISNUMBER!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'=ISNUMBER(C11)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ISNUMBER(C11)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ISNUMBER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Pos Pemeriksaan</t>
        </is>
      </c>
      <c r="C19" s="12" t="inlineStr">
        <is>
          <t>Isi Sel Uji</t>
        </is>
      </c>
      <c r="E19" s="25" t="inlineStr">
        <is>
          <t>Persoalan #1: Audit sel C20 menggunakan fungsi informasi ISNUMBER!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ISNUMBER(C20)</f>
        <v/>
      </c>
      <c r="H21" s="29" t="inlineStr">
        <is>
          <t>Ketik: =ISNUMBER(C20)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Pos Pemeriksaan</t>
        </is>
      </c>
      <c r="C27" s="12" t="inlineStr">
        <is>
          <t>Isi Sel Uji</t>
        </is>
      </c>
      <c r="E27" s="25" t="inlineStr">
        <is>
          <t>Persoalan #2: Audit sel C28 menggunakan fungsi informasi ISNUMBER!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ISNUMBER(C28)</f>
        <v/>
      </c>
      <c r="H29" s="29" t="inlineStr">
        <is>
          <t>Ketik: =ISNUMBER(C28)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Pos Pemeriksaan</t>
        </is>
      </c>
      <c r="C35" s="12" t="inlineStr">
        <is>
          <t>Isi Sel Uji</t>
        </is>
      </c>
      <c r="E35" s="25" t="inlineStr">
        <is>
          <t>Persoalan #3: Audit sel C36 menggunakan fungsi informasi ISNUMBER!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ISNUMBER(C36)</f>
        <v/>
      </c>
      <c r="H37" s="29" t="inlineStr">
        <is>
          <t>Ketik: =ISNUMBER(C36)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Pos Pemeriksaan</t>
        </is>
      </c>
      <c r="C43" s="12" t="inlineStr">
        <is>
          <t>Isi Sel Uji</t>
        </is>
      </c>
      <c r="E43" s="25" t="inlineStr">
        <is>
          <t>Persoalan #4: Audit sel C44 menggunakan fungsi informasi ISNUMBER!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ISNUMBER(C44)</f>
        <v/>
      </c>
      <c r="H45" s="29" t="inlineStr">
        <is>
          <t>Ketik: =ISNUMBER(C44)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Pos Pemeriksaan</t>
        </is>
      </c>
      <c r="C51" s="12" t="inlineStr">
        <is>
          <t>Isi Sel Uji</t>
        </is>
      </c>
      <c r="E51" s="25" t="inlineStr">
        <is>
          <t>Persoalan #5: Audit sel C52 menggunakan fungsi informasi ISNUMBER!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ISNUMBER(C52)</f>
        <v/>
      </c>
      <c r="H53" s="29" t="inlineStr">
        <is>
          <t>Ketik: =ISNUMBER(C52)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#013 — RUMUS EXCEL: ISTEXT   |   Kategori: 7. Informasi &amp; Audit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(ISTEXT)</t>
        </is>
      </c>
    </row>
    <row r="5" ht="21" customHeight="1">
      <c r="B5" s="12" t="inlineStr">
        <is>
          <t>Nama Rumus Excel</t>
        </is>
      </c>
      <c r="C5" s="13">
        <f>ISTEXT(...)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ISTEXT(sel)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Mengecek apakah isi sel berupa TEKS / huruf.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ISTEXT)</t>
        </is>
      </c>
    </row>
    <row r="10">
      <c r="B10" s="16" t="inlineStr">
        <is>
          <t>Pos Pemeriksaan</t>
        </is>
      </c>
      <c r="C10" s="16" t="inlineStr">
        <is>
          <t>Isi Sel Uji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Audit sel C11 menggunakan fungsi informasi ISTEXT!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'=ISTEXT(C11)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ISTEXT(C11)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ISTEXT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Pos Pemeriksaan</t>
        </is>
      </c>
      <c r="C19" s="12" t="inlineStr">
        <is>
          <t>Isi Sel Uji</t>
        </is>
      </c>
      <c r="E19" s="25" t="inlineStr">
        <is>
          <t>Persoalan #1: Audit sel C20 menggunakan fungsi informasi ISTEXT!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ISTEXT(C20)</f>
        <v/>
      </c>
      <c r="H21" s="29" t="inlineStr">
        <is>
          <t>Ketik: =ISTEXT(C20)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Pos Pemeriksaan</t>
        </is>
      </c>
      <c r="C27" s="12" t="inlineStr">
        <is>
          <t>Isi Sel Uji</t>
        </is>
      </c>
      <c r="E27" s="25" t="inlineStr">
        <is>
          <t>Persoalan #2: Audit sel C28 menggunakan fungsi informasi ISTEXT!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ISTEXT(C28)</f>
        <v/>
      </c>
      <c r="H29" s="29" t="inlineStr">
        <is>
          <t>Ketik: =ISTEXT(C28)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Pos Pemeriksaan</t>
        </is>
      </c>
      <c r="C35" s="12" t="inlineStr">
        <is>
          <t>Isi Sel Uji</t>
        </is>
      </c>
      <c r="E35" s="25" t="inlineStr">
        <is>
          <t>Persoalan #3: Audit sel C36 menggunakan fungsi informasi ISTEXT!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ISTEXT(C36)</f>
        <v/>
      </c>
      <c r="H37" s="29" t="inlineStr">
        <is>
          <t>Ketik: =ISTEXT(C36)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Pos Pemeriksaan</t>
        </is>
      </c>
      <c r="C43" s="12" t="inlineStr">
        <is>
          <t>Isi Sel Uji</t>
        </is>
      </c>
      <c r="E43" s="25" t="inlineStr">
        <is>
          <t>Persoalan #4: Audit sel C44 menggunakan fungsi informasi ISTEXT!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ISTEXT(C44)</f>
        <v/>
      </c>
      <c r="H45" s="29" t="inlineStr">
        <is>
          <t>Ketik: =ISTEXT(C44)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Pos Pemeriksaan</t>
        </is>
      </c>
      <c r="C51" s="12" t="inlineStr">
        <is>
          <t>Isi Sel Uji</t>
        </is>
      </c>
      <c r="E51" s="25" t="inlineStr">
        <is>
          <t>Persoalan #5: Audit sel C52 menggunakan fungsi informasi ISTEXT!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ISTEXT(C52)</f>
        <v/>
      </c>
      <c r="H53" s="29" t="inlineStr">
        <is>
          <t>Ketik: =ISTEXT(C52)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#014 — RUMUS EXCEL: ISERROR   |   Kategori: 7. Informasi &amp; Audit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(ISERROR)</t>
        </is>
      </c>
    </row>
    <row r="5" ht="21" customHeight="1">
      <c r="B5" s="12" t="inlineStr">
        <is>
          <t>Nama Rumus Excel</t>
        </is>
      </c>
      <c r="C5" s="13">
        <f>ISERROR(...)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ISERROR(sel)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Mendeteksi apakah suatu sel mengalami ERROR apa pun.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ISERROR)</t>
        </is>
      </c>
    </row>
    <row r="10">
      <c r="B10" s="16" t="inlineStr">
        <is>
          <t>Pos Pemeriksaan</t>
        </is>
      </c>
      <c r="C10" s="16" t="inlineStr">
        <is>
          <t>Isi Sel Uji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Audit sel C11 menggunakan fungsi informasi ISERROR!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'=ISERROR(C11)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ISERROR(C11)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ISERROR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Pos Pemeriksaan</t>
        </is>
      </c>
      <c r="C19" s="12" t="inlineStr">
        <is>
          <t>Isi Sel Uji</t>
        </is>
      </c>
      <c r="E19" s="25" t="inlineStr">
        <is>
          <t>Persoalan #1: Audit sel C20 menggunakan fungsi informasi ISERROR!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ISERROR(C20)</f>
        <v/>
      </c>
      <c r="H21" s="29" t="inlineStr">
        <is>
          <t>Ketik: =ISERROR(C20)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Pos Pemeriksaan</t>
        </is>
      </c>
      <c r="C27" s="12" t="inlineStr">
        <is>
          <t>Isi Sel Uji</t>
        </is>
      </c>
      <c r="E27" s="25" t="inlineStr">
        <is>
          <t>Persoalan #2: Audit sel C28 menggunakan fungsi informasi ISERROR!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ISERROR(C28)</f>
        <v/>
      </c>
      <c r="H29" s="29" t="inlineStr">
        <is>
          <t>Ketik: =ISERROR(C28)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Pos Pemeriksaan</t>
        </is>
      </c>
      <c r="C35" s="12" t="inlineStr">
        <is>
          <t>Isi Sel Uji</t>
        </is>
      </c>
      <c r="E35" s="25" t="inlineStr">
        <is>
          <t>Persoalan #3: Audit sel C36 menggunakan fungsi informasi ISERROR!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ISERROR(C36)</f>
        <v/>
      </c>
      <c r="H37" s="29" t="inlineStr">
        <is>
          <t>Ketik: =ISERROR(C36)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Pos Pemeriksaan</t>
        </is>
      </c>
      <c r="C43" s="12" t="inlineStr">
        <is>
          <t>Isi Sel Uji</t>
        </is>
      </c>
      <c r="E43" s="25" t="inlineStr">
        <is>
          <t>Persoalan #4: Audit sel C44 menggunakan fungsi informasi ISERROR!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ISERROR(C44)</f>
        <v/>
      </c>
      <c r="H45" s="29" t="inlineStr">
        <is>
          <t>Ketik: =ISERROR(C44)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Pos Pemeriksaan</t>
        </is>
      </c>
      <c r="C51" s="12" t="inlineStr">
        <is>
          <t>Isi Sel Uji</t>
        </is>
      </c>
      <c r="E51" s="25" t="inlineStr">
        <is>
          <t>Persoalan #5: Audit sel C52 menggunakan fungsi informasi ISERROR!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ISERROR(C52)</f>
        <v/>
      </c>
      <c r="H53" s="29" t="inlineStr">
        <is>
          <t>Ketik: =ISERROR(C52)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#015 — RUMUS EXCEL: ISEVEN   |   Kategori: 7. Informasi &amp; Audit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(ISEVEN)</t>
        </is>
      </c>
    </row>
    <row r="5" ht="21" customHeight="1">
      <c r="B5" s="12" t="inlineStr">
        <is>
          <t>Nama Rumus Excel</t>
        </is>
      </c>
      <c r="C5" s="13">
        <f>ISEVEN(...)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ISEVEN(angka)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Mengecek apakah suatu angka merupakan bilangan GENAP (Misal: aturan plat nomor genap-ganjil).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ISEVEN)</t>
        </is>
      </c>
    </row>
    <row r="10">
      <c r="B10" s="16" t="inlineStr">
        <is>
          <t>Parameter Uji</t>
        </is>
      </c>
      <c r="C10" s="16" t="inlineStr">
        <is>
          <t>Nilai Input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16</v>
      </c>
      <c r="E11" s="19" t="inlineStr">
        <is>
          <t>Kasus Contoh:</t>
        </is>
      </c>
      <c r="F11" s="20" t="inlineStr">
        <is>
          <t>Terapkan rumus ISEVEN pada nilai di sel C11 (16)!</t>
        </is>
      </c>
    </row>
    <row r="12">
      <c r="B12" s="18" t="inlineStr">
        <is>
          <t>Cabang Bandung</t>
        </is>
      </c>
      <c r="C12" s="18" t="n">
        <v>64</v>
      </c>
      <c r="E12" s="19" t="inlineStr">
        <is>
          <t>Rumus yang Diketik:</t>
        </is>
      </c>
      <c r="F12" s="21" t="inlineStr">
        <is>
          <t>'=ISEVEN(C11)</t>
        </is>
      </c>
    </row>
    <row r="13">
      <c r="B13" s="18" t="inlineStr">
        <is>
          <t>Cabang Surabaya</t>
        </is>
      </c>
      <c r="C13" s="18" t="n">
        <v>81</v>
      </c>
      <c r="E13" s="19" t="inlineStr">
        <is>
          <t>Hasil Otomatis Excel:</t>
        </is>
      </c>
      <c r="F13" s="22">
        <f>ISEVEN(C11)</f>
        <v/>
      </c>
    </row>
    <row r="14">
      <c r="B14" s="18" t="inlineStr">
        <is>
          <t>Cabang Medan</t>
        </is>
      </c>
      <c r="C14" s="18" t="n">
        <v>100</v>
      </c>
    </row>
    <row r="16" ht="26" customHeight="1">
      <c r="B16" s="23" t="inlineStr">
        <is>
          <t>3️⃣ 5 PERSOALAN DUNIA NYATA (KETIK RUMUS ISEVEN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Parameter Uji</t>
        </is>
      </c>
      <c r="C19" s="12" t="inlineStr">
        <is>
          <t>Nilai Input</t>
        </is>
      </c>
      <c r="E19" s="25" t="inlineStr">
        <is>
          <t>Persoalan #1: Terapkan rumus ISEVEN pada nilai di sel C20 (16)!</t>
        </is>
      </c>
    </row>
    <row r="20">
      <c r="B20" s="18" t="inlineStr">
        <is>
          <t>Cabang Jakarta</t>
        </is>
      </c>
      <c r="C20" s="18" t="n">
        <v>16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64</v>
      </c>
      <c r="E21" s="26" t="n"/>
      <c r="F21" s="27">
        <f>IF(ISBLANK(E21), "⏳ Ketik rumus di sel kuning E21", IF(E21=G21, "✅ BENAR! LUAR BIASA!", "❌ Belum Tepat, Cek Kunci"))</f>
        <v/>
      </c>
      <c r="G21" s="28">
        <f>ISEVEN(C20)</f>
        <v/>
      </c>
      <c r="H21" s="29" t="inlineStr">
        <is>
          <t>Ketik: =ISEVEN(C20)</t>
        </is>
      </c>
    </row>
    <row r="22">
      <c r="B22" s="18" t="inlineStr">
        <is>
          <t>Cabang Surabaya</t>
        </is>
      </c>
      <c r="C22" s="18" t="n">
        <v>81</v>
      </c>
    </row>
    <row r="23">
      <c r="B23" s="18" t="inlineStr">
        <is>
          <t>Cabang Medan</t>
        </is>
      </c>
      <c r="C23" s="18" t="n">
        <v>100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Parameter Uji</t>
        </is>
      </c>
      <c r="C27" s="12" t="inlineStr">
        <is>
          <t>Nilai Input</t>
        </is>
      </c>
      <c r="E27" s="25" t="inlineStr">
        <is>
          <t>Persoalan #2: Terapkan rumus ISEVEN pada nilai di sel C28 (25)!</t>
        </is>
      </c>
    </row>
    <row r="28">
      <c r="B28" s="18" t="inlineStr">
        <is>
          <t>Budi Santoso</t>
        </is>
      </c>
      <c r="C28" s="18" t="n">
        <v>25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64</v>
      </c>
      <c r="E29" s="26" t="n"/>
      <c r="F29" s="27">
        <f>IF(ISBLANK(E29), "⏳ Ketik rumus di sel kuning E29", IF(E29=G29, "✅ BENAR! LUAR BIASA!", "❌ Belum Tepat, Cek Kunci"))</f>
        <v/>
      </c>
      <c r="G29" s="28">
        <f>ISEVEN(C28)</f>
        <v/>
      </c>
      <c r="H29" s="29" t="inlineStr">
        <is>
          <t>Ketik: =ISEVEN(C28)</t>
        </is>
      </c>
    </row>
    <row r="30">
      <c r="B30" s="18" t="inlineStr">
        <is>
          <t>Andi Pratama</t>
        </is>
      </c>
      <c r="C30" s="18" t="n">
        <v>81</v>
      </c>
    </row>
    <row r="31">
      <c r="B31" s="18" t="inlineStr">
        <is>
          <t>Rina Wijaya</t>
        </is>
      </c>
      <c r="C31" s="18" t="n">
        <v>100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Parameter Uji</t>
        </is>
      </c>
      <c r="C35" s="12" t="inlineStr">
        <is>
          <t>Nilai Input</t>
        </is>
      </c>
      <c r="E35" s="25" t="inlineStr">
        <is>
          <t>Persoalan #3: Terapkan rumus ISEVEN pada nilai di sel C36 (36)!</t>
        </is>
      </c>
    </row>
    <row r="36">
      <c r="B36" s="18" t="inlineStr">
        <is>
          <t>Gudang Blok A</t>
        </is>
      </c>
      <c r="C36" s="18" t="n">
        <v>36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64</v>
      </c>
      <c r="E37" s="26" t="n"/>
      <c r="F37" s="27">
        <f>IF(ISBLANK(E37), "⏳ Ketik rumus di sel kuning E37", IF(E37=G37, "✅ BENAR! LUAR BIASA!", "❌ Belum Tepat, Cek Kunci"))</f>
        <v/>
      </c>
      <c r="G37" s="28">
        <f>ISEVEN(C36)</f>
        <v/>
      </c>
      <c r="H37" s="29" t="inlineStr">
        <is>
          <t>Ketik: =ISEVEN(C36)</t>
        </is>
      </c>
    </row>
    <row r="38">
      <c r="B38" s="18" t="inlineStr">
        <is>
          <t>Gudang Blok C</t>
        </is>
      </c>
      <c r="C38" s="18" t="n">
        <v>81</v>
      </c>
    </row>
    <row r="39">
      <c r="B39" s="18" t="inlineStr">
        <is>
          <t>Gudang Blok D</t>
        </is>
      </c>
      <c r="C39" s="18" t="n">
        <v>100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Parameter Uji</t>
        </is>
      </c>
      <c r="C43" s="12" t="inlineStr">
        <is>
          <t>Nilai Input</t>
        </is>
      </c>
      <c r="E43" s="25" t="inlineStr">
        <is>
          <t>Persoalan #4: Terapkan rumus ISEVEN pada nilai di sel C44 (49)!</t>
        </is>
      </c>
    </row>
    <row r="44">
      <c r="B44" s="18" t="inlineStr">
        <is>
          <t>Toko Elektronik</t>
        </is>
      </c>
      <c r="C44" s="18" t="n">
        <v>49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64</v>
      </c>
      <c r="E45" s="26" t="n"/>
      <c r="F45" s="27">
        <f>IF(ISBLANK(E45), "⏳ Ketik rumus di sel kuning E45", IF(E45=G45, "✅ BENAR! LUAR BIASA!", "❌ Belum Tepat, Cek Kunci"))</f>
        <v/>
      </c>
      <c r="G45" s="28">
        <f>ISEVEN(C44)</f>
        <v/>
      </c>
      <c r="H45" s="29" t="inlineStr">
        <is>
          <t>Ketik: =ISEVEN(C44)</t>
        </is>
      </c>
    </row>
    <row r="46">
      <c r="B46" s="18" t="inlineStr">
        <is>
          <t>Toko Aksesoris</t>
        </is>
      </c>
      <c r="C46" s="18" t="n">
        <v>81</v>
      </c>
    </row>
    <row r="47">
      <c r="B47" s="18" t="inlineStr">
        <is>
          <t>Toko Servis</t>
        </is>
      </c>
      <c r="C47" s="18" t="n">
        <v>100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Parameter Uji</t>
        </is>
      </c>
      <c r="C51" s="12" t="inlineStr">
        <is>
          <t>Nilai Input</t>
        </is>
      </c>
      <c r="E51" s="25" t="inlineStr">
        <is>
          <t>Persoalan #5: Terapkan rumus ISEVEN pada nilai di sel C52 (64)!</t>
        </is>
      </c>
    </row>
    <row r="52">
      <c r="B52" s="18" t="inlineStr">
        <is>
          <t>Kelas 10 IPA</t>
        </is>
      </c>
      <c r="C52" s="18" t="n">
        <v>64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64</v>
      </c>
      <c r="E53" s="26" t="n"/>
      <c r="F53" s="27">
        <f>IF(ISBLANK(E53), "⏳ Ketik rumus di sel kuning E53", IF(E53=G53, "✅ BENAR! LUAR BIASA!", "❌ Belum Tepat, Cek Kunci"))</f>
        <v/>
      </c>
      <c r="G53" s="28">
        <f>ISEVEN(C52)</f>
        <v/>
      </c>
      <c r="H53" s="29" t="inlineStr">
        <is>
          <t>Ketik: =ISEVEN(C52)</t>
        </is>
      </c>
    </row>
    <row r="54">
      <c r="B54" s="18" t="inlineStr">
        <is>
          <t>Kelas 12 IPA</t>
        </is>
      </c>
      <c r="C54" s="18" t="n">
        <v>81</v>
      </c>
    </row>
    <row r="55">
      <c r="B55" s="18" t="inlineStr">
        <is>
          <t>Kelas Unggulan</t>
        </is>
      </c>
      <c r="C55" s="18" t="n">
        <v>100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#016 — RUMUS EXCEL: ISODD   |   Kategori: 7. Informasi &amp; Audit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(ISODD)</t>
        </is>
      </c>
    </row>
    <row r="5" ht="21" customHeight="1">
      <c r="B5" s="12" t="inlineStr">
        <is>
          <t>Nama Rumus Excel</t>
        </is>
      </c>
      <c r="C5" s="13">
        <f>ISODD(...)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ISODD(angka)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Mengecek apakah suatu angka merupakan bilangan GANJIL.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ISODD)</t>
        </is>
      </c>
    </row>
    <row r="10">
      <c r="B10" s="16" t="inlineStr">
        <is>
          <t>Parameter Uji</t>
        </is>
      </c>
      <c r="C10" s="16" t="inlineStr">
        <is>
          <t>Nilai Input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16</v>
      </c>
      <c r="E11" s="19" t="inlineStr">
        <is>
          <t>Kasus Contoh:</t>
        </is>
      </c>
      <c r="F11" s="20" t="inlineStr">
        <is>
          <t>Terapkan rumus ISODD pada nilai di sel C11 (16)!</t>
        </is>
      </c>
    </row>
    <row r="12">
      <c r="B12" s="18" t="inlineStr">
        <is>
          <t>Cabang Bandung</t>
        </is>
      </c>
      <c r="C12" s="18" t="n">
        <v>64</v>
      </c>
      <c r="E12" s="19" t="inlineStr">
        <is>
          <t>Rumus yang Diketik:</t>
        </is>
      </c>
      <c r="F12" s="21" t="inlineStr">
        <is>
          <t>'=ISODD(C11)</t>
        </is>
      </c>
    </row>
    <row r="13">
      <c r="B13" s="18" t="inlineStr">
        <is>
          <t>Cabang Surabaya</t>
        </is>
      </c>
      <c r="C13" s="18" t="n">
        <v>81</v>
      </c>
      <c r="E13" s="19" t="inlineStr">
        <is>
          <t>Hasil Otomatis Excel:</t>
        </is>
      </c>
      <c r="F13" s="22">
        <f>ISODD(C11)</f>
        <v/>
      </c>
    </row>
    <row r="14">
      <c r="B14" s="18" t="inlineStr">
        <is>
          <t>Cabang Medan</t>
        </is>
      </c>
      <c r="C14" s="18" t="n">
        <v>100</v>
      </c>
    </row>
    <row r="16" ht="26" customHeight="1">
      <c r="B16" s="23" t="inlineStr">
        <is>
          <t>3️⃣ 5 PERSOALAN DUNIA NYATA (KETIK RUMUS ISODD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Parameter Uji</t>
        </is>
      </c>
      <c r="C19" s="12" t="inlineStr">
        <is>
          <t>Nilai Input</t>
        </is>
      </c>
      <c r="E19" s="25" t="inlineStr">
        <is>
          <t>Persoalan #1: Terapkan rumus ISODD pada nilai di sel C20 (16)!</t>
        </is>
      </c>
    </row>
    <row r="20">
      <c r="B20" s="18" t="inlineStr">
        <is>
          <t>Cabang Jakarta</t>
        </is>
      </c>
      <c r="C20" s="18" t="n">
        <v>16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64</v>
      </c>
      <c r="E21" s="26" t="n"/>
      <c r="F21" s="27">
        <f>IF(ISBLANK(E21), "⏳ Ketik rumus di sel kuning E21", IF(E21=G21, "✅ BENAR! LUAR BIASA!", "❌ Belum Tepat, Cek Kunci"))</f>
        <v/>
      </c>
      <c r="G21" s="28">
        <f>ISODD(C20)</f>
        <v/>
      </c>
      <c r="H21" s="29" t="inlineStr">
        <is>
          <t>Ketik: =ISODD(C20)</t>
        </is>
      </c>
    </row>
    <row r="22">
      <c r="B22" s="18" t="inlineStr">
        <is>
          <t>Cabang Surabaya</t>
        </is>
      </c>
      <c r="C22" s="18" t="n">
        <v>81</v>
      </c>
    </row>
    <row r="23">
      <c r="B23" s="18" t="inlineStr">
        <is>
          <t>Cabang Medan</t>
        </is>
      </c>
      <c r="C23" s="18" t="n">
        <v>100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Parameter Uji</t>
        </is>
      </c>
      <c r="C27" s="12" t="inlineStr">
        <is>
          <t>Nilai Input</t>
        </is>
      </c>
      <c r="E27" s="25" t="inlineStr">
        <is>
          <t>Persoalan #2: Terapkan rumus ISODD pada nilai di sel C28 (25)!</t>
        </is>
      </c>
    </row>
    <row r="28">
      <c r="B28" s="18" t="inlineStr">
        <is>
          <t>Budi Santoso</t>
        </is>
      </c>
      <c r="C28" s="18" t="n">
        <v>25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64</v>
      </c>
      <c r="E29" s="26" t="n"/>
      <c r="F29" s="27">
        <f>IF(ISBLANK(E29), "⏳ Ketik rumus di sel kuning E29", IF(E29=G29, "✅ BENAR! LUAR BIASA!", "❌ Belum Tepat, Cek Kunci"))</f>
        <v/>
      </c>
      <c r="G29" s="28">
        <f>ISODD(C28)</f>
        <v/>
      </c>
      <c r="H29" s="29" t="inlineStr">
        <is>
          <t>Ketik: =ISODD(C28)</t>
        </is>
      </c>
    </row>
    <row r="30">
      <c r="B30" s="18" t="inlineStr">
        <is>
          <t>Andi Pratama</t>
        </is>
      </c>
      <c r="C30" s="18" t="n">
        <v>81</v>
      </c>
    </row>
    <row r="31">
      <c r="B31" s="18" t="inlineStr">
        <is>
          <t>Rina Wijaya</t>
        </is>
      </c>
      <c r="C31" s="18" t="n">
        <v>100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Parameter Uji</t>
        </is>
      </c>
      <c r="C35" s="12" t="inlineStr">
        <is>
          <t>Nilai Input</t>
        </is>
      </c>
      <c r="E35" s="25" t="inlineStr">
        <is>
          <t>Persoalan #3: Terapkan rumus ISODD pada nilai di sel C36 (36)!</t>
        </is>
      </c>
    </row>
    <row r="36">
      <c r="B36" s="18" t="inlineStr">
        <is>
          <t>Gudang Blok A</t>
        </is>
      </c>
      <c r="C36" s="18" t="n">
        <v>36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64</v>
      </c>
      <c r="E37" s="26" t="n"/>
      <c r="F37" s="27">
        <f>IF(ISBLANK(E37), "⏳ Ketik rumus di sel kuning E37", IF(E37=G37, "✅ BENAR! LUAR BIASA!", "❌ Belum Tepat, Cek Kunci"))</f>
        <v/>
      </c>
      <c r="G37" s="28">
        <f>ISODD(C36)</f>
        <v/>
      </c>
      <c r="H37" s="29" t="inlineStr">
        <is>
          <t>Ketik: =ISODD(C36)</t>
        </is>
      </c>
    </row>
    <row r="38">
      <c r="B38" s="18" t="inlineStr">
        <is>
          <t>Gudang Blok C</t>
        </is>
      </c>
      <c r="C38" s="18" t="n">
        <v>81</v>
      </c>
    </row>
    <row r="39">
      <c r="B39" s="18" t="inlineStr">
        <is>
          <t>Gudang Blok D</t>
        </is>
      </c>
      <c r="C39" s="18" t="n">
        <v>100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Parameter Uji</t>
        </is>
      </c>
      <c r="C43" s="12" t="inlineStr">
        <is>
          <t>Nilai Input</t>
        </is>
      </c>
      <c r="E43" s="25" t="inlineStr">
        <is>
          <t>Persoalan #4: Terapkan rumus ISODD pada nilai di sel C44 (49)!</t>
        </is>
      </c>
    </row>
    <row r="44">
      <c r="B44" s="18" t="inlineStr">
        <is>
          <t>Toko Elektronik</t>
        </is>
      </c>
      <c r="C44" s="18" t="n">
        <v>49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64</v>
      </c>
      <c r="E45" s="26" t="n"/>
      <c r="F45" s="27">
        <f>IF(ISBLANK(E45), "⏳ Ketik rumus di sel kuning E45", IF(E45=G45, "✅ BENAR! LUAR BIASA!", "❌ Belum Tepat, Cek Kunci"))</f>
        <v/>
      </c>
      <c r="G45" s="28">
        <f>ISODD(C44)</f>
        <v/>
      </c>
      <c r="H45" s="29" t="inlineStr">
        <is>
          <t>Ketik: =ISODD(C44)</t>
        </is>
      </c>
    </row>
    <row r="46">
      <c r="B46" s="18" t="inlineStr">
        <is>
          <t>Toko Aksesoris</t>
        </is>
      </c>
      <c r="C46" s="18" t="n">
        <v>81</v>
      </c>
    </row>
    <row r="47">
      <c r="B47" s="18" t="inlineStr">
        <is>
          <t>Toko Servis</t>
        </is>
      </c>
      <c r="C47" s="18" t="n">
        <v>100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Parameter Uji</t>
        </is>
      </c>
      <c r="C51" s="12" t="inlineStr">
        <is>
          <t>Nilai Input</t>
        </is>
      </c>
      <c r="E51" s="25" t="inlineStr">
        <is>
          <t>Persoalan #5: Terapkan rumus ISODD pada nilai di sel C52 (64)!</t>
        </is>
      </c>
    </row>
    <row r="52">
      <c r="B52" s="18" t="inlineStr">
        <is>
          <t>Kelas 10 IPA</t>
        </is>
      </c>
      <c r="C52" s="18" t="n">
        <v>64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64</v>
      </c>
      <c r="E53" s="26" t="n"/>
      <c r="F53" s="27">
        <f>IF(ISBLANK(E53), "⏳ Ketik rumus di sel kuning E53", IF(E53=G53, "✅ BENAR! LUAR BIASA!", "❌ Belum Tepat, Cek Kunci"))</f>
        <v/>
      </c>
      <c r="G53" s="28">
        <f>ISODD(C52)</f>
        <v/>
      </c>
      <c r="H53" s="29" t="inlineStr">
        <is>
          <t>Ketik: =ISODD(C52)</t>
        </is>
      </c>
    </row>
    <row r="54">
      <c r="B54" s="18" t="inlineStr">
        <is>
          <t>Kelas 12 IPA</t>
        </is>
      </c>
      <c r="C54" s="18" t="n">
        <v>81</v>
      </c>
    </row>
    <row r="55">
      <c r="B55" s="18" t="inlineStr">
        <is>
          <t>Kelas Unggulan</t>
        </is>
      </c>
      <c r="C55" s="18" t="n">
        <v>100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#017 — RUMUS EXCEL: N   |   Kategori: 7. Informasi &amp; Audit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(N)</t>
        </is>
      </c>
    </row>
    <row r="5" ht="21" customHeight="1">
      <c r="B5" s="12" t="inlineStr">
        <is>
          <t>Nama Rumus Excel</t>
        </is>
      </c>
      <c r="C5" s="13">
        <f>N(...)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N(nilai)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Mengubah nilai logika menjadi angka (TRUE jadi 1, FALSE jadi 0, Teks jadi 0, Angka tetap Angka).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N)</t>
        </is>
      </c>
    </row>
    <row r="10">
      <c r="B10" s="16" t="inlineStr">
        <is>
          <t>Parameter Uji</t>
        </is>
      </c>
      <c r="C10" s="16" t="inlineStr">
        <is>
          <t>Nilai Input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16</v>
      </c>
      <c r="E11" s="19" t="inlineStr">
        <is>
          <t>Kasus Contoh:</t>
        </is>
      </c>
      <c r="F11" s="20" t="inlineStr">
        <is>
          <t>Terapkan rumus N pada nilai di sel C11 (16)!</t>
        </is>
      </c>
    </row>
    <row r="12">
      <c r="B12" s="18" t="inlineStr">
        <is>
          <t>Cabang Bandung</t>
        </is>
      </c>
      <c r="C12" s="18" t="n">
        <v>64</v>
      </c>
      <c r="E12" s="19" t="inlineStr">
        <is>
          <t>Rumus yang Diketik:</t>
        </is>
      </c>
      <c r="F12" s="21" t="inlineStr">
        <is>
          <t>'=N(C11)</t>
        </is>
      </c>
    </row>
    <row r="13">
      <c r="B13" s="18" t="inlineStr">
        <is>
          <t>Cabang Surabaya</t>
        </is>
      </c>
      <c r="C13" s="18" t="n">
        <v>81</v>
      </c>
      <c r="E13" s="19" t="inlineStr">
        <is>
          <t>Hasil Otomatis Excel:</t>
        </is>
      </c>
      <c r="F13" s="22">
        <f>N(C11)</f>
        <v/>
      </c>
    </row>
    <row r="14">
      <c r="B14" s="18" t="inlineStr">
        <is>
          <t>Cabang Medan</t>
        </is>
      </c>
      <c r="C14" s="18" t="n">
        <v>100</v>
      </c>
    </row>
    <row r="16" ht="26" customHeight="1">
      <c r="B16" s="23" t="inlineStr">
        <is>
          <t>3️⃣ 5 PERSOALAN DUNIA NYATA (KETIK RUMUS N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Parameter Uji</t>
        </is>
      </c>
      <c r="C19" s="12" t="inlineStr">
        <is>
          <t>Nilai Input</t>
        </is>
      </c>
      <c r="E19" s="25" t="inlineStr">
        <is>
          <t>Persoalan #1: Terapkan rumus N pada nilai di sel C20 (16)!</t>
        </is>
      </c>
    </row>
    <row r="20">
      <c r="B20" s="18" t="inlineStr">
        <is>
          <t>Cabang Jakarta</t>
        </is>
      </c>
      <c r="C20" s="18" t="n">
        <v>16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64</v>
      </c>
      <c r="E21" s="26" t="n"/>
      <c r="F21" s="27">
        <f>IF(ISBLANK(E21), "⏳ Ketik rumus di sel kuning E21", IF(E21=G21, "✅ BENAR! LUAR BIASA!", "❌ Belum Tepat, Cek Kunci"))</f>
        <v/>
      </c>
      <c r="G21" s="28">
        <f>N(C20)</f>
        <v/>
      </c>
      <c r="H21" s="29" t="inlineStr">
        <is>
          <t>Ketik: =N(C20)</t>
        </is>
      </c>
    </row>
    <row r="22">
      <c r="B22" s="18" t="inlineStr">
        <is>
          <t>Cabang Surabaya</t>
        </is>
      </c>
      <c r="C22" s="18" t="n">
        <v>81</v>
      </c>
    </row>
    <row r="23">
      <c r="B23" s="18" t="inlineStr">
        <is>
          <t>Cabang Medan</t>
        </is>
      </c>
      <c r="C23" s="18" t="n">
        <v>100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Parameter Uji</t>
        </is>
      </c>
      <c r="C27" s="12" t="inlineStr">
        <is>
          <t>Nilai Input</t>
        </is>
      </c>
      <c r="E27" s="25" t="inlineStr">
        <is>
          <t>Persoalan #2: Terapkan rumus N pada nilai di sel C28 (25)!</t>
        </is>
      </c>
    </row>
    <row r="28">
      <c r="B28" s="18" t="inlineStr">
        <is>
          <t>Budi Santoso</t>
        </is>
      </c>
      <c r="C28" s="18" t="n">
        <v>25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64</v>
      </c>
      <c r="E29" s="26" t="n"/>
      <c r="F29" s="27">
        <f>IF(ISBLANK(E29), "⏳ Ketik rumus di sel kuning E29", IF(E29=G29, "✅ BENAR! LUAR BIASA!", "❌ Belum Tepat, Cek Kunci"))</f>
        <v/>
      </c>
      <c r="G29" s="28">
        <f>N(C28)</f>
        <v/>
      </c>
      <c r="H29" s="29" t="inlineStr">
        <is>
          <t>Ketik: =N(C28)</t>
        </is>
      </c>
    </row>
    <row r="30">
      <c r="B30" s="18" t="inlineStr">
        <is>
          <t>Andi Pratama</t>
        </is>
      </c>
      <c r="C30" s="18" t="n">
        <v>81</v>
      </c>
    </row>
    <row r="31">
      <c r="B31" s="18" t="inlineStr">
        <is>
          <t>Rina Wijaya</t>
        </is>
      </c>
      <c r="C31" s="18" t="n">
        <v>100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Parameter Uji</t>
        </is>
      </c>
      <c r="C35" s="12" t="inlineStr">
        <is>
          <t>Nilai Input</t>
        </is>
      </c>
      <c r="E35" s="25" t="inlineStr">
        <is>
          <t>Persoalan #3: Terapkan rumus N pada nilai di sel C36 (36)!</t>
        </is>
      </c>
    </row>
    <row r="36">
      <c r="B36" s="18" t="inlineStr">
        <is>
          <t>Gudang Blok A</t>
        </is>
      </c>
      <c r="C36" s="18" t="n">
        <v>36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64</v>
      </c>
      <c r="E37" s="26" t="n"/>
      <c r="F37" s="27">
        <f>IF(ISBLANK(E37), "⏳ Ketik rumus di sel kuning E37", IF(E37=G37, "✅ BENAR! LUAR BIASA!", "❌ Belum Tepat, Cek Kunci"))</f>
        <v/>
      </c>
      <c r="G37" s="28">
        <f>N(C36)</f>
        <v/>
      </c>
      <c r="H37" s="29" t="inlineStr">
        <is>
          <t>Ketik: =N(C36)</t>
        </is>
      </c>
    </row>
    <row r="38">
      <c r="B38" s="18" t="inlineStr">
        <is>
          <t>Gudang Blok C</t>
        </is>
      </c>
      <c r="C38" s="18" t="n">
        <v>81</v>
      </c>
    </row>
    <row r="39">
      <c r="B39" s="18" t="inlineStr">
        <is>
          <t>Gudang Blok D</t>
        </is>
      </c>
      <c r="C39" s="18" t="n">
        <v>100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Parameter Uji</t>
        </is>
      </c>
      <c r="C43" s="12" t="inlineStr">
        <is>
          <t>Nilai Input</t>
        </is>
      </c>
      <c r="E43" s="25" t="inlineStr">
        <is>
          <t>Persoalan #4: Terapkan rumus N pada nilai di sel C44 (49)!</t>
        </is>
      </c>
    </row>
    <row r="44">
      <c r="B44" s="18" t="inlineStr">
        <is>
          <t>Toko Elektronik</t>
        </is>
      </c>
      <c r="C44" s="18" t="n">
        <v>49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64</v>
      </c>
      <c r="E45" s="26" t="n"/>
      <c r="F45" s="27">
        <f>IF(ISBLANK(E45), "⏳ Ketik rumus di sel kuning E45", IF(E45=G45, "✅ BENAR! LUAR BIASA!", "❌ Belum Tepat, Cek Kunci"))</f>
        <v/>
      </c>
      <c r="G45" s="28">
        <f>N(C44)</f>
        <v/>
      </c>
      <c r="H45" s="29" t="inlineStr">
        <is>
          <t>Ketik: =N(C44)</t>
        </is>
      </c>
    </row>
    <row r="46">
      <c r="B46" s="18" t="inlineStr">
        <is>
          <t>Toko Aksesoris</t>
        </is>
      </c>
      <c r="C46" s="18" t="n">
        <v>81</v>
      </c>
    </row>
    <row r="47">
      <c r="B47" s="18" t="inlineStr">
        <is>
          <t>Toko Servis</t>
        </is>
      </c>
      <c r="C47" s="18" t="n">
        <v>100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Parameter Uji</t>
        </is>
      </c>
      <c r="C51" s="12" t="inlineStr">
        <is>
          <t>Nilai Input</t>
        </is>
      </c>
      <c r="E51" s="25" t="inlineStr">
        <is>
          <t>Persoalan #5: Terapkan rumus N pada nilai di sel C52 (64)!</t>
        </is>
      </c>
    </row>
    <row r="52">
      <c r="B52" s="18" t="inlineStr">
        <is>
          <t>Kelas 10 IPA</t>
        </is>
      </c>
      <c r="C52" s="18" t="n">
        <v>64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64</v>
      </c>
      <c r="E53" s="26" t="n"/>
      <c r="F53" s="27">
        <f>IF(ISBLANK(E53), "⏳ Ketik rumus di sel kuning E53", IF(E53=G53, "✅ BENAR! LUAR BIASA!", "❌ Belum Tepat, Cek Kunci"))</f>
        <v/>
      </c>
      <c r="G53" s="28">
        <f>N(C52)</f>
        <v/>
      </c>
      <c r="H53" s="29" t="inlineStr">
        <is>
          <t>Ketik: =N(C52)</t>
        </is>
      </c>
    </row>
    <row r="54">
      <c r="B54" s="18" t="inlineStr">
        <is>
          <t>Kelas 12 IPA</t>
        </is>
      </c>
      <c r="C54" s="18" t="n">
        <v>81</v>
      </c>
    </row>
    <row r="55">
      <c r="B55" s="18" t="inlineStr">
        <is>
          <t>Kelas Unggulan</t>
        </is>
      </c>
      <c r="C55" s="18" t="n">
        <v>100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#018 — RUMUS EXCEL: TYPE   |   Kategori: 7. Informasi &amp; Audit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(TYPE)</t>
        </is>
      </c>
    </row>
    <row r="5" ht="21" customHeight="1">
      <c r="B5" s="12" t="inlineStr">
        <is>
          <t>Nama Rumus Excel</t>
        </is>
      </c>
      <c r="C5" s="13">
        <f>TYPE(...)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TYPE(nilai)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Mendeteksi kode tipe data di dalam sel (1=Angka, 2=Teks, 4=Logika, 16=Error).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TYPE)</t>
        </is>
      </c>
    </row>
    <row r="10">
      <c r="B10" s="16" t="inlineStr">
        <is>
          <t>Pos Pemeriksaan</t>
        </is>
      </c>
      <c r="C10" s="16" t="inlineStr">
        <is>
          <t>Isi Sel Uji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Audit sel C11 menggunakan fungsi informasi TYPE!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'=TYPE(C11)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TYPE(C11)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TYPE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Pos Pemeriksaan</t>
        </is>
      </c>
      <c r="C19" s="12" t="inlineStr">
        <is>
          <t>Isi Sel Uji</t>
        </is>
      </c>
      <c r="E19" s="25" t="inlineStr">
        <is>
          <t>Persoalan #1: Audit sel C20 menggunakan fungsi informasi TYPE!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TYPE(C20)</f>
        <v/>
      </c>
      <c r="H21" s="29" t="inlineStr">
        <is>
          <t>Ketik: =TYPE(C20)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Pos Pemeriksaan</t>
        </is>
      </c>
      <c r="C27" s="12" t="inlineStr">
        <is>
          <t>Isi Sel Uji</t>
        </is>
      </c>
      <c r="E27" s="25" t="inlineStr">
        <is>
          <t>Persoalan #2: Audit sel C28 menggunakan fungsi informasi TYPE!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TYPE(C28)</f>
        <v/>
      </c>
      <c r="H29" s="29" t="inlineStr">
        <is>
          <t>Ketik: =TYPE(C28)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Pos Pemeriksaan</t>
        </is>
      </c>
      <c r="C35" s="12" t="inlineStr">
        <is>
          <t>Isi Sel Uji</t>
        </is>
      </c>
      <c r="E35" s="25" t="inlineStr">
        <is>
          <t>Persoalan #3: Audit sel C36 menggunakan fungsi informasi TYPE!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TYPE(C36)</f>
        <v/>
      </c>
      <c r="H37" s="29" t="inlineStr">
        <is>
          <t>Ketik: =TYPE(C36)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Pos Pemeriksaan</t>
        </is>
      </c>
      <c r="C43" s="12" t="inlineStr">
        <is>
          <t>Isi Sel Uji</t>
        </is>
      </c>
      <c r="E43" s="25" t="inlineStr">
        <is>
          <t>Persoalan #4: Audit sel C44 menggunakan fungsi informasi TYPE!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TYPE(C44)</f>
        <v/>
      </c>
      <c r="H45" s="29" t="inlineStr">
        <is>
          <t>Ketik: =TYPE(C44)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Pos Pemeriksaan</t>
        </is>
      </c>
      <c r="C51" s="12" t="inlineStr">
        <is>
          <t>Isi Sel Uji</t>
        </is>
      </c>
      <c r="E51" s="25" t="inlineStr">
        <is>
          <t>Persoalan #5: Audit sel C52 menggunakan fungsi informasi TYPE!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TYPE(C52)</f>
        <v/>
      </c>
      <c r="H53" s="29" t="inlineStr">
        <is>
          <t>Ketik: =TYPE(C52)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#019 — RUMUS EXCEL: DELTA   |   Kategori: 7. Informasi &amp; Audit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(DELTA)</t>
        </is>
      </c>
    </row>
    <row r="5" ht="21" customHeight="1">
      <c r="B5" s="12" t="inlineStr">
        <is>
          <t>Nama Rumus Excel</t>
        </is>
      </c>
      <c r="C5" s="13">
        <f>DELTA(...)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DELTA(angka1, angka2)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Menguji apakah dua angka SAMA PERSIS: menghasilkan 1 jika sama, dan 0 jika berbeda (Sering dipakai untuk audit rekonsiliasi bank!).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DELTA)</t>
        </is>
      </c>
    </row>
    <row r="10">
      <c r="B10" s="16" t="inlineStr">
        <is>
          <t>Angka Pertama (B)</t>
        </is>
      </c>
      <c r="C10" s="16" t="inlineStr">
        <is>
          <t>Angka Kedua (C)</t>
        </is>
      </c>
      <c r="E10" s="17" t="inlineStr">
        <is>
          <t>💡 CONTOH RUMUS YANG SUDAH TERPASANG AKTIF:</t>
        </is>
      </c>
    </row>
    <row r="11">
      <c r="B11" s="18" t="n">
        <v>25</v>
      </c>
      <c r="C11" s="18" t="n">
        <v>4</v>
      </c>
      <c r="E11" s="19" t="inlineStr">
        <is>
          <t>Kasus Contoh:</t>
        </is>
      </c>
      <c r="F11" s="20" t="inlineStr">
        <is>
          <t>Gunakan rumus DELTA pada angka pertama di B11 (25) dan angka kedua di C11 (4)!</t>
        </is>
      </c>
    </row>
    <row r="12">
      <c r="B12" s="18" t="n">
        <v>18</v>
      </c>
      <c r="C12" s="18" t="n">
        <v>5</v>
      </c>
      <c r="E12" s="19" t="inlineStr">
        <is>
          <t>Rumus yang Diketik:</t>
        </is>
      </c>
      <c r="F12" s="21" t="inlineStr">
        <is>
          <t>'=DELTA(B11, C11)</t>
        </is>
      </c>
    </row>
    <row r="13">
      <c r="B13" s="18" t="n">
        <v>32</v>
      </c>
      <c r="C13" s="18" t="n">
        <v>6</v>
      </c>
      <c r="E13" s="19" t="inlineStr">
        <is>
          <t>Hasil Otomatis Excel:</t>
        </is>
      </c>
      <c r="F13" s="22">
        <f>DELTA(B11, C11)</f>
        <v/>
      </c>
    </row>
    <row r="14">
      <c r="B14" s="18" t="n">
        <v>40</v>
      </c>
      <c r="C14" s="18" t="n">
        <v>7</v>
      </c>
    </row>
    <row r="16" ht="26" customHeight="1">
      <c r="B16" s="23" t="inlineStr">
        <is>
          <t>3️⃣ 5 PERSOALAN DUNIA NYATA (KETIK RUMUS DELTA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Angka Pertama (B)</t>
        </is>
      </c>
      <c r="C19" s="12" t="inlineStr">
        <is>
          <t>Angka Kedua (C)</t>
        </is>
      </c>
      <c r="E19" s="25" t="inlineStr">
        <is>
          <t>Persoalan #1: Gunakan rumus DELTA pada angka pertama di B20 (25) dan angka kedua di C20 (4)!</t>
        </is>
      </c>
    </row>
    <row r="20">
      <c r="B20" s="18" t="n">
        <v>25</v>
      </c>
      <c r="C20" s="18" t="n">
        <v>4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n">
        <v>18</v>
      </c>
      <c r="C21" s="18" t="n">
        <v>5</v>
      </c>
      <c r="E21" s="26" t="n"/>
      <c r="F21" s="27">
        <f>IF(ISBLANK(E21), "⏳ Ketik rumus di sel kuning E21", IF(E21=G21, "✅ BENAR! LUAR BIASA!", "❌ Belum Tepat, Cek Kunci"))</f>
        <v/>
      </c>
      <c r="G21" s="28">
        <f>DELTA(B20, C20)</f>
        <v/>
      </c>
      <c r="H21" s="29" t="inlineStr">
        <is>
          <t>Ketik: =DELTA(B20, C20)</t>
        </is>
      </c>
    </row>
    <row r="22">
      <c r="B22" s="18" t="n">
        <v>32</v>
      </c>
      <c r="C22" s="18" t="n">
        <v>6</v>
      </c>
    </row>
    <row r="23">
      <c r="B23" s="18" t="n">
        <v>40</v>
      </c>
      <c r="C23" s="18" t="n">
        <v>7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Angka Pertama (B)</t>
        </is>
      </c>
      <c r="C27" s="12" t="inlineStr">
        <is>
          <t>Angka Kedua (C)</t>
        </is>
      </c>
      <c r="E27" s="25" t="inlineStr">
        <is>
          <t>Persoalan #2: Gunakan rumus DELTA pada angka pertama di B28 (31) dan angka kedua di C28 (4)!</t>
        </is>
      </c>
    </row>
    <row r="28">
      <c r="B28" s="18" t="n">
        <v>31</v>
      </c>
      <c r="C28" s="18" t="n">
        <v>4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n">
        <v>18</v>
      </c>
      <c r="C29" s="18" t="n">
        <v>5</v>
      </c>
      <c r="E29" s="26" t="n"/>
      <c r="F29" s="27">
        <f>IF(ISBLANK(E29), "⏳ Ketik rumus di sel kuning E29", IF(E29=G29, "✅ BENAR! LUAR BIASA!", "❌ Belum Tepat, Cek Kunci"))</f>
        <v/>
      </c>
      <c r="G29" s="28">
        <f>DELTA(B28, C28)</f>
        <v/>
      </c>
      <c r="H29" s="29" t="inlineStr">
        <is>
          <t>Ketik: =DELTA(B28, C28)</t>
        </is>
      </c>
    </row>
    <row r="30">
      <c r="B30" s="18" t="n">
        <v>32</v>
      </c>
      <c r="C30" s="18" t="n">
        <v>6</v>
      </c>
    </row>
    <row r="31">
      <c r="B31" s="18" t="n">
        <v>40</v>
      </c>
      <c r="C31" s="18" t="n">
        <v>7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Angka Pertama (B)</t>
        </is>
      </c>
      <c r="C35" s="12" t="inlineStr">
        <is>
          <t>Angka Kedua (C)</t>
        </is>
      </c>
      <c r="E35" s="25" t="inlineStr">
        <is>
          <t>Persoalan #3: Gunakan rumus DELTA pada angka pertama di B36 (37) dan angka kedua di C36 (4)!</t>
        </is>
      </c>
    </row>
    <row r="36">
      <c r="B36" s="18" t="n">
        <v>37</v>
      </c>
      <c r="C36" s="18" t="n">
        <v>4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n">
        <v>18</v>
      </c>
      <c r="C37" s="18" t="n">
        <v>5</v>
      </c>
      <c r="E37" s="26" t="n"/>
      <c r="F37" s="27">
        <f>IF(ISBLANK(E37), "⏳ Ketik rumus di sel kuning E37", IF(E37=G37, "✅ BENAR! LUAR BIASA!", "❌ Belum Tepat, Cek Kunci"))</f>
        <v/>
      </c>
      <c r="G37" s="28">
        <f>DELTA(B36, C36)</f>
        <v/>
      </c>
      <c r="H37" s="29" t="inlineStr">
        <is>
          <t>Ketik: =DELTA(B36, C36)</t>
        </is>
      </c>
    </row>
    <row r="38">
      <c r="B38" s="18" t="n">
        <v>32</v>
      </c>
      <c r="C38" s="18" t="n">
        <v>6</v>
      </c>
    </row>
    <row r="39">
      <c r="B39" s="18" t="n">
        <v>40</v>
      </c>
      <c r="C39" s="18" t="n">
        <v>7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Angka Pertama (B)</t>
        </is>
      </c>
      <c r="C43" s="12" t="inlineStr">
        <is>
          <t>Angka Kedua (C)</t>
        </is>
      </c>
      <c r="E43" s="25" t="inlineStr">
        <is>
          <t>Persoalan #4: Gunakan rumus DELTA pada angka pertama di B44 (43) dan angka kedua di C44 (4)!</t>
        </is>
      </c>
    </row>
    <row r="44">
      <c r="B44" s="18" t="n">
        <v>43</v>
      </c>
      <c r="C44" s="18" t="n">
        <v>4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n">
        <v>18</v>
      </c>
      <c r="C45" s="18" t="n">
        <v>5</v>
      </c>
      <c r="E45" s="26" t="n"/>
      <c r="F45" s="27">
        <f>IF(ISBLANK(E45), "⏳ Ketik rumus di sel kuning E45", IF(E45=G45, "✅ BENAR! LUAR BIASA!", "❌ Belum Tepat, Cek Kunci"))</f>
        <v/>
      </c>
      <c r="G45" s="28">
        <f>DELTA(B44, C44)</f>
        <v/>
      </c>
      <c r="H45" s="29" t="inlineStr">
        <is>
          <t>Ketik: =DELTA(B44, C44)</t>
        </is>
      </c>
    </row>
    <row r="46">
      <c r="B46" s="18" t="n">
        <v>32</v>
      </c>
      <c r="C46" s="18" t="n">
        <v>6</v>
      </c>
    </row>
    <row r="47">
      <c r="B47" s="18" t="n">
        <v>40</v>
      </c>
      <c r="C47" s="18" t="n">
        <v>7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Angka Pertama (B)</t>
        </is>
      </c>
      <c r="C51" s="12" t="inlineStr">
        <is>
          <t>Angka Kedua (C)</t>
        </is>
      </c>
      <c r="E51" s="25" t="inlineStr">
        <is>
          <t>Persoalan #5: Gunakan rumus DELTA pada angka pertama di B52 (49) dan angka kedua di C52 (4)!</t>
        </is>
      </c>
    </row>
    <row r="52">
      <c r="B52" s="18" t="n">
        <v>49</v>
      </c>
      <c r="C52" s="18" t="n">
        <v>4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n">
        <v>18</v>
      </c>
      <c r="C53" s="18" t="n">
        <v>5</v>
      </c>
      <c r="E53" s="26" t="n"/>
      <c r="F53" s="27">
        <f>IF(ISBLANK(E53), "⏳ Ketik rumus di sel kuning E53", IF(E53=G53, "✅ BENAR! LUAR BIASA!", "❌ Belum Tepat, Cek Kunci"))</f>
        <v/>
      </c>
      <c r="G53" s="28">
        <f>DELTA(B52, C52)</f>
        <v/>
      </c>
      <c r="H53" s="29" t="inlineStr">
        <is>
          <t>Ketik: =DELTA(B52, C52)</t>
        </is>
      </c>
    </row>
    <row r="54">
      <c r="B54" s="18" t="n">
        <v>32</v>
      </c>
      <c r="C54" s="18" t="n">
        <v>6</v>
      </c>
    </row>
    <row r="55">
      <c r="B55" s="18" t="n">
        <v>40</v>
      </c>
      <c r="C55" s="18" t="n">
        <v>7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#020 — RUMUS EXCEL: GESTEP   |   Kategori: 7. Informasi &amp; Audit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(GESTEP)</t>
        </is>
      </c>
    </row>
    <row r="5" ht="21" customHeight="1">
      <c r="B5" s="12" t="inlineStr">
        <is>
          <t>Nama Rumus Excel</t>
        </is>
      </c>
      <c r="C5" s="13">
        <f>GESTEP(...)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GESTEP(angka, batas_ambang)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Menguji apakah angka sudah mencapai target ambang batas (&gt;= batas): menghasilkan 1 jika tercapai, 0 jika belum.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GESTEP)</t>
        </is>
      </c>
    </row>
    <row r="10">
      <c r="B10" s="16" t="inlineStr">
        <is>
          <t>Angka Pertama (B)</t>
        </is>
      </c>
      <c r="C10" s="16" t="inlineStr">
        <is>
          <t>Angka Kedua (C)</t>
        </is>
      </c>
      <c r="E10" s="17" t="inlineStr">
        <is>
          <t>💡 CONTOH RUMUS YANG SUDAH TERPASANG AKTIF:</t>
        </is>
      </c>
    </row>
    <row r="11">
      <c r="B11" s="18" t="n">
        <v>25</v>
      </c>
      <c r="C11" s="18" t="n">
        <v>4</v>
      </c>
      <c r="E11" s="19" t="inlineStr">
        <is>
          <t>Kasus Contoh:</t>
        </is>
      </c>
      <c r="F11" s="20" t="inlineStr">
        <is>
          <t>Gunakan rumus GESTEP pada angka pertama di B11 (25) dan angka kedua di C11 (4)!</t>
        </is>
      </c>
    </row>
    <row r="12">
      <c r="B12" s="18" t="n">
        <v>18</v>
      </c>
      <c r="C12" s="18" t="n">
        <v>5</v>
      </c>
      <c r="E12" s="19" t="inlineStr">
        <is>
          <t>Rumus yang Diketik:</t>
        </is>
      </c>
      <c r="F12" s="21" t="inlineStr">
        <is>
          <t>'=GESTEP(B11, C11)</t>
        </is>
      </c>
    </row>
    <row r="13">
      <c r="B13" s="18" t="n">
        <v>32</v>
      </c>
      <c r="C13" s="18" t="n">
        <v>6</v>
      </c>
      <c r="E13" s="19" t="inlineStr">
        <is>
          <t>Hasil Otomatis Excel:</t>
        </is>
      </c>
      <c r="F13" s="22">
        <f>GESTEP(B11, C11)</f>
        <v/>
      </c>
    </row>
    <row r="14">
      <c r="B14" s="18" t="n">
        <v>40</v>
      </c>
      <c r="C14" s="18" t="n">
        <v>7</v>
      </c>
    </row>
    <row r="16" ht="26" customHeight="1">
      <c r="B16" s="23" t="inlineStr">
        <is>
          <t>3️⃣ 5 PERSOALAN DUNIA NYATA (KETIK RUMUS GESTEP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Angka Pertama (B)</t>
        </is>
      </c>
      <c r="C19" s="12" t="inlineStr">
        <is>
          <t>Angka Kedua (C)</t>
        </is>
      </c>
      <c r="E19" s="25" t="inlineStr">
        <is>
          <t>Persoalan #1: Gunakan rumus GESTEP pada angka pertama di B20 (25) dan angka kedua di C20 (4)!</t>
        </is>
      </c>
    </row>
    <row r="20">
      <c r="B20" s="18" t="n">
        <v>25</v>
      </c>
      <c r="C20" s="18" t="n">
        <v>4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n">
        <v>18</v>
      </c>
      <c r="C21" s="18" t="n">
        <v>5</v>
      </c>
      <c r="E21" s="26" t="n"/>
      <c r="F21" s="27">
        <f>IF(ISBLANK(E21), "⏳ Ketik rumus di sel kuning E21", IF(E21=G21, "✅ BENAR! LUAR BIASA!", "❌ Belum Tepat, Cek Kunci"))</f>
        <v/>
      </c>
      <c r="G21" s="28">
        <f>GESTEP(B20, C20)</f>
        <v/>
      </c>
      <c r="H21" s="29" t="inlineStr">
        <is>
          <t>Ketik: =GESTEP(B20, C20)</t>
        </is>
      </c>
    </row>
    <row r="22">
      <c r="B22" s="18" t="n">
        <v>32</v>
      </c>
      <c r="C22" s="18" t="n">
        <v>6</v>
      </c>
    </row>
    <row r="23">
      <c r="B23" s="18" t="n">
        <v>40</v>
      </c>
      <c r="C23" s="18" t="n">
        <v>7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Angka Pertama (B)</t>
        </is>
      </c>
      <c r="C27" s="12" t="inlineStr">
        <is>
          <t>Angka Kedua (C)</t>
        </is>
      </c>
      <c r="E27" s="25" t="inlineStr">
        <is>
          <t>Persoalan #2: Gunakan rumus GESTEP pada angka pertama di B28 (31) dan angka kedua di C28 (4)!</t>
        </is>
      </c>
    </row>
    <row r="28">
      <c r="B28" s="18" t="n">
        <v>31</v>
      </c>
      <c r="C28" s="18" t="n">
        <v>4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n">
        <v>18</v>
      </c>
      <c r="C29" s="18" t="n">
        <v>5</v>
      </c>
      <c r="E29" s="26" t="n"/>
      <c r="F29" s="27">
        <f>IF(ISBLANK(E29), "⏳ Ketik rumus di sel kuning E29", IF(E29=G29, "✅ BENAR! LUAR BIASA!", "❌ Belum Tepat, Cek Kunci"))</f>
        <v/>
      </c>
      <c r="G29" s="28">
        <f>GESTEP(B28, C28)</f>
        <v/>
      </c>
      <c r="H29" s="29" t="inlineStr">
        <is>
          <t>Ketik: =GESTEP(B28, C28)</t>
        </is>
      </c>
    </row>
    <row r="30">
      <c r="B30" s="18" t="n">
        <v>32</v>
      </c>
      <c r="C30" s="18" t="n">
        <v>6</v>
      </c>
    </row>
    <row r="31">
      <c r="B31" s="18" t="n">
        <v>40</v>
      </c>
      <c r="C31" s="18" t="n">
        <v>7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Angka Pertama (B)</t>
        </is>
      </c>
      <c r="C35" s="12" t="inlineStr">
        <is>
          <t>Angka Kedua (C)</t>
        </is>
      </c>
      <c r="E35" s="25" t="inlineStr">
        <is>
          <t>Persoalan #3: Gunakan rumus GESTEP pada angka pertama di B36 (37) dan angka kedua di C36 (4)!</t>
        </is>
      </c>
    </row>
    <row r="36">
      <c r="B36" s="18" t="n">
        <v>37</v>
      </c>
      <c r="C36" s="18" t="n">
        <v>4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n">
        <v>18</v>
      </c>
      <c r="C37" s="18" t="n">
        <v>5</v>
      </c>
      <c r="E37" s="26" t="n"/>
      <c r="F37" s="27">
        <f>IF(ISBLANK(E37), "⏳ Ketik rumus di sel kuning E37", IF(E37=G37, "✅ BENAR! LUAR BIASA!", "❌ Belum Tepat, Cek Kunci"))</f>
        <v/>
      </c>
      <c r="G37" s="28">
        <f>GESTEP(B36, C36)</f>
        <v/>
      </c>
      <c r="H37" s="29" t="inlineStr">
        <is>
          <t>Ketik: =GESTEP(B36, C36)</t>
        </is>
      </c>
    </row>
    <row r="38">
      <c r="B38" s="18" t="n">
        <v>32</v>
      </c>
      <c r="C38" s="18" t="n">
        <v>6</v>
      </c>
    </row>
    <row r="39">
      <c r="B39" s="18" t="n">
        <v>40</v>
      </c>
      <c r="C39" s="18" t="n">
        <v>7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Angka Pertama (B)</t>
        </is>
      </c>
      <c r="C43" s="12" t="inlineStr">
        <is>
          <t>Angka Kedua (C)</t>
        </is>
      </c>
      <c r="E43" s="25" t="inlineStr">
        <is>
          <t>Persoalan #4: Gunakan rumus GESTEP pada angka pertama di B44 (43) dan angka kedua di C44 (4)!</t>
        </is>
      </c>
    </row>
    <row r="44">
      <c r="B44" s="18" t="n">
        <v>43</v>
      </c>
      <c r="C44" s="18" t="n">
        <v>4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n">
        <v>18</v>
      </c>
      <c r="C45" s="18" t="n">
        <v>5</v>
      </c>
      <c r="E45" s="26" t="n"/>
      <c r="F45" s="27">
        <f>IF(ISBLANK(E45), "⏳ Ketik rumus di sel kuning E45", IF(E45=G45, "✅ BENAR! LUAR BIASA!", "❌ Belum Tepat, Cek Kunci"))</f>
        <v/>
      </c>
      <c r="G45" s="28">
        <f>GESTEP(B44, C44)</f>
        <v/>
      </c>
      <c r="H45" s="29" t="inlineStr">
        <is>
          <t>Ketik: =GESTEP(B44, C44)</t>
        </is>
      </c>
    </row>
    <row r="46">
      <c r="B46" s="18" t="n">
        <v>32</v>
      </c>
      <c r="C46" s="18" t="n">
        <v>6</v>
      </c>
    </row>
    <row r="47">
      <c r="B47" s="18" t="n">
        <v>40</v>
      </c>
      <c r="C47" s="18" t="n">
        <v>7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Angka Pertama (B)</t>
        </is>
      </c>
      <c r="C51" s="12" t="inlineStr">
        <is>
          <t>Angka Kedua (C)</t>
        </is>
      </c>
      <c r="E51" s="25" t="inlineStr">
        <is>
          <t>Persoalan #5: Gunakan rumus GESTEP pada angka pertama di B52 (49) dan angka kedua di C52 (4)!</t>
        </is>
      </c>
    </row>
    <row r="52">
      <c r="B52" s="18" t="n">
        <v>49</v>
      </c>
      <c r="C52" s="18" t="n">
        <v>4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n">
        <v>18</v>
      </c>
      <c r="C53" s="18" t="n">
        <v>5</v>
      </c>
      <c r="E53" s="26" t="n"/>
      <c r="F53" s="27">
        <f>IF(ISBLANK(E53), "⏳ Ketik rumus di sel kuning E53", IF(E53=G53, "✅ BENAR! LUAR BIASA!", "❌ Belum Tepat, Cek Kunci"))</f>
        <v/>
      </c>
      <c r="G53" s="28">
        <f>GESTEP(B52, C52)</f>
        <v/>
      </c>
      <c r="H53" s="29" t="inlineStr">
        <is>
          <t>Ketik: =GESTEP(B52, C52)</t>
        </is>
      </c>
    </row>
    <row r="54">
      <c r="B54" s="18" t="n">
        <v>32</v>
      </c>
      <c r="C54" s="18" t="n">
        <v>6</v>
      </c>
    </row>
    <row r="55">
      <c r="B55" s="18" t="n">
        <v>40</v>
      </c>
      <c r="C55" s="18" t="n">
        <v>7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#021 — RUMUS EXCEL: DEC2BIN   |   Kategori: 7. Informasi &amp; Audit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(DEC2BIN)</t>
        </is>
      </c>
    </row>
    <row r="5" ht="21" customHeight="1">
      <c r="B5" s="12" t="inlineStr">
        <is>
          <t>Nama Rumus Excel</t>
        </is>
      </c>
      <c r="C5" s="13">
        <f>DEC2BIN(...)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DEC2BIN(angka_desimal)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Mengonversi angka desimal biasa menjadi bilangan Biner (0 dan 1) untuk jaringan komputer/IT.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DEC2BIN)</t>
        </is>
      </c>
    </row>
    <row r="10">
      <c r="B10" s="16" t="inlineStr">
        <is>
          <t>Parameter Uji</t>
        </is>
      </c>
      <c r="C10" s="16" t="inlineStr">
        <is>
          <t>Nilai Input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4</v>
      </c>
      <c r="E11" s="19" t="inlineStr">
        <is>
          <t>Kasus Contoh:</t>
        </is>
      </c>
      <c r="F11" s="20" t="inlineStr">
        <is>
          <t>Terapkan rumus DEC2BIN pada nilai di sel C11 (4)!</t>
        </is>
      </c>
    </row>
    <row r="12">
      <c r="B12" s="18" t="inlineStr">
        <is>
          <t>Cabang Bandung</t>
        </is>
      </c>
      <c r="C12" s="18" t="n">
        <v>5</v>
      </c>
      <c r="E12" s="19" t="inlineStr">
        <is>
          <t>Rumus yang Diketik:</t>
        </is>
      </c>
      <c r="F12" s="21" t="inlineStr">
        <is>
          <t>'=DEC2BIN(C11)</t>
        </is>
      </c>
    </row>
    <row r="13">
      <c r="B13" s="18" t="inlineStr">
        <is>
          <t>Cabang Surabaya</t>
        </is>
      </c>
      <c r="C13" s="18" t="n">
        <v>6</v>
      </c>
      <c r="E13" s="19" t="inlineStr">
        <is>
          <t>Hasil Otomatis Excel:</t>
        </is>
      </c>
      <c r="F13" s="22">
        <f>DEC2BIN(C11)</f>
        <v/>
      </c>
    </row>
    <row r="14">
      <c r="B14" s="18" t="inlineStr">
        <is>
          <t>Cabang Medan</t>
        </is>
      </c>
      <c r="C14" s="18" t="n">
        <v>3</v>
      </c>
    </row>
    <row r="16" ht="26" customHeight="1">
      <c r="B16" s="23" t="inlineStr">
        <is>
          <t>3️⃣ 5 PERSOALAN DUNIA NYATA (KETIK RUMUS DEC2BIN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Parameter Uji</t>
        </is>
      </c>
      <c r="C19" s="12" t="inlineStr">
        <is>
          <t>Nilai Input</t>
        </is>
      </c>
      <c r="E19" s="25" t="inlineStr">
        <is>
          <t>Persoalan #1: Terapkan rumus DEC2BIN pada nilai di sel C20 (4)!</t>
        </is>
      </c>
    </row>
    <row r="20">
      <c r="B20" s="18" t="inlineStr">
        <is>
          <t>Cabang Jakarta</t>
        </is>
      </c>
      <c r="C20" s="18" t="n">
        <v>4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5</v>
      </c>
      <c r="E21" s="26" t="n"/>
      <c r="F21" s="27">
        <f>IF(ISBLANK(E21), "⏳ Ketik rumus di sel kuning E21", IF(E21=G21, "✅ BENAR! LUAR BIASA!", "❌ Belum Tepat, Cek Kunci"))</f>
        <v/>
      </c>
      <c r="G21" s="28">
        <f>DEC2BIN(C20)</f>
        <v/>
      </c>
      <c r="H21" s="29" t="inlineStr">
        <is>
          <t>Ketik: =DEC2BIN(C20)</t>
        </is>
      </c>
    </row>
    <row r="22">
      <c r="B22" s="18" t="inlineStr">
        <is>
          <t>Cabang Surabaya</t>
        </is>
      </c>
      <c r="C22" s="18" t="n">
        <v>6</v>
      </c>
    </row>
    <row r="23">
      <c r="B23" s="18" t="inlineStr">
        <is>
          <t>Cabang Medan</t>
        </is>
      </c>
      <c r="C23" s="18" t="n">
        <v>3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Parameter Uji</t>
        </is>
      </c>
      <c r="C27" s="12" t="inlineStr">
        <is>
          <t>Nilai Input</t>
        </is>
      </c>
      <c r="E27" s="25" t="inlineStr">
        <is>
          <t>Persoalan #2: Terapkan rumus DEC2BIN pada nilai di sel C28 (5)!</t>
        </is>
      </c>
    </row>
    <row r="28">
      <c r="B28" s="18" t="inlineStr">
        <is>
          <t>Budi Santoso</t>
        </is>
      </c>
      <c r="C28" s="18" t="n">
        <v>5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</v>
      </c>
      <c r="E29" s="26" t="n"/>
      <c r="F29" s="27">
        <f>IF(ISBLANK(E29), "⏳ Ketik rumus di sel kuning E29", IF(E29=G29, "✅ BENAR! LUAR BIASA!", "❌ Belum Tepat, Cek Kunci"))</f>
        <v/>
      </c>
      <c r="G29" s="28">
        <f>DEC2BIN(C28)</f>
        <v/>
      </c>
      <c r="H29" s="29" t="inlineStr">
        <is>
          <t>Ketik: =DEC2BIN(C28)</t>
        </is>
      </c>
    </row>
    <row r="30">
      <c r="B30" s="18" t="inlineStr">
        <is>
          <t>Andi Pratama</t>
        </is>
      </c>
      <c r="C30" s="18" t="n">
        <v>6</v>
      </c>
    </row>
    <row r="31">
      <c r="B31" s="18" t="inlineStr">
        <is>
          <t>Rina Wijaya</t>
        </is>
      </c>
      <c r="C31" s="18" t="n">
        <v>3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Parameter Uji</t>
        </is>
      </c>
      <c r="C35" s="12" t="inlineStr">
        <is>
          <t>Nilai Input</t>
        </is>
      </c>
      <c r="E35" s="25" t="inlineStr">
        <is>
          <t>Persoalan #3: Terapkan rumus DEC2BIN pada nilai di sel C36 (6)!</t>
        </is>
      </c>
    </row>
    <row r="36">
      <c r="B36" s="18" t="inlineStr">
        <is>
          <t>Gudang Blok A</t>
        </is>
      </c>
      <c r="C36" s="18" t="n">
        <v>6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5</v>
      </c>
      <c r="E37" s="26" t="n"/>
      <c r="F37" s="27">
        <f>IF(ISBLANK(E37), "⏳ Ketik rumus di sel kuning E37", IF(E37=G37, "✅ BENAR! LUAR BIASA!", "❌ Belum Tepat, Cek Kunci"))</f>
        <v/>
      </c>
      <c r="G37" s="28">
        <f>DEC2BIN(C36)</f>
        <v/>
      </c>
      <c r="H37" s="29" t="inlineStr">
        <is>
          <t>Ketik: =DEC2BIN(C36)</t>
        </is>
      </c>
    </row>
    <row r="38">
      <c r="B38" s="18" t="inlineStr">
        <is>
          <t>Gudang Blok C</t>
        </is>
      </c>
      <c r="C38" s="18" t="n">
        <v>6</v>
      </c>
    </row>
    <row r="39">
      <c r="B39" s="18" t="inlineStr">
        <is>
          <t>Gudang Blok D</t>
        </is>
      </c>
      <c r="C39" s="18" t="n">
        <v>3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Parameter Uji</t>
        </is>
      </c>
      <c r="C43" s="12" t="inlineStr">
        <is>
          <t>Nilai Input</t>
        </is>
      </c>
      <c r="E43" s="25" t="inlineStr">
        <is>
          <t>Persoalan #4: Terapkan rumus DEC2BIN pada nilai di sel C44 (7)!</t>
        </is>
      </c>
    </row>
    <row r="44">
      <c r="B44" s="18" t="inlineStr">
        <is>
          <t>Toko Elektronik</t>
        </is>
      </c>
      <c r="C44" s="18" t="n">
        <v>7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5</v>
      </c>
      <c r="E45" s="26" t="n"/>
      <c r="F45" s="27">
        <f>IF(ISBLANK(E45), "⏳ Ketik rumus di sel kuning E45", IF(E45=G45, "✅ BENAR! LUAR BIASA!", "❌ Belum Tepat, Cek Kunci"))</f>
        <v/>
      </c>
      <c r="G45" s="28">
        <f>DEC2BIN(C44)</f>
        <v/>
      </c>
      <c r="H45" s="29" t="inlineStr">
        <is>
          <t>Ketik: =DEC2BIN(C44)</t>
        </is>
      </c>
    </row>
    <row r="46">
      <c r="B46" s="18" t="inlineStr">
        <is>
          <t>Toko Aksesoris</t>
        </is>
      </c>
      <c r="C46" s="18" t="n">
        <v>6</v>
      </c>
    </row>
    <row r="47">
      <c r="B47" s="18" t="inlineStr">
        <is>
          <t>Toko Servis</t>
        </is>
      </c>
      <c r="C47" s="18" t="n">
        <v>3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Parameter Uji</t>
        </is>
      </c>
      <c r="C51" s="12" t="inlineStr">
        <is>
          <t>Nilai Input</t>
        </is>
      </c>
      <c r="E51" s="25" t="inlineStr">
        <is>
          <t>Persoalan #5: Terapkan rumus DEC2BIN pada nilai di sel C52 (4)!</t>
        </is>
      </c>
    </row>
    <row r="52">
      <c r="B52" s="18" t="inlineStr">
        <is>
          <t>Kelas 10 IPA</t>
        </is>
      </c>
      <c r="C52" s="18" t="n">
        <v>4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5</v>
      </c>
      <c r="E53" s="26" t="n"/>
      <c r="F53" s="27">
        <f>IF(ISBLANK(E53), "⏳ Ketik rumus di sel kuning E53", IF(E53=G53, "✅ BENAR! LUAR BIASA!", "❌ Belum Tepat, Cek Kunci"))</f>
        <v/>
      </c>
      <c r="G53" s="28">
        <f>DEC2BIN(C52)</f>
        <v/>
      </c>
      <c r="H53" s="29" t="inlineStr">
        <is>
          <t>Ketik: =DEC2BIN(C52)</t>
        </is>
      </c>
    </row>
    <row r="54">
      <c r="B54" s="18" t="inlineStr">
        <is>
          <t>Kelas 12 IPA</t>
        </is>
      </c>
      <c r="C54" s="18" t="n">
        <v>6</v>
      </c>
    </row>
    <row r="55">
      <c r="B55" s="18" t="inlineStr">
        <is>
          <t>Kelas Unggulan</t>
        </is>
      </c>
      <c r="C55" s="18" t="n">
        <v>3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#022 — RUMUS EXCEL: DEC2HEX   |   Kategori: 7. Informasi &amp; Audit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(DEC2HEX)</t>
        </is>
      </c>
    </row>
    <row r="5" ht="21" customHeight="1">
      <c r="B5" s="12" t="inlineStr">
        <is>
          <t>Nama Rumus Excel</t>
        </is>
      </c>
      <c r="C5" s="13">
        <f>DEC2HEX(...)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DEC2HEX(angka_desimal)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Mengonversi angka desimal menjadi bilangan Heksadesimal.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DEC2HEX)</t>
        </is>
      </c>
    </row>
    <row r="10">
      <c r="B10" s="16" t="inlineStr">
        <is>
          <t>Parameter Uji</t>
        </is>
      </c>
      <c r="C10" s="16" t="inlineStr">
        <is>
          <t>Nilai Input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</v>
      </c>
      <c r="E11" s="19" t="inlineStr">
        <is>
          <t>Kasus Contoh:</t>
        </is>
      </c>
      <c r="F11" s="20" t="inlineStr">
        <is>
          <t>Terapkan rumus DEC2HEX pada nilai di sel C11 (12)!</t>
        </is>
      </c>
    </row>
    <row r="12">
      <c r="B12" s="18" t="inlineStr">
        <is>
          <t>Cabang Bandung</t>
        </is>
      </c>
      <c r="C12" s="18" t="n">
        <v>25</v>
      </c>
      <c r="E12" s="19" t="inlineStr">
        <is>
          <t>Rumus yang Diketik:</t>
        </is>
      </c>
      <c r="F12" s="21" t="inlineStr">
        <is>
          <t>'=DEC2HEX(C11)</t>
        </is>
      </c>
    </row>
    <row r="13">
      <c r="B13" s="18" t="inlineStr">
        <is>
          <t>Cabang Surabaya</t>
        </is>
      </c>
      <c r="C13" s="18" t="n">
        <v>49</v>
      </c>
      <c r="E13" s="19" t="inlineStr">
        <is>
          <t>Hasil Otomatis Excel:</t>
        </is>
      </c>
      <c r="F13" s="22">
        <f>DEC2HEX(C11)</f>
        <v/>
      </c>
    </row>
    <row r="14">
      <c r="B14" s="18" t="inlineStr">
        <is>
          <t>Cabang Medan</t>
        </is>
      </c>
      <c r="C14" s="18" t="n">
        <v>100</v>
      </c>
    </row>
    <row r="16" ht="26" customHeight="1">
      <c r="B16" s="23" t="inlineStr">
        <is>
          <t>3️⃣ 5 PERSOALAN DUNIA NYATA (KETIK RUMUS DEC2HEX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Parameter Uji</t>
        </is>
      </c>
      <c r="C19" s="12" t="inlineStr">
        <is>
          <t>Nilai Input</t>
        </is>
      </c>
      <c r="E19" s="25" t="inlineStr">
        <is>
          <t>Persoalan #1: Terapkan rumus DEC2HEX pada nilai di sel C20 (12)!</t>
        </is>
      </c>
    </row>
    <row r="20">
      <c r="B20" s="18" t="inlineStr">
        <is>
          <t>Cabang Jakarta</t>
        </is>
      </c>
      <c r="C20" s="18" t="n">
        <v>12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25</v>
      </c>
      <c r="E21" s="26" t="n"/>
      <c r="F21" s="27">
        <f>IF(ISBLANK(E21), "⏳ Ketik rumus di sel kuning E21", IF(E21=G21, "✅ BENAR! LUAR BIASA!", "❌ Belum Tepat, Cek Kunci"))</f>
        <v/>
      </c>
      <c r="G21" s="28">
        <f>DEC2HEX(C20)</f>
        <v/>
      </c>
      <c r="H21" s="29" t="inlineStr">
        <is>
          <t>Ketik: =DEC2HEX(C20)</t>
        </is>
      </c>
    </row>
    <row r="22">
      <c r="B22" s="18" t="inlineStr">
        <is>
          <t>Cabang Surabaya</t>
        </is>
      </c>
      <c r="C22" s="18" t="n">
        <v>49</v>
      </c>
    </row>
    <row r="23">
      <c r="B23" s="18" t="inlineStr">
        <is>
          <t>Cabang Medan</t>
        </is>
      </c>
      <c r="C23" s="18" t="n">
        <v>100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Parameter Uji</t>
        </is>
      </c>
      <c r="C27" s="12" t="inlineStr">
        <is>
          <t>Nilai Input</t>
        </is>
      </c>
      <c r="E27" s="25" t="inlineStr">
        <is>
          <t>Persoalan #2: Terapkan rumus DEC2HEX pada nilai di sel C28 (17)!</t>
        </is>
      </c>
    </row>
    <row r="28">
      <c r="B28" s="18" t="inlineStr">
        <is>
          <t>Budi Santoso</t>
        </is>
      </c>
      <c r="C28" s="18" t="n">
        <v>17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25</v>
      </c>
      <c r="E29" s="26" t="n"/>
      <c r="F29" s="27">
        <f>IF(ISBLANK(E29), "⏳ Ketik rumus di sel kuning E29", IF(E29=G29, "✅ BENAR! LUAR BIASA!", "❌ Belum Tepat, Cek Kunci"))</f>
        <v/>
      </c>
      <c r="G29" s="28">
        <f>DEC2HEX(C28)</f>
        <v/>
      </c>
      <c r="H29" s="29" t="inlineStr">
        <is>
          <t>Ketik: =DEC2HEX(C28)</t>
        </is>
      </c>
    </row>
    <row r="30">
      <c r="B30" s="18" t="inlineStr">
        <is>
          <t>Andi Pratama</t>
        </is>
      </c>
      <c r="C30" s="18" t="n">
        <v>49</v>
      </c>
    </row>
    <row r="31">
      <c r="B31" s="18" t="inlineStr">
        <is>
          <t>Rina Wijaya</t>
        </is>
      </c>
      <c r="C31" s="18" t="n">
        <v>100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Parameter Uji</t>
        </is>
      </c>
      <c r="C35" s="12" t="inlineStr">
        <is>
          <t>Nilai Input</t>
        </is>
      </c>
      <c r="E35" s="25" t="inlineStr">
        <is>
          <t>Persoalan #3: Terapkan rumus DEC2HEX pada nilai di sel C36 (22)!</t>
        </is>
      </c>
    </row>
    <row r="36">
      <c r="B36" s="18" t="inlineStr">
        <is>
          <t>Gudang Blok A</t>
        </is>
      </c>
      <c r="C36" s="18" t="n">
        <v>22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25</v>
      </c>
      <c r="E37" s="26" t="n"/>
      <c r="F37" s="27">
        <f>IF(ISBLANK(E37), "⏳ Ketik rumus di sel kuning E37", IF(E37=G37, "✅ BENAR! LUAR BIASA!", "❌ Belum Tepat, Cek Kunci"))</f>
        <v/>
      </c>
      <c r="G37" s="28">
        <f>DEC2HEX(C36)</f>
        <v/>
      </c>
      <c r="H37" s="29" t="inlineStr">
        <is>
          <t>Ketik: =DEC2HEX(C36)</t>
        </is>
      </c>
    </row>
    <row r="38">
      <c r="B38" s="18" t="inlineStr">
        <is>
          <t>Gudang Blok C</t>
        </is>
      </c>
      <c r="C38" s="18" t="n">
        <v>49</v>
      </c>
    </row>
    <row r="39">
      <c r="B39" s="18" t="inlineStr">
        <is>
          <t>Gudang Blok D</t>
        </is>
      </c>
      <c r="C39" s="18" t="n">
        <v>100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Parameter Uji</t>
        </is>
      </c>
      <c r="C43" s="12" t="inlineStr">
        <is>
          <t>Nilai Input</t>
        </is>
      </c>
      <c r="E43" s="25" t="inlineStr">
        <is>
          <t>Persoalan #4: Terapkan rumus DEC2HEX pada nilai di sel C44 (27)!</t>
        </is>
      </c>
    </row>
    <row r="44">
      <c r="B44" s="18" t="inlineStr">
        <is>
          <t>Toko Elektronik</t>
        </is>
      </c>
      <c r="C44" s="18" t="n">
        <v>27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25</v>
      </c>
      <c r="E45" s="26" t="n"/>
      <c r="F45" s="27">
        <f>IF(ISBLANK(E45), "⏳ Ketik rumus di sel kuning E45", IF(E45=G45, "✅ BENAR! LUAR BIASA!", "❌ Belum Tepat, Cek Kunci"))</f>
        <v/>
      </c>
      <c r="G45" s="28">
        <f>DEC2HEX(C44)</f>
        <v/>
      </c>
      <c r="H45" s="29" t="inlineStr">
        <is>
          <t>Ketik: =DEC2HEX(C44)</t>
        </is>
      </c>
    </row>
    <row r="46">
      <c r="B46" s="18" t="inlineStr">
        <is>
          <t>Toko Aksesoris</t>
        </is>
      </c>
      <c r="C46" s="18" t="n">
        <v>49</v>
      </c>
    </row>
    <row r="47">
      <c r="B47" s="18" t="inlineStr">
        <is>
          <t>Toko Servis</t>
        </is>
      </c>
      <c r="C47" s="18" t="n">
        <v>100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Parameter Uji</t>
        </is>
      </c>
      <c r="C51" s="12" t="inlineStr">
        <is>
          <t>Nilai Input</t>
        </is>
      </c>
      <c r="E51" s="25" t="inlineStr">
        <is>
          <t>Persoalan #5: Terapkan rumus DEC2HEX pada nilai di sel C52 (32)!</t>
        </is>
      </c>
    </row>
    <row r="52">
      <c r="B52" s="18" t="inlineStr">
        <is>
          <t>Kelas 10 IPA</t>
        </is>
      </c>
      <c r="C52" s="18" t="n">
        <v>32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25</v>
      </c>
      <c r="E53" s="26" t="n"/>
      <c r="F53" s="27">
        <f>IF(ISBLANK(E53), "⏳ Ketik rumus di sel kuning E53", IF(E53=G53, "✅ BENAR! LUAR BIASA!", "❌ Belum Tepat, Cek Kunci"))</f>
        <v/>
      </c>
      <c r="G53" s="28">
        <f>DEC2HEX(C52)</f>
        <v/>
      </c>
      <c r="H53" s="29" t="inlineStr">
        <is>
          <t>Ketik: =DEC2HEX(C52)</t>
        </is>
      </c>
    </row>
    <row r="54">
      <c r="B54" s="18" t="inlineStr">
        <is>
          <t>Kelas 12 IPA</t>
        </is>
      </c>
      <c r="C54" s="18" t="n">
        <v>49</v>
      </c>
    </row>
    <row r="55">
      <c r="B55" s="18" t="inlineStr">
        <is>
          <t>Kelas Unggulan</t>
        </is>
      </c>
      <c r="C55" s="18" t="n">
        <v>100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#023 — RUMUS EXCEL: AVEDEV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(AVEDEV)</t>
        </is>
      </c>
    </row>
    <row r="5" ht="21" customHeight="1">
      <c r="B5" s="12" t="inlineStr">
        <is>
          <t>Nama Rumus Excel</t>
        </is>
      </c>
      <c r="C5" s="13">
        <f>AVEDEV(...)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AVEDEV(range_data)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Mengukur rata-rata simpangan mutlak data dari nilai rata-ratanya (seberapa jauh angka-angka menyebar dari rata-rata).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AVEDEV)</t>
        </is>
      </c>
    </row>
    <row r="10">
      <c r="B10" s="16" t="inlineStr">
        <is>
          <t>Nama Unit / Kategori</t>
        </is>
      </c>
      <c r="C10" s="16" t="inlineStr">
        <is>
          <t>Nilai Data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rumus AVEDEV pada rentang sel C11:C14 untuk menghitung nilai AVEDEV dari ke-4 data di samping!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'=AVEDEV(C11:C14)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AVEDEV(C11:C14)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AVEDEV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Nama Unit / Kategori</t>
        </is>
      </c>
      <c r="C19" s="12" t="inlineStr">
        <is>
          <t>Nilai Data</t>
        </is>
      </c>
      <c r="E19" s="25" t="inlineStr">
        <is>
          <t>Persoalan #1: Gunakan rumus AVEDEV pada rentang sel C20:C23 untuk menghitung nilai AVEDEV dari ke-4 data di samping!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AVEDEV(C20:C23)</f>
        <v/>
      </c>
      <c r="H21" s="29" t="inlineStr">
        <is>
          <t>Ketik: =AVEDEV(C20:C23)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Nama Unit / Kategori</t>
        </is>
      </c>
      <c r="C27" s="12" t="inlineStr">
        <is>
          <t>Nilai Data</t>
        </is>
      </c>
      <c r="E27" s="25" t="inlineStr">
        <is>
          <t>Persoalan #2: Gunakan rumus AVEDEV pada rentang sel C28:C31 untuk menghitung nilai AVEDEV dari ke-4 data di samping!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AVEDEV(C28:C31)</f>
        <v/>
      </c>
      <c r="H29" s="29" t="inlineStr">
        <is>
          <t>Ketik: =AVEDEV(C28:C31)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Nama Unit / Kategori</t>
        </is>
      </c>
      <c r="C35" s="12" t="inlineStr">
        <is>
          <t>Nilai Data</t>
        </is>
      </c>
      <c r="E35" s="25" t="inlineStr">
        <is>
          <t>Persoalan #3: Gunakan rumus AVEDEV pada rentang sel C36:C39 untuk menghitung nilai AVEDEV dari ke-4 data di samping!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AVEDEV(C36:C39)</f>
        <v/>
      </c>
      <c r="H37" s="29" t="inlineStr">
        <is>
          <t>Ketik: =AVEDEV(C36:C39)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Nama Unit / Kategori</t>
        </is>
      </c>
      <c r="C43" s="12" t="inlineStr">
        <is>
          <t>Nilai Data</t>
        </is>
      </c>
      <c r="E43" s="25" t="inlineStr">
        <is>
          <t>Persoalan #4: Gunakan rumus AVEDEV pada rentang sel C44:C47 untuk menghitung nilai AVEDEV dari ke-4 data di samping!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AVEDEV(C44:C47)</f>
        <v/>
      </c>
      <c r="H45" s="29" t="inlineStr">
        <is>
          <t>Ketik: =AVEDEV(C44:C47)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Nama Unit / Kategori</t>
        </is>
      </c>
      <c r="C51" s="12" t="inlineStr">
        <is>
          <t>Nilai Data</t>
        </is>
      </c>
      <c r="E51" s="25" t="inlineStr">
        <is>
          <t>Persoalan #5: Gunakan rumus AVEDEV pada rentang sel C52:C55 untuk menghitung nilai AVEDEV dari ke-4 data di samping!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AVEDEV(C52:C55)</f>
        <v/>
      </c>
      <c r="H53" s="29" t="inlineStr">
        <is>
          <t>Ketik: =AVEDEV(C52:C55)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#024 — RUMUS EXCEL: AVERAGE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(AVERAGE)</t>
        </is>
      </c>
    </row>
    <row r="5" ht="21" customHeight="1">
      <c r="B5" s="12" t="inlineStr">
        <is>
          <t>Nama Rumus Excel</t>
        </is>
      </c>
      <c r="C5" s="13">
        <f>AVERAGE(...)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AVERAGE(range_data)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Menghitung nilai RATA-RATA (Mean) dari sekumpulan angka (Total dibagi banyaknya data).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AVERAGE)</t>
        </is>
      </c>
    </row>
    <row r="10">
      <c r="B10" s="16" t="inlineStr">
        <is>
          <t>Nama Unit / Kategori</t>
        </is>
      </c>
      <c r="C10" s="16" t="inlineStr">
        <is>
          <t>Nilai Data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rumus AVERAGE pada rentang sel C11:C14 untuk menghitung nilai AVERAGE dari ke-4 data di samping!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AVERAGE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Nama Unit / Kategori</t>
        </is>
      </c>
      <c r="C19" s="12" t="inlineStr">
        <is>
          <t>Nilai Data</t>
        </is>
      </c>
      <c r="E19" s="25" t="inlineStr">
        <is>
          <t>Persoalan #1: Gunakan rumus AVERAGE pada rentang sel C20:C23 untuk menghitung nilai AVERAGE dari ke-4 data di samping!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AVERAGE(C20:C23)</f>
        <v/>
      </c>
      <c r="H21" s="29" t="inlineStr">
        <is>
          <t>Ketik: =AVERAGE(C20:C23)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Nama Unit / Kategori</t>
        </is>
      </c>
      <c r="C27" s="12" t="inlineStr">
        <is>
          <t>Nilai Data</t>
        </is>
      </c>
      <c r="E27" s="25" t="inlineStr">
        <is>
          <t>Persoalan #2: Gunakan rumus AVERAGE pada rentang sel C28:C31 untuk menghitung nilai AVERAGE dari ke-4 data di samping!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AVERAGE(C28:C31)</f>
        <v/>
      </c>
      <c r="H29" s="29" t="inlineStr">
        <is>
          <t>Ketik: =AVERAGE(C28:C31)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Nama Unit / Kategori</t>
        </is>
      </c>
      <c r="C35" s="12" t="inlineStr">
        <is>
          <t>Nilai Data</t>
        </is>
      </c>
      <c r="E35" s="25" t="inlineStr">
        <is>
          <t>Persoalan #3: Gunakan rumus AVERAGE pada rentang sel C36:C39 untuk menghitung nilai AVERAGE dari ke-4 data di samping!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AVERAGE(C36:C39)</f>
        <v/>
      </c>
      <c r="H37" s="29" t="inlineStr">
        <is>
          <t>Ketik: =AVERAGE(C36:C39)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Nama Unit / Kategori</t>
        </is>
      </c>
      <c r="C43" s="12" t="inlineStr">
        <is>
          <t>Nilai Data</t>
        </is>
      </c>
      <c r="E43" s="25" t="inlineStr">
        <is>
          <t>Persoalan #4: Gunakan rumus AVERAGE pada rentang sel C44:C47 untuk menghitung nilai AVERAGE dari ke-4 data di samping!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AVERAGE(C44:C47)</f>
        <v/>
      </c>
      <c r="H45" s="29" t="inlineStr">
        <is>
          <t>Ketik: =AVERAGE(C44:C47)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Nama Unit / Kategori</t>
        </is>
      </c>
      <c r="C51" s="12" t="inlineStr">
        <is>
          <t>Nilai Data</t>
        </is>
      </c>
      <c r="E51" s="25" t="inlineStr">
        <is>
          <t>Persoalan #5: Gunakan rumus AVERAGE pada rentang sel C52:C55 untuk menghitung nilai AVERAGE dari ke-4 data di samping!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AVERAGE(C52:C55)</f>
        <v/>
      </c>
      <c r="H53" s="29" t="inlineStr">
        <is>
          <t>Ketik: =AVERAGE(C52:C55)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#025 — RUMUS EXCEL: AVERAGEA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(AVERAGEA)</t>
        </is>
      </c>
    </row>
    <row r="5" ht="21" customHeight="1">
      <c r="B5" s="12" t="inlineStr">
        <is>
          <t>Nama Rumus Excel</t>
        </is>
      </c>
      <c r="C5" s="13">
        <f>AVERAGEA(...)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AVERAGEA(range_data)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Menghitung rata-rata dengan mengikutsertakan sel teks (dianggap 0) dan logika TRUE (dianggap 1).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AVERAGEA)</t>
        </is>
      </c>
    </row>
    <row r="10">
      <c r="B10" s="16" t="inlineStr">
        <is>
          <t>Nama Unit / Kategori</t>
        </is>
      </c>
      <c r="C10" s="16" t="inlineStr">
        <is>
          <t>Nilai Data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rumus AVERAGEA pada rentang sel C11:C14 untuk menghitung nilai AVERAGEA dari ke-4 data di samping!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'=AVERAGEA(C11:C14)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AVERAGEA(C11:C14)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AVERAGEA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Nama Unit / Kategori</t>
        </is>
      </c>
      <c r="C19" s="12" t="inlineStr">
        <is>
          <t>Nilai Data</t>
        </is>
      </c>
      <c r="E19" s="25" t="inlineStr">
        <is>
          <t>Persoalan #1: Gunakan rumus AVERAGEA pada rentang sel C20:C23 untuk menghitung nilai AVERAGEA dari ke-4 data di samping!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AVERAGEA(C20:C23)</f>
        <v/>
      </c>
      <c r="H21" s="29" t="inlineStr">
        <is>
          <t>Ketik: =AVERAGEA(C20:C23)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Nama Unit / Kategori</t>
        </is>
      </c>
      <c r="C27" s="12" t="inlineStr">
        <is>
          <t>Nilai Data</t>
        </is>
      </c>
      <c r="E27" s="25" t="inlineStr">
        <is>
          <t>Persoalan #2: Gunakan rumus AVERAGEA pada rentang sel C28:C31 untuk menghitung nilai AVERAGEA dari ke-4 data di samping!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AVERAGEA(C28:C31)</f>
        <v/>
      </c>
      <c r="H29" s="29" t="inlineStr">
        <is>
          <t>Ketik: =AVERAGEA(C28:C31)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Nama Unit / Kategori</t>
        </is>
      </c>
      <c r="C35" s="12" t="inlineStr">
        <is>
          <t>Nilai Data</t>
        </is>
      </c>
      <c r="E35" s="25" t="inlineStr">
        <is>
          <t>Persoalan #3: Gunakan rumus AVERAGEA pada rentang sel C36:C39 untuk menghitung nilai AVERAGEA dari ke-4 data di samping!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AVERAGEA(C36:C39)</f>
        <v/>
      </c>
      <c r="H37" s="29" t="inlineStr">
        <is>
          <t>Ketik: =AVERAGEA(C36:C39)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Nama Unit / Kategori</t>
        </is>
      </c>
      <c r="C43" s="12" t="inlineStr">
        <is>
          <t>Nilai Data</t>
        </is>
      </c>
      <c r="E43" s="25" t="inlineStr">
        <is>
          <t>Persoalan #4: Gunakan rumus AVERAGEA pada rentang sel C44:C47 untuk menghitung nilai AVERAGEA dari ke-4 data di samping!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AVERAGEA(C44:C47)</f>
        <v/>
      </c>
      <c r="H45" s="29" t="inlineStr">
        <is>
          <t>Ketik: =AVERAGEA(C44:C47)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Nama Unit / Kategori</t>
        </is>
      </c>
      <c r="C51" s="12" t="inlineStr">
        <is>
          <t>Nilai Data</t>
        </is>
      </c>
      <c r="E51" s="25" t="inlineStr">
        <is>
          <t>Persoalan #5: Gunakan rumus AVERAGEA pada rentang sel C52:C55 untuk menghitung nilai AVERAGEA dari ke-4 data di samping!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AVERAGEA(C52:C55)</f>
        <v/>
      </c>
      <c r="H53" s="29" t="inlineStr">
        <is>
          <t>Ketik: =AVERAGEA(C52:C55)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#026 — RUMUS EXCEL: AVERAGEIF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(AVERAGEIF)</t>
        </is>
      </c>
    </row>
    <row r="5" ht="21" customHeight="1">
      <c r="B5" s="12" t="inlineStr">
        <is>
          <t>Nama Rumus Excel</t>
        </is>
      </c>
      <c r="C5" s="13">
        <f>AVERAGEIF(...)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AVERAGEIF(range_syarat, syarat, [range_rata2])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Menghitung rata-rata khusus untuk data yang memenuhi 1 syarat tertentu saja.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AVERAGEIF)</t>
        </is>
      </c>
    </row>
    <row r="10">
      <c r="B10" s="16" t="inlineStr">
        <is>
          <t>Kategori Lokasi</t>
        </is>
      </c>
      <c r="C10" s="16" t="inlineStr">
        <is>
          <t>Nilai Transaksi</t>
        </is>
      </c>
      <c r="E10" s="17" t="inlineStr">
        <is>
          <t>💡 CONTOH RUMUS YANG SUDAH TERPASANG AKTIF:</t>
        </is>
      </c>
    </row>
    <row r="11">
      <c r="B11" s="18" t="inlineStr">
        <is>
          <t>Pusat</t>
        </is>
      </c>
      <c r="C11" s="18" t="n">
        <v>1250000</v>
      </c>
      <c r="E11" s="19" t="inlineStr">
        <is>
          <t>Kasus Contoh:</t>
        </is>
      </c>
      <c r="F11" s="20" t="inlineStr">
        <is>
          <t>Gunakan rumus AVERAGEIF untuk menghitung khusus kategori "Pusat" saja (Kolom syarat: B11:B14, Kolom nilai: C11:C14)!</t>
        </is>
      </c>
    </row>
    <row r="12">
      <c r="B12" s="18" t="inlineStr">
        <is>
          <t>Cabang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'=AVERAGEIF(B11:B14, "Pusat", C11:C14)</t>
        </is>
      </c>
    </row>
    <row r="13">
      <c r="B13" s="18" t="inlineStr">
        <is>
          <t>Pusat</t>
        </is>
      </c>
      <c r="C13" s="18" t="n">
        <v>2100000</v>
      </c>
      <c r="E13" s="19" t="inlineStr">
        <is>
          <t>Hasil Otomatis Excel:</t>
        </is>
      </c>
      <c r="F13" s="22">
        <f>AVERAGEIF(B11:B14, "Pusat", C11:C14)</f>
        <v/>
      </c>
    </row>
    <row r="14">
      <c r="B14" s="18" t="inlineStr">
        <is>
          <t>Cabang</t>
        </is>
      </c>
      <c r="C14" s="18" t="n">
        <v>1600000</v>
      </c>
    </row>
    <row r="16" ht="26" customHeight="1">
      <c r="B16" s="23" t="inlineStr">
        <is>
          <t>3️⃣ 5 PERSOALAN DUNIA NYATA (KETIK RUMUS AVERAGEIF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Kategori Lokasi</t>
        </is>
      </c>
      <c r="C19" s="12" t="inlineStr">
        <is>
          <t>Nilai Transaksi</t>
        </is>
      </c>
      <c r="E19" s="25" t="inlineStr">
        <is>
          <t>Persoalan #1: Gunakan rumus AVERAGEIF untuk menghitung khusus kategori "Pusat" saja (Kolom syarat: B20:B23, Kolom nilai: C20:C23)!</t>
        </is>
      </c>
    </row>
    <row r="20">
      <c r="B20" s="18" t="inlineStr">
        <is>
          <t>Pusat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AVERAGEIF(B20:B23, "Pusat", C20:C23)</f>
        <v/>
      </c>
      <c r="H21" s="29" t="inlineStr">
        <is>
          <t>Ketik: =AVERAGEIF(B20:B23, "Pusat", C20:C23)</t>
        </is>
      </c>
    </row>
    <row r="22">
      <c r="B22" s="18" t="inlineStr">
        <is>
          <t>Pusat</t>
        </is>
      </c>
      <c r="C22" s="18" t="n">
        <v>2100000</v>
      </c>
    </row>
    <row r="23">
      <c r="B23" s="18" t="inlineStr">
        <is>
          <t>Cabang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Kategori Lokasi</t>
        </is>
      </c>
      <c r="C27" s="12" t="inlineStr">
        <is>
          <t>Nilai Transaksi</t>
        </is>
      </c>
      <c r="E27" s="25" t="inlineStr">
        <is>
          <t>Persoalan #2: Gunakan rumus AVERAGEIF untuk menghitung khusus kategori "Pusat" saja (Kolom syarat: B28:B31, Kolom nilai: C28:C31)!</t>
        </is>
      </c>
    </row>
    <row r="28">
      <c r="B28" s="18" t="inlineStr">
        <is>
          <t>Pusat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Cabang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AVERAGEIF(B28:B31, "Pusat", C28:C31)</f>
        <v/>
      </c>
      <c r="H29" s="29" t="inlineStr">
        <is>
          <t>Ketik: =AVERAGEIF(B28:B31, "Pusat", C28:C31)</t>
        </is>
      </c>
    </row>
    <row r="30">
      <c r="B30" s="18" t="inlineStr">
        <is>
          <t>Pusat</t>
        </is>
      </c>
      <c r="C30" s="18" t="n">
        <v>4800000</v>
      </c>
    </row>
    <row r="31">
      <c r="B31" s="18" t="inlineStr">
        <is>
          <t>Cabang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Kategori Lokasi</t>
        </is>
      </c>
      <c r="C35" s="12" t="inlineStr">
        <is>
          <t>Nilai Transaksi</t>
        </is>
      </c>
      <c r="E35" s="25" t="inlineStr">
        <is>
          <t>Persoalan #3: Gunakan rumus AVERAGEIF untuk menghitung khusus kategori "Pusat" saja (Kolom syarat: B36:B39, Kolom nilai: C36:C39)!</t>
        </is>
      </c>
    </row>
    <row r="36">
      <c r="B36" s="18" t="inlineStr">
        <is>
          <t>Pusat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Cabang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AVERAGEIF(B36:B39, "Pusat", C36:C39)</f>
        <v/>
      </c>
      <c r="H37" s="29" t="inlineStr">
        <is>
          <t>Ketik: =AVERAGEIF(B36:B39, "Pusat", C36:C39)</t>
        </is>
      </c>
    </row>
    <row r="38">
      <c r="B38" s="18" t="inlineStr">
        <is>
          <t>Pusat</t>
        </is>
      </c>
      <c r="C38" s="18" t="n">
        <v>195</v>
      </c>
    </row>
    <row r="39">
      <c r="B39" s="18" t="inlineStr">
        <is>
          <t>Cabang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Kategori Lokasi</t>
        </is>
      </c>
      <c r="C43" s="12" t="inlineStr">
        <is>
          <t>Nilai Transaksi</t>
        </is>
      </c>
      <c r="E43" s="25" t="inlineStr">
        <is>
          <t>Persoalan #4: Gunakan rumus AVERAGEIF untuk menghitung khusus kategori "Pusat" saja (Kolom syarat: B44:B47, Kolom nilai: C44:C47)!</t>
        </is>
      </c>
    </row>
    <row r="44">
      <c r="B44" s="18" t="inlineStr">
        <is>
          <t>Pusat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Cabang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AVERAGEIF(B44:B47, "Pusat", C44:C47)</f>
        <v/>
      </c>
      <c r="H45" s="29" t="inlineStr">
        <is>
          <t>Ketik: =AVERAGEIF(B44:B47, "Pusat", C44:C47)</t>
        </is>
      </c>
    </row>
    <row r="46">
      <c r="B46" s="18" t="inlineStr">
        <is>
          <t>Pusat</t>
        </is>
      </c>
      <c r="C46" s="18" t="n">
        <v>78</v>
      </c>
    </row>
    <row r="47">
      <c r="B47" s="18" t="inlineStr">
        <is>
          <t>Cabang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Kategori Lokasi</t>
        </is>
      </c>
      <c r="C51" s="12" t="inlineStr">
        <is>
          <t>Nilai Transaksi</t>
        </is>
      </c>
      <c r="E51" s="25" t="inlineStr">
        <is>
          <t>Persoalan #5: Gunakan rumus AVERAGEIF untuk menghitung khusus kategori "Pusat" saja (Kolom syarat: B52:B55, Kolom nilai: C52:C55)!</t>
        </is>
      </c>
    </row>
    <row r="52">
      <c r="B52" s="18" t="inlineStr">
        <is>
          <t>Pusat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Cabang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AVERAGEIF(B52:B55, "Pusat", C52:C55)</f>
        <v/>
      </c>
      <c r="H53" s="29" t="inlineStr">
        <is>
          <t>Ketik: =AVERAGEIF(B52:B55, "Pusat", C52:C55)</t>
        </is>
      </c>
    </row>
    <row r="54">
      <c r="B54" s="18" t="inlineStr">
        <is>
          <t>Pusat</t>
        </is>
      </c>
      <c r="C54" s="18" t="n">
        <v>91</v>
      </c>
    </row>
    <row r="55">
      <c r="B55" s="18" t="inlineStr">
        <is>
          <t>Cabang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#027 — RUMUS EXCEL: AVERAGEIFS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(AVERAGEIFS)</t>
        </is>
      </c>
    </row>
    <row r="5" ht="21" customHeight="1">
      <c r="B5" s="12" t="inlineStr">
        <is>
          <t>Nama Rumus Excel</t>
        </is>
      </c>
      <c r="C5" s="13">
        <f>AVERAGEIFS(...)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AVERAGEIFS(range_rata2, range_syarat1, syarat1, 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Menghitung rata-rata dengan banyak syarat sekaligus.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AVERAGEIFS)</t>
        </is>
      </c>
    </row>
    <row r="10">
      <c r="B10" s="16" t="inlineStr">
        <is>
          <t>Status Unit</t>
        </is>
      </c>
      <c r="C10" s="16" t="inlineStr">
        <is>
          <t>Nilai Realisasi</t>
        </is>
      </c>
      <c r="E10" s="17" t="inlineStr">
        <is>
          <t>💡 CONTOH RUMUS YANG SUDAH TERPASANG AKTIF:</t>
        </is>
      </c>
    </row>
    <row r="11">
      <c r="B11" s="18" t="inlineStr">
        <is>
          <t>Aktif</t>
        </is>
      </c>
      <c r="C11" s="18" t="n">
        <v>1250000</v>
      </c>
      <c r="E11" s="19" t="inlineStr">
        <is>
          <t>Kasus Contoh:</t>
        </is>
      </c>
      <c r="F11" s="20" t="inlineStr">
        <is>
          <t>Gunakan rumus AVERAGEIFS untuk mengolah nilai di C11:C14 yang berstatus "Aktif" pada kolom B11:B14!</t>
        </is>
      </c>
    </row>
    <row r="12">
      <c r="B12" s="18" t="inlineStr">
        <is>
          <t>Aktif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'=AVERAGEIFS(C11:C14, B11:B14, "Aktif")</t>
        </is>
      </c>
    </row>
    <row r="13">
      <c r="B13" s="18" t="inlineStr">
        <is>
          <t>Nonaktif</t>
        </is>
      </c>
      <c r="C13" s="18" t="n">
        <v>2100000</v>
      </c>
      <c r="E13" s="19" t="inlineStr">
        <is>
          <t>Hasil Otomatis Excel:</t>
        </is>
      </c>
      <c r="F13" s="22">
        <f>AVERAGEIFS(C11:C14, B11:B14, "Aktif")</f>
        <v/>
      </c>
    </row>
    <row r="14">
      <c r="B14" s="18" t="inlineStr">
        <is>
          <t>Aktif</t>
        </is>
      </c>
      <c r="C14" s="18" t="n">
        <v>1600000</v>
      </c>
    </row>
    <row r="16" ht="26" customHeight="1">
      <c r="B16" s="23" t="inlineStr">
        <is>
          <t>3️⃣ 5 PERSOALAN DUNIA NYATA (KETIK RUMUS AVERAGEIFS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Status Unit</t>
        </is>
      </c>
      <c r="C19" s="12" t="inlineStr">
        <is>
          <t>Nilai Realisasi</t>
        </is>
      </c>
      <c r="E19" s="25" t="inlineStr">
        <is>
          <t>Persoalan #1: Gunakan rumus AVERAGEIFS untuk mengolah nilai di C20:C23 yang berstatus "Aktif" pada kolom B20:B23!</t>
        </is>
      </c>
    </row>
    <row r="20">
      <c r="B20" s="18" t="inlineStr">
        <is>
          <t>Aktif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Aktif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AVERAGEIFS(C20:C23, B20:B23, "Aktif")</f>
        <v/>
      </c>
      <c r="H21" s="29" t="inlineStr">
        <is>
          <t>Ketik: =AVERAGEIFS(C20:C23, B20:B23, "Aktif")</t>
        </is>
      </c>
    </row>
    <row r="22">
      <c r="B22" s="18" t="inlineStr">
        <is>
          <t>Nonaktif</t>
        </is>
      </c>
      <c r="C22" s="18" t="n">
        <v>2100000</v>
      </c>
    </row>
    <row r="23">
      <c r="B23" s="18" t="inlineStr">
        <is>
          <t>Aktif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Status Unit</t>
        </is>
      </c>
      <c r="C27" s="12" t="inlineStr">
        <is>
          <t>Nilai Realisasi</t>
        </is>
      </c>
      <c r="E27" s="25" t="inlineStr">
        <is>
          <t>Persoalan #2: Gunakan rumus AVERAGEIFS untuk mengolah nilai di C28:C31 yang berstatus "Aktif" pada kolom B28:B31!</t>
        </is>
      </c>
    </row>
    <row r="28">
      <c r="B28" s="18" t="inlineStr">
        <is>
          <t>Aktif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Aktif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AVERAGEIFS(C28:C31, B28:B31, "Aktif")</f>
        <v/>
      </c>
      <c r="H29" s="29" t="inlineStr">
        <is>
          <t>Ketik: =AVERAGEIFS(C28:C31, B28:B31, "Aktif")</t>
        </is>
      </c>
    </row>
    <row r="30">
      <c r="B30" s="18" t="inlineStr">
        <is>
          <t>Nonaktif</t>
        </is>
      </c>
      <c r="C30" s="18" t="n">
        <v>4800000</v>
      </c>
    </row>
    <row r="31">
      <c r="B31" s="18" t="inlineStr">
        <is>
          <t>Aktif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Status Unit</t>
        </is>
      </c>
      <c r="C35" s="12" t="inlineStr">
        <is>
          <t>Nilai Realisasi</t>
        </is>
      </c>
      <c r="E35" s="25" t="inlineStr">
        <is>
          <t>Persoalan #3: Gunakan rumus AVERAGEIFS untuk mengolah nilai di C36:C39 yang berstatus "Aktif" pada kolom B36:B39!</t>
        </is>
      </c>
    </row>
    <row r="36">
      <c r="B36" s="18" t="inlineStr">
        <is>
          <t>Aktif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Aktif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AVERAGEIFS(C36:C39, B36:B39, "Aktif")</f>
        <v/>
      </c>
      <c r="H37" s="29" t="inlineStr">
        <is>
          <t>Ketik: =AVERAGEIFS(C36:C39, B36:B39, "Aktif")</t>
        </is>
      </c>
    </row>
    <row r="38">
      <c r="B38" s="18" t="inlineStr">
        <is>
          <t>Nonaktif</t>
        </is>
      </c>
      <c r="C38" s="18" t="n">
        <v>195</v>
      </c>
    </row>
    <row r="39">
      <c r="B39" s="18" t="inlineStr">
        <is>
          <t>Aktif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Status Unit</t>
        </is>
      </c>
      <c r="C43" s="12" t="inlineStr">
        <is>
          <t>Nilai Realisasi</t>
        </is>
      </c>
      <c r="E43" s="25" t="inlineStr">
        <is>
          <t>Persoalan #4: Gunakan rumus AVERAGEIFS untuk mengolah nilai di C44:C47 yang berstatus "Aktif" pada kolom B44:B47!</t>
        </is>
      </c>
    </row>
    <row r="44">
      <c r="B44" s="18" t="inlineStr">
        <is>
          <t>Aktif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Aktif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AVERAGEIFS(C44:C47, B44:B47, "Aktif")</f>
        <v/>
      </c>
      <c r="H45" s="29" t="inlineStr">
        <is>
          <t>Ketik: =AVERAGEIFS(C44:C47, B44:B47, "Aktif")</t>
        </is>
      </c>
    </row>
    <row r="46">
      <c r="B46" s="18" t="inlineStr">
        <is>
          <t>Nonaktif</t>
        </is>
      </c>
      <c r="C46" s="18" t="n">
        <v>78</v>
      </c>
    </row>
    <row r="47">
      <c r="B47" s="18" t="inlineStr">
        <is>
          <t>Aktif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Status Unit</t>
        </is>
      </c>
      <c r="C51" s="12" t="inlineStr">
        <is>
          <t>Nilai Realisasi</t>
        </is>
      </c>
      <c r="E51" s="25" t="inlineStr">
        <is>
          <t>Persoalan #5: Gunakan rumus AVERAGEIFS untuk mengolah nilai di C52:C55 yang berstatus "Aktif" pada kolom B52:B55!</t>
        </is>
      </c>
    </row>
    <row r="52">
      <c r="B52" s="18" t="inlineStr">
        <is>
          <t>Aktif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Aktif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AVERAGEIFS(C52:C55, B52:B55, "Aktif")</f>
        <v/>
      </c>
      <c r="H53" s="29" t="inlineStr">
        <is>
          <t>Ketik: =AVERAGEIFS(C52:C55, B52:B55, "Aktif")</t>
        </is>
      </c>
    </row>
    <row r="54">
      <c r="B54" s="18" t="inlineStr">
        <is>
          <t>Nonaktif</t>
        </is>
      </c>
      <c r="C54" s="18" t="n">
        <v>91</v>
      </c>
    </row>
    <row r="55">
      <c r="B55" s="18" t="inlineStr">
        <is>
          <t>Aktif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#028 — RUMUS EXCEL: BETA.DIST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(BETA.DIST)</t>
        </is>
      </c>
    </row>
    <row r="5" ht="21" customHeight="1">
      <c r="B5" s="12" t="inlineStr">
        <is>
          <t>Nama Rumus Excel</t>
        </is>
      </c>
      <c r="C5" s="13">
        <f>BETA.DIST(...)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BETA.DIST(...)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Fungsi Statistik &amp; Analisis Data Excel (BETA.DIST) untuk mengolah distribusi, peluang, standar deviasi, dan pengujian hipotesis data secara presisi.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BETA.DIST)</t>
        </is>
      </c>
    </row>
    <row r="10">
      <c r="B10" s="16" t="inlineStr">
        <is>
          <t>Sampel Observasi</t>
        </is>
      </c>
      <c r="C10" s="16" t="inlineStr">
        <is>
          <t>Nilai Pengukuran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fungsi analisis statistik pada rentang data C11:C14 (Contoh rumus: =AVERAGE(C11:C14))!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BETA.DIST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Sampel Observasi</t>
        </is>
      </c>
      <c r="C19" s="12" t="inlineStr">
        <is>
          <t>Nilai Pengukuran</t>
        </is>
      </c>
      <c r="E19" s="25" t="inlineStr">
        <is>
          <t>Persoalan #1: Gunakan fungsi analisis statistik pada rentang data C20:C23 (Contoh rumus: =AVERAGE(C20:C23))!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AVERAGE(C20:C23)</f>
        <v/>
      </c>
      <c r="H21" s="29" t="inlineStr">
        <is>
          <t>Ketik: =AVERAGE(C20:C23)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Sampel Observasi</t>
        </is>
      </c>
      <c r="C27" s="12" t="inlineStr">
        <is>
          <t>Nilai Pengukuran</t>
        </is>
      </c>
      <c r="E27" s="25" t="inlineStr">
        <is>
          <t>Persoalan #2: Gunakan fungsi analisis statistik pada rentang data C28:C31 (Contoh rumus: =AVERAGE(C28:C31))!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AVERAGE(C28:C31)</f>
        <v/>
      </c>
      <c r="H29" s="29" t="inlineStr">
        <is>
          <t>Ketik: =AVERAGE(C28:C31)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Sampel Observasi</t>
        </is>
      </c>
      <c r="C35" s="12" t="inlineStr">
        <is>
          <t>Nilai Pengukuran</t>
        </is>
      </c>
      <c r="E35" s="25" t="inlineStr">
        <is>
          <t>Persoalan #3: Gunakan fungsi analisis statistik pada rentang data C36:C39 (Contoh rumus: =AVERAGE(C36:C39))!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AVERAGE(C36:C39)</f>
        <v/>
      </c>
      <c r="H37" s="29" t="inlineStr">
        <is>
          <t>Ketik: =AVERAGE(C36:C39)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Sampel Observasi</t>
        </is>
      </c>
      <c r="C43" s="12" t="inlineStr">
        <is>
          <t>Nilai Pengukuran</t>
        </is>
      </c>
      <c r="E43" s="25" t="inlineStr">
        <is>
          <t>Persoalan #4: Gunakan fungsi analisis statistik pada rentang data C44:C47 (Contoh rumus: =AVERAGE(C44:C47))!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AVERAGE(C44:C47)</f>
        <v/>
      </c>
      <c r="H45" s="29" t="inlineStr">
        <is>
          <t>Ketik: =AVERAGE(C44:C47)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Sampel Observasi</t>
        </is>
      </c>
      <c r="C51" s="12" t="inlineStr">
        <is>
          <t>Nilai Pengukuran</t>
        </is>
      </c>
      <c r="E51" s="25" t="inlineStr">
        <is>
          <t>Persoalan #5: Gunakan fungsi analisis statistik pada rentang data C52:C55 (Contoh rumus: =AVERAGE(C52:C55))!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AVERAGE(C52:C55)</f>
        <v/>
      </c>
      <c r="H53" s="29" t="inlineStr">
        <is>
          <t>Ketik: =AVERAGE(C52:C55)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#029 — RUMUS EXCEL: BETA.INV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(BETA.INV)</t>
        </is>
      </c>
    </row>
    <row r="5" ht="21" customHeight="1">
      <c r="B5" s="12" t="inlineStr">
        <is>
          <t>Nama Rumus Excel</t>
        </is>
      </c>
      <c r="C5" s="13">
        <f>BETA.INV(...)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BETA.INV(...)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Fungsi Statistik &amp; Analisis Data Excel (BETA.INV) untuk mengolah distribusi, peluang, standar deviasi, dan pengujian hipotesis data secara presisi.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BETA.INV)</t>
        </is>
      </c>
    </row>
    <row r="10">
      <c r="B10" s="16" t="inlineStr">
        <is>
          <t>Sampel Observasi</t>
        </is>
      </c>
      <c r="C10" s="16" t="inlineStr">
        <is>
          <t>Nilai Pengukuran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fungsi analisis statistik pada rentang data C11:C14 (Contoh rumus: =AVERAGE(C11:C14))!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BETA.INV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Sampel Observasi</t>
        </is>
      </c>
      <c r="C19" s="12" t="inlineStr">
        <is>
          <t>Nilai Pengukuran</t>
        </is>
      </c>
      <c r="E19" s="25" t="inlineStr">
        <is>
          <t>Persoalan #1: Gunakan fungsi analisis statistik pada rentang data C20:C23 (Contoh rumus: =AVERAGE(C20:C23))!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AVERAGE(C20:C23)</f>
        <v/>
      </c>
      <c r="H21" s="29" t="inlineStr">
        <is>
          <t>Ketik: =AVERAGE(C20:C23)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Sampel Observasi</t>
        </is>
      </c>
      <c r="C27" s="12" t="inlineStr">
        <is>
          <t>Nilai Pengukuran</t>
        </is>
      </c>
      <c r="E27" s="25" t="inlineStr">
        <is>
          <t>Persoalan #2: Gunakan fungsi analisis statistik pada rentang data C28:C31 (Contoh rumus: =AVERAGE(C28:C31))!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AVERAGE(C28:C31)</f>
        <v/>
      </c>
      <c r="H29" s="29" t="inlineStr">
        <is>
          <t>Ketik: =AVERAGE(C28:C31)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Sampel Observasi</t>
        </is>
      </c>
      <c r="C35" s="12" t="inlineStr">
        <is>
          <t>Nilai Pengukuran</t>
        </is>
      </c>
      <c r="E35" s="25" t="inlineStr">
        <is>
          <t>Persoalan #3: Gunakan fungsi analisis statistik pada rentang data C36:C39 (Contoh rumus: =AVERAGE(C36:C39))!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AVERAGE(C36:C39)</f>
        <v/>
      </c>
      <c r="H37" s="29" t="inlineStr">
        <is>
          <t>Ketik: =AVERAGE(C36:C39)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Sampel Observasi</t>
        </is>
      </c>
      <c r="C43" s="12" t="inlineStr">
        <is>
          <t>Nilai Pengukuran</t>
        </is>
      </c>
      <c r="E43" s="25" t="inlineStr">
        <is>
          <t>Persoalan #4: Gunakan fungsi analisis statistik pada rentang data C44:C47 (Contoh rumus: =AVERAGE(C44:C47))!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AVERAGE(C44:C47)</f>
        <v/>
      </c>
      <c r="H45" s="29" t="inlineStr">
        <is>
          <t>Ketik: =AVERAGE(C44:C47)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Sampel Observasi</t>
        </is>
      </c>
      <c r="C51" s="12" t="inlineStr">
        <is>
          <t>Nilai Pengukuran</t>
        </is>
      </c>
      <c r="E51" s="25" t="inlineStr">
        <is>
          <t>Persoalan #5: Gunakan fungsi analisis statistik pada rentang data C52:C55 (Contoh rumus: =AVERAGE(C52:C55))!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AVERAGE(C52:C55)</f>
        <v/>
      </c>
      <c r="H53" s="29" t="inlineStr">
        <is>
          <t>Ketik: =AVERAGE(C52:C55)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#030 — RUMUS EXCEL: BINOM.DIST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(BINOM.DIST)</t>
        </is>
      </c>
    </row>
    <row r="5" ht="21" customHeight="1">
      <c r="B5" s="12" t="inlineStr">
        <is>
          <t>Nama Rumus Excel</t>
        </is>
      </c>
      <c r="C5" s="13">
        <f>BINOM.DIST(...)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BINOM.DIST(...)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Fungsi Statistik &amp; Analisis Data Excel (BINOM.DIST) untuk mengolah distribusi, peluang, standar deviasi, dan pengujian hipotesis data secara presisi.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BINOM.DIST)</t>
        </is>
      </c>
    </row>
    <row r="10">
      <c r="B10" s="16" t="inlineStr">
        <is>
          <t>Sampel Observasi</t>
        </is>
      </c>
      <c r="C10" s="16" t="inlineStr">
        <is>
          <t>Nilai Pengukuran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fungsi analisis statistik pada rentang data C11:C14 (Contoh rumus: =AVERAGE(C11:C14))!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BINOM.DIST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Sampel Observasi</t>
        </is>
      </c>
      <c r="C19" s="12" t="inlineStr">
        <is>
          <t>Nilai Pengukuran</t>
        </is>
      </c>
      <c r="E19" s="25" t="inlineStr">
        <is>
          <t>Persoalan #1: Gunakan fungsi analisis statistik pada rentang data C20:C23 (Contoh rumus: =AVERAGE(C20:C23))!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AVERAGE(C20:C23)</f>
        <v/>
      </c>
      <c r="H21" s="29" t="inlineStr">
        <is>
          <t>Ketik: =AVERAGE(C20:C23)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Sampel Observasi</t>
        </is>
      </c>
      <c r="C27" s="12" t="inlineStr">
        <is>
          <t>Nilai Pengukuran</t>
        </is>
      </c>
      <c r="E27" s="25" t="inlineStr">
        <is>
          <t>Persoalan #2: Gunakan fungsi analisis statistik pada rentang data C28:C31 (Contoh rumus: =AVERAGE(C28:C31))!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AVERAGE(C28:C31)</f>
        <v/>
      </c>
      <c r="H29" s="29" t="inlineStr">
        <is>
          <t>Ketik: =AVERAGE(C28:C31)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Sampel Observasi</t>
        </is>
      </c>
      <c r="C35" s="12" t="inlineStr">
        <is>
          <t>Nilai Pengukuran</t>
        </is>
      </c>
      <c r="E35" s="25" t="inlineStr">
        <is>
          <t>Persoalan #3: Gunakan fungsi analisis statistik pada rentang data C36:C39 (Contoh rumus: =AVERAGE(C36:C39))!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AVERAGE(C36:C39)</f>
        <v/>
      </c>
      <c r="H37" s="29" t="inlineStr">
        <is>
          <t>Ketik: =AVERAGE(C36:C39)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Sampel Observasi</t>
        </is>
      </c>
      <c r="C43" s="12" t="inlineStr">
        <is>
          <t>Nilai Pengukuran</t>
        </is>
      </c>
      <c r="E43" s="25" t="inlineStr">
        <is>
          <t>Persoalan #4: Gunakan fungsi analisis statistik pada rentang data C44:C47 (Contoh rumus: =AVERAGE(C44:C47))!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AVERAGE(C44:C47)</f>
        <v/>
      </c>
      <c r="H45" s="29" t="inlineStr">
        <is>
          <t>Ketik: =AVERAGE(C44:C47)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Sampel Observasi</t>
        </is>
      </c>
      <c r="C51" s="12" t="inlineStr">
        <is>
          <t>Nilai Pengukuran</t>
        </is>
      </c>
      <c r="E51" s="25" t="inlineStr">
        <is>
          <t>Persoalan #5: Gunakan fungsi analisis statistik pada rentang data C52:C55 (Contoh rumus: =AVERAGE(C52:C55))!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AVERAGE(C52:C55)</f>
        <v/>
      </c>
      <c r="H53" s="29" t="inlineStr">
        <is>
          <t>Ketik: =AVERAGE(C52:C55)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#031 — RUMUS EXCEL: BINOM.INV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(BINOM.INV)</t>
        </is>
      </c>
    </row>
    <row r="5" ht="21" customHeight="1">
      <c r="B5" s="12" t="inlineStr">
        <is>
          <t>Nama Rumus Excel</t>
        </is>
      </c>
      <c r="C5" s="13">
        <f>BINOM.INV(...)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BINOM.INV(...)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Fungsi Statistik &amp; Analisis Data Excel (BINOM.INV) untuk mengolah distribusi, peluang, standar deviasi, dan pengujian hipotesis data secara presisi.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BINOM.INV)</t>
        </is>
      </c>
    </row>
    <row r="10">
      <c r="B10" s="16" t="inlineStr">
        <is>
          <t>Sampel Observasi</t>
        </is>
      </c>
      <c r="C10" s="16" t="inlineStr">
        <is>
          <t>Nilai Pengukuran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fungsi analisis statistik pada rentang data C11:C14 (Contoh rumus: =AVERAGE(C11:C14))!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BINOM.INV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Sampel Observasi</t>
        </is>
      </c>
      <c r="C19" s="12" t="inlineStr">
        <is>
          <t>Nilai Pengukuran</t>
        </is>
      </c>
      <c r="E19" s="25" t="inlineStr">
        <is>
          <t>Persoalan #1: Gunakan fungsi analisis statistik pada rentang data C20:C23 (Contoh rumus: =AVERAGE(C20:C23))!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AVERAGE(C20:C23)</f>
        <v/>
      </c>
      <c r="H21" s="29" t="inlineStr">
        <is>
          <t>Ketik: =AVERAGE(C20:C23)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Sampel Observasi</t>
        </is>
      </c>
      <c r="C27" s="12" t="inlineStr">
        <is>
          <t>Nilai Pengukuran</t>
        </is>
      </c>
      <c r="E27" s="25" t="inlineStr">
        <is>
          <t>Persoalan #2: Gunakan fungsi analisis statistik pada rentang data C28:C31 (Contoh rumus: =AVERAGE(C28:C31))!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AVERAGE(C28:C31)</f>
        <v/>
      </c>
      <c r="H29" s="29" t="inlineStr">
        <is>
          <t>Ketik: =AVERAGE(C28:C31)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Sampel Observasi</t>
        </is>
      </c>
      <c r="C35" s="12" t="inlineStr">
        <is>
          <t>Nilai Pengukuran</t>
        </is>
      </c>
      <c r="E35" s="25" t="inlineStr">
        <is>
          <t>Persoalan #3: Gunakan fungsi analisis statistik pada rentang data C36:C39 (Contoh rumus: =AVERAGE(C36:C39))!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AVERAGE(C36:C39)</f>
        <v/>
      </c>
      <c r="H37" s="29" t="inlineStr">
        <is>
          <t>Ketik: =AVERAGE(C36:C39)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Sampel Observasi</t>
        </is>
      </c>
      <c r="C43" s="12" t="inlineStr">
        <is>
          <t>Nilai Pengukuran</t>
        </is>
      </c>
      <c r="E43" s="25" t="inlineStr">
        <is>
          <t>Persoalan #4: Gunakan fungsi analisis statistik pada rentang data C44:C47 (Contoh rumus: =AVERAGE(C44:C47))!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AVERAGE(C44:C47)</f>
        <v/>
      </c>
      <c r="H45" s="29" t="inlineStr">
        <is>
          <t>Ketik: =AVERAGE(C44:C47)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Sampel Observasi</t>
        </is>
      </c>
      <c r="C51" s="12" t="inlineStr">
        <is>
          <t>Nilai Pengukuran</t>
        </is>
      </c>
      <c r="E51" s="25" t="inlineStr">
        <is>
          <t>Persoalan #5: Gunakan fungsi analisis statistik pada rentang data C52:C55 (Contoh rumus: =AVERAGE(C52:C55))!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AVERAGE(C52:C55)</f>
        <v/>
      </c>
      <c r="H53" s="29" t="inlineStr">
        <is>
          <t>Ketik: =AVERAGE(C52:C55)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#032 — RUMUS EXCEL: CHISQ.DIST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(CHISQ.DIST)</t>
        </is>
      </c>
    </row>
    <row r="5" ht="21" customHeight="1">
      <c r="B5" s="12" t="inlineStr">
        <is>
          <t>Nama Rumus Excel</t>
        </is>
      </c>
      <c r="C5" s="13">
        <f>CHISQ.DIST(...)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CHISQ.DIST(...)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Fungsi Statistik &amp; Analisis Data Excel (CHISQ.DIST) untuk mengolah distribusi, peluang, standar deviasi, dan pengujian hipotesis data secara presisi.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CHISQ.DIST)</t>
        </is>
      </c>
    </row>
    <row r="10">
      <c r="B10" s="16" t="inlineStr">
        <is>
          <t>Sampel Observasi</t>
        </is>
      </c>
      <c r="C10" s="16" t="inlineStr">
        <is>
          <t>Nilai Pengukuran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fungsi analisis statistik pada rentang data C11:C14 (Contoh rumus: =AVERAGE(C11:C14))!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CHISQ.DIST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Sampel Observasi</t>
        </is>
      </c>
      <c r="C19" s="12" t="inlineStr">
        <is>
          <t>Nilai Pengukuran</t>
        </is>
      </c>
      <c r="E19" s="25" t="inlineStr">
        <is>
          <t>Persoalan #1: Gunakan fungsi analisis statistik pada rentang data C20:C23 (Contoh rumus: =AVERAGE(C20:C23))!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AVERAGE(C20:C23)</f>
        <v/>
      </c>
      <c r="H21" s="29" t="inlineStr">
        <is>
          <t>Ketik: =AVERAGE(C20:C23)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Sampel Observasi</t>
        </is>
      </c>
      <c r="C27" s="12" t="inlineStr">
        <is>
          <t>Nilai Pengukuran</t>
        </is>
      </c>
      <c r="E27" s="25" t="inlineStr">
        <is>
          <t>Persoalan #2: Gunakan fungsi analisis statistik pada rentang data C28:C31 (Contoh rumus: =AVERAGE(C28:C31))!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AVERAGE(C28:C31)</f>
        <v/>
      </c>
      <c r="H29" s="29" t="inlineStr">
        <is>
          <t>Ketik: =AVERAGE(C28:C31)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Sampel Observasi</t>
        </is>
      </c>
      <c r="C35" s="12" t="inlineStr">
        <is>
          <t>Nilai Pengukuran</t>
        </is>
      </c>
      <c r="E35" s="25" t="inlineStr">
        <is>
          <t>Persoalan #3: Gunakan fungsi analisis statistik pada rentang data C36:C39 (Contoh rumus: =AVERAGE(C36:C39))!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AVERAGE(C36:C39)</f>
        <v/>
      </c>
      <c r="H37" s="29" t="inlineStr">
        <is>
          <t>Ketik: =AVERAGE(C36:C39)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Sampel Observasi</t>
        </is>
      </c>
      <c r="C43" s="12" t="inlineStr">
        <is>
          <t>Nilai Pengukuran</t>
        </is>
      </c>
      <c r="E43" s="25" t="inlineStr">
        <is>
          <t>Persoalan #4: Gunakan fungsi analisis statistik pada rentang data C44:C47 (Contoh rumus: =AVERAGE(C44:C47))!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AVERAGE(C44:C47)</f>
        <v/>
      </c>
      <c r="H45" s="29" t="inlineStr">
        <is>
          <t>Ketik: =AVERAGE(C44:C47)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Sampel Observasi</t>
        </is>
      </c>
      <c r="C51" s="12" t="inlineStr">
        <is>
          <t>Nilai Pengukuran</t>
        </is>
      </c>
      <c r="E51" s="25" t="inlineStr">
        <is>
          <t>Persoalan #5: Gunakan fungsi analisis statistik pada rentang data C52:C55 (Contoh rumus: =AVERAGE(C52:C55))!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AVERAGE(C52:C55)</f>
        <v/>
      </c>
      <c r="H53" s="29" t="inlineStr">
        <is>
          <t>Ketik: =AVERAGE(C52:C55)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#033 — RUMUS EXCEL: CHISQ.DIST.RT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(CHISQ.DIST.RT)</t>
        </is>
      </c>
    </row>
    <row r="5" ht="21" customHeight="1">
      <c r="B5" s="12" t="inlineStr">
        <is>
          <t>Nama Rumus Excel</t>
        </is>
      </c>
      <c r="C5" s="13">
        <f>CHISQ.DIST.RT(...)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CHISQ.DIST.RT(...)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Fungsi Statistik &amp; Analisis Data Excel (CHISQ.DIST.RT) untuk mengolah distribusi, peluang, standar deviasi, dan pengujian hipotesis data secara presisi.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CHISQ.DIST.RT)</t>
        </is>
      </c>
    </row>
    <row r="10">
      <c r="B10" s="16" t="inlineStr">
        <is>
          <t>Sampel Observasi</t>
        </is>
      </c>
      <c r="C10" s="16" t="inlineStr">
        <is>
          <t>Nilai Pengukuran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fungsi analisis statistik pada rentang data C11:C14 (Contoh rumus: =AVERAGE(C11:C14))!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CHISQ.DIST.RT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Sampel Observasi</t>
        </is>
      </c>
      <c r="C19" s="12" t="inlineStr">
        <is>
          <t>Nilai Pengukuran</t>
        </is>
      </c>
      <c r="E19" s="25" t="inlineStr">
        <is>
          <t>Persoalan #1: Gunakan fungsi analisis statistik pada rentang data C20:C23 (Contoh rumus: =AVERAGE(C20:C23))!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AVERAGE(C20:C23)</f>
        <v/>
      </c>
      <c r="H21" s="29" t="inlineStr">
        <is>
          <t>Ketik: =AVERAGE(C20:C23)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Sampel Observasi</t>
        </is>
      </c>
      <c r="C27" s="12" t="inlineStr">
        <is>
          <t>Nilai Pengukuran</t>
        </is>
      </c>
      <c r="E27" s="25" t="inlineStr">
        <is>
          <t>Persoalan #2: Gunakan fungsi analisis statistik pada rentang data C28:C31 (Contoh rumus: =AVERAGE(C28:C31))!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AVERAGE(C28:C31)</f>
        <v/>
      </c>
      <c r="H29" s="29" t="inlineStr">
        <is>
          <t>Ketik: =AVERAGE(C28:C31)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Sampel Observasi</t>
        </is>
      </c>
      <c r="C35" s="12" t="inlineStr">
        <is>
          <t>Nilai Pengukuran</t>
        </is>
      </c>
      <c r="E35" s="25" t="inlineStr">
        <is>
          <t>Persoalan #3: Gunakan fungsi analisis statistik pada rentang data C36:C39 (Contoh rumus: =AVERAGE(C36:C39))!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AVERAGE(C36:C39)</f>
        <v/>
      </c>
      <c r="H37" s="29" t="inlineStr">
        <is>
          <t>Ketik: =AVERAGE(C36:C39)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Sampel Observasi</t>
        </is>
      </c>
      <c r="C43" s="12" t="inlineStr">
        <is>
          <t>Nilai Pengukuran</t>
        </is>
      </c>
      <c r="E43" s="25" t="inlineStr">
        <is>
          <t>Persoalan #4: Gunakan fungsi analisis statistik pada rentang data C44:C47 (Contoh rumus: =AVERAGE(C44:C47))!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AVERAGE(C44:C47)</f>
        <v/>
      </c>
      <c r="H45" s="29" t="inlineStr">
        <is>
          <t>Ketik: =AVERAGE(C44:C47)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Sampel Observasi</t>
        </is>
      </c>
      <c r="C51" s="12" t="inlineStr">
        <is>
          <t>Nilai Pengukuran</t>
        </is>
      </c>
      <c r="E51" s="25" t="inlineStr">
        <is>
          <t>Persoalan #5: Gunakan fungsi analisis statistik pada rentang data C52:C55 (Contoh rumus: =AVERAGE(C52:C55))!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AVERAGE(C52:C55)</f>
        <v/>
      </c>
      <c r="H53" s="29" t="inlineStr">
        <is>
          <t>Ketik: =AVERAGE(C52:C55)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#034 — RUMUS EXCEL: CHISQ.INV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(CHISQ.INV)</t>
        </is>
      </c>
    </row>
    <row r="5" ht="21" customHeight="1">
      <c r="B5" s="12" t="inlineStr">
        <is>
          <t>Nama Rumus Excel</t>
        </is>
      </c>
      <c r="C5" s="13">
        <f>CHISQ.INV(...)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CHISQ.INV(...)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Fungsi Statistik &amp; Analisis Data Excel (CHISQ.INV) untuk mengolah distribusi, peluang, standar deviasi, dan pengujian hipotesis data secara presisi.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CHISQ.INV)</t>
        </is>
      </c>
    </row>
    <row r="10">
      <c r="B10" s="16" t="inlineStr">
        <is>
          <t>Sampel Observasi</t>
        </is>
      </c>
      <c r="C10" s="16" t="inlineStr">
        <is>
          <t>Nilai Pengukuran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fungsi analisis statistik pada rentang data C11:C14 (Contoh rumus: =AVERAGE(C11:C14))!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CHISQ.INV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Sampel Observasi</t>
        </is>
      </c>
      <c r="C19" s="12" t="inlineStr">
        <is>
          <t>Nilai Pengukuran</t>
        </is>
      </c>
      <c r="E19" s="25" t="inlineStr">
        <is>
          <t>Persoalan #1: Gunakan fungsi analisis statistik pada rentang data C20:C23 (Contoh rumus: =AVERAGE(C20:C23))!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AVERAGE(C20:C23)</f>
        <v/>
      </c>
      <c r="H21" s="29" t="inlineStr">
        <is>
          <t>Ketik: =AVERAGE(C20:C23)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Sampel Observasi</t>
        </is>
      </c>
      <c r="C27" s="12" t="inlineStr">
        <is>
          <t>Nilai Pengukuran</t>
        </is>
      </c>
      <c r="E27" s="25" t="inlineStr">
        <is>
          <t>Persoalan #2: Gunakan fungsi analisis statistik pada rentang data C28:C31 (Contoh rumus: =AVERAGE(C28:C31))!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AVERAGE(C28:C31)</f>
        <v/>
      </c>
      <c r="H29" s="29" t="inlineStr">
        <is>
          <t>Ketik: =AVERAGE(C28:C31)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Sampel Observasi</t>
        </is>
      </c>
      <c r="C35" s="12" t="inlineStr">
        <is>
          <t>Nilai Pengukuran</t>
        </is>
      </c>
      <c r="E35" s="25" t="inlineStr">
        <is>
          <t>Persoalan #3: Gunakan fungsi analisis statistik pada rentang data C36:C39 (Contoh rumus: =AVERAGE(C36:C39))!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AVERAGE(C36:C39)</f>
        <v/>
      </c>
      <c r="H37" s="29" t="inlineStr">
        <is>
          <t>Ketik: =AVERAGE(C36:C39)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Sampel Observasi</t>
        </is>
      </c>
      <c r="C43" s="12" t="inlineStr">
        <is>
          <t>Nilai Pengukuran</t>
        </is>
      </c>
      <c r="E43" s="25" t="inlineStr">
        <is>
          <t>Persoalan #4: Gunakan fungsi analisis statistik pada rentang data C44:C47 (Contoh rumus: =AVERAGE(C44:C47))!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AVERAGE(C44:C47)</f>
        <v/>
      </c>
      <c r="H45" s="29" t="inlineStr">
        <is>
          <t>Ketik: =AVERAGE(C44:C47)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Sampel Observasi</t>
        </is>
      </c>
      <c r="C51" s="12" t="inlineStr">
        <is>
          <t>Nilai Pengukuran</t>
        </is>
      </c>
      <c r="E51" s="25" t="inlineStr">
        <is>
          <t>Persoalan #5: Gunakan fungsi analisis statistik pada rentang data C52:C55 (Contoh rumus: =AVERAGE(C52:C55))!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AVERAGE(C52:C55)</f>
        <v/>
      </c>
      <c r="H53" s="29" t="inlineStr">
        <is>
          <t>Ketik: =AVERAGE(C52:C55)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#035 — RUMUS EXCEL: CHISQ.RT.INV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(CHISQ.RT.INV)</t>
        </is>
      </c>
    </row>
    <row r="5" ht="21" customHeight="1">
      <c r="B5" s="12" t="inlineStr">
        <is>
          <t>Nama Rumus Excel</t>
        </is>
      </c>
      <c r="C5" s="13">
        <f>CHISQ.RT.INV(...)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CHISQ.RT.INV(...)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Fungsi Statistik &amp; Analisis Data Excel (CHISQ.RT.INV) untuk mengolah distribusi, peluang, standar deviasi, dan pengujian hipotesis data secara presisi.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CHISQ.RT.INV)</t>
        </is>
      </c>
    </row>
    <row r="10">
      <c r="B10" s="16" t="inlineStr">
        <is>
          <t>Sampel Observasi</t>
        </is>
      </c>
      <c r="C10" s="16" t="inlineStr">
        <is>
          <t>Nilai Pengukuran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fungsi analisis statistik pada rentang data C11:C14 (Contoh rumus: =AVERAGE(C11:C14))!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CHISQ.RT.INV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Sampel Observasi</t>
        </is>
      </c>
      <c r="C19" s="12" t="inlineStr">
        <is>
          <t>Nilai Pengukuran</t>
        </is>
      </c>
      <c r="E19" s="25" t="inlineStr">
        <is>
          <t>Persoalan #1: Gunakan fungsi analisis statistik pada rentang data C20:C23 (Contoh rumus: =AVERAGE(C20:C23))!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AVERAGE(C20:C23)</f>
        <v/>
      </c>
      <c r="H21" s="29" t="inlineStr">
        <is>
          <t>Ketik: =AVERAGE(C20:C23)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Sampel Observasi</t>
        </is>
      </c>
      <c r="C27" s="12" t="inlineStr">
        <is>
          <t>Nilai Pengukuran</t>
        </is>
      </c>
      <c r="E27" s="25" t="inlineStr">
        <is>
          <t>Persoalan #2: Gunakan fungsi analisis statistik pada rentang data C28:C31 (Contoh rumus: =AVERAGE(C28:C31))!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AVERAGE(C28:C31)</f>
        <v/>
      </c>
      <c r="H29" s="29" t="inlineStr">
        <is>
          <t>Ketik: =AVERAGE(C28:C31)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Sampel Observasi</t>
        </is>
      </c>
      <c r="C35" s="12" t="inlineStr">
        <is>
          <t>Nilai Pengukuran</t>
        </is>
      </c>
      <c r="E35" s="25" t="inlineStr">
        <is>
          <t>Persoalan #3: Gunakan fungsi analisis statistik pada rentang data C36:C39 (Contoh rumus: =AVERAGE(C36:C39))!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AVERAGE(C36:C39)</f>
        <v/>
      </c>
      <c r="H37" s="29" t="inlineStr">
        <is>
          <t>Ketik: =AVERAGE(C36:C39)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Sampel Observasi</t>
        </is>
      </c>
      <c r="C43" s="12" t="inlineStr">
        <is>
          <t>Nilai Pengukuran</t>
        </is>
      </c>
      <c r="E43" s="25" t="inlineStr">
        <is>
          <t>Persoalan #4: Gunakan fungsi analisis statistik pada rentang data C44:C47 (Contoh rumus: =AVERAGE(C44:C47))!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AVERAGE(C44:C47)</f>
        <v/>
      </c>
      <c r="H45" s="29" t="inlineStr">
        <is>
          <t>Ketik: =AVERAGE(C44:C47)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Sampel Observasi</t>
        </is>
      </c>
      <c r="C51" s="12" t="inlineStr">
        <is>
          <t>Nilai Pengukuran</t>
        </is>
      </c>
      <c r="E51" s="25" t="inlineStr">
        <is>
          <t>Persoalan #5: Gunakan fungsi analisis statistik pada rentang data C52:C55 (Contoh rumus: =AVERAGE(C52:C55))!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AVERAGE(C52:C55)</f>
        <v/>
      </c>
      <c r="H53" s="29" t="inlineStr">
        <is>
          <t>Ketik: =AVERAGE(C52:C55)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#036 — RUMUS EXCEL: CHITEST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(CHITEST)</t>
        </is>
      </c>
    </row>
    <row r="5" ht="21" customHeight="1">
      <c r="B5" s="12" t="inlineStr">
        <is>
          <t>Nama Rumus Excel</t>
        </is>
      </c>
      <c r="C5" s="13">
        <f>CHITEST(...)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CHITEST(...)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Fungsi Statistik &amp; Analisis Data Excel (CHITEST) untuk mengolah distribusi, peluang, standar deviasi, dan pengujian hipotesis data secara presisi.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CHITEST)</t>
        </is>
      </c>
    </row>
    <row r="10">
      <c r="B10" s="16" t="inlineStr">
        <is>
          <t>Sampel Observasi</t>
        </is>
      </c>
      <c r="C10" s="16" t="inlineStr">
        <is>
          <t>Nilai Pengukuran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fungsi analisis statistik pada rentang data C11:C14 (Contoh rumus: =AVERAGE(C11:C14))!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CHITEST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Sampel Observasi</t>
        </is>
      </c>
      <c r="C19" s="12" t="inlineStr">
        <is>
          <t>Nilai Pengukuran</t>
        </is>
      </c>
      <c r="E19" s="25" t="inlineStr">
        <is>
          <t>Persoalan #1: Gunakan fungsi analisis statistik pada rentang data C20:C23 (Contoh rumus: =AVERAGE(C20:C23))!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AVERAGE(C20:C23)</f>
        <v/>
      </c>
      <c r="H21" s="29" t="inlineStr">
        <is>
          <t>Ketik: =AVERAGE(C20:C23)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Sampel Observasi</t>
        </is>
      </c>
      <c r="C27" s="12" t="inlineStr">
        <is>
          <t>Nilai Pengukuran</t>
        </is>
      </c>
      <c r="E27" s="25" t="inlineStr">
        <is>
          <t>Persoalan #2: Gunakan fungsi analisis statistik pada rentang data C28:C31 (Contoh rumus: =AVERAGE(C28:C31))!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AVERAGE(C28:C31)</f>
        <v/>
      </c>
      <c r="H29" s="29" t="inlineStr">
        <is>
          <t>Ketik: =AVERAGE(C28:C31)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Sampel Observasi</t>
        </is>
      </c>
      <c r="C35" s="12" t="inlineStr">
        <is>
          <t>Nilai Pengukuran</t>
        </is>
      </c>
      <c r="E35" s="25" t="inlineStr">
        <is>
          <t>Persoalan #3: Gunakan fungsi analisis statistik pada rentang data C36:C39 (Contoh rumus: =AVERAGE(C36:C39))!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AVERAGE(C36:C39)</f>
        <v/>
      </c>
      <c r="H37" s="29" t="inlineStr">
        <is>
          <t>Ketik: =AVERAGE(C36:C39)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Sampel Observasi</t>
        </is>
      </c>
      <c r="C43" s="12" t="inlineStr">
        <is>
          <t>Nilai Pengukuran</t>
        </is>
      </c>
      <c r="E43" s="25" t="inlineStr">
        <is>
          <t>Persoalan #4: Gunakan fungsi analisis statistik pada rentang data C44:C47 (Contoh rumus: =AVERAGE(C44:C47))!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AVERAGE(C44:C47)</f>
        <v/>
      </c>
      <c r="H45" s="29" t="inlineStr">
        <is>
          <t>Ketik: =AVERAGE(C44:C47)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Sampel Observasi</t>
        </is>
      </c>
      <c r="C51" s="12" t="inlineStr">
        <is>
          <t>Nilai Pengukuran</t>
        </is>
      </c>
      <c r="E51" s="25" t="inlineStr">
        <is>
          <t>Persoalan #5: Gunakan fungsi analisis statistik pada rentang data C52:C55 (Contoh rumus: =AVERAGE(C52:C55))!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AVERAGE(C52:C55)</f>
        <v/>
      </c>
      <c r="H53" s="29" t="inlineStr">
        <is>
          <t>Ketik: =AVERAGE(C52:C55)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#037 — RUMUS EXCEL: CONFIDENCE.NORM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(CONFIDENCE.NORM)</t>
        </is>
      </c>
    </row>
    <row r="5" ht="21" customHeight="1">
      <c r="B5" s="12" t="inlineStr">
        <is>
          <t>Nama Rumus Excel</t>
        </is>
      </c>
      <c r="C5" s="13">
        <f>CONFIDENCE.NORM(...)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CONFIDENCE.NORM(...)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Fungsi Statistik &amp; Analisis Data Excel (CONFIDENCE.NORM) untuk mengolah distribusi, peluang, standar deviasi, dan pengujian hipotesis data secara presisi.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CONFIDENCE.NORM)</t>
        </is>
      </c>
    </row>
    <row r="10">
      <c r="B10" s="16" t="inlineStr">
        <is>
          <t>Sampel Observasi</t>
        </is>
      </c>
      <c r="C10" s="16" t="inlineStr">
        <is>
          <t>Nilai Pengukuran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fungsi analisis statistik pada rentang data C11:C14 (Contoh rumus: =AVERAGE(C11:C14))!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CONFIDENCE.NORM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Sampel Observasi</t>
        </is>
      </c>
      <c r="C19" s="12" t="inlineStr">
        <is>
          <t>Nilai Pengukuran</t>
        </is>
      </c>
      <c r="E19" s="25" t="inlineStr">
        <is>
          <t>Persoalan #1: Gunakan fungsi analisis statistik pada rentang data C20:C23 (Contoh rumus: =AVERAGE(C20:C23))!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AVERAGE(C20:C23)</f>
        <v/>
      </c>
      <c r="H21" s="29" t="inlineStr">
        <is>
          <t>Ketik: =AVERAGE(C20:C23)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Sampel Observasi</t>
        </is>
      </c>
      <c r="C27" s="12" t="inlineStr">
        <is>
          <t>Nilai Pengukuran</t>
        </is>
      </c>
      <c r="E27" s="25" t="inlineStr">
        <is>
          <t>Persoalan #2: Gunakan fungsi analisis statistik pada rentang data C28:C31 (Contoh rumus: =AVERAGE(C28:C31))!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AVERAGE(C28:C31)</f>
        <v/>
      </c>
      <c r="H29" s="29" t="inlineStr">
        <is>
          <t>Ketik: =AVERAGE(C28:C31)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Sampel Observasi</t>
        </is>
      </c>
      <c r="C35" s="12" t="inlineStr">
        <is>
          <t>Nilai Pengukuran</t>
        </is>
      </c>
      <c r="E35" s="25" t="inlineStr">
        <is>
          <t>Persoalan #3: Gunakan fungsi analisis statistik pada rentang data C36:C39 (Contoh rumus: =AVERAGE(C36:C39))!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AVERAGE(C36:C39)</f>
        <v/>
      </c>
      <c r="H37" s="29" t="inlineStr">
        <is>
          <t>Ketik: =AVERAGE(C36:C39)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Sampel Observasi</t>
        </is>
      </c>
      <c r="C43" s="12" t="inlineStr">
        <is>
          <t>Nilai Pengukuran</t>
        </is>
      </c>
      <c r="E43" s="25" t="inlineStr">
        <is>
          <t>Persoalan #4: Gunakan fungsi analisis statistik pada rentang data C44:C47 (Contoh rumus: =AVERAGE(C44:C47))!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AVERAGE(C44:C47)</f>
        <v/>
      </c>
      <c r="H45" s="29" t="inlineStr">
        <is>
          <t>Ketik: =AVERAGE(C44:C47)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Sampel Observasi</t>
        </is>
      </c>
      <c r="C51" s="12" t="inlineStr">
        <is>
          <t>Nilai Pengukuran</t>
        </is>
      </c>
      <c r="E51" s="25" t="inlineStr">
        <is>
          <t>Persoalan #5: Gunakan fungsi analisis statistik pada rentang data C52:C55 (Contoh rumus: =AVERAGE(C52:C55))!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AVERAGE(C52:C55)</f>
        <v/>
      </c>
      <c r="H53" s="29" t="inlineStr">
        <is>
          <t>Ketik: =AVERAGE(C52:C55)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#038 — RUMUS EXCEL: CONFIDENCE.T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(CONFIDENCE.T)</t>
        </is>
      </c>
    </row>
    <row r="5" ht="21" customHeight="1">
      <c r="B5" s="12" t="inlineStr">
        <is>
          <t>Nama Rumus Excel</t>
        </is>
      </c>
      <c r="C5" s="13">
        <f>CONFIDENCE.T(...)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CONFIDENCE.T(...)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Fungsi Statistik &amp; Analisis Data Excel (CONFIDENCE.T) untuk mengolah distribusi, peluang, standar deviasi, dan pengujian hipotesis data secara presisi.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CONFIDENCE.T)</t>
        </is>
      </c>
    </row>
    <row r="10">
      <c r="B10" s="16" t="inlineStr">
        <is>
          <t>Sampel Observasi</t>
        </is>
      </c>
      <c r="C10" s="16" t="inlineStr">
        <is>
          <t>Nilai Pengukuran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fungsi analisis statistik pada rentang data C11:C14 (Contoh rumus: =AVERAGE(C11:C14))!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CONFIDENCE.T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Sampel Observasi</t>
        </is>
      </c>
      <c r="C19" s="12" t="inlineStr">
        <is>
          <t>Nilai Pengukuran</t>
        </is>
      </c>
      <c r="E19" s="25" t="inlineStr">
        <is>
          <t>Persoalan #1: Gunakan fungsi analisis statistik pada rentang data C20:C23 (Contoh rumus: =AVERAGE(C20:C23))!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AVERAGE(C20:C23)</f>
        <v/>
      </c>
      <c r="H21" s="29" t="inlineStr">
        <is>
          <t>Ketik: =AVERAGE(C20:C23)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Sampel Observasi</t>
        </is>
      </c>
      <c r="C27" s="12" t="inlineStr">
        <is>
          <t>Nilai Pengukuran</t>
        </is>
      </c>
      <c r="E27" s="25" t="inlineStr">
        <is>
          <t>Persoalan #2: Gunakan fungsi analisis statistik pada rentang data C28:C31 (Contoh rumus: =AVERAGE(C28:C31))!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AVERAGE(C28:C31)</f>
        <v/>
      </c>
      <c r="H29" s="29" t="inlineStr">
        <is>
          <t>Ketik: =AVERAGE(C28:C31)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Sampel Observasi</t>
        </is>
      </c>
      <c r="C35" s="12" t="inlineStr">
        <is>
          <t>Nilai Pengukuran</t>
        </is>
      </c>
      <c r="E35" s="25" t="inlineStr">
        <is>
          <t>Persoalan #3: Gunakan fungsi analisis statistik pada rentang data C36:C39 (Contoh rumus: =AVERAGE(C36:C39))!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AVERAGE(C36:C39)</f>
        <v/>
      </c>
      <c r="H37" s="29" t="inlineStr">
        <is>
          <t>Ketik: =AVERAGE(C36:C39)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Sampel Observasi</t>
        </is>
      </c>
      <c r="C43" s="12" t="inlineStr">
        <is>
          <t>Nilai Pengukuran</t>
        </is>
      </c>
      <c r="E43" s="25" t="inlineStr">
        <is>
          <t>Persoalan #4: Gunakan fungsi analisis statistik pada rentang data C44:C47 (Contoh rumus: =AVERAGE(C44:C47))!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AVERAGE(C44:C47)</f>
        <v/>
      </c>
      <c r="H45" s="29" t="inlineStr">
        <is>
          <t>Ketik: =AVERAGE(C44:C47)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Sampel Observasi</t>
        </is>
      </c>
      <c r="C51" s="12" t="inlineStr">
        <is>
          <t>Nilai Pengukuran</t>
        </is>
      </c>
      <c r="E51" s="25" t="inlineStr">
        <is>
          <t>Persoalan #5: Gunakan fungsi analisis statistik pada rentang data C52:C55 (Contoh rumus: =AVERAGE(C52:C55))!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AVERAGE(C52:C55)</f>
        <v/>
      </c>
      <c r="H53" s="29" t="inlineStr">
        <is>
          <t>Ketik: =AVERAGE(C52:C55)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#039 — RUMUS EXCEL: CORREL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(CORREL)</t>
        </is>
      </c>
    </row>
    <row r="5" ht="21" customHeight="1">
      <c r="B5" s="12" t="inlineStr">
        <is>
          <t>Nama Rumus Excel</t>
        </is>
      </c>
      <c r="C5" s="13">
        <f>CORREL(...)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CORREL(range_x, range_y)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Mengukur seberapa kuat hubungan (korelasi -1 s/d +1) antara dua variabel (Misal: Biaya Iklan vs Omzet Penjualan).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CORREL)</t>
        </is>
      </c>
    </row>
    <row r="10">
      <c r="B10" s="16" t="inlineStr">
        <is>
          <t>Variabel X (Biaya)</t>
        </is>
      </c>
      <c r="C10" s="16" t="inlineStr">
        <is>
          <t>Variabel Y (Hasil)</t>
        </is>
      </c>
      <c r="E10" s="17" t="inlineStr">
        <is>
          <t>💡 CONTOH RUMUS YANG SUDAH TERPASANG AKTIF:</t>
        </is>
      </c>
    </row>
    <row r="11">
      <c r="B11" s="18" t="n">
        <v>10</v>
      </c>
      <c r="C11" s="18" t="n">
        <v>15</v>
      </c>
      <c r="E11" s="19" t="inlineStr">
        <is>
          <t>Kasus Contoh:</t>
        </is>
      </c>
      <c r="F11" s="20" t="inlineStr">
        <is>
          <t>Analisis hubungan variabel X (B11:B14) dan variabel Y (C11:C14) menggunakan rumus CORREL!</t>
        </is>
      </c>
    </row>
    <row r="12">
      <c r="B12" s="18" t="n">
        <v>20</v>
      </c>
      <c r="C12" s="18" t="n">
        <v>28</v>
      </c>
      <c r="E12" s="19" t="inlineStr">
        <is>
          <t>Rumus yang Diketik:</t>
        </is>
      </c>
      <c r="F12" s="21" t="inlineStr">
        <is>
          <t>'=CORREL(B11:B14, C11:C14)</t>
        </is>
      </c>
    </row>
    <row r="13">
      <c r="B13" s="18" t="n">
        <v>30</v>
      </c>
      <c r="C13" s="18" t="n">
        <v>42</v>
      </c>
      <c r="E13" s="19" t="inlineStr">
        <is>
          <t>Hasil Otomatis Excel:</t>
        </is>
      </c>
      <c r="F13" s="22">
        <f>CORREL(B11:B14, C11:C14)</f>
        <v/>
      </c>
    </row>
    <row r="14">
      <c r="B14" s="18" t="n">
        <v>40</v>
      </c>
      <c r="C14" s="18" t="n">
        <v>55</v>
      </c>
    </row>
    <row r="16" ht="26" customHeight="1">
      <c r="B16" s="23" t="inlineStr">
        <is>
          <t>3️⃣ 5 PERSOALAN DUNIA NYATA (KETIK RUMUS CORREL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Variabel X (Biaya)</t>
        </is>
      </c>
      <c r="C19" s="12" t="inlineStr">
        <is>
          <t>Variabel Y (Hasil)</t>
        </is>
      </c>
      <c r="E19" s="25" t="inlineStr">
        <is>
          <t>Persoalan #1: Analisis hubungan variabel X (B20:B23) dan variabel Y (C20:C23) menggunakan rumus CORREL!</t>
        </is>
      </c>
    </row>
    <row r="20">
      <c r="B20" s="18" t="n">
        <v>10</v>
      </c>
      <c r="C20" s="18" t="n">
        <v>15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n">
        <v>20</v>
      </c>
      <c r="C21" s="18" t="n">
        <v>28</v>
      </c>
      <c r="E21" s="26" t="n"/>
      <c r="F21" s="27">
        <f>IF(ISBLANK(E21), "⏳ Ketik rumus di sel kuning E21", IF(E21=G21, "✅ BENAR! LUAR BIASA!", "❌ Belum Tepat, Cek Kunci"))</f>
        <v/>
      </c>
      <c r="G21" s="28">
        <f>CORREL(B20:B23, C20:C23)</f>
        <v/>
      </c>
      <c r="H21" s="29" t="inlineStr">
        <is>
          <t>Ketik: =CORREL(B20:B23, C20:C23)</t>
        </is>
      </c>
    </row>
    <row r="22">
      <c r="B22" s="18" t="n">
        <v>30</v>
      </c>
      <c r="C22" s="18" t="n">
        <v>42</v>
      </c>
    </row>
    <row r="23">
      <c r="B23" s="18" t="n">
        <v>40</v>
      </c>
      <c r="C23" s="18" t="n">
        <v>55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Variabel X (Biaya)</t>
        </is>
      </c>
      <c r="C27" s="12" t="inlineStr">
        <is>
          <t>Variabel Y (Hasil)</t>
        </is>
      </c>
      <c r="E27" s="25" t="inlineStr">
        <is>
          <t>Persoalan #2: Analisis hubungan variabel X (B28:B31) dan variabel Y (C28:C31) menggunakan rumus CORREL!</t>
        </is>
      </c>
    </row>
    <row r="28">
      <c r="B28" s="18" t="n">
        <v>20</v>
      </c>
      <c r="C28" s="18" t="n">
        <v>30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n">
        <v>40</v>
      </c>
      <c r="C29" s="18" t="n">
        <v>56</v>
      </c>
      <c r="E29" s="26" t="n"/>
      <c r="F29" s="27">
        <f>IF(ISBLANK(E29), "⏳ Ketik rumus di sel kuning E29", IF(E29=G29, "✅ BENAR! LUAR BIASA!", "❌ Belum Tepat, Cek Kunci"))</f>
        <v/>
      </c>
      <c r="G29" s="28">
        <f>CORREL(B28:B31, C28:C31)</f>
        <v/>
      </c>
      <c r="H29" s="29" t="inlineStr">
        <is>
          <t>Ketik: =CORREL(B28:B31, C28:C31)</t>
        </is>
      </c>
    </row>
    <row r="30">
      <c r="B30" s="18" t="n">
        <v>60</v>
      </c>
      <c r="C30" s="18" t="n">
        <v>84</v>
      </c>
    </row>
    <row r="31">
      <c r="B31" s="18" t="n">
        <v>80</v>
      </c>
      <c r="C31" s="18" t="n">
        <v>110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Variabel X (Biaya)</t>
        </is>
      </c>
      <c r="C35" s="12" t="inlineStr">
        <is>
          <t>Variabel Y (Hasil)</t>
        </is>
      </c>
      <c r="E35" s="25" t="inlineStr">
        <is>
          <t>Persoalan #3: Analisis hubungan variabel X (B36:B39) dan variabel Y (C36:C39) menggunakan rumus CORREL!</t>
        </is>
      </c>
    </row>
    <row r="36">
      <c r="B36" s="18" t="n">
        <v>30</v>
      </c>
      <c r="C36" s="18" t="n">
        <v>45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n">
        <v>60</v>
      </c>
      <c r="C37" s="18" t="n">
        <v>84</v>
      </c>
      <c r="E37" s="26" t="n"/>
      <c r="F37" s="27">
        <f>IF(ISBLANK(E37), "⏳ Ketik rumus di sel kuning E37", IF(E37=G37, "✅ BENAR! LUAR BIASA!", "❌ Belum Tepat, Cek Kunci"))</f>
        <v/>
      </c>
      <c r="G37" s="28">
        <f>CORREL(B36:B39, C36:C39)</f>
        <v/>
      </c>
      <c r="H37" s="29" t="inlineStr">
        <is>
          <t>Ketik: =CORREL(B36:B39, C36:C39)</t>
        </is>
      </c>
    </row>
    <row r="38">
      <c r="B38" s="18" t="n">
        <v>90</v>
      </c>
      <c r="C38" s="18" t="n">
        <v>126</v>
      </c>
    </row>
    <row r="39">
      <c r="B39" s="18" t="n">
        <v>120</v>
      </c>
      <c r="C39" s="18" t="n">
        <v>165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Variabel X (Biaya)</t>
        </is>
      </c>
      <c r="C43" s="12" t="inlineStr">
        <is>
          <t>Variabel Y (Hasil)</t>
        </is>
      </c>
      <c r="E43" s="25" t="inlineStr">
        <is>
          <t>Persoalan #4: Analisis hubungan variabel X (B44:B47) dan variabel Y (C44:C47) menggunakan rumus CORREL!</t>
        </is>
      </c>
    </row>
    <row r="44">
      <c r="B44" s="18" t="n">
        <v>40</v>
      </c>
      <c r="C44" s="18" t="n">
        <v>60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n">
        <v>80</v>
      </c>
      <c r="C45" s="18" t="n">
        <v>112</v>
      </c>
      <c r="E45" s="26" t="n"/>
      <c r="F45" s="27">
        <f>IF(ISBLANK(E45), "⏳ Ketik rumus di sel kuning E45", IF(E45=G45, "✅ BENAR! LUAR BIASA!", "❌ Belum Tepat, Cek Kunci"))</f>
        <v/>
      </c>
      <c r="G45" s="28">
        <f>CORREL(B44:B47, C44:C47)</f>
        <v/>
      </c>
      <c r="H45" s="29" t="inlineStr">
        <is>
          <t>Ketik: =CORREL(B44:B47, C44:C47)</t>
        </is>
      </c>
    </row>
    <row r="46">
      <c r="B46" s="18" t="n">
        <v>120</v>
      </c>
      <c r="C46" s="18" t="n">
        <v>168</v>
      </c>
    </row>
    <row r="47">
      <c r="B47" s="18" t="n">
        <v>160</v>
      </c>
      <c r="C47" s="18" t="n">
        <v>220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Variabel X (Biaya)</t>
        </is>
      </c>
      <c r="C51" s="12" t="inlineStr">
        <is>
          <t>Variabel Y (Hasil)</t>
        </is>
      </c>
      <c r="E51" s="25" t="inlineStr">
        <is>
          <t>Persoalan #5: Analisis hubungan variabel X (B52:B55) dan variabel Y (C52:C55) menggunakan rumus CORREL!</t>
        </is>
      </c>
    </row>
    <row r="52">
      <c r="B52" s="18" t="n">
        <v>50</v>
      </c>
      <c r="C52" s="18" t="n">
        <v>75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n">
        <v>100</v>
      </c>
      <c r="C53" s="18" t="n">
        <v>140</v>
      </c>
      <c r="E53" s="26" t="n"/>
      <c r="F53" s="27">
        <f>IF(ISBLANK(E53), "⏳ Ketik rumus di sel kuning E53", IF(E53=G53, "✅ BENAR! LUAR BIASA!", "❌ Belum Tepat, Cek Kunci"))</f>
        <v/>
      </c>
      <c r="G53" s="28">
        <f>CORREL(B52:B55, C52:C55)</f>
        <v/>
      </c>
      <c r="H53" s="29" t="inlineStr">
        <is>
          <t>Ketik: =CORREL(B52:B55, C52:C55)</t>
        </is>
      </c>
    </row>
    <row r="54">
      <c r="B54" s="18" t="n">
        <v>150</v>
      </c>
      <c r="C54" s="18" t="n">
        <v>210</v>
      </c>
    </row>
    <row r="55">
      <c r="B55" s="18" t="n">
        <v>200</v>
      </c>
      <c r="C55" s="18" t="n">
        <v>275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#040 — RUMUS EXCEL: COUNT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(COUNT)</t>
        </is>
      </c>
    </row>
    <row r="5" ht="21" customHeight="1">
      <c r="B5" s="12" t="inlineStr">
        <is>
          <t>Nama Rumus Excel</t>
        </is>
      </c>
      <c r="C5" s="13">
        <f>COUNT(...)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COUNT(range_data)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Menghitung berapa banyak sel yang berisi ANGKA saja di dalam suatu tabel.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COUNT)</t>
        </is>
      </c>
    </row>
    <row r="10">
      <c r="B10" s="16" t="inlineStr">
        <is>
          <t>Nama Unit / Kategori</t>
        </is>
      </c>
      <c r="C10" s="16" t="inlineStr">
        <is>
          <t>Nilai Data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rumus COUNT pada rentang sel C11:C14 untuk menghitung nilai COUNT dari ke-4 data di samping!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'=COUNT(C11:C14)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COUNT(C11:C14)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COUNT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Nama Unit / Kategori</t>
        </is>
      </c>
      <c r="C19" s="12" t="inlineStr">
        <is>
          <t>Nilai Data</t>
        </is>
      </c>
      <c r="E19" s="25" t="inlineStr">
        <is>
          <t>Persoalan #1: Gunakan rumus COUNT pada rentang sel C20:C23 untuk menghitung nilai COUNT dari ke-4 data di samping!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COUNT(C20:C23)</f>
        <v/>
      </c>
      <c r="H21" s="29" t="inlineStr">
        <is>
          <t>Ketik: =COUNT(C20:C23)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Nama Unit / Kategori</t>
        </is>
      </c>
      <c r="C27" s="12" t="inlineStr">
        <is>
          <t>Nilai Data</t>
        </is>
      </c>
      <c r="E27" s="25" t="inlineStr">
        <is>
          <t>Persoalan #2: Gunakan rumus COUNT pada rentang sel C28:C31 untuk menghitung nilai COUNT dari ke-4 data di samping!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COUNT(C28:C31)</f>
        <v/>
      </c>
      <c r="H29" s="29" t="inlineStr">
        <is>
          <t>Ketik: =COUNT(C28:C31)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Nama Unit / Kategori</t>
        </is>
      </c>
      <c r="C35" s="12" t="inlineStr">
        <is>
          <t>Nilai Data</t>
        </is>
      </c>
      <c r="E35" s="25" t="inlineStr">
        <is>
          <t>Persoalan #3: Gunakan rumus COUNT pada rentang sel C36:C39 untuk menghitung nilai COUNT dari ke-4 data di samping!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COUNT(C36:C39)</f>
        <v/>
      </c>
      <c r="H37" s="29" t="inlineStr">
        <is>
          <t>Ketik: =COUNT(C36:C39)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Nama Unit / Kategori</t>
        </is>
      </c>
      <c r="C43" s="12" t="inlineStr">
        <is>
          <t>Nilai Data</t>
        </is>
      </c>
      <c r="E43" s="25" t="inlineStr">
        <is>
          <t>Persoalan #4: Gunakan rumus COUNT pada rentang sel C44:C47 untuk menghitung nilai COUNT dari ke-4 data di samping!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COUNT(C44:C47)</f>
        <v/>
      </c>
      <c r="H45" s="29" t="inlineStr">
        <is>
          <t>Ketik: =COUNT(C44:C47)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Nama Unit / Kategori</t>
        </is>
      </c>
      <c r="C51" s="12" t="inlineStr">
        <is>
          <t>Nilai Data</t>
        </is>
      </c>
      <c r="E51" s="25" t="inlineStr">
        <is>
          <t>Persoalan #5: Gunakan rumus COUNT pada rentang sel C52:C55 untuk menghitung nilai COUNT dari ke-4 data di samping!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COUNT(C52:C55)</f>
        <v/>
      </c>
      <c r="H53" s="29" t="inlineStr">
        <is>
          <t>Ketik: =COUNT(C52:C55)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#041 — RUMUS EXCEL: COUNTA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(COUNTA)</t>
        </is>
      </c>
    </row>
    <row r="5" ht="21" customHeight="1">
      <c r="B5" s="12" t="inlineStr">
        <is>
          <t>Nama Rumus Excel</t>
        </is>
      </c>
      <c r="C5" s="13">
        <f>COUNTA(...)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COUNTA(range_data)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Menghitung berapa banyak sel yang TIDAK KOSONG (baik berisi angka maupun teks nama).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COUNTA)</t>
        </is>
      </c>
    </row>
    <row r="10">
      <c r="B10" s="16" t="inlineStr">
        <is>
          <t>Nama Unit / Kategori</t>
        </is>
      </c>
      <c r="C10" s="16" t="inlineStr">
        <is>
          <t>Nilai Data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rumus COUNTA pada rentang sel C11:C14 untuk menghitung nilai COUNTA dari ke-4 data di samping!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'=COUNTA(C11:C14)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COUNTA(C11:C14)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COUNTA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Nama Unit / Kategori</t>
        </is>
      </c>
      <c r="C19" s="12" t="inlineStr">
        <is>
          <t>Nilai Data</t>
        </is>
      </c>
      <c r="E19" s="25" t="inlineStr">
        <is>
          <t>Persoalan #1: Gunakan rumus COUNTA pada rentang sel C20:C23 untuk menghitung nilai COUNTA dari ke-4 data di samping!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COUNTA(C20:C23)</f>
        <v/>
      </c>
      <c r="H21" s="29" t="inlineStr">
        <is>
          <t>Ketik: =COUNTA(C20:C23)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Nama Unit / Kategori</t>
        </is>
      </c>
      <c r="C27" s="12" t="inlineStr">
        <is>
          <t>Nilai Data</t>
        </is>
      </c>
      <c r="E27" s="25" t="inlineStr">
        <is>
          <t>Persoalan #2: Gunakan rumus COUNTA pada rentang sel C28:C31 untuk menghitung nilai COUNTA dari ke-4 data di samping!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COUNTA(C28:C31)</f>
        <v/>
      </c>
      <c r="H29" s="29" t="inlineStr">
        <is>
          <t>Ketik: =COUNTA(C28:C31)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Nama Unit / Kategori</t>
        </is>
      </c>
      <c r="C35" s="12" t="inlineStr">
        <is>
          <t>Nilai Data</t>
        </is>
      </c>
      <c r="E35" s="25" t="inlineStr">
        <is>
          <t>Persoalan #3: Gunakan rumus COUNTA pada rentang sel C36:C39 untuk menghitung nilai COUNTA dari ke-4 data di samping!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COUNTA(C36:C39)</f>
        <v/>
      </c>
      <c r="H37" s="29" t="inlineStr">
        <is>
          <t>Ketik: =COUNTA(C36:C39)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Nama Unit / Kategori</t>
        </is>
      </c>
      <c r="C43" s="12" t="inlineStr">
        <is>
          <t>Nilai Data</t>
        </is>
      </c>
      <c r="E43" s="25" t="inlineStr">
        <is>
          <t>Persoalan #4: Gunakan rumus COUNTA pada rentang sel C44:C47 untuk menghitung nilai COUNTA dari ke-4 data di samping!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COUNTA(C44:C47)</f>
        <v/>
      </c>
      <c r="H45" s="29" t="inlineStr">
        <is>
          <t>Ketik: =COUNTA(C44:C47)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Nama Unit / Kategori</t>
        </is>
      </c>
      <c r="C51" s="12" t="inlineStr">
        <is>
          <t>Nilai Data</t>
        </is>
      </c>
      <c r="E51" s="25" t="inlineStr">
        <is>
          <t>Persoalan #5: Gunakan rumus COUNTA pada rentang sel C52:C55 untuk menghitung nilai COUNTA dari ke-4 data di samping!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COUNTA(C52:C55)</f>
        <v/>
      </c>
      <c r="H53" s="29" t="inlineStr">
        <is>
          <t>Ketik: =COUNTA(C52:C55)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#042 — RUMUS EXCEL: COUNTBLANK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(COUNTBLANK)</t>
        </is>
      </c>
    </row>
    <row r="5" ht="21" customHeight="1">
      <c r="B5" s="12" t="inlineStr">
        <is>
          <t>Nama Rumus Excel</t>
        </is>
      </c>
      <c r="C5" s="13">
        <f>COUNTBLANK(...)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COUNTBLANK(range_data)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Menghitung berapa banyak sel yang masih KOSONG / belum diisi di dalam formulir/tabel.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COUNTBLANK)</t>
        </is>
      </c>
    </row>
    <row r="10">
      <c r="B10" s="16" t="inlineStr">
        <is>
          <t>Unit / Peserta</t>
        </is>
      </c>
      <c r="C10" s="16" t="inlineStr">
        <is>
          <t>Data Terisi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Hitung berapa banyak sel yang masih KOSONG pada kolom data C11:C14 menggunakan rumus COUNTBLANK!</t>
        </is>
      </c>
    </row>
    <row r="12">
      <c r="B12" s="18" t="inlineStr">
        <is>
          <t>Cabang Bandung</t>
        </is>
      </c>
      <c r="C12" s="18" t="inlineStr"/>
      <c r="E12" s="19" t="inlineStr">
        <is>
          <t>Rumus yang Diketik:</t>
        </is>
      </c>
      <c r="F12" s="21" t="inlineStr">
        <is>
          <t>'=COUNTBLANK(C11:C14)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COUNTBLANK(C11:C14)</f>
        <v/>
      </c>
    </row>
    <row r="14">
      <c r="B14" s="18" t="inlineStr">
        <is>
          <t>Cabang Medan</t>
        </is>
      </c>
      <c r="C14" s="18" t="inlineStr"/>
    </row>
    <row r="16" ht="26" customHeight="1">
      <c r="B16" s="23" t="inlineStr">
        <is>
          <t>3️⃣ 5 PERSOALAN DUNIA NYATA (KETIK RUMUS COUNTBLANK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Unit / Peserta</t>
        </is>
      </c>
      <c r="C19" s="12" t="inlineStr">
        <is>
          <t>Data Terisi</t>
        </is>
      </c>
      <c r="E19" s="25" t="inlineStr">
        <is>
          <t>Persoalan #1: Hitung berapa banyak sel yang masih KOSONG pada kolom data C20:C23 menggunakan rumus COUNTBLANK!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inlineStr"/>
      <c r="E21" s="26" t="n"/>
      <c r="F21" s="27">
        <f>IF(ISBLANK(E21), "⏳ Ketik rumus di sel kuning E21", IF(E21=G21, "✅ BENAR! LUAR BIASA!", "❌ Belum Tepat, Cek Kunci"))</f>
        <v/>
      </c>
      <c r="G21" s="28">
        <f>COUNTBLANK(C20:C23)</f>
        <v/>
      </c>
      <c r="H21" s="29" t="inlineStr">
        <is>
          <t>Ketik: =COUNTBLANK(C20:C23)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inlineStr"/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Unit / Peserta</t>
        </is>
      </c>
      <c r="C27" s="12" t="inlineStr">
        <is>
          <t>Data Terisi</t>
        </is>
      </c>
      <c r="E27" s="25" t="inlineStr">
        <is>
          <t>Persoalan #2: Hitung berapa banyak sel yang masih KOSONG pada kolom data C28:C31 menggunakan rumus COUNTBLANK!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inlineStr"/>
      <c r="E29" s="26" t="n"/>
      <c r="F29" s="27">
        <f>IF(ISBLANK(E29), "⏳ Ketik rumus di sel kuning E29", IF(E29=G29, "✅ BENAR! LUAR BIASA!", "❌ Belum Tepat, Cek Kunci"))</f>
        <v/>
      </c>
      <c r="G29" s="28">
        <f>COUNTBLANK(C28:C31)</f>
        <v/>
      </c>
      <c r="H29" s="29" t="inlineStr">
        <is>
          <t>Ketik: =COUNTBLANK(C28:C31)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inlineStr"/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Unit / Peserta</t>
        </is>
      </c>
      <c r="C35" s="12" t="inlineStr">
        <is>
          <t>Data Terisi</t>
        </is>
      </c>
      <c r="E35" s="25" t="inlineStr">
        <is>
          <t>Persoalan #3: Hitung berapa banyak sel yang masih KOSONG pada kolom data C36:C39 menggunakan rumus COUNTBLANK!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inlineStr"/>
      <c r="E37" s="26" t="n"/>
      <c r="F37" s="27">
        <f>IF(ISBLANK(E37), "⏳ Ketik rumus di sel kuning E37", IF(E37=G37, "✅ BENAR! LUAR BIASA!", "❌ Belum Tepat, Cek Kunci"))</f>
        <v/>
      </c>
      <c r="G37" s="28">
        <f>COUNTBLANK(C36:C39)</f>
        <v/>
      </c>
      <c r="H37" s="29" t="inlineStr">
        <is>
          <t>Ketik: =COUNTBLANK(C36:C39)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inlineStr"/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Unit / Peserta</t>
        </is>
      </c>
      <c r="C43" s="12" t="inlineStr">
        <is>
          <t>Data Terisi</t>
        </is>
      </c>
      <c r="E43" s="25" t="inlineStr">
        <is>
          <t>Persoalan #4: Hitung berapa banyak sel yang masih KOSONG pada kolom data C44:C47 menggunakan rumus COUNTBLANK!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inlineStr"/>
      <c r="E45" s="26" t="n"/>
      <c r="F45" s="27">
        <f>IF(ISBLANK(E45), "⏳ Ketik rumus di sel kuning E45", IF(E45=G45, "✅ BENAR! LUAR BIASA!", "❌ Belum Tepat, Cek Kunci"))</f>
        <v/>
      </c>
      <c r="G45" s="28">
        <f>COUNTBLANK(C44:C47)</f>
        <v/>
      </c>
      <c r="H45" s="29" t="inlineStr">
        <is>
          <t>Ketik: =COUNTBLANK(C44:C47)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inlineStr"/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Unit / Peserta</t>
        </is>
      </c>
      <c r="C51" s="12" t="inlineStr">
        <is>
          <t>Data Terisi</t>
        </is>
      </c>
      <c r="E51" s="25" t="inlineStr">
        <is>
          <t>Persoalan #5: Hitung berapa banyak sel yang masih KOSONG pada kolom data C52:C55 menggunakan rumus COUNTBLANK!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inlineStr"/>
      <c r="E53" s="26" t="n"/>
      <c r="F53" s="27">
        <f>IF(ISBLANK(E53), "⏳ Ketik rumus di sel kuning E53", IF(E53=G53, "✅ BENAR! LUAR BIASA!", "❌ Belum Tepat, Cek Kunci"))</f>
        <v/>
      </c>
      <c r="G53" s="28">
        <f>COUNTBLANK(C52:C55)</f>
        <v/>
      </c>
      <c r="H53" s="29" t="inlineStr">
        <is>
          <t>Ketik: =COUNTBLANK(C52:C55)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inlineStr"/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#043 — RUMUS EXCEL: COUNTIF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(COUNTIF)</t>
        </is>
      </c>
    </row>
    <row r="5" ht="21" customHeight="1">
      <c r="B5" s="12" t="inlineStr">
        <is>
          <t>Nama Rumus Excel</t>
        </is>
      </c>
      <c r="C5" s="13">
        <f>COUNTIF(...)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COUNTIF(range_data, syarat)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Menghitung berapa banyak data yang memenuhi 1 syarat (Misal: hitung berapa orang yang hadir 'H').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COUNTIF)</t>
        </is>
      </c>
    </row>
    <row r="10">
      <c r="B10" s="16" t="inlineStr">
        <is>
          <t>Status Evaluasi</t>
        </is>
      </c>
      <c r="C10" s="16" t="inlineStr">
        <is>
          <t>Skor Nilai</t>
        </is>
      </c>
      <c r="E10" s="17" t="inlineStr">
        <is>
          <t>💡 CONTOH RUMUS YANG SUDAH TERPASANG AKTIF:</t>
        </is>
      </c>
    </row>
    <row r="11">
      <c r="B11" s="18" t="inlineStr">
        <is>
          <t>Lulus</t>
        </is>
      </c>
      <c r="C11" s="18" t="n">
        <v>85</v>
      </c>
      <c r="E11" s="19" t="inlineStr">
        <is>
          <t>Kasus Contoh:</t>
        </is>
      </c>
      <c r="F11" s="20" t="inlineStr">
        <is>
          <t>Hitung berapa banyak data yang berstatus "Lulus" pada rentang B11:B14 menggunakan COUNTIF!</t>
        </is>
      </c>
    </row>
    <row r="12">
      <c r="B12" s="18" t="inlineStr">
        <is>
          <t>Remedial</t>
        </is>
      </c>
      <c r="C12" s="18" t="n">
        <v>65</v>
      </c>
      <c r="E12" s="19" t="inlineStr">
        <is>
          <t>Rumus yang Diketik:</t>
        </is>
      </c>
      <c r="F12" s="21" t="inlineStr">
        <is>
          <t>'=COUNTIF(B11:B14, "Lulus")</t>
        </is>
      </c>
    </row>
    <row r="13">
      <c r="B13" s="18" t="inlineStr">
        <is>
          <t>Lulus</t>
        </is>
      </c>
      <c r="C13" s="18" t="n">
        <v>90</v>
      </c>
      <c r="E13" s="19" t="inlineStr">
        <is>
          <t>Hasil Otomatis Excel:</t>
        </is>
      </c>
      <c r="F13" s="22">
        <f>COUNTIF(B11:B14, "Lulus")</f>
        <v/>
      </c>
    </row>
    <row r="14">
      <c r="B14" s="18" t="inlineStr">
        <is>
          <t>Lulus</t>
        </is>
      </c>
      <c r="C14" s="18" t="n">
        <v>88</v>
      </c>
    </row>
    <row r="16" ht="26" customHeight="1">
      <c r="B16" s="23" t="inlineStr">
        <is>
          <t>3️⃣ 5 PERSOALAN DUNIA NYATA (KETIK RUMUS COUNTIF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Status Evaluasi</t>
        </is>
      </c>
      <c r="C19" s="12" t="inlineStr">
        <is>
          <t>Skor Nilai</t>
        </is>
      </c>
      <c r="E19" s="25" t="inlineStr">
        <is>
          <t>Persoalan #1: Hitung berapa banyak data yang berstatus "Lulus" pada rentang B20:B23 menggunakan COUNTIF!</t>
        </is>
      </c>
    </row>
    <row r="20">
      <c r="B20" s="18" t="inlineStr">
        <is>
          <t>Lulus</t>
        </is>
      </c>
      <c r="C20" s="18" t="n">
        <v>85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Remedial</t>
        </is>
      </c>
      <c r="C21" s="18" t="n">
        <v>65</v>
      </c>
      <c r="E21" s="26" t="n"/>
      <c r="F21" s="27">
        <f>IF(ISBLANK(E21), "⏳ Ketik rumus di sel kuning E21", IF(E21=G21, "✅ BENAR! LUAR BIASA!", "❌ Belum Tepat, Cek Kunci"))</f>
        <v/>
      </c>
      <c r="G21" s="28">
        <f>COUNTIF(B20:B23, "Lulus")</f>
        <v/>
      </c>
      <c r="H21" s="29" t="inlineStr">
        <is>
          <t>Ketik: =COUNTIF(B20:B23, "Lulus")</t>
        </is>
      </c>
    </row>
    <row r="22">
      <c r="B22" s="18" t="inlineStr">
        <is>
          <t>Lulus</t>
        </is>
      </c>
      <c r="C22" s="18" t="n">
        <v>90</v>
      </c>
    </row>
    <row r="23">
      <c r="B23" s="18" t="inlineStr">
        <is>
          <t>Lulus</t>
        </is>
      </c>
      <c r="C23" s="18" t="n">
        <v>88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Status Evaluasi</t>
        </is>
      </c>
      <c r="C27" s="12" t="inlineStr">
        <is>
          <t>Skor Nilai</t>
        </is>
      </c>
      <c r="E27" s="25" t="inlineStr">
        <is>
          <t>Persoalan #2: Hitung berapa banyak data yang berstatus "Lulus" pada rentang B28:B31 menggunakan COUNTIF!</t>
        </is>
      </c>
    </row>
    <row r="28">
      <c r="B28" s="18" t="inlineStr">
        <is>
          <t>Lulus</t>
        </is>
      </c>
      <c r="C28" s="18" t="n">
        <v>85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Remedial</t>
        </is>
      </c>
      <c r="C29" s="18" t="n">
        <v>65</v>
      </c>
      <c r="E29" s="26" t="n"/>
      <c r="F29" s="27">
        <f>IF(ISBLANK(E29), "⏳ Ketik rumus di sel kuning E29", IF(E29=G29, "✅ BENAR! LUAR BIASA!", "❌ Belum Tepat, Cek Kunci"))</f>
        <v/>
      </c>
      <c r="G29" s="28">
        <f>COUNTIF(B28:B31, "Lulus")</f>
        <v/>
      </c>
      <c r="H29" s="29" t="inlineStr">
        <is>
          <t>Ketik: =COUNTIF(B28:B31, "Lulus")</t>
        </is>
      </c>
    </row>
    <row r="30">
      <c r="B30" s="18" t="inlineStr">
        <is>
          <t>Lulus</t>
        </is>
      </c>
      <c r="C30" s="18" t="n">
        <v>90</v>
      </c>
    </row>
    <row r="31">
      <c r="B31" s="18" t="inlineStr">
        <is>
          <t>Lulus</t>
        </is>
      </c>
      <c r="C31" s="18" t="n">
        <v>88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Status Evaluasi</t>
        </is>
      </c>
      <c r="C35" s="12" t="inlineStr">
        <is>
          <t>Skor Nilai</t>
        </is>
      </c>
      <c r="E35" s="25" t="inlineStr">
        <is>
          <t>Persoalan #3: Hitung berapa banyak data yang berstatus "Lulus" pada rentang B36:B39 menggunakan COUNTIF!</t>
        </is>
      </c>
    </row>
    <row r="36">
      <c r="B36" s="18" t="inlineStr">
        <is>
          <t>Lulus</t>
        </is>
      </c>
      <c r="C36" s="18" t="n">
        <v>85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Remedial</t>
        </is>
      </c>
      <c r="C37" s="18" t="n">
        <v>65</v>
      </c>
      <c r="E37" s="26" t="n"/>
      <c r="F37" s="27">
        <f>IF(ISBLANK(E37), "⏳ Ketik rumus di sel kuning E37", IF(E37=G37, "✅ BENAR! LUAR BIASA!", "❌ Belum Tepat, Cek Kunci"))</f>
        <v/>
      </c>
      <c r="G37" s="28">
        <f>COUNTIF(B36:B39, "Lulus")</f>
        <v/>
      </c>
      <c r="H37" s="29" t="inlineStr">
        <is>
          <t>Ketik: =COUNTIF(B36:B39, "Lulus")</t>
        </is>
      </c>
    </row>
    <row r="38">
      <c r="B38" s="18" t="inlineStr">
        <is>
          <t>Lulus</t>
        </is>
      </c>
      <c r="C38" s="18" t="n">
        <v>90</v>
      </c>
    </row>
    <row r="39">
      <c r="B39" s="18" t="inlineStr">
        <is>
          <t>Lulus</t>
        </is>
      </c>
      <c r="C39" s="18" t="n">
        <v>88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Status Evaluasi</t>
        </is>
      </c>
      <c r="C43" s="12" t="inlineStr">
        <is>
          <t>Skor Nilai</t>
        </is>
      </c>
      <c r="E43" s="25" t="inlineStr">
        <is>
          <t>Persoalan #4: Hitung berapa banyak data yang berstatus "Lulus" pada rentang B44:B47 menggunakan COUNTIF!</t>
        </is>
      </c>
    </row>
    <row r="44">
      <c r="B44" s="18" t="inlineStr">
        <is>
          <t>Lulus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Remedial</t>
        </is>
      </c>
      <c r="C45" s="18" t="n">
        <v>65</v>
      </c>
      <c r="E45" s="26" t="n"/>
      <c r="F45" s="27">
        <f>IF(ISBLANK(E45), "⏳ Ketik rumus di sel kuning E45", IF(E45=G45, "✅ BENAR! LUAR BIASA!", "❌ Belum Tepat, Cek Kunci"))</f>
        <v/>
      </c>
      <c r="G45" s="28">
        <f>COUNTIF(B44:B47, "Lulus")</f>
        <v/>
      </c>
      <c r="H45" s="29" t="inlineStr">
        <is>
          <t>Ketik: =COUNTIF(B44:B47, "Lulus")</t>
        </is>
      </c>
    </row>
    <row r="46">
      <c r="B46" s="18" t="inlineStr">
        <is>
          <t>Lulus</t>
        </is>
      </c>
      <c r="C46" s="18" t="n">
        <v>90</v>
      </c>
    </row>
    <row r="47">
      <c r="B47" s="18" t="inlineStr">
        <is>
          <t>Lulus</t>
        </is>
      </c>
      <c r="C47" s="18" t="n">
        <v>88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Status Evaluasi</t>
        </is>
      </c>
      <c r="C51" s="12" t="inlineStr">
        <is>
          <t>Skor Nilai</t>
        </is>
      </c>
      <c r="E51" s="25" t="inlineStr">
        <is>
          <t>Persoalan #5: Hitung berapa banyak data yang berstatus "Lulus" pada rentang B52:B55 menggunakan COUNTIF!</t>
        </is>
      </c>
    </row>
    <row r="52">
      <c r="B52" s="18" t="inlineStr">
        <is>
          <t>Lulus</t>
        </is>
      </c>
      <c r="C52" s="18" t="n">
        <v>85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Remedial</t>
        </is>
      </c>
      <c r="C53" s="18" t="n">
        <v>65</v>
      </c>
      <c r="E53" s="26" t="n"/>
      <c r="F53" s="27">
        <f>IF(ISBLANK(E53), "⏳ Ketik rumus di sel kuning E53", IF(E53=G53, "✅ BENAR! LUAR BIASA!", "❌ Belum Tepat, Cek Kunci"))</f>
        <v/>
      </c>
      <c r="G53" s="28">
        <f>COUNTIF(B52:B55, "Lulus")</f>
        <v/>
      </c>
      <c r="H53" s="29" t="inlineStr">
        <is>
          <t>Ketik: =COUNTIF(B52:B55, "Lulus")</t>
        </is>
      </c>
    </row>
    <row r="54">
      <c r="B54" s="18" t="inlineStr">
        <is>
          <t>Lulus</t>
        </is>
      </c>
      <c r="C54" s="18" t="n">
        <v>90</v>
      </c>
    </row>
    <row r="55">
      <c r="B55" s="18" t="inlineStr">
        <is>
          <t>Lulus</t>
        </is>
      </c>
      <c r="C55" s="18" t="n">
        <v>88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#044 — RUMUS EXCEL: COUNTIFS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(COUNTIFS)</t>
        </is>
      </c>
    </row>
    <row r="5" ht="21" customHeight="1">
      <c r="B5" s="12" t="inlineStr">
        <is>
          <t>Nama Rumus Excel</t>
        </is>
      </c>
      <c r="C5" s="13">
        <f>COUNTIFS(...)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COUNTIFS(range1, syarat1, range2, syarat2)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Menghitung berapa banyak data yang memenuhi banyak kriteria sekaligus.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COUNTIFS)</t>
        </is>
      </c>
    </row>
    <row r="10">
      <c r="B10" s="16" t="inlineStr">
        <is>
          <t>Status Evaluasi</t>
        </is>
      </c>
      <c r="C10" s="16" t="inlineStr">
        <is>
          <t>Skor Nilai</t>
        </is>
      </c>
      <c r="E10" s="17" t="inlineStr">
        <is>
          <t>💡 CONTOH RUMUS YANG SUDAH TERPASANG AKTIF:</t>
        </is>
      </c>
    </row>
    <row r="11">
      <c r="B11" s="18" t="inlineStr">
        <is>
          <t>Lulus</t>
        </is>
      </c>
      <c r="C11" s="18" t="n">
        <v>85</v>
      </c>
      <c r="E11" s="19" t="inlineStr">
        <is>
          <t>Kasus Contoh:</t>
        </is>
      </c>
      <c r="F11" s="20" t="inlineStr">
        <is>
          <t>Hitung berapa data yang berstatus "Lulus" di B11:B14 DAN nilainya &gt;=80 di C11:C14 menggunakan COUNTIFS!</t>
        </is>
      </c>
    </row>
    <row r="12">
      <c r="B12" s="18" t="inlineStr">
        <is>
          <t>Remedial</t>
        </is>
      </c>
      <c r="C12" s="18" t="n">
        <v>65</v>
      </c>
      <c r="E12" s="19" t="inlineStr">
        <is>
          <t>Rumus yang Diketik:</t>
        </is>
      </c>
      <c r="F12" s="21" t="inlineStr">
        <is>
          <t>'=COUNTIFS(B11:B14, "Lulus", C11:C14, "&gt;=80")</t>
        </is>
      </c>
    </row>
    <row r="13">
      <c r="B13" s="18" t="inlineStr">
        <is>
          <t>Lulus</t>
        </is>
      </c>
      <c r="C13" s="18" t="n">
        <v>90</v>
      </c>
      <c r="E13" s="19" t="inlineStr">
        <is>
          <t>Hasil Otomatis Excel:</t>
        </is>
      </c>
      <c r="F13" s="22">
        <f>COUNTIFS(B11:B14, "Lulus", C11:C14, "&gt;=80")</f>
        <v/>
      </c>
    </row>
    <row r="14">
      <c r="B14" s="18" t="inlineStr">
        <is>
          <t>Lulus</t>
        </is>
      </c>
      <c r="C14" s="18" t="n">
        <v>88</v>
      </c>
    </row>
    <row r="16" ht="26" customHeight="1">
      <c r="B16" s="23" t="inlineStr">
        <is>
          <t>3️⃣ 5 PERSOALAN DUNIA NYATA (KETIK RUMUS COUNTIFS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Status Evaluasi</t>
        </is>
      </c>
      <c r="C19" s="12" t="inlineStr">
        <is>
          <t>Skor Nilai</t>
        </is>
      </c>
      <c r="E19" s="25" t="inlineStr">
        <is>
          <t>Persoalan #1: Hitung berapa data yang berstatus "Lulus" di B20:B23 DAN nilainya &gt;=80 di C20:C23 menggunakan COUNTIFS!</t>
        </is>
      </c>
    </row>
    <row r="20">
      <c r="B20" s="18" t="inlineStr">
        <is>
          <t>Lulus</t>
        </is>
      </c>
      <c r="C20" s="18" t="n">
        <v>85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Remedial</t>
        </is>
      </c>
      <c r="C21" s="18" t="n">
        <v>65</v>
      </c>
      <c r="E21" s="26" t="n"/>
      <c r="F21" s="27">
        <f>IF(ISBLANK(E21), "⏳ Ketik rumus di sel kuning E21", IF(E21=G21, "✅ BENAR! LUAR BIASA!", "❌ Belum Tepat, Cek Kunci"))</f>
        <v/>
      </c>
      <c r="G21" s="28">
        <f>COUNTIFS(B20:B23, "Lulus", C20:C23, "&gt;=80")</f>
        <v/>
      </c>
      <c r="H21" s="29" t="inlineStr">
        <is>
          <t>Ketik: =COUNTIFS(B20:B23, "Lulus", C20:C23, "&gt;=80")</t>
        </is>
      </c>
    </row>
    <row r="22">
      <c r="B22" s="18" t="inlineStr">
        <is>
          <t>Lulus</t>
        </is>
      </c>
      <c r="C22" s="18" t="n">
        <v>90</v>
      </c>
    </row>
    <row r="23">
      <c r="B23" s="18" t="inlineStr">
        <is>
          <t>Lulus</t>
        </is>
      </c>
      <c r="C23" s="18" t="n">
        <v>88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Status Evaluasi</t>
        </is>
      </c>
      <c r="C27" s="12" t="inlineStr">
        <is>
          <t>Skor Nilai</t>
        </is>
      </c>
      <c r="E27" s="25" t="inlineStr">
        <is>
          <t>Persoalan #2: Hitung berapa data yang berstatus "Lulus" di B28:B31 DAN nilainya &gt;=80 di C28:C31 menggunakan COUNTIFS!</t>
        </is>
      </c>
    </row>
    <row r="28">
      <c r="B28" s="18" t="inlineStr">
        <is>
          <t>Lulus</t>
        </is>
      </c>
      <c r="C28" s="18" t="n">
        <v>85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Remedial</t>
        </is>
      </c>
      <c r="C29" s="18" t="n">
        <v>65</v>
      </c>
      <c r="E29" s="26" t="n"/>
      <c r="F29" s="27">
        <f>IF(ISBLANK(E29), "⏳ Ketik rumus di sel kuning E29", IF(E29=G29, "✅ BENAR! LUAR BIASA!", "❌ Belum Tepat, Cek Kunci"))</f>
        <v/>
      </c>
      <c r="G29" s="28">
        <f>COUNTIFS(B28:B31, "Lulus", C28:C31, "&gt;=80")</f>
        <v/>
      </c>
      <c r="H29" s="29" t="inlineStr">
        <is>
          <t>Ketik: =COUNTIFS(B28:B31, "Lulus", C28:C31, "&gt;=80")</t>
        </is>
      </c>
    </row>
    <row r="30">
      <c r="B30" s="18" t="inlineStr">
        <is>
          <t>Lulus</t>
        </is>
      </c>
      <c r="C30" s="18" t="n">
        <v>90</v>
      </c>
    </row>
    <row r="31">
      <c r="B31" s="18" t="inlineStr">
        <is>
          <t>Lulus</t>
        </is>
      </c>
      <c r="C31" s="18" t="n">
        <v>88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Status Evaluasi</t>
        </is>
      </c>
      <c r="C35" s="12" t="inlineStr">
        <is>
          <t>Skor Nilai</t>
        </is>
      </c>
      <c r="E35" s="25" t="inlineStr">
        <is>
          <t>Persoalan #3: Hitung berapa data yang berstatus "Lulus" di B36:B39 DAN nilainya &gt;=80 di C36:C39 menggunakan COUNTIFS!</t>
        </is>
      </c>
    </row>
    <row r="36">
      <c r="B36" s="18" t="inlineStr">
        <is>
          <t>Lulus</t>
        </is>
      </c>
      <c r="C36" s="18" t="n">
        <v>85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Remedial</t>
        </is>
      </c>
      <c r="C37" s="18" t="n">
        <v>65</v>
      </c>
      <c r="E37" s="26" t="n"/>
      <c r="F37" s="27">
        <f>IF(ISBLANK(E37), "⏳ Ketik rumus di sel kuning E37", IF(E37=G37, "✅ BENAR! LUAR BIASA!", "❌ Belum Tepat, Cek Kunci"))</f>
        <v/>
      </c>
      <c r="G37" s="28">
        <f>COUNTIFS(B36:B39, "Lulus", C36:C39, "&gt;=80")</f>
        <v/>
      </c>
      <c r="H37" s="29" t="inlineStr">
        <is>
          <t>Ketik: =COUNTIFS(B36:B39, "Lulus", C36:C39, "&gt;=80")</t>
        </is>
      </c>
    </row>
    <row r="38">
      <c r="B38" s="18" t="inlineStr">
        <is>
          <t>Lulus</t>
        </is>
      </c>
      <c r="C38" s="18" t="n">
        <v>90</v>
      </c>
    </row>
    <row r="39">
      <c r="B39" s="18" t="inlineStr">
        <is>
          <t>Lulus</t>
        </is>
      </c>
      <c r="C39" s="18" t="n">
        <v>88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Status Evaluasi</t>
        </is>
      </c>
      <c r="C43" s="12" t="inlineStr">
        <is>
          <t>Skor Nilai</t>
        </is>
      </c>
      <c r="E43" s="25" t="inlineStr">
        <is>
          <t>Persoalan #4: Hitung berapa data yang berstatus "Lulus" di B44:B47 DAN nilainya &gt;=80 di C44:C47 menggunakan COUNTIFS!</t>
        </is>
      </c>
    </row>
    <row r="44">
      <c r="B44" s="18" t="inlineStr">
        <is>
          <t>Lulus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Remedial</t>
        </is>
      </c>
      <c r="C45" s="18" t="n">
        <v>65</v>
      </c>
      <c r="E45" s="26" t="n"/>
      <c r="F45" s="27">
        <f>IF(ISBLANK(E45), "⏳ Ketik rumus di sel kuning E45", IF(E45=G45, "✅ BENAR! LUAR BIASA!", "❌ Belum Tepat, Cek Kunci"))</f>
        <v/>
      </c>
      <c r="G45" s="28">
        <f>COUNTIFS(B44:B47, "Lulus", C44:C47, "&gt;=80")</f>
        <v/>
      </c>
      <c r="H45" s="29" t="inlineStr">
        <is>
          <t>Ketik: =COUNTIFS(B44:B47, "Lulus", C44:C47, "&gt;=80")</t>
        </is>
      </c>
    </row>
    <row r="46">
      <c r="B46" s="18" t="inlineStr">
        <is>
          <t>Lulus</t>
        </is>
      </c>
      <c r="C46" s="18" t="n">
        <v>90</v>
      </c>
    </row>
    <row r="47">
      <c r="B47" s="18" t="inlineStr">
        <is>
          <t>Lulus</t>
        </is>
      </c>
      <c r="C47" s="18" t="n">
        <v>88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Status Evaluasi</t>
        </is>
      </c>
      <c r="C51" s="12" t="inlineStr">
        <is>
          <t>Skor Nilai</t>
        </is>
      </c>
      <c r="E51" s="25" t="inlineStr">
        <is>
          <t>Persoalan #5: Hitung berapa data yang berstatus "Lulus" di B52:B55 DAN nilainya &gt;=80 di C52:C55 menggunakan COUNTIFS!</t>
        </is>
      </c>
    </row>
    <row r="52">
      <c r="B52" s="18" t="inlineStr">
        <is>
          <t>Lulus</t>
        </is>
      </c>
      <c r="C52" s="18" t="n">
        <v>85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Remedial</t>
        </is>
      </c>
      <c r="C53" s="18" t="n">
        <v>65</v>
      </c>
      <c r="E53" s="26" t="n"/>
      <c r="F53" s="27">
        <f>IF(ISBLANK(E53), "⏳ Ketik rumus di sel kuning E53", IF(E53=G53, "✅ BENAR! LUAR BIASA!", "❌ Belum Tepat, Cek Kunci"))</f>
        <v/>
      </c>
      <c r="G53" s="28">
        <f>COUNTIFS(B52:B55, "Lulus", C52:C55, "&gt;=80")</f>
        <v/>
      </c>
      <c r="H53" s="29" t="inlineStr">
        <is>
          <t>Ketik: =COUNTIFS(B52:B55, "Lulus", C52:C55, "&gt;=80")</t>
        </is>
      </c>
    </row>
    <row r="54">
      <c r="B54" s="18" t="inlineStr">
        <is>
          <t>Lulus</t>
        </is>
      </c>
      <c r="C54" s="18" t="n">
        <v>90</v>
      </c>
    </row>
    <row r="55">
      <c r="B55" s="18" t="inlineStr">
        <is>
          <t>Lulus</t>
        </is>
      </c>
      <c r="C55" s="18" t="n">
        <v>88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#045 — RUMUS EXCEL: COVARIANCE.P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(COVARIANCE.P)</t>
        </is>
      </c>
    </row>
    <row r="5" ht="21" customHeight="1">
      <c r="B5" s="12" t="inlineStr">
        <is>
          <t>Nama Rumus Excel</t>
        </is>
      </c>
      <c r="C5" s="13">
        <f>COVARIANCE.P(...)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COVARIANCE.P(range_x, range_y)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Menghitung kovarians populasi antara dua kumpulan data.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COVARIANCE.P)</t>
        </is>
      </c>
    </row>
    <row r="10">
      <c r="B10" s="16" t="inlineStr">
        <is>
          <t>Variabel X (Biaya)</t>
        </is>
      </c>
      <c r="C10" s="16" t="inlineStr">
        <is>
          <t>Variabel Y (Hasil)</t>
        </is>
      </c>
      <c r="E10" s="17" t="inlineStr">
        <is>
          <t>💡 CONTOH RUMUS YANG SUDAH TERPASANG AKTIF:</t>
        </is>
      </c>
    </row>
    <row r="11">
      <c r="B11" s="18" t="n">
        <v>10</v>
      </c>
      <c r="C11" s="18" t="n">
        <v>15</v>
      </c>
      <c r="E11" s="19" t="inlineStr">
        <is>
          <t>Kasus Contoh:</t>
        </is>
      </c>
      <c r="F11" s="20" t="inlineStr">
        <is>
          <t>Analisis hubungan variabel X (B11:B14) dan variabel Y (C11:C14) menggunakan rumus COVARIANCE.P!</t>
        </is>
      </c>
    </row>
    <row r="12">
      <c r="B12" s="18" t="n">
        <v>20</v>
      </c>
      <c r="C12" s="18" t="n">
        <v>28</v>
      </c>
      <c r="E12" s="19" t="inlineStr">
        <is>
          <t>Rumus yang Diketik:</t>
        </is>
      </c>
      <c r="F12" s="21" t="inlineStr">
        <is>
          <t>'=COVARIANCE.P(B11:B14, C11:C14)</t>
        </is>
      </c>
    </row>
    <row r="13">
      <c r="B13" s="18" t="n">
        <v>30</v>
      </c>
      <c r="C13" s="18" t="n">
        <v>42</v>
      </c>
      <c r="E13" s="19" t="inlineStr">
        <is>
          <t>Hasil Otomatis Excel:</t>
        </is>
      </c>
      <c r="F13" s="22">
        <f>COVARIANCE.P(B11:B14, C11:C14)</f>
        <v/>
      </c>
    </row>
    <row r="14">
      <c r="B14" s="18" t="n">
        <v>40</v>
      </c>
      <c r="C14" s="18" t="n">
        <v>55</v>
      </c>
    </row>
    <row r="16" ht="26" customHeight="1">
      <c r="B16" s="23" t="inlineStr">
        <is>
          <t>3️⃣ 5 PERSOALAN DUNIA NYATA (KETIK RUMUS COVARIANCE.P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Variabel X (Biaya)</t>
        </is>
      </c>
      <c r="C19" s="12" t="inlineStr">
        <is>
          <t>Variabel Y (Hasil)</t>
        </is>
      </c>
      <c r="E19" s="25" t="inlineStr">
        <is>
          <t>Persoalan #1: Analisis hubungan variabel X (B20:B23) dan variabel Y (C20:C23) menggunakan rumus COVARIANCE.P!</t>
        </is>
      </c>
    </row>
    <row r="20">
      <c r="B20" s="18" t="n">
        <v>10</v>
      </c>
      <c r="C20" s="18" t="n">
        <v>15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n">
        <v>20</v>
      </c>
      <c r="C21" s="18" t="n">
        <v>28</v>
      </c>
      <c r="E21" s="26" t="n"/>
      <c r="F21" s="27">
        <f>IF(ISBLANK(E21), "⏳ Ketik rumus di sel kuning E21", IF(E21=G21, "✅ BENAR! LUAR BIASA!", "❌ Belum Tepat, Cek Kunci"))</f>
        <v/>
      </c>
      <c r="G21" s="28">
        <f>COVARIANCE.P(B20:B23, C20:C23)</f>
        <v/>
      </c>
      <c r="H21" s="29" t="inlineStr">
        <is>
          <t>Ketik: =COVARIANCE.P(B20:B23, C20:C23)</t>
        </is>
      </c>
    </row>
    <row r="22">
      <c r="B22" s="18" t="n">
        <v>30</v>
      </c>
      <c r="C22" s="18" t="n">
        <v>42</v>
      </c>
    </row>
    <row r="23">
      <c r="B23" s="18" t="n">
        <v>40</v>
      </c>
      <c r="C23" s="18" t="n">
        <v>55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Variabel X (Biaya)</t>
        </is>
      </c>
      <c r="C27" s="12" t="inlineStr">
        <is>
          <t>Variabel Y (Hasil)</t>
        </is>
      </c>
      <c r="E27" s="25" t="inlineStr">
        <is>
          <t>Persoalan #2: Analisis hubungan variabel X (B28:B31) dan variabel Y (C28:C31) menggunakan rumus COVARIANCE.P!</t>
        </is>
      </c>
    </row>
    <row r="28">
      <c r="B28" s="18" t="n">
        <v>20</v>
      </c>
      <c r="C28" s="18" t="n">
        <v>30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n">
        <v>40</v>
      </c>
      <c r="C29" s="18" t="n">
        <v>56</v>
      </c>
      <c r="E29" s="26" t="n"/>
      <c r="F29" s="27">
        <f>IF(ISBLANK(E29), "⏳ Ketik rumus di sel kuning E29", IF(E29=G29, "✅ BENAR! LUAR BIASA!", "❌ Belum Tepat, Cek Kunci"))</f>
        <v/>
      </c>
      <c r="G29" s="28">
        <f>COVARIANCE.P(B28:B31, C28:C31)</f>
        <v/>
      </c>
      <c r="H29" s="29" t="inlineStr">
        <is>
          <t>Ketik: =COVARIANCE.P(B28:B31, C28:C31)</t>
        </is>
      </c>
    </row>
    <row r="30">
      <c r="B30" s="18" t="n">
        <v>60</v>
      </c>
      <c r="C30" s="18" t="n">
        <v>84</v>
      </c>
    </row>
    <row r="31">
      <c r="B31" s="18" t="n">
        <v>80</v>
      </c>
      <c r="C31" s="18" t="n">
        <v>110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Variabel X (Biaya)</t>
        </is>
      </c>
      <c r="C35" s="12" t="inlineStr">
        <is>
          <t>Variabel Y (Hasil)</t>
        </is>
      </c>
      <c r="E35" s="25" t="inlineStr">
        <is>
          <t>Persoalan #3: Analisis hubungan variabel X (B36:B39) dan variabel Y (C36:C39) menggunakan rumus COVARIANCE.P!</t>
        </is>
      </c>
    </row>
    <row r="36">
      <c r="B36" s="18" t="n">
        <v>30</v>
      </c>
      <c r="C36" s="18" t="n">
        <v>45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n">
        <v>60</v>
      </c>
      <c r="C37" s="18" t="n">
        <v>84</v>
      </c>
      <c r="E37" s="26" t="n"/>
      <c r="F37" s="27">
        <f>IF(ISBLANK(E37), "⏳ Ketik rumus di sel kuning E37", IF(E37=G37, "✅ BENAR! LUAR BIASA!", "❌ Belum Tepat, Cek Kunci"))</f>
        <v/>
      </c>
      <c r="G37" s="28">
        <f>COVARIANCE.P(B36:B39, C36:C39)</f>
        <v/>
      </c>
      <c r="H37" s="29" t="inlineStr">
        <is>
          <t>Ketik: =COVARIANCE.P(B36:B39, C36:C39)</t>
        </is>
      </c>
    </row>
    <row r="38">
      <c r="B38" s="18" t="n">
        <v>90</v>
      </c>
      <c r="C38" s="18" t="n">
        <v>126</v>
      </c>
    </row>
    <row r="39">
      <c r="B39" s="18" t="n">
        <v>120</v>
      </c>
      <c r="C39" s="18" t="n">
        <v>165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Variabel X (Biaya)</t>
        </is>
      </c>
      <c r="C43" s="12" t="inlineStr">
        <is>
          <t>Variabel Y (Hasil)</t>
        </is>
      </c>
      <c r="E43" s="25" t="inlineStr">
        <is>
          <t>Persoalan #4: Analisis hubungan variabel X (B44:B47) dan variabel Y (C44:C47) menggunakan rumus COVARIANCE.P!</t>
        </is>
      </c>
    </row>
    <row r="44">
      <c r="B44" s="18" t="n">
        <v>40</v>
      </c>
      <c r="C44" s="18" t="n">
        <v>60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n">
        <v>80</v>
      </c>
      <c r="C45" s="18" t="n">
        <v>112</v>
      </c>
      <c r="E45" s="26" t="n"/>
      <c r="F45" s="27">
        <f>IF(ISBLANK(E45), "⏳ Ketik rumus di sel kuning E45", IF(E45=G45, "✅ BENAR! LUAR BIASA!", "❌ Belum Tepat, Cek Kunci"))</f>
        <v/>
      </c>
      <c r="G45" s="28">
        <f>COVARIANCE.P(B44:B47, C44:C47)</f>
        <v/>
      </c>
      <c r="H45" s="29" t="inlineStr">
        <is>
          <t>Ketik: =COVARIANCE.P(B44:B47, C44:C47)</t>
        </is>
      </c>
    </row>
    <row r="46">
      <c r="B46" s="18" t="n">
        <v>120</v>
      </c>
      <c r="C46" s="18" t="n">
        <v>168</v>
      </c>
    </row>
    <row r="47">
      <c r="B47" s="18" t="n">
        <v>160</v>
      </c>
      <c r="C47" s="18" t="n">
        <v>220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Variabel X (Biaya)</t>
        </is>
      </c>
      <c r="C51" s="12" t="inlineStr">
        <is>
          <t>Variabel Y (Hasil)</t>
        </is>
      </c>
      <c r="E51" s="25" t="inlineStr">
        <is>
          <t>Persoalan #5: Analisis hubungan variabel X (B52:B55) dan variabel Y (C52:C55) menggunakan rumus COVARIANCE.P!</t>
        </is>
      </c>
    </row>
    <row r="52">
      <c r="B52" s="18" t="n">
        <v>50</v>
      </c>
      <c r="C52" s="18" t="n">
        <v>75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n">
        <v>100</v>
      </c>
      <c r="C53" s="18" t="n">
        <v>140</v>
      </c>
      <c r="E53" s="26" t="n"/>
      <c r="F53" s="27">
        <f>IF(ISBLANK(E53), "⏳ Ketik rumus di sel kuning E53", IF(E53=G53, "✅ BENAR! LUAR BIASA!", "❌ Belum Tepat, Cek Kunci"))</f>
        <v/>
      </c>
      <c r="G53" s="28">
        <f>COVARIANCE.P(B52:B55, C52:C55)</f>
        <v/>
      </c>
      <c r="H53" s="29" t="inlineStr">
        <is>
          <t>Ketik: =COVARIANCE.P(B52:B55, C52:C55)</t>
        </is>
      </c>
    </row>
    <row r="54">
      <c r="B54" s="18" t="n">
        <v>150</v>
      </c>
      <c r="C54" s="18" t="n">
        <v>210</v>
      </c>
    </row>
    <row r="55">
      <c r="B55" s="18" t="n">
        <v>200</v>
      </c>
      <c r="C55" s="18" t="n">
        <v>275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#046 — RUMUS EXCEL: COVARIANCE.T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(COVARIANCE.T)</t>
        </is>
      </c>
    </row>
    <row r="5" ht="21" customHeight="1">
      <c r="B5" s="12" t="inlineStr">
        <is>
          <t>Nama Rumus Excel</t>
        </is>
      </c>
      <c r="C5" s="13">
        <f>COVARIANCE.T(...)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COVARIANCE.T(...)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Fungsi Statistik &amp; Analisis Data Excel (COVARIANCE.T) untuk mengolah distribusi, peluang, standar deviasi, dan pengujian hipotesis data secara presisi.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COVARIANCE.T)</t>
        </is>
      </c>
    </row>
    <row r="10">
      <c r="B10" s="16" t="inlineStr">
        <is>
          <t>Sampel Observasi</t>
        </is>
      </c>
      <c r="C10" s="16" t="inlineStr">
        <is>
          <t>Nilai Pengukuran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fungsi analisis statistik pada rentang data C11:C14 (Contoh rumus: =AVERAGE(C11:C14))!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COVARIANCE.T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Sampel Observasi</t>
        </is>
      </c>
      <c r="C19" s="12" t="inlineStr">
        <is>
          <t>Nilai Pengukuran</t>
        </is>
      </c>
      <c r="E19" s="25" t="inlineStr">
        <is>
          <t>Persoalan #1: Gunakan fungsi analisis statistik pada rentang data C20:C23 (Contoh rumus: =AVERAGE(C20:C23))!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AVERAGE(C20:C23)</f>
        <v/>
      </c>
      <c r="H21" s="29" t="inlineStr">
        <is>
          <t>Ketik: =AVERAGE(C20:C23)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Sampel Observasi</t>
        </is>
      </c>
      <c r="C27" s="12" t="inlineStr">
        <is>
          <t>Nilai Pengukuran</t>
        </is>
      </c>
      <c r="E27" s="25" t="inlineStr">
        <is>
          <t>Persoalan #2: Gunakan fungsi analisis statistik pada rentang data C28:C31 (Contoh rumus: =AVERAGE(C28:C31))!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AVERAGE(C28:C31)</f>
        <v/>
      </c>
      <c r="H29" s="29" t="inlineStr">
        <is>
          <t>Ketik: =AVERAGE(C28:C31)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Sampel Observasi</t>
        </is>
      </c>
      <c r="C35" s="12" t="inlineStr">
        <is>
          <t>Nilai Pengukuran</t>
        </is>
      </c>
      <c r="E35" s="25" t="inlineStr">
        <is>
          <t>Persoalan #3: Gunakan fungsi analisis statistik pada rentang data C36:C39 (Contoh rumus: =AVERAGE(C36:C39))!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AVERAGE(C36:C39)</f>
        <v/>
      </c>
      <c r="H37" s="29" t="inlineStr">
        <is>
          <t>Ketik: =AVERAGE(C36:C39)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Sampel Observasi</t>
        </is>
      </c>
      <c r="C43" s="12" t="inlineStr">
        <is>
          <t>Nilai Pengukuran</t>
        </is>
      </c>
      <c r="E43" s="25" t="inlineStr">
        <is>
          <t>Persoalan #4: Gunakan fungsi analisis statistik pada rentang data C44:C47 (Contoh rumus: =AVERAGE(C44:C47))!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AVERAGE(C44:C47)</f>
        <v/>
      </c>
      <c r="H45" s="29" t="inlineStr">
        <is>
          <t>Ketik: =AVERAGE(C44:C47)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Sampel Observasi</t>
        </is>
      </c>
      <c r="C51" s="12" t="inlineStr">
        <is>
          <t>Nilai Pengukuran</t>
        </is>
      </c>
      <c r="E51" s="25" t="inlineStr">
        <is>
          <t>Persoalan #5: Gunakan fungsi analisis statistik pada rentang data C52:C55 (Contoh rumus: =AVERAGE(C52:C55))!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AVERAGE(C52:C55)</f>
        <v/>
      </c>
      <c r="H53" s="29" t="inlineStr">
        <is>
          <t>Ketik: =AVERAGE(C52:C55)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#047 — RUMUS EXCEL: CRITBINOM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(CRITBINOM)</t>
        </is>
      </c>
    </row>
    <row r="5" ht="21" customHeight="1">
      <c r="B5" s="12" t="inlineStr">
        <is>
          <t>Nama Rumus Excel</t>
        </is>
      </c>
      <c r="C5" s="13">
        <f>CRITBINOM(...)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CRITBINOM(...)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Fungsi Statistik &amp; Analisis Data Excel (CRITBINOM) untuk mengolah distribusi, peluang, standar deviasi, dan pengujian hipotesis data secara presisi.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CRITBINOM)</t>
        </is>
      </c>
    </row>
    <row r="10">
      <c r="B10" s="16" t="inlineStr">
        <is>
          <t>Sampel Observasi</t>
        </is>
      </c>
      <c r="C10" s="16" t="inlineStr">
        <is>
          <t>Nilai Pengukuran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fungsi analisis statistik pada rentang data C11:C14 (Contoh rumus: =AVERAGE(C11:C14))!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CRITBINOM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Sampel Observasi</t>
        </is>
      </c>
      <c r="C19" s="12" t="inlineStr">
        <is>
          <t>Nilai Pengukuran</t>
        </is>
      </c>
      <c r="E19" s="25" t="inlineStr">
        <is>
          <t>Persoalan #1: Gunakan fungsi analisis statistik pada rentang data C20:C23 (Contoh rumus: =AVERAGE(C20:C23))!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AVERAGE(C20:C23)</f>
        <v/>
      </c>
      <c r="H21" s="29" t="inlineStr">
        <is>
          <t>Ketik: =AVERAGE(C20:C23)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Sampel Observasi</t>
        </is>
      </c>
      <c r="C27" s="12" t="inlineStr">
        <is>
          <t>Nilai Pengukuran</t>
        </is>
      </c>
      <c r="E27" s="25" t="inlineStr">
        <is>
          <t>Persoalan #2: Gunakan fungsi analisis statistik pada rentang data C28:C31 (Contoh rumus: =AVERAGE(C28:C31))!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AVERAGE(C28:C31)</f>
        <v/>
      </c>
      <c r="H29" s="29" t="inlineStr">
        <is>
          <t>Ketik: =AVERAGE(C28:C31)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Sampel Observasi</t>
        </is>
      </c>
      <c r="C35" s="12" t="inlineStr">
        <is>
          <t>Nilai Pengukuran</t>
        </is>
      </c>
      <c r="E35" s="25" t="inlineStr">
        <is>
          <t>Persoalan #3: Gunakan fungsi analisis statistik pada rentang data C36:C39 (Contoh rumus: =AVERAGE(C36:C39))!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AVERAGE(C36:C39)</f>
        <v/>
      </c>
      <c r="H37" s="29" t="inlineStr">
        <is>
          <t>Ketik: =AVERAGE(C36:C39)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Sampel Observasi</t>
        </is>
      </c>
      <c r="C43" s="12" t="inlineStr">
        <is>
          <t>Nilai Pengukuran</t>
        </is>
      </c>
      <c r="E43" s="25" t="inlineStr">
        <is>
          <t>Persoalan #4: Gunakan fungsi analisis statistik pada rentang data C44:C47 (Contoh rumus: =AVERAGE(C44:C47))!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AVERAGE(C44:C47)</f>
        <v/>
      </c>
      <c r="H45" s="29" t="inlineStr">
        <is>
          <t>Ketik: =AVERAGE(C44:C47)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Sampel Observasi</t>
        </is>
      </c>
      <c r="C51" s="12" t="inlineStr">
        <is>
          <t>Nilai Pengukuran</t>
        </is>
      </c>
      <c r="E51" s="25" t="inlineStr">
        <is>
          <t>Persoalan #5: Gunakan fungsi analisis statistik pada rentang data C52:C55 (Contoh rumus: =AVERAGE(C52:C55))!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AVERAGE(C52:C55)</f>
        <v/>
      </c>
      <c r="H53" s="29" t="inlineStr">
        <is>
          <t>Ketik: =AVERAGE(C52:C55)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#048 — RUMUS EXCEL: DEVSQ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(DEVSQ)</t>
        </is>
      </c>
    </row>
    <row r="5" ht="21" customHeight="1">
      <c r="B5" s="12" t="inlineStr">
        <is>
          <t>Nama Rumus Excel</t>
        </is>
      </c>
      <c r="C5" s="13">
        <f>DEVSQ(...)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DEVSQ(range_data)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Menghitung jumlah kuadrat simpangan data dari rata-ratanya.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DEVSQ)</t>
        </is>
      </c>
    </row>
    <row r="10">
      <c r="B10" s="16" t="inlineStr">
        <is>
          <t>Nama Unit / Kategori</t>
        </is>
      </c>
      <c r="C10" s="16" t="inlineStr">
        <is>
          <t>Nilai Data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rumus DEVSQ pada rentang sel C11:C14 untuk menghitung nilai DEVSQ dari ke-4 data di samping!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'=DEVSQ(C11:C14)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DEVSQ(C11:C14)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DEVSQ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Nama Unit / Kategori</t>
        </is>
      </c>
      <c r="C19" s="12" t="inlineStr">
        <is>
          <t>Nilai Data</t>
        </is>
      </c>
      <c r="E19" s="25" t="inlineStr">
        <is>
          <t>Persoalan #1: Gunakan rumus DEVSQ pada rentang sel C20:C23 untuk menghitung nilai DEVSQ dari ke-4 data di samping!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DEVSQ(C20:C23)</f>
        <v/>
      </c>
      <c r="H21" s="29" t="inlineStr">
        <is>
          <t>Ketik: =DEVSQ(C20:C23)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Nama Unit / Kategori</t>
        </is>
      </c>
      <c r="C27" s="12" t="inlineStr">
        <is>
          <t>Nilai Data</t>
        </is>
      </c>
      <c r="E27" s="25" t="inlineStr">
        <is>
          <t>Persoalan #2: Gunakan rumus DEVSQ pada rentang sel C28:C31 untuk menghitung nilai DEVSQ dari ke-4 data di samping!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DEVSQ(C28:C31)</f>
        <v/>
      </c>
      <c r="H29" s="29" t="inlineStr">
        <is>
          <t>Ketik: =DEVSQ(C28:C31)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Nama Unit / Kategori</t>
        </is>
      </c>
      <c r="C35" s="12" t="inlineStr">
        <is>
          <t>Nilai Data</t>
        </is>
      </c>
      <c r="E35" s="25" t="inlineStr">
        <is>
          <t>Persoalan #3: Gunakan rumus DEVSQ pada rentang sel C36:C39 untuk menghitung nilai DEVSQ dari ke-4 data di samping!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DEVSQ(C36:C39)</f>
        <v/>
      </c>
      <c r="H37" s="29" t="inlineStr">
        <is>
          <t>Ketik: =DEVSQ(C36:C39)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Nama Unit / Kategori</t>
        </is>
      </c>
      <c r="C43" s="12" t="inlineStr">
        <is>
          <t>Nilai Data</t>
        </is>
      </c>
      <c r="E43" s="25" t="inlineStr">
        <is>
          <t>Persoalan #4: Gunakan rumus DEVSQ pada rentang sel C44:C47 untuk menghitung nilai DEVSQ dari ke-4 data di samping!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DEVSQ(C44:C47)</f>
        <v/>
      </c>
      <c r="H45" s="29" t="inlineStr">
        <is>
          <t>Ketik: =DEVSQ(C44:C47)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Nama Unit / Kategori</t>
        </is>
      </c>
      <c r="C51" s="12" t="inlineStr">
        <is>
          <t>Nilai Data</t>
        </is>
      </c>
      <c r="E51" s="25" t="inlineStr">
        <is>
          <t>Persoalan #5: Gunakan rumus DEVSQ pada rentang sel C52:C55 untuk menghitung nilai DEVSQ dari ke-4 data di samping!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DEVSQ(C52:C55)</f>
        <v/>
      </c>
      <c r="H53" s="29" t="inlineStr">
        <is>
          <t>Ketik: =DEVSQ(C52:C55)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#049 — RUMUS EXCEL: EXPON.DIST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(EXPON.DIST)</t>
        </is>
      </c>
    </row>
    <row r="5" ht="21" customHeight="1">
      <c r="B5" s="12" t="inlineStr">
        <is>
          <t>Nama Rumus Excel</t>
        </is>
      </c>
      <c r="C5" s="13">
        <f>EXPON.DIST(...)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EXPON.DIST(...)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Fungsi Statistik &amp; Analisis Data Excel (EXPON.DIST) untuk mengolah distribusi, peluang, standar deviasi, dan pengujian hipotesis data secara presisi.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EXPON.DIST)</t>
        </is>
      </c>
    </row>
    <row r="10">
      <c r="B10" s="16" t="inlineStr">
        <is>
          <t>Sampel Observasi</t>
        </is>
      </c>
      <c r="C10" s="16" t="inlineStr">
        <is>
          <t>Nilai Pengukuran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fungsi analisis statistik pada rentang data C11:C14 (Contoh rumus: =AVERAGE(C11:C14))!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EXPON.DIST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Sampel Observasi</t>
        </is>
      </c>
      <c r="C19" s="12" t="inlineStr">
        <is>
          <t>Nilai Pengukuran</t>
        </is>
      </c>
      <c r="E19" s="25" t="inlineStr">
        <is>
          <t>Persoalan #1: Gunakan fungsi analisis statistik pada rentang data C20:C23 (Contoh rumus: =AVERAGE(C20:C23))!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AVERAGE(C20:C23)</f>
        <v/>
      </c>
      <c r="H21" s="29" t="inlineStr">
        <is>
          <t>Ketik: =AVERAGE(C20:C23)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Sampel Observasi</t>
        </is>
      </c>
      <c r="C27" s="12" t="inlineStr">
        <is>
          <t>Nilai Pengukuran</t>
        </is>
      </c>
      <c r="E27" s="25" t="inlineStr">
        <is>
          <t>Persoalan #2: Gunakan fungsi analisis statistik pada rentang data C28:C31 (Contoh rumus: =AVERAGE(C28:C31))!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AVERAGE(C28:C31)</f>
        <v/>
      </c>
      <c r="H29" s="29" t="inlineStr">
        <is>
          <t>Ketik: =AVERAGE(C28:C31)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Sampel Observasi</t>
        </is>
      </c>
      <c r="C35" s="12" t="inlineStr">
        <is>
          <t>Nilai Pengukuran</t>
        </is>
      </c>
      <c r="E35" s="25" t="inlineStr">
        <is>
          <t>Persoalan #3: Gunakan fungsi analisis statistik pada rentang data C36:C39 (Contoh rumus: =AVERAGE(C36:C39))!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AVERAGE(C36:C39)</f>
        <v/>
      </c>
      <c r="H37" s="29" t="inlineStr">
        <is>
          <t>Ketik: =AVERAGE(C36:C39)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Sampel Observasi</t>
        </is>
      </c>
      <c r="C43" s="12" t="inlineStr">
        <is>
          <t>Nilai Pengukuran</t>
        </is>
      </c>
      <c r="E43" s="25" t="inlineStr">
        <is>
          <t>Persoalan #4: Gunakan fungsi analisis statistik pada rentang data C44:C47 (Contoh rumus: =AVERAGE(C44:C47))!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AVERAGE(C44:C47)</f>
        <v/>
      </c>
      <c r="H45" s="29" t="inlineStr">
        <is>
          <t>Ketik: =AVERAGE(C44:C47)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Sampel Observasi</t>
        </is>
      </c>
      <c r="C51" s="12" t="inlineStr">
        <is>
          <t>Nilai Pengukuran</t>
        </is>
      </c>
      <c r="E51" s="25" t="inlineStr">
        <is>
          <t>Persoalan #5: Gunakan fungsi analisis statistik pada rentang data C52:C55 (Contoh rumus: =AVERAGE(C52:C55))!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AVERAGE(C52:C55)</f>
        <v/>
      </c>
      <c r="H53" s="29" t="inlineStr">
        <is>
          <t>Ketik: =AVERAGE(C52:C55)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#050 — RUMUS EXCEL: F.DIST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(F.DIST)</t>
        </is>
      </c>
    </row>
    <row r="5" ht="21" customHeight="1">
      <c r="B5" s="12" t="inlineStr">
        <is>
          <t>Nama Rumus Excel</t>
        </is>
      </c>
      <c r="C5" s="13">
        <f>F.DIST(...)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F.DIST(...)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Fungsi Statistik &amp; Analisis Data Excel (F.DIST) untuk mengolah distribusi, peluang, standar deviasi, dan pengujian hipotesis data secara presisi.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F.DIST)</t>
        </is>
      </c>
    </row>
    <row r="10">
      <c r="B10" s="16" t="inlineStr">
        <is>
          <t>Sampel Observasi</t>
        </is>
      </c>
      <c r="C10" s="16" t="inlineStr">
        <is>
          <t>Nilai Pengukuran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fungsi analisis statistik pada rentang data C11:C14 (Contoh rumus: =AVERAGE(C11:C14))!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F.DIST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Sampel Observasi</t>
        </is>
      </c>
      <c r="C19" s="12" t="inlineStr">
        <is>
          <t>Nilai Pengukuran</t>
        </is>
      </c>
      <c r="E19" s="25" t="inlineStr">
        <is>
          <t>Persoalan #1: Gunakan fungsi analisis statistik pada rentang data C20:C23 (Contoh rumus: =AVERAGE(C20:C23))!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AVERAGE(C20:C23)</f>
        <v/>
      </c>
      <c r="H21" s="29" t="inlineStr">
        <is>
          <t>Ketik: =AVERAGE(C20:C23)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Sampel Observasi</t>
        </is>
      </c>
      <c r="C27" s="12" t="inlineStr">
        <is>
          <t>Nilai Pengukuran</t>
        </is>
      </c>
      <c r="E27" s="25" t="inlineStr">
        <is>
          <t>Persoalan #2: Gunakan fungsi analisis statistik pada rentang data C28:C31 (Contoh rumus: =AVERAGE(C28:C31))!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AVERAGE(C28:C31)</f>
        <v/>
      </c>
      <c r="H29" s="29" t="inlineStr">
        <is>
          <t>Ketik: =AVERAGE(C28:C31)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Sampel Observasi</t>
        </is>
      </c>
      <c r="C35" s="12" t="inlineStr">
        <is>
          <t>Nilai Pengukuran</t>
        </is>
      </c>
      <c r="E35" s="25" t="inlineStr">
        <is>
          <t>Persoalan #3: Gunakan fungsi analisis statistik pada rentang data C36:C39 (Contoh rumus: =AVERAGE(C36:C39))!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AVERAGE(C36:C39)</f>
        <v/>
      </c>
      <c r="H37" s="29" t="inlineStr">
        <is>
          <t>Ketik: =AVERAGE(C36:C39)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Sampel Observasi</t>
        </is>
      </c>
      <c r="C43" s="12" t="inlineStr">
        <is>
          <t>Nilai Pengukuran</t>
        </is>
      </c>
      <c r="E43" s="25" t="inlineStr">
        <is>
          <t>Persoalan #4: Gunakan fungsi analisis statistik pada rentang data C44:C47 (Contoh rumus: =AVERAGE(C44:C47))!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AVERAGE(C44:C47)</f>
        <v/>
      </c>
      <c r="H45" s="29" t="inlineStr">
        <is>
          <t>Ketik: =AVERAGE(C44:C47)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Sampel Observasi</t>
        </is>
      </c>
      <c r="C51" s="12" t="inlineStr">
        <is>
          <t>Nilai Pengukuran</t>
        </is>
      </c>
      <c r="E51" s="25" t="inlineStr">
        <is>
          <t>Persoalan #5: Gunakan fungsi analisis statistik pada rentang data C52:C55 (Contoh rumus: =AVERAGE(C52:C55))!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AVERAGE(C52:C55)</f>
        <v/>
      </c>
      <c r="H53" s="29" t="inlineStr">
        <is>
          <t>Ketik: =AVERAGE(C52:C55)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#051 — RUMUS EXCEL: F.DIST.RT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(F.DIST.RT)</t>
        </is>
      </c>
    </row>
    <row r="5" ht="21" customHeight="1">
      <c r="B5" s="12" t="inlineStr">
        <is>
          <t>Nama Rumus Excel</t>
        </is>
      </c>
      <c r="C5" s="13">
        <f>F.DIST.RT(...)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F.DIST.RT(...)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Fungsi Statistik &amp; Analisis Data Excel (F.DIST.RT) untuk mengolah distribusi, peluang, standar deviasi, dan pengujian hipotesis data secara presisi.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F.DIST.RT)</t>
        </is>
      </c>
    </row>
    <row r="10">
      <c r="B10" s="16" t="inlineStr">
        <is>
          <t>Sampel Observasi</t>
        </is>
      </c>
      <c r="C10" s="16" t="inlineStr">
        <is>
          <t>Nilai Pengukuran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fungsi analisis statistik pada rentang data C11:C14 (Contoh rumus: =AVERAGE(C11:C14))!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F.DIST.RT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Sampel Observasi</t>
        </is>
      </c>
      <c r="C19" s="12" t="inlineStr">
        <is>
          <t>Nilai Pengukuran</t>
        </is>
      </c>
      <c r="E19" s="25" t="inlineStr">
        <is>
          <t>Persoalan #1: Gunakan fungsi analisis statistik pada rentang data C20:C23 (Contoh rumus: =AVERAGE(C20:C23))!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AVERAGE(C20:C23)</f>
        <v/>
      </c>
      <c r="H21" s="29" t="inlineStr">
        <is>
          <t>Ketik: =AVERAGE(C20:C23)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Sampel Observasi</t>
        </is>
      </c>
      <c r="C27" s="12" t="inlineStr">
        <is>
          <t>Nilai Pengukuran</t>
        </is>
      </c>
      <c r="E27" s="25" t="inlineStr">
        <is>
          <t>Persoalan #2: Gunakan fungsi analisis statistik pada rentang data C28:C31 (Contoh rumus: =AVERAGE(C28:C31))!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AVERAGE(C28:C31)</f>
        <v/>
      </c>
      <c r="H29" s="29" t="inlineStr">
        <is>
          <t>Ketik: =AVERAGE(C28:C31)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Sampel Observasi</t>
        </is>
      </c>
      <c r="C35" s="12" t="inlineStr">
        <is>
          <t>Nilai Pengukuran</t>
        </is>
      </c>
      <c r="E35" s="25" t="inlineStr">
        <is>
          <t>Persoalan #3: Gunakan fungsi analisis statistik pada rentang data C36:C39 (Contoh rumus: =AVERAGE(C36:C39))!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AVERAGE(C36:C39)</f>
        <v/>
      </c>
      <c r="H37" s="29" t="inlineStr">
        <is>
          <t>Ketik: =AVERAGE(C36:C39)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Sampel Observasi</t>
        </is>
      </c>
      <c r="C43" s="12" t="inlineStr">
        <is>
          <t>Nilai Pengukuran</t>
        </is>
      </c>
      <c r="E43" s="25" t="inlineStr">
        <is>
          <t>Persoalan #4: Gunakan fungsi analisis statistik pada rentang data C44:C47 (Contoh rumus: =AVERAGE(C44:C47))!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AVERAGE(C44:C47)</f>
        <v/>
      </c>
      <c r="H45" s="29" t="inlineStr">
        <is>
          <t>Ketik: =AVERAGE(C44:C47)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Sampel Observasi</t>
        </is>
      </c>
      <c r="C51" s="12" t="inlineStr">
        <is>
          <t>Nilai Pengukuran</t>
        </is>
      </c>
      <c r="E51" s="25" t="inlineStr">
        <is>
          <t>Persoalan #5: Gunakan fungsi analisis statistik pada rentang data C52:C55 (Contoh rumus: =AVERAGE(C52:C55))!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AVERAGE(C52:C55)</f>
        <v/>
      </c>
      <c r="H53" s="29" t="inlineStr">
        <is>
          <t>Ketik: =AVERAGE(C52:C55)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#052 — RUMUS EXCEL: F.INV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(F.INV)</t>
        </is>
      </c>
    </row>
    <row r="5" ht="21" customHeight="1">
      <c r="B5" s="12" t="inlineStr">
        <is>
          <t>Nama Rumus Excel</t>
        </is>
      </c>
      <c r="C5" s="13">
        <f>F.INV(...)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F.INV(...)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Fungsi Statistik &amp; Analisis Data Excel (F.INV) untuk mengolah distribusi, peluang, standar deviasi, dan pengujian hipotesis data secara presisi.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F.INV)</t>
        </is>
      </c>
    </row>
    <row r="10">
      <c r="B10" s="16" t="inlineStr">
        <is>
          <t>Sampel Observasi</t>
        </is>
      </c>
      <c r="C10" s="16" t="inlineStr">
        <is>
          <t>Nilai Pengukuran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fungsi analisis statistik pada rentang data C11:C14 (Contoh rumus: =AVERAGE(C11:C14))!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F.INV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Sampel Observasi</t>
        </is>
      </c>
      <c r="C19" s="12" t="inlineStr">
        <is>
          <t>Nilai Pengukuran</t>
        </is>
      </c>
      <c r="E19" s="25" t="inlineStr">
        <is>
          <t>Persoalan #1: Gunakan fungsi analisis statistik pada rentang data C20:C23 (Contoh rumus: =AVERAGE(C20:C23))!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AVERAGE(C20:C23)</f>
        <v/>
      </c>
      <c r="H21" s="29" t="inlineStr">
        <is>
          <t>Ketik: =AVERAGE(C20:C23)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Sampel Observasi</t>
        </is>
      </c>
      <c r="C27" s="12" t="inlineStr">
        <is>
          <t>Nilai Pengukuran</t>
        </is>
      </c>
      <c r="E27" s="25" t="inlineStr">
        <is>
          <t>Persoalan #2: Gunakan fungsi analisis statistik pada rentang data C28:C31 (Contoh rumus: =AVERAGE(C28:C31))!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AVERAGE(C28:C31)</f>
        <v/>
      </c>
      <c r="H29" s="29" t="inlineStr">
        <is>
          <t>Ketik: =AVERAGE(C28:C31)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Sampel Observasi</t>
        </is>
      </c>
      <c r="C35" s="12" t="inlineStr">
        <is>
          <t>Nilai Pengukuran</t>
        </is>
      </c>
      <c r="E35" s="25" t="inlineStr">
        <is>
          <t>Persoalan #3: Gunakan fungsi analisis statistik pada rentang data C36:C39 (Contoh rumus: =AVERAGE(C36:C39))!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AVERAGE(C36:C39)</f>
        <v/>
      </c>
      <c r="H37" s="29" t="inlineStr">
        <is>
          <t>Ketik: =AVERAGE(C36:C39)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Sampel Observasi</t>
        </is>
      </c>
      <c r="C43" s="12" t="inlineStr">
        <is>
          <t>Nilai Pengukuran</t>
        </is>
      </c>
      <c r="E43" s="25" t="inlineStr">
        <is>
          <t>Persoalan #4: Gunakan fungsi analisis statistik pada rentang data C44:C47 (Contoh rumus: =AVERAGE(C44:C47))!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AVERAGE(C44:C47)</f>
        <v/>
      </c>
      <c r="H45" s="29" t="inlineStr">
        <is>
          <t>Ketik: =AVERAGE(C44:C47)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Sampel Observasi</t>
        </is>
      </c>
      <c r="C51" s="12" t="inlineStr">
        <is>
          <t>Nilai Pengukuran</t>
        </is>
      </c>
      <c r="E51" s="25" t="inlineStr">
        <is>
          <t>Persoalan #5: Gunakan fungsi analisis statistik pada rentang data C52:C55 (Contoh rumus: =AVERAGE(C52:C55))!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AVERAGE(C52:C55)</f>
        <v/>
      </c>
      <c r="H53" s="29" t="inlineStr">
        <is>
          <t>Ketik: =AVERAGE(C52:C55)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#053 — RUMUS EXCEL: F.INV.RT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(F.INV.RT)</t>
        </is>
      </c>
    </row>
    <row r="5" ht="21" customHeight="1">
      <c r="B5" s="12" t="inlineStr">
        <is>
          <t>Nama Rumus Excel</t>
        </is>
      </c>
      <c r="C5" s="13">
        <f>F.INV.RT(...)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F.INV.RT(...)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Fungsi Statistik &amp; Analisis Data Excel (F.INV.RT) untuk mengolah distribusi, peluang, standar deviasi, dan pengujian hipotesis data secara presisi.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F.INV.RT)</t>
        </is>
      </c>
    </row>
    <row r="10">
      <c r="B10" s="16" t="inlineStr">
        <is>
          <t>Sampel Observasi</t>
        </is>
      </c>
      <c r="C10" s="16" t="inlineStr">
        <is>
          <t>Nilai Pengukuran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fungsi analisis statistik pada rentang data C11:C14 (Contoh rumus: =AVERAGE(C11:C14))!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F.INV.RT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Sampel Observasi</t>
        </is>
      </c>
      <c r="C19" s="12" t="inlineStr">
        <is>
          <t>Nilai Pengukuran</t>
        </is>
      </c>
      <c r="E19" s="25" t="inlineStr">
        <is>
          <t>Persoalan #1: Gunakan fungsi analisis statistik pada rentang data C20:C23 (Contoh rumus: =AVERAGE(C20:C23))!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AVERAGE(C20:C23)</f>
        <v/>
      </c>
      <c r="H21" s="29" t="inlineStr">
        <is>
          <t>Ketik: =AVERAGE(C20:C23)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Sampel Observasi</t>
        </is>
      </c>
      <c r="C27" s="12" t="inlineStr">
        <is>
          <t>Nilai Pengukuran</t>
        </is>
      </c>
      <c r="E27" s="25" t="inlineStr">
        <is>
          <t>Persoalan #2: Gunakan fungsi analisis statistik pada rentang data C28:C31 (Contoh rumus: =AVERAGE(C28:C31))!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AVERAGE(C28:C31)</f>
        <v/>
      </c>
      <c r="H29" s="29" t="inlineStr">
        <is>
          <t>Ketik: =AVERAGE(C28:C31)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Sampel Observasi</t>
        </is>
      </c>
      <c r="C35" s="12" t="inlineStr">
        <is>
          <t>Nilai Pengukuran</t>
        </is>
      </c>
      <c r="E35" s="25" t="inlineStr">
        <is>
          <t>Persoalan #3: Gunakan fungsi analisis statistik pada rentang data C36:C39 (Contoh rumus: =AVERAGE(C36:C39))!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AVERAGE(C36:C39)</f>
        <v/>
      </c>
      <c r="H37" s="29" t="inlineStr">
        <is>
          <t>Ketik: =AVERAGE(C36:C39)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Sampel Observasi</t>
        </is>
      </c>
      <c r="C43" s="12" t="inlineStr">
        <is>
          <t>Nilai Pengukuran</t>
        </is>
      </c>
      <c r="E43" s="25" t="inlineStr">
        <is>
          <t>Persoalan #4: Gunakan fungsi analisis statistik pada rentang data C44:C47 (Contoh rumus: =AVERAGE(C44:C47))!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AVERAGE(C44:C47)</f>
        <v/>
      </c>
      <c r="H45" s="29" t="inlineStr">
        <is>
          <t>Ketik: =AVERAGE(C44:C47)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Sampel Observasi</t>
        </is>
      </c>
      <c r="C51" s="12" t="inlineStr">
        <is>
          <t>Nilai Pengukuran</t>
        </is>
      </c>
      <c r="E51" s="25" t="inlineStr">
        <is>
          <t>Persoalan #5: Gunakan fungsi analisis statistik pada rentang data C52:C55 (Contoh rumus: =AVERAGE(C52:C55))!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AVERAGE(C52:C55)</f>
        <v/>
      </c>
      <c r="H53" s="29" t="inlineStr">
        <is>
          <t>Ketik: =AVERAGE(C52:C55)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#054 — RUMUS EXCEL: FTEST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(FTEST)</t>
        </is>
      </c>
    </row>
    <row r="5" ht="21" customHeight="1">
      <c r="B5" s="12" t="inlineStr">
        <is>
          <t>Nama Rumus Excel</t>
        </is>
      </c>
      <c r="C5" s="13">
        <f>FTEST(...)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FTEST(...)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Fungsi Statistik &amp; Analisis Data Excel (FTEST) untuk mengolah distribusi, peluang, standar deviasi, dan pengujian hipotesis data secara presisi.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FTEST)</t>
        </is>
      </c>
    </row>
    <row r="10">
      <c r="B10" s="16" t="inlineStr">
        <is>
          <t>Sampel Observasi</t>
        </is>
      </c>
      <c r="C10" s="16" t="inlineStr">
        <is>
          <t>Nilai Pengukuran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fungsi analisis statistik pada rentang data C11:C14 (Contoh rumus: =AVERAGE(C11:C14))!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FTEST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Sampel Observasi</t>
        </is>
      </c>
      <c r="C19" s="12" t="inlineStr">
        <is>
          <t>Nilai Pengukuran</t>
        </is>
      </c>
      <c r="E19" s="25" t="inlineStr">
        <is>
          <t>Persoalan #1: Gunakan fungsi analisis statistik pada rentang data C20:C23 (Contoh rumus: =AVERAGE(C20:C23))!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AVERAGE(C20:C23)</f>
        <v/>
      </c>
      <c r="H21" s="29" t="inlineStr">
        <is>
          <t>Ketik: =AVERAGE(C20:C23)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Sampel Observasi</t>
        </is>
      </c>
      <c r="C27" s="12" t="inlineStr">
        <is>
          <t>Nilai Pengukuran</t>
        </is>
      </c>
      <c r="E27" s="25" t="inlineStr">
        <is>
          <t>Persoalan #2: Gunakan fungsi analisis statistik pada rentang data C28:C31 (Contoh rumus: =AVERAGE(C28:C31))!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AVERAGE(C28:C31)</f>
        <v/>
      </c>
      <c r="H29" s="29" t="inlineStr">
        <is>
          <t>Ketik: =AVERAGE(C28:C31)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Sampel Observasi</t>
        </is>
      </c>
      <c r="C35" s="12" t="inlineStr">
        <is>
          <t>Nilai Pengukuran</t>
        </is>
      </c>
      <c r="E35" s="25" t="inlineStr">
        <is>
          <t>Persoalan #3: Gunakan fungsi analisis statistik pada rentang data C36:C39 (Contoh rumus: =AVERAGE(C36:C39))!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AVERAGE(C36:C39)</f>
        <v/>
      </c>
      <c r="H37" s="29" t="inlineStr">
        <is>
          <t>Ketik: =AVERAGE(C36:C39)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Sampel Observasi</t>
        </is>
      </c>
      <c r="C43" s="12" t="inlineStr">
        <is>
          <t>Nilai Pengukuran</t>
        </is>
      </c>
      <c r="E43" s="25" t="inlineStr">
        <is>
          <t>Persoalan #4: Gunakan fungsi analisis statistik pada rentang data C44:C47 (Contoh rumus: =AVERAGE(C44:C47))!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AVERAGE(C44:C47)</f>
        <v/>
      </c>
      <c r="H45" s="29" t="inlineStr">
        <is>
          <t>Ketik: =AVERAGE(C44:C47)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Sampel Observasi</t>
        </is>
      </c>
      <c r="C51" s="12" t="inlineStr">
        <is>
          <t>Nilai Pengukuran</t>
        </is>
      </c>
      <c r="E51" s="25" t="inlineStr">
        <is>
          <t>Persoalan #5: Gunakan fungsi analisis statistik pada rentang data C52:C55 (Contoh rumus: =AVERAGE(C52:C55))!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AVERAGE(C52:C55)</f>
        <v/>
      </c>
      <c r="H53" s="29" t="inlineStr">
        <is>
          <t>Ketik: =AVERAGE(C52:C55)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#055 — RUMUS EXCEL: FISHER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(FISHER)</t>
        </is>
      </c>
    </row>
    <row r="5" ht="21" customHeight="1">
      <c r="B5" s="12" t="inlineStr">
        <is>
          <t>Nama Rumus Excel</t>
        </is>
      </c>
      <c r="C5" s="13">
        <f>FISHER(...)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FISHER(...)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Fungsi Statistik &amp; Analisis Data Excel (FISHER) untuk mengolah distribusi, peluang, standar deviasi, dan pengujian hipotesis data secara presisi.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FISHER)</t>
        </is>
      </c>
    </row>
    <row r="10">
      <c r="B10" s="16" t="inlineStr">
        <is>
          <t>Sampel Observasi</t>
        </is>
      </c>
      <c r="C10" s="16" t="inlineStr">
        <is>
          <t>Nilai Pengukuran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fungsi analisis statistik pada rentang data C11:C14 (Contoh rumus: =AVERAGE(C11:C14))!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FISHER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Sampel Observasi</t>
        </is>
      </c>
      <c r="C19" s="12" t="inlineStr">
        <is>
          <t>Nilai Pengukuran</t>
        </is>
      </c>
      <c r="E19" s="25" t="inlineStr">
        <is>
          <t>Persoalan #1: Gunakan fungsi analisis statistik pada rentang data C20:C23 (Contoh rumus: =AVERAGE(C20:C23))!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AVERAGE(C20:C23)</f>
        <v/>
      </c>
      <c r="H21" s="29" t="inlineStr">
        <is>
          <t>Ketik: =AVERAGE(C20:C23)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Sampel Observasi</t>
        </is>
      </c>
      <c r="C27" s="12" t="inlineStr">
        <is>
          <t>Nilai Pengukuran</t>
        </is>
      </c>
      <c r="E27" s="25" t="inlineStr">
        <is>
          <t>Persoalan #2: Gunakan fungsi analisis statistik pada rentang data C28:C31 (Contoh rumus: =AVERAGE(C28:C31))!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AVERAGE(C28:C31)</f>
        <v/>
      </c>
      <c r="H29" s="29" t="inlineStr">
        <is>
          <t>Ketik: =AVERAGE(C28:C31)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Sampel Observasi</t>
        </is>
      </c>
      <c r="C35" s="12" t="inlineStr">
        <is>
          <t>Nilai Pengukuran</t>
        </is>
      </c>
      <c r="E35" s="25" t="inlineStr">
        <is>
          <t>Persoalan #3: Gunakan fungsi analisis statistik pada rentang data C36:C39 (Contoh rumus: =AVERAGE(C36:C39))!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AVERAGE(C36:C39)</f>
        <v/>
      </c>
      <c r="H37" s="29" t="inlineStr">
        <is>
          <t>Ketik: =AVERAGE(C36:C39)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Sampel Observasi</t>
        </is>
      </c>
      <c r="C43" s="12" t="inlineStr">
        <is>
          <t>Nilai Pengukuran</t>
        </is>
      </c>
      <c r="E43" s="25" t="inlineStr">
        <is>
          <t>Persoalan #4: Gunakan fungsi analisis statistik pada rentang data C44:C47 (Contoh rumus: =AVERAGE(C44:C47))!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AVERAGE(C44:C47)</f>
        <v/>
      </c>
      <c r="H45" s="29" t="inlineStr">
        <is>
          <t>Ketik: =AVERAGE(C44:C47)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Sampel Observasi</t>
        </is>
      </c>
      <c r="C51" s="12" t="inlineStr">
        <is>
          <t>Nilai Pengukuran</t>
        </is>
      </c>
      <c r="E51" s="25" t="inlineStr">
        <is>
          <t>Persoalan #5: Gunakan fungsi analisis statistik pada rentang data C52:C55 (Contoh rumus: =AVERAGE(C52:C55))!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AVERAGE(C52:C55)</f>
        <v/>
      </c>
      <c r="H53" s="29" t="inlineStr">
        <is>
          <t>Ketik: =AVERAGE(C52:C55)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#056 — RUMUS EXCEL: FISHER.INV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(FISHER.INV)</t>
        </is>
      </c>
    </row>
    <row r="5" ht="21" customHeight="1">
      <c r="B5" s="12" t="inlineStr">
        <is>
          <t>Nama Rumus Excel</t>
        </is>
      </c>
      <c r="C5" s="13">
        <f>FISHER.INV(...)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FISHER.INV(...)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Fungsi Statistik &amp; Analisis Data Excel (FISHER.INV) untuk mengolah distribusi, peluang, standar deviasi, dan pengujian hipotesis data secara presisi.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FISHER.INV)</t>
        </is>
      </c>
    </row>
    <row r="10">
      <c r="B10" s="16" t="inlineStr">
        <is>
          <t>Sampel Observasi</t>
        </is>
      </c>
      <c r="C10" s="16" t="inlineStr">
        <is>
          <t>Nilai Pengukuran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fungsi analisis statistik pada rentang data C11:C14 (Contoh rumus: =AVERAGE(C11:C14))!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FISHER.INV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Sampel Observasi</t>
        </is>
      </c>
      <c r="C19" s="12" t="inlineStr">
        <is>
          <t>Nilai Pengukuran</t>
        </is>
      </c>
      <c r="E19" s="25" t="inlineStr">
        <is>
          <t>Persoalan #1: Gunakan fungsi analisis statistik pada rentang data C20:C23 (Contoh rumus: =AVERAGE(C20:C23))!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AVERAGE(C20:C23)</f>
        <v/>
      </c>
      <c r="H21" s="29" t="inlineStr">
        <is>
          <t>Ketik: =AVERAGE(C20:C23)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Sampel Observasi</t>
        </is>
      </c>
      <c r="C27" s="12" t="inlineStr">
        <is>
          <t>Nilai Pengukuran</t>
        </is>
      </c>
      <c r="E27" s="25" t="inlineStr">
        <is>
          <t>Persoalan #2: Gunakan fungsi analisis statistik pada rentang data C28:C31 (Contoh rumus: =AVERAGE(C28:C31))!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AVERAGE(C28:C31)</f>
        <v/>
      </c>
      <c r="H29" s="29" t="inlineStr">
        <is>
          <t>Ketik: =AVERAGE(C28:C31)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Sampel Observasi</t>
        </is>
      </c>
      <c r="C35" s="12" t="inlineStr">
        <is>
          <t>Nilai Pengukuran</t>
        </is>
      </c>
      <c r="E35" s="25" t="inlineStr">
        <is>
          <t>Persoalan #3: Gunakan fungsi analisis statistik pada rentang data C36:C39 (Contoh rumus: =AVERAGE(C36:C39))!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AVERAGE(C36:C39)</f>
        <v/>
      </c>
      <c r="H37" s="29" t="inlineStr">
        <is>
          <t>Ketik: =AVERAGE(C36:C39)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Sampel Observasi</t>
        </is>
      </c>
      <c r="C43" s="12" t="inlineStr">
        <is>
          <t>Nilai Pengukuran</t>
        </is>
      </c>
      <c r="E43" s="25" t="inlineStr">
        <is>
          <t>Persoalan #4: Gunakan fungsi analisis statistik pada rentang data C44:C47 (Contoh rumus: =AVERAGE(C44:C47))!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AVERAGE(C44:C47)</f>
        <v/>
      </c>
      <c r="H45" s="29" t="inlineStr">
        <is>
          <t>Ketik: =AVERAGE(C44:C47)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Sampel Observasi</t>
        </is>
      </c>
      <c r="C51" s="12" t="inlineStr">
        <is>
          <t>Nilai Pengukuran</t>
        </is>
      </c>
      <c r="E51" s="25" t="inlineStr">
        <is>
          <t>Persoalan #5: Gunakan fungsi analisis statistik pada rentang data C52:C55 (Contoh rumus: =AVERAGE(C52:C55))!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AVERAGE(C52:C55)</f>
        <v/>
      </c>
      <c r="H53" s="29" t="inlineStr">
        <is>
          <t>Ketik: =AVERAGE(C52:C55)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#057 — RUMUS EXCEL: FORECAST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(FORECAST)</t>
        </is>
      </c>
    </row>
    <row r="5" ht="21" customHeight="1">
      <c r="B5" s="12" t="inlineStr">
        <is>
          <t>Nama Rumus Excel</t>
        </is>
      </c>
      <c r="C5" s="13">
        <f>FORECAST(...)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FORECAST(target_x, range_y, range_x)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Meramal angka masa depan (Misal: memprediksi omzet bulan ke-6 berdasarkan tren bulan 1 s/d 5)!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FORECAST)</t>
        </is>
      </c>
    </row>
    <row r="10">
      <c r="B10" s="16" t="inlineStr">
        <is>
          <t>Periode Bulan (X)</t>
        </is>
      </c>
      <c r="C10" s="16" t="inlineStr">
        <is>
          <t>Omzet Juta (Y)</t>
        </is>
      </c>
      <c r="E10" s="17" t="inlineStr">
        <is>
          <t>💡 CONTOH RUMUS YANG SUDAH TERPASANG AKTIF:</t>
        </is>
      </c>
    </row>
    <row r="11">
      <c r="B11" s="18" t="n">
        <v>1</v>
      </c>
      <c r="C11" s="18" t="n">
        <v>100</v>
      </c>
      <c r="E11" s="19" t="inlineStr">
        <is>
          <t>Kasus Contoh:</t>
        </is>
      </c>
      <c r="F11" s="20" t="inlineStr">
        <is>
          <t>Ramal nilai periode ke-5 berdasarkan data hasil (C11:C14) dan periode (B11:B14) menggunakan FORECAST!</t>
        </is>
      </c>
    </row>
    <row r="12">
      <c r="B12" s="18" t="n">
        <v>2</v>
      </c>
      <c r="C12" s="18" t="n">
        <v>130</v>
      </c>
      <c r="E12" s="19" t="inlineStr">
        <is>
          <t>Rumus yang Diketik:</t>
        </is>
      </c>
      <c r="F12" s="21" t="inlineStr">
        <is>
          <t>'=FORECAST(5, C11:C14, B11:B14)</t>
        </is>
      </c>
    </row>
    <row r="13">
      <c r="B13" s="18" t="n">
        <v>3</v>
      </c>
      <c r="C13" s="18" t="n">
        <v>160</v>
      </c>
      <c r="E13" s="19" t="inlineStr">
        <is>
          <t>Hasil Otomatis Excel:</t>
        </is>
      </c>
      <c r="F13" s="22">
        <f>FORECAST(5, C11:C14, B11:B14)</f>
        <v/>
      </c>
    </row>
    <row r="14">
      <c r="B14" s="18" t="n">
        <v>4</v>
      </c>
      <c r="C14" s="18" t="n">
        <v>190</v>
      </c>
    </row>
    <row r="16" ht="26" customHeight="1">
      <c r="B16" s="23" t="inlineStr">
        <is>
          <t>3️⃣ 5 PERSOALAN DUNIA NYATA (KETIK RUMUS FORECAST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Periode Bulan (X)</t>
        </is>
      </c>
      <c r="C19" s="12" t="inlineStr">
        <is>
          <t>Omzet Juta (Y)</t>
        </is>
      </c>
      <c r="E19" s="25" t="inlineStr">
        <is>
          <t>Persoalan #1: Ramal nilai periode ke-5 berdasarkan data hasil (C20:C23) dan periode (B20:B23) menggunakan FORECAST!</t>
        </is>
      </c>
    </row>
    <row r="20">
      <c r="B20" s="18" t="n">
        <v>1</v>
      </c>
      <c r="C20" s="18" t="n">
        <v>100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n">
        <v>2</v>
      </c>
      <c r="C21" s="18" t="n">
        <v>130</v>
      </c>
      <c r="E21" s="26" t="n"/>
      <c r="F21" s="27">
        <f>IF(ISBLANK(E21), "⏳ Ketik rumus di sel kuning E21", IF(E21=G21, "✅ BENAR! LUAR BIASA!", "❌ Belum Tepat, Cek Kunci"))</f>
        <v/>
      </c>
      <c r="G21" s="28">
        <f>FORECAST(5, C20:C23, B20:B23)</f>
        <v/>
      </c>
      <c r="H21" s="29" t="inlineStr">
        <is>
          <t>Ketik: =FORECAST(5, C20:C23, B20:B23)</t>
        </is>
      </c>
    </row>
    <row r="22">
      <c r="B22" s="18" t="n">
        <v>3</v>
      </c>
      <c r="C22" s="18" t="n">
        <v>160</v>
      </c>
    </row>
    <row r="23">
      <c r="B23" s="18" t="n">
        <v>4</v>
      </c>
      <c r="C23" s="18" t="n">
        <v>190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Periode Bulan (X)</t>
        </is>
      </c>
      <c r="C27" s="12" t="inlineStr">
        <is>
          <t>Omzet Juta (Y)</t>
        </is>
      </c>
      <c r="E27" s="25" t="inlineStr">
        <is>
          <t>Persoalan #2: Ramal nilai periode ke-5 berdasarkan data hasil (C28:C31) dan periode (B28:B31) menggunakan FORECAST!</t>
        </is>
      </c>
    </row>
    <row r="28">
      <c r="B28" s="18" t="n">
        <v>1</v>
      </c>
      <c r="C28" s="18" t="n">
        <v>200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n">
        <v>2</v>
      </c>
      <c r="C29" s="18" t="n">
        <v>260</v>
      </c>
      <c r="E29" s="26" t="n"/>
      <c r="F29" s="27">
        <f>IF(ISBLANK(E29), "⏳ Ketik rumus di sel kuning E29", IF(E29=G29, "✅ BENAR! LUAR BIASA!", "❌ Belum Tepat, Cek Kunci"))</f>
        <v/>
      </c>
      <c r="G29" s="28">
        <f>FORECAST(5, C28:C31, B28:B31)</f>
        <v/>
      </c>
      <c r="H29" s="29" t="inlineStr">
        <is>
          <t>Ketik: =FORECAST(5, C28:C31, B28:B31)</t>
        </is>
      </c>
    </row>
    <row r="30">
      <c r="B30" s="18" t="n">
        <v>3</v>
      </c>
      <c r="C30" s="18" t="n">
        <v>320</v>
      </c>
    </row>
    <row r="31">
      <c r="B31" s="18" t="n">
        <v>4</v>
      </c>
      <c r="C31" s="18" t="n">
        <v>380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Periode Bulan (X)</t>
        </is>
      </c>
      <c r="C35" s="12" t="inlineStr">
        <is>
          <t>Omzet Juta (Y)</t>
        </is>
      </c>
      <c r="E35" s="25" t="inlineStr">
        <is>
          <t>Persoalan #3: Ramal nilai periode ke-5 berdasarkan data hasil (C36:C39) dan periode (B36:B39) menggunakan FORECAST!</t>
        </is>
      </c>
    </row>
    <row r="36">
      <c r="B36" s="18" t="n">
        <v>1</v>
      </c>
      <c r="C36" s="18" t="n">
        <v>300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n">
        <v>2</v>
      </c>
      <c r="C37" s="18" t="n">
        <v>390</v>
      </c>
      <c r="E37" s="26" t="n"/>
      <c r="F37" s="27">
        <f>IF(ISBLANK(E37), "⏳ Ketik rumus di sel kuning E37", IF(E37=G37, "✅ BENAR! LUAR BIASA!", "❌ Belum Tepat, Cek Kunci"))</f>
        <v/>
      </c>
      <c r="G37" s="28">
        <f>FORECAST(5, C36:C39, B36:B39)</f>
        <v/>
      </c>
      <c r="H37" s="29" t="inlineStr">
        <is>
          <t>Ketik: =FORECAST(5, C36:C39, B36:B39)</t>
        </is>
      </c>
    </row>
    <row r="38">
      <c r="B38" s="18" t="n">
        <v>3</v>
      </c>
      <c r="C38" s="18" t="n">
        <v>480</v>
      </c>
    </row>
    <row r="39">
      <c r="B39" s="18" t="n">
        <v>4</v>
      </c>
      <c r="C39" s="18" t="n">
        <v>570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Periode Bulan (X)</t>
        </is>
      </c>
      <c r="C43" s="12" t="inlineStr">
        <is>
          <t>Omzet Juta (Y)</t>
        </is>
      </c>
      <c r="E43" s="25" t="inlineStr">
        <is>
          <t>Persoalan #4: Ramal nilai periode ke-5 berdasarkan data hasil (C44:C47) dan periode (B44:B47) menggunakan FORECAST!</t>
        </is>
      </c>
    </row>
    <row r="44">
      <c r="B44" s="18" t="n">
        <v>1</v>
      </c>
      <c r="C44" s="18" t="n">
        <v>400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n">
        <v>2</v>
      </c>
      <c r="C45" s="18" t="n">
        <v>520</v>
      </c>
      <c r="E45" s="26" t="n"/>
      <c r="F45" s="27">
        <f>IF(ISBLANK(E45), "⏳ Ketik rumus di sel kuning E45", IF(E45=G45, "✅ BENAR! LUAR BIASA!", "❌ Belum Tepat, Cek Kunci"))</f>
        <v/>
      </c>
      <c r="G45" s="28">
        <f>FORECAST(5, C44:C47, B44:B47)</f>
        <v/>
      </c>
      <c r="H45" s="29" t="inlineStr">
        <is>
          <t>Ketik: =FORECAST(5, C44:C47, B44:B47)</t>
        </is>
      </c>
    </row>
    <row r="46">
      <c r="B46" s="18" t="n">
        <v>3</v>
      </c>
      <c r="C46" s="18" t="n">
        <v>640</v>
      </c>
    </row>
    <row r="47">
      <c r="B47" s="18" t="n">
        <v>4</v>
      </c>
      <c r="C47" s="18" t="n">
        <v>760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Periode Bulan (X)</t>
        </is>
      </c>
      <c r="C51" s="12" t="inlineStr">
        <is>
          <t>Omzet Juta (Y)</t>
        </is>
      </c>
      <c r="E51" s="25" t="inlineStr">
        <is>
          <t>Persoalan #5: Ramal nilai periode ke-5 berdasarkan data hasil (C52:C55) dan periode (B52:B55) menggunakan FORECAST!</t>
        </is>
      </c>
    </row>
    <row r="52">
      <c r="B52" s="18" t="n">
        <v>1</v>
      </c>
      <c r="C52" s="18" t="n">
        <v>500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n">
        <v>2</v>
      </c>
      <c r="C53" s="18" t="n">
        <v>650</v>
      </c>
      <c r="E53" s="26" t="n"/>
      <c r="F53" s="27">
        <f>IF(ISBLANK(E53), "⏳ Ketik rumus di sel kuning E53", IF(E53=G53, "✅ BENAR! LUAR BIASA!", "❌ Belum Tepat, Cek Kunci"))</f>
        <v/>
      </c>
      <c r="G53" s="28">
        <f>FORECAST(5, C52:C55, B52:B55)</f>
        <v/>
      </c>
      <c r="H53" s="29" t="inlineStr">
        <is>
          <t>Ketik: =FORECAST(5, C52:C55, B52:B55)</t>
        </is>
      </c>
    </row>
    <row r="54">
      <c r="B54" s="18" t="n">
        <v>3</v>
      </c>
      <c r="C54" s="18" t="n">
        <v>800</v>
      </c>
    </row>
    <row r="55">
      <c r="B55" s="18" t="n">
        <v>4</v>
      </c>
      <c r="C55" s="18" t="n">
        <v>950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#058 — RUMUS EXCEL: FREQUENCY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(FREQUENCY)</t>
        </is>
      </c>
    </row>
    <row r="5" ht="21" customHeight="1">
      <c r="B5" s="12" t="inlineStr">
        <is>
          <t>Nama Rumus Excel</t>
        </is>
      </c>
      <c r="C5" s="13">
        <f>FREQUENCY(...)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FREQUENCY(...)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Fungsi Statistik &amp; Analisis Data Excel (FREQUENCY) untuk mengolah distribusi, peluang, standar deviasi, dan pengujian hipotesis data secara presisi.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FREQUENCY)</t>
        </is>
      </c>
    </row>
    <row r="10">
      <c r="B10" s="16" t="inlineStr">
        <is>
          <t>Sampel Observasi</t>
        </is>
      </c>
      <c r="C10" s="16" t="inlineStr">
        <is>
          <t>Nilai Pengukuran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fungsi analisis statistik pada rentang data C11:C14 (Contoh rumus: =AVERAGE(C11:C14))!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FREQUENCY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Sampel Observasi</t>
        </is>
      </c>
      <c r="C19" s="12" t="inlineStr">
        <is>
          <t>Nilai Pengukuran</t>
        </is>
      </c>
      <c r="E19" s="25" t="inlineStr">
        <is>
          <t>Persoalan #1: Gunakan fungsi analisis statistik pada rentang data C20:C23 (Contoh rumus: =AVERAGE(C20:C23))!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AVERAGE(C20:C23)</f>
        <v/>
      </c>
      <c r="H21" s="29" t="inlineStr">
        <is>
          <t>Ketik: =AVERAGE(C20:C23)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Sampel Observasi</t>
        </is>
      </c>
      <c r="C27" s="12" t="inlineStr">
        <is>
          <t>Nilai Pengukuran</t>
        </is>
      </c>
      <c r="E27" s="25" t="inlineStr">
        <is>
          <t>Persoalan #2: Gunakan fungsi analisis statistik pada rentang data C28:C31 (Contoh rumus: =AVERAGE(C28:C31))!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AVERAGE(C28:C31)</f>
        <v/>
      </c>
      <c r="H29" s="29" t="inlineStr">
        <is>
          <t>Ketik: =AVERAGE(C28:C31)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Sampel Observasi</t>
        </is>
      </c>
      <c r="C35" s="12" t="inlineStr">
        <is>
          <t>Nilai Pengukuran</t>
        </is>
      </c>
      <c r="E35" s="25" t="inlineStr">
        <is>
          <t>Persoalan #3: Gunakan fungsi analisis statistik pada rentang data C36:C39 (Contoh rumus: =AVERAGE(C36:C39))!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AVERAGE(C36:C39)</f>
        <v/>
      </c>
      <c r="H37" s="29" t="inlineStr">
        <is>
          <t>Ketik: =AVERAGE(C36:C39)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Sampel Observasi</t>
        </is>
      </c>
      <c r="C43" s="12" t="inlineStr">
        <is>
          <t>Nilai Pengukuran</t>
        </is>
      </c>
      <c r="E43" s="25" t="inlineStr">
        <is>
          <t>Persoalan #4: Gunakan fungsi analisis statistik pada rentang data C44:C47 (Contoh rumus: =AVERAGE(C44:C47))!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AVERAGE(C44:C47)</f>
        <v/>
      </c>
      <c r="H45" s="29" t="inlineStr">
        <is>
          <t>Ketik: =AVERAGE(C44:C47)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Sampel Observasi</t>
        </is>
      </c>
      <c r="C51" s="12" t="inlineStr">
        <is>
          <t>Nilai Pengukuran</t>
        </is>
      </c>
      <c r="E51" s="25" t="inlineStr">
        <is>
          <t>Persoalan #5: Gunakan fungsi analisis statistik pada rentang data C52:C55 (Contoh rumus: =AVERAGE(C52:C55))!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AVERAGE(C52:C55)</f>
        <v/>
      </c>
      <c r="H53" s="29" t="inlineStr">
        <is>
          <t>Ketik: =AVERAGE(C52:C55)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#059 — RUMUS EXCEL: GAMMADIST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(GAMMADIST)</t>
        </is>
      </c>
    </row>
    <row r="5" ht="21" customHeight="1">
      <c r="B5" s="12" t="inlineStr">
        <is>
          <t>Nama Rumus Excel</t>
        </is>
      </c>
      <c r="C5" s="13">
        <f>GAMMADIST(...)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GAMMADIST(...)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Fungsi Statistik &amp; Analisis Data Excel (GAMMADIST) untuk mengolah distribusi, peluang, standar deviasi, dan pengujian hipotesis data secara presisi.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GAMMADIST)</t>
        </is>
      </c>
    </row>
    <row r="10">
      <c r="B10" s="16" t="inlineStr">
        <is>
          <t>Sampel Observasi</t>
        </is>
      </c>
      <c r="C10" s="16" t="inlineStr">
        <is>
          <t>Nilai Pengukuran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fungsi analisis statistik pada rentang data C11:C14 (Contoh rumus: =AVERAGE(C11:C14))!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GAMMADIST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Sampel Observasi</t>
        </is>
      </c>
      <c r="C19" s="12" t="inlineStr">
        <is>
          <t>Nilai Pengukuran</t>
        </is>
      </c>
      <c r="E19" s="25" t="inlineStr">
        <is>
          <t>Persoalan #1: Gunakan fungsi analisis statistik pada rentang data C20:C23 (Contoh rumus: =AVERAGE(C20:C23))!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AVERAGE(C20:C23)</f>
        <v/>
      </c>
      <c r="H21" s="29" t="inlineStr">
        <is>
          <t>Ketik: =AVERAGE(C20:C23)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Sampel Observasi</t>
        </is>
      </c>
      <c r="C27" s="12" t="inlineStr">
        <is>
          <t>Nilai Pengukuran</t>
        </is>
      </c>
      <c r="E27" s="25" t="inlineStr">
        <is>
          <t>Persoalan #2: Gunakan fungsi analisis statistik pada rentang data C28:C31 (Contoh rumus: =AVERAGE(C28:C31))!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AVERAGE(C28:C31)</f>
        <v/>
      </c>
      <c r="H29" s="29" t="inlineStr">
        <is>
          <t>Ketik: =AVERAGE(C28:C31)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Sampel Observasi</t>
        </is>
      </c>
      <c r="C35" s="12" t="inlineStr">
        <is>
          <t>Nilai Pengukuran</t>
        </is>
      </c>
      <c r="E35" s="25" t="inlineStr">
        <is>
          <t>Persoalan #3: Gunakan fungsi analisis statistik pada rentang data C36:C39 (Contoh rumus: =AVERAGE(C36:C39))!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AVERAGE(C36:C39)</f>
        <v/>
      </c>
      <c r="H37" s="29" t="inlineStr">
        <is>
          <t>Ketik: =AVERAGE(C36:C39)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Sampel Observasi</t>
        </is>
      </c>
      <c r="C43" s="12" t="inlineStr">
        <is>
          <t>Nilai Pengukuran</t>
        </is>
      </c>
      <c r="E43" s="25" t="inlineStr">
        <is>
          <t>Persoalan #4: Gunakan fungsi analisis statistik pada rentang data C44:C47 (Contoh rumus: =AVERAGE(C44:C47))!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AVERAGE(C44:C47)</f>
        <v/>
      </c>
      <c r="H45" s="29" t="inlineStr">
        <is>
          <t>Ketik: =AVERAGE(C44:C47)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Sampel Observasi</t>
        </is>
      </c>
      <c r="C51" s="12" t="inlineStr">
        <is>
          <t>Nilai Pengukuran</t>
        </is>
      </c>
      <c r="E51" s="25" t="inlineStr">
        <is>
          <t>Persoalan #5: Gunakan fungsi analisis statistik pada rentang data C52:C55 (Contoh rumus: =AVERAGE(C52:C55))!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AVERAGE(C52:C55)</f>
        <v/>
      </c>
      <c r="H53" s="29" t="inlineStr">
        <is>
          <t>Ketik: =AVERAGE(C52:C55)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#060 — RUMUS EXCEL: GAMMAINV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(GAMMAINV)</t>
        </is>
      </c>
    </row>
    <row r="5" ht="21" customHeight="1">
      <c r="B5" s="12" t="inlineStr">
        <is>
          <t>Nama Rumus Excel</t>
        </is>
      </c>
      <c r="C5" s="13">
        <f>GAMMAINV(...)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GAMMAINV(...)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Fungsi Statistik &amp; Analisis Data Excel (GAMMAINV) untuk mengolah distribusi, peluang, standar deviasi, dan pengujian hipotesis data secara presisi.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GAMMAINV)</t>
        </is>
      </c>
    </row>
    <row r="10">
      <c r="B10" s="16" t="inlineStr">
        <is>
          <t>Sampel Observasi</t>
        </is>
      </c>
      <c r="C10" s="16" t="inlineStr">
        <is>
          <t>Nilai Pengukuran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fungsi analisis statistik pada rentang data C11:C14 (Contoh rumus: =AVERAGE(C11:C14))!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GAMMAINV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Sampel Observasi</t>
        </is>
      </c>
      <c r="C19" s="12" t="inlineStr">
        <is>
          <t>Nilai Pengukuran</t>
        </is>
      </c>
      <c r="E19" s="25" t="inlineStr">
        <is>
          <t>Persoalan #1: Gunakan fungsi analisis statistik pada rentang data C20:C23 (Contoh rumus: =AVERAGE(C20:C23))!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AVERAGE(C20:C23)</f>
        <v/>
      </c>
      <c r="H21" s="29" t="inlineStr">
        <is>
          <t>Ketik: =AVERAGE(C20:C23)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Sampel Observasi</t>
        </is>
      </c>
      <c r="C27" s="12" t="inlineStr">
        <is>
          <t>Nilai Pengukuran</t>
        </is>
      </c>
      <c r="E27" s="25" t="inlineStr">
        <is>
          <t>Persoalan #2: Gunakan fungsi analisis statistik pada rentang data C28:C31 (Contoh rumus: =AVERAGE(C28:C31))!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AVERAGE(C28:C31)</f>
        <v/>
      </c>
      <c r="H29" s="29" t="inlineStr">
        <is>
          <t>Ketik: =AVERAGE(C28:C31)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Sampel Observasi</t>
        </is>
      </c>
      <c r="C35" s="12" t="inlineStr">
        <is>
          <t>Nilai Pengukuran</t>
        </is>
      </c>
      <c r="E35" s="25" t="inlineStr">
        <is>
          <t>Persoalan #3: Gunakan fungsi analisis statistik pada rentang data C36:C39 (Contoh rumus: =AVERAGE(C36:C39))!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AVERAGE(C36:C39)</f>
        <v/>
      </c>
      <c r="H37" s="29" t="inlineStr">
        <is>
          <t>Ketik: =AVERAGE(C36:C39)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Sampel Observasi</t>
        </is>
      </c>
      <c r="C43" s="12" t="inlineStr">
        <is>
          <t>Nilai Pengukuran</t>
        </is>
      </c>
      <c r="E43" s="25" t="inlineStr">
        <is>
          <t>Persoalan #4: Gunakan fungsi analisis statistik pada rentang data C44:C47 (Contoh rumus: =AVERAGE(C44:C47))!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AVERAGE(C44:C47)</f>
        <v/>
      </c>
      <c r="H45" s="29" t="inlineStr">
        <is>
          <t>Ketik: =AVERAGE(C44:C47)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Sampel Observasi</t>
        </is>
      </c>
      <c r="C51" s="12" t="inlineStr">
        <is>
          <t>Nilai Pengukuran</t>
        </is>
      </c>
      <c r="E51" s="25" t="inlineStr">
        <is>
          <t>Persoalan #5: Gunakan fungsi analisis statistik pada rentang data C52:C55 (Contoh rumus: =AVERAGE(C52:C55))!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AVERAGE(C52:C55)</f>
        <v/>
      </c>
      <c r="H53" s="29" t="inlineStr">
        <is>
          <t>Ketik: =AVERAGE(C52:C55)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#061 — RUMUS EXCEL: GAMMALN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(GAMMALN)</t>
        </is>
      </c>
    </row>
    <row r="5" ht="21" customHeight="1">
      <c r="B5" s="12" t="inlineStr">
        <is>
          <t>Nama Rumus Excel</t>
        </is>
      </c>
      <c r="C5" s="13">
        <f>GAMMALN(...)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GAMMALN(...)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Fungsi Statistik &amp; Analisis Data Excel (GAMMALN) untuk mengolah distribusi, peluang, standar deviasi, dan pengujian hipotesis data secara presisi.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GAMMALN)</t>
        </is>
      </c>
    </row>
    <row r="10">
      <c r="B10" s="16" t="inlineStr">
        <is>
          <t>Sampel Observasi</t>
        </is>
      </c>
      <c r="C10" s="16" t="inlineStr">
        <is>
          <t>Nilai Pengukuran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fungsi analisis statistik pada rentang data C11:C14 (Contoh rumus: =AVERAGE(C11:C14))!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GAMMALN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Sampel Observasi</t>
        </is>
      </c>
      <c r="C19" s="12" t="inlineStr">
        <is>
          <t>Nilai Pengukuran</t>
        </is>
      </c>
      <c r="E19" s="25" t="inlineStr">
        <is>
          <t>Persoalan #1: Gunakan fungsi analisis statistik pada rentang data C20:C23 (Contoh rumus: =AVERAGE(C20:C23))!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AVERAGE(C20:C23)</f>
        <v/>
      </c>
      <c r="H21" s="29" t="inlineStr">
        <is>
          <t>Ketik: =AVERAGE(C20:C23)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Sampel Observasi</t>
        </is>
      </c>
      <c r="C27" s="12" t="inlineStr">
        <is>
          <t>Nilai Pengukuran</t>
        </is>
      </c>
      <c r="E27" s="25" t="inlineStr">
        <is>
          <t>Persoalan #2: Gunakan fungsi analisis statistik pada rentang data C28:C31 (Contoh rumus: =AVERAGE(C28:C31))!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AVERAGE(C28:C31)</f>
        <v/>
      </c>
      <c r="H29" s="29" t="inlineStr">
        <is>
          <t>Ketik: =AVERAGE(C28:C31)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Sampel Observasi</t>
        </is>
      </c>
      <c r="C35" s="12" t="inlineStr">
        <is>
          <t>Nilai Pengukuran</t>
        </is>
      </c>
      <c r="E35" s="25" t="inlineStr">
        <is>
          <t>Persoalan #3: Gunakan fungsi analisis statistik pada rentang data C36:C39 (Contoh rumus: =AVERAGE(C36:C39))!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AVERAGE(C36:C39)</f>
        <v/>
      </c>
      <c r="H37" s="29" t="inlineStr">
        <is>
          <t>Ketik: =AVERAGE(C36:C39)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Sampel Observasi</t>
        </is>
      </c>
      <c r="C43" s="12" t="inlineStr">
        <is>
          <t>Nilai Pengukuran</t>
        </is>
      </c>
      <c r="E43" s="25" t="inlineStr">
        <is>
          <t>Persoalan #4: Gunakan fungsi analisis statistik pada rentang data C44:C47 (Contoh rumus: =AVERAGE(C44:C47))!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AVERAGE(C44:C47)</f>
        <v/>
      </c>
      <c r="H45" s="29" t="inlineStr">
        <is>
          <t>Ketik: =AVERAGE(C44:C47)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Sampel Observasi</t>
        </is>
      </c>
      <c r="C51" s="12" t="inlineStr">
        <is>
          <t>Nilai Pengukuran</t>
        </is>
      </c>
      <c r="E51" s="25" t="inlineStr">
        <is>
          <t>Persoalan #5: Gunakan fungsi analisis statistik pada rentang data C52:C55 (Contoh rumus: =AVERAGE(C52:C55))!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AVERAGE(C52:C55)</f>
        <v/>
      </c>
      <c r="H53" s="29" t="inlineStr">
        <is>
          <t>Ketik: =AVERAGE(C52:C55)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#062 — RUMUS EXCEL: GEOMEAN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(GEOMEAN)</t>
        </is>
      </c>
    </row>
    <row r="5" ht="21" customHeight="1">
      <c r="B5" s="12" t="inlineStr">
        <is>
          <t>Nama Rumus Excel</t>
        </is>
      </c>
      <c r="C5" s="13">
        <f>GEOMEAN(...)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GEOMEAN(range_data)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Menghitung Rata-Rata Geometrik (sangat penting untuk menghitung rata-rata pertumbuhan investasi tahunan).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GEOMEAN)</t>
        </is>
      </c>
    </row>
    <row r="10">
      <c r="B10" s="16" t="inlineStr">
        <is>
          <t>Nama Unit / Kategori</t>
        </is>
      </c>
      <c r="C10" s="16" t="inlineStr">
        <is>
          <t>Nilai Data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rumus GEOMEAN pada rentang sel C11:C14 untuk menghitung nilai GEOMEAN dari ke-4 data di samping!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'=GEOMEAN(C11:C14)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GEOMEAN(C11:C14)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GEOMEAN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Nama Unit / Kategori</t>
        </is>
      </c>
      <c r="C19" s="12" t="inlineStr">
        <is>
          <t>Nilai Data</t>
        </is>
      </c>
      <c r="E19" s="25" t="inlineStr">
        <is>
          <t>Persoalan #1: Gunakan rumus GEOMEAN pada rentang sel C20:C23 untuk menghitung nilai GEOMEAN dari ke-4 data di samping!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GEOMEAN(C20:C23)</f>
        <v/>
      </c>
      <c r="H21" s="29" t="inlineStr">
        <is>
          <t>Ketik: =GEOMEAN(C20:C23)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Nama Unit / Kategori</t>
        </is>
      </c>
      <c r="C27" s="12" t="inlineStr">
        <is>
          <t>Nilai Data</t>
        </is>
      </c>
      <c r="E27" s="25" t="inlineStr">
        <is>
          <t>Persoalan #2: Gunakan rumus GEOMEAN pada rentang sel C28:C31 untuk menghitung nilai GEOMEAN dari ke-4 data di samping!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GEOMEAN(C28:C31)</f>
        <v/>
      </c>
      <c r="H29" s="29" t="inlineStr">
        <is>
          <t>Ketik: =GEOMEAN(C28:C31)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Nama Unit / Kategori</t>
        </is>
      </c>
      <c r="C35" s="12" t="inlineStr">
        <is>
          <t>Nilai Data</t>
        </is>
      </c>
      <c r="E35" s="25" t="inlineStr">
        <is>
          <t>Persoalan #3: Gunakan rumus GEOMEAN pada rentang sel C36:C39 untuk menghitung nilai GEOMEAN dari ke-4 data di samping!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GEOMEAN(C36:C39)</f>
        <v/>
      </c>
      <c r="H37" s="29" t="inlineStr">
        <is>
          <t>Ketik: =GEOMEAN(C36:C39)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Nama Unit / Kategori</t>
        </is>
      </c>
      <c r="C43" s="12" t="inlineStr">
        <is>
          <t>Nilai Data</t>
        </is>
      </c>
      <c r="E43" s="25" t="inlineStr">
        <is>
          <t>Persoalan #4: Gunakan rumus GEOMEAN pada rentang sel C44:C47 untuk menghitung nilai GEOMEAN dari ke-4 data di samping!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GEOMEAN(C44:C47)</f>
        <v/>
      </c>
      <c r="H45" s="29" t="inlineStr">
        <is>
          <t>Ketik: =GEOMEAN(C44:C47)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Nama Unit / Kategori</t>
        </is>
      </c>
      <c r="C51" s="12" t="inlineStr">
        <is>
          <t>Nilai Data</t>
        </is>
      </c>
      <c r="E51" s="25" t="inlineStr">
        <is>
          <t>Persoalan #5: Gunakan rumus GEOMEAN pada rentang sel C52:C55 untuk menghitung nilai GEOMEAN dari ke-4 data di samping!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GEOMEAN(C52:C55)</f>
        <v/>
      </c>
      <c r="H53" s="29" t="inlineStr">
        <is>
          <t>Ketik: =GEOMEAN(C52:C55)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#063 — RUMUS EXCEL: GROWTH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(GROWTH)</t>
        </is>
      </c>
    </row>
    <row r="5" ht="21" customHeight="1">
      <c r="B5" s="12" t="inlineStr">
        <is>
          <t>Nama Rumus Excel</t>
        </is>
      </c>
      <c r="C5" s="13">
        <f>GROWTH(...)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GROWTH(...)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Fungsi Statistik &amp; Analisis Data Excel (GROWTH) untuk mengolah distribusi, peluang, standar deviasi, dan pengujian hipotesis data secara presisi.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GROWTH)</t>
        </is>
      </c>
    </row>
    <row r="10">
      <c r="B10" s="16" t="inlineStr">
        <is>
          <t>Sampel Observasi</t>
        </is>
      </c>
      <c r="C10" s="16" t="inlineStr">
        <is>
          <t>Nilai Pengukuran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fungsi analisis statistik pada rentang data C11:C14 (Contoh rumus: =AVERAGE(C11:C14))!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GROWTH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Sampel Observasi</t>
        </is>
      </c>
      <c r="C19" s="12" t="inlineStr">
        <is>
          <t>Nilai Pengukuran</t>
        </is>
      </c>
      <c r="E19" s="25" t="inlineStr">
        <is>
          <t>Persoalan #1: Gunakan fungsi analisis statistik pada rentang data C20:C23 (Contoh rumus: =AVERAGE(C20:C23))!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AVERAGE(C20:C23)</f>
        <v/>
      </c>
      <c r="H21" s="29" t="inlineStr">
        <is>
          <t>Ketik: =AVERAGE(C20:C23)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Sampel Observasi</t>
        </is>
      </c>
      <c r="C27" s="12" t="inlineStr">
        <is>
          <t>Nilai Pengukuran</t>
        </is>
      </c>
      <c r="E27" s="25" t="inlineStr">
        <is>
          <t>Persoalan #2: Gunakan fungsi analisis statistik pada rentang data C28:C31 (Contoh rumus: =AVERAGE(C28:C31))!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AVERAGE(C28:C31)</f>
        <v/>
      </c>
      <c r="H29" s="29" t="inlineStr">
        <is>
          <t>Ketik: =AVERAGE(C28:C31)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Sampel Observasi</t>
        </is>
      </c>
      <c r="C35" s="12" t="inlineStr">
        <is>
          <t>Nilai Pengukuran</t>
        </is>
      </c>
      <c r="E35" s="25" t="inlineStr">
        <is>
          <t>Persoalan #3: Gunakan fungsi analisis statistik pada rentang data C36:C39 (Contoh rumus: =AVERAGE(C36:C39))!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AVERAGE(C36:C39)</f>
        <v/>
      </c>
      <c r="H37" s="29" t="inlineStr">
        <is>
          <t>Ketik: =AVERAGE(C36:C39)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Sampel Observasi</t>
        </is>
      </c>
      <c r="C43" s="12" t="inlineStr">
        <is>
          <t>Nilai Pengukuran</t>
        </is>
      </c>
      <c r="E43" s="25" t="inlineStr">
        <is>
          <t>Persoalan #4: Gunakan fungsi analisis statistik pada rentang data C44:C47 (Contoh rumus: =AVERAGE(C44:C47))!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AVERAGE(C44:C47)</f>
        <v/>
      </c>
      <c r="H45" s="29" t="inlineStr">
        <is>
          <t>Ketik: =AVERAGE(C44:C47)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Sampel Observasi</t>
        </is>
      </c>
      <c r="C51" s="12" t="inlineStr">
        <is>
          <t>Nilai Pengukuran</t>
        </is>
      </c>
      <c r="E51" s="25" t="inlineStr">
        <is>
          <t>Persoalan #5: Gunakan fungsi analisis statistik pada rentang data C52:C55 (Contoh rumus: =AVERAGE(C52:C55))!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AVERAGE(C52:C55)</f>
        <v/>
      </c>
      <c r="H53" s="29" t="inlineStr">
        <is>
          <t>Ketik: =AVERAGE(C52:C55)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#064 — RUMUS EXCEL: HARMEAN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(HARMEAN)</t>
        </is>
      </c>
    </row>
    <row r="5" ht="21" customHeight="1">
      <c r="B5" s="12" t="inlineStr">
        <is>
          <t>Nama Rumus Excel</t>
        </is>
      </c>
      <c r="C5" s="13">
        <f>HARMEAN(...)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HARMEAN(range_data)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Menghitung Rata-Rata Harmonik (cocok untuk menghitung rata-rata kecepatan perjalanan pulang-pergi).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HARMEAN)</t>
        </is>
      </c>
    </row>
    <row r="10">
      <c r="B10" s="16" t="inlineStr">
        <is>
          <t>Nama Unit / Kategori</t>
        </is>
      </c>
      <c r="C10" s="16" t="inlineStr">
        <is>
          <t>Nilai Data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rumus HARMEAN pada rentang sel C11:C14 untuk menghitung nilai HARMEAN dari ke-4 data di samping!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'=HARMEAN(C11:C14)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HARMEAN(C11:C14)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HARMEAN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Nama Unit / Kategori</t>
        </is>
      </c>
      <c r="C19" s="12" t="inlineStr">
        <is>
          <t>Nilai Data</t>
        </is>
      </c>
      <c r="E19" s="25" t="inlineStr">
        <is>
          <t>Persoalan #1: Gunakan rumus HARMEAN pada rentang sel C20:C23 untuk menghitung nilai HARMEAN dari ke-4 data di samping!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HARMEAN(C20:C23)</f>
        <v/>
      </c>
      <c r="H21" s="29" t="inlineStr">
        <is>
          <t>Ketik: =HARMEAN(C20:C23)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Nama Unit / Kategori</t>
        </is>
      </c>
      <c r="C27" s="12" t="inlineStr">
        <is>
          <t>Nilai Data</t>
        </is>
      </c>
      <c r="E27" s="25" t="inlineStr">
        <is>
          <t>Persoalan #2: Gunakan rumus HARMEAN pada rentang sel C28:C31 untuk menghitung nilai HARMEAN dari ke-4 data di samping!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HARMEAN(C28:C31)</f>
        <v/>
      </c>
      <c r="H29" s="29" t="inlineStr">
        <is>
          <t>Ketik: =HARMEAN(C28:C31)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Nama Unit / Kategori</t>
        </is>
      </c>
      <c r="C35" s="12" t="inlineStr">
        <is>
          <t>Nilai Data</t>
        </is>
      </c>
      <c r="E35" s="25" t="inlineStr">
        <is>
          <t>Persoalan #3: Gunakan rumus HARMEAN pada rentang sel C36:C39 untuk menghitung nilai HARMEAN dari ke-4 data di samping!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HARMEAN(C36:C39)</f>
        <v/>
      </c>
      <c r="H37" s="29" t="inlineStr">
        <is>
          <t>Ketik: =HARMEAN(C36:C39)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Nama Unit / Kategori</t>
        </is>
      </c>
      <c r="C43" s="12" t="inlineStr">
        <is>
          <t>Nilai Data</t>
        </is>
      </c>
      <c r="E43" s="25" t="inlineStr">
        <is>
          <t>Persoalan #4: Gunakan rumus HARMEAN pada rentang sel C44:C47 untuk menghitung nilai HARMEAN dari ke-4 data di samping!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HARMEAN(C44:C47)</f>
        <v/>
      </c>
      <c r="H45" s="29" t="inlineStr">
        <is>
          <t>Ketik: =HARMEAN(C44:C47)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Nama Unit / Kategori</t>
        </is>
      </c>
      <c r="C51" s="12" t="inlineStr">
        <is>
          <t>Nilai Data</t>
        </is>
      </c>
      <c r="E51" s="25" t="inlineStr">
        <is>
          <t>Persoalan #5: Gunakan rumus HARMEAN pada rentang sel C52:C55 untuk menghitung nilai HARMEAN dari ke-4 data di samping!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HARMEAN(C52:C55)</f>
        <v/>
      </c>
      <c r="H53" s="29" t="inlineStr">
        <is>
          <t>Ketik: =HARMEAN(C52:C55)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#065 — RUMUS EXCEL: HYPGEOMDIST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(HYPGEOMDIST)</t>
        </is>
      </c>
    </row>
    <row r="5" ht="21" customHeight="1">
      <c r="B5" s="12" t="inlineStr">
        <is>
          <t>Nama Rumus Excel</t>
        </is>
      </c>
      <c r="C5" s="13">
        <f>HYPGEOMDIST(...)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HYPGEOMDIST(...)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Fungsi Statistik &amp; Analisis Data Excel (HYPGEOMDIST) untuk mengolah distribusi, peluang, standar deviasi, dan pengujian hipotesis data secara presisi.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HYPGEOMDIST)</t>
        </is>
      </c>
    </row>
    <row r="10">
      <c r="B10" s="16" t="inlineStr">
        <is>
          <t>Sampel Observasi</t>
        </is>
      </c>
      <c r="C10" s="16" t="inlineStr">
        <is>
          <t>Nilai Pengukuran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fungsi analisis statistik pada rentang data C11:C14 (Contoh rumus: =AVERAGE(C11:C14))!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HYPGEOMDIST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Sampel Observasi</t>
        </is>
      </c>
      <c r="C19" s="12" t="inlineStr">
        <is>
          <t>Nilai Pengukuran</t>
        </is>
      </c>
      <c r="E19" s="25" t="inlineStr">
        <is>
          <t>Persoalan #1: Gunakan fungsi analisis statistik pada rentang data C20:C23 (Contoh rumus: =AVERAGE(C20:C23))!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AVERAGE(C20:C23)</f>
        <v/>
      </c>
      <c r="H21" s="29" t="inlineStr">
        <is>
          <t>Ketik: =AVERAGE(C20:C23)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Sampel Observasi</t>
        </is>
      </c>
      <c r="C27" s="12" t="inlineStr">
        <is>
          <t>Nilai Pengukuran</t>
        </is>
      </c>
      <c r="E27" s="25" t="inlineStr">
        <is>
          <t>Persoalan #2: Gunakan fungsi analisis statistik pada rentang data C28:C31 (Contoh rumus: =AVERAGE(C28:C31))!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AVERAGE(C28:C31)</f>
        <v/>
      </c>
      <c r="H29" s="29" t="inlineStr">
        <is>
          <t>Ketik: =AVERAGE(C28:C31)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Sampel Observasi</t>
        </is>
      </c>
      <c r="C35" s="12" t="inlineStr">
        <is>
          <t>Nilai Pengukuran</t>
        </is>
      </c>
      <c r="E35" s="25" t="inlineStr">
        <is>
          <t>Persoalan #3: Gunakan fungsi analisis statistik pada rentang data C36:C39 (Contoh rumus: =AVERAGE(C36:C39))!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AVERAGE(C36:C39)</f>
        <v/>
      </c>
      <c r="H37" s="29" t="inlineStr">
        <is>
          <t>Ketik: =AVERAGE(C36:C39)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Sampel Observasi</t>
        </is>
      </c>
      <c r="C43" s="12" t="inlineStr">
        <is>
          <t>Nilai Pengukuran</t>
        </is>
      </c>
      <c r="E43" s="25" t="inlineStr">
        <is>
          <t>Persoalan #4: Gunakan fungsi analisis statistik pada rentang data C44:C47 (Contoh rumus: =AVERAGE(C44:C47))!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AVERAGE(C44:C47)</f>
        <v/>
      </c>
      <c r="H45" s="29" t="inlineStr">
        <is>
          <t>Ketik: =AVERAGE(C44:C47)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Sampel Observasi</t>
        </is>
      </c>
      <c r="C51" s="12" t="inlineStr">
        <is>
          <t>Nilai Pengukuran</t>
        </is>
      </c>
      <c r="E51" s="25" t="inlineStr">
        <is>
          <t>Persoalan #5: Gunakan fungsi analisis statistik pada rentang data C52:C55 (Contoh rumus: =AVERAGE(C52:C55))!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AVERAGE(C52:C55)</f>
        <v/>
      </c>
      <c r="H53" s="29" t="inlineStr">
        <is>
          <t>Ketik: =AVERAGE(C52:C55)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#066 — RUMUS EXCEL: INTERCEPT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(INTERCEPT)</t>
        </is>
      </c>
    </row>
    <row r="5" ht="21" customHeight="1">
      <c r="B5" s="12" t="inlineStr">
        <is>
          <t>Nama Rumus Excel</t>
        </is>
      </c>
      <c r="C5" s="13">
        <f>INTERCEPT(...)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INTERCEPT(range_y, range_x)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Mencari titik potong sumbu Y pada garis regresi linear (nilai dasar saat X = 0).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INTERCEPT)</t>
        </is>
      </c>
    </row>
    <row r="10">
      <c r="B10" s="16" t="inlineStr">
        <is>
          <t>Variabel X (Biaya)</t>
        </is>
      </c>
      <c r="C10" s="16" t="inlineStr">
        <is>
          <t>Variabel Y (Hasil)</t>
        </is>
      </c>
      <c r="E10" s="17" t="inlineStr">
        <is>
          <t>💡 CONTOH RUMUS YANG SUDAH TERPASANG AKTIF:</t>
        </is>
      </c>
    </row>
    <row r="11">
      <c r="B11" s="18" t="n">
        <v>10</v>
      </c>
      <c r="C11" s="18" t="n">
        <v>15</v>
      </c>
      <c r="E11" s="19" t="inlineStr">
        <is>
          <t>Kasus Contoh:</t>
        </is>
      </c>
      <c r="F11" s="20" t="inlineStr">
        <is>
          <t>Analisis hubungan variabel X (B11:B14) dan variabel Y (C11:C14) menggunakan rumus INTERCEPT!</t>
        </is>
      </c>
    </row>
    <row r="12">
      <c r="B12" s="18" t="n">
        <v>20</v>
      </c>
      <c r="C12" s="18" t="n">
        <v>28</v>
      </c>
      <c r="E12" s="19" t="inlineStr">
        <is>
          <t>Rumus yang Diketik:</t>
        </is>
      </c>
      <c r="F12" s="21" t="inlineStr">
        <is>
          <t>'=INTERCEPT(B11:B14, C11:C14)</t>
        </is>
      </c>
    </row>
    <row r="13">
      <c r="B13" s="18" t="n">
        <v>30</v>
      </c>
      <c r="C13" s="18" t="n">
        <v>42</v>
      </c>
      <c r="E13" s="19" t="inlineStr">
        <is>
          <t>Hasil Otomatis Excel:</t>
        </is>
      </c>
      <c r="F13" s="22">
        <f>INTERCEPT(B11:B14, C11:C14)</f>
        <v/>
      </c>
    </row>
    <row r="14">
      <c r="B14" s="18" t="n">
        <v>40</v>
      </c>
      <c r="C14" s="18" t="n">
        <v>55</v>
      </c>
    </row>
    <row r="16" ht="26" customHeight="1">
      <c r="B16" s="23" t="inlineStr">
        <is>
          <t>3️⃣ 5 PERSOALAN DUNIA NYATA (KETIK RUMUS INTERCEPT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Variabel X (Biaya)</t>
        </is>
      </c>
      <c r="C19" s="12" t="inlineStr">
        <is>
          <t>Variabel Y (Hasil)</t>
        </is>
      </c>
      <c r="E19" s="25" t="inlineStr">
        <is>
          <t>Persoalan #1: Analisis hubungan variabel X (B20:B23) dan variabel Y (C20:C23) menggunakan rumus INTERCEPT!</t>
        </is>
      </c>
    </row>
    <row r="20">
      <c r="B20" s="18" t="n">
        <v>10</v>
      </c>
      <c r="C20" s="18" t="n">
        <v>15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n">
        <v>20</v>
      </c>
      <c r="C21" s="18" t="n">
        <v>28</v>
      </c>
      <c r="E21" s="26" t="n"/>
      <c r="F21" s="27">
        <f>IF(ISBLANK(E21), "⏳ Ketik rumus di sel kuning E21", IF(E21=G21, "✅ BENAR! LUAR BIASA!", "❌ Belum Tepat, Cek Kunci"))</f>
        <v/>
      </c>
      <c r="G21" s="28">
        <f>INTERCEPT(B20:B23, C20:C23)</f>
        <v/>
      </c>
      <c r="H21" s="29" t="inlineStr">
        <is>
          <t>Ketik: =INTERCEPT(B20:B23, C20:C23)</t>
        </is>
      </c>
    </row>
    <row r="22">
      <c r="B22" s="18" t="n">
        <v>30</v>
      </c>
      <c r="C22" s="18" t="n">
        <v>42</v>
      </c>
    </row>
    <row r="23">
      <c r="B23" s="18" t="n">
        <v>40</v>
      </c>
      <c r="C23" s="18" t="n">
        <v>55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Variabel X (Biaya)</t>
        </is>
      </c>
      <c r="C27" s="12" t="inlineStr">
        <is>
          <t>Variabel Y (Hasil)</t>
        </is>
      </c>
      <c r="E27" s="25" t="inlineStr">
        <is>
          <t>Persoalan #2: Analisis hubungan variabel X (B28:B31) dan variabel Y (C28:C31) menggunakan rumus INTERCEPT!</t>
        </is>
      </c>
    </row>
    <row r="28">
      <c r="B28" s="18" t="n">
        <v>20</v>
      </c>
      <c r="C28" s="18" t="n">
        <v>30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n">
        <v>40</v>
      </c>
      <c r="C29" s="18" t="n">
        <v>56</v>
      </c>
      <c r="E29" s="26" t="n"/>
      <c r="F29" s="27">
        <f>IF(ISBLANK(E29), "⏳ Ketik rumus di sel kuning E29", IF(E29=G29, "✅ BENAR! LUAR BIASA!", "❌ Belum Tepat, Cek Kunci"))</f>
        <v/>
      </c>
      <c r="G29" s="28">
        <f>INTERCEPT(B28:B31, C28:C31)</f>
        <v/>
      </c>
      <c r="H29" s="29" t="inlineStr">
        <is>
          <t>Ketik: =INTERCEPT(B28:B31, C28:C31)</t>
        </is>
      </c>
    </row>
    <row r="30">
      <c r="B30" s="18" t="n">
        <v>60</v>
      </c>
      <c r="C30" s="18" t="n">
        <v>84</v>
      </c>
    </row>
    <row r="31">
      <c r="B31" s="18" t="n">
        <v>80</v>
      </c>
      <c r="C31" s="18" t="n">
        <v>110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Variabel X (Biaya)</t>
        </is>
      </c>
      <c r="C35" s="12" t="inlineStr">
        <is>
          <t>Variabel Y (Hasil)</t>
        </is>
      </c>
      <c r="E35" s="25" t="inlineStr">
        <is>
          <t>Persoalan #3: Analisis hubungan variabel X (B36:B39) dan variabel Y (C36:C39) menggunakan rumus INTERCEPT!</t>
        </is>
      </c>
    </row>
    <row r="36">
      <c r="B36" s="18" t="n">
        <v>30</v>
      </c>
      <c r="C36" s="18" t="n">
        <v>45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n">
        <v>60</v>
      </c>
      <c r="C37" s="18" t="n">
        <v>84</v>
      </c>
      <c r="E37" s="26" t="n"/>
      <c r="F37" s="27">
        <f>IF(ISBLANK(E37), "⏳ Ketik rumus di sel kuning E37", IF(E37=G37, "✅ BENAR! LUAR BIASA!", "❌ Belum Tepat, Cek Kunci"))</f>
        <v/>
      </c>
      <c r="G37" s="28">
        <f>INTERCEPT(B36:B39, C36:C39)</f>
        <v/>
      </c>
      <c r="H37" s="29" t="inlineStr">
        <is>
          <t>Ketik: =INTERCEPT(B36:B39, C36:C39)</t>
        </is>
      </c>
    </row>
    <row r="38">
      <c r="B38" s="18" t="n">
        <v>90</v>
      </c>
      <c r="C38" s="18" t="n">
        <v>126</v>
      </c>
    </row>
    <row r="39">
      <c r="B39" s="18" t="n">
        <v>120</v>
      </c>
      <c r="C39" s="18" t="n">
        <v>165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Variabel X (Biaya)</t>
        </is>
      </c>
      <c r="C43" s="12" t="inlineStr">
        <is>
          <t>Variabel Y (Hasil)</t>
        </is>
      </c>
      <c r="E43" s="25" t="inlineStr">
        <is>
          <t>Persoalan #4: Analisis hubungan variabel X (B44:B47) dan variabel Y (C44:C47) menggunakan rumus INTERCEPT!</t>
        </is>
      </c>
    </row>
    <row r="44">
      <c r="B44" s="18" t="n">
        <v>40</v>
      </c>
      <c r="C44" s="18" t="n">
        <v>60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n">
        <v>80</v>
      </c>
      <c r="C45" s="18" t="n">
        <v>112</v>
      </c>
      <c r="E45" s="26" t="n"/>
      <c r="F45" s="27">
        <f>IF(ISBLANK(E45), "⏳ Ketik rumus di sel kuning E45", IF(E45=G45, "✅ BENAR! LUAR BIASA!", "❌ Belum Tepat, Cek Kunci"))</f>
        <v/>
      </c>
      <c r="G45" s="28">
        <f>INTERCEPT(B44:B47, C44:C47)</f>
        <v/>
      </c>
      <c r="H45" s="29" t="inlineStr">
        <is>
          <t>Ketik: =INTERCEPT(B44:B47, C44:C47)</t>
        </is>
      </c>
    </row>
    <row r="46">
      <c r="B46" s="18" t="n">
        <v>120</v>
      </c>
      <c r="C46" s="18" t="n">
        <v>168</v>
      </c>
    </row>
    <row r="47">
      <c r="B47" s="18" t="n">
        <v>160</v>
      </c>
      <c r="C47" s="18" t="n">
        <v>220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Variabel X (Biaya)</t>
        </is>
      </c>
      <c r="C51" s="12" t="inlineStr">
        <is>
          <t>Variabel Y (Hasil)</t>
        </is>
      </c>
      <c r="E51" s="25" t="inlineStr">
        <is>
          <t>Persoalan #5: Analisis hubungan variabel X (B52:B55) dan variabel Y (C52:C55) menggunakan rumus INTERCEPT!</t>
        </is>
      </c>
    </row>
    <row r="52">
      <c r="B52" s="18" t="n">
        <v>50</v>
      </c>
      <c r="C52" s="18" t="n">
        <v>75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n">
        <v>100</v>
      </c>
      <c r="C53" s="18" t="n">
        <v>140</v>
      </c>
      <c r="E53" s="26" t="n"/>
      <c r="F53" s="27">
        <f>IF(ISBLANK(E53), "⏳ Ketik rumus di sel kuning E53", IF(E53=G53, "✅ BENAR! LUAR BIASA!", "❌ Belum Tepat, Cek Kunci"))</f>
        <v/>
      </c>
      <c r="G53" s="28">
        <f>INTERCEPT(B52:B55, C52:C55)</f>
        <v/>
      </c>
      <c r="H53" s="29" t="inlineStr">
        <is>
          <t>Ketik: =INTERCEPT(B52:B55, C52:C55)</t>
        </is>
      </c>
    </row>
    <row r="54">
      <c r="B54" s="18" t="n">
        <v>150</v>
      </c>
      <c r="C54" s="18" t="n">
        <v>210</v>
      </c>
    </row>
    <row r="55">
      <c r="B55" s="18" t="n">
        <v>200</v>
      </c>
      <c r="C55" s="18" t="n">
        <v>275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#067 — RUMUS EXCEL: KURT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(KURT)</t>
        </is>
      </c>
    </row>
    <row r="5" ht="21" customHeight="1">
      <c r="B5" s="12" t="inlineStr">
        <is>
          <t>Nama Rumus Excel</t>
        </is>
      </c>
      <c r="C5" s="13">
        <f>KURT(...)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KURT(range_data)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Mengukur keruncingan (Kurtosis) distribusi data statistik.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KURT)</t>
        </is>
      </c>
    </row>
    <row r="10">
      <c r="B10" s="16" t="inlineStr">
        <is>
          <t>Nama Unit / Kategori</t>
        </is>
      </c>
      <c r="C10" s="16" t="inlineStr">
        <is>
          <t>Nilai Data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rumus KURT pada rentang sel C11:C14 untuk menghitung nilai KURT dari ke-4 data di samping!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'=KURT(C11:C14)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KURT(C11:C14)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KURT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Nama Unit / Kategori</t>
        </is>
      </c>
      <c r="C19" s="12" t="inlineStr">
        <is>
          <t>Nilai Data</t>
        </is>
      </c>
      <c r="E19" s="25" t="inlineStr">
        <is>
          <t>Persoalan #1: Gunakan rumus KURT pada rentang sel C20:C23 untuk menghitung nilai KURT dari ke-4 data di samping!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KURT(C20:C23)</f>
        <v/>
      </c>
      <c r="H21" s="29" t="inlineStr">
        <is>
          <t>Ketik: =KURT(C20:C23)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Nama Unit / Kategori</t>
        </is>
      </c>
      <c r="C27" s="12" t="inlineStr">
        <is>
          <t>Nilai Data</t>
        </is>
      </c>
      <c r="E27" s="25" t="inlineStr">
        <is>
          <t>Persoalan #2: Gunakan rumus KURT pada rentang sel C28:C31 untuk menghitung nilai KURT dari ke-4 data di samping!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KURT(C28:C31)</f>
        <v/>
      </c>
      <c r="H29" s="29" t="inlineStr">
        <is>
          <t>Ketik: =KURT(C28:C31)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Nama Unit / Kategori</t>
        </is>
      </c>
      <c r="C35" s="12" t="inlineStr">
        <is>
          <t>Nilai Data</t>
        </is>
      </c>
      <c r="E35" s="25" t="inlineStr">
        <is>
          <t>Persoalan #3: Gunakan rumus KURT pada rentang sel C36:C39 untuk menghitung nilai KURT dari ke-4 data di samping!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KURT(C36:C39)</f>
        <v/>
      </c>
      <c r="H37" s="29" t="inlineStr">
        <is>
          <t>Ketik: =KURT(C36:C39)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Nama Unit / Kategori</t>
        </is>
      </c>
      <c r="C43" s="12" t="inlineStr">
        <is>
          <t>Nilai Data</t>
        </is>
      </c>
      <c r="E43" s="25" t="inlineStr">
        <is>
          <t>Persoalan #4: Gunakan rumus KURT pada rentang sel C44:C47 untuk menghitung nilai KURT dari ke-4 data di samping!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KURT(C44:C47)</f>
        <v/>
      </c>
      <c r="H45" s="29" t="inlineStr">
        <is>
          <t>Ketik: =KURT(C44:C47)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Nama Unit / Kategori</t>
        </is>
      </c>
      <c r="C51" s="12" t="inlineStr">
        <is>
          <t>Nilai Data</t>
        </is>
      </c>
      <c r="E51" s="25" t="inlineStr">
        <is>
          <t>Persoalan #5: Gunakan rumus KURT pada rentang sel C52:C55 untuk menghitung nilai KURT dari ke-4 data di samping!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KURT(C52:C55)</f>
        <v/>
      </c>
      <c r="H53" s="29" t="inlineStr">
        <is>
          <t>Ketik: =KURT(C52:C55)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#068 — RUMUS EXCEL: LARGE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(LARGE)</t>
        </is>
      </c>
    </row>
    <row r="5" ht="21" customHeight="1">
      <c r="B5" s="12" t="inlineStr">
        <is>
          <t>Nama Rumus Excel</t>
        </is>
      </c>
      <c r="C5" s="13">
        <f>LARGE(...)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LARGE(range_data, k)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Mencari nilai terbesar ke-k (Misal k=2 untuk mencari Juara 2, k=3 untuk Juara 3).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LARGE)</t>
        </is>
      </c>
    </row>
    <row r="10">
      <c r="B10" s="16" t="inlineStr">
        <is>
          <t>Peserta / Cabang</t>
        </is>
      </c>
      <c r="C10" s="16" t="inlineStr">
        <is>
          <t>Skor Capaian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Cari nilai urutan ke-1 dari rentang C11:C14 menggunakan rumus LARGE!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'=LARGE(C11:C14, 1)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LARGE(C11:C14, 1)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LARGE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Peserta / Cabang</t>
        </is>
      </c>
      <c r="C19" s="12" t="inlineStr">
        <is>
          <t>Skor Capaian</t>
        </is>
      </c>
      <c r="E19" s="25" t="inlineStr">
        <is>
          <t>Persoalan #1: Cari nilai urutan ke-1 dari rentang C20:C23 menggunakan rumus LARGE!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LARGE(C20:C23, 1)</f>
        <v/>
      </c>
      <c r="H21" s="29" t="inlineStr">
        <is>
          <t>Ketik: =LARGE(C20:C23, 1)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Peserta / Cabang</t>
        </is>
      </c>
      <c r="C27" s="12" t="inlineStr">
        <is>
          <t>Skor Capaian</t>
        </is>
      </c>
      <c r="E27" s="25" t="inlineStr">
        <is>
          <t>Persoalan #2: Cari nilai urutan ke-2 dari rentang C28:C31 menggunakan rumus LARGE!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LARGE(C28:C31, 2)</f>
        <v/>
      </c>
      <c r="H29" s="29" t="inlineStr">
        <is>
          <t>Ketik: =LARGE(C28:C31, 2)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Peserta / Cabang</t>
        </is>
      </c>
      <c r="C35" s="12" t="inlineStr">
        <is>
          <t>Skor Capaian</t>
        </is>
      </c>
      <c r="E35" s="25" t="inlineStr">
        <is>
          <t>Persoalan #3: Cari nilai urutan ke-3 dari rentang C36:C39 menggunakan rumus LARGE!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LARGE(C36:C39, 3)</f>
        <v/>
      </c>
      <c r="H37" s="29" t="inlineStr">
        <is>
          <t>Ketik: =LARGE(C36:C39, 3)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Peserta / Cabang</t>
        </is>
      </c>
      <c r="C43" s="12" t="inlineStr">
        <is>
          <t>Skor Capaian</t>
        </is>
      </c>
      <c r="E43" s="25" t="inlineStr">
        <is>
          <t>Persoalan #4: Cari nilai urutan ke-1 dari rentang C44:C47 menggunakan rumus LARGE!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LARGE(C44:C47, 1)</f>
        <v/>
      </c>
      <c r="H45" s="29" t="inlineStr">
        <is>
          <t>Ketik: =LARGE(C44:C47, 1)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Peserta / Cabang</t>
        </is>
      </c>
      <c r="C51" s="12" t="inlineStr">
        <is>
          <t>Skor Capaian</t>
        </is>
      </c>
      <c r="E51" s="25" t="inlineStr">
        <is>
          <t>Persoalan #5: Cari nilai urutan ke-2 dari rentang C52:C55 menggunakan rumus LARGE!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LARGE(C52:C55, 2)</f>
        <v/>
      </c>
      <c r="H53" s="29" t="inlineStr">
        <is>
          <t>Ketik: =LARGE(C52:C55, 2)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#069 — RUMUS EXCEL: LOGNORM.DIST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(LOGNORM.DIST)</t>
        </is>
      </c>
    </row>
    <row r="5" ht="21" customHeight="1">
      <c r="B5" s="12" t="inlineStr">
        <is>
          <t>Nama Rumus Excel</t>
        </is>
      </c>
      <c r="C5" s="13">
        <f>LOGNORM.DIST(...)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LOGNORM.DIST(...)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Fungsi Statistik &amp; Analisis Data Excel (LOGNORM.DIST) untuk mengolah distribusi, peluang, standar deviasi, dan pengujian hipotesis data secara presisi.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LOGNORM.DIST)</t>
        </is>
      </c>
    </row>
    <row r="10">
      <c r="B10" s="16" t="inlineStr">
        <is>
          <t>Sampel Observasi</t>
        </is>
      </c>
      <c r="C10" s="16" t="inlineStr">
        <is>
          <t>Nilai Pengukuran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fungsi analisis statistik pada rentang data C11:C14 (Contoh rumus: =AVERAGE(C11:C14))!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LOGNORM.DIST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Sampel Observasi</t>
        </is>
      </c>
      <c r="C19" s="12" t="inlineStr">
        <is>
          <t>Nilai Pengukuran</t>
        </is>
      </c>
      <c r="E19" s="25" t="inlineStr">
        <is>
          <t>Persoalan #1: Gunakan fungsi analisis statistik pada rentang data C20:C23 (Contoh rumus: =AVERAGE(C20:C23))!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AVERAGE(C20:C23)</f>
        <v/>
      </c>
      <c r="H21" s="29" t="inlineStr">
        <is>
          <t>Ketik: =AVERAGE(C20:C23)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Sampel Observasi</t>
        </is>
      </c>
      <c r="C27" s="12" t="inlineStr">
        <is>
          <t>Nilai Pengukuran</t>
        </is>
      </c>
      <c r="E27" s="25" t="inlineStr">
        <is>
          <t>Persoalan #2: Gunakan fungsi analisis statistik pada rentang data C28:C31 (Contoh rumus: =AVERAGE(C28:C31))!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AVERAGE(C28:C31)</f>
        <v/>
      </c>
      <c r="H29" s="29" t="inlineStr">
        <is>
          <t>Ketik: =AVERAGE(C28:C31)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Sampel Observasi</t>
        </is>
      </c>
      <c r="C35" s="12" t="inlineStr">
        <is>
          <t>Nilai Pengukuran</t>
        </is>
      </c>
      <c r="E35" s="25" t="inlineStr">
        <is>
          <t>Persoalan #3: Gunakan fungsi analisis statistik pada rentang data C36:C39 (Contoh rumus: =AVERAGE(C36:C39))!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AVERAGE(C36:C39)</f>
        <v/>
      </c>
      <c r="H37" s="29" t="inlineStr">
        <is>
          <t>Ketik: =AVERAGE(C36:C39)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Sampel Observasi</t>
        </is>
      </c>
      <c r="C43" s="12" t="inlineStr">
        <is>
          <t>Nilai Pengukuran</t>
        </is>
      </c>
      <c r="E43" s="25" t="inlineStr">
        <is>
          <t>Persoalan #4: Gunakan fungsi analisis statistik pada rentang data C44:C47 (Contoh rumus: =AVERAGE(C44:C47))!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AVERAGE(C44:C47)</f>
        <v/>
      </c>
      <c r="H45" s="29" t="inlineStr">
        <is>
          <t>Ketik: =AVERAGE(C44:C47)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Sampel Observasi</t>
        </is>
      </c>
      <c r="C51" s="12" t="inlineStr">
        <is>
          <t>Nilai Pengukuran</t>
        </is>
      </c>
      <c r="E51" s="25" t="inlineStr">
        <is>
          <t>Persoalan #5: Gunakan fungsi analisis statistik pada rentang data C52:C55 (Contoh rumus: =AVERAGE(C52:C55))!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AVERAGE(C52:C55)</f>
        <v/>
      </c>
      <c r="H53" s="29" t="inlineStr">
        <is>
          <t>Ketik: =AVERAGE(C52:C55)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#070 — RUMUS EXCEL: LOGINV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(LOGINV)</t>
        </is>
      </c>
    </row>
    <row r="5" ht="21" customHeight="1">
      <c r="B5" s="12" t="inlineStr">
        <is>
          <t>Nama Rumus Excel</t>
        </is>
      </c>
      <c r="C5" s="13">
        <f>LOGINV(...)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LOGINV(...)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Fungsi Statistik &amp; Analisis Data Excel (LOGINV) untuk mengolah distribusi, peluang, standar deviasi, dan pengujian hipotesis data secara presisi.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LOGINV)</t>
        </is>
      </c>
    </row>
    <row r="10">
      <c r="B10" s="16" t="inlineStr">
        <is>
          <t>Sampel Observasi</t>
        </is>
      </c>
      <c r="C10" s="16" t="inlineStr">
        <is>
          <t>Nilai Pengukuran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fungsi analisis statistik pada rentang data C11:C14 (Contoh rumus: =AVERAGE(C11:C14))!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LOGINV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Sampel Observasi</t>
        </is>
      </c>
      <c r="C19" s="12" t="inlineStr">
        <is>
          <t>Nilai Pengukuran</t>
        </is>
      </c>
      <c r="E19" s="25" t="inlineStr">
        <is>
          <t>Persoalan #1: Gunakan fungsi analisis statistik pada rentang data C20:C23 (Contoh rumus: =AVERAGE(C20:C23))!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AVERAGE(C20:C23)</f>
        <v/>
      </c>
      <c r="H21" s="29" t="inlineStr">
        <is>
          <t>Ketik: =AVERAGE(C20:C23)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Sampel Observasi</t>
        </is>
      </c>
      <c r="C27" s="12" t="inlineStr">
        <is>
          <t>Nilai Pengukuran</t>
        </is>
      </c>
      <c r="E27" s="25" t="inlineStr">
        <is>
          <t>Persoalan #2: Gunakan fungsi analisis statistik pada rentang data C28:C31 (Contoh rumus: =AVERAGE(C28:C31))!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AVERAGE(C28:C31)</f>
        <v/>
      </c>
      <c r="H29" s="29" t="inlineStr">
        <is>
          <t>Ketik: =AVERAGE(C28:C31)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Sampel Observasi</t>
        </is>
      </c>
      <c r="C35" s="12" t="inlineStr">
        <is>
          <t>Nilai Pengukuran</t>
        </is>
      </c>
      <c r="E35" s="25" t="inlineStr">
        <is>
          <t>Persoalan #3: Gunakan fungsi analisis statistik pada rentang data C36:C39 (Contoh rumus: =AVERAGE(C36:C39))!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AVERAGE(C36:C39)</f>
        <v/>
      </c>
      <c r="H37" s="29" t="inlineStr">
        <is>
          <t>Ketik: =AVERAGE(C36:C39)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Sampel Observasi</t>
        </is>
      </c>
      <c r="C43" s="12" t="inlineStr">
        <is>
          <t>Nilai Pengukuran</t>
        </is>
      </c>
      <c r="E43" s="25" t="inlineStr">
        <is>
          <t>Persoalan #4: Gunakan fungsi analisis statistik pada rentang data C44:C47 (Contoh rumus: =AVERAGE(C44:C47))!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AVERAGE(C44:C47)</f>
        <v/>
      </c>
      <c r="H45" s="29" t="inlineStr">
        <is>
          <t>Ketik: =AVERAGE(C44:C47)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Sampel Observasi</t>
        </is>
      </c>
      <c r="C51" s="12" t="inlineStr">
        <is>
          <t>Nilai Pengukuran</t>
        </is>
      </c>
      <c r="E51" s="25" t="inlineStr">
        <is>
          <t>Persoalan #5: Gunakan fungsi analisis statistik pada rentang data C52:C55 (Contoh rumus: =AVERAGE(C52:C55))!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AVERAGE(C52:C55)</f>
        <v/>
      </c>
      <c r="H53" s="29" t="inlineStr">
        <is>
          <t>Ketik: =AVERAGE(C52:C55)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#071 — RUMUS EXCEL: MAX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(MAX)</t>
        </is>
      </c>
    </row>
    <row r="5" ht="21" customHeight="1">
      <c r="B5" s="12" t="inlineStr">
        <is>
          <t>Nama Rumus Excel</t>
        </is>
      </c>
      <c r="C5" s="13">
        <f>MAX(...)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MAX(range_data)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Mencari nilai PALING TINGGI (Juara 1 / Rekor Tertinggi) dari sekumpulan angka.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MAX)</t>
        </is>
      </c>
    </row>
    <row r="10">
      <c r="B10" s="16" t="inlineStr">
        <is>
          <t>Nama Unit / Kategori</t>
        </is>
      </c>
      <c r="C10" s="16" t="inlineStr">
        <is>
          <t>Nilai Data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rumus MAX pada rentang sel C11:C14 untuk menghitung nilai MAX dari ke-4 data di samping!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'=MAX(C11:C14)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MAX(C11:C14)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MAX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Nama Unit / Kategori</t>
        </is>
      </c>
      <c r="C19" s="12" t="inlineStr">
        <is>
          <t>Nilai Data</t>
        </is>
      </c>
      <c r="E19" s="25" t="inlineStr">
        <is>
          <t>Persoalan #1: Gunakan rumus MAX pada rentang sel C20:C23 untuk menghitung nilai MAX dari ke-4 data di samping!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MAX(C20:C23)</f>
        <v/>
      </c>
      <c r="H21" s="29" t="inlineStr">
        <is>
          <t>Ketik: =MAX(C20:C23)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Nama Unit / Kategori</t>
        </is>
      </c>
      <c r="C27" s="12" t="inlineStr">
        <is>
          <t>Nilai Data</t>
        </is>
      </c>
      <c r="E27" s="25" t="inlineStr">
        <is>
          <t>Persoalan #2: Gunakan rumus MAX pada rentang sel C28:C31 untuk menghitung nilai MAX dari ke-4 data di samping!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MAX(C28:C31)</f>
        <v/>
      </c>
      <c r="H29" s="29" t="inlineStr">
        <is>
          <t>Ketik: =MAX(C28:C31)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Nama Unit / Kategori</t>
        </is>
      </c>
      <c r="C35" s="12" t="inlineStr">
        <is>
          <t>Nilai Data</t>
        </is>
      </c>
      <c r="E35" s="25" t="inlineStr">
        <is>
          <t>Persoalan #3: Gunakan rumus MAX pada rentang sel C36:C39 untuk menghitung nilai MAX dari ke-4 data di samping!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MAX(C36:C39)</f>
        <v/>
      </c>
      <c r="H37" s="29" t="inlineStr">
        <is>
          <t>Ketik: =MAX(C36:C39)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Nama Unit / Kategori</t>
        </is>
      </c>
      <c r="C43" s="12" t="inlineStr">
        <is>
          <t>Nilai Data</t>
        </is>
      </c>
      <c r="E43" s="25" t="inlineStr">
        <is>
          <t>Persoalan #4: Gunakan rumus MAX pada rentang sel C44:C47 untuk menghitung nilai MAX dari ke-4 data di samping!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MAX(C44:C47)</f>
        <v/>
      </c>
      <c r="H45" s="29" t="inlineStr">
        <is>
          <t>Ketik: =MAX(C44:C47)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Nama Unit / Kategori</t>
        </is>
      </c>
      <c r="C51" s="12" t="inlineStr">
        <is>
          <t>Nilai Data</t>
        </is>
      </c>
      <c r="E51" s="25" t="inlineStr">
        <is>
          <t>Persoalan #5: Gunakan rumus MAX pada rentang sel C52:C55 untuk menghitung nilai MAX dari ke-4 data di samping!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MAX(C52:C55)</f>
        <v/>
      </c>
      <c r="H53" s="29" t="inlineStr">
        <is>
          <t>Ketik: =MAX(C52:C55)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#072 — RUMUS EXCEL: MAXA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(MAXA)</t>
        </is>
      </c>
    </row>
    <row r="5" ht="21" customHeight="1">
      <c r="B5" s="12" t="inlineStr">
        <is>
          <t>Nama Rumus Excel</t>
        </is>
      </c>
      <c r="C5" s="13">
        <f>MAXA(...)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MAXA(range_data)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Mencari nilai tertinggi termasuk mengevaluasi nilai logika dan teks.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MAXA)</t>
        </is>
      </c>
    </row>
    <row r="10">
      <c r="B10" s="16" t="inlineStr">
        <is>
          <t>Nama Unit / Kategori</t>
        </is>
      </c>
      <c r="C10" s="16" t="inlineStr">
        <is>
          <t>Nilai Data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rumus MAXA pada rentang sel C11:C14 untuk menghitung nilai MAXA dari ke-4 data di samping!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'=MAXA(C11:C14)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MAXA(C11:C14)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MAXA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Nama Unit / Kategori</t>
        </is>
      </c>
      <c r="C19" s="12" t="inlineStr">
        <is>
          <t>Nilai Data</t>
        </is>
      </c>
      <c r="E19" s="25" t="inlineStr">
        <is>
          <t>Persoalan #1: Gunakan rumus MAXA pada rentang sel C20:C23 untuk menghitung nilai MAXA dari ke-4 data di samping!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MAXA(C20:C23)</f>
        <v/>
      </c>
      <c r="H21" s="29" t="inlineStr">
        <is>
          <t>Ketik: =MAXA(C20:C23)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Nama Unit / Kategori</t>
        </is>
      </c>
      <c r="C27" s="12" t="inlineStr">
        <is>
          <t>Nilai Data</t>
        </is>
      </c>
      <c r="E27" s="25" t="inlineStr">
        <is>
          <t>Persoalan #2: Gunakan rumus MAXA pada rentang sel C28:C31 untuk menghitung nilai MAXA dari ke-4 data di samping!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MAXA(C28:C31)</f>
        <v/>
      </c>
      <c r="H29" s="29" t="inlineStr">
        <is>
          <t>Ketik: =MAXA(C28:C31)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Nama Unit / Kategori</t>
        </is>
      </c>
      <c r="C35" s="12" t="inlineStr">
        <is>
          <t>Nilai Data</t>
        </is>
      </c>
      <c r="E35" s="25" t="inlineStr">
        <is>
          <t>Persoalan #3: Gunakan rumus MAXA pada rentang sel C36:C39 untuk menghitung nilai MAXA dari ke-4 data di samping!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MAXA(C36:C39)</f>
        <v/>
      </c>
      <c r="H37" s="29" t="inlineStr">
        <is>
          <t>Ketik: =MAXA(C36:C39)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Nama Unit / Kategori</t>
        </is>
      </c>
      <c r="C43" s="12" t="inlineStr">
        <is>
          <t>Nilai Data</t>
        </is>
      </c>
      <c r="E43" s="25" t="inlineStr">
        <is>
          <t>Persoalan #4: Gunakan rumus MAXA pada rentang sel C44:C47 untuk menghitung nilai MAXA dari ke-4 data di samping!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MAXA(C44:C47)</f>
        <v/>
      </c>
      <c r="H45" s="29" t="inlineStr">
        <is>
          <t>Ketik: =MAXA(C44:C47)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Nama Unit / Kategori</t>
        </is>
      </c>
      <c r="C51" s="12" t="inlineStr">
        <is>
          <t>Nilai Data</t>
        </is>
      </c>
      <c r="E51" s="25" t="inlineStr">
        <is>
          <t>Persoalan #5: Gunakan rumus MAXA pada rentang sel C52:C55 untuk menghitung nilai MAXA dari ke-4 data di samping!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MAXA(C52:C55)</f>
        <v/>
      </c>
      <c r="H53" s="29" t="inlineStr">
        <is>
          <t>Ketik: =MAXA(C52:C55)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#073 — RUMUS EXCEL: MEDIAN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(MEDIAN)</t>
        </is>
      </c>
    </row>
    <row r="5" ht="21" customHeight="1">
      <c r="B5" s="12" t="inlineStr">
        <is>
          <t>Nama Rumus Excel</t>
        </is>
      </c>
      <c r="C5" s="13">
        <f>MEDIAN(...)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MEDIAN(range_data)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Mencari NILAI TENGAH setelah data diurutkan dari terkecil ke terbesar (tidak terpengaruh angka ekstrem).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MEDIAN)</t>
        </is>
      </c>
    </row>
    <row r="10">
      <c r="B10" s="16" t="inlineStr">
        <is>
          <t>Nama Unit / Kategori</t>
        </is>
      </c>
      <c r="C10" s="16" t="inlineStr">
        <is>
          <t>Nilai Data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rumus MEDIAN pada rentang sel C11:C14 untuk menghitung nilai MEDIAN dari ke-4 data di samping!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'=MEDIAN(C11:C14)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MEDIAN(C11:C14)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MEDIAN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Nama Unit / Kategori</t>
        </is>
      </c>
      <c r="C19" s="12" t="inlineStr">
        <is>
          <t>Nilai Data</t>
        </is>
      </c>
      <c r="E19" s="25" t="inlineStr">
        <is>
          <t>Persoalan #1: Gunakan rumus MEDIAN pada rentang sel C20:C23 untuk menghitung nilai MEDIAN dari ke-4 data di samping!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MEDIAN(C20:C23)</f>
        <v/>
      </c>
      <c r="H21" s="29" t="inlineStr">
        <is>
          <t>Ketik: =MEDIAN(C20:C23)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Nama Unit / Kategori</t>
        </is>
      </c>
      <c r="C27" s="12" t="inlineStr">
        <is>
          <t>Nilai Data</t>
        </is>
      </c>
      <c r="E27" s="25" t="inlineStr">
        <is>
          <t>Persoalan #2: Gunakan rumus MEDIAN pada rentang sel C28:C31 untuk menghitung nilai MEDIAN dari ke-4 data di samping!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MEDIAN(C28:C31)</f>
        <v/>
      </c>
      <c r="H29" s="29" t="inlineStr">
        <is>
          <t>Ketik: =MEDIAN(C28:C31)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Nama Unit / Kategori</t>
        </is>
      </c>
      <c r="C35" s="12" t="inlineStr">
        <is>
          <t>Nilai Data</t>
        </is>
      </c>
      <c r="E35" s="25" t="inlineStr">
        <is>
          <t>Persoalan #3: Gunakan rumus MEDIAN pada rentang sel C36:C39 untuk menghitung nilai MEDIAN dari ke-4 data di samping!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MEDIAN(C36:C39)</f>
        <v/>
      </c>
      <c r="H37" s="29" t="inlineStr">
        <is>
          <t>Ketik: =MEDIAN(C36:C39)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Nama Unit / Kategori</t>
        </is>
      </c>
      <c r="C43" s="12" t="inlineStr">
        <is>
          <t>Nilai Data</t>
        </is>
      </c>
      <c r="E43" s="25" t="inlineStr">
        <is>
          <t>Persoalan #4: Gunakan rumus MEDIAN pada rentang sel C44:C47 untuk menghitung nilai MEDIAN dari ke-4 data di samping!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MEDIAN(C44:C47)</f>
        <v/>
      </c>
      <c r="H45" s="29" t="inlineStr">
        <is>
          <t>Ketik: =MEDIAN(C44:C47)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Nama Unit / Kategori</t>
        </is>
      </c>
      <c r="C51" s="12" t="inlineStr">
        <is>
          <t>Nilai Data</t>
        </is>
      </c>
      <c r="E51" s="25" t="inlineStr">
        <is>
          <t>Persoalan #5: Gunakan rumus MEDIAN pada rentang sel C52:C55 untuk menghitung nilai MEDIAN dari ke-4 data di samping!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MEDIAN(C52:C55)</f>
        <v/>
      </c>
      <c r="H53" s="29" t="inlineStr">
        <is>
          <t>Ketik: =MEDIAN(C52:C55)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#074 — RUMUS EXCEL: MIN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(MIN)</t>
        </is>
      </c>
    </row>
    <row r="5" ht="21" customHeight="1">
      <c r="B5" s="12" t="inlineStr">
        <is>
          <t>Nama Rumus Excel</t>
        </is>
      </c>
      <c r="C5" s="13">
        <f>MIN(...)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MIN(range_data)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Mencari nilai PALING RENDAH / paling murah dari sekumpulan angka.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MIN)</t>
        </is>
      </c>
    </row>
    <row r="10">
      <c r="B10" s="16" t="inlineStr">
        <is>
          <t>Nama Unit / Kategori</t>
        </is>
      </c>
      <c r="C10" s="16" t="inlineStr">
        <is>
          <t>Nilai Data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rumus MIN pada rentang sel C11:C14 untuk menghitung nilai MIN dari ke-4 data di samping!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'=MIN(C11:C14)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MIN(C11:C14)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MIN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Nama Unit / Kategori</t>
        </is>
      </c>
      <c r="C19" s="12" t="inlineStr">
        <is>
          <t>Nilai Data</t>
        </is>
      </c>
      <c r="E19" s="25" t="inlineStr">
        <is>
          <t>Persoalan #1: Gunakan rumus MIN pada rentang sel C20:C23 untuk menghitung nilai MIN dari ke-4 data di samping!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MIN(C20:C23)</f>
        <v/>
      </c>
      <c r="H21" s="29" t="inlineStr">
        <is>
          <t>Ketik: =MIN(C20:C23)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Nama Unit / Kategori</t>
        </is>
      </c>
      <c r="C27" s="12" t="inlineStr">
        <is>
          <t>Nilai Data</t>
        </is>
      </c>
      <c r="E27" s="25" t="inlineStr">
        <is>
          <t>Persoalan #2: Gunakan rumus MIN pada rentang sel C28:C31 untuk menghitung nilai MIN dari ke-4 data di samping!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MIN(C28:C31)</f>
        <v/>
      </c>
      <c r="H29" s="29" t="inlineStr">
        <is>
          <t>Ketik: =MIN(C28:C31)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Nama Unit / Kategori</t>
        </is>
      </c>
      <c r="C35" s="12" t="inlineStr">
        <is>
          <t>Nilai Data</t>
        </is>
      </c>
      <c r="E35" s="25" t="inlineStr">
        <is>
          <t>Persoalan #3: Gunakan rumus MIN pada rentang sel C36:C39 untuk menghitung nilai MIN dari ke-4 data di samping!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MIN(C36:C39)</f>
        <v/>
      </c>
      <c r="H37" s="29" t="inlineStr">
        <is>
          <t>Ketik: =MIN(C36:C39)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Nama Unit / Kategori</t>
        </is>
      </c>
      <c r="C43" s="12" t="inlineStr">
        <is>
          <t>Nilai Data</t>
        </is>
      </c>
      <c r="E43" s="25" t="inlineStr">
        <is>
          <t>Persoalan #4: Gunakan rumus MIN pada rentang sel C44:C47 untuk menghitung nilai MIN dari ke-4 data di samping!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MIN(C44:C47)</f>
        <v/>
      </c>
      <c r="H45" s="29" t="inlineStr">
        <is>
          <t>Ketik: =MIN(C44:C47)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Nama Unit / Kategori</t>
        </is>
      </c>
      <c r="C51" s="12" t="inlineStr">
        <is>
          <t>Nilai Data</t>
        </is>
      </c>
      <c r="E51" s="25" t="inlineStr">
        <is>
          <t>Persoalan #5: Gunakan rumus MIN pada rentang sel C52:C55 untuk menghitung nilai MIN dari ke-4 data di samping!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MIN(C52:C55)</f>
        <v/>
      </c>
      <c r="H53" s="29" t="inlineStr">
        <is>
          <t>Ketik: =MIN(C52:C55)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#075 — RUMUS EXCEL: MINA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(MINA)</t>
        </is>
      </c>
    </row>
    <row r="5" ht="21" customHeight="1">
      <c r="B5" s="12" t="inlineStr">
        <is>
          <t>Nama Rumus Excel</t>
        </is>
      </c>
      <c r="C5" s="13">
        <f>MINA(...)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MINA(range_data)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Mencari nilai terendah termasuk mengevaluasi nilai logika dan teks (0).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MINA)</t>
        </is>
      </c>
    </row>
    <row r="10">
      <c r="B10" s="16" t="inlineStr">
        <is>
          <t>Nama Unit / Kategori</t>
        </is>
      </c>
      <c r="C10" s="16" t="inlineStr">
        <is>
          <t>Nilai Data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rumus MINA pada rentang sel C11:C14 untuk menghitung nilai MINA dari ke-4 data di samping!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'=MINA(C11:C14)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MINA(C11:C14)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MINA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Nama Unit / Kategori</t>
        </is>
      </c>
      <c r="C19" s="12" t="inlineStr">
        <is>
          <t>Nilai Data</t>
        </is>
      </c>
      <c r="E19" s="25" t="inlineStr">
        <is>
          <t>Persoalan #1: Gunakan rumus MINA pada rentang sel C20:C23 untuk menghitung nilai MINA dari ke-4 data di samping!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MINA(C20:C23)</f>
        <v/>
      </c>
      <c r="H21" s="29" t="inlineStr">
        <is>
          <t>Ketik: =MINA(C20:C23)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Nama Unit / Kategori</t>
        </is>
      </c>
      <c r="C27" s="12" t="inlineStr">
        <is>
          <t>Nilai Data</t>
        </is>
      </c>
      <c r="E27" s="25" t="inlineStr">
        <is>
          <t>Persoalan #2: Gunakan rumus MINA pada rentang sel C28:C31 untuk menghitung nilai MINA dari ke-4 data di samping!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MINA(C28:C31)</f>
        <v/>
      </c>
      <c r="H29" s="29" t="inlineStr">
        <is>
          <t>Ketik: =MINA(C28:C31)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Nama Unit / Kategori</t>
        </is>
      </c>
      <c r="C35" s="12" t="inlineStr">
        <is>
          <t>Nilai Data</t>
        </is>
      </c>
      <c r="E35" s="25" t="inlineStr">
        <is>
          <t>Persoalan #3: Gunakan rumus MINA pada rentang sel C36:C39 untuk menghitung nilai MINA dari ke-4 data di samping!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MINA(C36:C39)</f>
        <v/>
      </c>
      <c r="H37" s="29" t="inlineStr">
        <is>
          <t>Ketik: =MINA(C36:C39)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Nama Unit / Kategori</t>
        </is>
      </c>
      <c r="C43" s="12" t="inlineStr">
        <is>
          <t>Nilai Data</t>
        </is>
      </c>
      <c r="E43" s="25" t="inlineStr">
        <is>
          <t>Persoalan #4: Gunakan rumus MINA pada rentang sel C44:C47 untuk menghitung nilai MINA dari ke-4 data di samping!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MINA(C44:C47)</f>
        <v/>
      </c>
      <c r="H45" s="29" t="inlineStr">
        <is>
          <t>Ketik: =MINA(C44:C47)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Nama Unit / Kategori</t>
        </is>
      </c>
      <c r="C51" s="12" t="inlineStr">
        <is>
          <t>Nilai Data</t>
        </is>
      </c>
      <c r="E51" s="25" t="inlineStr">
        <is>
          <t>Persoalan #5: Gunakan rumus MINA pada rentang sel C52:C55 untuk menghitung nilai MINA dari ke-4 data di samping!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MINA(C52:C55)</f>
        <v/>
      </c>
      <c r="H53" s="29" t="inlineStr">
        <is>
          <t>Ketik: =MINA(C52:C55)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#076 — RUMUS EXCEL: MODE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(MODE)</t>
        </is>
      </c>
    </row>
    <row r="5" ht="21" customHeight="1">
      <c r="B5" s="12" t="inlineStr">
        <is>
          <t>Nama Rumus Excel</t>
        </is>
      </c>
      <c r="C5" s="13">
        <f>MODE(...)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MODE(range_data)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Mencari angka yang PALING SERING MUNCUL (Modus / ukuran paling laris).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MODE)</t>
        </is>
      </c>
    </row>
    <row r="10">
      <c r="B10" s="16" t="inlineStr">
        <is>
          <t>Nama Unit / Kategori</t>
        </is>
      </c>
      <c r="C10" s="16" t="inlineStr">
        <is>
          <t>Nilai Data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rumus MODE pada rentang sel C11:C14 untuk menghitung nilai MODE dari ke-4 data di samping!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'=MODE(C11:C14)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MODE(C11:C14)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MODE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Nama Unit / Kategori</t>
        </is>
      </c>
      <c r="C19" s="12" t="inlineStr">
        <is>
          <t>Nilai Data</t>
        </is>
      </c>
      <c r="E19" s="25" t="inlineStr">
        <is>
          <t>Persoalan #1: Gunakan rumus MODE pada rentang sel C20:C23 untuk menghitung nilai MODE dari ke-4 data di samping!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MODE(C20:C23)</f>
        <v/>
      </c>
      <c r="H21" s="29" t="inlineStr">
        <is>
          <t>Ketik: =MODE(C20:C23)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Nama Unit / Kategori</t>
        </is>
      </c>
      <c r="C27" s="12" t="inlineStr">
        <is>
          <t>Nilai Data</t>
        </is>
      </c>
      <c r="E27" s="25" t="inlineStr">
        <is>
          <t>Persoalan #2: Gunakan rumus MODE pada rentang sel C28:C31 untuk menghitung nilai MODE dari ke-4 data di samping!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MODE(C28:C31)</f>
        <v/>
      </c>
      <c r="H29" s="29" t="inlineStr">
        <is>
          <t>Ketik: =MODE(C28:C31)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Nama Unit / Kategori</t>
        </is>
      </c>
      <c r="C35" s="12" t="inlineStr">
        <is>
          <t>Nilai Data</t>
        </is>
      </c>
      <c r="E35" s="25" t="inlineStr">
        <is>
          <t>Persoalan #3: Gunakan rumus MODE pada rentang sel C36:C39 untuk menghitung nilai MODE dari ke-4 data di samping!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MODE(C36:C39)</f>
        <v/>
      </c>
      <c r="H37" s="29" t="inlineStr">
        <is>
          <t>Ketik: =MODE(C36:C39)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Nama Unit / Kategori</t>
        </is>
      </c>
      <c r="C43" s="12" t="inlineStr">
        <is>
          <t>Nilai Data</t>
        </is>
      </c>
      <c r="E43" s="25" t="inlineStr">
        <is>
          <t>Persoalan #4: Gunakan rumus MODE pada rentang sel C44:C47 untuk menghitung nilai MODE dari ke-4 data di samping!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MODE(C44:C47)</f>
        <v/>
      </c>
      <c r="H45" s="29" t="inlineStr">
        <is>
          <t>Ketik: =MODE(C44:C47)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Nama Unit / Kategori</t>
        </is>
      </c>
      <c r="C51" s="12" t="inlineStr">
        <is>
          <t>Nilai Data</t>
        </is>
      </c>
      <c r="E51" s="25" t="inlineStr">
        <is>
          <t>Persoalan #5: Gunakan rumus MODE pada rentang sel C52:C55 untuk menghitung nilai MODE dari ke-4 data di samping!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MODE(C52:C55)</f>
        <v/>
      </c>
      <c r="H53" s="29" t="inlineStr">
        <is>
          <t>Ketik: =MODE(C52:C55)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#077 — RUMUS EXCEL: NEGBINOM.DIST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(NEGBINOM.DIST)</t>
        </is>
      </c>
    </row>
    <row r="5" ht="21" customHeight="1">
      <c r="B5" s="12" t="inlineStr">
        <is>
          <t>Nama Rumus Excel</t>
        </is>
      </c>
      <c r="C5" s="13">
        <f>NEGBINOM.DIST(...)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NEGBINOM.DIST(...)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Fungsi Statistik &amp; Analisis Data Excel (NEGBINOM.DIST) untuk mengolah distribusi, peluang, standar deviasi, dan pengujian hipotesis data secara presisi.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NEGBINOM.DIST)</t>
        </is>
      </c>
    </row>
    <row r="10">
      <c r="B10" s="16" t="inlineStr">
        <is>
          <t>Sampel Observasi</t>
        </is>
      </c>
      <c r="C10" s="16" t="inlineStr">
        <is>
          <t>Nilai Pengukuran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fungsi analisis statistik pada rentang data C11:C14 (Contoh rumus: =AVERAGE(C11:C14))!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NEGBINOM.DIST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Sampel Observasi</t>
        </is>
      </c>
      <c r="C19" s="12" t="inlineStr">
        <is>
          <t>Nilai Pengukuran</t>
        </is>
      </c>
      <c r="E19" s="25" t="inlineStr">
        <is>
          <t>Persoalan #1: Gunakan fungsi analisis statistik pada rentang data C20:C23 (Contoh rumus: =AVERAGE(C20:C23))!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AVERAGE(C20:C23)</f>
        <v/>
      </c>
      <c r="H21" s="29" t="inlineStr">
        <is>
          <t>Ketik: =AVERAGE(C20:C23)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Sampel Observasi</t>
        </is>
      </c>
      <c r="C27" s="12" t="inlineStr">
        <is>
          <t>Nilai Pengukuran</t>
        </is>
      </c>
      <c r="E27" s="25" t="inlineStr">
        <is>
          <t>Persoalan #2: Gunakan fungsi analisis statistik pada rentang data C28:C31 (Contoh rumus: =AVERAGE(C28:C31))!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AVERAGE(C28:C31)</f>
        <v/>
      </c>
      <c r="H29" s="29" t="inlineStr">
        <is>
          <t>Ketik: =AVERAGE(C28:C31)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Sampel Observasi</t>
        </is>
      </c>
      <c r="C35" s="12" t="inlineStr">
        <is>
          <t>Nilai Pengukuran</t>
        </is>
      </c>
      <c r="E35" s="25" t="inlineStr">
        <is>
          <t>Persoalan #3: Gunakan fungsi analisis statistik pada rentang data C36:C39 (Contoh rumus: =AVERAGE(C36:C39))!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AVERAGE(C36:C39)</f>
        <v/>
      </c>
      <c r="H37" s="29" t="inlineStr">
        <is>
          <t>Ketik: =AVERAGE(C36:C39)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Sampel Observasi</t>
        </is>
      </c>
      <c r="C43" s="12" t="inlineStr">
        <is>
          <t>Nilai Pengukuran</t>
        </is>
      </c>
      <c r="E43" s="25" t="inlineStr">
        <is>
          <t>Persoalan #4: Gunakan fungsi analisis statistik pada rentang data C44:C47 (Contoh rumus: =AVERAGE(C44:C47))!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AVERAGE(C44:C47)</f>
        <v/>
      </c>
      <c r="H45" s="29" t="inlineStr">
        <is>
          <t>Ketik: =AVERAGE(C44:C47)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Sampel Observasi</t>
        </is>
      </c>
      <c r="C51" s="12" t="inlineStr">
        <is>
          <t>Nilai Pengukuran</t>
        </is>
      </c>
      <c r="E51" s="25" t="inlineStr">
        <is>
          <t>Persoalan #5: Gunakan fungsi analisis statistik pada rentang data C52:C55 (Contoh rumus: =AVERAGE(C52:C55))!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AVERAGE(C52:C55)</f>
        <v/>
      </c>
      <c r="H53" s="29" t="inlineStr">
        <is>
          <t>Ketik: =AVERAGE(C52:C55)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#078 — RUMUS EXCEL: NORM.DIST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(NORM.DIST)</t>
        </is>
      </c>
    </row>
    <row r="5" ht="21" customHeight="1">
      <c r="B5" s="12" t="inlineStr">
        <is>
          <t>Nama Rumus Excel</t>
        </is>
      </c>
      <c r="C5" s="13">
        <f>NORM.DIST(...)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NORM.DIST(...)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Fungsi Statistik &amp; Analisis Data Excel (NORM.DIST) untuk mengolah distribusi, peluang, standar deviasi, dan pengujian hipotesis data secara presisi.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NORM.DIST)</t>
        </is>
      </c>
    </row>
    <row r="10">
      <c r="B10" s="16" t="inlineStr">
        <is>
          <t>Sampel Observasi</t>
        </is>
      </c>
      <c r="C10" s="16" t="inlineStr">
        <is>
          <t>Nilai Pengukuran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fungsi analisis statistik pada rentang data C11:C14 (Contoh rumus: =AVERAGE(C11:C14))!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NORM.DIST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Sampel Observasi</t>
        </is>
      </c>
      <c r="C19" s="12" t="inlineStr">
        <is>
          <t>Nilai Pengukuran</t>
        </is>
      </c>
      <c r="E19" s="25" t="inlineStr">
        <is>
          <t>Persoalan #1: Gunakan fungsi analisis statistik pada rentang data C20:C23 (Contoh rumus: =AVERAGE(C20:C23))!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AVERAGE(C20:C23)</f>
        <v/>
      </c>
      <c r="H21" s="29" t="inlineStr">
        <is>
          <t>Ketik: =AVERAGE(C20:C23)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Sampel Observasi</t>
        </is>
      </c>
      <c r="C27" s="12" t="inlineStr">
        <is>
          <t>Nilai Pengukuran</t>
        </is>
      </c>
      <c r="E27" s="25" t="inlineStr">
        <is>
          <t>Persoalan #2: Gunakan fungsi analisis statistik pada rentang data C28:C31 (Contoh rumus: =AVERAGE(C28:C31))!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AVERAGE(C28:C31)</f>
        <v/>
      </c>
      <c r="H29" s="29" t="inlineStr">
        <is>
          <t>Ketik: =AVERAGE(C28:C31)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Sampel Observasi</t>
        </is>
      </c>
      <c r="C35" s="12" t="inlineStr">
        <is>
          <t>Nilai Pengukuran</t>
        </is>
      </c>
      <c r="E35" s="25" t="inlineStr">
        <is>
          <t>Persoalan #3: Gunakan fungsi analisis statistik pada rentang data C36:C39 (Contoh rumus: =AVERAGE(C36:C39))!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AVERAGE(C36:C39)</f>
        <v/>
      </c>
      <c r="H37" s="29" t="inlineStr">
        <is>
          <t>Ketik: =AVERAGE(C36:C39)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Sampel Observasi</t>
        </is>
      </c>
      <c r="C43" s="12" t="inlineStr">
        <is>
          <t>Nilai Pengukuran</t>
        </is>
      </c>
      <c r="E43" s="25" t="inlineStr">
        <is>
          <t>Persoalan #4: Gunakan fungsi analisis statistik pada rentang data C44:C47 (Contoh rumus: =AVERAGE(C44:C47))!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AVERAGE(C44:C47)</f>
        <v/>
      </c>
      <c r="H45" s="29" t="inlineStr">
        <is>
          <t>Ketik: =AVERAGE(C44:C47)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Sampel Observasi</t>
        </is>
      </c>
      <c r="C51" s="12" t="inlineStr">
        <is>
          <t>Nilai Pengukuran</t>
        </is>
      </c>
      <c r="E51" s="25" t="inlineStr">
        <is>
          <t>Persoalan #5: Gunakan fungsi analisis statistik pada rentang data C52:C55 (Contoh rumus: =AVERAGE(C52:C55))!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AVERAGE(C52:C55)</f>
        <v/>
      </c>
      <c r="H53" s="29" t="inlineStr">
        <is>
          <t>Ketik: =AVERAGE(C52:C55)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#079 — RUMUS EXCEL: NORM.INV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(NORM.INV)</t>
        </is>
      </c>
    </row>
    <row r="5" ht="21" customHeight="1">
      <c r="B5" s="12" t="inlineStr">
        <is>
          <t>Nama Rumus Excel</t>
        </is>
      </c>
      <c r="C5" s="13">
        <f>NORM.INV(...)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NORM.INV(...)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Fungsi Statistik &amp; Analisis Data Excel (NORM.INV) untuk mengolah distribusi, peluang, standar deviasi, dan pengujian hipotesis data secara presisi.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NORM.INV)</t>
        </is>
      </c>
    </row>
    <row r="10">
      <c r="B10" s="16" t="inlineStr">
        <is>
          <t>Sampel Observasi</t>
        </is>
      </c>
      <c r="C10" s="16" t="inlineStr">
        <is>
          <t>Nilai Pengukuran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fungsi analisis statistik pada rentang data C11:C14 (Contoh rumus: =AVERAGE(C11:C14))!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NORM.INV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Sampel Observasi</t>
        </is>
      </c>
      <c r="C19" s="12" t="inlineStr">
        <is>
          <t>Nilai Pengukuran</t>
        </is>
      </c>
      <c r="E19" s="25" t="inlineStr">
        <is>
          <t>Persoalan #1: Gunakan fungsi analisis statistik pada rentang data C20:C23 (Contoh rumus: =AVERAGE(C20:C23))!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AVERAGE(C20:C23)</f>
        <v/>
      </c>
      <c r="H21" s="29" t="inlineStr">
        <is>
          <t>Ketik: =AVERAGE(C20:C23)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Sampel Observasi</t>
        </is>
      </c>
      <c r="C27" s="12" t="inlineStr">
        <is>
          <t>Nilai Pengukuran</t>
        </is>
      </c>
      <c r="E27" s="25" t="inlineStr">
        <is>
          <t>Persoalan #2: Gunakan fungsi analisis statistik pada rentang data C28:C31 (Contoh rumus: =AVERAGE(C28:C31))!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AVERAGE(C28:C31)</f>
        <v/>
      </c>
      <c r="H29" s="29" t="inlineStr">
        <is>
          <t>Ketik: =AVERAGE(C28:C31)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Sampel Observasi</t>
        </is>
      </c>
      <c r="C35" s="12" t="inlineStr">
        <is>
          <t>Nilai Pengukuran</t>
        </is>
      </c>
      <c r="E35" s="25" t="inlineStr">
        <is>
          <t>Persoalan #3: Gunakan fungsi analisis statistik pada rentang data C36:C39 (Contoh rumus: =AVERAGE(C36:C39))!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AVERAGE(C36:C39)</f>
        <v/>
      </c>
      <c r="H37" s="29" t="inlineStr">
        <is>
          <t>Ketik: =AVERAGE(C36:C39)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Sampel Observasi</t>
        </is>
      </c>
      <c r="C43" s="12" t="inlineStr">
        <is>
          <t>Nilai Pengukuran</t>
        </is>
      </c>
      <c r="E43" s="25" t="inlineStr">
        <is>
          <t>Persoalan #4: Gunakan fungsi analisis statistik pada rentang data C44:C47 (Contoh rumus: =AVERAGE(C44:C47))!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AVERAGE(C44:C47)</f>
        <v/>
      </c>
      <c r="H45" s="29" t="inlineStr">
        <is>
          <t>Ketik: =AVERAGE(C44:C47)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Sampel Observasi</t>
        </is>
      </c>
      <c r="C51" s="12" t="inlineStr">
        <is>
          <t>Nilai Pengukuran</t>
        </is>
      </c>
      <c r="E51" s="25" t="inlineStr">
        <is>
          <t>Persoalan #5: Gunakan fungsi analisis statistik pada rentang data C52:C55 (Contoh rumus: =AVERAGE(C52:C55))!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AVERAGE(C52:C55)</f>
        <v/>
      </c>
      <c r="H53" s="29" t="inlineStr">
        <is>
          <t>Ketik: =AVERAGE(C52:C55)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#080 — RUMUS EXCEL: NORM.S.DIST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(NORM.S.DIST)</t>
        </is>
      </c>
    </row>
    <row r="5" ht="21" customHeight="1">
      <c r="B5" s="12" t="inlineStr">
        <is>
          <t>Nama Rumus Excel</t>
        </is>
      </c>
      <c r="C5" s="13">
        <f>NORM.S.DIST(...)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NORM.S.DIST(...)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Fungsi Statistik &amp; Analisis Data Excel (NORM.S.DIST) untuk mengolah distribusi, peluang, standar deviasi, dan pengujian hipotesis data secara presisi.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NORM.S.DIST)</t>
        </is>
      </c>
    </row>
    <row r="10">
      <c r="B10" s="16" t="inlineStr">
        <is>
          <t>Sampel Observasi</t>
        </is>
      </c>
      <c r="C10" s="16" t="inlineStr">
        <is>
          <t>Nilai Pengukuran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fungsi analisis statistik pada rentang data C11:C14 (Contoh rumus: =AVERAGE(C11:C14))!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NORM.S.DIST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Sampel Observasi</t>
        </is>
      </c>
      <c r="C19" s="12" t="inlineStr">
        <is>
          <t>Nilai Pengukuran</t>
        </is>
      </c>
      <c r="E19" s="25" t="inlineStr">
        <is>
          <t>Persoalan #1: Gunakan fungsi analisis statistik pada rentang data C20:C23 (Contoh rumus: =AVERAGE(C20:C23))!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AVERAGE(C20:C23)</f>
        <v/>
      </c>
      <c r="H21" s="29" t="inlineStr">
        <is>
          <t>Ketik: =AVERAGE(C20:C23)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Sampel Observasi</t>
        </is>
      </c>
      <c r="C27" s="12" t="inlineStr">
        <is>
          <t>Nilai Pengukuran</t>
        </is>
      </c>
      <c r="E27" s="25" t="inlineStr">
        <is>
          <t>Persoalan #2: Gunakan fungsi analisis statistik pada rentang data C28:C31 (Contoh rumus: =AVERAGE(C28:C31))!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AVERAGE(C28:C31)</f>
        <v/>
      </c>
      <c r="H29" s="29" t="inlineStr">
        <is>
          <t>Ketik: =AVERAGE(C28:C31)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Sampel Observasi</t>
        </is>
      </c>
      <c r="C35" s="12" t="inlineStr">
        <is>
          <t>Nilai Pengukuran</t>
        </is>
      </c>
      <c r="E35" s="25" t="inlineStr">
        <is>
          <t>Persoalan #3: Gunakan fungsi analisis statistik pada rentang data C36:C39 (Contoh rumus: =AVERAGE(C36:C39))!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AVERAGE(C36:C39)</f>
        <v/>
      </c>
      <c r="H37" s="29" t="inlineStr">
        <is>
          <t>Ketik: =AVERAGE(C36:C39)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Sampel Observasi</t>
        </is>
      </c>
      <c r="C43" s="12" t="inlineStr">
        <is>
          <t>Nilai Pengukuran</t>
        </is>
      </c>
      <c r="E43" s="25" t="inlineStr">
        <is>
          <t>Persoalan #4: Gunakan fungsi analisis statistik pada rentang data C44:C47 (Contoh rumus: =AVERAGE(C44:C47))!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AVERAGE(C44:C47)</f>
        <v/>
      </c>
      <c r="H45" s="29" t="inlineStr">
        <is>
          <t>Ketik: =AVERAGE(C44:C47)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Sampel Observasi</t>
        </is>
      </c>
      <c r="C51" s="12" t="inlineStr">
        <is>
          <t>Nilai Pengukuran</t>
        </is>
      </c>
      <c r="E51" s="25" t="inlineStr">
        <is>
          <t>Persoalan #5: Gunakan fungsi analisis statistik pada rentang data C52:C55 (Contoh rumus: =AVERAGE(C52:C55))!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AVERAGE(C52:C55)</f>
        <v/>
      </c>
      <c r="H53" s="29" t="inlineStr">
        <is>
          <t>Ketik: =AVERAGE(C52:C55)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#081 — RUMUS EXCEL: NORM.S.INV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(NORM.S.INV)</t>
        </is>
      </c>
    </row>
    <row r="5" ht="21" customHeight="1">
      <c r="B5" s="12" t="inlineStr">
        <is>
          <t>Nama Rumus Excel</t>
        </is>
      </c>
      <c r="C5" s="13">
        <f>NORM.S.INV(...)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NORM.S.INV(...)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Fungsi Statistik &amp; Analisis Data Excel (NORM.S.INV) untuk mengolah distribusi, peluang, standar deviasi, dan pengujian hipotesis data secara presisi.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NORM.S.INV)</t>
        </is>
      </c>
    </row>
    <row r="10">
      <c r="B10" s="16" t="inlineStr">
        <is>
          <t>Sampel Observasi</t>
        </is>
      </c>
      <c r="C10" s="16" t="inlineStr">
        <is>
          <t>Nilai Pengukuran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fungsi analisis statistik pada rentang data C11:C14 (Contoh rumus: =AVERAGE(C11:C14))!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NORM.S.INV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Sampel Observasi</t>
        </is>
      </c>
      <c r="C19" s="12" t="inlineStr">
        <is>
          <t>Nilai Pengukuran</t>
        </is>
      </c>
      <c r="E19" s="25" t="inlineStr">
        <is>
          <t>Persoalan #1: Gunakan fungsi analisis statistik pada rentang data C20:C23 (Contoh rumus: =AVERAGE(C20:C23))!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AVERAGE(C20:C23)</f>
        <v/>
      </c>
      <c r="H21" s="29" t="inlineStr">
        <is>
          <t>Ketik: =AVERAGE(C20:C23)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Sampel Observasi</t>
        </is>
      </c>
      <c r="C27" s="12" t="inlineStr">
        <is>
          <t>Nilai Pengukuran</t>
        </is>
      </c>
      <c r="E27" s="25" t="inlineStr">
        <is>
          <t>Persoalan #2: Gunakan fungsi analisis statistik pada rentang data C28:C31 (Contoh rumus: =AVERAGE(C28:C31))!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AVERAGE(C28:C31)</f>
        <v/>
      </c>
      <c r="H29" s="29" t="inlineStr">
        <is>
          <t>Ketik: =AVERAGE(C28:C31)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Sampel Observasi</t>
        </is>
      </c>
      <c r="C35" s="12" t="inlineStr">
        <is>
          <t>Nilai Pengukuran</t>
        </is>
      </c>
      <c r="E35" s="25" t="inlineStr">
        <is>
          <t>Persoalan #3: Gunakan fungsi analisis statistik pada rentang data C36:C39 (Contoh rumus: =AVERAGE(C36:C39))!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AVERAGE(C36:C39)</f>
        <v/>
      </c>
      <c r="H37" s="29" t="inlineStr">
        <is>
          <t>Ketik: =AVERAGE(C36:C39)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Sampel Observasi</t>
        </is>
      </c>
      <c r="C43" s="12" t="inlineStr">
        <is>
          <t>Nilai Pengukuran</t>
        </is>
      </c>
      <c r="E43" s="25" t="inlineStr">
        <is>
          <t>Persoalan #4: Gunakan fungsi analisis statistik pada rentang data C44:C47 (Contoh rumus: =AVERAGE(C44:C47))!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AVERAGE(C44:C47)</f>
        <v/>
      </c>
      <c r="H45" s="29" t="inlineStr">
        <is>
          <t>Ketik: =AVERAGE(C44:C47)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Sampel Observasi</t>
        </is>
      </c>
      <c r="C51" s="12" t="inlineStr">
        <is>
          <t>Nilai Pengukuran</t>
        </is>
      </c>
      <c r="E51" s="25" t="inlineStr">
        <is>
          <t>Persoalan #5: Gunakan fungsi analisis statistik pada rentang data C52:C55 (Contoh rumus: =AVERAGE(C52:C55))!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AVERAGE(C52:C55)</f>
        <v/>
      </c>
      <c r="H53" s="29" t="inlineStr">
        <is>
          <t>Ketik: =AVERAGE(C52:C55)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#082 — RUMUS EXCEL: PEARSON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(PEARSON)</t>
        </is>
      </c>
    </row>
    <row r="5" ht="21" customHeight="1">
      <c r="B5" s="12" t="inlineStr">
        <is>
          <t>Nama Rumus Excel</t>
        </is>
      </c>
      <c r="C5" s="13">
        <f>PEARSON(...)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PEARSON(range_x, range_y)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Menghitung koefisien korelasi Pearson antara dua kumpulan data.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PEARSON)</t>
        </is>
      </c>
    </row>
    <row r="10">
      <c r="B10" s="16" t="inlineStr">
        <is>
          <t>Variabel X (Biaya)</t>
        </is>
      </c>
      <c r="C10" s="16" t="inlineStr">
        <is>
          <t>Variabel Y (Hasil)</t>
        </is>
      </c>
      <c r="E10" s="17" t="inlineStr">
        <is>
          <t>💡 CONTOH RUMUS YANG SUDAH TERPASANG AKTIF:</t>
        </is>
      </c>
    </row>
    <row r="11">
      <c r="B11" s="18" t="n">
        <v>10</v>
      </c>
      <c r="C11" s="18" t="n">
        <v>15</v>
      </c>
      <c r="E11" s="19" t="inlineStr">
        <is>
          <t>Kasus Contoh:</t>
        </is>
      </c>
      <c r="F11" s="20" t="inlineStr">
        <is>
          <t>Analisis hubungan variabel X (B11:B14) dan variabel Y (C11:C14) menggunakan rumus PEARSON!</t>
        </is>
      </c>
    </row>
    <row r="12">
      <c r="B12" s="18" t="n">
        <v>20</v>
      </c>
      <c r="C12" s="18" t="n">
        <v>28</v>
      </c>
      <c r="E12" s="19" t="inlineStr">
        <is>
          <t>Rumus yang Diketik:</t>
        </is>
      </c>
      <c r="F12" s="21" t="inlineStr">
        <is>
          <t>'=PEARSON(B11:B14, C11:C14)</t>
        </is>
      </c>
    </row>
    <row r="13">
      <c r="B13" s="18" t="n">
        <v>30</v>
      </c>
      <c r="C13" s="18" t="n">
        <v>42</v>
      </c>
      <c r="E13" s="19" t="inlineStr">
        <is>
          <t>Hasil Otomatis Excel:</t>
        </is>
      </c>
      <c r="F13" s="22">
        <f>PEARSON(B11:B14, C11:C14)</f>
        <v/>
      </c>
    </row>
    <row r="14">
      <c r="B14" s="18" t="n">
        <v>40</v>
      </c>
      <c r="C14" s="18" t="n">
        <v>55</v>
      </c>
    </row>
    <row r="16" ht="26" customHeight="1">
      <c r="B16" s="23" t="inlineStr">
        <is>
          <t>3️⃣ 5 PERSOALAN DUNIA NYATA (KETIK RUMUS PEARSON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Variabel X (Biaya)</t>
        </is>
      </c>
      <c r="C19" s="12" t="inlineStr">
        <is>
          <t>Variabel Y (Hasil)</t>
        </is>
      </c>
      <c r="E19" s="25" t="inlineStr">
        <is>
          <t>Persoalan #1: Analisis hubungan variabel X (B20:B23) dan variabel Y (C20:C23) menggunakan rumus PEARSON!</t>
        </is>
      </c>
    </row>
    <row r="20">
      <c r="B20" s="18" t="n">
        <v>10</v>
      </c>
      <c r="C20" s="18" t="n">
        <v>15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n">
        <v>20</v>
      </c>
      <c r="C21" s="18" t="n">
        <v>28</v>
      </c>
      <c r="E21" s="26" t="n"/>
      <c r="F21" s="27">
        <f>IF(ISBLANK(E21), "⏳ Ketik rumus di sel kuning E21", IF(E21=G21, "✅ BENAR! LUAR BIASA!", "❌ Belum Tepat, Cek Kunci"))</f>
        <v/>
      </c>
      <c r="G21" s="28">
        <f>PEARSON(B20:B23, C20:C23)</f>
        <v/>
      </c>
      <c r="H21" s="29" t="inlineStr">
        <is>
          <t>Ketik: =PEARSON(B20:B23, C20:C23)</t>
        </is>
      </c>
    </row>
    <row r="22">
      <c r="B22" s="18" t="n">
        <v>30</v>
      </c>
      <c r="C22" s="18" t="n">
        <v>42</v>
      </c>
    </row>
    <row r="23">
      <c r="B23" s="18" t="n">
        <v>40</v>
      </c>
      <c r="C23" s="18" t="n">
        <v>55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Variabel X (Biaya)</t>
        </is>
      </c>
      <c r="C27" s="12" t="inlineStr">
        <is>
          <t>Variabel Y (Hasil)</t>
        </is>
      </c>
      <c r="E27" s="25" t="inlineStr">
        <is>
          <t>Persoalan #2: Analisis hubungan variabel X (B28:B31) dan variabel Y (C28:C31) menggunakan rumus PEARSON!</t>
        </is>
      </c>
    </row>
    <row r="28">
      <c r="B28" s="18" t="n">
        <v>20</v>
      </c>
      <c r="C28" s="18" t="n">
        <v>30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n">
        <v>40</v>
      </c>
      <c r="C29" s="18" t="n">
        <v>56</v>
      </c>
      <c r="E29" s="26" t="n"/>
      <c r="F29" s="27">
        <f>IF(ISBLANK(E29), "⏳ Ketik rumus di sel kuning E29", IF(E29=G29, "✅ BENAR! LUAR BIASA!", "❌ Belum Tepat, Cek Kunci"))</f>
        <v/>
      </c>
      <c r="G29" s="28">
        <f>PEARSON(B28:B31, C28:C31)</f>
        <v/>
      </c>
      <c r="H29" s="29" t="inlineStr">
        <is>
          <t>Ketik: =PEARSON(B28:B31, C28:C31)</t>
        </is>
      </c>
    </row>
    <row r="30">
      <c r="B30" s="18" t="n">
        <v>60</v>
      </c>
      <c r="C30" s="18" t="n">
        <v>84</v>
      </c>
    </row>
    <row r="31">
      <c r="B31" s="18" t="n">
        <v>80</v>
      </c>
      <c r="C31" s="18" t="n">
        <v>110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Variabel X (Biaya)</t>
        </is>
      </c>
      <c r="C35" s="12" t="inlineStr">
        <is>
          <t>Variabel Y (Hasil)</t>
        </is>
      </c>
      <c r="E35" s="25" t="inlineStr">
        <is>
          <t>Persoalan #3: Analisis hubungan variabel X (B36:B39) dan variabel Y (C36:C39) menggunakan rumus PEARSON!</t>
        </is>
      </c>
    </row>
    <row r="36">
      <c r="B36" s="18" t="n">
        <v>30</v>
      </c>
      <c r="C36" s="18" t="n">
        <v>45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n">
        <v>60</v>
      </c>
      <c r="C37" s="18" t="n">
        <v>84</v>
      </c>
      <c r="E37" s="26" t="n"/>
      <c r="F37" s="27">
        <f>IF(ISBLANK(E37), "⏳ Ketik rumus di sel kuning E37", IF(E37=G37, "✅ BENAR! LUAR BIASA!", "❌ Belum Tepat, Cek Kunci"))</f>
        <v/>
      </c>
      <c r="G37" s="28">
        <f>PEARSON(B36:B39, C36:C39)</f>
        <v/>
      </c>
      <c r="H37" s="29" t="inlineStr">
        <is>
          <t>Ketik: =PEARSON(B36:B39, C36:C39)</t>
        </is>
      </c>
    </row>
    <row r="38">
      <c r="B38" s="18" t="n">
        <v>90</v>
      </c>
      <c r="C38" s="18" t="n">
        <v>126</v>
      </c>
    </row>
    <row r="39">
      <c r="B39" s="18" t="n">
        <v>120</v>
      </c>
      <c r="C39" s="18" t="n">
        <v>165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Variabel X (Biaya)</t>
        </is>
      </c>
      <c r="C43" s="12" t="inlineStr">
        <is>
          <t>Variabel Y (Hasil)</t>
        </is>
      </c>
      <c r="E43" s="25" t="inlineStr">
        <is>
          <t>Persoalan #4: Analisis hubungan variabel X (B44:B47) dan variabel Y (C44:C47) menggunakan rumus PEARSON!</t>
        </is>
      </c>
    </row>
    <row r="44">
      <c r="B44" s="18" t="n">
        <v>40</v>
      </c>
      <c r="C44" s="18" t="n">
        <v>60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n">
        <v>80</v>
      </c>
      <c r="C45" s="18" t="n">
        <v>112</v>
      </c>
      <c r="E45" s="26" t="n"/>
      <c r="F45" s="27">
        <f>IF(ISBLANK(E45), "⏳ Ketik rumus di sel kuning E45", IF(E45=G45, "✅ BENAR! LUAR BIASA!", "❌ Belum Tepat, Cek Kunci"))</f>
        <v/>
      </c>
      <c r="G45" s="28">
        <f>PEARSON(B44:B47, C44:C47)</f>
        <v/>
      </c>
      <c r="H45" s="29" t="inlineStr">
        <is>
          <t>Ketik: =PEARSON(B44:B47, C44:C47)</t>
        </is>
      </c>
    </row>
    <row r="46">
      <c r="B46" s="18" t="n">
        <v>120</v>
      </c>
      <c r="C46" s="18" t="n">
        <v>168</v>
      </c>
    </row>
    <row r="47">
      <c r="B47" s="18" t="n">
        <v>160</v>
      </c>
      <c r="C47" s="18" t="n">
        <v>220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Variabel X (Biaya)</t>
        </is>
      </c>
      <c r="C51" s="12" t="inlineStr">
        <is>
          <t>Variabel Y (Hasil)</t>
        </is>
      </c>
      <c r="E51" s="25" t="inlineStr">
        <is>
          <t>Persoalan #5: Analisis hubungan variabel X (B52:B55) dan variabel Y (C52:C55) menggunakan rumus PEARSON!</t>
        </is>
      </c>
    </row>
    <row r="52">
      <c r="B52" s="18" t="n">
        <v>50</v>
      </c>
      <c r="C52" s="18" t="n">
        <v>75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n">
        <v>100</v>
      </c>
      <c r="C53" s="18" t="n">
        <v>140</v>
      </c>
      <c r="E53" s="26" t="n"/>
      <c r="F53" s="27">
        <f>IF(ISBLANK(E53), "⏳ Ketik rumus di sel kuning E53", IF(E53=G53, "✅ BENAR! LUAR BIASA!", "❌ Belum Tepat, Cek Kunci"))</f>
        <v/>
      </c>
      <c r="G53" s="28">
        <f>PEARSON(B52:B55, C52:C55)</f>
        <v/>
      </c>
      <c r="H53" s="29" t="inlineStr">
        <is>
          <t>Ketik: =PEARSON(B52:B55, C52:C55)</t>
        </is>
      </c>
    </row>
    <row r="54">
      <c r="B54" s="18" t="n">
        <v>150</v>
      </c>
      <c r="C54" s="18" t="n">
        <v>210</v>
      </c>
    </row>
    <row r="55">
      <c r="B55" s="18" t="n">
        <v>200</v>
      </c>
      <c r="C55" s="18" t="n">
        <v>275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#083 — RUMUS EXCEL: PERCENTILE.EXC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(PERCENTILE.EXC)</t>
        </is>
      </c>
    </row>
    <row r="5" ht="21" customHeight="1">
      <c r="B5" s="12" t="inlineStr">
        <is>
          <t>Nama Rumus Excel</t>
        </is>
      </c>
      <c r="C5" s="13">
        <f>PERCENTILE.EXC(...)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PERCENTILE.EXC(...)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Fungsi Statistik &amp; Analisis Data Excel (PERCENTILE.EXC) untuk mengolah distribusi, peluang, standar deviasi, dan pengujian hipotesis data secara presisi.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PERCENTILE.EXC)</t>
        </is>
      </c>
    </row>
    <row r="10">
      <c r="B10" s="16" t="inlineStr">
        <is>
          <t>Sampel Observasi</t>
        </is>
      </c>
      <c r="C10" s="16" t="inlineStr">
        <is>
          <t>Nilai Pengukuran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fungsi analisis statistik pada rentang data C11:C14 (Contoh rumus: =AVERAGE(C11:C14))!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PERCENTILE.EXC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Sampel Observasi</t>
        </is>
      </c>
      <c r="C19" s="12" t="inlineStr">
        <is>
          <t>Nilai Pengukuran</t>
        </is>
      </c>
      <c r="E19" s="25" t="inlineStr">
        <is>
          <t>Persoalan #1: Gunakan fungsi analisis statistik pada rentang data C20:C23 (Contoh rumus: =AVERAGE(C20:C23))!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AVERAGE(C20:C23)</f>
        <v/>
      </c>
      <c r="H21" s="29" t="inlineStr">
        <is>
          <t>Ketik: =AVERAGE(C20:C23)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Sampel Observasi</t>
        </is>
      </c>
      <c r="C27" s="12" t="inlineStr">
        <is>
          <t>Nilai Pengukuran</t>
        </is>
      </c>
      <c r="E27" s="25" t="inlineStr">
        <is>
          <t>Persoalan #2: Gunakan fungsi analisis statistik pada rentang data C28:C31 (Contoh rumus: =AVERAGE(C28:C31))!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AVERAGE(C28:C31)</f>
        <v/>
      </c>
      <c r="H29" s="29" t="inlineStr">
        <is>
          <t>Ketik: =AVERAGE(C28:C31)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Sampel Observasi</t>
        </is>
      </c>
      <c r="C35" s="12" t="inlineStr">
        <is>
          <t>Nilai Pengukuran</t>
        </is>
      </c>
      <c r="E35" s="25" t="inlineStr">
        <is>
          <t>Persoalan #3: Gunakan fungsi analisis statistik pada rentang data C36:C39 (Contoh rumus: =AVERAGE(C36:C39))!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AVERAGE(C36:C39)</f>
        <v/>
      </c>
      <c r="H37" s="29" t="inlineStr">
        <is>
          <t>Ketik: =AVERAGE(C36:C39)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Sampel Observasi</t>
        </is>
      </c>
      <c r="C43" s="12" t="inlineStr">
        <is>
          <t>Nilai Pengukuran</t>
        </is>
      </c>
      <c r="E43" s="25" t="inlineStr">
        <is>
          <t>Persoalan #4: Gunakan fungsi analisis statistik pada rentang data C44:C47 (Contoh rumus: =AVERAGE(C44:C47))!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AVERAGE(C44:C47)</f>
        <v/>
      </c>
      <c r="H45" s="29" t="inlineStr">
        <is>
          <t>Ketik: =AVERAGE(C44:C47)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Sampel Observasi</t>
        </is>
      </c>
      <c r="C51" s="12" t="inlineStr">
        <is>
          <t>Nilai Pengukuran</t>
        </is>
      </c>
      <c r="E51" s="25" t="inlineStr">
        <is>
          <t>Persoalan #5: Gunakan fungsi analisis statistik pada rentang data C52:C55 (Contoh rumus: =AVERAGE(C52:C55))!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AVERAGE(C52:C55)</f>
        <v/>
      </c>
      <c r="H53" s="29" t="inlineStr">
        <is>
          <t>Ketik: =AVERAGE(C52:C55)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#084 — RUMUS EXCEL: PERCENTILE.INC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(PERCENTILE.INC)</t>
        </is>
      </c>
    </row>
    <row r="5" ht="21" customHeight="1">
      <c r="B5" s="12" t="inlineStr">
        <is>
          <t>Nama Rumus Excel</t>
        </is>
      </c>
      <c r="C5" s="13">
        <f>PERCENTILE.INC(...)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PERCENTILE.INC(...)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Fungsi Statistik &amp; Analisis Data Excel (PERCENTILE.INC) untuk mengolah distribusi, peluang, standar deviasi, dan pengujian hipotesis data secara presisi.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PERCENTILE.INC)</t>
        </is>
      </c>
    </row>
    <row r="10">
      <c r="B10" s="16" t="inlineStr">
        <is>
          <t>Sampel Observasi</t>
        </is>
      </c>
      <c r="C10" s="16" t="inlineStr">
        <is>
          <t>Nilai Pengukuran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fungsi analisis statistik pada rentang data C11:C14 (Contoh rumus: =AVERAGE(C11:C14))!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PERCENTILE.INC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Sampel Observasi</t>
        </is>
      </c>
      <c r="C19" s="12" t="inlineStr">
        <is>
          <t>Nilai Pengukuran</t>
        </is>
      </c>
      <c r="E19" s="25" t="inlineStr">
        <is>
          <t>Persoalan #1: Gunakan fungsi analisis statistik pada rentang data C20:C23 (Contoh rumus: =AVERAGE(C20:C23))!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AVERAGE(C20:C23)</f>
        <v/>
      </c>
      <c r="H21" s="29" t="inlineStr">
        <is>
          <t>Ketik: =AVERAGE(C20:C23)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Sampel Observasi</t>
        </is>
      </c>
      <c r="C27" s="12" t="inlineStr">
        <is>
          <t>Nilai Pengukuran</t>
        </is>
      </c>
      <c r="E27" s="25" t="inlineStr">
        <is>
          <t>Persoalan #2: Gunakan fungsi analisis statistik pada rentang data C28:C31 (Contoh rumus: =AVERAGE(C28:C31))!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AVERAGE(C28:C31)</f>
        <v/>
      </c>
      <c r="H29" s="29" t="inlineStr">
        <is>
          <t>Ketik: =AVERAGE(C28:C31)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Sampel Observasi</t>
        </is>
      </c>
      <c r="C35" s="12" t="inlineStr">
        <is>
          <t>Nilai Pengukuran</t>
        </is>
      </c>
      <c r="E35" s="25" t="inlineStr">
        <is>
          <t>Persoalan #3: Gunakan fungsi analisis statistik pada rentang data C36:C39 (Contoh rumus: =AVERAGE(C36:C39))!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AVERAGE(C36:C39)</f>
        <v/>
      </c>
      <c r="H37" s="29" t="inlineStr">
        <is>
          <t>Ketik: =AVERAGE(C36:C39)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Sampel Observasi</t>
        </is>
      </c>
      <c r="C43" s="12" t="inlineStr">
        <is>
          <t>Nilai Pengukuran</t>
        </is>
      </c>
      <c r="E43" s="25" t="inlineStr">
        <is>
          <t>Persoalan #4: Gunakan fungsi analisis statistik pada rentang data C44:C47 (Contoh rumus: =AVERAGE(C44:C47))!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AVERAGE(C44:C47)</f>
        <v/>
      </c>
      <c r="H45" s="29" t="inlineStr">
        <is>
          <t>Ketik: =AVERAGE(C44:C47)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Sampel Observasi</t>
        </is>
      </c>
      <c r="C51" s="12" t="inlineStr">
        <is>
          <t>Nilai Pengukuran</t>
        </is>
      </c>
      <c r="E51" s="25" t="inlineStr">
        <is>
          <t>Persoalan #5: Gunakan fungsi analisis statistik pada rentang data C52:C55 (Contoh rumus: =AVERAGE(C52:C55))!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AVERAGE(C52:C55)</f>
        <v/>
      </c>
      <c r="H53" s="29" t="inlineStr">
        <is>
          <t>Ketik: =AVERAGE(C52:C55)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#085 — RUMUS EXCEL: PERCENTRANK.EXC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(PERCENTRANK.EXC)</t>
        </is>
      </c>
    </row>
    <row r="5" ht="21" customHeight="1">
      <c r="B5" s="12" t="inlineStr">
        <is>
          <t>Nama Rumus Excel</t>
        </is>
      </c>
      <c r="C5" s="13">
        <f>PERCENTRANK.EXC(...)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PERCENTRANK.EXC(...)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Fungsi Statistik &amp; Analisis Data Excel (PERCENTRANK.EXC) untuk mengolah distribusi, peluang, standar deviasi, dan pengujian hipotesis data secara presisi.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PERCENTRANK.EXC)</t>
        </is>
      </c>
    </row>
    <row r="10">
      <c r="B10" s="16" t="inlineStr">
        <is>
          <t>Sampel Observasi</t>
        </is>
      </c>
      <c r="C10" s="16" t="inlineStr">
        <is>
          <t>Nilai Pengukuran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fungsi analisis statistik pada rentang data C11:C14 (Contoh rumus: =AVERAGE(C11:C14))!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PERCENTRANK.EXC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Sampel Observasi</t>
        </is>
      </c>
      <c r="C19" s="12" t="inlineStr">
        <is>
          <t>Nilai Pengukuran</t>
        </is>
      </c>
      <c r="E19" s="25" t="inlineStr">
        <is>
          <t>Persoalan #1: Gunakan fungsi analisis statistik pada rentang data C20:C23 (Contoh rumus: =AVERAGE(C20:C23))!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AVERAGE(C20:C23)</f>
        <v/>
      </c>
      <c r="H21" s="29" t="inlineStr">
        <is>
          <t>Ketik: =AVERAGE(C20:C23)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Sampel Observasi</t>
        </is>
      </c>
      <c r="C27" s="12" t="inlineStr">
        <is>
          <t>Nilai Pengukuran</t>
        </is>
      </c>
      <c r="E27" s="25" t="inlineStr">
        <is>
          <t>Persoalan #2: Gunakan fungsi analisis statistik pada rentang data C28:C31 (Contoh rumus: =AVERAGE(C28:C31))!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AVERAGE(C28:C31)</f>
        <v/>
      </c>
      <c r="H29" s="29" t="inlineStr">
        <is>
          <t>Ketik: =AVERAGE(C28:C31)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Sampel Observasi</t>
        </is>
      </c>
      <c r="C35" s="12" t="inlineStr">
        <is>
          <t>Nilai Pengukuran</t>
        </is>
      </c>
      <c r="E35" s="25" t="inlineStr">
        <is>
          <t>Persoalan #3: Gunakan fungsi analisis statistik pada rentang data C36:C39 (Contoh rumus: =AVERAGE(C36:C39))!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AVERAGE(C36:C39)</f>
        <v/>
      </c>
      <c r="H37" s="29" t="inlineStr">
        <is>
          <t>Ketik: =AVERAGE(C36:C39)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Sampel Observasi</t>
        </is>
      </c>
      <c r="C43" s="12" t="inlineStr">
        <is>
          <t>Nilai Pengukuran</t>
        </is>
      </c>
      <c r="E43" s="25" t="inlineStr">
        <is>
          <t>Persoalan #4: Gunakan fungsi analisis statistik pada rentang data C44:C47 (Contoh rumus: =AVERAGE(C44:C47))!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AVERAGE(C44:C47)</f>
        <v/>
      </c>
      <c r="H45" s="29" t="inlineStr">
        <is>
          <t>Ketik: =AVERAGE(C44:C47)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Sampel Observasi</t>
        </is>
      </c>
      <c r="C51" s="12" t="inlineStr">
        <is>
          <t>Nilai Pengukuran</t>
        </is>
      </c>
      <c r="E51" s="25" t="inlineStr">
        <is>
          <t>Persoalan #5: Gunakan fungsi analisis statistik pada rentang data C52:C55 (Contoh rumus: =AVERAGE(C52:C55))!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AVERAGE(C52:C55)</f>
        <v/>
      </c>
      <c r="H53" s="29" t="inlineStr">
        <is>
          <t>Ketik: =AVERAGE(C52:C55)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#086 — RUMUS EXCEL: PERCENTRANK.INC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(PERCENTRANK.INC)</t>
        </is>
      </c>
    </row>
    <row r="5" ht="21" customHeight="1">
      <c r="B5" s="12" t="inlineStr">
        <is>
          <t>Nama Rumus Excel</t>
        </is>
      </c>
      <c r="C5" s="13">
        <f>PERCENTRANK.INC(...)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PERCENTRANK.INC(...)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Fungsi Statistik &amp; Analisis Data Excel (PERCENTRANK.INC) untuk mengolah distribusi, peluang, standar deviasi, dan pengujian hipotesis data secara presisi.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PERCENTRANK.INC)</t>
        </is>
      </c>
    </row>
    <row r="10">
      <c r="B10" s="16" t="inlineStr">
        <is>
          <t>Sampel Observasi</t>
        </is>
      </c>
      <c r="C10" s="16" t="inlineStr">
        <is>
          <t>Nilai Pengukuran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fungsi analisis statistik pada rentang data C11:C14 (Contoh rumus: =AVERAGE(C11:C14))!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PERCENTRANK.INC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Sampel Observasi</t>
        </is>
      </c>
      <c r="C19" s="12" t="inlineStr">
        <is>
          <t>Nilai Pengukuran</t>
        </is>
      </c>
      <c r="E19" s="25" t="inlineStr">
        <is>
          <t>Persoalan #1: Gunakan fungsi analisis statistik pada rentang data C20:C23 (Contoh rumus: =AVERAGE(C20:C23))!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AVERAGE(C20:C23)</f>
        <v/>
      </c>
      <c r="H21" s="29" t="inlineStr">
        <is>
          <t>Ketik: =AVERAGE(C20:C23)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Sampel Observasi</t>
        </is>
      </c>
      <c r="C27" s="12" t="inlineStr">
        <is>
          <t>Nilai Pengukuran</t>
        </is>
      </c>
      <c r="E27" s="25" t="inlineStr">
        <is>
          <t>Persoalan #2: Gunakan fungsi analisis statistik pada rentang data C28:C31 (Contoh rumus: =AVERAGE(C28:C31))!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AVERAGE(C28:C31)</f>
        <v/>
      </c>
      <c r="H29" s="29" t="inlineStr">
        <is>
          <t>Ketik: =AVERAGE(C28:C31)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Sampel Observasi</t>
        </is>
      </c>
      <c r="C35" s="12" t="inlineStr">
        <is>
          <t>Nilai Pengukuran</t>
        </is>
      </c>
      <c r="E35" s="25" t="inlineStr">
        <is>
          <t>Persoalan #3: Gunakan fungsi analisis statistik pada rentang data C36:C39 (Contoh rumus: =AVERAGE(C36:C39))!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AVERAGE(C36:C39)</f>
        <v/>
      </c>
      <c r="H37" s="29" t="inlineStr">
        <is>
          <t>Ketik: =AVERAGE(C36:C39)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Sampel Observasi</t>
        </is>
      </c>
      <c r="C43" s="12" t="inlineStr">
        <is>
          <t>Nilai Pengukuran</t>
        </is>
      </c>
      <c r="E43" s="25" t="inlineStr">
        <is>
          <t>Persoalan #4: Gunakan fungsi analisis statistik pada rentang data C44:C47 (Contoh rumus: =AVERAGE(C44:C47))!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AVERAGE(C44:C47)</f>
        <v/>
      </c>
      <c r="H45" s="29" t="inlineStr">
        <is>
          <t>Ketik: =AVERAGE(C44:C47)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Sampel Observasi</t>
        </is>
      </c>
      <c r="C51" s="12" t="inlineStr">
        <is>
          <t>Nilai Pengukuran</t>
        </is>
      </c>
      <c r="E51" s="25" t="inlineStr">
        <is>
          <t>Persoalan #5: Gunakan fungsi analisis statistik pada rentang data C52:C55 (Contoh rumus: =AVERAGE(C52:C55))!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AVERAGE(C52:C55)</f>
        <v/>
      </c>
      <c r="H53" s="29" t="inlineStr">
        <is>
          <t>Ketik: =AVERAGE(C52:C55)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88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#087 — RUMUS EXCEL: PERMUT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(PERMUT)</t>
        </is>
      </c>
    </row>
    <row r="5" ht="21" customHeight="1">
      <c r="B5" s="12" t="inlineStr">
        <is>
          <t>Nama Rumus Excel</t>
        </is>
      </c>
      <c r="C5" s="13">
        <f>PERMUT(...)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PERMUT(...)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Fungsi Statistik &amp; Analisis Data Excel (PERMUT) untuk mengolah distribusi, peluang, standar deviasi, dan pengujian hipotesis data secara presisi.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PERMUT)</t>
        </is>
      </c>
    </row>
    <row r="10">
      <c r="B10" s="16" t="inlineStr">
        <is>
          <t>Sampel Observasi</t>
        </is>
      </c>
      <c r="C10" s="16" t="inlineStr">
        <is>
          <t>Nilai Pengukuran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fungsi analisis statistik pada rentang data C11:C14 (Contoh rumus: =AVERAGE(C11:C14))!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PERMUT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Sampel Observasi</t>
        </is>
      </c>
      <c r="C19" s="12" t="inlineStr">
        <is>
          <t>Nilai Pengukuran</t>
        </is>
      </c>
      <c r="E19" s="25" t="inlineStr">
        <is>
          <t>Persoalan #1: Gunakan fungsi analisis statistik pada rentang data C20:C23 (Contoh rumus: =AVERAGE(C20:C23))!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AVERAGE(C20:C23)</f>
        <v/>
      </c>
      <c r="H21" s="29" t="inlineStr">
        <is>
          <t>Ketik: =AVERAGE(C20:C23)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Sampel Observasi</t>
        </is>
      </c>
      <c r="C27" s="12" t="inlineStr">
        <is>
          <t>Nilai Pengukuran</t>
        </is>
      </c>
      <c r="E27" s="25" t="inlineStr">
        <is>
          <t>Persoalan #2: Gunakan fungsi analisis statistik pada rentang data C28:C31 (Contoh rumus: =AVERAGE(C28:C31))!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AVERAGE(C28:C31)</f>
        <v/>
      </c>
      <c r="H29" s="29" t="inlineStr">
        <is>
          <t>Ketik: =AVERAGE(C28:C31)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Sampel Observasi</t>
        </is>
      </c>
      <c r="C35" s="12" t="inlineStr">
        <is>
          <t>Nilai Pengukuran</t>
        </is>
      </c>
      <c r="E35" s="25" t="inlineStr">
        <is>
          <t>Persoalan #3: Gunakan fungsi analisis statistik pada rentang data C36:C39 (Contoh rumus: =AVERAGE(C36:C39))!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AVERAGE(C36:C39)</f>
        <v/>
      </c>
      <c r="H37" s="29" t="inlineStr">
        <is>
          <t>Ketik: =AVERAGE(C36:C39)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Sampel Observasi</t>
        </is>
      </c>
      <c r="C43" s="12" t="inlineStr">
        <is>
          <t>Nilai Pengukuran</t>
        </is>
      </c>
      <c r="E43" s="25" t="inlineStr">
        <is>
          <t>Persoalan #4: Gunakan fungsi analisis statistik pada rentang data C44:C47 (Contoh rumus: =AVERAGE(C44:C47))!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AVERAGE(C44:C47)</f>
        <v/>
      </c>
      <c r="H45" s="29" t="inlineStr">
        <is>
          <t>Ketik: =AVERAGE(C44:C47)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Sampel Observasi</t>
        </is>
      </c>
      <c r="C51" s="12" t="inlineStr">
        <is>
          <t>Nilai Pengukuran</t>
        </is>
      </c>
      <c r="E51" s="25" t="inlineStr">
        <is>
          <t>Persoalan #5: Gunakan fungsi analisis statistik pada rentang data C52:C55 (Contoh rumus: =AVERAGE(C52:C55))!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AVERAGE(C52:C55)</f>
        <v/>
      </c>
      <c r="H53" s="29" t="inlineStr">
        <is>
          <t>Ketik: =AVERAGE(C52:C55)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89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#088 — RUMUS EXCEL: POISSON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(POISSON)</t>
        </is>
      </c>
    </row>
    <row r="5" ht="21" customHeight="1">
      <c r="B5" s="12" t="inlineStr">
        <is>
          <t>Nama Rumus Excel</t>
        </is>
      </c>
      <c r="C5" s="13">
        <f>POISSON(...)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POISSON(...)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Fungsi Statistik &amp; Analisis Data Excel (POISSON) untuk mengolah distribusi, peluang, standar deviasi, dan pengujian hipotesis data secara presisi.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POISSON)</t>
        </is>
      </c>
    </row>
    <row r="10">
      <c r="B10" s="16" t="inlineStr">
        <is>
          <t>Sampel Observasi</t>
        </is>
      </c>
      <c r="C10" s="16" t="inlineStr">
        <is>
          <t>Nilai Pengukuran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fungsi analisis statistik pada rentang data C11:C14 (Contoh rumus: =AVERAGE(C11:C14))!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POISSON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Sampel Observasi</t>
        </is>
      </c>
      <c r="C19" s="12" t="inlineStr">
        <is>
          <t>Nilai Pengukuran</t>
        </is>
      </c>
      <c r="E19" s="25" t="inlineStr">
        <is>
          <t>Persoalan #1: Gunakan fungsi analisis statistik pada rentang data C20:C23 (Contoh rumus: =AVERAGE(C20:C23))!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AVERAGE(C20:C23)</f>
        <v/>
      </c>
      <c r="H21" s="29" t="inlineStr">
        <is>
          <t>Ketik: =AVERAGE(C20:C23)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Sampel Observasi</t>
        </is>
      </c>
      <c r="C27" s="12" t="inlineStr">
        <is>
          <t>Nilai Pengukuran</t>
        </is>
      </c>
      <c r="E27" s="25" t="inlineStr">
        <is>
          <t>Persoalan #2: Gunakan fungsi analisis statistik pada rentang data C28:C31 (Contoh rumus: =AVERAGE(C28:C31))!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AVERAGE(C28:C31)</f>
        <v/>
      </c>
      <c r="H29" s="29" t="inlineStr">
        <is>
          <t>Ketik: =AVERAGE(C28:C31)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Sampel Observasi</t>
        </is>
      </c>
      <c r="C35" s="12" t="inlineStr">
        <is>
          <t>Nilai Pengukuran</t>
        </is>
      </c>
      <c r="E35" s="25" t="inlineStr">
        <is>
          <t>Persoalan #3: Gunakan fungsi analisis statistik pada rentang data C36:C39 (Contoh rumus: =AVERAGE(C36:C39))!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AVERAGE(C36:C39)</f>
        <v/>
      </c>
      <c r="H37" s="29" t="inlineStr">
        <is>
          <t>Ketik: =AVERAGE(C36:C39)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Sampel Observasi</t>
        </is>
      </c>
      <c r="C43" s="12" t="inlineStr">
        <is>
          <t>Nilai Pengukuran</t>
        </is>
      </c>
      <c r="E43" s="25" t="inlineStr">
        <is>
          <t>Persoalan #4: Gunakan fungsi analisis statistik pada rentang data C44:C47 (Contoh rumus: =AVERAGE(C44:C47))!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AVERAGE(C44:C47)</f>
        <v/>
      </c>
      <c r="H45" s="29" t="inlineStr">
        <is>
          <t>Ketik: =AVERAGE(C44:C47)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Sampel Observasi</t>
        </is>
      </c>
      <c r="C51" s="12" t="inlineStr">
        <is>
          <t>Nilai Pengukuran</t>
        </is>
      </c>
      <c r="E51" s="25" t="inlineStr">
        <is>
          <t>Persoalan #5: Gunakan fungsi analisis statistik pada rentang data C52:C55 (Contoh rumus: =AVERAGE(C52:C55))!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AVERAGE(C52:C55)</f>
        <v/>
      </c>
      <c r="H53" s="29" t="inlineStr">
        <is>
          <t>Ketik: =AVERAGE(C52:C55)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90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#089 — RUMUS EXCEL: PROB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(PROB)</t>
        </is>
      </c>
    </row>
    <row r="5" ht="21" customHeight="1">
      <c r="B5" s="12" t="inlineStr">
        <is>
          <t>Nama Rumus Excel</t>
        </is>
      </c>
      <c r="C5" s="13">
        <f>PROB(...)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PROB(...)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Fungsi Statistik &amp; Analisis Data Excel (PROB) untuk mengolah distribusi, peluang, standar deviasi, dan pengujian hipotesis data secara presisi.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PROB)</t>
        </is>
      </c>
    </row>
    <row r="10">
      <c r="B10" s="16" t="inlineStr">
        <is>
          <t>Sampel Observasi</t>
        </is>
      </c>
      <c r="C10" s="16" t="inlineStr">
        <is>
          <t>Nilai Pengukuran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fungsi analisis statistik pada rentang data C11:C14 (Contoh rumus: =AVERAGE(C11:C14))!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PROB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Sampel Observasi</t>
        </is>
      </c>
      <c r="C19" s="12" t="inlineStr">
        <is>
          <t>Nilai Pengukuran</t>
        </is>
      </c>
      <c r="E19" s="25" t="inlineStr">
        <is>
          <t>Persoalan #1: Gunakan fungsi analisis statistik pada rentang data C20:C23 (Contoh rumus: =AVERAGE(C20:C23))!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AVERAGE(C20:C23)</f>
        <v/>
      </c>
      <c r="H21" s="29" t="inlineStr">
        <is>
          <t>Ketik: =AVERAGE(C20:C23)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Sampel Observasi</t>
        </is>
      </c>
      <c r="C27" s="12" t="inlineStr">
        <is>
          <t>Nilai Pengukuran</t>
        </is>
      </c>
      <c r="E27" s="25" t="inlineStr">
        <is>
          <t>Persoalan #2: Gunakan fungsi analisis statistik pada rentang data C28:C31 (Contoh rumus: =AVERAGE(C28:C31))!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AVERAGE(C28:C31)</f>
        <v/>
      </c>
      <c r="H29" s="29" t="inlineStr">
        <is>
          <t>Ketik: =AVERAGE(C28:C31)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Sampel Observasi</t>
        </is>
      </c>
      <c r="C35" s="12" t="inlineStr">
        <is>
          <t>Nilai Pengukuran</t>
        </is>
      </c>
      <c r="E35" s="25" t="inlineStr">
        <is>
          <t>Persoalan #3: Gunakan fungsi analisis statistik pada rentang data C36:C39 (Contoh rumus: =AVERAGE(C36:C39))!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AVERAGE(C36:C39)</f>
        <v/>
      </c>
      <c r="H37" s="29" t="inlineStr">
        <is>
          <t>Ketik: =AVERAGE(C36:C39)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Sampel Observasi</t>
        </is>
      </c>
      <c r="C43" s="12" t="inlineStr">
        <is>
          <t>Nilai Pengukuran</t>
        </is>
      </c>
      <c r="E43" s="25" t="inlineStr">
        <is>
          <t>Persoalan #4: Gunakan fungsi analisis statistik pada rentang data C44:C47 (Contoh rumus: =AVERAGE(C44:C47))!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AVERAGE(C44:C47)</f>
        <v/>
      </c>
      <c r="H45" s="29" t="inlineStr">
        <is>
          <t>Ketik: =AVERAGE(C44:C47)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Sampel Observasi</t>
        </is>
      </c>
      <c r="C51" s="12" t="inlineStr">
        <is>
          <t>Nilai Pengukuran</t>
        </is>
      </c>
      <c r="E51" s="25" t="inlineStr">
        <is>
          <t>Persoalan #5: Gunakan fungsi analisis statistik pada rentang data C52:C55 (Contoh rumus: =AVERAGE(C52:C55))!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AVERAGE(C52:C55)</f>
        <v/>
      </c>
      <c r="H53" s="29" t="inlineStr">
        <is>
          <t>Ketik: =AVERAGE(C52:C55)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91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#090 — RUMUS EXCEL: QUARTILE.EXC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(QUARTILE.EXC)</t>
        </is>
      </c>
    </row>
    <row r="5" ht="21" customHeight="1">
      <c r="B5" s="12" t="inlineStr">
        <is>
          <t>Nama Rumus Excel</t>
        </is>
      </c>
      <c r="C5" s="13">
        <f>QUARTILE.EXC(...)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QUARTILE.EXC(...)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Fungsi Statistik &amp; Analisis Data Excel (QUARTILE.EXC) untuk mengolah distribusi, peluang, standar deviasi, dan pengujian hipotesis data secara presisi.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QUARTILE.EXC)</t>
        </is>
      </c>
    </row>
    <row r="10">
      <c r="B10" s="16" t="inlineStr">
        <is>
          <t>Sampel Observasi</t>
        </is>
      </c>
      <c r="C10" s="16" t="inlineStr">
        <is>
          <t>Nilai Pengukuran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fungsi analisis statistik pada rentang data C11:C14 (Contoh rumus: =AVERAGE(C11:C14))!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QUARTILE.EXC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Sampel Observasi</t>
        </is>
      </c>
      <c r="C19" s="12" t="inlineStr">
        <is>
          <t>Nilai Pengukuran</t>
        </is>
      </c>
      <c r="E19" s="25" t="inlineStr">
        <is>
          <t>Persoalan #1: Gunakan fungsi analisis statistik pada rentang data C20:C23 (Contoh rumus: =AVERAGE(C20:C23))!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AVERAGE(C20:C23)</f>
        <v/>
      </c>
      <c r="H21" s="29" t="inlineStr">
        <is>
          <t>Ketik: =AVERAGE(C20:C23)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Sampel Observasi</t>
        </is>
      </c>
      <c r="C27" s="12" t="inlineStr">
        <is>
          <t>Nilai Pengukuran</t>
        </is>
      </c>
      <c r="E27" s="25" t="inlineStr">
        <is>
          <t>Persoalan #2: Gunakan fungsi analisis statistik pada rentang data C28:C31 (Contoh rumus: =AVERAGE(C28:C31))!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AVERAGE(C28:C31)</f>
        <v/>
      </c>
      <c r="H29" s="29" t="inlineStr">
        <is>
          <t>Ketik: =AVERAGE(C28:C31)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Sampel Observasi</t>
        </is>
      </c>
      <c r="C35" s="12" t="inlineStr">
        <is>
          <t>Nilai Pengukuran</t>
        </is>
      </c>
      <c r="E35" s="25" t="inlineStr">
        <is>
          <t>Persoalan #3: Gunakan fungsi analisis statistik pada rentang data C36:C39 (Contoh rumus: =AVERAGE(C36:C39))!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AVERAGE(C36:C39)</f>
        <v/>
      </c>
      <c r="H37" s="29" t="inlineStr">
        <is>
          <t>Ketik: =AVERAGE(C36:C39)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Sampel Observasi</t>
        </is>
      </c>
      <c r="C43" s="12" t="inlineStr">
        <is>
          <t>Nilai Pengukuran</t>
        </is>
      </c>
      <c r="E43" s="25" t="inlineStr">
        <is>
          <t>Persoalan #4: Gunakan fungsi analisis statistik pada rentang data C44:C47 (Contoh rumus: =AVERAGE(C44:C47))!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AVERAGE(C44:C47)</f>
        <v/>
      </c>
      <c r="H45" s="29" t="inlineStr">
        <is>
          <t>Ketik: =AVERAGE(C44:C47)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Sampel Observasi</t>
        </is>
      </c>
      <c r="C51" s="12" t="inlineStr">
        <is>
          <t>Nilai Pengukuran</t>
        </is>
      </c>
      <c r="E51" s="25" t="inlineStr">
        <is>
          <t>Persoalan #5: Gunakan fungsi analisis statistik pada rentang data C52:C55 (Contoh rumus: =AVERAGE(C52:C55))!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AVERAGE(C52:C55)</f>
        <v/>
      </c>
      <c r="H53" s="29" t="inlineStr">
        <is>
          <t>Ketik: =AVERAGE(C52:C55)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92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#091 — RUMUS EXCEL: QUARTILE.INC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(QUARTILE.INC)</t>
        </is>
      </c>
    </row>
    <row r="5" ht="21" customHeight="1">
      <c r="B5" s="12" t="inlineStr">
        <is>
          <t>Nama Rumus Excel</t>
        </is>
      </c>
      <c r="C5" s="13">
        <f>QUARTILE.INC(...)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QUARTILE.INC(...)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Fungsi Statistik &amp; Analisis Data Excel (QUARTILE.INC) untuk mengolah distribusi, peluang, standar deviasi, dan pengujian hipotesis data secara presisi.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QUARTILE.INC)</t>
        </is>
      </c>
    </row>
    <row r="10">
      <c r="B10" s="16" t="inlineStr">
        <is>
          <t>Sampel Observasi</t>
        </is>
      </c>
      <c r="C10" s="16" t="inlineStr">
        <is>
          <t>Nilai Pengukuran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fungsi analisis statistik pada rentang data C11:C14 (Contoh rumus: =AVERAGE(C11:C14))!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QUARTILE.INC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Sampel Observasi</t>
        </is>
      </c>
      <c r="C19" s="12" t="inlineStr">
        <is>
          <t>Nilai Pengukuran</t>
        </is>
      </c>
      <c r="E19" s="25" t="inlineStr">
        <is>
          <t>Persoalan #1: Gunakan fungsi analisis statistik pada rentang data C20:C23 (Contoh rumus: =AVERAGE(C20:C23))!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AVERAGE(C20:C23)</f>
        <v/>
      </c>
      <c r="H21" s="29" t="inlineStr">
        <is>
          <t>Ketik: =AVERAGE(C20:C23)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Sampel Observasi</t>
        </is>
      </c>
      <c r="C27" s="12" t="inlineStr">
        <is>
          <t>Nilai Pengukuran</t>
        </is>
      </c>
      <c r="E27" s="25" t="inlineStr">
        <is>
          <t>Persoalan #2: Gunakan fungsi analisis statistik pada rentang data C28:C31 (Contoh rumus: =AVERAGE(C28:C31))!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AVERAGE(C28:C31)</f>
        <v/>
      </c>
      <c r="H29" s="29" t="inlineStr">
        <is>
          <t>Ketik: =AVERAGE(C28:C31)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Sampel Observasi</t>
        </is>
      </c>
      <c r="C35" s="12" t="inlineStr">
        <is>
          <t>Nilai Pengukuran</t>
        </is>
      </c>
      <c r="E35" s="25" t="inlineStr">
        <is>
          <t>Persoalan #3: Gunakan fungsi analisis statistik pada rentang data C36:C39 (Contoh rumus: =AVERAGE(C36:C39))!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AVERAGE(C36:C39)</f>
        <v/>
      </c>
      <c r="H37" s="29" t="inlineStr">
        <is>
          <t>Ketik: =AVERAGE(C36:C39)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Sampel Observasi</t>
        </is>
      </c>
      <c r="C43" s="12" t="inlineStr">
        <is>
          <t>Nilai Pengukuran</t>
        </is>
      </c>
      <c r="E43" s="25" t="inlineStr">
        <is>
          <t>Persoalan #4: Gunakan fungsi analisis statistik pada rentang data C44:C47 (Contoh rumus: =AVERAGE(C44:C47))!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AVERAGE(C44:C47)</f>
        <v/>
      </c>
      <c r="H45" s="29" t="inlineStr">
        <is>
          <t>Ketik: =AVERAGE(C44:C47)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Sampel Observasi</t>
        </is>
      </c>
      <c r="C51" s="12" t="inlineStr">
        <is>
          <t>Nilai Pengukuran</t>
        </is>
      </c>
      <c r="E51" s="25" t="inlineStr">
        <is>
          <t>Persoalan #5: Gunakan fungsi analisis statistik pada rentang data C52:C55 (Contoh rumus: =AVERAGE(C52:C55))!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AVERAGE(C52:C55)</f>
        <v/>
      </c>
      <c r="H53" s="29" t="inlineStr">
        <is>
          <t>Ketik: =AVERAGE(C52:C55)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93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#092 — RUMUS EXCEL: RANK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(RANK)</t>
        </is>
      </c>
    </row>
    <row r="5" ht="21" customHeight="1">
      <c r="B5" s="12" t="inlineStr">
        <is>
          <t>Nama Rumus Excel</t>
        </is>
      </c>
      <c r="C5" s="13">
        <f>RANK(...)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RANK(angka, range_daftar)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Menentukan peringkat juara ke berapa suatu angka dibandingkan seluruh daftar.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RANK)</t>
        </is>
      </c>
    </row>
    <row r="10">
      <c r="B10" s="16" t="inlineStr">
        <is>
          <t>Nama Cabang</t>
        </is>
      </c>
      <c r="C10" s="16" t="inlineStr">
        <is>
          <t>Omzet Cabang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Cari peringkat sel C11 di antara daftar C11:C14 menggunakan rumus RANK!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'=RANK(C11, 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RANK(C11, 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RANK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Nama Cabang</t>
        </is>
      </c>
      <c r="C19" s="12" t="inlineStr">
        <is>
          <t>Omzet Cabang</t>
        </is>
      </c>
      <c r="E19" s="25" t="inlineStr">
        <is>
          <t>Persoalan #1: Cari peringkat sel C20 di antara daftar C20:C23 menggunakan rumus RANK!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RANK(C20, C20:C23)</f>
        <v/>
      </c>
      <c r="H21" s="29" t="inlineStr">
        <is>
          <t>Ketik: =RANK(C20, 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Nama Cabang</t>
        </is>
      </c>
      <c r="C27" s="12" t="inlineStr">
        <is>
          <t>Omzet Cabang</t>
        </is>
      </c>
      <c r="E27" s="25" t="inlineStr">
        <is>
          <t>Persoalan #2: Cari peringkat sel C28 di antara daftar C28:C31 menggunakan rumus RANK!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RANK(C28, C28:C31)</f>
        <v/>
      </c>
      <c r="H29" s="29" t="inlineStr">
        <is>
          <t>Ketik: =RANK(C28, 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Nama Cabang</t>
        </is>
      </c>
      <c r="C35" s="12" t="inlineStr">
        <is>
          <t>Omzet Cabang</t>
        </is>
      </c>
      <c r="E35" s="25" t="inlineStr">
        <is>
          <t>Persoalan #3: Cari peringkat sel C36 di antara daftar C36:C39 menggunakan rumus RANK!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RANK(C36, C36:C39)</f>
        <v/>
      </c>
      <c r="H37" s="29" t="inlineStr">
        <is>
          <t>Ketik: =RANK(C36, 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Nama Cabang</t>
        </is>
      </c>
      <c r="C43" s="12" t="inlineStr">
        <is>
          <t>Omzet Cabang</t>
        </is>
      </c>
      <c r="E43" s="25" t="inlineStr">
        <is>
          <t>Persoalan #4: Cari peringkat sel C44 di antara daftar C44:C47 menggunakan rumus RANK!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RANK(C44, C44:C47)</f>
        <v/>
      </c>
      <c r="H45" s="29" t="inlineStr">
        <is>
          <t>Ketik: =RANK(C44, 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Nama Cabang</t>
        </is>
      </c>
      <c r="C51" s="12" t="inlineStr">
        <is>
          <t>Omzet Cabang</t>
        </is>
      </c>
      <c r="E51" s="25" t="inlineStr">
        <is>
          <t>Persoalan #5: Cari peringkat sel C52 di antara daftar C52:C55 menggunakan rumus RANK!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RANK(C52, C52:C55)</f>
        <v/>
      </c>
      <c r="H53" s="29" t="inlineStr">
        <is>
          <t>Ketik: =RANK(C52, 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94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#093 — RUMUS EXCEL: RSQ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(RSQ)</t>
        </is>
      </c>
    </row>
    <row r="5" ht="21" customHeight="1">
      <c r="B5" s="12" t="inlineStr">
        <is>
          <t>Nama Rumus Excel</t>
        </is>
      </c>
      <c r="C5" s="13">
        <f>RSQ(...)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RSQ(range_y, range_x)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Menghitung nilai R-Squared (Koefisien Determinasi) untuk melihat seberapa akurat model prediksi.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RSQ)</t>
        </is>
      </c>
    </row>
    <row r="10">
      <c r="B10" s="16" t="inlineStr">
        <is>
          <t>Variabel X (Biaya)</t>
        </is>
      </c>
      <c r="C10" s="16" t="inlineStr">
        <is>
          <t>Variabel Y (Hasil)</t>
        </is>
      </c>
      <c r="E10" s="17" t="inlineStr">
        <is>
          <t>💡 CONTOH RUMUS YANG SUDAH TERPASANG AKTIF:</t>
        </is>
      </c>
    </row>
    <row r="11">
      <c r="B11" s="18" t="n">
        <v>10</v>
      </c>
      <c r="C11" s="18" t="n">
        <v>15</v>
      </c>
      <c r="E11" s="19" t="inlineStr">
        <is>
          <t>Kasus Contoh:</t>
        </is>
      </c>
      <c r="F11" s="20" t="inlineStr">
        <is>
          <t>Analisis hubungan variabel X (B11:B14) dan variabel Y (C11:C14) menggunakan rumus RSQ!</t>
        </is>
      </c>
    </row>
    <row r="12">
      <c r="B12" s="18" t="n">
        <v>20</v>
      </c>
      <c r="C12" s="18" t="n">
        <v>28</v>
      </c>
      <c r="E12" s="19" t="inlineStr">
        <is>
          <t>Rumus yang Diketik:</t>
        </is>
      </c>
      <c r="F12" s="21" t="inlineStr">
        <is>
          <t>'=RSQ(B11:B14, C11:C14)</t>
        </is>
      </c>
    </row>
    <row r="13">
      <c r="B13" s="18" t="n">
        <v>30</v>
      </c>
      <c r="C13" s="18" t="n">
        <v>42</v>
      </c>
      <c r="E13" s="19" t="inlineStr">
        <is>
          <t>Hasil Otomatis Excel:</t>
        </is>
      </c>
      <c r="F13" s="22">
        <f>RSQ(B11:B14, C11:C14)</f>
        <v/>
      </c>
    </row>
    <row r="14">
      <c r="B14" s="18" t="n">
        <v>40</v>
      </c>
      <c r="C14" s="18" t="n">
        <v>55</v>
      </c>
    </row>
    <row r="16" ht="26" customHeight="1">
      <c r="B16" s="23" t="inlineStr">
        <is>
          <t>3️⃣ 5 PERSOALAN DUNIA NYATA (KETIK RUMUS RSQ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Variabel X (Biaya)</t>
        </is>
      </c>
      <c r="C19" s="12" t="inlineStr">
        <is>
          <t>Variabel Y (Hasil)</t>
        </is>
      </c>
      <c r="E19" s="25" t="inlineStr">
        <is>
          <t>Persoalan #1: Analisis hubungan variabel X (B20:B23) dan variabel Y (C20:C23) menggunakan rumus RSQ!</t>
        </is>
      </c>
    </row>
    <row r="20">
      <c r="B20" s="18" t="n">
        <v>10</v>
      </c>
      <c r="C20" s="18" t="n">
        <v>15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n">
        <v>20</v>
      </c>
      <c r="C21" s="18" t="n">
        <v>28</v>
      </c>
      <c r="E21" s="26" t="n"/>
      <c r="F21" s="27">
        <f>IF(ISBLANK(E21), "⏳ Ketik rumus di sel kuning E21", IF(E21=G21, "✅ BENAR! LUAR BIASA!", "❌ Belum Tepat, Cek Kunci"))</f>
        <v/>
      </c>
      <c r="G21" s="28">
        <f>RSQ(B20:B23, C20:C23)</f>
        <v/>
      </c>
      <c r="H21" s="29" t="inlineStr">
        <is>
          <t>Ketik: =RSQ(B20:B23, C20:C23)</t>
        </is>
      </c>
    </row>
    <row r="22">
      <c r="B22" s="18" t="n">
        <v>30</v>
      </c>
      <c r="C22" s="18" t="n">
        <v>42</v>
      </c>
    </row>
    <row r="23">
      <c r="B23" s="18" t="n">
        <v>40</v>
      </c>
      <c r="C23" s="18" t="n">
        <v>55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Variabel X (Biaya)</t>
        </is>
      </c>
      <c r="C27" s="12" t="inlineStr">
        <is>
          <t>Variabel Y (Hasil)</t>
        </is>
      </c>
      <c r="E27" s="25" t="inlineStr">
        <is>
          <t>Persoalan #2: Analisis hubungan variabel X (B28:B31) dan variabel Y (C28:C31) menggunakan rumus RSQ!</t>
        </is>
      </c>
    </row>
    <row r="28">
      <c r="B28" s="18" t="n">
        <v>20</v>
      </c>
      <c r="C28" s="18" t="n">
        <v>30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n">
        <v>40</v>
      </c>
      <c r="C29" s="18" t="n">
        <v>56</v>
      </c>
      <c r="E29" s="26" t="n"/>
      <c r="F29" s="27">
        <f>IF(ISBLANK(E29), "⏳ Ketik rumus di sel kuning E29", IF(E29=G29, "✅ BENAR! LUAR BIASA!", "❌ Belum Tepat, Cek Kunci"))</f>
        <v/>
      </c>
      <c r="G29" s="28">
        <f>RSQ(B28:B31, C28:C31)</f>
        <v/>
      </c>
      <c r="H29" s="29" t="inlineStr">
        <is>
          <t>Ketik: =RSQ(B28:B31, C28:C31)</t>
        </is>
      </c>
    </row>
    <row r="30">
      <c r="B30" s="18" t="n">
        <v>60</v>
      </c>
      <c r="C30" s="18" t="n">
        <v>84</v>
      </c>
    </row>
    <row r="31">
      <c r="B31" s="18" t="n">
        <v>80</v>
      </c>
      <c r="C31" s="18" t="n">
        <v>110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Variabel X (Biaya)</t>
        </is>
      </c>
      <c r="C35" s="12" t="inlineStr">
        <is>
          <t>Variabel Y (Hasil)</t>
        </is>
      </c>
      <c r="E35" s="25" t="inlineStr">
        <is>
          <t>Persoalan #3: Analisis hubungan variabel X (B36:B39) dan variabel Y (C36:C39) menggunakan rumus RSQ!</t>
        </is>
      </c>
    </row>
    <row r="36">
      <c r="B36" s="18" t="n">
        <v>30</v>
      </c>
      <c r="C36" s="18" t="n">
        <v>45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n">
        <v>60</v>
      </c>
      <c r="C37" s="18" t="n">
        <v>84</v>
      </c>
      <c r="E37" s="26" t="n"/>
      <c r="F37" s="27">
        <f>IF(ISBLANK(E37), "⏳ Ketik rumus di sel kuning E37", IF(E37=G37, "✅ BENAR! LUAR BIASA!", "❌ Belum Tepat, Cek Kunci"))</f>
        <v/>
      </c>
      <c r="G37" s="28">
        <f>RSQ(B36:B39, C36:C39)</f>
        <v/>
      </c>
      <c r="H37" s="29" t="inlineStr">
        <is>
          <t>Ketik: =RSQ(B36:B39, C36:C39)</t>
        </is>
      </c>
    </row>
    <row r="38">
      <c r="B38" s="18" t="n">
        <v>90</v>
      </c>
      <c r="C38" s="18" t="n">
        <v>126</v>
      </c>
    </row>
    <row r="39">
      <c r="B39" s="18" t="n">
        <v>120</v>
      </c>
      <c r="C39" s="18" t="n">
        <v>165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Variabel X (Biaya)</t>
        </is>
      </c>
      <c r="C43" s="12" t="inlineStr">
        <is>
          <t>Variabel Y (Hasil)</t>
        </is>
      </c>
      <c r="E43" s="25" t="inlineStr">
        <is>
          <t>Persoalan #4: Analisis hubungan variabel X (B44:B47) dan variabel Y (C44:C47) menggunakan rumus RSQ!</t>
        </is>
      </c>
    </row>
    <row r="44">
      <c r="B44" s="18" t="n">
        <v>40</v>
      </c>
      <c r="C44" s="18" t="n">
        <v>60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n">
        <v>80</v>
      </c>
      <c r="C45" s="18" t="n">
        <v>112</v>
      </c>
      <c r="E45" s="26" t="n"/>
      <c r="F45" s="27">
        <f>IF(ISBLANK(E45), "⏳ Ketik rumus di sel kuning E45", IF(E45=G45, "✅ BENAR! LUAR BIASA!", "❌ Belum Tepat, Cek Kunci"))</f>
        <v/>
      </c>
      <c r="G45" s="28">
        <f>RSQ(B44:B47, C44:C47)</f>
        <v/>
      </c>
      <c r="H45" s="29" t="inlineStr">
        <is>
          <t>Ketik: =RSQ(B44:B47, C44:C47)</t>
        </is>
      </c>
    </row>
    <row r="46">
      <c r="B46" s="18" t="n">
        <v>120</v>
      </c>
      <c r="C46" s="18" t="n">
        <v>168</v>
      </c>
    </row>
    <row r="47">
      <c r="B47" s="18" t="n">
        <v>160</v>
      </c>
      <c r="C47" s="18" t="n">
        <v>220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Variabel X (Biaya)</t>
        </is>
      </c>
      <c r="C51" s="12" t="inlineStr">
        <is>
          <t>Variabel Y (Hasil)</t>
        </is>
      </c>
      <c r="E51" s="25" t="inlineStr">
        <is>
          <t>Persoalan #5: Analisis hubungan variabel X (B52:B55) dan variabel Y (C52:C55) menggunakan rumus RSQ!</t>
        </is>
      </c>
    </row>
    <row r="52">
      <c r="B52" s="18" t="n">
        <v>50</v>
      </c>
      <c r="C52" s="18" t="n">
        <v>75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n">
        <v>100</v>
      </c>
      <c r="C53" s="18" t="n">
        <v>140</v>
      </c>
      <c r="E53" s="26" t="n"/>
      <c r="F53" s="27">
        <f>IF(ISBLANK(E53), "⏳ Ketik rumus di sel kuning E53", IF(E53=G53, "✅ BENAR! LUAR BIASA!", "❌ Belum Tepat, Cek Kunci"))</f>
        <v/>
      </c>
      <c r="G53" s="28">
        <f>RSQ(B52:B55, C52:C55)</f>
        <v/>
      </c>
      <c r="H53" s="29" t="inlineStr">
        <is>
          <t>Ketik: =RSQ(B52:B55, C52:C55)</t>
        </is>
      </c>
    </row>
    <row r="54">
      <c r="B54" s="18" t="n">
        <v>150</v>
      </c>
      <c r="C54" s="18" t="n">
        <v>210</v>
      </c>
    </row>
    <row r="55">
      <c r="B55" s="18" t="n">
        <v>200</v>
      </c>
      <c r="C55" s="18" t="n">
        <v>275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95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#094 — RUMUS EXCEL: SKEW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(SKEW)</t>
        </is>
      </c>
    </row>
    <row r="5" ht="21" customHeight="1">
      <c r="B5" s="12" t="inlineStr">
        <is>
          <t>Nama Rumus Excel</t>
        </is>
      </c>
      <c r="C5" s="13">
        <f>SKEW(...)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SKEW(range_data)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Mengukur kemencengan (Skewness) distribusi data.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SKEW)</t>
        </is>
      </c>
    </row>
    <row r="10">
      <c r="B10" s="16" t="inlineStr">
        <is>
          <t>Nama Unit / Kategori</t>
        </is>
      </c>
      <c r="C10" s="16" t="inlineStr">
        <is>
          <t>Nilai Data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rumus SKEW pada rentang sel C11:C14 untuk menghitung nilai SKEW dari ke-4 data di samping!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'=SKEW(C11:C14)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SKEW(C11:C14)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SKEW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Nama Unit / Kategori</t>
        </is>
      </c>
      <c r="C19" s="12" t="inlineStr">
        <is>
          <t>Nilai Data</t>
        </is>
      </c>
      <c r="E19" s="25" t="inlineStr">
        <is>
          <t>Persoalan #1: Gunakan rumus SKEW pada rentang sel C20:C23 untuk menghitung nilai SKEW dari ke-4 data di samping!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SKEW(C20:C23)</f>
        <v/>
      </c>
      <c r="H21" s="29" t="inlineStr">
        <is>
          <t>Ketik: =SKEW(C20:C23)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Nama Unit / Kategori</t>
        </is>
      </c>
      <c r="C27" s="12" t="inlineStr">
        <is>
          <t>Nilai Data</t>
        </is>
      </c>
      <c r="E27" s="25" t="inlineStr">
        <is>
          <t>Persoalan #2: Gunakan rumus SKEW pada rentang sel C28:C31 untuk menghitung nilai SKEW dari ke-4 data di samping!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SKEW(C28:C31)</f>
        <v/>
      </c>
      <c r="H29" s="29" t="inlineStr">
        <is>
          <t>Ketik: =SKEW(C28:C31)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Nama Unit / Kategori</t>
        </is>
      </c>
      <c r="C35" s="12" t="inlineStr">
        <is>
          <t>Nilai Data</t>
        </is>
      </c>
      <c r="E35" s="25" t="inlineStr">
        <is>
          <t>Persoalan #3: Gunakan rumus SKEW pada rentang sel C36:C39 untuk menghitung nilai SKEW dari ke-4 data di samping!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SKEW(C36:C39)</f>
        <v/>
      </c>
      <c r="H37" s="29" t="inlineStr">
        <is>
          <t>Ketik: =SKEW(C36:C39)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Nama Unit / Kategori</t>
        </is>
      </c>
      <c r="C43" s="12" t="inlineStr">
        <is>
          <t>Nilai Data</t>
        </is>
      </c>
      <c r="E43" s="25" t="inlineStr">
        <is>
          <t>Persoalan #4: Gunakan rumus SKEW pada rentang sel C44:C47 untuk menghitung nilai SKEW dari ke-4 data di samping!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SKEW(C44:C47)</f>
        <v/>
      </c>
      <c r="H45" s="29" t="inlineStr">
        <is>
          <t>Ketik: =SKEW(C44:C47)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Nama Unit / Kategori</t>
        </is>
      </c>
      <c r="C51" s="12" t="inlineStr">
        <is>
          <t>Nilai Data</t>
        </is>
      </c>
      <c r="E51" s="25" t="inlineStr">
        <is>
          <t>Persoalan #5: Gunakan rumus SKEW pada rentang sel C52:C55 untuk menghitung nilai SKEW dari ke-4 data di samping!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SKEW(C52:C55)</f>
        <v/>
      </c>
      <c r="H53" s="29" t="inlineStr">
        <is>
          <t>Ketik: =SKEW(C52:C55)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96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#095 — RUMUS EXCEL: SLOPE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(SLOPE)</t>
        </is>
      </c>
    </row>
    <row r="5" ht="21" customHeight="1">
      <c r="B5" s="12" t="inlineStr">
        <is>
          <t>Nama Rumus Excel</t>
        </is>
      </c>
      <c r="C5" s="13">
        <f>SLOPE(...)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SLOPE(range_y, range_x)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Menghitung kemiringan garis tren regresi linear (seberapa besar kenaikan Y setiap X naik 1 unit).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SLOPE)</t>
        </is>
      </c>
    </row>
    <row r="10">
      <c r="B10" s="16" t="inlineStr">
        <is>
          <t>Variabel X (Biaya)</t>
        </is>
      </c>
      <c r="C10" s="16" t="inlineStr">
        <is>
          <t>Variabel Y (Hasil)</t>
        </is>
      </c>
      <c r="E10" s="17" t="inlineStr">
        <is>
          <t>💡 CONTOH RUMUS YANG SUDAH TERPASANG AKTIF:</t>
        </is>
      </c>
    </row>
    <row r="11">
      <c r="B11" s="18" t="n">
        <v>10</v>
      </c>
      <c r="C11" s="18" t="n">
        <v>15</v>
      </c>
      <c r="E11" s="19" t="inlineStr">
        <is>
          <t>Kasus Contoh:</t>
        </is>
      </c>
      <c r="F11" s="20" t="inlineStr">
        <is>
          <t>Analisis hubungan variabel X (B11:B14) dan variabel Y (C11:C14) menggunakan rumus SLOPE!</t>
        </is>
      </c>
    </row>
    <row r="12">
      <c r="B12" s="18" t="n">
        <v>20</v>
      </c>
      <c r="C12" s="18" t="n">
        <v>28</v>
      </c>
      <c r="E12" s="19" t="inlineStr">
        <is>
          <t>Rumus yang Diketik:</t>
        </is>
      </c>
      <c r="F12" s="21" t="inlineStr">
        <is>
          <t>'=SLOPE(B11:B14, C11:C14)</t>
        </is>
      </c>
    </row>
    <row r="13">
      <c r="B13" s="18" t="n">
        <v>30</v>
      </c>
      <c r="C13" s="18" t="n">
        <v>42</v>
      </c>
      <c r="E13" s="19" t="inlineStr">
        <is>
          <t>Hasil Otomatis Excel:</t>
        </is>
      </c>
      <c r="F13" s="22">
        <f>SLOPE(B11:B14, C11:C14)</f>
        <v/>
      </c>
    </row>
    <row r="14">
      <c r="B14" s="18" t="n">
        <v>40</v>
      </c>
      <c r="C14" s="18" t="n">
        <v>55</v>
      </c>
    </row>
    <row r="16" ht="26" customHeight="1">
      <c r="B16" s="23" t="inlineStr">
        <is>
          <t>3️⃣ 5 PERSOALAN DUNIA NYATA (KETIK RUMUS SLOPE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Variabel X (Biaya)</t>
        </is>
      </c>
      <c r="C19" s="12" t="inlineStr">
        <is>
          <t>Variabel Y (Hasil)</t>
        </is>
      </c>
      <c r="E19" s="25" t="inlineStr">
        <is>
          <t>Persoalan #1: Analisis hubungan variabel X (B20:B23) dan variabel Y (C20:C23) menggunakan rumus SLOPE!</t>
        </is>
      </c>
    </row>
    <row r="20">
      <c r="B20" s="18" t="n">
        <v>10</v>
      </c>
      <c r="C20" s="18" t="n">
        <v>15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n">
        <v>20</v>
      </c>
      <c r="C21" s="18" t="n">
        <v>28</v>
      </c>
      <c r="E21" s="26" t="n"/>
      <c r="F21" s="27">
        <f>IF(ISBLANK(E21), "⏳ Ketik rumus di sel kuning E21", IF(E21=G21, "✅ BENAR! LUAR BIASA!", "❌ Belum Tepat, Cek Kunci"))</f>
        <v/>
      </c>
      <c r="G21" s="28">
        <f>SLOPE(B20:B23, C20:C23)</f>
        <v/>
      </c>
      <c r="H21" s="29" t="inlineStr">
        <is>
          <t>Ketik: =SLOPE(B20:B23, C20:C23)</t>
        </is>
      </c>
    </row>
    <row r="22">
      <c r="B22" s="18" t="n">
        <v>30</v>
      </c>
      <c r="C22" s="18" t="n">
        <v>42</v>
      </c>
    </row>
    <row r="23">
      <c r="B23" s="18" t="n">
        <v>40</v>
      </c>
      <c r="C23" s="18" t="n">
        <v>55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Variabel X (Biaya)</t>
        </is>
      </c>
      <c r="C27" s="12" t="inlineStr">
        <is>
          <t>Variabel Y (Hasil)</t>
        </is>
      </c>
      <c r="E27" s="25" t="inlineStr">
        <is>
          <t>Persoalan #2: Analisis hubungan variabel X (B28:B31) dan variabel Y (C28:C31) menggunakan rumus SLOPE!</t>
        </is>
      </c>
    </row>
    <row r="28">
      <c r="B28" s="18" t="n">
        <v>20</v>
      </c>
      <c r="C28" s="18" t="n">
        <v>30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n">
        <v>40</v>
      </c>
      <c r="C29" s="18" t="n">
        <v>56</v>
      </c>
      <c r="E29" s="26" t="n"/>
      <c r="F29" s="27">
        <f>IF(ISBLANK(E29), "⏳ Ketik rumus di sel kuning E29", IF(E29=G29, "✅ BENAR! LUAR BIASA!", "❌ Belum Tepat, Cek Kunci"))</f>
        <v/>
      </c>
      <c r="G29" s="28">
        <f>SLOPE(B28:B31, C28:C31)</f>
        <v/>
      </c>
      <c r="H29" s="29" t="inlineStr">
        <is>
          <t>Ketik: =SLOPE(B28:B31, C28:C31)</t>
        </is>
      </c>
    </row>
    <row r="30">
      <c r="B30" s="18" t="n">
        <v>60</v>
      </c>
      <c r="C30" s="18" t="n">
        <v>84</v>
      </c>
    </row>
    <row r="31">
      <c r="B31" s="18" t="n">
        <v>80</v>
      </c>
      <c r="C31" s="18" t="n">
        <v>110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Variabel X (Biaya)</t>
        </is>
      </c>
      <c r="C35" s="12" t="inlineStr">
        <is>
          <t>Variabel Y (Hasil)</t>
        </is>
      </c>
      <c r="E35" s="25" t="inlineStr">
        <is>
          <t>Persoalan #3: Analisis hubungan variabel X (B36:B39) dan variabel Y (C36:C39) menggunakan rumus SLOPE!</t>
        </is>
      </c>
    </row>
    <row r="36">
      <c r="B36" s="18" t="n">
        <v>30</v>
      </c>
      <c r="C36" s="18" t="n">
        <v>45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n">
        <v>60</v>
      </c>
      <c r="C37" s="18" t="n">
        <v>84</v>
      </c>
      <c r="E37" s="26" t="n"/>
      <c r="F37" s="27">
        <f>IF(ISBLANK(E37), "⏳ Ketik rumus di sel kuning E37", IF(E37=G37, "✅ BENAR! LUAR BIASA!", "❌ Belum Tepat, Cek Kunci"))</f>
        <v/>
      </c>
      <c r="G37" s="28">
        <f>SLOPE(B36:B39, C36:C39)</f>
        <v/>
      </c>
      <c r="H37" s="29" t="inlineStr">
        <is>
          <t>Ketik: =SLOPE(B36:B39, C36:C39)</t>
        </is>
      </c>
    </row>
    <row r="38">
      <c r="B38" s="18" t="n">
        <v>90</v>
      </c>
      <c r="C38" s="18" t="n">
        <v>126</v>
      </c>
    </row>
    <row r="39">
      <c r="B39" s="18" t="n">
        <v>120</v>
      </c>
      <c r="C39" s="18" t="n">
        <v>165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Variabel X (Biaya)</t>
        </is>
      </c>
      <c r="C43" s="12" t="inlineStr">
        <is>
          <t>Variabel Y (Hasil)</t>
        </is>
      </c>
      <c r="E43" s="25" t="inlineStr">
        <is>
          <t>Persoalan #4: Analisis hubungan variabel X (B44:B47) dan variabel Y (C44:C47) menggunakan rumus SLOPE!</t>
        </is>
      </c>
    </row>
    <row r="44">
      <c r="B44" s="18" t="n">
        <v>40</v>
      </c>
      <c r="C44" s="18" t="n">
        <v>60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n">
        <v>80</v>
      </c>
      <c r="C45" s="18" t="n">
        <v>112</v>
      </c>
      <c r="E45" s="26" t="n"/>
      <c r="F45" s="27">
        <f>IF(ISBLANK(E45), "⏳ Ketik rumus di sel kuning E45", IF(E45=G45, "✅ BENAR! LUAR BIASA!", "❌ Belum Tepat, Cek Kunci"))</f>
        <v/>
      </c>
      <c r="G45" s="28">
        <f>SLOPE(B44:B47, C44:C47)</f>
        <v/>
      </c>
      <c r="H45" s="29" t="inlineStr">
        <is>
          <t>Ketik: =SLOPE(B44:B47, C44:C47)</t>
        </is>
      </c>
    </row>
    <row r="46">
      <c r="B46" s="18" t="n">
        <v>120</v>
      </c>
      <c r="C46" s="18" t="n">
        <v>168</v>
      </c>
    </row>
    <row r="47">
      <c r="B47" s="18" t="n">
        <v>160</v>
      </c>
      <c r="C47" s="18" t="n">
        <v>220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Variabel X (Biaya)</t>
        </is>
      </c>
      <c r="C51" s="12" t="inlineStr">
        <is>
          <t>Variabel Y (Hasil)</t>
        </is>
      </c>
      <c r="E51" s="25" t="inlineStr">
        <is>
          <t>Persoalan #5: Analisis hubungan variabel X (B52:B55) dan variabel Y (C52:C55) menggunakan rumus SLOPE!</t>
        </is>
      </c>
    </row>
    <row r="52">
      <c r="B52" s="18" t="n">
        <v>50</v>
      </c>
      <c r="C52" s="18" t="n">
        <v>75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n">
        <v>100</v>
      </c>
      <c r="C53" s="18" t="n">
        <v>140</v>
      </c>
      <c r="E53" s="26" t="n"/>
      <c r="F53" s="27">
        <f>IF(ISBLANK(E53), "⏳ Ketik rumus di sel kuning E53", IF(E53=G53, "✅ BENAR! LUAR BIASA!", "❌ Belum Tepat, Cek Kunci"))</f>
        <v/>
      </c>
      <c r="G53" s="28">
        <f>SLOPE(B52:B55, C52:C55)</f>
        <v/>
      </c>
      <c r="H53" s="29" t="inlineStr">
        <is>
          <t>Ketik: =SLOPE(B52:B55, C52:C55)</t>
        </is>
      </c>
    </row>
    <row r="54">
      <c r="B54" s="18" t="n">
        <v>150</v>
      </c>
      <c r="C54" s="18" t="n">
        <v>210</v>
      </c>
    </row>
    <row r="55">
      <c r="B55" s="18" t="n">
        <v>200</v>
      </c>
      <c r="C55" s="18" t="n">
        <v>275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97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#096 — RUMUS EXCEL: SMALL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(SMALL)</t>
        </is>
      </c>
    </row>
    <row r="5" ht="21" customHeight="1">
      <c r="B5" s="12" t="inlineStr">
        <is>
          <t>Nama Rumus Excel</t>
        </is>
      </c>
      <c r="C5" s="13">
        <f>SMALL(...)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SMALL(range_data, k)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Mencari nilai terkecil ke-k (Misal mencari 3 cabang dengan biaya termurah).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SMALL)</t>
        </is>
      </c>
    </row>
    <row r="10">
      <c r="B10" s="16" t="inlineStr">
        <is>
          <t>Peserta / Cabang</t>
        </is>
      </c>
      <c r="C10" s="16" t="inlineStr">
        <is>
          <t>Skor Capaian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Cari nilai urutan ke-1 dari rentang C11:C14 menggunakan rumus SMALL!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'=SMALL(C11:C14, 1)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SMALL(C11:C14, 1)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SMALL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Peserta / Cabang</t>
        </is>
      </c>
      <c r="C19" s="12" t="inlineStr">
        <is>
          <t>Skor Capaian</t>
        </is>
      </c>
      <c r="E19" s="25" t="inlineStr">
        <is>
          <t>Persoalan #1: Cari nilai urutan ke-1 dari rentang C20:C23 menggunakan rumus SMALL!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SMALL(C20:C23, 1)</f>
        <v/>
      </c>
      <c r="H21" s="29" t="inlineStr">
        <is>
          <t>Ketik: =SMALL(C20:C23, 1)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Peserta / Cabang</t>
        </is>
      </c>
      <c r="C27" s="12" t="inlineStr">
        <is>
          <t>Skor Capaian</t>
        </is>
      </c>
      <c r="E27" s="25" t="inlineStr">
        <is>
          <t>Persoalan #2: Cari nilai urutan ke-2 dari rentang C28:C31 menggunakan rumus SMALL!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SMALL(C28:C31, 2)</f>
        <v/>
      </c>
      <c r="H29" s="29" t="inlineStr">
        <is>
          <t>Ketik: =SMALL(C28:C31, 2)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Peserta / Cabang</t>
        </is>
      </c>
      <c r="C35" s="12" t="inlineStr">
        <is>
          <t>Skor Capaian</t>
        </is>
      </c>
      <c r="E35" s="25" t="inlineStr">
        <is>
          <t>Persoalan #3: Cari nilai urutan ke-3 dari rentang C36:C39 menggunakan rumus SMALL!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SMALL(C36:C39, 3)</f>
        <v/>
      </c>
      <c r="H37" s="29" t="inlineStr">
        <is>
          <t>Ketik: =SMALL(C36:C39, 3)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Peserta / Cabang</t>
        </is>
      </c>
      <c r="C43" s="12" t="inlineStr">
        <is>
          <t>Skor Capaian</t>
        </is>
      </c>
      <c r="E43" s="25" t="inlineStr">
        <is>
          <t>Persoalan #4: Cari nilai urutan ke-1 dari rentang C44:C47 menggunakan rumus SMALL!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SMALL(C44:C47, 1)</f>
        <v/>
      </c>
      <c r="H45" s="29" t="inlineStr">
        <is>
          <t>Ketik: =SMALL(C44:C47, 1)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Peserta / Cabang</t>
        </is>
      </c>
      <c r="C51" s="12" t="inlineStr">
        <is>
          <t>Skor Capaian</t>
        </is>
      </c>
      <c r="E51" s="25" t="inlineStr">
        <is>
          <t>Persoalan #5: Cari nilai urutan ke-2 dari rentang C52:C55 menggunakan rumus SMALL!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SMALL(C52:C55, 2)</f>
        <v/>
      </c>
      <c r="H53" s="29" t="inlineStr">
        <is>
          <t>Ketik: =SMALL(C52:C55, 2)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98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#097 — RUMUS EXCEL: STANDARDIZE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(STANDARDIZE)</t>
        </is>
      </c>
    </row>
    <row r="5" ht="21" customHeight="1">
      <c r="B5" s="12" t="inlineStr">
        <is>
          <t>Nama Rumus Excel</t>
        </is>
      </c>
      <c r="C5" s="13">
        <f>STANDARDIZE(...)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STANDARDIZE(...)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Fungsi Statistik &amp; Analisis Data Excel (STANDARDIZE) untuk mengolah distribusi, peluang, standar deviasi, dan pengujian hipotesis data secara presisi.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STANDARDIZE)</t>
        </is>
      </c>
    </row>
    <row r="10">
      <c r="B10" s="16" t="inlineStr">
        <is>
          <t>Sampel Observasi</t>
        </is>
      </c>
      <c r="C10" s="16" t="inlineStr">
        <is>
          <t>Nilai Pengukuran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fungsi analisis statistik pada rentang data C11:C14 (Contoh rumus: =AVERAGE(C11:C14))!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STANDARDIZE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Sampel Observasi</t>
        </is>
      </c>
      <c r="C19" s="12" t="inlineStr">
        <is>
          <t>Nilai Pengukuran</t>
        </is>
      </c>
      <c r="E19" s="25" t="inlineStr">
        <is>
          <t>Persoalan #1: Gunakan fungsi analisis statistik pada rentang data C20:C23 (Contoh rumus: =AVERAGE(C20:C23))!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AVERAGE(C20:C23)</f>
        <v/>
      </c>
      <c r="H21" s="29" t="inlineStr">
        <is>
          <t>Ketik: =AVERAGE(C20:C23)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Sampel Observasi</t>
        </is>
      </c>
      <c r="C27" s="12" t="inlineStr">
        <is>
          <t>Nilai Pengukuran</t>
        </is>
      </c>
      <c r="E27" s="25" t="inlineStr">
        <is>
          <t>Persoalan #2: Gunakan fungsi analisis statistik pada rentang data C28:C31 (Contoh rumus: =AVERAGE(C28:C31))!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AVERAGE(C28:C31)</f>
        <v/>
      </c>
      <c r="H29" s="29" t="inlineStr">
        <is>
          <t>Ketik: =AVERAGE(C28:C31)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Sampel Observasi</t>
        </is>
      </c>
      <c r="C35" s="12" t="inlineStr">
        <is>
          <t>Nilai Pengukuran</t>
        </is>
      </c>
      <c r="E35" s="25" t="inlineStr">
        <is>
          <t>Persoalan #3: Gunakan fungsi analisis statistik pada rentang data C36:C39 (Contoh rumus: =AVERAGE(C36:C39))!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AVERAGE(C36:C39)</f>
        <v/>
      </c>
      <c r="H37" s="29" t="inlineStr">
        <is>
          <t>Ketik: =AVERAGE(C36:C39)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Sampel Observasi</t>
        </is>
      </c>
      <c r="C43" s="12" t="inlineStr">
        <is>
          <t>Nilai Pengukuran</t>
        </is>
      </c>
      <c r="E43" s="25" t="inlineStr">
        <is>
          <t>Persoalan #4: Gunakan fungsi analisis statistik pada rentang data C44:C47 (Contoh rumus: =AVERAGE(C44:C47))!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AVERAGE(C44:C47)</f>
        <v/>
      </c>
      <c r="H45" s="29" t="inlineStr">
        <is>
          <t>Ketik: =AVERAGE(C44:C47)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Sampel Observasi</t>
        </is>
      </c>
      <c r="C51" s="12" t="inlineStr">
        <is>
          <t>Nilai Pengukuran</t>
        </is>
      </c>
      <c r="E51" s="25" t="inlineStr">
        <is>
          <t>Persoalan #5: Gunakan fungsi analisis statistik pada rentang data C52:C55 (Contoh rumus: =AVERAGE(C52:C55))!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AVERAGE(C52:C55)</f>
        <v/>
      </c>
      <c r="H53" s="29" t="inlineStr">
        <is>
          <t>Ketik: =AVERAGE(C52:C55)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99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#098 — RUMUS EXCEL: STDEV.P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(STDEV.P)</t>
        </is>
      </c>
    </row>
    <row r="5" ht="21" customHeight="1">
      <c r="B5" s="12" t="inlineStr">
        <is>
          <t>Nama Rumus Excel</t>
        </is>
      </c>
      <c r="C5" s="13">
        <f>STDEV.P(...)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STDEV.P(range_data)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Menghitung Standar Deviasi untuk seluruh populasi data.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STDEV.P)</t>
        </is>
      </c>
    </row>
    <row r="10">
      <c r="B10" s="16" t="inlineStr">
        <is>
          <t>Nama Unit / Kategori</t>
        </is>
      </c>
      <c r="C10" s="16" t="inlineStr">
        <is>
          <t>Nilai Data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rumus STDEV.P pada rentang sel C11:C14 untuk menghitung nilai STDEV.P dari ke-4 data di samping!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'=STDEV.P(C11:C14)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STDEV.P(C11:C14)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STDEV.P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Nama Unit / Kategori</t>
        </is>
      </c>
      <c r="C19" s="12" t="inlineStr">
        <is>
          <t>Nilai Data</t>
        </is>
      </c>
      <c r="E19" s="25" t="inlineStr">
        <is>
          <t>Persoalan #1: Gunakan rumus STDEV.P pada rentang sel C20:C23 untuk menghitung nilai STDEV.P dari ke-4 data di samping!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STDEV.P(C20:C23)</f>
        <v/>
      </c>
      <c r="H21" s="29" t="inlineStr">
        <is>
          <t>Ketik: =STDEV.P(C20:C23)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Nama Unit / Kategori</t>
        </is>
      </c>
      <c r="C27" s="12" t="inlineStr">
        <is>
          <t>Nilai Data</t>
        </is>
      </c>
      <c r="E27" s="25" t="inlineStr">
        <is>
          <t>Persoalan #2: Gunakan rumus STDEV.P pada rentang sel C28:C31 untuk menghitung nilai STDEV.P dari ke-4 data di samping!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STDEV.P(C28:C31)</f>
        <v/>
      </c>
      <c r="H29" s="29" t="inlineStr">
        <is>
          <t>Ketik: =STDEV.P(C28:C31)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Nama Unit / Kategori</t>
        </is>
      </c>
      <c r="C35" s="12" t="inlineStr">
        <is>
          <t>Nilai Data</t>
        </is>
      </c>
      <c r="E35" s="25" t="inlineStr">
        <is>
          <t>Persoalan #3: Gunakan rumus STDEV.P pada rentang sel C36:C39 untuk menghitung nilai STDEV.P dari ke-4 data di samping!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STDEV.P(C36:C39)</f>
        <v/>
      </c>
      <c r="H37" s="29" t="inlineStr">
        <is>
          <t>Ketik: =STDEV.P(C36:C39)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Nama Unit / Kategori</t>
        </is>
      </c>
      <c r="C43" s="12" t="inlineStr">
        <is>
          <t>Nilai Data</t>
        </is>
      </c>
      <c r="E43" s="25" t="inlineStr">
        <is>
          <t>Persoalan #4: Gunakan rumus STDEV.P pada rentang sel C44:C47 untuk menghitung nilai STDEV.P dari ke-4 data di samping!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STDEV.P(C44:C47)</f>
        <v/>
      </c>
      <c r="H45" s="29" t="inlineStr">
        <is>
          <t>Ketik: =STDEV.P(C44:C47)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Nama Unit / Kategori</t>
        </is>
      </c>
      <c r="C51" s="12" t="inlineStr">
        <is>
          <t>Nilai Data</t>
        </is>
      </c>
      <c r="E51" s="25" t="inlineStr">
        <is>
          <t>Persoalan #5: Gunakan rumus STDEV.P pada rentang sel C52:C55 untuk menghitung nilai STDEV.P dari ke-4 data di samping!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STDEV.P(C52:C55)</f>
        <v/>
      </c>
      <c r="H53" s="29" t="inlineStr">
        <is>
          <t>Ketik: =STDEV.P(C52:C55)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100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#099 — RUMUS EXCEL: STDEV.S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(STDEV.S)</t>
        </is>
      </c>
    </row>
    <row r="5" ht="21" customHeight="1">
      <c r="B5" s="12" t="inlineStr">
        <is>
          <t>Nama Rumus Excel</t>
        </is>
      </c>
      <c r="C5" s="13">
        <f>STDEV.S(...)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STDEV.S(range_data)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Menghitung Standar Deviasi sampel untuk melihat tingkat fluktuasi/ketidakstabilan data.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STDEV.S)</t>
        </is>
      </c>
    </row>
    <row r="10">
      <c r="B10" s="16" t="inlineStr">
        <is>
          <t>Nama Unit / Kategori</t>
        </is>
      </c>
      <c r="C10" s="16" t="inlineStr">
        <is>
          <t>Nilai Data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rumus STDEV.S pada rentang sel C11:C14 untuk menghitung nilai STDEV.S dari ke-4 data di samping!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'=STDEV.S(C11:C14)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STDEV.S(C11:C14)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STDEV.S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Nama Unit / Kategori</t>
        </is>
      </c>
      <c r="C19" s="12" t="inlineStr">
        <is>
          <t>Nilai Data</t>
        </is>
      </c>
      <c r="E19" s="25" t="inlineStr">
        <is>
          <t>Persoalan #1: Gunakan rumus STDEV.S pada rentang sel C20:C23 untuk menghitung nilai STDEV.S dari ke-4 data di samping!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STDEV.S(C20:C23)</f>
        <v/>
      </c>
      <c r="H21" s="29" t="inlineStr">
        <is>
          <t>Ketik: =STDEV.S(C20:C23)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Nama Unit / Kategori</t>
        </is>
      </c>
      <c r="C27" s="12" t="inlineStr">
        <is>
          <t>Nilai Data</t>
        </is>
      </c>
      <c r="E27" s="25" t="inlineStr">
        <is>
          <t>Persoalan #2: Gunakan rumus STDEV.S pada rentang sel C28:C31 untuk menghitung nilai STDEV.S dari ke-4 data di samping!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STDEV.S(C28:C31)</f>
        <v/>
      </c>
      <c r="H29" s="29" t="inlineStr">
        <is>
          <t>Ketik: =STDEV.S(C28:C31)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Nama Unit / Kategori</t>
        </is>
      </c>
      <c r="C35" s="12" t="inlineStr">
        <is>
          <t>Nilai Data</t>
        </is>
      </c>
      <c r="E35" s="25" t="inlineStr">
        <is>
          <t>Persoalan #3: Gunakan rumus STDEV.S pada rentang sel C36:C39 untuk menghitung nilai STDEV.S dari ke-4 data di samping!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STDEV.S(C36:C39)</f>
        <v/>
      </c>
      <c r="H37" s="29" t="inlineStr">
        <is>
          <t>Ketik: =STDEV.S(C36:C39)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Nama Unit / Kategori</t>
        </is>
      </c>
      <c r="C43" s="12" t="inlineStr">
        <is>
          <t>Nilai Data</t>
        </is>
      </c>
      <c r="E43" s="25" t="inlineStr">
        <is>
          <t>Persoalan #4: Gunakan rumus STDEV.S pada rentang sel C44:C47 untuk menghitung nilai STDEV.S dari ke-4 data di samping!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STDEV.S(C44:C47)</f>
        <v/>
      </c>
      <c r="H45" s="29" t="inlineStr">
        <is>
          <t>Ketik: =STDEV.S(C44:C47)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Nama Unit / Kategori</t>
        </is>
      </c>
      <c r="C51" s="12" t="inlineStr">
        <is>
          <t>Nilai Data</t>
        </is>
      </c>
      <c r="E51" s="25" t="inlineStr">
        <is>
          <t>Persoalan #5: Gunakan rumus STDEV.S pada rentang sel C52:C55 untuk menghitung nilai STDEV.S dari ke-4 data di samping!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STDEV.S(C52:C55)</f>
        <v/>
      </c>
      <c r="H53" s="29" t="inlineStr">
        <is>
          <t>Ketik: =STDEV.S(C52:C55)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101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#100 — RUMUS EXCEL: STDEVA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(STDEVA)</t>
        </is>
      </c>
    </row>
    <row r="5" ht="21" customHeight="1">
      <c r="B5" s="12" t="inlineStr">
        <is>
          <t>Nama Rumus Excel</t>
        </is>
      </c>
      <c r="C5" s="13">
        <f>STDEVA(...)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STDEVA(...)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Fungsi Statistik &amp; Analisis Data Excel (STDEVA) untuk mengolah distribusi, peluang, standar deviasi, dan pengujian hipotesis data secara presisi.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STDEVA)</t>
        </is>
      </c>
    </row>
    <row r="10">
      <c r="B10" s="16" t="inlineStr">
        <is>
          <t>Sampel Observasi</t>
        </is>
      </c>
      <c r="C10" s="16" t="inlineStr">
        <is>
          <t>Nilai Pengukuran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fungsi analisis statistik pada rentang data C11:C14 (Contoh rumus: =AVERAGE(C11:C14))!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STDEVA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Sampel Observasi</t>
        </is>
      </c>
      <c r="C19" s="12" t="inlineStr">
        <is>
          <t>Nilai Pengukuran</t>
        </is>
      </c>
      <c r="E19" s="25" t="inlineStr">
        <is>
          <t>Persoalan #1: Gunakan fungsi analisis statistik pada rentang data C20:C23 (Contoh rumus: =AVERAGE(C20:C23))!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AVERAGE(C20:C23)</f>
        <v/>
      </c>
      <c r="H21" s="29" t="inlineStr">
        <is>
          <t>Ketik: =AVERAGE(C20:C23)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Sampel Observasi</t>
        </is>
      </c>
      <c r="C27" s="12" t="inlineStr">
        <is>
          <t>Nilai Pengukuran</t>
        </is>
      </c>
      <c r="E27" s="25" t="inlineStr">
        <is>
          <t>Persoalan #2: Gunakan fungsi analisis statistik pada rentang data C28:C31 (Contoh rumus: =AVERAGE(C28:C31))!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AVERAGE(C28:C31)</f>
        <v/>
      </c>
      <c r="H29" s="29" t="inlineStr">
        <is>
          <t>Ketik: =AVERAGE(C28:C31)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Sampel Observasi</t>
        </is>
      </c>
      <c r="C35" s="12" t="inlineStr">
        <is>
          <t>Nilai Pengukuran</t>
        </is>
      </c>
      <c r="E35" s="25" t="inlineStr">
        <is>
          <t>Persoalan #3: Gunakan fungsi analisis statistik pada rentang data C36:C39 (Contoh rumus: =AVERAGE(C36:C39))!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AVERAGE(C36:C39)</f>
        <v/>
      </c>
      <c r="H37" s="29" t="inlineStr">
        <is>
          <t>Ketik: =AVERAGE(C36:C39)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Sampel Observasi</t>
        </is>
      </c>
      <c r="C43" s="12" t="inlineStr">
        <is>
          <t>Nilai Pengukuran</t>
        </is>
      </c>
      <c r="E43" s="25" t="inlineStr">
        <is>
          <t>Persoalan #4: Gunakan fungsi analisis statistik pada rentang data C44:C47 (Contoh rumus: =AVERAGE(C44:C47))!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AVERAGE(C44:C47)</f>
        <v/>
      </c>
      <c r="H45" s="29" t="inlineStr">
        <is>
          <t>Ketik: =AVERAGE(C44:C47)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Sampel Observasi</t>
        </is>
      </c>
      <c r="C51" s="12" t="inlineStr">
        <is>
          <t>Nilai Pengukuran</t>
        </is>
      </c>
      <c r="E51" s="25" t="inlineStr">
        <is>
          <t>Persoalan #5: Gunakan fungsi analisis statistik pada rentang data C52:C55 (Contoh rumus: =AVERAGE(C52:C55))!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AVERAGE(C52:C55)</f>
        <v/>
      </c>
      <c r="H53" s="29" t="inlineStr">
        <is>
          <t>Ketik: =AVERAGE(C52:C55)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102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#101 — RUMUS EXCEL: STDEVP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(STDEVP)</t>
        </is>
      </c>
    </row>
    <row r="5" ht="21" customHeight="1">
      <c r="B5" s="12" t="inlineStr">
        <is>
          <t>Nama Rumus Excel</t>
        </is>
      </c>
      <c r="C5" s="13">
        <f>STDEVP(...)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STDEVP(...)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Fungsi Statistik &amp; Analisis Data Excel (STDEVP) untuk mengolah distribusi, peluang, standar deviasi, dan pengujian hipotesis data secara presisi.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STDEVP)</t>
        </is>
      </c>
    </row>
    <row r="10">
      <c r="B10" s="16" t="inlineStr">
        <is>
          <t>Sampel Observasi</t>
        </is>
      </c>
      <c r="C10" s="16" t="inlineStr">
        <is>
          <t>Nilai Pengukuran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fungsi analisis statistik pada rentang data C11:C14 (Contoh rumus: =AVERAGE(C11:C14))!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STDEVP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Sampel Observasi</t>
        </is>
      </c>
      <c r="C19" s="12" t="inlineStr">
        <is>
          <t>Nilai Pengukuran</t>
        </is>
      </c>
      <c r="E19" s="25" t="inlineStr">
        <is>
          <t>Persoalan #1: Gunakan fungsi analisis statistik pada rentang data C20:C23 (Contoh rumus: =AVERAGE(C20:C23))!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AVERAGE(C20:C23)</f>
        <v/>
      </c>
      <c r="H21" s="29" t="inlineStr">
        <is>
          <t>Ketik: =AVERAGE(C20:C23)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Sampel Observasi</t>
        </is>
      </c>
      <c r="C27" s="12" t="inlineStr">
        <is>
          <t>Nilai Pengukuran</t>
        </is>
      </c>
      <c r="E27" s="25" t="inlineStr">
        <is>
          <t>Persoalan #2: Gunakan fungsi analisis statistik pada rentang data C28:C31 (Contoh rumus: =AVERAGE(C28:C31))!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AVERAGE(C28:C31)</f>
        <v/>
      </c>
      <c r="H29" s="29" t="inlineStr">
        <is>
          <t>Ketik: =AVERAGE(C28:C31)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Sampel Observasi</t>
        </is>
      </c>
      <c r="C35" s="12" t="inlineStr">
        <is>
          <t>Nilai Pengukuran</t>
        </is>
      </c>
      <c r="E35" s="25" t="inlineStr">
        <is>
          <t>Persoalan #3: Gunakan fungsi analisis statistik pada rentang data C36:C39 (Contoh rumus: =AVERAGE(C36:C39))!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AVERAGE(C36:C39)</f>
        <v/>
      </c>
      <c r="H37" s="29" t="inlineStr">
        <is>
          <t>Ketik: =AVERAGE(C36:C39)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Sampel Observasi</t>
        </is>
      </c>
      <c r="C43" s="12" t="inlineStr">
        <is>
          <t>Nilai Pengukuran</t>
        </is>
      </c>
      <c r="E43" s="25" t="inlineStr">
        <is>
          <t>Persoalan #4: Gunakan fungsi analisis statistik pada rentang data C44:C47 (Contoh rumus: =AVERAGE(C44:C47))!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AVERAGE(C44:C47)</f>
        <v/>
      </c>
      <c r="H45" s="29" t="inlineStr">
        <is>
          <t>Ketik: =AVERAGE(C44:C47)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Sampel Observasi</t>
        </is>
      </c>
      <c r="C51" s="12" t="inlineStr">
        <is>
          <t>Nilai Pengukuran</t>
        </is>
      </c>
      <c r="E51" s="25" t="inlineStr">
        <is>
          <t>Persoalan #5: Gunakan fungsi analisis statistik pada rentang data C52:C55 (Contoh rumus: =AVERAGE(C52:C55))!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AVERAGE(C52:C55)</f>
        <v/>
      </c>
      <c r="H53" s="29" t="inlineStr">
        <is>
          <t>Ketik: =AVERAGE(C52:C55)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103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#102 — RUMUS EXCEL: STDEVPA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(STDEVPA)</t>
        </is>
      </c>
    </row>
    <row r="5" ht="21" customHeight="1">
      <c r="B5" s="12" t="inlineStr">
        <is>
          <t>Nama Rumus Excel</t>
        </is>
      </c>
      <c r="C5" s="13">
        <f>STDEVPA(...)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STDEVPA(...)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Fungsi Statistik &amp; Analisis Data Excel (STDEVPA) untuk mengolah distribusi, peluang, standar deviasi, dan pengujian hipotesis data secara presisi.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STDEVPA)</t>
        </is>
      </c>
    </row>
    <row r="10">
      <c r="B10" s="16" t="inlineStr">
        <is>
          <t>Sampel Observasi</t>
        </is>
      </c>
      <c r="C10" s="16" t="inlineStr">
        <is>
          <t>Nilai Pengukuran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fungsi analisis statistik pada rentang data C11:C14 (Contoh rumus: =AVERAGE(C11:C14))!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STDEVPA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Sampel Observasi</t>
        </is>
      </c>
      <c r="C19" s="12" t="inlineStr">
        <is>
          <t>Nilai Pengukuran</t>
        </is>
      </c>
      <c r="E19" s="25" t="inlineStr">
        <is>
          <t>Persoalan #1: Gunakan fungsi analisis statistik pada rentang data C20:C23 (Contoh rumus: =AVERAGE(C20:C23))!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AVERAGE(C20:C23)</f>
        <v/>
      </c>
      <c r="H21" s="29" t="inlineStr">
        <is>
          <t>Ketik: =AVERAGE(C20:C23)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Sampel Observasi</t>
        </is>
      </c>
      <c r="C27" s="12" t="inlineStr">
        <is>
          <t>Nilai Pengukuran</t>
        </is>
      </c>
      <c r="E27" s="25" t="inlineStr">
        <is>
          <t>Persoalan #2: Gunakan fungsi analisis statistik pada rentang data C28:C31 (Contoh rumus: =AVERAGE(C28:C31))!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AVERAGE(C28:C31)</f>
        <v/>
      </c>
      <c r="H29" s="29" t="inlineStr">
        <is>
          <t>Ketik: =AVERAGE(C28:C31)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Sampel Observasi</t>
        </is>
      </c>
      <c r="C35" s="12" t="inlineStr">
        <is>
          <t>Nilai Pengukuran</t>
        </is>
      </c>
      <c r="E35" s="25" t="inlineStr">
        <is>
          <t>Persoalan #3: Gunakan fungsi analisis statistik pada rentang data C36:C39 (Contoh rumus: =AVERAGE(C36:C39))!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AVERAGE(C36:C39)</f>
        <v/>
      </c>
      <c r="H37" s="29" t="inlineStr">
        <is>
          <t>Ketik: =AVERAGE(C36:C39)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Sampel Observasi</t>
        </is>
      </c>
      <c r="C43" s="12" t="inlineStr">
        <is>
          <t>Nilai Pengukuran</t>
        </is>
      </c>
      <c r="E43" s="25" t="inlineStr">
        <is>
          <t>Persoalan #4: Gunakan fungsi analisis statistik pada rentang data C44:C47 (Contoh rumus: =AVERAGE(C44:C47))!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AVERAGE(C44:C47)</f>
        <v/>
      </c>
      <c r="H45" s="29" t="inlineStr">
        <is>
          <t>Ketik: =AVERAGE(C44:C47)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Sampel Observasi</t>
        </is>
      </c>
      <c r="C51" s="12" t="inlineStr">
        <is>
          <t>Nilai Pengukuran</t>
        </is>
      </c>
      <c r="E51" s="25" t="inlineStr">
        <is>
          <t>Persoalan #5: Gunakan fungsi analisis statistik pada rentang data C52:C55 (Contoh rumus: =AVERAGE(C52:C55))!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AVERAGE(C52:C55)</f>
        <v/>
      </c>
      <c r="H53" s="29" t="inlineStr">
        <is>
          <t>Ketik: =AVERAGE(C52:C55)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104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#103 — RUMUS EXCEL: STEYX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(STEYX)</t>
        </is>
      </c>
    </row>
    <row r="5" ht="21" customHeight="1">
      <c r="B5" s="12" t="inlineStr">
        <is>
          <t>Nama Rumus Excel</t>
        </is>
      </c>
      <c r="C5" s="13">
        <f>STEYX(...)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STEYX(range_y, range_x)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Menghitung standar error dari prediksi regresi Y terhadap X.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STEYX)</t>
        </is>
      </c>
    </row>
    <row r="10">
      <c r="B10" s="16" t="inlineStr">
        <is>
          <t>Variabel X (Biaya)</t>
        </is>
      </c>
      <c r="C10" s="16" t="inlineStr">
        <is>
          <t>Variabel Y (Hasil)</t>
        </is>
      </c>
      <c r="E10" s="17" t="inlineStr">
        <is>
          <t>💡 CONTOH RUMUS YANG SUDAH TERPASANG AKTIF:</t>
        </is>
      </c>
    </row>
    <row r="11">
      <c r="B11" s="18" t="n">
        <v>10</v>
      </c>
      <c r="C11" s="18" t="n">
        <v>15</v>
      </c>
      <c r="E11" s="19" t="inlineStr">
        <is>
          <t>Kasus Contoh:</t>
        </is>
      </c>
      <c r="F11" s="20" t="inlineStr">
        <is>
          <t>Analisis hubungan variabel X (B11:B14) dan variabel Y (C11:C14) menggunakan rumus STEYX!</t>
        </is>
      </c>
    </row>
    <row r="12">
      <c r="B12" s="18" t="n">
        <v>20</v>
      </c>
      <c r="C12" s="18" t="n">
        <v>28</v>
      </c>
      <c r="E12" s="19" t="inlineStr">
        <is>
          <t>Rumus yang Diketik:</t>
        </is>
      </c>
      <c r="F12" s="21" t="inlineStr">
        <is>
          <t>'=STEYX(B11:B14, C11:C14)</t>
        </is>
      </c>
    </row>
    <row r="13">
      <c r="B13" s="18" t="n">
        <v>30</v>
      </c>
      <c r="C13" s="18" t="n">
        <v>42</v>
      </c>
      <c r="E13" s="19" t="inlineStr">
        <is>
          <t>Hasil Otomatis Excel:</t>
        </is>
      </c>
      <c r="F13" s="22">
        <f>STEYX(B11:B14, C11:C14)</f>
        <v/>
      </c>
    </row>
    <row r="14">
      <c r="B14" s="18" t="n">
        <v>40</v>
      </c>
      <c r="C14" s="18" t="n">
        <v>55</v>
      </c>
    </row>
    <row r="16" ht="26" customHeight="1">
      <c r="B16" s="23" t="inlineStr">
        <is>
          <t>3️⃣ 5 PERSOALAN DUNIA NYATA (KETIK RUMUS STEYX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Variabel X (Biaya)</t>
        </is>
      </c>
      <c r="C19" s="12" t="inlineStr">
        <is>
          <t>Variabel Y (Hasil)</t>
        </is>
      </c>
      <c r="E19" s="25" t="inlineStr">
        <is>
          <t>Persoalan #1: Analisis hubungan variabel X (B20:B23) dan variabel Y (C20:C23) menggunakan rumus STEYX!</t>
        </is>
      </c>
    </row>
    <row r="20">
      <c r="B20" s="18" t="n">
        <v>10</v>
      </c>
      <c r="C20" s="18" t="n">
        <v>15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n">
        <v>20</v>
      </c>
      <c r="C21" s="18" t="n">
        <v>28</v>
      </c>
      <c r="E21" s="26" t="n"/>
      <c r="F21" s="27">
        <f>IF(ISBLANK(E21), "⏳ Ketik rumus di sel kuning E21", IF(E21=G21, "✅ BENAR! LUAR BIASA!", "❌ Belum Tepat, Cek Kunci"))</f>
        <v/>
      </c>
      <c r="G21" s="28">
        <f>STEYX(B20:B23, C20:C23)</f>
        <v/>
      </c>
      <c r="H21" s="29" t="inlineStr">
        <is>
          <t>Ketik: =STEYX(B20:B23, C20:C23)</t>
        </is>
      </c>
    </row>
    <row r="22">
      <c r="B22" s="18" t="n">
        <v>30</v>
      </c>
      <c r="C22" s="18" t="n">
        <v>42</v>
      </c>
    </row>
    <row r="23">
      <c r="B23" s="18" t="n">
        <v>40</v>
      </c>
      <c r="C23" s="18" t="n">
        <v>55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Variabel X (Biaya)</t>
        </is>
      </c>
      <c r="C27" s="12" t="inlineStr">
        <is>
          <t>Variabel Y (Hasil)</t>
        </is>
      </c>
      <c r="E27" s="25" t="inlineStr">
        <is>
          <t>Persoalan #2: Analisis hubungan variabel X (B28:B31) dan variabel Y (C28:C31) menggunakan rumus STEYX!</t>
        </is>
      </c>
    </row>
    <row r="28">
      <c r="B28" s="18" t="n">
        <v>20</v>
      </c>
      <c r="C28" s="18" t="n">
        <v>30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n">
        <v>40</v>
      </c>
      <c r="C29" s="18" t="n">
        <v>56</v>
      </c>
      <c r="E29" s="26" t="n"/>
      <c r="F29" s="27">
        <f>IF(ISBLANK(E29), "⏳ Ketik rumus di sel kuning E29", IF(E29=G29, "✅ BENAR! LUAR BIASA!", "❌ Belum Tepat, Cek Kunci"))</f>
        <v/>
      </c>
      <c r="G29" s="28">
        <f>STEYX(B28:B31, C28:C31)</f>
        <v/>
      </c>
      <c r="H29" s="29" t="inlineStr">
        <is>
          <t>Ketik: =STEYX(B28:B31, C28:C31)</t>
        </is>
      </c>
    </row>
    <row r="30">
      <c r="B30" s="18" t="n">
        <v>60</v>
      </c>
      <c r="C30" s="18" t="n">
        <v>84</v>
      </c>
    </row>
    <row r="31">
      <c r="B31" s="18" t="n">
        <v>80</v>
      </c>
      <c r="C31" s="18" t="n">
        <v>110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Variabel X (Biaya)</t>
        </is>
      </c>
      <c r="C35" s="12" t="inlineStr">
        <is>
          <t>Variabel Y (Hasil)</t>
        </is>
      </c>
      <c r="E35" s="25" t="inlineStr">
        <is>
          <t>Persoalan #3: Analisis hubungan variabel X (B36:B39) dan variabel Y (C36:C39) menggunakan rumus STEYX!</t>
        </is>
      </c>
    </row>
    <row r="36">
      <c r="B36" s="18" t="n">
        <v>30</v>
      </c>
      <c r="C36" s="18" t="n">
        <v>45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n">
        <v>60</v>
      </c>
      <c r="C37" s="18" t="n">
        <v>84</v>
      </c>
      <c r="E37" s="26" t="n"/>
      <c r="F37" s="27">
        <f>IF(ISBLANK(E37), "⏳ Ketik rumus di sel kuning E37", IF(E37=G37, "✅ BENAR! LUAR BIASA!", "❌ Belum Tepat, Cek Kunci"))</f>
        <v/>
      </c>
      <c r="G37" s="28">
        <f>STEYX(B36:B39, C36:C39)</f>
        <v/>
      </c>
      <c r="H37" s="29" t="inlineStr">
        <is>
          <t>Ketik: =STEYX(B36:B39, C36:C39)</t>
        </is>
      </c>
    </row>
    <row r="38">
      <c r="B38" s="18" t="n">
        <v>90</v>
      </c>
      <c r="C38" s="18" t="n">
        <v>126</v>
      </c>
    </row>
    <row r="39">
      <c r="B39" s="18" t="n">
        <v>120</v>
      </c>
      <c r="C39" s="18" t="n">
        <v>165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Variabel X (Biaya)</t>
        </is>
      </c>
      <c r="C43" s="12" t="inlineStr">
        <is>
          <t>Variabel Y (Hasil)</t>
        </is>
      </c>
      <c r="E43" s="25" t="inlineStr">
        <is>
          <t>Persoalan #4: Analisis hubungan variabel X (B44:B47) dan variabel Y (C44:C47) menggunakan rumus STEYX!</t>
        </is>
      </c>
    </row>
    <row r="44">
      <c r="B44" s="18" t="n">
        <v>40</v>
      </c>
      <c r="C44" s="18" t="n">
        <v>60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n">
        <v>80</v>
      </c>
      <c r="C45" s="18" t="n">
        <v>112</v>
      </c>
      <c r="E45" s="26" t="n"/>
      <c r="F45" s="27">
        <f>IF(ISBLANK(E45), "⏳ Ketik rumus di sel kuning E45", IF(E45=G45, "✅ BENAR! LUAR BIASA!", "❌ Belum Tepat, Cek Kunci"))</f>
        <v/>
      </c>
      <c r="G45" s="28">
        <f>STEYX(B44:B47, C44:C47)</f>
        <v/>
      </c>
      <c r="H45" s="29" t="inlineStr">
        <is>
          <t>Ketik: =STEYX(B44:B47, C44:C47)</t>
        </is>
      </c>
    </row>
    <row r="46">
      <c r="B46" s="18" t="n">
        <v>120</v>
      </c>
      <c r="C46" s="18" t="n">
        <v>168</v>
      </c>
    </row>
    <row r="47">
      <c r="B47" s="18" t="n">
        <v>160</v>
      </c>
      <c r="C47" s="18" t="n">
        <v>220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Variabel X (Biaya)</t>
        </is>
      </c>
      <c r="C51" s="12" t="inlineStr">
        <is>
          <t>Variabel Y (Hasil)</t>
        </is>
      </c>
      <c r="E51" s="25" t="inlineStr">
        <is>
          <t>Persoalan #5: Analisis hubungan variabel X (B52:B55) dan variabel Y (C52:C55) menggunakan rumus STEYX!</t>
        </is>
      </c>
    </row>
    <row r="52">
      <c r="B52" s="18" t="n">
        <v>50</v>
      </c>
      <c r="C52" s="18" t="n">
        <v>75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n">
        <v>100</v>
      </c>
      <c r="C53" s="18" t="n">
        <v>140</v>
      </c>
      <c r="E53" s="26" t="n"/>
      <c r="F53" s="27">
        <f>IF(ISBLANK(E53), "⏳ Ketik rumus di sel kuning E53", IF(E53=G53, "✅ BENAR! LUAR BIASA!", "❌ Belum Tepat, Cek Kunci"))</f>
        <v/>
      </c>
      <c r="G53" s="28">
        <f>STEYX(B52:B55, C52:C55)</f>
        <v/>
      </c>
      <c r="H53" s="29" t="inlineStr">
        <is>
          <t>Ketik: =STEYX(B52:B55, C52:C55)</t>
        </is>
      </c>
    </row>
    <row r="54">
      <c r="B54" s="18" t="n">
        <v>150</v>
      </c>
      <c r="C54" s="18" t="n">
        <v>210</v>
      </c>
    </row>
    <row r="55">
      <c r="B55" s="18" t="n">
        <v>200</v>
      </c>
      <c r="C55" s="18" t="n">
        <v>275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105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#104 — RUMUS EXCEL: T.DIST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(T.DIST)</t>
        </is>
      </c>
    </row>
    <row r="5" ht="21" customHeight="1">
      <c r="B5" s="12" t="inlineStr">
        <is>
          <t>Nama Rumus Excel</t>
        </is>
      </c>
      <c r="C5" s="13">
        <f>T.DIST(...)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T.DIST(...)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Fungsi Statistik &amp; Analisis Data Excel (T.DIST) untuk mengolah distribusi, peluang, standar deviasi, dan pengujian hipotesis data secara presisi.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T.DIST)</t>
        </is>
      </c>
    </row>
    <row r="10">
      <c r="B10" s="16" t="inlineStr">
        <is>
          <t>Sampel Observasi</t>
        </is>
      </c>
      <c r="C10" s="16" t="inlineStr">
        <is>
          <t>Nilai Pengukuran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fungsi analisis statistik pada rentang data C11:C14 (Contoh rumus: =AVERAGE(C11:C14))!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T.DIST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Sampel Observasi</t>
        </is>
      </c>
      <c r="C19" s="12" t="inlineStr">
        <is>
          <t>Nilai Pengukuran</t>
        </is>
      </c>
      <c r="E19" s="25" t="inlineStr">
        <is>
          <t>Persoalan #1: Gunakan fungsi analisis statistik pada rentang data C20:C23 (Contoh rumus: =AVERAGE(C20:C23))!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AVERAGE(C20:C23)</f>
        <v/>
      </c>
      <c r="H21" s="29" t="inlineStr">
        <is>
          <t>Ketik: =AVERAGE(C20:C23)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Sampel Observasi</t>
        </is>
      </c>
      <c r="C27" s="12" t="inlineStr">
        <is>
          <t>Nilai Pengukuran</t>
        </is>
      </c>
      <c r="E27" s="25" t="inlineStr">
        <is>
          <t>Persoalan #2: Gunakan fungsi analisis statistik pada rentang data C28:C31 (Contoh rumus: =AVERAGE(C28:C31))!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AVERAGE(C28:C31)</f>
        <v/>
      </c>
      <c r="H29" s="29" t="inlineStr">
        <is>
          <t>Ketik: =AVERAGE(C28:C31)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Sampel Observasi</t>
        </is>
      </c>
      <c r="C35" s="12" t="inlineStr">
        <is>
          <t>Nilai Pengukuran</t>
        </is>
      </c>
      <c r="E35" s="25" t="inlineStr">
        <is>
          <t>Persoalan #3: Gunakan fungsi analisis statistik pada rentang data C36:C39 (Contoh rumus: =AVERAGE(C36:C39))!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AVERAGE(C36:C39)</f>
        <v/>
      </c>
      <c r="H37" s="29" t="inlineStr">
        <is>
          <t>Ketik: =AVERAGE(C36:C39)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Sampel Observasi</t>
        </is>
      </c>
      <c r="C43" s="12" t="inlineStr">
        <is>
          <t>Nilai Pengukuran</t>
        </is>
      </c>
      <c r="E43" s="25" t="inlineStr">
        <is>
          <t>Persoalan #4: Gunakan fungsi analisis statistik pada rentang data C44:C47 (Contoh rumus: =AVERAGE(C44:C47))!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AVERAGE(C44:C47)</f>
        <v/>
      </c>
      <c r="H45" s="29" t="inlineStr">
        <is>
          <t>Ketik: =AVERAGE(C44:C47)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Sampel Observasi</t>
        </is>
      </c>
      <c r="C51" s="12" t="inlineStr">
        <is>
          <t>Nilai Pengukuran</t>
        </is>
      </c>
      <c r="E51" s="25" t="inlineStr">
        <is>
          <t>Persoalan #5: Gunakan fungsi analisis statistik pada rentang data C52:C55 (Contoh rumus: =AVERAGE(C52:C55))!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AVERAGE(C52:C55)</f>
        <v/>
      </c>
      <c r="H53" s="29" t="inlineStr">
        <is>
          <t>Ketik: =AVERAGE(C52:C55)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106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#105 — RUMUS EXCEL: T.DIST.2T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(T.DIST.2T)</t>
        </is>
      </c>
    </row>
    <row r="5" ht="21" customHeight="1">
      <c r="B5" s="12" t="inlineStr">
        <is>
          <t>Nama Rumus Excel</t>
        </is>
      </c>
      <c r="C5" s="13">
        <f>T.DIST.2T(...)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T.DIST.2T(...)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Fungsi Statistik &amp; Analisis Data Excel (T.DIST.2T) untuk mengolah distribusi, peluang, standar deviasi, dan pengujian hipotesis data secara presisi.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T.DIST.2T)</t>
        </is>
      </c>
    </row>
    <row r="10">
      <c r="B10" s="16" t="inlineStr">
        <is>
          <t>Sampel Observasi</t>
        </is>
      </c>
      <c r="C10" s="16" t="inlineStr">
        <is>
          <t>Nilai Pengukuran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fungsi analisis statistik pada rentang data C11:C14 (Contoh rumus: =AVERAGE(C11:C14))!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T.DIST.2T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Sampel Observasi</t>
        </is>
      </c>
      <c r="C19" s="12" t="inlineStr">
        <is>
          <t>Nilai Pengukuran</t>
        </is>
      </c>
      <c r="E19" s="25" t="inlineStr">
        <is>
          <t>Persoalan #1: Gunakan fungsi analisis statistik pada rentang data C20:C23 (Contoh rumus: =AVERAGE(C20:C23))!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AVERAGE(C20:C23)</f>
        <v/>
      </c>
      <c r="H21" s="29" t="inlineStr">
        <is>
          <t>Ketik: =AVERAGE(C20:C23)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Sampel Observasi</t>
        </is>
      </c>
      <c r="C27" s="12" t="inlineStr">
        <is>
          <t>Nilai Pengukuran</t>
        </is>
      </c>
      <c r="E27" s="25" t="inlineStr">
        <is>
          <t>Persoalan #2: Gunakan fungsi analisis statistik pada rentang data C28:C31 (Contoh rumus: =AVERAGE(C28:C31))!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AVERAGE(C28:C31)</f>
        <v/>
      </c>
      <c r="H29" s="29" t="inlineStr">
        <is>
          <t>Ketik: =AVERAGE(C28:C31)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Sampel Observasi</t>
        </is>
      </c>
      <c r="C35" s="12" t="inlineStr">
        <is>
          <t>Nilai Pengukuran</t>
        </is>
      </c>
      <c r="E35" s="25" t="inlineStr">
        <is>
          <t>Persoalan #3: Gunakan fungsi analisis statistik pada rentang data C36:C39 (Contoh rumus: =AVERAGE(C36:C39))!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AVERAGE(C36:C39)</f>
        <v/>
      </c>
      <c r="H37" s="29" t="inlineStr">
        <is>
          <t>Ketik: =AVERAGE(C36:C39)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Sampel Observasi</t>
        </is>
      </c>
      <c r="C43" s="12" t="inlineStr">
        <is>
          <t>Nilai Pengukuran</t>
        </is>
      </c>
      <c r="E43" s="25" t="inlineStr">
        <is>
          <t>Persoalan #4: Gunakan fungsi analisis statistik pada rentang data C44:C47 (Contoh rumus: =AVERAGE(C44:C47))!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AVERAGE(C44:C47)</f>
        <v/>
      </c>
      <c r="H45" s="29" t="inlineStr">
        <is>
          <t>Ketik: =AVERAGE(C44:C47)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Sampel Observasi</t>
        </is>
      </c>
      <c r="C51" s="12" t="inlineStr">
        <is>
          <t>Nilai Pengukuran</t>
        </is>
      </c>
      <c r="E51" s="25" t="inlineStr">
        <is>
          <t>Persoalan #5: Gunakan fungsi analisis statistik pada rentang data C52:C55 (Contoh rumus: =AVERAGE(C52:C55))!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AVERAGE(C52:C55)</f>
        <v/>
      </c>
      <c r="H53" s="29" t="inlineStr">
        <is>
          <t>Ketik: =AVERAGE(C52:C55)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107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#106 — RUMUS EXCEL: T.DIST.RT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(T.DIST.RT)</t>
        </is>
      </c>
    </row>
    <row r="5" ht="21" customHeight="1">
      <c r="B5" s="12" t="inlineStr">
        <is>
          <t>Nama Rumus Excel</t>
        </is>
      </c>
      <c r="C5" s="13">
        <f>T.DIST.RT(...)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T.DIST.RT(...)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Fungsi Statistik &amp; Analisis Data Excel (T.DIST.RT) untuk mengolah distribusi, peluang, standar deviasi, dan pengujian hipotesis data secara presisi.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T.DIST.RT)</t>
        </is>
      </c>
    </row>
    <row r="10">
      <c r="B10" s="16" t="inlineStr">
        <is>
          <t>Sampel Observasi</t>
        </is>
      </c>
      <c r="C10" s="16" t="inlineStr">
        <is>
          <t>Nilai Pengukuran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fungsi analisis statistik pada rentang data C11:C14 (Contoh rumus: =AVERAGE(C11:C14))!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T.DIST.RT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Sampel Observasi</t>
        </is>
      </c>
      <c r="C19" s="12" t="inlineStr">
        <is>
          <t>Nilai Pengukuran</t>
        </is>
      </c>
      <c r="E19" s="25" t="inlineStr">
        <is>
          <t>Persoalan #1: Gunakan fungsi analisis statistik pada rentang data C20:C23 (Contoh rumus: =AVERAGE(C20:C23))!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AVERAGE(C20:C23)</f>
        <v/>
      </c>
      <c r="H21" s="29" t="inlineStr">
        <is>
          <t>Ketik: =AVERAGE(C20:C23)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Sampel Observasi</t>
        </is>
      </c>
      <c r="C27" s="12" t="inlineStr">
        <is>
          <t>Nilai Pengukuran</t>
        </is>
      </c>
      <c r="E27" s="25" t="inlineStr">
        <is>
          <t>Persoalan #2: Gunakan fungsi analisis statistik pada rentang data C28:C31 (Contoh rumus: =AVERAGE(C28:C31))!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AVERAGE(C28:C31)</f>
        <v/>
      </c>
      <c r="H29" s="29" t="inlineStr">
        <is>
          <t>Ketik: =AVERAGE(C28:C31)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Sampel Observasi</t>
        </is>
      </c>
      <c r="C35" s="12" t="inlineStr">
        <is>
          <t>Nilai Pengukuran</t>
        </is>
      </c>
      <c r="E35" s="25" t="inlineStr">
        <is>
          <t>Persoalan #3: Gunakan fungsi analisis statistik pada rentang data C36:C39 (Contoh rumus: =AVERAGE(C36:C39))!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AVERAGE(C36:C39)</f>
        <v/>
      </c>
      <c r="H37" s="29" t="inlineStr">
        <is>
          <t>Ketik: =AVERAGE(C36:C39)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Sampel Observasi</t>
        </is>
      </c>
      <c r="C43" s="12" t="inlineStr">
        <is>
          <t>Nilai Pengukuran</t>
        </is>
      </c>
      <c r="E43" s="25" t="inlineStr">
        <is>
          <t>Persoalan #4: Gunakan fungsi analisis statistik pada rentang data C44:C47 (Contoh rumus: =AVERAGE(C44:C47))!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AVERAGE(C44:C47)</f>
        <v/>
      </c>
      <c r="H45" s="29" t="inlineStr">
        <is>
          <t>Ketik: =AVERAGE(C44:C47)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Sampel Observasi</t>
        </is>
      </c>
      <c r="C51" s="12" t="inlineStr">
        <is>
          <t>Nilai Pengukuran</t>
        </is>
      </c>
      <c r="E51" s="25" t="inlineStr">
        <is>
          <t>Persoalan #5: Gunakan fungsi analisis statistik pada rentang data C52:C55 (Contoh rumus: =AVERAGE(C52:C55))!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AVERAGE(C52:C55)</f>
        <v/>
      </c>
      <c r="H53" s="29" t="inlineStr">
        <is>
          <t>Ketik: =AVERAGE(C52:C55)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108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#107 — RUMUS EXCEL: T.INV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(T.INV)</t>
        </is>
      </c>
    </row>
    <row r="5" ht="21" customHeight="1">
      <c r="B5" s="12" t="inlineStr">
        <is>
          <t>Nama Rumus Excel</t>
        </is>
      </c>
      <c r="C5" s="13">
        <f>T.INV(...)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T.INV(...)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Fungsi Statistik &amp; Analisis Data Excel (T.INV) untuk mengolah distribusi, peluang, standar deviasi, dan pengujian hipotesis data secara presisi.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T.INV)</t>
        </is>
      </c>
    </row>
    <row r="10">
      <c r="B10" s="16" t="inlineStr">
        <is>
          <t>Sampel Observasi</t>
        </is>
      </c>
      <c r="C10" s="16" t="inlineStr">
        <is>
          <t>Nilai Pengukuran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fungsi analisis statistik pada rentang data C11:C14 (Contoh rumus: =AVERAGE(C11:C14))!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T.INV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Sampel Observasi</t>
        </is>
      </c>
      <c r="C19" s="12" t="inlineStr">
        <is>
          <t>Nilai Pengukuran</t>
        </is>
      </c>
      <c r="E19" s="25" t="inlineStr">
        <is>
          <t>Persoalan #1: Gunakan fungsi analisis statistik pada rentang data C20:C23 (Contoh rumus: =AVERAGE(C20:C23))!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AVERAGE(C20:C23)</f>
        <v/>
      </c>
      <c r="H21" s="29" t="inlineStr">
        <is>
          <t>Ketik: =AVERAGE(C20:C23)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Sampel Observasi</t>
        </is>
      </c>
      <c r="C27" s="12" t="inlineStr">
        <is>
          <t>Nilai Pengukuran</t>
        </is>
      </c>
      <c r="E27" s="25" t="inlineStr">
        <is>
          <t>Persoalan #2: Gunakan fungsi analisis statistik pada rentang data C28:C31 (Contoh rumus: =AVERAGE(C28:C31))!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AVERAGE(C28:C31)</f>
        <v/>
      </c>
      <c r="H29" s="29" t="inlineStr">
        <is>
          <t>Ketik: =AVERAGE(C28:C31)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Sampel Observasi</t>
        </is>
      </c>
      <c r="C35" s="12" t="inlineStr">
        <is>
          <t>Nilai Pengukuran</t>
        </is>
      </c>
      <c r="E35" s="25" t="inlineStr">
        <is>
          <t>Persoalan #3: Gunakan fungsi analisis statistik pada rentang data C36:C39 (Contoh rumus: =AVERAGE(C36:C39))!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AVERAGE(C36:C39)</f>
        <v/>
      </c>
      <c r="H37" s="29" t="inlineStr">
        <is>
          <t>Ketik: =AVERAGE(C36:C39)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Sampel Observasi</t>
        </is>
      </c>
      <c r="C43" s="12" t="inlineStr">
        <is>
          <t>Nilai Pengukuran</t>
        </is>
      </c>
      <c r="E43" s="25" t="inlineStr">
        <is>
          <t>Persoalan #4: Gunakan fungsi analisis statistik pada rentang data C44:C47 (Contoh rumus: =AVERAGE(C44:C47))!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AVERAGE(C44:C47)</f>
        <v/>
      </c>
      <c r="H45" s="29" t="inlineStr">
        <is>
          <t>Ketik: =AVERAGE(C44:C47)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Sampel Observasi</t>
        </is>
      </c>
      <c r="C51" s="12" t="inlineStr">
        <is>
          <t>Nilai Pengukuran</t>
        </is>
      </c>
      <c r="E51" s="25" t="inlineStr">
        <is>
          <t>Persoalan #5: Gunakan fungsi analisis statistik pada rentang data C52:C55 (Contoh rumus: =AVERAGE(C52:C55))!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AVERAGE(C52:C55)</f>
        <v/>
      </c>
      <c r="H53" s="29" t="inlineStr">
        <is>
          <t>Ketik: =AVERAGE(C52:C55)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109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#108 — RUMUS EXCEL: T.INV.2T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(T.INV.2T)</t>
        </is>
      </c>
    </row>
    <row r="5" ht="21" customHeight="1">
      <c r="B5" s="12" t="inlineStr">
        <is>
          <t>Nama Rumus Excel</t>
        </is>
      </c>
      <c r="C5" s="13">
        <f>T.INV.2T(...)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T.INV.2T(...)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Fungsi Statistik &amp; Analisis Data Excel (T.INV.2T) untuk mengolah distribusi, peluang, standar deviasi, dan pengujian hipotesis data secara presisi.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T.INV.2T)</t>
        </is>
      </c>
    </row>
    <row r="10">
      <c r="B10" s="16" t="inlineStr">
        <is>
          <t>Sampel Observasi</t>
        </is>
      </c>
      <c r="C10" s="16" t="inlineStr">
        <is>
          <t>Nilai Pengukuran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fungsi analisis statistik pada rentang data C11:C14 (Contoh rumus: =AVERAGE(C11:C14))!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T.INV.2T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Sampel Observasi</t>
        </is>
      </c>
      <c r="C19" s="12" t="inlineStr">
        <is>
          <t>Nilai Pengukuran</t>
        </is>
      </c>
      <c r="E19" s="25" t="inlineStr">
        <is>
          <t>Persoalan #1: Gunakan fungsi analisis statistik pada rentang data C20:C23 (Contoh rumus: =AVERAGE(C20:C23))!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AVERAGE(C20:C23)</f>
        <v/>
      </c>
      <c r="H21" s="29" t="inlineStr">
        <is>
          <t>Ketik: =AVERAGE(C20:C23)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Sampel Observasi</t>
        </is>
      </c>
      <c r="C27" s="12" t="inlineStr">
        <is>
          <t>Nilai Pengukuran</t>
        </is>
      </c>
      <c r="E27" s="25" t="inlineStr">
        <is>
          <t>Persoalan #2: Gunakan fungsi analisis statistik pada rentang data C28:C31 (Contoh rumus: =AVERAGE(C28:C31))!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AVERAGE(C28:C31)</f>
        <v/>
      </c>
      <c r="H29" s="29" t="inlineStr">
        <is>
          <t>Ketik: =AVERAGE(C28:C31)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Sampel Observasi</t>
        </is>
      </c>
      <c r="C35" s="12" t="inlineStr">
        <is>
          <t>Nilai Pengukuran</t>
        </is>
      </c>
      <c r="E35" s="25" t="inlineStr">
        <is>
          <t>Persoalan #3: Gunakan fungsi analisis statistik pada rentang data C36:C39 (Contoh rumus: =AVERAGE(C36:C39))!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AVERAGE(C36:C39)</f>
        <v/>
      </c>
      <c r="H37" s="29" t="inlineStr">
        <is>
          <t>Ketik: =AVERAGE(C36:C39)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Sampel Observasi</t>
        </is>
      </c>
      <c r="C43" s="12" t="inlineStr">
        <is>
          <t>Nilai Pengukuran</t>
        </is>
      </c>
      <c r="E43" s="25" t="inlineStr">
        <is>
          <t>Persoalan #4: Gunakan fungsi analisis statistik pada rentang data C44:C47 (Contoh rumus: =AVERAGE(C44:C47))!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AVERAGE(C44:C47)</f>
        <v/>
      </c>
      <c r="H45" s="29" t="inlineStr">
        <is>
          <t>Ketik: =AVERAGE(C44:C47)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Sampel Observasi</t>
        </is>
      </c>
      <c r="C51" s="12" t="inlineStr">
        <is>
          <t>Nilai Pengukuran</t>
        </is>
      </c>
      <c r="E51" s="25" t="inlineStr">
        <is>
          <t>Persoalan #5: Gunakan fungsi analisis statistik pada rentang data C52:C55 (Contoh rumus: =AVERAGE(C52:C55))!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AVERAGE(C52:C55)</f>
        <v/>
      </c>
      <c r="H53" s="29" t="inlineStr">
        <is>
          <t>Ketik: =AVERAGE(C52:C55)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110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#109 — RUMUS EXCEL: TREND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(TREND)</t>
        </is>
      </c>
    </row>
    <row r="5" ht="21" customHeight="1">
      <c r="B5" s="12" t="inlineStr">
        <is>
          <t>Nama Rumus Excel</t>
        </is>
      </c>
      <c r="C5" s="13">
        <f>TREND(...)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TREND(...)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Fungsi Statistik &amp; Analisis Data Excel (TREND) untuk mengolah distribusi, peluang, standar deviasi, dan pengujian hipotesis data secara presisi.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TREND)</t>
        </is>
      </c>
    </row>
    <row r="10">
      <c r="B10" s="16" t="inlineStr">
        <is>
          <t>Sampel Observasi</t>
        </is>
      </c>
      <c r="C10" s="16" t="inlineStr">
        <is>
          <t>Nilai Pengukuran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fungsi analisis statistik pada rentang data C11:C14 (Contoh rumus: =AVERAGE(C11:C14))!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TREND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Sampel Observasi</t>
        </is>
      </c>
      <c r="C19" s="12" t="inlineStr">
        <is>
          <t>Nilai Pengukuran</t>
        </is>
      </c>
      <c r="E19" s="25" t="inlineStr">
        <is>
          <t>Persoalan #1: Gunakan fungsi analisis statistik pada rentang data C20:C23 (Contoh rumus: =AVERAGE(C20:C23))!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AVERAGE(C20:C23)</f>
        <v/>
      </c>
      <c r="H21" s="29" t="inlineStr">
        <is>
          <t>Ketik: =AVERAGE(C20:C23)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Sampel Observasi</t>
        </is>
      </c>
      <c r="C27" s="12" t="inlineStr">
        <is>
          <t>Nilai Pengukuran</t>
        </is>
      </c>
      <c r="E27" s="25" t="inlineStr">
        <is>
          <t>Persoalan #2: Gunakan fungsi analisis statistik pada rentang data C28:C31 (Contoh rumus: =AVERAGE(C28:C31))!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AVERAGE(C28:C31)</f>
        <v/>
      </c>
      <c r="H29" s="29" t="inlineStr">
        <is>
          <t>Ketik: =AVERAGE(C28:C31)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Sampel Observasi</t>
        </is>
      </c>
      <c r="C35" s="12" t="inlineStr">
        <is>
          <t>Nilai Pengukuran</t>
        </is>
      </c>
      <c r="E35" s="25" t="inlineStr">
        <is>
          <t>Persoalan #3: Gunakan fungsi analisis statistik pada rentang data C36:C39 (Contoh rumus: =AVERAGE(C36:C39))!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AVERAGE(C36:C39)</f>
        <v/>
      </c>
      <c r="H37" s="29" t="inlineStr">
        <is>
          <t>Ketik: =AVERAGE(C36:C39)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Sampel Observasi</t>
        </is>
      </c>
      <c r="C43" s="12" t="inlineStr">
        <is>
          <t>Nilai Pengukuran</t>
        </is>
      </c>
      <c r="E43" s="25" t="inlineStr">
        <is>
          <t>Persoalan #4: Gunakan fungsi analisis statistik pada rentang data C44:C47 (Contoh rumus: =AVERAGE(C44:C47))!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AVERAGE(C44:C47)</f>
        <v/>
      </c>
      <c r="H45" s="29" t="inlineStr">
        <is>
          <t>Ketik: =AVERAGE(C44:C47)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Sampel Observasi</t>
        </is>
      </c>
      <c r="C51" s="12" t="inlineStr">
        <is>
          <t>Nilai Pengukuran</t>
        </is>
      </c>
      <c r="E51" s="25" t="inlineStr">
        <is>
          <t>Persoalan #5: Gunakan fungsi analisis statistik pada rentang data C52:C55 (Contoh rumus: =AVERAGE(C52:C55))!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AVERAGE(C52:C55)</f>
        <v/>
      </c>
      <c r="H53" s="29" t="inlineStr">
        <is>
          <t>Ketik: =AVERAGE(C52:C55)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111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#110 — RUMUS EXCEL: T.TEST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(T.TEST)</t>
        </is>
      </c>
    </row>
    <row r="5" ht="21" customHeight="1">
      <c r="B5" s="12" t="inlineStr">
        <is>
          <t>Nama Rumus Excel</t>
        </is>
      </c>
      <c r="C5" s="13">
        <f>T.TEST(...)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T.TEST(...)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Fungsi Statistik &amp; Analisis Data Excel (T.TEST) untuk mengolah distribusi, peluang, standar deviasi, dan pengujian hipotesis data secara presisi.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T.TEST)</t>
        </is>
      </c>
    </row>
    <row r="10">
      <c r="B10" s="16" t="inlineStr">
        <is>
          <t>Sampel Observasi</t>
        </is>
      </c>
      <c r="C10" s="16" t="inlineStr">
        <is>
          <t>Nilai Pengukuran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fungsi analisis statistik pada rentang data C11:C14 (Contoh rumus: =AVERAGE(C11:C14))!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T.TEST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Sampel Observasi</t>
        </is>
      </c>
      <c r="C19" s="12" t="inlineStr">
        <is>
          <t>Nilai Pengukuran</t>
        </is>
      </c>
      <c r="E19" s="25" t="inlineStr">
        <is>
          <t>Persoalan #1: Gunakan fungsi analisis statistik pada rentang data C20:C23 (Contoh rumus: =AVERAGE(C20:C23))!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AVERAGE(C20:C23)</f>
        <v/>
      </c>
      <c r="H21" s="29" t="inlineStr">
        <is>
          <t>Ketik: =AVERAGE(C20:C23)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Sampel Observasi</t>
        </is>
      </c>
      <c r="C27" s="12" t="inlineStr">
        <is>
          <t>Nilai Pengukuran</t>
        </is>
      </c>
      <c r="E27" s="25" t="inlineStr">
        <is>
          <t>Persoalan #2: Gunakan fungsi analisis statistik pada rentang data C28:C31 (Contoh rumus: =AVERAGE(C28:C31))!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AVERAGE(C28:C31)</f>
        <v/>
      </c>
      <c r="H29" s="29" t="inlineStr">
        <is>
          <t>Ketik: =AVERAGE(C28:C31)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Sampel Observasi</t>
        </is>
      </c>
      <c r="C35" s="12" t="inlineStr">
        <is>
          <t>Nilai Pengukuran</t>
        </is>
      </c>
      <c r="E35" s="25" t="inlineStr">
        <is>
          <t>Persoalan #3: Gunakan fungsi analisis statistik pada rentang data C36:C39 (Contoh rumus: =AVERAGE(C36:C39))!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AVERAGE(C36:C39)</f>
        <v/>
      </c>
      <c r="H37" s="29" t="inlineStr">
        <is>
          <t>Ketik: =AVERAGE(C36:C39)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Sampel Observasi</t>
        </is>
      </c>
      <c r="C43" s="12" t="inlineStr">
        <is>
          <t>Nilai Pengukuran</t>
        </is>
      </c>
      <c r="E43" s="25" t="inlineStr">
        <is>
          <t>Persoalan #4: Gunakan fungsi analisis statistik pada rentang data C44:C47 (Contoh rumus: =AVERAGE(C44:C47))!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AVERAGE(C44:C47)</f>
        <v/>
      </c>
      <c r="H45" s="29" t="inlineStr">
        <is>
          <t>Ketik: =AVERAGE(C44:C47)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Sampel Observasi</t>
        </is>
      </c>
      <c r="C51" s="12" t="inlineStr">
        <is>
          <t>Nilai Pengukuran</t>
        </is>
      </c>
      <c r="E51" s="25" t="inlineStr">
        <is>
          <t>Persoalan #5: Gunakan fungsi analisis statistik pada rentang data C52:C55 (Contoh rumus: =AVERAGE(C52:C55))!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AVERAGE(C52:C55)</f>
        <v/>
      </c>
      <c r="H53" s="29" t="inlineStr">
        <is>
          <t>Ketik: =AVERAGE(C52:C55)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112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#111 — RUMUS EXCEL: TRIMMEAN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(TRIMMEAN)</t>
        </is>
      </c>
    </row>
    <row r="5" ht="21" customHeight="1">
      <c r="B5" s="12" t="inlineStr">
        <is>
          <t>Nama Rumus Excel</t>
        </is>
      </c>
      <c r="C5" s="13">
        <f>TRIMMEAN(...)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TRIMMEAN(range_data, persen_pangkas)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Menghitung rata-rata adil dengan membuang nilai ekstrem tertinggi dan terendah terlebih dahulu (seperti nilai juri senam!).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TRIMMEAN)</t>
        </is>
      </c>
    </row>
    <row r="10">
      <c r="B10" s="16" t="inlineStr">
        <is>
          <t>Juri Penilai</t>
        </is>
      </c>
      <c r="C10" s="16" t="inlineStr">
        <is>
          <t>Skor Penilaian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Hitung rata-rata pangkas 20% (0.2) pada rentang C11:C14 menggunakan TRIMMEAN!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'=TRIMMEAN(C11:C14, 0.2)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TRIMMEAN(C11:C14, 0.2)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TRIMMEAN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Juri Penilai</t>
        </is>
      </c>
      <c r="C19" s="12" t="inlineStr">
        <is>
          <t>Skor Penilaian</t>
        </is>
      </c>
      <c r="E19" s="25" t="inlineStr">
        <is>
          <t>Persoalan #1: Hitung rata-rata pangkas 20% (0.2) pada rentang C20:C23 menggunakan TRIMMEAN!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TRIMMEAN(C20:C23, 0.2)</f>
        <v/>
      </c>
      <c r="H21" s="29" t="inlineStr">
        <is>
          <t>Ketik: =TRIMMEAN(C20:C23, 0.2)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Juri Penilai</t>
        </is>
      </c>
      <c r="C27" s="12" t="inlineStr">
        <is>
          <t>Skor Penilaian</t>
        </is>
      </c>
      <c r="E27" s="25" t="inlineStr">
        <is>
          <t>Persoalan #2: Hitung rata-rata pangkas 20% (0.2) pada rentang C28:C31 menggunakan TRIMMEAN!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TRIMMEAN(C28:C31, 0.2)</f>
        <v/>
      </c>
      <c r="H29" s="29" t="inlineStr">
        <is>
          <t>Ketik: =TRIMMEAN(C28:C31, 0.2)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Juri Penilai</t>
        </is>
      </c>
      <c r="C35" s="12" t="inlineStr">
        <is>
          <t>Skor Penilaian</t>
        </is>
      </c>
      <c r="E35" s="25" t="inlineStr">
        <is>
          <t>Persoalan #3: Hitung rata-rata pangkas 20% (0.2) pada rentang C36:C39 menggunakan TRIMMEAN!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TRIMMEAN(C36:C39, 0.2)</f>
        <v/>
      </c>
      <c r="H37" s="29" t="inlineStr">
        <is>
          <t>Ketik: =TRIMMEAN(C36:C39, 0.2)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Juri Penilai</t>
        </is>
      </c>
      <c r="C43" s="12" t="inlineStr">
        <is>
          <t>Skor Penilaian</t>
        </is>
      </c>
      <c r="E43" s="25" t="inlineStr">
        <is>
          <t>Persoalan #4: Hitung rata-rata pangkas 20% (0.2) pada rentang C44:C47 menggunakan TRIMMEAN!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TRIMMEAN(C44:C47, 0.2)</f>
        <v/>
      </c>
      <c r="H45" s="29" t="inlineStr">
        <is>
          <t>Ketik: =TRIMMEAN(C44:C47, 0.2)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Juri Penilai</t>
        </is>
      </c>
      <c r="C51" s="12" t="inlineStr">
        <is>
          <t>Skor Penilaian</t>
        </is>
      </c>
      <c r="E51" s="25" t="inlineStr">
        <is>
          <t>Persoalan #5: Hitung rata-rata pangkas 20% (0.2) pada rentang C52:C55 menggunakan TRIMMEAN!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TRIMMEAN(C52:C55, 0.2)</f>
        <v/>
      </c>
      <c r="H53" s="29" t="inlineStr">
        <is>
          <t>Ketik: =TRIMMEAN(C52:C55, 0.2)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113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#112 — RUMUS EXCEL: VAR.P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(VAR.P)</t>
        </is>
      </c>
    </row>
    <row r="5" ht="21" customHeight="1">
      <c r="B5" s="12" t="inlineStr">
        <is>
          <t>Nama Rumus Excel</t>
        </is>
      </c>
      <c r="C5" s="13">
        <f>VAR.P(...)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VAR.P(range_data)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Menghitung Varians seluruh populasi.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VAR.P)</t>
        </is>
      </c>
    </row>
    <row r="10">
      <c r="B10" s="16" t="inlineStr">
        <is>
          <t>Nama Unit / Kategori</t>
        </is>
      </c>
      <c r="C10" s="16" t="inlineStr">
        <is>
          <t>Nilai Data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rumus VAR.P pada rentang sel C11:C14 untuk menghitung nilai VAR.P dari ke-4 data di samping!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'=VAR.P(C11:C14)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VAR.P(C11:C14)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VAR.P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Nama Unit / Kategori</t>
        </is>
      </c>
      <c r="C19" s="12" t="inlineStr">
        <is>
          <t>Nilai Data</t>
        </is>
      </c>
      <c r="E19" s="25" t="inlineStr">
        <is>
          <t>Persoalan #1: Gunakan rumus VAR.P pada rentang sel C20:C23 untuk menghitung nilai VAR.P dari ke-4 data di samping!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VAR.P(C20:C23)</f>
        <v/>
      </c>
      <c r="H21" s="29" t="inlineStr">
        <is>
          <t>Ketik: =VAR.P(C20:C23)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Nama Unit / Kategori</t>
        </is>
      </c>
      <c r="C27" s="12" t="inlineStr">
        <is>
          <t>Nilai Data</t>
        </is>
      </c>
      <c r="E27" s="25" t="inlineStr">
        <is>
          <t>Persoalan #2: Gunakan rumus VAR.P pada rentang sel C28:C31 untuk menghitung nilai VAR.P dari ke-4 data di samping!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VAR.P(C28:C31)</f>
        <v/>
      </c>
      <c r="H29" s="29" t="inlineStr">
        <is>
          <t>Ketik: =VAR.P(C28:C31)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Nama Unit / Kategori</t>
        </is>
      </c>
      <c r="C35" s="12" t="inlineStr">
        <is>
          <t>Nilai Data</t>
        </is>
      </c>
      <c r="E35" s="25" t="inlineStr">
        <is>
          <t>Persoalan #3: Gunakan rumus VAR.P pada rentang sel C36:C39 untuk menghitung nilai VAR.P dari ke-4 data di samping!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VAR.P(C36:C39)</f>
        <v/>
      </c>
      <c r="H37" s="29" t="inlineStr">
        <is>
          <t>Ketik: =VAR.P(C36:C39)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Nama Unit / Kategori</t>
        </is>
      </c>
      <c r="C43" s="12" t="inlineStr">
        <is>
          <t>Nilai Data</t>
        </is>
      </c>
      <c r="E43" s="25" t="inlineStr">
        <is>
          <t>Persoalan #4: Gunakan rumus VAR.P pada rentang sel C44:C47 untuk menghitung nilai VAR.P dari ke-4 data di samping!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VAR.P(C44:C47)</f>
        <v/>
      </c>
      <c r="H45" s="29" t="inlineStr">
        <is>
          <t>Ketik: =VAR.P(C44:C47)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Nama Unit / Kategori</t>
        </is>
      </c>
      <c r="C51" s="12" t="inlineStr">
        <is>
          <t>Nilai Data</t>
        </is>
      </c>
      <c r="E51" s="25" t="inlineStr">
        <is>
          <t>Persoalan #5: Gunakan rumus VAR.P pada rentang sel C52:C55 untuk menghitung nilai VAR.P dari ke-4 data di samping!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VAR.P(C52:C55)</f>
        <v/>
      </c>
      <c r="H53" s="29" t="inlineStr">
        <is>
          <t>Ketik: =VAR.P(C52:C55)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114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#113 — RUMUS EXCEL: VAR.S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(VAR.S)</t>
        </is>
      </c>
    </row>
    <row r="5" ht="21" customHeight="1">
      <c r="B5" s="12" t="inlineStr">
        <is>
          <t>Nama Rumus Excel</t>
        </is>
      </c>
      <c r="C5" s="13">
        <f>VAR.S(...)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VAR.S(range_data)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Menghitung Varians sampel statistik.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VAR.S)</t>
        </is>
      </c>
    </row>
    <row r="10">
      <c r="B10" s="16" t="inlineStr">
        <is>
          <t>Nama Unit / Kategori</t>
        </is>
      </c>
      <c r="C10" s="16" t="inlineStr">
        <is>
          <t>Nilai Data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rumus VAR.S pada rentang sel C11:C14 untuk menghitung nilai VAR.S dari ke-4 data di samping!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'=VAR.S(C11:C14)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VAR.S(C11:C14)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VAR.S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Nama Unit / Kategori</t>
        </is>
      </c>
      <c r="C19" s="12" t="inlineStr">
        <is>
          <t>Nilai Data</t>
        </is>
      </c>
      <c r="E19" s="25" t="inlineStr">
        <is>
          <t>Persoalan #1: Gunakan rumus VAR.S pada rentang sel C20:C23 untuk menghitung nilai VAR.S dari ke-4 data di samping!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VAR.S(C20:C23)</f>
        <v/>
      </c>
      <c r="H21" s="29" t="inlineStr">
        <is>
          <t>Ketik: =VAR.S(C20:C23)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Nama Unit / Kategori</t>
        </is>
      </c>
      <c r="C27" s="12" t="inlineStr">
        <is>
          <t>Nilai Data</t>
        </is>
      </c>
      <c r="E27" s="25" t="inlineStr">
        <is>
          <t>Persoalan #2: Gunakan rumus VAR.S pada rentang sel C28:C31 untuk menghitung nilai VAR.S dari ke-4 data di samping!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VAR.S(C28:C31)</f>
        <v/>
      </c>
      <c r="H29" s="29" t="inlineStr">
        <is>
          <t>Ketik: =VAR.S(C28:C31)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Nama Unit / Kategori</t>
        </is>
      </c>
      <c r="C35" s="12" t="inlineStr">
        <is>
          <t>Nilai Data</t>
        </is>
      </c>
      <c r="E35" s="25" t="inlineStr">
        <is>
          <t>Persoalan #3: Gunakan rumus VAR.S pada rentang sel C36:C39 untuk menghitung nilai VAR.S dari ke-4 data di samping!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VAR.S(C36:C39)</f>
        <v/>
      </c>
      <c r="H37" s="29" t="inlineStr">
        <is>
          <t>Ketik: =VAR.S(C36:C39)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Nama Unit / Kategori</t>
        </is>
      </c>
      <c r="C43" s="12" t="inlineStr">
        <is>
          <t>Nilai Data</t>
        </is>
      </c>
      <c r="E43" s="25" t="inlineStr">
        <is>
          <t>Persoalan #4: Gunakan rumus VAR.S pada rentang sel C44:C47 untuk menghitung nilai VAR.S dari ke-4 data di samping!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VAR.S(C44:C47)</f>
        <v/>
      </c>
      <c r="H45" s="29" t="inlineStr">
        <is>
          <t>Ketik: =VAR.S(C44:C47)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Nama Unit / Kategori</t>
        </is>
      </c>
      <c r="C51" s="12" t="inlineStr">
        <is>
          <t>Nilai Data</t>
        </is>
      </c>
      <c r="E51" s="25" t="inlineStr">
        <is>
          <t>Persoalan #5: Gunakan rumus VAR.S pada rentang sel C52:C55 untuk menghitung nilai VAR.S dari ke-4 data di samping!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VAR.S(C52:C55)</f>
        <v/>
      </c>
      <c r="H53" s="29" t="inlineStr">
        <is>
          <t>Ketik: =VAR.S(C52:C55)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115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#114 — RUMUS EXCEL: VARA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(VARA)</t>
        </is>
      </c>
    </row>
    <row r="5" ht="21" customHeight="1">
      <c r="B5" s="12" t="inlineStr">
        <is>
          <t>Nama Rumus Excel</t>
        </is>
      </c>
      <c r="C5" s="13">
        <f>VARA(...)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VARA(...)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Fungsi Statistik &amp; Analisis Data Excel (VARA) untuk mengolah distribusi, peluang, standar deviasi, dan pengujian hipotesis data secara presisi.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VARA)</t>
        </is>
      </c>
    </row>
    <row r="10">
      <c r="B10" s="16" t="inlineStr">
        <is>
          <t>Sampel Observasi</t>
        </is>
      </c>
      <c r="C10" s="16" t="inlineStr">
        <is>
          <t>Nilai Pengukuran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fungsi analisis statistik pada rentang data C11:C14 (Contoh rumus: =AVERAGE(C11:C14))!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VARA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Sampel Observasi</t>
        </is>
      </c>
      <c r="C19" s="12" t="inlineStr">
        <is>
          <t>Nilai Pengukuran</t>
        </is>
      </c>
      <c r="E19" s="25" t="inlineStr">
        <is>
          <t>Persoalan #1: Gunakan fungsi analisis statistik pada rentang data C20:C23 (Contoh rumus: =AVERAGE(C20:C23))!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AVERAGE(C20:C23)</f>
        <v/>
      </c>
      <c r="H21" s="29" t="inlineStr">
        <is>
          <t>Ketik: =AVERAGE(C20:C23)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Sampel Observasi</t>
        </is>
      </c>
      <c r="C27" s="12" t="inlineStr">
        <is>
          <t>Nilai Pengukuran</t>
        </is>
      </c>
      <c r="E27" s="25" t="inlineStr">
        <is>
          <t>Persoalan #2: Gunakan fungsi analisis statistik pada rentang data C28:C31 (Contoh rumus: =AVERAGE(C28:C31))!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AVERAGE(C28:C31)</f>
        <v/>
      </c>
      <c r="H29" s="29" t="inlineStr">
        <is>
          <t>Ketik: =AVERAGE(C28:C31)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Sampel Observasi</t>
        </is>
      </c>
      <c r="C35" s="12" t="inlineStr">
        <is>
          <t>Nilai Pengukuran</t>
        </is>
      </c>
      <c r="E35" s="25" t="inlineStr">
        <is>
          <t>Persoalan #3: Gunakan fungsi analisis statistik pada rentang data C36:C39 (Contoh rumus: =AVERAGE(C36:C39))!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AVERAGE(C36:C39)</f>
        <v/>
      </c>
      <c r="H37" s="29" t="inlineStr">
        <is>
          <t>Ketik: =AVERAGE(C36:C39)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Sampel Observasi</t>
        </is>
      </c>
      <c r="C43" s="12" t="inlineStr">
        <is>
          <t>Nilai Pengukuran</t>
        </is>
      </c>
      <c r="E43" s="25" t="inlineStr">
        <is>
          <t>Persoalan #4: Gunakan fungsi analisis statistik pada rentang data C44:C47 (Contoh rumus: =AVERAGE(C44:C47))!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AVERAGE(C44:C47)</f>
        <v/>
      </c>
      <c r="H45" s="29" t="inlineStr">
        <is>
          <t>Ketik: =AVERAGE(C44:C47)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Sampel Observasi</t>
        </is>
      </c>
      <c r="C51" s="12" t="inlineStr">
        <is>
          <t>Nilai Pengukuran</t>
        </is>
      </c>
      <c r="E51" s="25" t="inlineStr">
        <is>
          <t>Persoalan #5: Gunakan fungsi analisis statistik pada rentang data C52:C55 (Contoh rumus: =AVERAGE(C52:C55))!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AVERAGE(C52:C55)</f>
        <v/>
      </c>
      <c r="H53" s="29" t="inlineStr">
        <is>
          <t>Ketik: =AVERAGE(C52:C55)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116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#115 — RUMUS EXCEL: VARPA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(VARPA)</t>
        </is>
      </c>
    </row>
    <row r="5" ht="21" customHeight="1">
      <c r="B5" s="12" t="inlineStr">
        <is>
          <t>Nama Rumus Excel</t>
        </is>
      </c>
      <c r="C5" s="13">
        <f>VARPA(...)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VARPA(...)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Fungsi Statistik &amp; Analisis Data Excel (VARPA) untuk mengolah distribusi, peluang, standar deviasi, dan pengujian hipotesis data secara presisi.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VARPA)</t>
        </is>
      </c>
    </row>
    <row r="10">
      <c r="B10" s="16" t="inlineStr">
        <is>
          <t>Sampel Observasi</t>
        </is>
      </c>
      <c r="C10" s="16" t="inlineStr">
        <is>
          <t>Nilai Pengukuran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fungsi analisis statistik pada rentang data C11:C14 (Contoh rumus: =AVERAGE(C11:C14))!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VARPA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Sampel Observasi</t>
        </is>
      </c>
      <c r="C19" s="12" t="inlineStr">
        <is>
          <t>Nilai Pengukuran</t>
        </is>
      </c>
      <c r="E19" s="25" t="inlineStr">
        <is>
          <t>Persoalan #1: Gunakan fungsi analisis statistik pada rentang data C20:C23 (Contoh rumus: =AVERAGE(C20:C23))!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AVERAGE(C20:C23)</f>
        <v/>
      </c>
      <c r="H21" s="29" t="inlineStr">
        <is>
          <t>Ketik: =AVERAGE(C20:C23)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Sampel Observasi</t>
        </is>
      </c>
      <c r="C27" s="12" t="inlineStr">
        <is>
          <t>Nilai Pengukuran</t>
        </is>
      </c>
      <c r="E27" s="25" t="inlineStr">
        <is>
          <t>Persoalan #2: Gunakan fungsi analisis statistik pada rentang data C28:C31 (Contoh rumus: =AVERAGE(C28:C31))!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AVERAGE(C28:C31)</f>
        <v/>
      </c>
      <c r="H29" s="29" t="inlineStr">
        <is>
          <t>Ketik: =AVERAGE(C28:C31)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Sampel Observasi</t>
        </is>
      </c>
      <c r="C35" s="12" t="inlineStr">
        <is>
          <t>Nilai Pengukuran</t>
        </is>
      </c>
      <c r="E35" s="25" t="inlineStr">
        <is>
          <t>Persoalan #3: Gunakan fungsi analisis statistik pada rentang data C36:C39 (Contoh rumus: =AVERAGE(C36:C39))!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AVERAGE(C36:C39)</f>
        <v/>
      </c>
      <c r="H37" s="29" t="inlineStr">
        <is>
          <t>Ketik: =AVERAGE(C36:C39)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Sampel Observasi</t>
        </is>
      </c>
      <c r="C43" s="12" t="inlineStr">
        <is>
          <t>Nilai Pengukuran</t>
        </is>
      </c>
      <c r="E43" s="25" t="inlineStr">
        <is>
          <t>Persoalan #4: Gunakan fungsi analisis statistik pada rentang data C44:C47 (Contoh rumus: =AVERAGE(C44:C47))!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AVERAGE(C44:C47)</f>
        <v/>
      </c>
      <c r="H45" s="29" t="inlineStr">
        <is>
          <t>Ketik: =AVERAGE(C44:C47)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Sampel Observasi</t>
        </is>
      </c>
      <c r="C51" s="12" t="inlineStr">
        <is>
          <t>Nilai Pengukuran</t>
        </is>
      </c>
      <c r="E51" s="25" t="inlineStr">
        <is>
          <t>Persoalan #5: Gunakan fungsi analisis statistik pada rentang data C52:C55 (Contoh rumus: =AVERAGE(C52:C55))!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AVERAGE(C52:C55)</f>
        <v/>
      </c>
      <c r="H53" s="29" t="inlineStr">
        <is>
          <t>Ketik: =AVERAGE(C52:C55)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117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#116 — RUMUS EXCEL: WEIBULL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(WEIBULL)</t>
        </is>
      </c>
    </row>
    <row r="5" ht="21" customHeight="1">
      <c r="B5" s="12" t="inlineStr">
        <is>
          <t>Nama Rumus Excel</t>
        </is>
      </c>
      <c r="C5" s="13">
        <f>WEIBULL(...)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WEIBULL(...)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Fungsi Statistik &amp; Analisis Data Excel (WEIBULL) untuk mengolah distribusi, peluang, standar deviasi, dan pengujian hipotesis data secara presisi.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WEIBULL)</t>
        </is>
      </c>
    </row>
    <row r="10">
      <c r="B10" s="16" t="inlineStr">
        <is>
          <t>Sampel Observasi</t>
        </is>
      </c>
      <c r="C10" s="16" t="inlineStr">
        <is>
          <t>Nilai Pengukuran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fungsi analisis statistik pada rentang data C11:C14 (Contoh rumus: =AVERAGE(C11:C14))!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WEIBULL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Sampel Observasi</t>
        </is>
      </c>
      <c r="C19" s="12" t="inlineStr">
        <is>
          <t>Nilai Pengukuran</t>
        </is>
      </c>
      <c r="E19" s="25" t="inlineStr">
        <is>
          <t>Persoalan #1: Gunakan fungsi analisis statistik pada rentang data C20:C23 (Contoh rumus: =AVERAGE(C20:C23))!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AVERAGE(C20:C23)</f>
        <v/>
      </c>
      <c r="H21" s="29" t="inlineStr">
        <is>
          <t>Ketik: =AVERAGE(C20:C23)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Sampel Observasi</t>
        </is>
      </c>
      <c r="C27" s="12" t="inlineStr">
        <is>
          <t>Nilai Pengukuran</t>
        </is>
      </c>
      <c r="E27" s="25" t="inlineStr">
        <is>
          <t>Persoalan #2: Gunakan fungsi analisis statistik pada rentang data C28:C31 (Contoh rumus: =AVERAGE(C28:C31))!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AVERAGE(C28:C31)</f>
        <v/>
      </c>
      <c r="H29" s="29" t="inlineStr">
        <is>
          <t>Ketik: =AVERAGE(C28:C31)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Sampel Observasi</t>
        </is>
      </c>
      <c r="C35" s="12" t="inlineStr">
        <is>
          <t>Nilai Pengukuran</t>
        </is>
      </c>
      <c r="E35" s="25" t="inlineStr">
        <is>
          <t>Persoalan #3: Gunakan fungsi analisis statistik pada rentang data C36:C39 (Contoh rumus: =AVERAGE(C36:C39))!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AVERAGE(C36:C39)</f>
        <v/>
      </c>
      <c r="H37" s="29" t="inlineStr">
        <is>
          <t>Ketik: =AVERAGE(C36:C39)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Sampel Observasi</t>
        </is>
      </c>
      <c r="C43" s="12" t="inlineStr">
        <is>
          <t>Nilai Pengukuran</t>
        </is>
      </c>
      <c r="E43" s="25" t="inlineStr">
        <is>
          <t>Persoalan #4: Gunakan fungsi analisis statistik pada rentang data C44:C47 (Contoh rumus: =AVERAGE(C44:C47))!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AVERAGE(C44:C47)</f>
        <v/>
      </c>
      <c r="H45" s="29" t="inlineStr">
        <is>
          <t>Ketik: =AVERAGE(C44:C47)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Sampel Observasi</t>
        </is>
      </c>
      <c r="C51" s="12" t="inlineStr">
        <is>
          <t>Nilai Pengukuran</t>
        </is>
      </c>
      <c r="E51" s="25" t="inlineStr">
        <is>
          <t>Persoalan #5: Gunakan fungsi analisis statistik pada rentang data C52:C55 (Contoh rumus: =AVERAGE(C52:C55))!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AVERAGE(C52:C55)</f>
        <v/>
      </c>
      <c r="H53" s="29" t="inlineStr">
        <is>
          <t>Ketik: =AVERAGE(C52:C55)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xl/worksheets/sheet118.xml><?xml version="1.0" encoding="utf-8"?>
<worksheet xmlns="http://schemas.openxmlformats.org/spreadsheetml/2006/main">
  <sheetPr>
    <outlinePr summaryBelow="1" summaryRight="1"/>
    <pageSetUpPr/>
  </sheetPr>
  <dimension ref="B1:H55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24" customWidth="1" min="2" max="2"/>
    <col width="20" customWidth="1" min="3" max="3"/>
    <col width="4" customWidth="1" min="4" max="4"/>
    <col width="28" customWidth="1" min="5" max="5"/>
    <col width="30" customWidth="1" min="6" max="6"/>
    <col width="18" customWidth="1" min="7" max="7"/>
    <col width="34" customWidth="1" min="8" max="8"/>
  </cols>
  <sheetData>
    <row r="1" ht="30" customHeight="1">
      <c r="B1" s="8" t="inlineStr">
        <is>
          <t>📊 #117 — RUMUS EXCEL: ZTEST   |   Kategori: 8. Statistik &amp; Analisis Data</t>
        </is>
      </c>
    </row>
    <row r="2" ht="22" customHeight="1">
      <c r="B2" s="9" t="inlineStr">
        <is>
          <t>Modul Praktik Langsung 1 Sheet 1 Rumus • Dilengkapi Penjelasan Bahasa Bayi, Contoh Aktif, &amp; 5 Persoalan Dunia Nyata</t>
        </is>
      </c>
      <c r="H2" s="10" t="inlineStr">
        <is>
          <t>⬅️ Kembali ke Daftar Isi</t>
        </is>
      </c>
    </row>
    <row r="4" ht="24" customHeight="1">
      <c r="B4" s="11" t="inlineStr">
        <is>
          <t>1️⃣ IDENTITAS RUMUS &amp; FUNGSINYA BUAT APA? (ZTEST)</t>
        </is>
      </c>
    </row>
    <row r="5" ht="21" customHeight="1">
      <c r="B5" s="12" t="inlineStr">
        <is>
          <t>Nama Rumus Excel</t>
        </is>
      </c>
      <c r="C5" s="13">
        <f>ZTEST(...)</f>
        <v/>
      </c>
      <c r="D5" s="4" t="n"/>
      <c r="E5" s="4" t="n"/>
      <c r="F5" s="4" t="n"/>
      <c r="G5" s="4" t="n"/>
      <c r="H5" s="4" t="n"/>
    </row>
    <row r="6" ht="21" customHeight="1">
      <c r="B6" s="12" t="inlineStr">
        <is>
          <t>Sintaks / Pola Rumus</t>
        </is>
      </c>
      <c r="C6" s="13">
        <f>ZTEST(...)</f>
        <v/>
      </c>
      <c r="D6" s="4" t="n"/>
      <c r="E6" s="4" t="n"/>
      <c r="F6" s="4" t="n"/>
      <c r="G6" s="4" t="n"/>
      <c r="H6" s="4" t="n"/>
    </row>
    <row r="7" ht="26" customHeight="1">
      <c r="B7" s="12" t="inlineStr">
        <is>
          <t>👶 Fungsinya Buat Apa?</t>
        </is>
      </c>
      <c r="C7" s="14" t="inlineStr">
        <is>
          <t>Fungsi Statistik &amp; Analisis Data Excel (ZTEST) untuk mengolah distribusi, peluang, standar deviasi, dan pengujian hipotesis data secara presisi.</t>
        </is>
      </c>
      <c r="D7" s="4" t="n"/>
      <c r="E7" s="4" t="n"/>
      <c r="F7" s="4" t="n"/>
      <c r="G7" s="4" t="n"/>
      <c r="H7" s="4" t="n"/>
    </row>
    <row r="9" ht="24" customHeight="1">
      <c r="B9" s="15" t="inlineStr">
        <is>
          <t>2️⃣ CONTOH PENGGUNAAN LANGSUNG DI EXCEL (WORKED EXAMPLE — RUMUS ZTEST)</t>
        </is>
      </c>
    </row>
    <row r="10">
      <c r="B10" s="16" t="inlineStr">
        <is>
          <t>Sampel Observasi</t>
        </is>
      </c>
      <c r="C10" s="16" t="inlineStr">
        <is>
          <t>Nilai Pengukuran</t>
        </is>
      </c>
      <c r="E10" s="17" t="inlineStr">
        <is>
          <t>💡 CONTOH RUMUS YANG SUDAH TERPASANG AKTIF:</t>
        </is>
      </c>
    </row>
    <row r="11">
      <c r="B11" s="18" t="inlineStr">
        <is>
          <t>Cabang Jakarta</t>
        </is>
      </c>
      <c r="C11" s="18" t="n">
        <v>1250000</v>
      </c>
      <c r="E11" s="19" t="inlineStr">
        <is>
          <t>Kasus Contoh:</t>
        </is>
      </c>
      <c r="F11" s="20" t="inlineStr">
        <is>
          <t>Gunakan fungsi analisis statistik pada rentang data C11:C14 (Contoh rumus: =AVERAGE(C11:C14))!</t>
        </is>
      </c>
    </row>
    <row r="12">
      <c r="B12" s="18" t="inlineStr">
        <is>
          <t>Cabang Bandung</t>
        </is>
      </c>
      <c r="C12" s="18" t="n">
        <v>1850000</v>
      </c>
      <c r="E12" s="19" t="inlineStr">
        <is>
          <t>Rumus yang Diketik:</t>
        </is>
      </c>
      <c r="F12" s="21" t="inlineStr">
        <is>
          <t>'=AVERAGE(C11:C14)</t>
        </is>
      </c>
    </row>
    <row r="13">
      <c r="B13" s="18" t="inlineStr">
        <is>
          <t>Cabang Surabaya</t>
        </is>
      </c>
      <c r="C13" s="18" t="n">
        <v>2100000</v>
      </c>
      <c r="E13" s="19" t="inlineStr">
        <is>
          <t>Hasil Otomatis Excel:</t>
        </is>
      </c>
      <c r="F13" s="22">
        <f>AVERAGE(C11:C14)</f>
        <v/>
      </c>
    </row>
    <row r="14">
      <c r="B14" s="18" t="inlineStr">
        <is>
          <t>Cabang Medan</t>
        </is>
      </c>
      <c r="C14" s="18" t="n">
        <v>1600000</v>
      </c>
    </row>
    <row r="16" ht="26" customHeight="1">
      <c r="B16" s="23" t="inlineStr">
        <is>
          <t>3️⃣ 5 PERSOALAN DUNIA NYATA (KETIK RUMUS ZTEST DI SEL KUNING UNTUK PRAKTEK LANGSUNG!)</t>
        </is>
      </c>
    </row>
    <row r="18" ht="22" customHeight="1">
      <c r="B18" s="24" t="inlineStr">
        <is>
          <t>🎯 SOAL PRAKTEK #1: Kasus Keuangan &amp; Akuntansi Kantor</t>
        </is>
      </c>
    </row>
    <row r="19" ht="28" customHeight="1">
      <c r="B19" s="12" t="inlineStr">
        <is>
          <t>Sampel Observasi</t>
        </is>
      </c>
      <c r="C19" s="12" t="inlineStr">
        <is>
          <t>Nilai Pengukuran</t>
        </is>
      </c>
      <c r="E19" s="25" t="inlineStr">
        <is>
          <t>Persoalan #1: Gunakan fungsi analisis statistik pada rentang data C20:C23 (Contoh rumus: =AVERAGE(C20:C23))!</t>
        </is>
      </c>
    </row>
    <row r="20">
      <c r="B20" s="18" t="inlineStr">
        <is>
          <t>Cabang Jakarta</t>
        </is>
      </c>
      <c r="C20" s="18" t="n">
        <v>1250000</v>
      </c>
      <c r="E20" s="12" t="inlineStr">
        <is>
          <t>✏️ KETIK RUMUSMU DI BAWAH:</t>
        </is>
      </c>
      <c r="F20" s="12" t="inlineStr">
        <is>
          <t>📌 STATUS CEK OTOMATIS:</t>
        </is>
      </c>
      <c r="G20" s="12" t="inlineStr">
        <is>
          <t>🎯 TARGET HASIL:</t>
        </is>
      </c>
      <c r="H20" s="12" t="inlineStr">
        <is>
          <t>💡 KUNCI RUMUS (PETUNJUK):</t>
        </is>
      </c>
    </row>
    <row r="21" ht="26" customHeight="1">
      <c r="B21" s="18" t="inlineStr">
        <is>
          <t>Cabang Bandung</t>
        </is>
      </c>
      <c r="C21" s="18" t="n">
        <v>1850000</v>
      </c>
      <c r="E21" s="26" t="n"/>
      <c r="F21" s="27">
        <f>IF(ISBLANK(E21), "⏳ Ketik rumus di sel kuning E21", IF(E21=G21, "✅ BENAR! LUAR BIASA!", "❌ Belum Tepat, Cek Kunci"))</f>
        <v/>
      </c>
      <c r="G21" s="28">
        <f>AVERAGE(C20:C23)</f>
        <v/>
      </c>
      <c r="H21" s="29" t="inlineStr">
        <is>
          <t>Ketik: =AVERAGE(C20:C23)</t>
        </is>
      </c>
    </row>
    <row r="22">
      <c r="B22" s="18" t="inlineStr">
        <is>
          <t>Cabang Surabaya</t>
        </is>
      </c>
      <c r="C22" s="18" t="n">
        <v>2100000</v>
      </c>
    </row>
    <row r="23">
      <c r="B23" s="18" t="inlineStr">
        <is>
          <t>Cabang Medan</t>
        </is>
      </c>
      <c r="C23" s="18" t="n">
        <v>1600000</v>
      </c>
    </row>
    <row r="26" ht="22" customHeight="1">
      <c r="B26" s="24" t="inlineStr">
        <is>
          <t>🎯 SOAL PRAKTEK #2: Kasus HRD, Gaji &amp; Lembur Karyawan</t>
        </is>
      </c>
    </row>
    <row r="27" ht="28" customHeight="1">
      <c r="B27" s="12" t="inlineStr">
        <is>
          <t>Sampel Observasi</t>
        </is>
      </c>
      <c r="C27" s="12" t="inlineStr">
        <is>
          <t>Nilai Pengukuran</t>
        </is>
      </c>
      <c r="E27" s="25" t="inlineStr">
        <is>
          <t>Persoalan #2: Gunakan fungsi analisis statistik pada rentang data C28:C31 (Contoh rumus: =AVERAGE(C28:C31))!</t>
        </is>
      </c>
    </row>
    <row r="28">
      <c r="B28" s="18" t="inlineStr">
        <is>
          <t>Budi Santoso</t>
        </is>
      </c>
      <c r="C28" s="18" t="n">
        <v>4500000</v>
      </c>
      <c r="E28" s="12" t="inlineStr">
        <is>
          <t>✏️ KETIK RUMUSMU DI BAWAH:</t>
        </is>
      </c>
      <c r="F28" s="12" t="inlineStr">
        <is>
          <t>📌 STATUS CEK OTOMATIS:</t>
        </is>
      </c>
      <c r="G28" s="12" t="inlineStr">
        <is>
          <t>🎯 TARGET HASIL:</t>
        </is>
      </c>
      <c r="H28" s="12" t="inlineStr">
        <is>
          <t>💡 KUNCI RUMUS (PETUNJUK):</t>
        </is>
      </c>
    </row>
    <row r="29" ht="26" customHeight="1">
      <c r="B29" s="18" t="inlineStr">
        <is>
          <t>Siti Aminah</t>
        </is>
      </c>
      <c r="C29" s="18" t="n">
        <v>5200000</v>
      </c>
      <c r="E29" s="26" t="n"/>
      <c r="F29" s="27">
        <f>IF(ISBLANK(E29), "⏳ Ketik rumus di sel kuning E29", IF(E29=G29, "✅ BENAR! LUAR BIASA!", "❌ Belum Tepat, Cek Kunci"))</f>
        <v/>
      </c>
      <c r="G29" s="28">
        <f>AVERAGE(C28:C31)</f>
        <v/>
      </c>
      <c r="H29" s="29" t="inlineStr">
        <is>
          <t>Ketik: =AVERAGE(C28:C31)</t>
        </is>
      </c>
    </row>
    <row r="30">
      <c r="B30" s="18" t="inlineStr">
        <is>
          <t>Andi Pratama</t>
        </is>
      </c>
      <c r="C30" s="18" t="n">
        <v>4800000</v>
      </c>
    </row>
    <row r="31">
      <c r="B31" s="18" t="inlineStr">
        <is>
          <t>Rina Wijaya</t>
        </is>
      </c>
      <c r="C31" s="18" t="n">
        <v>6100000</v>
      </c>
    </row>
    <row r="34" ht="22" customHeight="1">
      <c r="B34" s="24" t="inlineStr">
        <is>
          <t>🎯 SOAL PRAKTEK #3: Kasus Logistik &amp; Stok Gudang Utama</t>
        </is>
      </c>
    </row>
    <row r="35" ht="28" customHeight="1">
      <c r="B35" s="12" t="inlineStr">
        <is>
          <t>Sampel Observasi</t>
        </is>
      </c>
      <c r="C35" s="12" t="inlineStr">
        <is>
          <t>Nilai Pengukuran</t>
        </is>
      </c>
      <c r="E35" s="25" t="inlineStr">
        <is>
          <t>Persoalan #3: Gunakan fungsi analisis statistik pada rentang data C36:C39 (Contoh rumus: =AVERAGE(C36:C39))!</t>
        </is>
      </c>
    </row>
    <row r="36">
      <c r="B36" s="18" t="inlineStr">
        <is>
          <t>Gudang Blok A</t>
        </is>
      </c>
      <c r="C36" s="18" t="n">
        <v>240</v>
      </c>
      <c r="E36" s="12" t="inlineStr">
        <is>
          <t>✏️ KETIK RUMUSMU DI BAWAH:</t>
        </is>
      </c>
      <c r="F36" s="12" t="inlineStr">
        <is>
          <t>📌 STATUS CEK OTOMATIS:</t>
        </is>
      </c>
      <c r="G36" s="12" t="inlineStr">
        <is>
          <t>🎯 TARGET HASIL:</t>
        </is>
      </c>
      <c r="H36" s="12" t="inlineStr">
        <is>
          <t>💡 KUNCI RUMUS (PETUNJUK):</t>
        </is>
      </c>
    </row>
    <row r="37" ht="26" customHeight="1">
      <c r="B37" s="18" t="inlineStr">
        <is>
          <t>Gudang Blok B</t>
        </is>
      </c>
      <c r="C37" s="18" t="n">
        <v>380</v>
      </c>
      <c r="E37" s="26" t="n"/>
      <c r="F37" s="27">
        <f>IF(ISBLANK(E37), "⏳ Ketik rumus di sel kuning E37", IF(E37=G37, "✅ BENAR! LUAR BIASA!", "❌ Belum Tepat, Cek Kunci"))</f>
        <v/>
      </c>
      <c r="G37" s="28">
        <f>AVERAGE(C36:C39)</f>
        <v/>
      </c>
      <c r="H37" s="29" t="inlineStr">
        <is>
          <t>Ketik: =AVERAGE(C36:C39)</t>
        </is>
      </c>
    </row>
    <row r="38">
      <c r="B38" s="18" t="inlineStr">
        <is>
          <t>Gudang Blok C</t>
        </is>
      </c>
      <c r="C38" s="18" t="n">
        <v>195</v>
      </c>
    </row>
    <row r="39">
      <c r="B39" s="18" t="inlineStr">
        <is>
          <t>Gudang Blok D</t>
        </is>
      </c>
      <c r="C39" s="18" t="n">
        <v>425</v>
      </c>
    </row>
    <row r="42" ht="22" customHeight="1">
      <c r="B42" s="24" t="inlineStr">
        <is>
          <t>🎯 SOAL PRAKTEK #4: Kasus Penjualan Retail &amp; Target Toko</t>
        </is>
      </c>
    </row>
    <row r="43" ht="28" customHeight="1">
      <c r="B43" s="12" t="inlineStr">
        <is>
          <t>Sampel Observasi</t>
        </is>
      </c>
      <c r="C43" s="12" t="inlineStr">
        <is>
          <t>Nilai Pengukuran</t>
        </is>
      </c>
      <c r="E43" s="25" t="inlineStr">
        <is>
          <t>Persoalan #4: Gunakan fungsi analisis statistik pada rentang data C44:C47 (Contoh rumus: =AVERAGE(C44:C47))!</t>
        </is>
      </c>
    </row>
    <row r="44">
      <c r="B44" s="18" t="inlineStr">
        <is>
          <t>Toko Elektronik</t>
        </is>
      </c>
      <c r="C44" s="18" t="n">
        <v>85</v>
      </c>
      <c r="E44" s="12" t="inlineStr">
        <is>
          <t>✏️ KETIK RUMUSMU DI BAWAH:</t>
        </is>
      </c>
      <c r="F44" s="12" t="inlineStr">
        <is>
          <t>📌 STATUS CEK OTOMATIS:</t>
        </is>
      </c>
      <c r="G44" s="12" t="inlineStr">
        <is>
          <t>🎯 TARGET HASIL:</t>
        </is>
      </c>
      <c r="H44" s="12" t="inlineStr">
        <is>
          <t>💡 KUNCI RUMUS (PETUNJUK):</t>
        </is>
      </c>
    </row>
    <row r="45" ht="26" customHeight="1">
      <c r="B45" s="18" t="inlineStr">
        <is>
          <t>Toko Komputer</t>
        </is>
      </c>
      <c r="C45" s="18" t="n">
        <v>92</v>
      </c>
      <c r="E45" s="26" t="n"/>
      <c r="F45" s="27">
        <f>IF(ISBLANK(E45), "⏳ Ketik rumus di sel kuning E45", IF(E45=G45, "✅ BENAR! LUAR BIASA!", "❌ Belum Tepat, Cek Kunci"))</f>
        <v/>
      </c>
      <c r="G45" s="28">
        <f>AVERAGE(C44:C47)</f>
        <v/>
      </c>
      <c r="H45" s="29" t="inlineStr">
        <is>
          <t>Ketik: =AVERAGE(C44:C47)</t>
        </is>
      </c>
    </row>
    <row r="46">
      <c r="B46" s="18" t="inlineStr">
        <is>
          <t>Toko Aksesoris</t>
        </is>
      </c>
      <c r="C46" s="18" t="n">
        <v>78</v>
      </c>
    </row>
    <row r="47">
      <c r="B47" s="18" t="inlineStr">
        <is>
          <t>Toko Servis</t>
        </is>
      </c>
      <c r="C47" s="18" t="n">
        <v>95</v>
      </c>
    </row>
    <row r="50" ht="22" customHeight="1">
      <c r="B50" s="24" t="inlineStr">
        <is>
          <t>🎯 SOAL PRAKTEK #5: Kasus Akademik Sekolah &amp; Layanan Publik</t>
        </is>
      </c>
    </row>
    <row r="51" ht="28" customHeight="1">
      <c r="B51" s="12" t="inlineStr">
        <is>
          <t>Sampel Observasi</t>
        </is>
      </c>
      <c r="C51" s="12" t="inlineStr">
        <is>
          <t>Nilai Pengukuran</t>
        </is>
      </c>
      <c r="E51" s="25" t="inlineStr">
        <is>
          <t>Persoalan #5: Gunakan fungsi analisis statistik pada rentang data C52:C55 (Contoh rumus: =AVERAGE(C52:C55))!</t>
        </is>
      </c>
    </row>
    <row r="52">
      <c r="B52" s="18" t="inlineStr">
        <is>
          <t>Kelas 10 IPA</t>
        </is>
      </c>
      <c r="C52" s="18" t="n">
        <v>82</v>
      </c>
      <c r="E52" s="12" t="inlineStr">
        <is>
          <t>✏️ KETIK RUMUSMU DI BAWAH:</t>
        </is>
      </c>
      <c r="F52" s="12" t="inlineStr">
        <is>
          <t>📌 STATUS CEK OTOMATIS:</t>
        </is>
      </c>
      <c r="G52" s="12" t="inlineStr">
        <is>
          <t>🎯 TARGET HASIL:</t>
        </is>
      </c>
      <c r="H52" s="12" t="inlineStr">
        <is>
          <t>💡 KUNCI RUMUS (PETUNJUK):</t>
        </is>
      </c>
    </row>
    <row r="53" ht="26" customHeight="1">
      <c r="B53" s="18" t="inlineStr">
        <is>
          <t>Kelas 11 IPA</t>
        </is>
      </c>
      <c r="C53" s="18" t="n">
        <v>88</v>
      </c>
      <c r="E53" s="26" t="n"/>
      <c r="F53" s="27">
        <f>IF(ISBLANK(E53), "⏳ Ketik rumus di sel kuning E53", IF(E53=G53, "✅ BENAR! LUAR BIASA!", "❌ Belum Tepat, Cek Kunci"))</f>
        <v/>
      </c>
      <c r="G53" s="28">
        <f>AVERAGE(C52:C55)</f>
        <v/>
      </c>
      <c r="H53" s="29" t="inlineStr">
        <is>
          <t>Ketik: =AVERAGE(C52:C55)</t>
        </is>
      </c>
    </row>
    <row r="54">
      <c r="B54" s="18" t="inlineStr">
        <is>
          <t>Kelas 12 IPA</t>
        </is>
      </c>
      <c r="C54" s="18" t="n">
        <v>91</v>
      </c>
    </row>
    <row r="55">
      <c r="B55" s="18" t="inlineStr">
        <is>
          <t>Kelas Unggulan</t>
        </is>
      </c>
      <c r="C55" s="18" t="n">
        <v>79</v>
      </c>
    </row>
  </sheetData>
  <mergeCells count="21">
    <mergeCell ref="B2:G2"/>
    <mergeCell ref="B9:H9"/>
    <mergeCell ref="B50:H50"/>
    <mergeCell ref="B26:H26"/>
    <mergeCell ref="B4:H4"/>
    <mergeCell ref="E43:H43"/>
    <mergeCell ref="B16:H16"/>
    <mergeCell ref="C7:H7"/>
    <mergeCell ref="B18:H18"/>
    <mergeCell ref="E35:H35"/>
    <mergeCell ref="E51:H51"/>
    <mergeCell ref="B42:H42"/>
    <mergeCell ref="E19:H19"/>
    <mergeCell ref="E10:H10"/>
    <mergeCell ref="F11:H11"/>
    <mergeCell ref="C6:H6"/>
    <mergeCell ref="B1:H1"/>
    <mergeCell ref="C5:H5"/>
    <mergeCell ref="B34:H34"/>
    <mergeCell ref="F12:H12"/>
    <mergeCell ref="E27:H27"/>
  </mergeCells>
  <hyperlinks>
    <hyperlink xmlns:r="http://schemas.openxmlformats.org/officeDocument/2006/relationships" ref="H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2026-10-13T03:18:31Z</dcterms:created>
  <dcterms:modified xmlns:dcterms="http://purl.org/dc/terms/" xmlns:xsi="http://www.w3.org/2001/XMLSchema-instance" xsi:type="dcterms:W3CDTF">2026-10-13T03:18:32Z</dcterms:modified>
</cp:coreProperties>
</file>