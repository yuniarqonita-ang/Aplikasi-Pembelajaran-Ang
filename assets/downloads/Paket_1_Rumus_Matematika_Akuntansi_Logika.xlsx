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DAFTAR_ISI" sheetId="1" state="visible" r:id="rId1"/>
    <sheet xmlns:r="http://schemas.openxmlformats.org/officeDocument/2006/relationships" name="SUM" sheetId="2" state="visible" r:id="rId2"/>
    <sheet xmlns:r="http://schemas.openxmlformats.org/officeDocument/2006/relationships" name="SUMIF" sheetId="3" state="visible" r:id="rId3"/>
    <sheet xmlns:r="http://schemas.openxmlformats.org/officeDocument/2006/relationships" name="SUMIFS" sheetId="4" state="visible" r:id="rId4"/>
    <sheet xmlns:r="http://schemas.openxmlformats.org/officeDocument/2006/relationships" name="PRODUCT" sheetId="5" state="visible" r:id="rId5"/>
    <sheet xmlns:r="http://schemas.openxmlformats.org/officeDocument/2006/relationships" name="SUMPRODUCT" sheetId="6" state="visible" r:id="rId6"/>
    <sheet xmlns:r="http://schemas.openxmlformats.org/officeDocument/2006/relationships" name="ROUND" sheetId="7" state="visible" r:id="rId7"/>
    <sheet xmlns:r="http://schemas.openxmlformats.org/officeDocument/2006/relationships" name="ROUNDUP" sheetId="8" state="visible" r:id="rId8"/>
    <sheet xmlns:r="http://schemas.openxmlformats.org/officeDocument/2006/relationships" name="ROUNDDOWN" sheetId="9" state="visible" r:id="rId9"/>
    <sheet xmlns:r="http://schemas.openxmlformats.org/officeDocument/2006/relationships" name="MROUND" sheetId="10" state="visible" r:id="rId10"/>
    <sheet xmlns:r="http://schemas.openxmlformats.org/officeDocument/2006/relationships" name="CEILING" sheetId="11" state="visible" r:id="rId11"/>
    <sheet xmlns:r="http://schemas.openxmlformats.org/officeDocument/2006/relationships" name="FLOOR" sheetId="12" state="visible" r:id="rId12"/>
    <sheet xmlns:r="http://schemas.openxmlformats.org/officeDocument/2006/relationships" name="INT" sheetId="13" state="visible" r:id="rId13"/>
    <sheet xmlns:r="http://schemas.openxmlformats.org/officeDocument/2006/relationships" name="TRUNC" sheetId="14" state="visible" r:id="rId14"/>
    <sheet xmlns:r="http://schemas.openxmlformats.org/officeDocument/2006/relationships" name="MOD" sheetId="15" state="visible" r:id="rId15"/>
    <sheet xmlns:r="http://schemas.openxmlformats.org/officeDocument/2006/relationships" name="QUOTIENT" sheetId="16" state="visible" r:id="rId16"/>
    <sheet xmlns:r="http://schemas.openxmlformats.org/officeDocument/2006/relationships" name="ABS" sheetId="17" state="visible" r:id="rId17"/>
    <sheet xmlns:r="http://schemas.openxmlformats.org/officeDocument/2006/relationships" name="POWER" sheetId="18" state="visible" r:id="rId18"/>
    <sheet xmlns:r="http://schemas.openxmlformats.org/officeDocument/2006/relationships" name="SQRT" sheetId="19" state="visible" r:id="rId19"/>
    <sheet xmlns:r="http://schemas.openxmlformats.org/officeDocument/2006/relationships" name="SUBTOTAL" sheetId="20" state="visible" r:id="rId20"/>
    <sheet xmlns:r="http://schemas.openxmlformats.org/officeDocument/2006/relationships" name="AGGREGATE" sheetId="21" state="visible" r:id="rId21"/>
    <sheet xmlns:r="http://schemas.openxmlformats.org/officeDocument/2006/relationships" name="RANDBETWEEN" sheetId="22" state="visible" r:id="rId22"/>
    <sheet xmlns:r="http://schemas.openxmlformats.org/officeDocument/2006/relationships" name="SIGN" sheetId="23" state="visible" r:id="rId23"/>
    <sheet xmlns:r="http://schemas.openxmlformats.org/officeDocument/2006/relationships" name="EVEN" sheetId="24" state="visible" r:id="rId24"/>
    <sheet xmlns:r="http://schemas.openxmlformats.org/officeDocument/2006/relationships" name="ODD" sheetId="25" state="visible" r:id="rId25"/>
    <sheet xmlns:r="http://schemas.openxmlformats.org/officeDocument/2006/relationships" name="FACT" sheetId="26" state="visible" r:id="rId26"/>
    <sheet xmlns:r="http://schemas.openxmlformats.org/officeDocument/2006/relationships" name="GCD" sheetId="27" state="visible" r:id="rId27"/>
    <sheet xmlns:r="http://schemas.openxmlformats.org/officeDocument/2006/relationships" name="LCM" sheetId="28" state="visible" r:id="rId28"/>
    <sheet xmlns:r="http://schemas.openxmlformats.org/officeDocument/2006/relationships" name="ROMAN" sheetId="29" state="visible" r:id="rId29"/>
    <sheet xmlns:r="http://schemas.openxmlformats.org/officeDocument/2006/relationships" name="ARABIC" sheetId="30" state="visible" r:id="rId30"/>
    <sheet xmlns:r="http://schemas.openxmlformats.org/officeDocument/2006/relationships" name="IF" sheetId="31" state="visible" r:id="rId31"/>
    <sheet xmlns:r="http://schemas.openxmlformats.org/officeDocument/2006/relationships" name="IFS" sheetId="32" state="visible" r:id="rId32"/>
    <sheet xmlns:r="http://schemas.openxmlformats.org/officeDocument/2006/relationships" name="AND" sheetId="33" state="visible" r:id="rId33"/>
    <sheet xmlns:r="http://schemas.openxmlformats.org/officeDocument/2006/relationships" name="OR" sheetId="34" state="visible" r:id="rId34"/>
    <sheet xmlns:r="http://schemas.openxmlformats.org/officeDocument/2006/relationships" name="NOT" sheetId="35" state="visible" r:id="rId35"/>
    <sheet xmlns:r="http://schemas.openxmlformats.org/officeDocument/2006/relationships" name="XOR" sheetId="36" state="visible" r:id="rId36"/>
    <sheet xmlns:r="http://schemas.openxmlformats.org/officeDocument/2006/relationships" name="IFERROR" sheetId="37" state="visible" r:id="rId37"/>
    <sheet xmlns:r="http://schemas.openxmlformats.org/officeDocument/2006/relationships" name="IFNA" sheetId="38" state="visible" r:id="rId38"/>
    <sheet xmlns:r="http://schemas.openxmlformats.org/officeDocument/2006/relationships" name="TRUE" sheetId="39" state="visible" r:id="rId39"/>
    <sheet xmlns:r="http://schemas.openxmlformats.org/officeDocument/2006/relationships" name="FALSE" sheetId="40" state="visible" r:id="rId40"/>
    <sheet xmlns:r="http://schemas.openxmlformats.org/officeDocument/2006/relationships" name="99_KUNCI_JAWABAN" sheetId="41" state="visible" r:id="rId4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E2E8F0"/>
      <sz val="10"/>
    </font>
    <font>
      <name val="Segoe UI"/>
      <b val="1"/>
      <color rgb="00FDE047"/>
      <sz val="10"/>
      <u val="single"/>
    </font>
    <font>
      <name val="Segoe UI"/>
      <b val="1"/>
      <color rgb="00FFFFFF"/>
      <sz val="10"/>
    </font>
    <font>
      <name val="Segoe UI"/>
      <b val="1"/>
      <color rgb="0038BDF8"/>
      <sz val="10"/>
      <u val="single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Consolas"/>
      <b val="1"/>
      <color rgb="000369A1"/>
      <sz val="10"/>
    </font>
    <font>
      <name val="Segoe UI"/>
      <color rgb="001E293B"/>
      <sz val="10"/>
    </font>
    <font>
      <name val="Consolas"/>
      <b val="1"/>
      <color rgb="000F172A"/>
      <sz val="11"/>
    </font>
    <font>
      <name val="Segoe UI"/>
      <b val="1"/>
      <i val="1"/>
      <color rgb="007C2D12"/>
      <sz val="9"/>
    </font>
    <font>
      <name val="Segoe UI"/>
      <b val="1"/>
      <color rgb="00065F46"/>
      <sz val="10"/>
    </font>
    <font>
      <name val="Segoe UI"/>
      <b val="1"/>
      <color rgb="002563EB"/>
      <sz val="10"/>
      <u val="single"/>
    </font>
  </fonts>
  <fills count="12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0284C7"/>
        <bgColor rgb="000284C7"/>
      </patternFill>
    </fill>
    <fill>
      <patternFill patternType="solid">
        <fgColor rgb="00E0F2FE"/>
        <bgColor rgb="00E0F2FE"/>
      </patternFill>
    </fill>
    <fill>
      <patternFill patternType="solid">
        <fgColor rgb="00F8FAFC"/>
        <bgColor rgb="00F8FAFC"/>
      </patternFill>
    </fill>
    <fill>
      <patternFill patternType="solid">
        <fgColor rgb="00059669"/>
        <bgColor rgb="00059669"/>
      </patternFill>
    </fill>
    <fill>
      <patternFill patternType="solid">
        <fgColor rgb="00DCFCE7"/>
        <bgColor rgb="00DCFCE7"/>
      </patternFill>
    </fill>
    <fill>
      <patternFill patternType="solid">
        <fgColor rgb="007C3AED"/>
        <bgColor rgb="007C3AED"/>
      </patternFill>
    </fill>
    <fill>
      <patternFill patternType="solid">
        <fgColor rgb="00FEF3C7"/>
        <bgColor rgb="00FEF3C7"/>
      </patternFill>
    </fill>
    <fill>
      <patternFill patternType="solid">
        <fgColor rgb="00D97706"/>
        <bgColor rgb="00D97706"/>
      </patternFill>
    </fill>
    <fill>
      <patternFill patternType="solid">
        <fgColor rgb="00FEF08A"/>
        <bgColor rgb="00FEF08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D97706"/>
      </left>
      <right style="medium">
        <color rgb="00D97706"/>
      </right>
      <top style="medium">
        <color rgb="00D97706"/>
      </top>
      <bottom style="medium">
        <color rgb="00D9770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8" fillId="0" borderId="1" pivotButton="0" quotePrefix="0" xfId="0"/>
    <xf numFmtId="0" fontId="13" fillId="0" borderId="1" pivotButton="0" quotePrefix="0" xfId="0"/>
    <xf numFmtId="0" fontId="7" fillId="9" borderId="1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5" fillId="2" borderId="0" applyAlignment="1" pivotButton="0" quotePrefix="0" xfId="0">
      <alignment horizontal="center" vertical="center"/>
    </xf>
    <xf numFmtId="0" fontId="6" fillId="3" borderId="0" pivotButton="0" quotePrefix="0" xfId="0"/>
    <xf numFmtId="0" fontId="7" fillId="4" borderId="1" pivotButton="0" quotePrefix="0" xfId="0"/>
    <xf numFmtId="0" fontId="8" fillId="5" borderId="1" applyAlignment="1" pivotButton="0" quotePrefix="0" xfId="0">
      <alignment vertical="center" wrapText="1"/>
    </xf>
    <xf numFmtId="0" fontId="9" fillId="5" borderId="1" applyAlignment="1" pivotButton="0" quotePrefix="0" xfId="0">
      <alignment vertical="center" wrapText="1"/>
    </xf>
    <xf numFmtId="0" fontId="6" fillId="6" borderId="0" pivotButton="0" quotePrefix="0" xfId="0"/>
    <xf numFmtId="0" fontId="7" fillId="7" borderId="1" pivotButton="0" quotePrefix="0" xfId="0"/>
    <xf numFmtId="0" fontId="9" fillId="0" borderId="1" pivotButton="0" quotePrefix="0" xfId="0"/>
    <xf numFmtId="0" fontId="7" fillId="5" borderId="1" pivotButton="0" quotePrefix="0" xfId="0"/>
    <xf numFmtId="0" fontId="9" fillId="0" borderId="1" applyAlignment="1" pivotButton="0" quotePrefix="0" xfId="0">
      <alignment vertical="center" wrapText="1"/>
    </xf>
    <xf numFmtId="0" fontId="8" fillId="7" borderId="1" pivotButton="0" quotePrefix="0" xfId="0"/>
    <xf numFmtId="0" fontId="10" fillId="7" borderId="1" applyAlignment="1" pivotButton="0" quotePrefix="0" xfId="0">
      <alignment horizontal="left" vertical="center"/>
    </xf>
    <xf numFmtId="0" fontId="6" fillId="8" borderId="0" pivotButton="0" quotePrefix="0" xfId="0"/>
    <xf numFmtId="0" fontId="11" fillId="9" borderId="0" pivotButton="0" quotePrefix="0" xfId="0"/>
    <xf numFmtId="0" fontId="6" fillId="10" borderId="0" pivotButton="0" quotePrefix="0" xfId="0"/>
    <xf numFmtId="0" fontId="7" fillId="0" borderId="0" applyAlignment="1" pivotButton="0" quotePrefix="0" xfId="0">
      <alignment vertical="center" wrapText="1"/>
    </xf>
    <xf numFmtId="0" fontId="10" fillId="11" borderId="2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4" fillId="6" borderId="1" pivotButton="0" quotePrefix="0" xfId="0"/>
    <xf numFmtId="0" fontId="8" fillId="0" borderId="1" applyAlignment="1" pivotButton="0" quotePrefix="0" xfId="0">
      <alignment horizontal="center"/>
    </xf>
    <xf numFmtId="0" fontId="7" fillId="9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99_KUNCI_JAWABAN'!A1" TargetMode="External" Id="rId1"/><Relationship Type="http://schemas.openxmlformats.org/officeDocument/2006/relationships/hyperlink" Target="#'SUM'!A1" TargetMode="External" Id="rId2"/><Relationship Type="http://schemas.openxmlformats.org/officeDocument/2006/relationships/hyperlink" Target="#'SUMIF'!A1" TargetMode="External" Id="rId3"/><Relationship Type="http://schemas.openxmlformats.org/officeDocument/2006/relationships/hyperlink" Target="#'SUMIFS'!A1" TargetMode="External" Id="rId4"/><Relationship Type="http://schemas.openxmlformats.org/officeDocument/2006/relationships/hyperlink" Target="#'PRODUCT'!A1" TargetMode="External" Id="rId5"/><Relationship Type="http://schemas.openxmlformats.org/officeDocument/2006/relationships/hyperlink" Target="#'SUMPRODUCT'!A1" TargetMode="External" Id="rId6"/><Relationship Type="http://schemas.openxmlformats.org/officeDocument/2006/relationships/hyperlink" Target="#'ROUND'!A1" TargetMode="External" Id="rId7"/><Relationship Type="http://schemas.openxmlformats.org/officeDocument/2006/relationships/hyperlink" Target="#'ROUNDUP'!A1" TargetMode="External" Id="rId8"/><Relationship Type="http://schemas.openxmlformats.org/officeDocument/2006/relationships/hyperlink" Target="#'ROUNDDOWN'!A1" TargetMode="External" Id="rId9"/><Relationship Type="http://schemas.openxmlformats.org/officeDocument/2006/relationships/hyperlink" Target="#'MROUND'!A1" TargetMode="External" Id="rId10"/><Relationship Type="http://schemas.openxmlformats.org/officeDocument/2006/relationships/hyperlink" Target="#'CEILING'!A1" TargetMode="External" Id="rId11"/><Relationship Type="http://schemas.openxmlformats.org/officeDocument/2006/relationships/hyperlink" Target="#'FLOOR'!A1" TargetMode="External" Id="rId12"/><Relationship Type="http://schemas.openxmlformats.org/officeDocument/2006/relationships/hyperlink" Target="#'INT'!A1" TargetMode="External" Id="rId13"/><Relationship Type="http://schemas.openxmlformats.org/officeDocument/2006/relationships/hyperlink" Target="#'TRUNC'!A1" TargetMode="External" Id="rId14"/><Relationship Type="http://schemas.openxmlformats.org/officeDocument/2006/relationships/hyperlink" Target="#'MOD'!A1" TargetMode="External" Id="rId15"/><Relationship Type="http://schemas.openxmlformats.org/officeDocument/2006/relationships/hyperlink" Target="#'QUOTIENT'!A1" TargetMode="External" Id="rId16"/><Relationship Type="http://schemas.openxmlformats.org/officeDocument/2006/relationships/hyperlink" Target="#'ABS'!A1" TargetMode="External" Id="rId17"/><Relationship Type="http://schemas.openxmlformats.org/officeDocument/2006/relationships/hyperlink" Target="#'POWER'!A1" TargetMode="External" Id="rId18"/><Relationship Type="http://schemas.openxmlformats.org/officeDocument/2006/relationships/hyperlink" Target="#'SQRT'!A1" TargetMode="External" Id="rId19"/><Relationship Type="http://schemas.openxmlformats.org/officeDocument/2006/relationships/hyperlink" Target="#'SUBTOTAL'!A1" TargetMode="External" Id="rId20"/><Relationship Type="http://schemas.openxmlformats.org/officeDocument/2006/relationships/hyperlink" Target="#'AGGREGATE'!A1" TargetMode="External" Id="rId21"/><Relationship Type="http://schemas.openxmlformats.org/officeDocument/2006/relationships/hyperlink" Target="#'RANDBETWEEN'!A1" TargetMode="External" Id="rId22"/><Relationship Type="http://schemas.openxmlformats.org/officeDocument/2006/relationships/hyperlink" Target="#'SIGN'!A1" TargetMode="External" Id="rId23"/><Relationship Type="http://schemas.openxmlformats.org/officeDocument/2006/relationships/hyperlink" Target="#'EVEN'!A1" TargetMode="External" Id="rId24"/><Relationship Type="http://schemas.openxmlformats.org/officeDocument/2006/relationships/hyperlink" Target="#'ODD'!A1" TargetMode="External" Id="rId25"/><Relationship Type="http://schemas.openxmlformats.org/officeDocument/2006/relationships/hyperlink" Target="#'FACT'!A1" TargetMode="External" Id="rId26"/><Relationship Type="http://schemas.openxmlformats.org/officeDocument/2006/relationships/hyperlink" Target="#'GCD'!A1" TargetMode="External" Id="rId27"/><Relationship Type="http://schemas.openxmlformats.org/officeDocument/2006/relationships/hyperlink" Target="#'LCM'!A1" TargetMode="External" Id="rId28"/><Relationship Type="http://schemas.openxmlformats.org/officeDocument/2006/relationships/hyperlink" Target="#'ROMAN'!A1" TargetMode="External" Id="rId29"/><Relationship Type="http://schemas.openxmlformats.org/officeDocument/2006/relationships/hyperlink" Target="#'ARABIC'!A1" TargetMode="External" Id="rId30"/><Relationship Type="http://schemas.openxmlformats.org/officeDocument/2006/relationships/hyperlink" Target="#'IF'!A1" TargetMode="External" Id="rId31"/><Relationship Type="http://schemas.openxmlformats.org/officeDocument/2006/relationships/hyperlink" Target="#'IFS'!A1" TargetMode="External" Id="rId32"/><Relationship Type="http://schemas.openxmlformats.org/officeDocument/2006/relationships/hyperlink" Target="#'AND'!A1" TargetMode="External" Id="rId33"/><Relationship Type="http://schemas.openxmlformats.org/officeDocument/2006/relationships/hyperlink" Target="#'OR'!A1" TargetMode="External" Id="rId34"/><Relationship Type="http://schemas.openxmlformats.org/officeDocument/2006/relationships/hyperlink" Target="#'NOT'!A1" TargetMode="External" Id="rId35"/><Relationship Type="http://schemas.openxmlformats.org/officeDocument/2006/relationships/hyperlink" Target="#'XOR'!A1" TargetMode="External" Id="rId36"/><Relationship Type="http://schemas.openxmlformats.org/officeDocument/2006/relationships/hyperlink" Target="#'IFERROR'!A1" TargetMode="External" Id="rId37"/><Relationship Type="http://schemas.openxmlformats.org/officeDocument/2006/relationships/hyperlink" Target="#'IFNA'!A1" TargetMode="External" Id="rId38"/><Relationship Type="http://schemas.openxmlformats.org/officeDocument/2006/relationships/hyperlink" Target="#'TRUE'!A1" TargetMode="External" Id="rId39"/><Relationship Type="http://schemas.openxmlformats.org/officeDocument/2006/relationships/hyperlink" Target="#'FALSE'!A1" TargetMode="External" Id="rId40"/><Relationship Type="http://schemas.openxmlformats.org/officeDocument/2006/relationships/hyperlink" Target="#'99_KUNCI_JAWABAN'!A1" TargetMode="External" Id="rId41"/></Relationships>
</file>

<file path=xl/worksheets/_rels/sheet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4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4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SUM'!E22" TargetMode="External" Id="rId2"/><Relationship Type="http://schemas.openxmlformats.org/officeDocument/2006/relationships/hyperlink" Target="#'SUM'!E30" TargetMode="External" Id="rId3"/><Relationship Type="http://schemas.openxmlformats.org/officeDocument/2006/relationships/hyperlink" Target="#'SUM'!E38" TargetMode="External" Id="rId4"/><Relationship Type="http://schemas.openxmlformats.org/officeDocument/2006/relationships/hyperlink" Target="#'SUM'!E46" TargetMode="External" Id="rId5"/><Relationship Type="http://schemas.openxmlformats.org/officeDocument/2006/relationships/hyperlink" Target="#'SUM'!E54" TargetMode="External" Id="rId6"/><Relationship Type="http://schemas.openxmlformats.org/officeDocument/2006/relationships/hyperlink" Target="#'SUMIF'!E22" TargetMode="External" Id="rId7"/><Relationship Type="http://schemas.openxmlformats.org/officeDocument/2006/relationships/hyperlink" Target="#'SUMIF'!E30" TargetMode="External" Id="rId8"/><Relationship Type="http://schemas.openxmlformats.org/officeDocument/2006/relationships/hyperlink" Target="#'SUMIF'!E38" TargetMode="External" Id="rId9"/><Relationship Type="http://schemas.openxmlformats.org/officeDocument/2006/relationships/hyperlink" Target="#'SUMIF'!E46" TargetMode="External" Id="rId10"/><Relationship Type="http://schemas.openxmlformats.org/officeDocument/2006/relationships/hyperlink" Target="#'SUMIF'!E54" TargetMode="External" Id="rId11"/><Relationship Type="http://schemas.openxmlformats.org/officeDocument/2006/relationships/hyperlink" Target="#'SUMIFS'!E22" TargetMode="External" Id="rId12"/><Relationship Type="http://schemas.openxmlformats.org/officeDocument/2006/relationships/hyperlink" Target="#'SUMIFS'!E30" TargetMode="External" Id="rId13"/><Relationship Type="http://schemas.openxmlformats.org/officeDocument/2006/relationships/hyperlink" Target="#'SUMIFS'!E38" TargetMode="External" Id="rId14"/><Relationship Type="http://schemas.openxmlformats.org/officeDocument/2006/relationships/hyperlink" Target="#'SUMIFS'!E46" TargetMode="External" Id="rId15"/><Relationship Type="http://schemas.openxmlformats.org/officeDocument/2006/relationships/hyperlink" Target="#'SUMIFS'!E54" TargetMode="External" Id="rId16"/><Relationship Type="http://schemas.openxmlformats.org/officeDocument/2006/relationships/hyperlink" Target="#'PRODUCT'!E22" TargetMode="External" Id="rId17"/><Relationship Type="http://schemas.openxmlformats.org/officeDocument/2006/relationships/hyperlink" Target="#'PRODUCT'!E30" TargetMode="External" Id="rId18"/><Relationship Type="http://schemas.openxmlformats.org/officeDocument/2006/relationships/hyperlink" Target="#'PRODUCT'!E38" TargetMode="External" Id="rId19"/><Relationship Type="http://schemas.openxmlformats.org/officeDocument/2006/relationships/hyperlink" Target="#'PRODUCT'!E46" TargetMode="External" Id="rId20"/><Relationship Type="http://schemas.openxmlformats.org/officeDocument/2006/relationships/hyperlink" Target="#'PRODUCT'!E54" TargetMode="External" Id="rId21"/><Relationship Type="http://schemas.openxmlformats.org/officeDocument/2006/relationships/hyperlink" Target="#'SUMPRODUCT'!E22" TargetMode="External" Id="rId22"/><Relationship Type="http://schemas.openxmlformats.org/officeDocument/2006/relationships/hyperlink" Target="#'SUMPRODUCT'!E30" TargetMode="External" Id="rId23"/><Relationship Type="http://schemas.openxmlformats.org/officeDocument/2006/relationships/hyperlink" Target="#'SUMPRODUCT'!E38" TargetMode="External" Id="rId24"/><Relationship Type="http://schemas.openxmlformats.org/officeDocument/2006/relationships/hyperlink" Target="#'SUMPRODUCT'!E46" TargetMode="External" Id="rId25"/><Relationship Type="http://schemas.openxmlformats.org/officeDocument/2006/relationships/hyperlink" Target="#'SUMPRODUCT'!E54" TargetMode="External" Id="rId26"/><Relationship Type="http://schemas.openxmlformats.org/officeDocument/2006/relationships/hyperlink" Target="#'ROUND'!E22" TargetMode="External" Id="rId27"/><Relationship Type="http://schemas.openxmlformats.org/officeDocument/2006/relationships/hyperlink" Target="#'ROUND'!E30" TargetMode="External" Id="rId28"/><Relationship Type="http://schemas.openxmlformats.org/officeDocument/2006/relationships/hyperlink" Target="#'ROUND'!E38" TargetMode="External" Id="rId29"/><Relationship Type="http://schemas.openxmlformats.org/officeDocument/2006/relationships/hyperlink" Target="#'ROUND'!E46" TargetMode="External" Id="rId30"/><Relationship Type="http://schemas.openxmlformats.org/officeDocument/2006/relationships/hyperlink" Target="#'ROUND'!E54" TargetMode="External" Id="rId31"/><Relationship Type="http://schemas.openxmlformats.org/officeDocument/2006/relationships/hyperlink" Target="#'ROUNDUP'!E22" TargetMode="External" Id="rId32"/><Relationship Type="http://schemas.openxmlformats.org/officeDocument/2006/relationships/hyperlink" Target="#'ROUNDUP'!E30" TargetMode="External" Id="rId33"/><Relationship Type="http://schemas.openxmlformats.org/officeDocument/2006/relationships/hyperlink" Target="#'ROUNDUP'!E38" TargetMode="External" Id="rId34"/><Relationship Type="http://schemas.openxmlformats.org/officeDocument/2006/relationships/hyperlink" Target="#'ROUNDUP'!E46" TargetMode="External" Id="rId35"/><Relationship Type="http://schemas.openxmlformats.org/officeDocument/2006/relationships/hyperlink" Target="#'ROUNDUP'!E54" TargetMode="External" Id="rId36"/><Relationship Type="http://schemas.openxmlformats.org/officeDocument/2006/relationships/hyperlink" Target="#'ROUNDDOWN'!E22" TargetMode="External" Id="rId37"/><Relationship Type="http://schemas.openxmlformats.org/officeDocument/2006/relationships/hyperlink" Target="#'ROUNDDOWN'!E30" TargetMode="External" Id="rId38"/><Relationship Type="http://schemas.openxmlformats.org/officeDocument/2006/relationships/hyperlink" Target="#'ROUNDDOWN'!E38" TargetMode="External" Id="rId39"/><Relationship Type="http://schemas.openxmlformats.org/officeDocument/2006/relationships/hyperlink" Target="#'ROUNDDOWN'!E46" TargetMode="External" Id="rId40"/><Relationship Type="http://schemas.openxmlformats.org/officeDocument/2006/relationships/hyperlink" Target="#'ROUNDDOWN'!E54" TargetMode="External" Id="rId41"/><Relationship Type="http://schemas.openxmlformats.org/officeDocument/2006/relationships/hyperlink" Target="#'MROUND'!E22" TargetMode="External" Id="rId42"/><Relationship Type="http://schemas.openxmlformats.org/officeDocument/2006/relationships/hyperlink" Target="#'MROUND'!E30" TargetMode="External" Id="rId43"/><Relationship Type="http://schemas.openxmlformats.org/officeDocument/2006/relationships/hyperlink" Target="#'MROUND'!E38" TargetMode="External" Id="rId44"/><Relationship Type="http://schemas.openxmlformats.org/officeDocument/2006/relationships/hyperlink" Target="#'MROUND'!E46" TargetMode="External" Id="rId45"/><Relationship Type="http://schemas.openxmlformats.org/officeDocument/2006/relationships/hyperlink" Target="#'MROUND'!E54" TargetMode="External" Id="rId46"/><Relationship Type="http://schemas.openxmlformats.org/officeDocument/2006/relationships/hyperlink" Target="#'CEILING'!E22" TargetMode="External" Id="rId47"/><Relationship Type="http://schemas.openxmlformats.org/officeDocument/2006/relationships/hyperlink" Target="#'CEILING'!E30" TargetMode="External" Id="rId48"/><Relationship Type="http://schemas.openxmlformats.org/officeDocument/2006/relationships/hyperlink" Target="#'CEILING'!E38" TargetMode="External" Id="rId49"/><Relationship Type="http://schemas.openxmlformats.org/officeDocument/2006/relationships/hyperlink" Target="#'CEILING'!E46" TargetMode="External" Id="rId50"/><Relationship Type="http://schemas.openxmlformats.org/officeDocument/2006/relationships/hyperlink" Target="#'CEILING'!E54" TargetMode="External" Id="rId51"/><Relationship Type="http://schemas.openxmlformats.org/officeDocument/2006/relationships/hyperlink" Target="#'FLOOR'!E22" TargetMode="External" Id="rId52"/><Relationship Type="http://schemas.openxmlformats.org/officeDocument/2006/relationships/hyperlink" Target="#'FLOOR'!E30" TargetMode="External" Id="rId53"/><Relationship Type="http://schemas.openxmlformats.org/officeDocument/2006/relationships/hyperlink" Target="#'FLOOR'!E38" TargetMode="External" Id="rId54"/><Relationship Type="http://schemas.openxmlformats.org/officeDocument/2006/relationships/hyperlink" Target="#'FLOOR'!E46" TargetMode="External" Id="rId55"/><Relationship Type="http://schemas.openxmlformats.org/officeDocument/2006/relationships/hyperlink" Target="#'FLOOR'!E54" TargetMode="External" Id="rId56"/><Relationship Type="http://schemas.openxmlformats.org/officeDocument/2006/relationships/hyperlink" Target="#'INT'!E22" TargetMode="External" Id="rId57"/><Relationship Type="http://schemas.openxmlformats.org/officeDocument/2006/relationships/hyperlink" Target="#'INT'!E30" TargetMode="External" Id="rId58"/><Relationship Type="http://schemas.openxmlformats.org/officeDocument/2006/relationships/hyperlink" Target="#'INT'!E38" TargetMode="External" Id="rId59"/><Relationship Type="http://schemas.openxmlformats.org/officeDocument/2006/relationships/hyperlink" Target="#'INT'!E46" TargetMode="External" Id="rId60"/><Relationship Type="http://schemas.openxmlformats.org/officeDocument/2006/relationships/hyperlink" Target="#'INT'!E54" TargetMode="External" Id="rId61"/><Relationship Type="http://schemas.openxmlformats.org/officeDocument/2006/relationships/hyperlink" Target="#'TRUNC'!E22" TargetMode="External" Id="rId62"/><Relationship Type="http://schemas.openxmlformats.org/officeDocument/2006/relationships/hyperlink" Target="#'TRUNC'!E30" TargetMode="External" Id="rId63"/><Relationship Type="http://schemas.openxmlformats.org/officeDocument/2006/relationships/hyperlink" Target="#'TRUNC'!E38" TargetMode="External" Id="rId64"/><Relationship Type="http://schemas.openxmlformats.org/officeDocument/2006/relationships/hyperlink" Target="#'TRUNC'!E46" TargetMode="External" Id="rId65"/><Relationship Type="http://schemas.openxmlformats.org/officeDocument/2006/relationships/hyperlink" Target="#'TRUNC'!E54" TargetMode="External" Id="rId66"/><Relationship Type="http://schemas.openxmlformats.org/officeDocument/2006/relationships/hyperlink" Target="#'MOD'!E22" TargetMode="External" Id="rId67"/><Relationship Type="http://schemas.openxmlformats.org/officeDocument/2006/relationships/hyperlink" Target="#'MOD'!E30" TargetMode="External" Id="rId68"/><Relationship Type="http://schemas.openxmlformats.org/officeDocument/2006/relationships/hyperlink" Target="#'MOD'!E38" TargetMode="External" Id="rId69"/><Relationship Type="http://schemas.openxmlformats.org/officeDocument/2006/relationships/hyperlink" Target="#'MOD'!E46" TargetMode="External" Id="rId70"/><Relationship Type="http://schemas.openxmlformats.org/officeDocument/2006/relationships/hyperlink" Target="#'MOD'!E54" TargetMode="External" Id="rId71"/><Relationship Type="http://schemas.openxmlformats.org/officeDocument/2006/relationships/hyperlink" Target="#'QUOTIENT'!E22" TargetMode="External" Id="rId72"/><Relationship Type="http://schemas.openxmlformats.org/officeDocument/2006/relationships/hyperlink" Target="#'QUOTIENT'!E30" TargetMode="External" Id="rId73"/><Relationship Type="http://schemas.openxmlformats.org/officeDocument/2006/relationships/hyperlink" Target="#'QUOTIENT'!E38" TargetMode="External" Id="rId74"/><Relationship Type="http://schemas.openxmlformats.org/officeDocument/2006/relationships/hyperlink" Target="#'QUOTIENT'!E46" TargetMode="External" Id="rId75"/><Relationship Type="http://schemas.openxmlformats.org/officeDocument/2006/relationships/hyperlink" Target="#'QUOTIENT'!E54" TargetMode="External" Id="rId76"/><Relationship Type="http://schemas.openxmlformats.org/officeDocument/2006/relationships/hyperlink" Target="#'ABS'!E22" TargetMode="External" Id="rId77"/><Relationship Type="http://schemas.openxmlformats.org/officeDocument/2006/relationships/hyperlink" Target="#'ABS'!E30" TargetMode="External" Id="rId78"/><Relationship Type="http://schemas.openxmlformats.org/officeDocument/2006/relationships/hyperlink" Target="#'ABS'!E38" TargetMode="External" Id="rId79"/><Relationship Type="http://schemas.openxmlformats.org/officeDocument/2006/relationships/hyperlink" Target="#'ABS'!E46" TargetMode="External" Id="rId80"/><Relationship Type="http://schemas.openxmlformats.org/officeDocument/2006/relationships/hyperlink" Target="#'ABS'!E54" TargetMode="External" Id="rId81"/><Relationship Type="http://schemas.openxmlformats.org/officeDocument/2006/relationships/hyperlink" Target="#'POWER'!E22" TargetMode="External" Id="rId82"/><Relationship Type="http://schemas.openxmlformats.org/officeDocument/2006/relationships/hyperlink" Target="#'POWER'!E30" TargetMode="External" Id="rId83"/><Relationship Type="http://schemas.openxmlformats.org/officeDocument/2006/relationships/hyperlink" Target="#'POWER'!E38" TargetMode="External" Id="rId84"/><Relationship Type="http://schemas.openxmlformats.org/officeDocument/2006/relationships/hyperlink" Target="#'POWER'!E46" TargetMode="External" Id="rId85"/><Relationship Type="http://schemas.openxmlformats.org/officeDocument/2006/relationships/hyperlink" Target="#'POWER'!E54" TargetMode="External" Id="rId86"/><Relationship Type="http://schemas.openxmlformats.org/officeDocument/2006/relationships/hyperlink" Target="#'SQRT'!E22" TargetMode="External" Id="rId87"/><Relationship Type="http://schemas.openxmlformats.org/officeDocument/2006/relationships/hyperlink" Target="#'SQRT'!E30" TargetMode="External" Id="rId88"/><Relationship Type="http://schemas.openxmlformats.org/officeDocument/2006/relationships/hyperlink" Target="#'SQRT'!E38" TargetMode="External" Id="rId89"/><Relationship Type="http://schemas.openxmlformats.org/officeDocument/2006/relationships/hyperlink" Target="#'SQRT'!E46" TargetMode="External" Id="rId90"/><Relationship Type="http://schemas.openxmlformats.org/officeDocument/2006/relationships/hyperlink" Target="#'SQRT'!E54" TargetMode="External" Id="rId91"/><Relationship Type="http://schemas.openxmlformats.org/officeDocument/2006/relationships/hyperlink" Target="#'SUBTOTAL'!E22" TargetMode="External" Id="rId92"/><Relationship Type="http://schemas.openxmlformats.org/officeDocument/2006/relationships/hyperlink" Target="#'SUBTOTAL'!E30" TargetMode="External" Id="rId93"/><Relationship Type="http://schemas.openxmlformats.org/officeDocument/2006/relationships/hyperlink" Target="#'SUBTOTAL'!E38" TargetMode="External" Id="rId94"/><Relationship Type="http://schemas.openxmlformats.org/officeDocument/2006/relationships/hyperlink" Target="#'SUBTOTAL'!E46" TargetMode="External" Id="rId95"/><Relationship Type="http://schemas.openxmlformats.org/officeDocument/2006/relationships/hyperlink" Target="#'SUBTOTAL'!E54" TargetMode="External" Id="rId96"/><Relationship Type="http://schemas.openxmlformats.org/officeDocument/2006/relationships/hyperlink" Target="#'AGGREGATE'!E22" TargetMode="External" Id="rId97"/><Relationship Type="http://schemas.openxmlformats.org/officeDocument/2006/relationships/hyperlink" Target="#'AGGREGATE'!E30" TargetMode="External" Id="rId98"/><Relationship Type="http://schemas.openxmlformats.org/officeDocument/2006/relationships/hyperlink" Target="#'AGGREGATE'!E38" TargetMode="External" Id="rId99"/><Relationship Type="http://schemas.openxmlformats.org/officeDocument/2006/relationships/hyperlink" Target="#'AGGREGATE'!E46" TargetMode="External" Id="rId100"/><Relationship Type="http://schemas.openxmlformats.org/officeDocument/2006/relationships/hyperlink" Target="#'AGGREGATE'!E54" TargetMode="External" Id="rId101"/><Relationship Type="http://schemas.openxmlformats.org/officeDocument/2006/relationships/hyperlink" Target="#'RANDBETWEEN'!E22" TargetMode="External" Id="rId102"/><Relationship Type="http://schemas.openxmlformats.org/officeDocument/2006/relationships/hyperlink" Target="#'RANDBETWEEN'!E30" TargetMode="External" Id="rId103"/><Relationship Type="http://schemas.openxmlformats.org/officeDocument/2006/relationships/hyperlink" Target="#'RANDBETWEEN'!E38" TargetMode="External" Id="rId104"/><Relationship Type="http://schemas.openxmlformats.org/officeDocument/2006/relationships/hyperlink" Target="#'RANDBETWEEN'!E46" TargetMode="External" Id="rId105"/><Relationship Type="http://schemas.openxmlformats.org/officeDocument/2006/relationships/hyperlink" Target="#'RANDBETWEEN'!E54" TargetMode="External" Id="rId106"/><Relationship Type="http://schemas.openxmlformats.org/officeDocument/2006/relationships/hyperlink" Target="#'SIGN'!E22" TargetMode="External" Id="rId107"/><Relationship Type="http://schemas.openxmlformats.org/officeDocument/2006/relationships/hyperlink" Target="#'SIGN'!E30" TargetMode="External" Id="rId108"/><Relationship Type="http://schemas.openxmlformats.org/officeDocument/2006/relationships/hyperlink" Target="#'SIGN'!E38" TargetMode="External" Id="rId109"/><Relationship Type="http://schemas.openxmlformats.org/officeDocument/2006/relationships/hyperlink" Target="#'SIGN'!E46" TargetMode="External" Id="rId110"/><Relationship Type="http://schemas.openxmlformats.org/officeDocument/2006/relationships/hyperlink" Target="#'SIGN'!E54" TargetMode="External" Id="rId111"/><Relationship Type="http://schemas.openxmlformats.org/officeDocument/2006/relationships/hyperlink" Target="#'EVEN'!E22" TargetMode="External" Id="rId112"/><Relationship Type="http://schemas.openxmlformats.org/officeDocument/2006/relationships/hyperlink" Target="#'EVEN'!E30" TargetMode="External" Id="rId113"/><Relationship Type="http://schemas.openxmlformats.org/officeDocument/2006/relationships/hyperlink" Target="#'EVEN'!E38" TargetMode="External" Id="rId114"/><Relationship Type="http://schemas.openxmlformats.org/officeDocument/2006/relationships/hyperlink" Target="#'EVEN'!E46" TargetMode="External" Id="rId115"/><Relationship Type="http://schemas.openxmlformats.org/officeDocument/2006/relationships/hyperlink" Target="#'EVEN'!E54" TargetMode="External" Id="rId116"/><Relationship Type="http://schemas.openxmlformats.org/officeDocument/2006/relationships/hyperlink" Target="#'ODD'!E22" TargetMode="External" Id="rId117"/><Relationship Type="http://schemas.openxmlformats.org/officeDocument/2006/relationships/hyperlink" Target="#'ODD'!E30" TargetMode="External" Id="rId118"/><Relationship Type="http://schemas.openxmlformats.org/officeDocument/2006/relationships/hyperlink" Target="#'ODD'!E38" TargetMode="External" Id="rId119"/><Relationship Type="http://schemas.openxmlformats.org/officeDocument/2006/relationships/hyperlink" Target="#'ODD'!E46" TargetMode="External" Id="rId120"/><Relationship Type="http://schemas.openxmlformats.org/officeDocument/2006/relationships/hyperlink" Target="#'ODD'!E54" TargetMode="External" Id="rId121"/><Relationship Type="http://schemas.openxmlformats.org/officeDocument/2006/relationships/hyperlink" Target="#'FACT'!E22" TargetMode="External" Id="rId122"/><Relationship Type="http://schemas.openxmlformats.org/officeDocument/2006/relationships/hyperlink" Target="#'FACT'!E30" TargetMode="External" Id="rId123"/><Relationship Type="http://schemas.openxmlformats.org/officeDocument/2006/relationships/hyperlink" Target="#'FACT'!E38" TargetMode="External" Id="rId124"/><Relationship Type="http://schemas.openxmlformats.org/officeDocument/2006/relationships/hyperlink" Target="#'FACT'!E46" TargetMode="External" Id="rId125"/><Relationship Type="http://schemas.openxmlformats.org/officeDocument/2006/relationships/hyperlink" Target="#'FACT'!E54" TargetMode="External" Id="rId126"/><Relationship Type="http://schemas.openxmlformats.org/officeDocument/2006/relationships/hyperlink" Target="#'GCD'!E22" TargetMode="External" Id="rId127"/><Relationship Type="http://schemas.openxmlformats.org/officeDocument/2006/relationships/hyperlink" Target="#'GCD'!E30" TargetMode="External" Id="rId128"/><Relationship Type="http://schemas.openxmlformats.org/officeDocument/2006/relationships/hyperlink" Target="#'GCD'!E38" TargetMode="External" Id="rId129"/><Relationship Type="http://schemas.openxmlformats.org/officeDocument/2006/relationships/hyperlink" Target="#'GCD'!E46" TargetMode="External" Id="rId130"/><Relationship Type="http://schemas.openxmlformats.org/officeDocument/2006/relationships/hyperlink" Target="#'GCD'!E54" TargetMode="External" Id="rId131"/><Relationship Type="http://schemas.openxmlformats.org/officeDocument/2006/relationships/hyperlink" Target="#'LCM'!E22" TargetMode="External" Id="rId132"/><Relationship Type="http://schemas.openxmlformats.org/officeDocument/2006/relationships/hyperlink" Target="#'LCM'!E30" TargetMode="External" Id="rId133"/><Relationship Type="http://schemas.openxmlformats.org/officeDocument/2006/relationships/hyperlink" Target="#'LCM'!E38" TargetMode="External" Id="rId134"/><Relationship Type="http://schemas.openxmlformats.org/officeDocument/2006/relationships/hyperlink" Target="#'LCM'!E46" TargetMode="External" Id="rId135"/><Relationship Type="http://schemas.openxmlformats.org/officeDocument/2006/relationships/hyperlink" Target="#'LCM'!E54" TargetMode="External" Id="rId136"/><Relationship Type="http://schemas.openxmlformats.org/officeDocument/2006/relationships/hyperlink" Target="#'ROMAN'!E22" TargetMode="External" Id="rId137"/><Relationship Type="http://schemas.openxmlformats.org/officeDocument/2006/relationships/hyperlink" Target="#'ROMAN'!E30" TargetMode="External" Id="rId138"/><Relationship Type="http://schemas.openxmlformats.org/officeDocument/2006/relationships/hyperlink" Target="#'ROMAN'!E38" TargetMode="External" Id="rId139"/><Relationship Type="http://schemas.openxmlformats.org/officeDocument/2006/relationships/hyperlink" Target="#'ROMAN'!E46" TargetMode="External" Id="rId140"/><Relationship Type="http://schemas.openxmlformats.org/officeDocument/2006/relationships/hyperlink" Target="#'ROMAN'!E54" TargetMode="External" Id="rId141"/><Relationship Type="http://schemas.openxmlformats.org/officeDocument/2006/relationships/hyperlink" Target="#'ARABIC'!E22" TargetMode="External" Id="rId142"/><Relationship Type="http://schemas.openxmlformats.org/officeDocument/2006/relationships/hyperlink" Target="#'ARABIC'!E30" TargetMode="External" Id="rId143"/><Relationship Type="http://schemas.openxmlformats.org/officeDocument/2006/relationships/hyperlink" Target="#'ARABIC'!E38" TargetMode="External" Id="rId144"/><Relationship Type="http://schemas.openxmlformats.org/officeDocument/2006/relationships/hyperlink" Target="#'ARABIC'!E46" TargetMode="External" Id="rId145"/><Relationship Type="http://schemas.openxmlformats.org/officeDocument/2006/relationships/hyperlink" Target="#'ARABIC'!E54" TargetMode="External" Id="rId146"/><Relationship Type="http://schemas.openxmlformats.org/officeDocument/2006/relationships/hyperlink" Target="#'IF'!E22" TargetMode="External" Id="rId147"/><Relationship Type="http://schemas.openxmlformats.org/officeDocument/2006/relationships/hyperlink" Target="#'IF'!E30" TargetMode="External" Id="rId148"/><Relationship Type="http://schemas.openxmlformats.org/officeDocument/2006/relationships/hyperlink" Target="#'IF'!E38" TargetMode="External" Id="rId149"/><Relationship Type="http://schemas.openxmlformats.org/officeDocument/2006/relationships/hyperlink" Target="#'IF'!E46" TargetMode="External" Id="rId150"/><Relationship Type="http://schemas.openxmlformats.org/officeDocument/2006/relationships/hyperlink" Target="#'IF'!E54" TargetMode="External" Id="rId151"/><Relationship Type="http://schemas.openxmlformats.org/officeDocument/2006/relationships/hyperlink" Target="#'IFS'!E22" TargetMode="External" Id="rId152"/><Relationship Type="http://schemas.openxmlformats.org/officeDocument/2006/relationships/hyperlink" Target="#'IFS'!E30" TargetMode="External" Id="rId153"/><Relationship Type="http://schemas.openxmlformats.org/officeDocument/2006/relationships/hyperlink" Target="#'IFS'!E38" TargetMode="External" Id="rId154"/><Relationship Type="http://schemas.openxmlformats.org/officeDocument/2006/relationships/hyperlink" Target="#'IFS'!E46" TargetMode="External" Id="rId155"/><Relationship Type="http://schemas.openxmlformats.org/officeDocument/2006/relationships/hyperlink" Target="#'IFS'!E54" TargetMode="External" Id="rId156"/><Relationship Type="http://schemas.openxmlformats.org/officeDocument/2006/relationships/hyperlink" Target="#'AND'!E22" TargetMode="External" Id="rId157"/><Relationship Type="http://schemas.openxmlformats.org/officeDocument/2006/relationships/hyperlink" Target="#'AND'!E30" TargetMode="External" Id="rId158"/><Relationship Type="http://schemas.openxmlformats.org/officeDocument/2006/relationships/hyperlink" Target="#'AND'!E38" TargetMode="External" Id="rId159"/><Relationship Type="http://schemas.openxmlformats.org/officeDocument/2006/relationships/hyperlink" Target="#'AND'!E46" TargetMode="External" Id="rId160"/><Relationship Type="http://schemas.openxmlformats.org/officeDocument/2006/relationships/hyperlink" Target="#'AND'!E54" TargetMode="External" Id="rId161"/><Relationship Type="http://schemas.openxmlformats.org/officeDocument/2006/relationships/hyperlink" Target="#'OR'!E22" TargetMode="External" Id="rId162"/><Relationship Type="http://schemas.openxmlformats.org/officeDocument/2006/relationships/hyperlink" Target="#'OR'!E30" TargetMode="External" Id="rId163"/><Relationship Type="http://schemas.openxmlformats.org/officeDocument/2006/relationships/hyperlink" Target="#'OR'!E38" TargetMode="External" Id="rId164"/><Relationship Type="http://schemas.openxmlformats.org/officeDocument/2006/relationships/hyperlink" Target="#'OR'!E46" TargetMode="External" Id="rId165"/><Relationship Type="http://schemas.openxmlformats.org/officeDocument/2006/relationships/hyperlink" Target="#'OR'!E54" TargetMode="External" Id="rId166"/><Relationship Type="http://schemas.openxmlformats.org/officeDocument/2006/relationships/hyperlink" Target="#'NOT'!E22" TargetMode="External" Id="rId167"/><Relationship Type="http://schemas.openxmlformats.org/officeDocument/2006/relationships/hyperlink" Target="#'NOT'!E30" TargetMode="External" Id="rId168"/><Relationship Type="http://schemas.openxmlformats.org/officeDocument/2006/relationships/hyperlink" Target="#'NOT'!E38" TargetMode="External" Id="rId169"/><Relationship Type="http://schemas.openxmlformats.org/officeDocument/2006/relationships/hyperlink" Target="#'NOT'!E46" TargetMode="External" Id="rId170"/><Relationship Type="http://schemas.openxmlformats.org/officeDocument/2006/relationships/hyperlink" Target="#'NOT'!E54" TargetMode="External" Id="rId171"/><Relationship Type="http://schemas.openxmlformats.org/officeDocument/2006/relationships/hyperlink" Target="#'XOR'!E22" TargetMode="External" Id="rId172"/><Relationship Type="http://schemas.openxmlformats.org/officeDocument/2006/relationships/hyperlink" Target="#'XOR'!E30" TargetMode="External" Id="rId173"/><Relationship Type="http://schemas.openxmlformats.org/officeDocument/2006/relationships/hyperlink" Target="#'XOR'!E38" TargetMode="External" Id="rId174"/><Relationship Type="http://schemas.openxmlformats.org/officeDocument/2006/relationships/hyperlink" Target="#'XOR'!E46" TargetMode="External" Id="rId175"/><Relationship Type="http://schemas.openxmlformats.org/officeDocument/2006/relationships/hyperlink" Target="#'XOR'!E54" TargetMode="External" Id="rId176"/><Relationship Type="http://schemas.openxmlformats.org/officeDocument/2006/relationships/hyperlink" Target="#'IFERROR'!E22" TargetMode="External" Id="rId177"/><Relationship Type="http://schemas.openxmlformats.org/officeDocument/2006/relationships/hyperlink" Target="#'IFERROR'!E30" TargetMode="External" Id="rId178"/><Relationship Type="http://schemas.openxmlformats.org/officeDocument/2006/relationships/hyperlink" Target="#'IFERROR'!E38" TargetMode="External" Id="rId179"/><Relationship Type="http://schemas.openxmlformats.org/officeDocument/2006/relationships/hyperlink" Target="#'IFERROR'!E46" TargetMode="External" Id="rId180"/><Relationship Type="http://schemas.openxmlformats.org/officeDocument/2006/relationships/hyperlink" Target="#'IFERROR'!E54" TargetMode="External" Id="rId181"/><Relationship Type="http://schemas.openxmlformats.org/officeDocument/2006/relationships/hyperlink" Target="#'IFNA'!E22" TargetMode="External" Id="rId182"/><Relationship Type="http://schemas.openxmlformats.org/officeDocument/2006/relationships/hyperlink" Target="#'IFNA'!E30" TargetMode="External" Id="rId183"/><Relationship Type="http://schemas.openxmlformats.org/officeDocument/2006/relationships/hyperlink" Target="#'IFNA'!E38" TargetMode="External" Id="rId184"/><Relationship Type="http://schemas.openxmlformats.org/officeDocument/2006/relationships/hyperlink" Target="#'IFNA'!E46" TargetMode="External" Id="rId185"/><Relationship Type="http://schemas.openxmlformats.org/officeDocument/2006/relationships/hyperlink" Target="#'IFNA'!E54" TargetMode="External" Id="rId186"/><Relationship Type="http://schemas.openxmlformats.org/officeDocument/2006/relationships/hyperlink" Target="#'TRUE'!E22" TargetMode="External" Id="rId187"/><Relationship Type="http://schemas.openxmlformats.org/officeDocument/2006/relationships/hyperlink" Target="#'TRUE'!E30" TargetMode="External" Id="rId188"/><Relationship Type="http://schemas.openxmlformats.org/officeDocument/2006/relationships/hyperlink" Target="#'TRUE'!E38" TargetMode="External" Id="rId189"/><Relationship Type="http://schemas.openxmlformats.org/officeDocument/2006/relationships/hyperlink" Target="#'TRUE'!E46" TargetMode="External" Id="rId190"/><Relationship Type="http://schemas.openxmlformats.org/officeDocument/2006/relationships/hyperlink" Target="#'TRUE'!E54" TargetMode="External" Id="rId191"/><Relationship Type="http://schemas.openxmlformats.org/officeDocument/2006/relationships/hyperlink" Target="#'FALSE'!E22" TargetMode="External" Id="rId192"/><Relationship Type="http://schemas.openxmlformats.org/officeDocument/2006/relationships/hyperlink" Target="#'FALSE'!E30" TargetMode="External" Id="rId193"/><Relationship Type="http://schemas.openxmlformats.org/officeDocument/2006/relationships/hyperlink" Target="#'FALSE'!E38" TargetMode="External" Id="rId194"/><Relationship Type="http://schemas.openxmlformats.org/officeDocument/2006/relationships/hyperlink" Target="#'FALSE'!E46" TargetMode="External" Id="rId195"/><Relationship Type="http://schemas.openxmlformats.org/officeDocument/2006/relationships/hyperlink" Target="#'FALSE'!E54" TargetMode="External" Id="rId1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30" customWidth="1" min="3" max="3"/>
    <col width="36" customWidth="1" min="4" max="4"/>
    <col width="65" customWidth="1" min="5" max="5"/>
    <col width="28" customWidth="1" min="6" max="6"/>
  </cols>
  <sheetData>
    <row r="1" ht="32" customHeight="1">
      <c r="A1" s="1" t="inlineStr">
        <is>
          <t>📚 PAKET 1: RUMUS MATEMATIKA, AKUNTANSI &amp; LOGIKA (39 SHEET RUMUS • 1 CONTOH + 5 SOAL TES PER RUMUS)</t>
        </is>
      </c>
    </row>
    <row r="2" ht="22" customHeight="1">
      <c r="A2" s="2" t="inlineStr">
        <is>
          <t>Setiap Sheet berisi: 1 Contoh Soal + Jawaban Benar, lalu 5 Soal Tes Tanpa Kunci. Kunci Jawaban Lengkap ada di Sheet Paling Terakhir (99_KUNCI_JAWABAN)!</t>
        </is>
      </c>
      <c r="F2" s="3" t="inlineStr">
        <is>
          <t>🔑 Buka 99_KUNCI_JAWABAN</t>
        </is>
      </c>
    </row>
    <row r="4" ht="24" customHeight="1">
      <c r="A4" s="4" t="inlineStr">
        <is>
          <t>No</t>
        </is>
      </c>
      <c r="B4" s="4" t="inlineStr">
        <is>
          <t>Nama Rumus (Sheet)</t>
        </is>
      </c>
      <c r="C4" s="4" t="inlineStr">
        <is>
          <t>Kategori</t>
        </is>
      </c>
      <c r="D4" s="4" t="inlineStr">
        <is>
          <t>Sintaks Umum</t>
        </is>
      </c>
      <c r="E4" s="4" t="inlineStr">
        <is>
          <t>Fungsinya Buat Apa (Bahasa Bayi &amp; Dunia Nyata)</t>
        </is>
      </c>
      <c r="F4" s="4" t="inlineStr">
        <is>
          <t>Link Buka Sheet</t>
        </is>
      </c>
    </row>
    <row r="5">
      <c r="A5" s="5" t="n">
        <v>1</v>
      </c>
      <c r="B5" s="6" t="inlineStr">
        <is>
          <t>SUM</t>
        </is>
      </c>
      <c r="C5" s="5" t="inlineStr">
        <is>
          <t>1. Matematika &amp; Akuntansi</t>
        </is>
      </c>
      <c r="D5" s="7">
        <f>SUM(angka1, [angka2], ...)</f>
        <v/>
      </c>
      <c r="E5" s="5" t="inlineStr">
        <is>
          <t>Menjumlahkan seluruh angka di dalam blok sel sekaligus. Bayangkan punya 5 celengan, SUM langsung menghitung total uang di semua celengan itu dalam 1 detik!</t>
        </is>
      </c>
      <c r="F5" s="8" t="inlineStr">
        <is>
          <t>👉 Buka Sheet SUM</t>
        </is>
      </c>
    </row>
    <row r="6">
      <c r="A6" s="5" t="n">
        <v>2</v>
      </c>
      <c r="B6" s="6" t="inlineStr">
        <is>
          <t>SUMIF</t>
        </is>
      </c>
      <c r="C6" s="5" t="inlineStr">
        <is>
          <t>1. Matematika &amp; Akuntansi</t>
        </is>
      </c>
      <c r="D6" s="7">
        <f>SUMIF(range_syarat, syarat, [range_jumlah])</f>
        <v/>
      </c>
      <c r="E6" s="5" t="inlineStr">
        <is>
          <t>Menjumlahkan angka TAPI pilih-pilih sesuai 1 syarat. Contoh: Hanya jumlahkan omzet dari cabang 'Pusat' saja, cabang lain abaikan!</t>
        </is>
      </c>
      <c r="F6" s="8" t="inlineStr">
        <is>
          <t>👉 Buka Sheet SUMIF</t>
        </is>
      </c>
    </row>
    <row r="7">
      <c r="A7" s="5" t="n">
        <v>3</v>
      </c>
      <c r="B7" s="6" t="inlineStr">
        <is>
          <t>SUMIFS</t>
        </is>
      </c>
      <c r="C7" s="5" t="inlineStr">
        <is>
          <t>1. Matematika &amp; Akuntansi</t>
        </is>
      </c>
      <c r="D7" s="7">
        <f>SUMIFS(range_jumlah, range_syarat1, syarat1, ...)</f>
        <v/>
      </c>
      <c r="E7" s="5" t="inlineStr">
        <is>
          <t>Menjumlahkan angka dengan BANYAK syarat sekaligus. Contoh: Jumlahkan realisasi khusus unit berstatus 'Aktif'!</t>
        </is>
      </c>
      <c r="F7" s="8" t="inlineStr">
        <is>
          <t>👉 Buka Sheet SUMIFS</t>
        </is>
      </c>
    </row>
    <row r="8">
      <c r="A8" s="5" t="n">
        <v>4</v>
      </c>
      <c r="B8" s="6" t="inlineStr">
        <is>
          <t>PRODUCT</t>
        </is>
      </c>
      <c r="C8" s="5" t="inlineStr">
        <is>
          <t>1. Matematika &amp; Akuntansi</t>
        </is>
      </c>
      <c r="D8" s="7">
        <f>PRODUCT(angka1, [angka2], ...)</f>
        <v/>
      </c>
      <c r="E8" s="5" t="inlineStr">
        <is>
          <t>Mengalikan semua angka di dalam rentang sel. Cocok untuk menghitung perkalian beruntun seperti Harga × Jumlah × Faktor Diskon.</t>
        </is>
      </c>
      <c r="F8" s="8" t="inlineStr">
        <is>
          <t>👉 Buka Sheet PRODUCT</t>
        </is>
      </c>
    </row>
    <row r="9">
      <c r="A9" s="5" t="n">
        <v>5</v>
      </c>
      <c r="B9" s="6" t="inlineStr">
        <is>
          <t>SUMPRODUCT</t>
        </is>
      </c>
      <c r="C9" s="5" t="inlineStr">
        <is>
          <t>1. Matematika &amp; Akuntansi</t>
        </is>
      </c>
      <c r="D9" s="7">
        <f>SUMPRODUCT(array1, [array2], ...)</f>
        <v/>
      </c>
      <c r="E9" s="5" t="inlineStr">
        <is>
          <t>Mengalikan dua kolom sejajar (misal Qty × Harga Satuan tiap baris) lalu langsung menjumlahkan total akhirnya tanpa perlu kolom bantuan!</t>
        </is>
      </c>
      <c r="F9" s="8" t="inlineStr">
        <is>
          <t>👉 Buka Sheet SUMPRODUCT</t>
        </is>
      </c>
    </row>
    <row r="10">
      <c r="A10" s="5" t="n">
        <v>6</v>
      </c>
      <c r="B10" s="6" t="inlineStr">
        <is>
          <t>ROUND</t>
        </is>
      </c>
      <c r="C10" s="5" t="inlineStr">
        <is>
          <t>1. Matematika &amp; Akuntansi</t>
        </is>
      </c>
      <c r="D10" s="7">
        <f>ROUND(angka, jumlah_digit)</f>
        <v/>
      </c>
      <c r="E10" s="5" t="inlineStr">
        <is>
          <t>Membulatkan angka desimal ke jumlah angka di belakang koma terdekat sesuai aturan matematika standar (0.5 ke atas naik).</t>
        </is>
      </c>
      <c r="F10" s="8" t="inlineStr">
        <is>
          <t>👉 Buka Sheet ROUND</t>
        </is>
      </c>
    </row>
    <row r="11">
      <c r="A11" s="5" t="n">
        <v>7</v>
      </c>
      <c r="B11" s="6" t="inlineStr">
        <is>
          <t>ROUNDUP</t>
        </is>
      </c>
      <c r="C11" s="5" t="inlineStr">
        <is>
          <t>1. Matematika &amp; Akuntansi</t>
        </is>
      </c>
      <c r="D11" s="7">
        <f>ROUNDUP(angka, jumlah_digit)</f>
        <v/>
      </c>
      <c r="E11" s="5" t="inlineStr">
        <is>
          <t>Selalu membulatkan angka KE ATAS menjauhi nol. Cocok untuk menghitung jumlah dus/truk (kalau butuh 4.1 truk, harus sewa 5 truk!).</t>
        </is>
      </c>
      <c r="F11" s="8" t="inlineStr">
        <is>
          <t>👉 Buka Sheet ROUNDUP</t>
        </is>
      </c>
    </row>
    <row r="12">
      <c r="A12" s="5" t="n">
        <v>8</v>
      </c>
      <c r="B12" s="6" t="inlineStr">
        <is>
          <t>ROUNDDOWN</t>
        </is>
      </c>
      <c r="C12" s="5" t="inlineStr">
        <is>
          <t>1. Matematika &amp; Akuntansi</t>
        </is>
      </c>
      <c r="D12" s="7">
        <f>ROUNDDOWN(angka, jumlah_digit)</f>
        <v/>
      </c>
      <c r="E12" s="5" t="inlineStr">
        <is>
          <t>Selalu membulatkan angka KE BAWAH mendekati nol (memotong desimal tanpa peduli angkanya besar).</t>
        </is>
      </c>
      <c r="F12" s="8" t="inlineStr">
        <is>
          <t>👉 Buka Sheet ROUNDDOWN</t>
        </is>
      </c>
    </row>
    <row r="13">
      <c r="A13" s="5" t="n">
        <v>9</v>
      </c>
      <c r="B13" s="6" t="inlineStr">
        <is>
          <t>MROUND</t>
        </is>
      </c>
      <c r="C13" s="5" t="inlineStr">
        <is>
          <t>1. Matematika &amp; Akuntansi</t>
        </is>
      </c>
      <c r="D13" s="7">
        <f>MROUND(angka, kelipatan)</f>
        <v/>
      </c>
      <c r="E13" s="5" t="inlineStr">
        <is>
          <t>Membulatkan angka ke kelipatan tertentu terdekat (misal membulatkan harga uang receh ke kelipatan Rp 500 terdekat).</t>
        </is>
      </c>
      <c r="F13" s="8" t="inlineStr">
        <is>
          <t>👉 Buka Sheet MROUND</t>
        </is>
      </c>
    </row>
    <row r="14">
      <c r="A14" s="5" t="n">
        <v>10</v>
      </c>
      <c r="B14" s="6" t="inlineStr">
        <is>
          <t>CEILING</t>
        </is>
      </c>
      <c r="C14" s="5" t="inlineStr">
        <is>
          <t>1. Matematika &amp; Akuntansi</t>
        </is>
      </c>
      <c r="D14" s="7">
        <f>CEILING(angka, kelipatan)</f>
        <v/>
      </c>
      <c r="E14" s="5" t="inlineStr">
        <is>
          <t>Membulatkan angka KE ATAS menuju kelipatan terdekat (misal pembulatan tagihan parkir per kelipatan 500 ke atas).</t>
        </is>
      </c>
      <c r="F14" s="8" t="inlineStr">
        <is>
          <t>👉 Buka Sheet CEILING</t>
        </is>
      </c>
    </row>
    <row r="15">
      <c r="A15" s="5" t="n">
        <v>11</v>
      </c>
      <c r="B15" s="6" t="inlineStr">
        <is>
          <t>FLOOR</t>
        </is>
      </c>
      <c r="C15" s="5" t="inlineStr">
        <is>
          <t>1. Matematika &amp; Akuntansi</t>
        </is>
      </c>
      <c r="D15" s="7">
        <f>FLOOR(angka, kelipatan)</f>
        <v/>
      </c>
      <c r="E15" s="5" t="inlineStr">
        <is>
          <t>Membulatkan angka KE BAWAH menuju kelipatan terdekat (misal menghitung paket kelipatan penuh dari nominal tagihan).</t>
        </is>
      </c>
      <c r="F15" s="8" t="inlineStr">
        <is>
          <t>👉 Buka Sheet FLOOR</t>
        </is>
      </c>
    </row>
    <row r="16">
      <c r="A16" s="5" t="n">
        <v>12</v>
      </c>
      <c r="B16" s="6" t="inlineStr">
        <is>
          <t>INT</t>
        </is>
      </c>
      <c r="C16" s="5" t="inlineStr">
        <is>
          <t>1. Matematika &amp; Akuntansi</t>
        </is>
      </c>
      <c r="D16" s="7">
        <f>INT(angka)</f>
        <v/>
      </c>
      <c r="E16" s="5" t="inlineStr">
        <is>
          <t>Mengambil angka bulatnya saja dengan membulatkan ke bawah ke bilangan bulat terdekat.</t>
        </is>
      </c>
      <c r="F16" s="8" t="inlineStr">
        <is>
          <t>👉 Buka Sheet INT</t>
        </is>
      </c>
    </row>
    <row r="17">
      <c r="A17" s="5" t="n">
        <v>13</v>
      </c>
      <c r="B17" s="6" t="inlineStr">
        <is>
          <t>TRUNC</t>
        </is>
      </c>
      <c r="C17" s="5" t="inlineStr">
        <is>
          <t>1. Matematika &amp; Akuntansi</t>
        </is>
      </c>
      <c r="D17" s="7">
        <f>TRUNC(angka, [jumlah_digit])</f>
        <v/>
      </c>
      <c r="E17" s="5" t="inlineStr">
        <is>
          <t>Memotong angka desimal di belakang koma secara langsung tanpa pembulatan.</t>
        </is>
      </c>
      <c r="F17" s="8" t="inlineStr">
        <is>
          <t>👉 Buka Sheet TRUNC</t>
        </is>
      </c>
    </row>
    <row r="18">
      <c r="A18" s="5" t="n">
        <v>14</v>
      </c>
      <c r="B18" s="6" t="inlineStr">
        <is>
          <t>MOD</t>
        </is>
      </c>
      <c r="C18" s="5" t="inlineStr">
        <is>
          <t>1. Matematika &amp; Akuntansi</t>
        </is>
      </c>
      <c r="D18" s="7">
        <f>MOD(angka, pembagi)</f>
        <v/>
      </c>
      <c r="E18" s="5" t="inlineStr">
        <is>
          <t>Mencari SISA hasil pembagian. Contoh: 14 permen dibagi ke 4 anak, masing-masing dapat 3 dan SISA 2 permen (MOD = 2).</t>
        </is>
      </c>
      <c r="F18" s="8" t="inlineStr">
        <is>
          <t>👉 Buka Sheet MOD</t>
        </is>
      </c>
    </row>
    <row r="19">
      <c r="A19" s="5" t="n">
        <v>15</v>
      </c>
      <c r="B19" s="6" t="inlineStr">
        <is>
          <t>QUOTIENT</t>
        </is>
      </c>
      <c r="C19" s="5" t="inlineStr">
        <is>
          <t>1. Matematika &amp; Akuntansi</t>
        </is>
      </c>
      <c r="D19" s="7">
        <f>QUOTIENT(pembilang, penyebut)</f>
        <v/>
      </c>
      <c r="E19" s="5" t="inlineStr">
        <is>
          <t>Mengambil hasil bagi BULAT saja dan membuang sisanya. Contoh: 14 dibagi 4 hasilnya 3 (sisanya diabaikan).</t>
        </is>
      </c>
      <c r="F19" s="8" t="inlineStr">
        <is>
          <t>👉 Buka Sheet QUOTIENT</t>
        </is>
      </c>
    </row>
    <row r="20">
      <c r="A20" s="5" t="n">
        <v>16</v>
      </c>
      <c r="B20" s="6" t="inlineStr">
        <is>
          <t>ABS</t>
        </is>
      </c>
      <c r="C20" s="5" t="inlineStr">
        <is>
          <t>1. Matematika &amp; Akuntansi</t>
        </is>
      </c>
      <c r="D20" s="7">
        <f>ABS(angka)</f>
        <v/>
      </c>
      <c r="E20" s="5" t="inlineStr">
        <is>
          <t>Mengubah angka minus (negatif) menjadi positif (Nilai Mutlak). Cocok untuk menghitung selisih jarak atau deviasi stok tanpa tanda minus.</t>
        </is>
      </c>
      <c r="F20" s="8" t="inlineStr">
        <is>
          <t>👉 Buka Sheet ABS</t>
        </is>
      </c>
    </row>
    <row r="21">
      <c r="A21" s="5" t="n">
        <v>17</v>
      </c>
      <c r="B21" s="6" t="inlineStr">
        <is>
          <t>POWER</t>
        </is>
      </c>
      <c r="C21" s="5" t="inlineStr">
        <is>
          <t>1. Matematika &amp; Akuntansi</t>
        </is>
      </c>
      <c r="D21" s="7">
        <f>POWER(angka, pangkat)</f>
        <v/>
      </c>
      <c r="E21" s="5" t="inlineStr">
        <is>
          <t>Menghitung perpangkatan angka (misal angka pertama dipangkatkan angka kedua).</t>
        </is>
      </c>
      <c r="F21" s="8" t="inlineStr">
        <is>
          <t>👉 Buka Sheet POWER</t>
        </is>
      </c>
    </row>
    <row r="22">
      <c r="A22" s="5" t="n">
        <v>18</v>
      </c>
      <c r="B22" s="6" t="inlineStr">
        <is>
          <t>SQRT</t>
        </is>
      </c>
      <c r="C22" s="5" t="inlineStr">
        <is>
          <t>1. Matematika &amp; Akuntansi</t>
        </is>
      </c>
      <c r="D22" s="7">
        <f>SQRT(angka)</f>
        <v/>
      </c>
      <c r="E22" s="5" t="inlineStr">
        <is>
          <t>Mencari akar kuadrat dari suatu angka (misal akar dari 144 adalah 12).</t>
        </is>
      </c>
      <c r="F22" s="8" t="inlineStr">
        <is>
          <t>👉 Buka Sheet SQRT</t>
        </is>
      </c>
    </row>
    <row r="23">
      <c r="A23" s="5" t="n">
        <v>19</v>
      </c>
      <c r="B23" s="6" t="inlineStr">
        <is>
          <t>SUBTOTAL</t>
        </is>
      </c>
      <c r="C23" s="5" t="inlineStr">
        <is>
          <t>1. Matematika &amp; Akuntansi</t>
        </is>
      </c>
      <c r="D23" s="7">
        <f>SUBTOTAL(kode_fungsi, range)</f>
        <v/>
      </c>
      <c r="E23" s="5" t="inlineStr">
        <is>
          <t>Menghitung total/rata-rata yang PINTAR karena otomatis mengabaikan baris yang sedang disembunyikan oleh Filter!</t>
        </is>
      </c>
      <c r="F23" s="8" t="inlineStr">
        <is>
          <t>👉 Buka Sheet SUBTOTAL</t>
        </is>
      </c>
    </row>
    <row r="24">
      <c r="A24" s="5" t="n">
        <v>20</v>
      </c>
      <c r="B24" s="6" t="inlineStr">
        <is>
          <t>AGGREGATE</t>
        </is>
      </c>
      <c r="C24" s="5" t="inlineStr">
        <is>
          <t>1. Matematika &amp; Akuntansi</t>
        </is>
      </c>
      <c r="D24" s="7">
        <f>AGGREGATE(kode_fungsi, opsi_abaikan, range)</f>
        <v/>
      </c>
      <c r="E24" s="5" t="inlineStr">
        <is>
          <t>Versi super dari SUBTOTAL yang sanggup mengabaikan baris tersembunyi SEKALIGUS mengabaikan sel yang error (#N/A atau #DIV/0!).</t>
        </is>
      </c>
      <c r="F24" s="8" t="inlineStr">
        <is>
          <t>👉 Buka Sheet AGGREGATE</t>
        </is>
      </c>
    </row>
    <row r="25">
      <c r="A25" s="5" t="n">
        <v>21</v>
      </c>
      <c r="B25" s="6" t="inlineStr">
        <is>
          <t>RANDBETWEEN</t>
        </is>
      </c>
      <c r="C25" s="5" t="inlineStr">
        <is>
          <t>1. Matematika &amp; Akuntansi</t>
        </is>
      </c>
      <c r="D25" s="7">
        <f>RANDBETWEEN(batas_bawah, batas_atas)</f>
        <v/>
      </c>
      <c r="E25" s="5" t="inlineStr">
        <is>
          <t>Menghasilkan angka acak bulat di antara batas bawah dan batas atas (cocok untuk undian doorprize atau simulasi data).</t>
        </is>
      </c>
      <c r="F25" s="8" t="inlineStr">
        <is>
          <t>👉 Buka Sheet RANDBETWEEN</t>
        </is>
      </c>
    </row>
    <row r="26">
      <c r="A26" s="5" t="n">
        <v>22</v>
      </c>
      <c r="B26" s="6" t="inlineStr">
        <is>
          <t>SIGN</t>
        </is>
      </c>
      <c r="C26" s="5" t="inlineStr">
        <is>
          <t>1. Matematika &amp; Akuntansi</t>
        </is>
      </c>
      <c r="D26" s="7">
        <f>SIGN(angka)</f>
        <v/>
      </c>
      <c r="E26" s="5" t="inlineStr">
        <is>
          <t>Mendeteksi tanda bilangan: menghasilkan 1 jika positif, -1 jika negatif (rugi), dan 0 jika nol.</t>
        </is>
      </c>
      <c r="F26" s="8" t="inlineStr">
        <is>
          <t>👉 Buka Sheet SIGN</t>
        </is>
      </c>
    </row>
    <row r="27">
      <c r="A27" s="5" t="n">
        <v>23</v>
      </c>
      <c r="B27" s="6" t="inlineStr">
        <is>
          <t>EVEN</t>
        </is>
      </c>
      <c r="C27" s="5" t="inlineStr">
        <is>
          <t>1. Matematika &amp; Akuntansi</t>
        </is>
      </c>
      <c r="D27" s="7">
        <f>EVEN(angka)</f>
        <v/>
      </c>
      <c r="E27" s="5" t="inlineStr">
        <is>
          <t>Membulatkan angka ke atas menuju bilangan GENAP terdekat (cocok untuk pengemasan barang berpasangan).</t>
        </is>
      </c>
      <c r="F27" s="8" t="inlineStr">
        <is>
          <t>👉 Buka Sheet EVEN</t>
        </is>
      </c>
    </row>
    <row r="28">
      <c r="A28" s="5" t="n">
        <v>24</v>
      </c>
      <c r="B28" s="6" t="inlineStr">
        <is>
          <t>ODD</t>
        </is>
      </c>
      <c r="C28" s="5" t="inlineStr">
        <is>
          <t>1. Matematika &amp; Akuntansi</t>
        </is>
      </c>
      <c r="D28" s="7">
        <f>ODD(angka)</f>
        <v/>
      </c>
      <c r="E28" s="5" t="inlineStr">
        <is>
          <t>Membulatkan angka ke atas menuju bilangan GANJIL terdekat.</t>
        </is>
      </c>
      <c r="F28" s="8" t="inlineStr">
        <is>
          <t>👉 Buka Sheet ODD</t>
        </is>
      </c>
    </row>
    <row r="29">
      <c r="A29" s="5" t="n">
        <v>25</v>
      </c>
      <c r="B29" s="6" t="inlineStr">
        <is>
          <t>FACT</t>
        </is>
      </c>
      <c r="C29" s="5" t="inlineStr">
        <is>
          <t>1. Matematika &amp; Akuntansi</t>
        </is>
      </c>
      <c r="D29" s="7">
        <f>FACT(angka)</f>
        <v/>
      </c>
      <c r="E29" s="5" t="inlineStr">
        <is>
          <t>Menghitung nilai faktorial (n! = 1 × 2 × ... × n) untuk analisis kombinasi antrean atau jadwal.</t>
        </is>
      </c>
      <c r="F29" s="8" t="inlineStr">
        <is>
          <t>👉 Buka Sheet FACT</t>
        </is>
      </c>
    </row>
    <row r="30">
      <c r="A30" s="5" t="n">
        <v>26</v>
      </c>
      <c r="B30" s="6" t="inlineStr">
        <is>
          <t>GCD</t>
        </is>
      </c>
      <c r="C30" s="5" t="inlineStr">
        <is>
          <t>1. Matematika &amp; Akuntansi</t>
        </is>
      </c>
      <c r="D30" s="7">
        <f>GCD(angka1, angka2)</f>
        <v/>
      </c>
      <c r="E30" s="5" t="inlineStr">
        <is>
          <t>Mencari Faktor Persekutuan Terbesar (FPB) dari dua angka untuk membagi paket bingkisan sama rata.</t>
        </is>
      </c>
      <c r="F30" s="8" t="inlineStr">
        <is>
          <t>👉 Buka Sheet GCD</t>
        </is>
      </c>
    </row>
    <row r="31">
      <c r="A31" s="5" t="n">
        <v>27</v>
      </c>
      <c r="B31" s="6" t="inlineStr">
        <is>
          <t>LCM</t>
        </is>
      </c>
      <c r="C31" s="5" t="inlineStr">
        <is>
          <t>1. Matematika &amp; Akuntansi</t>
        </is>
      </c>
      <c r="D31" s="7">
        <f>LCM(angka1, angka2)</f>
        <v/>
      </c>
      <c r="E31" s="5" t="inlineStr">
        <is>
          <t>Mencari Kelipatan Persekutuan Terkecil (KPK) untuk menghitung jadwal pertemuan dua siklus perawatan mesin.</t>
        </is>
      </c>
      <c r="F31" s="8" t="inlineStr">
        <is>
          <t>👉 Buka Sheet LCM</t>
        </is>
      </c>
    </row>
    <row r="32">
      <c r="A32" s="5" t="n">
        <v>28</v>
      </c>
      <c r="B32" s="6" t="inlineStr">
        <is>
          <t>ROMAN</t>
        </is>
      </c>
      <c r="C32" s="5" t="inlineStr">
        <is>
          <t>1. Matematika &amp; Akuntansi</t>
        </is>
      </c>
      <c r="D32" s="7">
        <f>ROMAN(angka)</f>
        <v/>
      </c>
      <c r="E32" s="5" t="inlineStr">
        <is>
          <t>Mengubah angka biasa (1, 2, 3...) menjadi angka Romawi (I, II, III, IV...) untuk penomoran bab laporan atau surat resmi.</t>
        </is>
      </c>
      <c r="F32" s="8" t="inlineStr">
        <is>
          <t>👉 Buka Sheet ROMAN</t>
        </is>
      </c>
    </row>
    <row r="33">
      <c r="A33" s="5" t="n">
        <v>29</v>
      </c>
      <c r="B33" s="6" t="inlineStr">
        <is>
          <t>ARABIC</t>
        </is>
      </c>
      <c r="C33" s="5" t="inlineStr">
        <is>
          <t>1. Matematika &amp; Akuntansi</t>
        </is>
      </c>
      <c r="D33" s="7">
        <f>ARABIC(teks_romawi)</f>
        <v/>
      </c>
      <c r="E33" s="5" t="inlineStr">
        <is>
          <t>Kebalikan dari ROMAN: mengubah teks angka Romawi (seperti XIV atau XXV) kembali menjadi angka biasa (14 atau 25).</t>
        </is>
      </c>
      <c r="F33" s="8" t="inlineStr">
        <is>
          <t>👉 Buka Sheet ARABIC</t>
        </is>
      </c>
    </row>
    <row r="34">
      <c r="A34" s="5" t="n">
        <v>30</v>
      </c>
      <c r="B34" s="6" t="inlineStr">
        <is>
          <t>IF</t>
        </is>
      </c>
      <c r="C34" s="5" t="inlineStr">
        <is>
          <t>2. Logika &amp; Keputusan</t>
        </is>
      </c>
      <c r="D34" s="7">
        <f>IF(syarat_logika, nilai_jika_benar, nilai_jika_salah)</f>
        <v/>
      </c>
      <c r="E34" s="5" t="inlineStr">
        <is>
          <t>Polisi lalu lintas di Excel! Mengecek apakah suatu syarat terpenuhi: kalau YA jalankan perintah pertama, kalau TIDAK jalankan perintah kedua.</t>
        </is>
      </c>
      <c r="F34" s="8" t="inlineStr">
        <is>
          <t>👉 Buka Sheet IF</t>
        </is>
      </c>
    </row>
    <row r="35">
      <c r="A35" s="5" t="n">
        <v>31</v>
      </c>
      <c r="B35" s="6" t="inlineStr">
        <is>
          <t>IFS</t>
        </is>
      </c>
      <c r="C35" s="5" t="inlineStr">
        <is>
          <t>2. Logika &amp; Keputusan</t>
        </is>
      </c>
      <c r="D35" s="7">
        <f>IFS(syarat1, hasil1, syarat2, hasil2, ...)</f>
        <v/>
      </c>
      <c r="E35" s="5" t="inlineStr">
        <is>
          <t>Menguji banyak syarat bertingkat (seperti nilai A, B, C) secara berurutan tanpa perlu menumpuk banyak kurung IF bersarang!</t>
        </is>
      </c>
      <c r="F35" s="8" t="inlineStr">
        <is>
          <t>👉 Buka Sheet IFS</t>
        </is>
      </c>
    </row>
    <row r="36">
      <c r="A36" s="5" t="n">
        <v>32</v>
      </c>
      <c r="B36" s="6" t="inlineStr">
        <is>
          <t>AND</t>
        </is>
      </c>
      <c r="C36" s="5" t="inlineStr">
        <is>
          <t>2. Logika &amp; Keputusan</t>
        </is>
      </c>
      <c r="D36" s="7">
        <f>AND(syarat1, syarat2, ...)</f>
        <v/>
      </c>
      <c r="E36" s="5" t="inlineStr">
        <is>
          <t>Menghasilkan TRUE (Benar) HANYA JIKA SEMUA syarat terpenuhi sekaligus. Kalau ada satu saja yang gagal, hasilnya FALSE!</t>
        </is>
      </c>
      <c r="F36" s="8" t="inlineStr">
        <is>
          <t>👉 Buka Sheet AND</t>
        </is>
      </c>
    </row>
    <row r="37">
      <c r="A37" s="5" t="n">
        <v>33</v>
      </c>
      <c r="B37" s="6" t="inlineStr">
        <is>
          <t>OR</t>
        </is>
      </c>
      <c r="C37" s="5" t="inlineStr">
        <is>
          <t>2. Logika &amp; Keputusan</t>
        </is>
      </c>
      <c r="D37" s="7">
        <f>OR(syarat1, syarat2, ...)</f>
        <v/>
      </c>
      <c r="E37" s="5" t="inlineStr">
        <is>
          <t>Menghasilkan TRUE (Benar) jika MINIMAL SALAH SATU syarat terpenuhi. Lebih fleksibel daripada AND!</t>
        </is>
      </c>
      <c r="F37" s="8" t="inlineStr">
        <is>
          <t>👉 Buka Sheet OR</t>
        </is>
      </c>
    </row>
    <row r="38">
      <c r="A38" s="5" t="n">
        <v>34</v>
      </c>
      <c r="B38" s="6" t="inlineStr">
        <is>
          <t>NOT</t>
        </is>
      </c>
      <c r="C38" s="5" t="inlineStr">
        <is>
          <t>2. Logika &amp; Keputusan</t>
        </is>
      </c>
      <c r="D38" s="7">
        <f>NOT(logika)</f>
        <v/>
      </c>
      <c r="E38" s="5" t="inlineStr">
        <is>
          <t>Membalikkan keadaan logika: yang TRUE dibalik jadi FALSE, yang FALSE dibalik jadi TRUE.</t>
        </is>
      </c>
      <c r="F38" s="8" t="inlineStr">
        <is>
          <t>👉 Buka Sheet NOT</t>
        </is>
      </c>
    </row>
    <row r="39">
      <c r="A39" s="5" t="n">
        <v>35</v>
      </c>
      <c r="B39" s="6" t="inlineStr">
        <is>
          <t>XOR</t>
        </is>
      </c>
      <c r="C39" s="5" t="inlineStr">
        <is>
          <t>2. Logika &amp; Keputusan</t>
        </is>
      </c>
      <c r="D39" s="7">
        <f>XOR(syarat1, syarat2)</f>
        <v/>
      </c>
      <c r="E39" s="5" t="inlineStr">
        <is>
          <t>Logika Eksklusif OR: menghasilkan TRUE jika tepat salah satu syarat benar, tapi FALSE jika keduanya sama-sama benar atau sama-sama salah.</t>
        </is>
      </c>
      <c r="F39" s="8" t="inlineStr">
        <is>
          <t>👉 Buka Sheet XOR</t>
        </is>
      </c>
    </row>
    <row r="40">
      <c r="A40" s="5" t="n">
        <v>36</v>
      </c>
      <c r="B40" s="6" t="inlineStr">
        <is>
          <t>IFERROR</t>
        </is>
      </c>
      <c r="C40" s="5" t="inlineStr">
        <is>
          <t>2. Logika &amp; Keputusan</t>
        </is>
      </c>
      <c r="D40" s="7">
        <f>IFERROR(rumus_utama, nilai_pengganti_jika_error)</f>
        <v/>
      </c>
      <c r="E40" s="5" t="inlineStr">
        <is>
          <t>Sabuk pengaman rumus Excel! Jika rumus utama menghasilkan pesan error (#DIV/0!, #N/A, #VALUE!), otomatis diganti dengan teks/angka yang rapi.</t>
        </is>
      </c>
      <c r="F40" s="8" t="inlineStr">
        <is>
          <t>👉 Buka Sheet IFERROR</t>
        </is>
      </c>
    </row>
    <row r="41">
      <c r="A41" s="5" t="n">
        <v>37</v>
      </c>
      <c r="B41" s="6" t="inlineStr">
        <is>
          <t>IFNA</t>
        </is>
      </c>
      <c r="C41" s="5" t="inlineStr">
        <is>
          <t>2. Logika &amp; Keputusan</t>
        </is>
      </c>
      <c r="D41" s="7">
        <f>IFNA(rumus_lookup, nilai_jika_NA)</f>
        <v/>
      </c>
      <c r="E41" s="5" t="inlineStr">
        <is>
          <t>Penangkap khusus error #N/A saat pencarian VLOOKUP/MATCH tidak menemukan data yang dicari.</t>
        </is>
      </c>
      <c r="F41" s="8" t="inlineStr">
        <is>
          <t>👉 Buka Sheet IFNA</t>
        </is>
      </c>
    </row>
    <row r="42">
      <c r="A42" s="5" t="n">
        <v>38</v>
      </c>
      <c r="B42" s="6" t="inlineStr">
        <is>
          <t>TRUE</t>
        </is>
      </c>
      <c r="C42" s="5" t="inlineStr">
        <is>
          <t>2. Logika &amp; Keputusan</t>
        </is>
      </c>
      <c r="D42" s="7">
        <f>TRUE()</f>
        <v/>
      </c>
      <c r="E42" s="5" t="inlineStr">
        <is>
          <t>Menghasilkan nilai logika benar (TRUE) secara eksplisit untuk tabel kebenaran atau saklar laporan keuangan.</t>
        </is>
      </c>
      <c r="F42" s="8" t="inlineStr">
        <is>
          <t>👉 Buka Sheet TRUE</t>
        </is>
      </c>
    </row>
    <row r="43">
      <c r="A43" s="5" t="n">
        <v>39</v>
      </c>
      <c r="B43" s="6" t="inlineStr">
        <is>
          <t>FALSE</t>
        </is>
      </c>
      <c r="C43" s="5" t="inlineStr">
        <is>
          <t>2. Logika &amp; Keputusan</t>
        </is>
      </c>
      <c r="D43" s="7">
        <f>FALSE()</f>
        <v/>
      </c>
      <c r="E43" s="5" t="inlineStr">
        <is>
          <t>Menghasilkan nilai logika salah (FALSE) secara eksplisit untuk parameter pencarian eksak.</t>
        </is>
      </c>
      <c r="F43" s="8" t="inlineStr">
        <is>
          <t>👉 Buka Sheet FALSE</t>
        </is>
      </c>
    </row>
    <row r="44">
      <c r="A44" s="5" t="inlineStr">
        <is>
          <t>🔑</t>
        </is>
      </c>
      <c r="B44" s="9" t="inlineStr">
        <is>
          <t>99_KUNCI_JAWABAN</t>
        </is>
      </c>
      <c r="C44" s="5" t="inlineStr">
        <is>
          <t>Kunci Jawaban Seluruh Soal Tes</t>
        </is>
      </c>
      <c r="D44" s="7" t="inlineStr">
        <is>
          <t>195 Kunci Soal Tes</t>
        </is>
      </c>
      <c r="E44" s="5" t="inlineStr">
        <is>
          <t>Berisi Kunci Rumus &amp; Hasil Jawaban Benar untuk seluruh 5 Soal Tes di setiap sheet rumus.</t>
        </is>
      </c>
      <c r="F44" s="8" t="inlineStr">
        <is>
          <t>🔑 Buka Sheet Kunci Jawaban</t>
        </is>
      </c>
    </row>
  </sheetData>
  <mergeCells count="2">
    <mergeCell ref="A2:E2"/>
    <mergeCell ref="A1:F1"/>
  </mergeCells>
  <hyperlinks>
    <hyperlink xmlns:r="http://schemas.openxmlformats.org/officeDocument/2006/relationships" ref="F2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  <hyperlink xmlns:r="http://schemas.openxmlformats.org/officeDocument/2006/relationships" ref="F9" r:id="rId6"/>
    <hyperlink xmlns:r="http://schemas.openxmlformats.org/officeDocument/2006/relationships" ref="F10" r:id="rId7"/>
    <hyperlink xmlns:r="http://schemas.openxmlformats.org/officeDocument/2006/relationships" ref="F11" r:id="rId8"/>
    <hyperlink xmlns:r="http://schemas.openxmlformats.org/officeDocument/2006/relationships" ref="F12" r:id="rId9"/>
    <hyperlink xmlns:r="http://schemas.openxmlformats.org/officeDocument/2006/relationships" ref="F13" r:id="rId10"/>
    <hyperlink xmlns:r="http://schemas.openxmlformats.org/officeDocument/2006/relationships" ref="F14" r:id="rId11"/>
    <hyperlink xmlns:r="http://schemas.openxmlformats.org/officeDocument/2006/relationships" ref="F15" r:id="rId12"/>
    <hyperlink xmlns:r="http://schemas.openxmlformats.org/officeDocument/2006/relationships" ref="F16" r:id="rId13"/>
    <hyperlink xmlns:r="http://schemas.openxmlformats.org/officeDocument/2006/relationships" ref="F17" r:id="rId14"/>
    <hyperlink xmlns:r="http://schemas.openxmlformats.org/officeDocument/2006/relationships" ref="F18" r:id="rId15"/>
    <hyperlink xmlns:r="http://schemas.openxmlformats.org/officeDocument/2006/relationships" ref="F19" r:id="rId16"/>
    <hyperlink xmlns:r="http://schemas.openxmlformats.org/officeDocument/2006/relationships" ref="F20" r:id="rId17"/>
    <hyperlink xmlns:r="http://schemas.openxmlformats.org/officeDocument/2006/relationships" ref="F21" r:id="rId18"/>
    <hyperlink xmlns:r="http://schemas.openxmlformats.org/officeDocument/2006/relationships" ref="F22" r:id="rId19"/>
    <hyperlink xmlns:r="http://schemas.openxmlformats.org/officeDocument/2006/relationships" ref="F23" r:id="rId20"/>
    <hyperlink xmlns:r="http://schemas.openxmlformats.org/officeDocument/2006/relationships" ref="F24" r:id="rId21"/>
    <hyperlink xmlns:r="http://schemas.openxmlformats.org/officeDocument/2006/relationships" ref="F25" r:id="rId22"/>
    <hyperlink xmlns:r="http://schemas.openxmlformats.org/officeDocument/2006/relationships" ref="F26" r:id="rId23"/>
    <hyperlink xmlns:r="http://schemas.openxmlformats.org/officeDocument/2006/relationships" ref="F27" r:id="rId24"/>
    <hyperlink xmlns:r="http://schemas.openxmlformats.org/officeDocument/2006/relationships" ref="F28" r:id="rId25"/>
    <hyperlink xmlns:r="http://schemas.openxmlformats.org/officeDocument/2006/relationships" ref="F29" r:id="rId26"/>
    <hyperlink xmlns:r="http://schemas.openxmlformats.org/officeDocument/2006/relationships" ref="F30" r:id="rId27"/>
    <hyperlink xmlns:r="http://schemas.openxmlformats.org/officeDocument/2006/relationships" ref="F31" r:id="rId28"/>
    <hyperlink xmlns:r="http://schemas.openxmlformats.org/officeDocument/2006/relationships" ref="F32" r:id="rId29"/>
    <hyperlink xmlns:r="http://schemas.openxmlformats.org/officeDocument/2006/relationships" ref="F33" r:id="rId30"/>
    <hyperlink xmlns:r="http://schemas.openxmlformats.org/officeDocument/2006/relationships" ref="F34" r:id="rId31"/>
    <hyperlink xmlns:r="http://schemas.openxmlformats.org/officeDocument/2006/relationships" ref="F35" r:id="rId32"/>
    <hyperlink xmlns:r="http://schemas.openxmlformats.org/officeDocument/2006/relationships" ref="F36" r:id="rId33"/>
    <hyperlink xmlns:r="http://schemas.openxmlformats.org/officeDocument/2006/relationships" ref="F37" r:id="rId34"/>
    <hyperlink xmlns:r="http://schemas.openxmlformats.org/officeDocument/2006/relationships" ref="F38" r:id="rId35"/>
    <hyperlink xmlns:r="http://schemas.openxmlformats.org/officeDocument/2006/relationships" ref="F39" r:id="rId36"/>
    <hyperlink xmlns:r="http://schemas.openxmlformats.org/officeDocument/2006/relationships" ref="F40" r:id="rId37"/>
    <hyperlink xmlns:r="http://schemas.openxmlformats.org/officeDocument/2006/relationships" ref="F41" r:id="rId38"/>
    <hyperlink xmlns:r="http://schemas.openxmlformats.org/officeDocument/2006/relationships" ref="F42" r:id="rId39"/>
    <hyperlink xmlns:r="http://schemas.openxmlformats.org/officeDocument/2006/relationships" ref="F43" r:id="rId40"/>
    <hyperlink xmlns:r="http://schemas.openxmlformats.org/officeDocument/2006/relationships" ref="F44" r:id="rId4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#001 — RUMUS EXCEL: SUM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(SUM)</t>
        </is>
      </c>
    </row>
    <row r="5" ht="21" customHeight="1">
      <c r="B5" s="14" t="inlineStr">
        <is>
          <t>Nama Rumus Excel</t>
        </is>
      </c>
      <c r="C5" s="15">
        <f>SUM(...)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SUM(angka1, [angka2], ...)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Menjumlahkan seluruh angka di dalam blok sel sekaligus. Bayangkan punya 5 celengan, SUM langsung menghitung total uang di semua celengan itu dalam 1 detik!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SUM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SUM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'=SUM(C11:C14)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SUM(C11:C14)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SUM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SUM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SUM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SUM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SUM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#002 — RUMUS EXCEL: SUMIF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(SUMIF)</t>
        </is>
      </c>
    </row>
    <row r="5" ht="21" customHeight="1">
      <c r="B5" s="14" t="inlineStr">
        <is>
          <t>Nama Rumus Excel</t>
        </is>
      </c>
      <c r="C5" s="15">
        <f>SUMIF(...)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SUMIF(range_syarat, syarat, [range_jumlah])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Menjumlahkan angka TAPI pilih-pilih sesuai 1 syarat. Contoh: Hanya jumlahkan omzet dari cabang 'Pusat' saja, cabang lain abaikan!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SUMIF DI SINI)</t>
        </is>
      </c>
    </row>
    <row r="10">
      <c r="B10" s="18" t="inlineStr">
        <is>
          <t>Kategori Lokasi</t>
        </is>
      </c>
      <c r="C10" s="18" t="inlineStr">
        <is>
          <t>Nilai Transaksi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Pusat</t>
        </is>
      </c>
      <c r="C11" s="19" t="n">
        <v>500000</v>
      </c>
      <c r="E11" s="20" t="inlineStr">
        <is>
          <t>Contoh Soal:</t>
        </is>
      </c>
      <c r="F11" s="21" t="inlineStr">
        <is>
          <t>Gunakan fungsi SUMIF untuk mengolah data khusus kategori "Pusat" saja (rentang kategori di B11:B14 dan rentang nilai di C11:C14)!</t>
        </is>
      </c>
      <c r="G11" s="5" t="n"/>
    </row>
    <row r="12">
      <c r="B12" s="19" t="inlineStr">
        <is>
          <t>Cabang</t>
        </is>
      </c>
      <c r="C12" s="19" t="n">
        <v>750000</v>
      </c>
      <c r="E12" s="20" t="inlineStr">
        <is>
          <t>Contoh Rumus Benar:</t>
        </is>
      </c>
      <c r="F12" s="22" t="inlineStr">
        <is>
          <t>'=SUMIF(B11:B14, "Pusat", C11:C14)</t>
        </is>
      </c>
      <c r="G12" s="5" t="n"/>
    </row>
    <row r="13">
      <c r="B13" s="19" t="inlineStr">
        <is>
          <t>Pusat</t>
        </is>
      </c>
      <c r="C13" s="19" t="n">
        <v>600000</v>
      </c>
      <c r="E13" s="20" t="inlineStr">
        <is>
          <t>Contoh Hasil Benar:</t>
        </is>
      </c>
      <c r="F13" s="23">
        <f>SUMIF(B11:B14, "Pusat", C11:C14)</f>
        <v/>
      </c>
      <c r="G13" s="5" t="n"/>
    </row>
    <row r="14">
      <c r="B14" s="19" t="inlineStr">
        <is>
          <t>Cabang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Kategori Lokasi</t>
        </is>
      </c>
      <c r="C20" s="14" t="inlineStr">
        <is>
          <t>Nilai Transaksi</t>
        </is>
      </c>
      <c r="E20" s="27" t="inlineStr">
        <is>
          <t>Persoalan Tes #1: Gunakan fungsi SUMIF untuk mengolah data khusus kategori "Pusat" saja (rentang kategori di B21:B24 dan rentang nilai di C21:C24)!</t>
        </is>
      </c>
    </row>
    <row r="21">
      <c r="B21" s="19" t="inlineStr">
        <is>
          <t>Pusat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</t>
        </is>
      </c>
      <c r="C22" s="19" t="n">
        <v>1850000</v>
      </c>
      <c r="E22" s="28" t="n"/>
      <c r="F22" s="29">
        <f>IF(ISBLANK(E22), "⏳ Belum Diisi (Ketik Rumus di Sel Kuning E22)", IF(E22='99_KUNCI_JAWABAN'!F10, "✅ BENAR! JAWABAN TES TEPAT!", "❌ Belum Tepat (Cek Sheet Akhir: 99_KUNCI_JAWABAN)"))</f>
        <v/>
      </c>
      <c r="G22" s="5" t="n"/>
    </row>
    <row r="23">
      <c r="B23" s="19" t="inlineStr">
        <is>
          <t>Pusat</t>
        </is>
      </c>
      <c r="C23" s="19" t="n">
        <v>2100000</v>
      </c>
    </row>
    <row r="24">
      <c r="B24" s="19" t="inlineStr">
        <is>
          <t>Cabang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Kategori Lokasi</t>
        </is>
      </c>
      <c r="C28" s="14" t="inlineStr">
        <is>
          <t>Nilai Transaksi</t>
        </is>
      </c>
      <c r="E28" s="27" t="inlineStr">
        <is>
          <t>Persoalan Tes #2: Gunakan fungsi SUMIF untuk mengolah data khusus kategori "Pusat" saja (rentang kategori di B29:B32 dan rentang nilai di C29:C32)!</t>
        </is>
      </c>
    </row>
    <row r="29">
      <c r="B29" s="19" t="inlineStr">
        <is>
          <t>Pusat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Cabang</t>
        </is>
      </c>
      <c r="C30" s="19" t="n">
        <v>5200000</v>
      </c>
      <c r="E30" s="28" t="n"/>
      <c r="F30" s="29">
        <f>IF(ISBLANK(E30), "⏳ Belum Diisi (Ketik Rumus di Sel Kuning E30)", IF(E30='99_KUNCI_JAWABAN'!F11, "✅ BENAR! JAWABAN TES TEPAT!", "❌ Belum Tepat (Cek Sheet Akhir: 99_KUNCI_JAWABAN)"))</f>
        <v/>
      </c>
      <c r="G30" s="5" t="n"/>
    </row>
    <row r="31">
      <c r="B31" s="19" t="inlineStr">
        <is>
          <t>Pusat</t>
        </is>
      </c>
      <c r="C31" s="19" t="n">
        <v>4800000</v>
      </c>
    </row>
    <row r="32">
      <c r="B32" s="19" t="inlineStr">
        <is>
          <t>Cabang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Kategori Lokasi</t>
        </is>
      </c>
      <c r="C36" s="14" t="inlineStr">
        <is>
          <t>Nilai Transaksi</t>
        </is>
      </c>
      <c r="E36" s="27" t="inlineStr">
        <is>
          <t>Persoalan Tes #3: Gunakan fungsi SUMIF untuk mengolah data khusus kategori "Pusat" saja (rentang kategori di B37:B40 dan rentang nilai di C37:C40)!</t>
        </is>
      </c>
    </row>
    <row r="37">
      <c r="B37" s="19" t="inlineStr">
        <is>
          <t>Pusat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Cabang</t>
        </is>
      </c>
      <c r="C38" s="19" t="n">
        <v>380</v>
      </c>
      <c r="E38" s="28" t="n"/>
      <c r="F38" s="29">
        <f>IF(ISBLANK(E38), "⏳ Belum Diisi (Ketik Rumus di Sel Kuning E38)", IF(E38='99_KUNCI_JAWABAN'!F12, "✅ BENAR! JAWABAN TES TEPAT!", "❌ Belum Tepat (Cek Sheet Akhir: 99_KUNCI_JAWABAN)"))</f>
        <v/>
      </c>
      <c r="G38" s="5" t="n"/>
    </row>
    <row r="39">
      <c r="B39" s="19" t="inlineStr">
        <is>
          <t>Pusat</t>
        </is>
      </c>
      <c r="C39" s="19" t="n">
        <v>195</v>
      </c>
    </row>
    <row r="40">
      <c r="B40" s="19" t="inlineStr">
        <is>
          <t>Cabang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Kategori Lokasi</t>
        </is>
      </c>
      <c r="C44" s="14" t="inlineStr">
        <is>
          <t>Nilai Transaksi</t>
        </is>
      </c>
      <c r="E44" s="27" t="inlineStr">
        <is>
          <t>Persoalan Tes #4: Gunakan fungsi SUMIF untuk mengolah data khusus kategori "Pusat" saja (rentang kategori di B45:B48 dan rentang nilai di C45:C48)!</t>
        </is>
      </c>
    </row>
    <row r="45">
      <c r="B45" s="19" t="inlineStr">
        <is>
          <t>Pusat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Cabang</t>
        </is>
      </c>
      <c r="C46" s="19" t="n">
        <v>92</v>
      </c>
      <c r="E46" s="28" t="n"/>
      <c r="F46" s="29">
        <f>IF(ISBLANK(E46), "⏳ Belum Diisi (Ketik Rumus di Sel Kuning E46)", IF(E46='99_KUNCI_JAWABAN'!F13, "✅ BENAR! JAWABAN TES TEPAT!", "❌ Belum Tepat (Cek Sheet Akhir: 99_KUNCI_JAWABAN)"))</f>
        <v/>
      </c>
      <c r="G46" s="5" t="n"/>
    </row>
    <row r="47">
      <c r="B47" s="19" t="inlineStr">
        <is>
          <t>Pusat</t>
        </is>
      </c>
      <c r="C47" s="19" t="n">
        <v>78</v>
      </c>
    </row>
    <row r="48">
      <c r="B48" s="19" t="inlineStr">
        <is>
          <t>Cabang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Kategori Lokasi</t>
        </is>
      </c>
      <c r="C52" s="14" t="inlineStr">
        <is>
          <t>Nilai Transaksi</t>
        </is>
      </c>
      <c r="E52" s="27" t="inlineStr">
        <is>
          <t>Persoalan Tes #5: Gunakan fungsi SUMIF untuk mengolah data khusus kategori "Pusat" saja (rentang kategori di B53:B56 dan rentang nilai di C53:C56)!</t>
        </is>
      </c>
    </row>
    <row r="53">
      <c r="B53" s="19" t="inlineStr">
        <is>
          <t>Pusat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Cabang</t>
        </is>
      </c>
      <c r="C54" s="19" t="n">
        <v>88</v>
      </c>
      <c r="E54" s="28" t="n"/>
      <c r="F54" s="29">
        <f>IF(ISBLANK(E54), "⏳ Belum Diisi (Ketik Rumus di Sel Kuning E54)", IF(E54='99_KUNCI_JAWABAN'!F14, "✅ BENAR! JAWABAN TES TEPAT!", "❌ Belum Tepat (Cek Sheet Akhir: 99_KUNCI_JAWABAN)"))</f>
        <v/>
      </c>
      <c r="G54" s="5" t="n"/>
    </row>
    <row r="55">
      <c r="B55" s="19" t="inlineStr">
        <is>
          <t>Pusat</t>
        </is>
      </c>
      <c r="C55" s="19" t="n">
        <v>91</v>
      </c>
    </row>
    <row r="56">
      <c r="B56" s="19" t="inlineStr">
        <is>
          <t>Cabang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#003 — RUMUS EXCEL: SUMIFS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(SUMIFS)</t>
        </is>
      </c>
    </row>
    <row r="5" ht="21" customHeight="1">
      <c r="B5" s="14" t="inlineStr">
        <is>
          <t>Nama Rumus Excel</t>
        </is>
      </c>
      <c r="C5" s="15">
        <f>SUMIFS(...)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SUMIFS(range_jumlah, range_syarat1, syarat1, ...)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Menjumlahkan angka dengan BANYAK syarat sekaligus. Contoh: Jumlahkan realisasi khusus unit berstatus 'Aktif'!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SUMIFS DI SINI)</t>
        </is>
      </c>
    </row>
    <row r="10">
      <c r="B10" s="18" t="inlineStr">
        <is>
          <t>Status Unit</t>
        </is>
      </c>
      <c r="C10" s="18" t="inlineStr">
        <is>
          <t>Nilai Realisasi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Aktif</t>
        </is>
      </c>
      <c r="C11" s="19" t="n">
        <v>500000</v>
      </c>
      <c r="E11" s="20" t="inlineStr">
        <is>
          <t>Contoh Soal:</t>
        </is>
      </c>
      <c r="F11" s="21" t="inlineStr">
        <is>
          <t>Gunakan fungsi SUMIFS untuk mengolah nilai di C11:C14 khusus baris yang berstatus "Aktif" pada kolom B11:B14!</t>
        </is>
      </c>
      <c r="G11" s="5" t="n"/>
    </row>
    <row r="12">
      <c r="B12" s="19" t="inlineStr">
        <is>
          <t>Aktif</t>
        </is>
      </c>
      <c r="C12" s="19" t="n">
        <v>750000</v>
      </c>
      <c r="E12" s="20" t="inlineStr">
        <is>
          <t>Contoh Rumus Benar:</t>
        </is>
      </c>
      <c r="F12" s="22" t="inlineStr">
        <is>
          <t>'=SUMIFS(C11:C14, B11:B14, "Aktif")</t>
        </is>
      </c>
      <c r="G12" s="5" t="n"/>
    </row>
    <row r="13">
      <c r="B13" s="19" t="inlineStr">
        <is>
          <t>Nonaktif</t>
        </is>
      </c>
      <c r="C13" s="19" t="n">
        <v>600000</v>
      </c>
      <c r="E13" s="20" t="inlineStr">
        <is>
          <t>Contoh Hasil Benar:</t>
        </is>
      </c>
      <c r="F13" s="23">
        <f>SUMIFS(C11:C14, B11:B14, "Aktif")</f>
        <v/>
      </c>
      <c r="G13" s="5" t="n"/>
    </row>
    <row r="14">
      <c r="B14" s="19" t="inlineStr">
        <is>
          <t>Aktif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Status Unit</t>
        </is>
      </c>
      <c r="C20" s="14" t="inlineStr">
        <is>
          <t>Nilai Realisasi</t>
        </is>
      </c>
      <c r="E20" s="27" t="inlineStr">
        <is>
          <t>Persoalan Tes #1: Gunakan fungsi SUMIFS untuk mengolah nilai di C21:C24 khusus baris yang berstatus "Aktif" pada kolom B21:B24!</t>
        </is>
      </c>
    </row>
    <row r="21">
      <c r="B21" s="19" t="inlineStr">
        <is>
          <t>Aktif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Aktif</t>
        </is>
      </c>
      <c r="C22" s="19" t="n">
        <v>1850000</v>
      </c>
      <c r="E22" s="28" t="n"/>
      <c r="F22" s="29">
        <f>IF(ISBLANK(E22), "⏳ Belum Diisi (Ketik Rumus di Sel Kuning E22)", IF(E22='99_KUNCI_JAWABAN'!F15, "✅ BENAR! JAWABAN TES TEPAT!", "❌ Belum Tepat (Cek Sheet Akhir: 99_KUNCI_JAWABAN)"))</f>
        <v/>
      </c>
      <c r="G22" s="5" t="n"/>
    </row>
    <row r="23">
      <c r="B23" s="19" t="inlineStr">
        <is>
          <t>Nonaktif</t>
        </is>
      </c>
      <c r="C23" s="19" t="n">
        <v>2100000</v>
      </c>
    </row>
    <row r="24">
      <c r="B24" s="19" t="inlineStr">
        <is>
          <t>Aktif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Status Unit</t>
        </is>
      </c>
      <c r="C28" s="14" t="inlineStr">
        <is>
          <t>Nilai Realisasi</t>
        </is>
      </c>
      <c r="E28" s="27" t="inlineStr">
        <is>
          <t>Persoalan Tes #2: Gunakan fungsi SUMIFS untuk mengolah nilai di C29:C32 khusus baris yang berstatus "Aktif" pada kolom B29:B32!</t>
        </is>
      </c>
    </row>
    <row r="29">
      <c r="B29" s="19" t="inlineStr">
        <is>
          <t>Aktif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Aktif</t>
        </is>
      </c>
      <c r="C30" s="19" t="n">
        <v>5200000</v>
      </c>
      <c r="E30" s="28" t="n"/>
      <c r="F30" s="29">
        <f>IF(ISBLANK(E30), "⏳ Belum Diisi (Ketik Rumus di Sel Kuning E30)", IF(E30='99_KUNCI_JAWABAN'!F16, "✅ BENAR! JAWABAN TES TEPAT!", "❌ Belum Tepat (Cek Sheet Akhir: 99_KUNCI_JAWABAN)"))</f>
        <v/>
      </c>
      <c r="G30" s="5" t="n"/>
    </row>
    <row r="31">
      <c r="B31" s="19" t="inlineStr">
        <is>
          <t>Nonaktif</t>
        </is>
      </c>
      <c r="C31" s="19" t="n">
        <v>4800000</v>
      </c>
    </row>
    <row r="32">
      <c r="B32" s="19" t="inlineStr">
        <is>
          <t>Aktif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Status Unit</t>
        </is>
      </c>
      <c r="C36" s="14" t="inlineStr">
        <is>
          <t>Nilai Realisasi</t>
        </is>
      </c>
      <c r="E36" s="27" t="inlineStr">
        <is>
          <t>Persoalan Tes #3: Gunakan fungsi SUMIFS untuk mengolah nilai di C37:C40 khusus baris yang berstatus "Aktif" pada kolom B37:B40!</t>
        </is>
      </c>
    </row>
    <row r="37">
      <c r="B37" s="19" t="inlineStr">
        <is>
          <t>Aktif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Aktif</t>
        </is>
      </c>
      <c r="C38" s="19" t="n">
        <v>380</v>
      </c>
      <c r="E38" s="28" t="n"/>
      <c r="F38" s="29">
        <f>IF(ISBLANK(E38), "⏳ Belum Diisi (Ketik Rumus di Sel Kuning E38)", IF(E38='99_KUNCI_JAWABAN'!F17, "✅ BENAR! JAWABAN TES TEPAT!", "❌ Belum Tepat (Cek Sheet Akhir: 99_KUNCI_JAWABAN)"))</f>
        <v/>
      </c>
      <c r="G38" s="5" t="n"/>
    </row>
    <row r="39">
      <c r="B39" s="19" t="inlineStr">
        <is>
          <t>Nonaktif</t>
        </is>
      </c>
      <c r="C39" s="19" t="n">
        <v>195</v>
      </c>
    </row>
    <row r="40">
      <c r="B40" s="19" t="inlineStr">
        <is>
          <t>Aktif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Status Unit</t>
        </is>
      </c>
      <c r="C44" s="14" t="inlineStr">
        <is>
          <t>Nilai Realisasi</t>
        </is>
      </c>
      <c r="E44" s="27" t="inlineStr">
        <is>
          <t>Persoalan Tes #4: Gunakan fungsi SUMIFS untuk mengolah nilai di C45:C48 khusus baris yang berstatus "Aktif" pada kolom B45:B48!</t>
        </is>
      </c>
    </row>
    <row r="45">
      <c r="B45" s="19" t="inlineStr">
        <is>
          <t>Aktif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Aktif</t>
        </is>
      </c>
      <c r="C46" s="19" t="n">
        <v>92</v>
      </c>
      <c r="E46" s="28" t="n"/>
      <c r="F46" s="29">
        <f>IF(ISBLANK(E46), "⏳ Belum Diisi (Ketik Rumus di Sel Kuning E46)", IF(E46='99_KUNCI_JAWABAN'!F18, "✅ BENAR! JAWABAN TES TEPAT!", "❌ Belum Tepat (Cek Sheet Akhir: 99_KUNCI_JAWABAN)"))</f>
        <v/>
      </c>
      <c r="G46" s="5" t="n"/>
    </row>
    <row r="47">
      <c r="B47" s="19" t="inlineStr">
        <is>
          <t>Nonaktif</t>
        </is>
      </c>
      <c r="C47" s="19" t="n">
        <v>78</v>
      </c>
    </row>
    <row r="48">
      <c r="B48" s="19" t="inlineStr">
        <is>
          <t>Aktif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Status Unit</t>
        </is>
      </c>
      <c r="C52" s="14" t="inlineStr">
        <is>
          <t>Nilai Realisasi</t>
        </is>
      </c>
      <c r="E52" s="27" t="inlineStr">
        <is>
          <t>Persoalan Tes #5: Gunakan fungsi SUMIFS untuk mengolah nilai di C53:C56 khusus baris yang berstatus "Aktif" pada kolom B53:B56!</t>
        </is>
      </c>
    </row>
    <row r="53">
      <c r="B53" s="19" t="inlineStr">
        <is>
          <t>Aktif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Aktif</t>
        </is>
      </c>
      <c r="C54" s="19" t="n">
        <v>88</v>
      </c>
      <c r="E54" s="28" t="n"/>
      <c r="F54" s="29">
        <f>IF(ISBLANK(E54), "⏳ Belum Diisi (Ketik Rumus di Sel Kuning E54)", IF(E54='99_KUNCI_JAWABAN'!F19, "✅ BENAR! JAWABAN TES TEPAT!", "❌ Belum Tepat (Cek Sheet Akhir: 99_KUNCI_JAWABAN)"))</f>
        <v/>
      </c>
      <c r="G54" s="5" t="n"/>
    </row>
    <row r="55">
      <c r="B55" s="19" t="inlineStr">
        <is>
          <t>Nonaktif</t>
        </is>
      </c>
      <c r="C55" s="19" t="n">
        <v>91</v>
      </c>
    </row>
    <row r="56">
      <c r="B56" s="19" t="inlineStr">
        <is>
          <t>Aktif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#004 — RUMUS EXCEL: PRODUCT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(PRODUCT)</t>
        </is>
      </c>
    </row>
    <row r="5" ht="21" customHeight="1">
      <c r="B5" s="14" t="inlineStr">
        <is>
          <t>Nama Rumus Excel</t>
        </is>
      </c>
      <c r="C5" s="15">
        <f>PRODUCT(...)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PRODUCT(angka1, [angka2], ...)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Mengalikan semua angka di dalam rentang sel. Cocok untuk menghitung perkalian beruntun seperti Harga × Jumlah × Faktor Diskon.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PRODUCT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PRODUCT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'=PRODUCT(C11:C14)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PRODUCT(C11:C14)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PRODUCT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IF(E22='99_KUNCI_JAWABAN'!F20,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PRODUCT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IF(E30='99_KUNCI_JAWABAN'!F21,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PRODUCT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IF(E38='99_KUNCI_JAWABAN'!F22,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PRODUCT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IF(E46='99_KUNCI_JAWABAN'!F23,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PRODUCT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IF(E54='99_KUNCI_JAWABAN'!F24,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#005 — RUMUS EXCEL: SUMPRODUCT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(SUMPRODUCT)</t>
        </is>
      </c>
    </row>
    <row r="5" ht="21" customHeight="1">
      <c r="B5" s="14" t="inlineStr">
        <is>
          <t>Nama Rumus Excel</t>
        </is>
      </c>
      <c r="C5" s="15">
        <f>SUMPRODUCT(...)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SUMPRODUCT(array1, [array2], ...)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Mengalikan dua kolom sejajar (misal Qty × Harga Satuan tiap baris) lalu langsung menjumlahkan total akhirnya tanpa perlu kolom bantuan!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SUMPRODUCT DI SINI)</t>
        </is>
      </c>
    </row>
    <row r="10">
      <c r="B10" s="18" t="inlineStr">
        <is>
          <t>Qty Barang</t>
        </is>
      </c>
      <c r="C10" s="18" t="inlineStr">
        <is>
          <t>Harga Satuan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60</v>
      </c>
      <c r="C11" s="19" t="n">
        <v>90</v>
      </c>
      <c r="E11" s="20" t="inlineStr">
        <is>
          <t>Contoh Soal:</t>
        </is>
      </c>
      <c r="F11" s="21" t="inlineStr">
        <is>
          <t>Kalikan kolom Qty Barang (B11:B14) dengan Harga Satuan (C11:C14) lalu jumlahkan totalnya sekaligus menggunakan fungsi SUMPRODUCT!</t>
        </is>
      </c>
      <c r="G11" s="5" t="n"/>
    </row>
    <row r="12">
      <c r="B12" s="19" t="n">
        <v>120</v>
      </c>
      <c r="C12" s="19" t="n">
        <v>168</v>
      </c>
      <c r="E12" s="20" t="inlineStr">
        <is>
          <t>Contoh Rumus Benar:</t>
        </is>
      </c>
      <c r="F12" s="22" t="inlineStr">
        <is>
          <t>'=SUMPRODUCT(B11:B14, C11:C14)</t>
        </is>
      </c>
      <c r="G12" s="5" t="n"/>
    </row>
    <row r="13">
      <c r="B13" s="19" t="n">
        <v>210</v>
      </c>
      <c r="C13" s="19" t="n">
        <v>240</v>
      </c>
      <c r="E13" s="20" t="inlineStr">
        <is>
          <t>Contoh Hasil Benar:</t>
        </is>
      </c>
      <c r="F13" s="23">
        <f>SUMPRODUCT(B11:B14, C11:C14)</f>
        <v/>
      </c>
      <c r="G13" s="5" t="n"/>
    </row>
    <row r="14">
      <c r="B14" s="19" t="n">
        <v>300</v>
      </c>
      <c r="C14" s="19" t="n">
        <v>348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Qty Barang</t>
        </is>
      </c>
      <c r="C20" s="14" t="inlineStr">
        <is>
          <t>Harga Satuan</t>
        </is>
      </c>
      <c r="E20" s="27" t="inlineStr">
        <is>
          <t>Persoalan Tes #1: Kalikan kolom Qty Barang (B21:B24) dengan Harga Satuan (C21:C24) lalu jumlahkan totalnya sekaligus menggunakan fungsi SUMPRODUCT!</t>
        </is>
      </c>
    </row>
    <row r="21">
      <c r="B21" s="19" t="n">
        <v>10</v>
      </c>
      <c r="C21" s="19" t="n">
        <v>15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20</v>
      </c>
      <c r="C22" s="19" t="n">
        <v>28</v>
      </c>
      <c r="E22" s="28" t="n"/>
      <c r="F22" s="29">
        <f>IF(ISBLANK(E22), "⏳ Belum Diisi (Ketik Rumus di Sel Kuning E22)", IF(E22='99_KUNCI_JAWABAN'!F25, "✅ BENAR! JAWABAN TES TEPAT!", "❌ Belum Tepat (Cek Sheet Akhir: 99_KUNCI_JAWABAN)"))</f>
        <v/>
      </c>
      <c r="G22" s="5" t="n"/>
    </row>
    <row r="23">
      <c r="B23" s="19" t="n">
        <v>35</v>
      </c>
      <c r="C23" s="19" t="n">
        <v>40</v>
      </c>
    </row>
    <row r="24">
      <c r="B24" s="19" t="n">
        <v>50</v>
      </c>
      <c r="C24" s="19" t="n">
        <v>58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Qty Barang</t>
        </is>
      </c>
      <c r="C28" s="14" t="inlineStr">
        <is>
          <t>Harga Satuan</t>
        </is>
      </c>
      <c r="E28" s="27" t="inlineStr">
        <is>
          <t>Persoalan Tes #2: Kalikan kolom Qty Barang (B29:B32) dengan Harga Satuan (C29:C32) lalu jumlahkan totalnya sekaligus menggunakan fungsi SUMPRODUCT!</t>
        </is>
      </c>
    </row>
    <row r="29">
      <c r="B29" s="19" t="n">
        <v>20</v>
      </c>
      <c r="C29" s="19" t="n">
        <v>30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40</v>
      </c>
      <c r="C30" s="19" t="n">
        <v>56</v>
      </c>
      <c r="E30" s="28" t="n"/>
      <c r="F30" s="29">
        <f>IF(ISBLANK(E30), "⏳ Belum Diisi (Ketik Rumus di Sel Kuning E30)", IF(E30='99_KUNCI_JAWABAN'!F26, "✅ BENAR! JAWABAN TES TEPAT!", "❌ Belum Tepat (Cek Sheet Akhir: 99_KUNCI_JAWABAN)"))</f>
        <v/>
      </c>
      <c r="G30" s="5" t="n"/>
    </row>
    <row r="31">
      <c r="B31" s="19" t="n">
        <v>70</v>
      </c>
      <c r="C31" s="19" t="n">
        <v>80</v>
      </c>
    </row>
    <row r="32">
      <c r="B32" s="19" t="n">
        <v>100</v>
      </c>
      <c r="C32" s="19" t="n">
        <v>116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Qty Barang</t>
        </is>
      </c>
      <c r="C36" s="14" t="inlineStr">
        <is>
          <t>Harga Satuan</t>
        </is>
      </c>
      <c r="E36" s="27" t="inlineStr">
        <is>
          <t>Persoalan Tes #3: Kalikan kolom Qty Barang (B37:B40) dengan Harga Satuan (C37:C40) lalu jumlahkan totalnya sekaligus menggunakan fungsi SUMPRODUCT!</t>
        </is>
      </c>
    </row>
    <row r="37">
      <c r="B37" s="19" t="n">
        <v>30</v>
      </c>
      <c r="C37" s="19" t="n">
        <v>45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60</v>
      </c>
      <c r="C38" s="19" t="n">
        <v>84</v>
      </c>
      <c r="E38" s="28" t="n"/>
      <c r="F38" s="29">
        <f>IF(ISBLANK(E38), "⏳ Belum Diisi (Ketik Rumus di Sel Kuning E38)", IF(E38='99_KUNCI_JAWABAN'!F27, "✅ BENAR! JAWABAN TES TEPAT!", "❌ Belum Tepat (Cek Sheet Akhir: 99_KUNCI_JAWABAN)"))</f>
        <v/>
      </c>
      <c r="G38" s="5" t="n"/>
    </row>
    <row r="39">
      <c r="B39" s="19" t="n">
        <v>105</v>
      </c>
      <c r="C39" s="19" t="n">
        <v>120</v>
      </c>
    </row>
    <row r="40">
      <c r="B40" s="19" t="n">
        <v>150</v>
      </c>
      <c r="C40" s="19" t="n">
        <v>174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Qty Barang</t>
        </is>
      </c>
      <c r="C44" s="14" t="inlineStr">
        <is>
          <t>Harga Satuan</t>
        </is>
      </c>
      <c r="E44" s="27" t="inlineStr">
        <is>
          <t>Persoalan Tes #4: Kalikan kolom Qty Barang (B45:B48) dengan Harga Satuan (C45:C48) lalu jumlahkan totalnya sekaligus menggunakan fungsi SUMPRODUCT!</t>
        </is>
      </c>
    </row>
    <row r="45">
      <c r="B45" s="19" t="n">
        <v>40</v>
      </c>
      <c r="C45" s="19" t="n">
        <v>60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80</v>
      </c>
      <c r="C46" s="19" t="n">
        <v>112</v>
      </c>
      <c r="E46" s="28" t="n"/>
      <c r="F46" s="29">
        <f>IF(ISBLANK(E46), "⏳ Belum Diisi (Ketik Rumus di Sel Kuning E46)", IF(E46='99_KUNCI_JAWABAN'!F28, "✅ BENAR! JAWABAN TES TEPAT!", "❌ Belum Tepat (Cek Sheet Akhir: 99_KUNCI_JAWABAN)"))</f>
        <v/>
      </c>
      <c r="G46" s="5" t="n"/>
    </row>
    <row r="47">
      <c r="B47" s="19" t="n">
        <v>140</v>
      </c>
      <c r="C47" s="19" t="n">
        <v>160</v>
      </c>
    </row>
    <row r="48">
      <c r="B48" s="19" t="n">
        <v>200</v>
      </c>
      <c r="C48" s="19" t="n">
        <v>232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Qty Barang</t>
        </is>
      </c>
      <c r="C52" s="14" t="inlineStr">
        <is>
          <t>Harga Satuan</t>
        </is>
      </c>
      <c r="E52" s="27" t="inlineStr">
        <is>
          <t>Persoalan Tes #5: Kalikan kolom Qty Barang (B53:B56) dengan Harga Satuan (C53:C56) lalu jumlahkan totalnya sekaligus menggunakan fungsi SUMPRODUCT!</t>
        </is>
      </c>
    </row>
    <row r="53">
      <c r="B53" s="19" t="n">
        <v>50</v>
      </c>
      <c r="C53" s="19" t="n">
        <v>75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100</v>
      </c>
      <c r="C54" s="19" t="n">
        <v>140</v>
      </c>
      <c r="E54" s="28" t="n"/>
      <c r="F54" s="29">
        <f>IF(ISBLANK(E54), "⏳ Belum Diisi (Ketik Rumus di Sel Kuning E54)", IF(E54='99_KUNCI_JAWABAN'!F29, "✅ BENAR! JAWABAN TES TEPAT!", "❌ Belum Tepat (Cek Sheet Akhir: 99_KUNCI_JAWABAN)"))</f>
        <v/>
      </c>
      <c r="G54" s="5" t="n"/>
    </row>
    <row r="55">
      <c r="B55" s="19" t="n">
        <v>175</v>
      </c>
      <c r="C55" s="19" t="n">
        <v>200</v>
      </c>
    </row>
    <row r="56">
      <c r="B56" s="19" t="n">
        <v>250</v>
      </c>
      <c r="C56" s="19" t="n">
        <v>290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#006 — RUMUS EXCEL: ROUND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(ROUND)</t>
        </is>
      </c>
    </row>
    <row r="5" ht="21" customHeight="1">
      <c r="B5" s="14" t="inlineStr">
        <is>
          <t>Nama Rumus Excel</t>
        </is>
      </c>
      <c r="C5" s="15">
        <f>ROUND(...)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ROUND(angka, jumlah_digit)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Membulatkan angka desimal ke jumlah angka di belakang koma terdekat sesuai aturan matematika standar (0.5 ke atas naik).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ROUND DI SINI)</t>
        </is>
      </c>
    </row>
    <row r="10">
      <c r="B10" s="18" t="inlineStr">
        <is>
          <t>Item Pengukuran</t>
        </is>
      </c>
      <c r="C10" s="18" t="inlineStr">
        <is>
          <t>Nilai Desimal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140.289</v>
      </c>
      <c r="E11" s="20" t="inlineStr">
        <is>
          <t>Contoh Soal:</t>
        </is>
      </c>
      <c r="F11" s="21" t="inlineStr">
        <is>
          <t>Bulatkan nilai desimal pada sel C11 (140.289) menjadi 1 angka di belakang koma menggunakan fungsi ROUND!</t>
        </is>
      </c>
      <c r="G11" s="5" t="n"/>
    </row>
    <row r="12">
      <c r="B12" s="19" t="inlineStr">
        <is>
          <t>Simulasi Unit B</t>
        </is>
      </c>
      <c r="C12" s="19" t="n">
        <v>89.345</v>
      </c>
      <c r="E12" s="20" t="inlineStr">
        <is>
          <t>Contoh Rumus Benar:</t>
        </is>
      </c>
      <c r="F12" s="22" t="inlineStr">
        <is>
          <t>'=ROUND(C11, 1)</t>
        </is>
      </c>
      <c r="G12" s="5" t="n"/>
    </row>
    <row r="13">
      <c r="B13" s="19" t="inlineStr">
        <is>
          <t>Simulasi Unit C</t>
        </is>
      </c>
      <c r="C13" s="19" t="n">
        <v>45.678</v>
      </c>
      <c r="E13" s="20" t="inlineStr">
        <is>
          <t>Contoh Hasil Benar:</t>
        </is>
      </c>
      <c r="F13" s="23">
        <f>ROUND(C11, 1)</f>
        <v/>
      </c>
      <c r="G13" s="5" t="n"/>
    </row>
    <row r="14">
      <c r="B14" s="19" t="inlineStr">
        <is>
          <t>Simulasi Unit D</t>
        </is>
      </c>
      <c r="C14" s="19" t="n">
        <v>19.99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 Pengukuran</t>
        </is>
      </c>
      <c r="C20" s="14" t="inlineStr">
        <is>
          <t>Nilai Desimal</t>
        </is>
      </c>
      <c r="E20" s="27" t="inlineStr">
        <is>
          <t>Persoalan Tes #1: Bulatkan nilai desimal pada sel C21 (124.789) menjadi 1 angka di belakang koma menggunakan fungsi ROUND!</t>
        </is>
      </c>
    </row>
    <row r="21">
      <c r="B21" s="19" t="inlineStr">
        <is>
          <t>Cabang Jakarta</t>
        </is>
      </c>
      <c r="C21" s="19" t="n">
        <v>124.789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89.345</v>
      </c>
      <c r="E22" s="28" t="n"/>
      <c r="F22" s="29">
        <f>IF(ISBLANK(E22), "⏳ Belum Diisi (Ketik Rumus di Sel Kuning E22)", IF(E22='99_KUNCI_JAWABAN'!F30,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45.678</v>
      </c>
    </row>
    <row r="24">
      <c r="B24" s="19" t="inlineStr">
        <is>
          <t>Cabang Medan</t>
        </is>
      </c>
      <c r="C24" s="19" t="n">
        <v>19.99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 Pengukuran</t>
        </is>
      </c>
      <c r="C28" s="14" t="inlineStr">
        <is>
          <t>Nilai Desimal</t>
        </is>
      </c>
      <c r="E28" s="27" t="inlineStr">
        <is>
          <t>Persoalan Tes #2: Bulatkan nilai desimal pada sel C29 (127.889) menjadi 1 angka di belakang koma menggunakan fungsi ROUND!</t>
        </is>
      </c>
    </row>
    <row r="29">
      <c r="B29" s="19" t="inlineStr">
        <is>
          <t>Budi Santoso</t>
        </is>
      </c>
      <c r="C29" s="19" t="n">
        <v>127.889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89.345</v>
      </c>
      <c r="E30" s="28" t="n"/>
      <c r="F30" s="29">
        <f>IF(ISBLANK(E30), "⏳ Belum Diisi (Ketik Rumus di Sel Kuning E30)", IF(E30='99_KUNCI_JAWABAN'!F31,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45.678</v>
      </c>
    </row>
    <row r="32">
      <c r="B32" s="19" t="inlineStr">
        <is>
          <t>Rina Wijaya</t>
        </is>
      </c>
      <c r="C32" s="19" t="n">
        <v>19.99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 Pengukuran</t>
        </is>
      </c>
      <c r="C36" s="14" t="inlineStr">
        <is>
          <t>Nilai Desimal</t>
        </is>
      </c>
      <c r="E36" s="27" t="inlineStr">
        <is>
          <t>Persoalan Tes #3: Bulatkan nilai desimal pada sel C37 (130.989) menjadi 1 angka di belakang koma menggunakan fungsi ROUND!</t>
        </is>
      </c>
    </row>
    <row r="37">
      <c r="B37" s="19" t="inlineStr">
        <is>
          <t>Gudang Blok A</t>
        </is>
      </c>
      <c r="C37" s="19" t="n">
        <v>130.989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89.345</v>
      </c>
      <c r="E38" s="28" t="n"/>
      <c r="F38" s="29">
        <f>IF(ISBLANK(E38), "⏳ Belum Diisi (Ketik Rumus di Sel Kuning E38)", IF(E38='99_KUNCI_JAWABAN'!F32,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45.678</v>
      </c>
    </row>
    <row r="40">
      <c r="B40" s="19" t="inlineStr">
        <is>
          <t>Gudang Blok D</t>
        </is>
      </c>
      <c r="C40" s="19" t="n">
        <v>19.99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 Pengukuran</t>
        </is>
      </c>
      <c r="C44" s="14" t="inlineStr">
        <is>
          <t>Nilai Desimal</t>
        </is>
      </c>
      <c r="E44" s="27" t="inlineStr">
        <is>
          <t>Persoalan Tes #4: Bulatkan nilai desimal pada sel C45 (134.089) menjadi 1 angka di belakang koma menggunakan fungsi ROUND!</t>
        </is>
      </c>
    </row>
    <row r="45">
      <c r="B45" s="19" t="inlineStr">
        <is>
          <t>Toko Elektronik</t>
        </is>
      </c>
      <c r="C45" s="19" t="n">
        <v>134.089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89.345</v>
      </c>
      <c r="E46" s="28" t="n"/>
      <c r="F46" s="29">
        <f>IF(ISBLANK(E46), "⏳ Belum Diisi (Ketik Rumus di Sel Kuning E46)", IF(E46='99_KUNCI_JAWABAN'!F33,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45.678</v>
      </c>
    </row>
    <row r="48">
      <c r="B48" s="19" t="inlineStr">
        <is>
          <t>Toko Servis</t>
        </is>
      </c>
      <c r="C48" s="19" t="n">
        <v>19.99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 Pengukuran</t>
        </is>
      </c>
      <c r="C52" s="14" t="inlineStr">
        <is>
          <t>Nilai Desimal</t>
        </is>
      </c>
      <c r="E52" s="27" t="inlineStr">
        <is>
          <t>Persoalan Tes #5: Bulatkan nilai desimal pada sel C53 (137.189) menjadi 1 angka di belakang koma menggunakan fungsi ROUND!</t>
        </is>
      </c>
    </row>
    <row r="53">
      <c r="B53" s="19" t="inlineStr">
        <is>
          <t>Kelas 10 IPA</t>
        </is>
      </c>
      <c r="C53" s="19" t="n">
        <v>137.189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89.345</v>
      </c>
      <c r="E54" s="28" t="n"/>
      <c r="F54" s="29">
        <f>IF(ISBLANK(E54), "⏳ Belum Diisi (Ketik Rumus di Sel Kuning E54)", IF(E54='99_KUNCI_JAWABAN'!F34,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45.678</v>
      </c>
    </row>
    <row r="56">
      <c r="B56" s="19" t="inlineStr">
        <is>
          <t>Kelas Unggulan</t>
        </is>
      </c>
      <c r="C56" s="19" t="n">
        <v>19.99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#007 — RUMUS EXCEL: ROUNDUP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(ROUNDUP)</t>
        </is>
      </c>
    </row>
    <row r="5" ht="21" customHeight="1">
      <c r="B5" s="14" t="inlineStr">
        <is>
          <t>Nama Rumus Excel</t>
        </is>
      </c>
      <c r="C5" s="15">
        <f>ROUNDUP(...)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ROUNDUP(angka, jumlah_digit)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Selalu membulatkan angka KE ATAS menjauhi nol. Cocok untuk menghitung jumlah dus/truk (kalau butuh 4.1 truk, harus sewa 5 truk!).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ROUNDUP DI SINI)</t>
        </is>
      </c>
    </row>
    <row r="10">
      <c r="B10" s="18" t="inlineStr">
        <is>
          <t>Item Pengukuran</t>
        </is>
      </c>
      <c r="C10" s="18" t="inlineStr">
        <is>
          <t>Nilai Desimal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140.289</v>
      </c>
      <c r="E11" s="20" t="inlineStr">
        <is>
          <t>Contoh Soal:</t>
        </is>
      </c>
      <c r="F11" s="21" t="inlineStr">
        <is>
          <t>Bulatkan nilai desimal pada sel C11 (140.289) menjadi 1 angka di belakang koma menggunakan fungsi ROUNDUP!</t>
        </is>
      </c>
      <c r="G11" s="5" t="n"/>
    </row>
    <row r="12">
      <c r="B12" s="19" t="inlineStr">
        <is>
          <t>Simulasi Unit B</t>
        </is>
      </c>
      <c r="C12" s="19" t="n">
        <v>89.345</v>
      </c>
      <c r="E12" s="20" t="inlineStr">
        <is>
          <t>Contoh Rumus Benar:</t>
        </is>
      </c>
      <c r="F12" s="22" t="inlineStr">
        <is>
          <t>'=ROUNDUP(C11, 1)</t>
        </is>
      </c>
      <c r="G12" s="5" t="n"/>
    </row>
    <row r="13">
      <c r="B13" s="19" t="inlineStr">
        <is>
          <t>Simulasi Unit C</t>
        </is>
      </c>
      <c r="C13" s="19" t="n">
        <v>45.678</v>
      </c>
      <c r="E13" s="20" t="inlineStr">
        <is>
          <t>Contoh Hasil Benar:</t>
        </is>
      </c>
      <c r="F13" s="23">
        <f>ROUNDUP(C11, 1)</f>
        <v/>
      </c>
      <c r="G13" s="5" t="n"/>
    </row>
    <row r="14">
      <c r="B14" s="19" t="inlineStr">
        <is>
          <t>Simulasi Unit D</t>
        </is>
      </c>
      <c r="C14" s="19" t="n">
        <v>19.99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 Pengukuran</t>
        </is>
      </c>
      <c r="C20" s="14" t="inlineStr">
        <is>
          <t>Nilai Desimal</t>
        </is>
      </c>
      <c r="E20" s="27" t="inlineStr">
        <is>
          <t>Persoalan Tes #1: Bulatkan nilai desimal pada sel C21 (124.789) menjadi 1 angka di belakang koma menggunakan fungsi ROUNDUP!</t>
        </is>
      </c>
    </row>
    <row r="21">
      <c r="B21" s="19" t="inlineStr">
        <is>
          <t>Cabang Jakarta</t>
        </is>
      </c>
      <c r="C21" s="19" t="n">
        <v>124.789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89.345</v>
      </c>
      <c r="E22" s="28" t="n"/>
      <c r="F22" s="29">
        <f>IF(ISBLANK(E22), "⏳ Belum Diisi (Ketik Rumus di Sel Kuning E22)", IF(E22='99_KUNCI_JAWABAN'!F35,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45.678</v>
      </c>
    </row>
    <row r="24">
      <c r="B24" s="19" t="inlineStr">
        <is>
          <t>Cabang Medan</t>
        </is>
      </c>
      <c r="C24" s="19" t="n">
        <v>19.99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 Pengukuran</t>
        </is>
      </c>
      <c r="C28" s="14" t="inlineStr">
        <is>
          <t>Nilai Desimal</t>
        </is>
      </c>
      <c r="E28" s="27" t="inlineStr">
        <is>
          <t>Persoalan Tes #2: Bulatkan nilai desimal pada sel C29 (127.889) menjadi 1 angka di belakang koma menggunakan fungsi ROUNDUP!</t>
        </is>
      </c>
    </row>
    <row r="29">
      <c r="B29" s="19" t="inlineStr">
        <is>
          <t>Budi Santoso</t>
        </is>
      </c>
      <c r="C29" s="19" t="n">
        <v>127.889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89.345</v>
      </c>
      <c r="E30" s="28" t="n"/>
      <c r="F30" s="29">
        <f>IF(ISBLANK(E30), "⏳ Belum Diisi (Ketik Rumus di Sel Kuning E30)", IF(E30='99_KUNCI_JAWABAN'!F36,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45.678</v>
      </c>
    </row>
    <row r="32">
      <c r="B32" s="19" t="inlineStr">
        <is>
          <t>Rina Wijaya</t>
        </is>
      </c>
      <c r="C32" s="19" t="n">
        <v>19.99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 Pengukuran</t>
        </is>
      </c>
      <c r="C36" s="14" t="inlineStr">
        <is>
          <t>Nilai Desimal</t>
        </is>
      </c>
      <c r="E36" s="27" t="inlineStr">
        <is>
          <t>Persoalan Tes #3: Bulatkan nilai desimal pada sel C37 (130.989) menjadi 1 angka di belakang koma menggunakan fungsi ROUNDUP!</t>
        </is>
      </c>
    </row>
    <row r="37">
      <c r="B37" s="19" t="inlineStr">
        <is>
          <t>Gudang Blok A</t>
        </is>
      </c>
      <c r="C37" s="19" t="n">
        <v>130.989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89.345</v>
      </c>
      <c r="E38" s="28" t="n"/>
      <c r="F38" s="29">
        <f>IF(ISBLANK(E38), "⏳ Belum Diisi (Ketik Rumus di Sel Kuning E38)", IF(E38='99_KUNCI_JAWABAN'!F37,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45.678</v>
      </c>
    </row>
    <row r="40">
      <c r="B40" s="19" t="inlineStr">
        <is>
          <t>Gudang Blok D</t>
        </is>
      </c>
      <c r="C40" s="19" t="n">
        <v>19.99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 Pengukuran</t>
        </is>
      </c>
      <c r="C44" s="14" t="inlineStr">
        <is>
          <t>Nilai Desimal</t>
        </is>
      </c>
      <c r="E44" s="27" t="inlineStr">
        <is>
          <t>Persoalan Tes #4: Bulatkan nilai desimal pada sel C45 (134.089) menjadi 1 angka di belakang koma menggunakan fungsi ROUNDUP!</t>
        </is>
      </c>
    </row>
    <row r="45">
      <c r="B45" s="19" t="inlineStr">
        <is>
          <t>Toko Elektronik</t>
        </is>
      </c>
      <c r="C45" s="19" t="n">
        <v>134.089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89.345</v>
      </c>
      <c r="E46" s="28" t="n"/>
      <c r="F46" s="29">
        <f>IF(ISBLANK(E46), "⏳ Belum Diisi (Ketik Rumus di Sel Kuning E46)", IF(E46='99_KUNCI_JAWABAN'!F38,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45.678</v>
      </c>
    </row>
    <row r="48">
      <c r="B48" s="19" t="inlineStr">
        <is>
          <t>Toko Servis</t>
        </is>
      </c>
      <c r="C48" s="19" t="n">
        <v>19.99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 Pengukuran</t>
        </is>
      </c>
      <c r="C52" s="14" t="inlineStr">
        <is>
          <t>Nilai Desimal</t>
        </is>
      </c>
      <c r="E52" s="27" t="inlineStr">
        <is>
          <t>Persoalan Tes #5: Bulatkan nilai desimal pada sel C53 (137.189) menjadi 1 angka di belakang koma menggunakan fungsi ROUNDUP!</t>
        </is>
      </c>
    </row>
    <row r="53">
      <c r="B53" s="19" t="inlineStr">
        <is>
          <t>Kelas 10 IPA</t>
        </is>
      </c>
      <c r="C53" s="19" t="n">
        <v>137.189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89.345</v>
      </c>
      <c r="E54" s="28" t="n"/>
      <c r="F54" s="29">
        <f>IF(ISBLANK(E54), "⏳ Belum Diisi (Ketik Rumus di Sel Kuning E54)", IF(E54='99_KUNCI_JAWABAN'!F39,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45.678</v>
      </c>
    </row>
    <row r="56">
      <c r="B56" s="19" t="inlineStr">
        <is>
          <t>Kelas Unggulan</t>
        </is>
      </c>
      <c r="C56" s="19" t="n">
        <v>19.99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#008 — RUMUS EXCEL: ROUNDDOWN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(ROUNDDOWN)</t>
        </is>
      </c>
    </row>
    <row r="5" ht="21" customHeight="1">
      <c r="B5" s="14" t="inlineStr">
        <is>
          <t>Nama Rumus Excel</t>
        </is>
      </c>
      <c r="C5" s="15">
        <f>ROUNDDOWN(...)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ROUNDDOWN(angka, jumlah_digit)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Selalu membulatkan angka KE BAWAH mendekati nol (memotong desimal tanpa peduli angkanya besar).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ROUNDDOWN DI SINI)</t>
        </is>
      </c>
    </row>
    <row r="10">
      <c r="B10" s="18" t="inlineStr">
        <is>
          <t>Item Pengukuran</t>
        </is>
      </c>
      <c r="C10" s="18" t="inlineStr">
        <is>
          <t>Nilai Desimal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140.289</v>
      </c>
      <c r="E11" s="20" t="inlineStr">
        <is>
          <t>Contoh Soal:</t>
        </is>
      </c>
      <c r="F11" s="21" t="inlineStr">
        <is>
          <t>Bulatkan nilai desimal pada sel C11 (140.289) menjadi 1 angka di belakang koma menggunakan fungsi ROUNDDOWN!</t>
        </is>
      </c>
      <c r="G11" s="5" t="n"/>
    </row>
    <row r="12">
      <c r="B12" s="19" t="inlineStr">
        <is>
          <t>Simulasi Unit B</t>
        </is>
      </c>
      <c r="C12" s="19" t="n">
        <v>89.345</v>
      </c>
      <c r="E12" s="20" t="inlineStr">
        <is>
          <t>Contoh Rumus Benar:</t>
        </is>
      </c>
      <c r="F12" s="22" t="inlineStr">
        <is>
          <t>'=ROUNDDOWN(C11, 1)</t>
        </is>
      </c>
      <c r="G12" s="5" t="n"/>
    </row>
    <row r="13">
      <c r="B13" s="19" t="inlineStr">
        <is>
          <t>Simulasi Unit C</t>
        </is>
      </c>
      <c r="C13" s="19" t="n">
        <v>45.678</v>
      </c>
      <c r="E13" s="20" t="inlineStr">
        <is>
          <t>Contoh Hasil Benar:</t>
        </is>
      </c>
      <c r="F13" s="23">
        <f>ROUNDDOWN(C11, 1)</f>
        <v/>
      </c>
      <c r="G13" s="5" t="n"/>
    </row>
    <row r="14">
      <c r="B14" s="19" t="inlineStr">
        <is>
          <t>Simulasi Unit D</t>
        </is>
      </c>
      <c r="C14" s="19" t="n">
        <v>19.99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 Pengukuran</t>
        </is>
      </c>
      <c r="C20" s="14" t="inlineStr">
        <is>
          <t>Nilai Desimal</t>
        </is>
      </c>
      <c r="E20" s="27" t="inlineStr">
        <is>
          <t>Persoalan Tes #1: Bulatkan nilai desimal pada sel C21 (124.789) menjadi 1 angka di belakang koma menggunakan fungsi ROUNDDOWN!</t>
        </is>
      </c>
    </row>
    <row r="21">
      <c r="B21" s="19" t="inlineStr">
        <is>
          <t>Cabang Jakarta</t>
        </is>
      </c>
      <c r="C21" s="19" t="n">
        <v>124.789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89.345</v>
      </c>
      <c r="E22" s="28" t="n"/>
      <c r="F22" s="29">
        <f>IF(ISBLANK(E22), "⏳ Belum Diisi (Ketik Rumus di Sel Kuning E22)", IF(E22='99_KUNCI_JAWABAN'!F40,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45.678</v>
      </c>
    </row>
    <row r="24">
      <c r="B24" s="19" t="inlineStr">
        <is>
          <t>Cabang Medan</t>
        </is>
      </c>
      <c r="C24" s="19" t="n">
        <v>19.99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 Pengukuran</t>
        </is>
      </c>
      <c r="C28" s="14" t="inlineStr">
        <is>
          <t>Nilai Desimal</t>
        </is>
      </c>
      <c r="E28" s="27" t="inlineStr">
        <is>
          <t>Persoalan Tes #2: Bulatkan nilai desimal pada sel C29 (127.889) menjadi 1 angka di belakang koma menggunakan fungsi ROUNDDOWN!</t>
        </is>
      </c>
    </row>
    <row r="29">
      <c r="B29" s="19" t="inlineStr">
        <is>
          <t>Budi Santoso</t>
        </is>
      </c>
      <c r="C29" s="19" t="n">
        <v>127.889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89.345</v>
      </c>
      <c r="E30" s="28" t="n"/>
      <c r="F30" s="29">
        <f>IF(ISBLANK(E30), "⏳ Belum Diisi (Ketik Rumus di Sel Kuning E30)", IF(E30='99_KUNCI_JAWABAN'!F41,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45.678</v>
      </c>
    </row>
    <row r="32">
      <c r="B32" s="19" t="inlineStr">
        <is>
          <t>Rina Wijaya</t>
        </is>
      </c>
      <c r="C32" s="19" t="n">
        <v>19.99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 Pengukuran</t>
        </is>
      </c>
      <c r="C36" s="14" t="inlineStr">
        <is>
          <t>Nilai Desimal</t>
        </is>
      </c>
      <c r="E36" s="27" t="inlineStr">
        <is>
          <t>Persoalan Tes #3: Bulatkan nilai desimal pada sel C37 (130.989) menjadi 1 angka di belakang koma menggunakan fungsi ROUNDDOWN!</t>
        </is>
      </c>
    </row>
    <row r="37">
      <c r="B37" s="19" t="inlineStr">
        <is>
          <t>Gudang Blok A</t>
        </is>
      </c>
      <c r="C37" s="19" t="n">
        <v>130.989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89.345</v>
      </c>
      <c r="E38" s="28" t="n"/>
      <c r="F38" s="29">
        <f>IF(ISBLANK(E38), "⏳ Belum Diisi (Ketik Rumus di Sel Kuning E38)", IF(E38='99_KUNCI_JAWABAN'!F42,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45.678</v>
      </c>
    </row>
    <row r="40">
      <c r="B40" s="19" t="inlineStr">
        <is>
          <t>Gudang Blok D</t>
        </is>
      </c>
      <c r="C40" s="19" t="n">
        <v>19.99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 Pengukuran</t>
        </is>
      </c>
      <c r="C44" s="14" t="inlineStr">
        <is>
          <t>Nilai Desimal</t>
        </is>
      </c>
      <c r="E44" s="27" t="inlineStr">
        <is>
          <t>Persoalan Tes #4: Bulatkan nilai desimal pada sel C45 (134.089) menjadi 1 angka di belakang koma menggunakan fungsi ROUNDDOWN!</t>
        </is>
      </c>
    </row>
    <row r="45">
      <c r="B45" s="19" t="inlineStr">
        <is>
          <t>Toko Elektronik</t>
        </is>
      </c>
      <c r="C45" s="19" t="n">
        <v>134.089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89.345</v>
      </c>
      <c r="E46" s="28" t="n"/>
      <c r="F46" s="29">
        <f>IF(ISBLANK(E46), "⏳ Belum Diisi (Ketik Rumus di Sel Kuning E46)", IF(E46='99_KUNCI_JAWABAN'!F43,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45.678</v>
      </c>
    </row>
    <row r="48">
      <c r="B48" s="19" t="inlineStr">
        <is>
          <t>Toko Servis</t>
        </is>
      </c>
      <c r="C48" s="19" t="n">
        <v>19.99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 Pengukuran</t>
        </is>
      </c>
      <c r="C52" s="14" t="inlineStr">
        <is>
          <t>Nilai Desimal</t>
        </is>
      </c>
      <c r="E52" s="27" t="inlineStr">
        <is>
          <t>Persoalan Tes #5: Bulatkan nilai desimal pada sel C53 (137.189) menjadi 1 angka di belakang koma menggunakan fungsi ROUNDDOWN!</t>
        </is>
      </c>
    </row>
    <row r="53">
      <c r="B53" s="19" t="inlineStr">
        <is>
          <t>Kelas 10 IPA</t>
        </is>
      </c>
      <c r="C53" s="19" t="n">
        <v>137.189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89.345</v>
      </c>
      <c r="E54" s="28" t="n"/>
      <c r="F54" s="29">
        <f>IF(ISBLANK(E54), "⏳ Belum Diisi (Ketik Rumus di Sel Kuning E54)", IF(E54='99_KUNCI_JAWABAN'!F44,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45.678</v>
      </c>
    </row>
    <row r="56">
      <c r="B56" s="19" t="inlineStr">
        <is>
          <t>Kelas Unggulan</t>
        </is>
      </c>
      <c r="C56" s="19" t="n">
        <v>19.99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#009 — RUMUS EXCEL: MROUND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(MROUND)</t>
        </is>
      </c>
    </row>
    <row r="5" ht="21" customHeight="1">
      <c r="B5" s="14" t="inlineStr">
        <is>
          <t>Nama Rumus Excel</t>
        </is>
      </c>
      <c r="C5" s="15">
        <f>MROUND(...)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MROUND(angka, kelipatan)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Membulatkan angka ke kelipatan tertentu terdekat (misal membulatkan harga uang receh ke kelipatan Rp 500 terdekat).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MROUND DI SINI)</t>
        </is>
      </c>
    </row>
    <row r="10">
      <c r="B10" s="18" t="inlineStr">
        <is>
          <t>Tagihan Kasir</t>
        </is>
      </c>
      <c r="C10" s="18" t="inlineStr">
        <is>
          <t>Nominal (Rp)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14750</v>
      </c>
      <c r="E11" s="20" t="inlineStr">
        <is>
          <t>Contoh Soal:</t>
        </is>
      </c>
      <c r="F11" s="21" t="inlineStr">
        <is>
          <t>Bulatkan nominal uang pada sel C11 ke kelipatan 500 terdekat menggunakan fungsi MROUND!</t>
        </is>
      </c>
      <c r="G11" s="5" t="n"/>
    </row>
    <row r="12">
      <c r="B12" s="19" t="inlineStr">
        <is>
          <t>Simulasi Unit B</t>
        </is>
      </c>
      <c r="C12" s="19" t="n">
        <v>15200</v>
      </c>
      <c r="E12" s="20" t="inlineStr">
        <is>
          <t>Contoh Rumus Benar:</t>
        </is>
      </c>
      <c r="F12" s="22" t="inlineStr">
        <is>
          <t>'=MROUND(C11, 500)</t>
        </is>
      </c>
      <c r="G12" s="5" t="n"/>
    </row>
    <row r="13">
      <c r="B13" s="19" t="inlineStr">
        <is>
          <t>Simulasi Unit C</t>
        </is>
      </c>
      <c r="C13" s="19" t="n">
        <v>18900</v>
      </c>
      <c r="E13" s="20" t="inlineStr">
        <is>
          <t>Contoh Hasil Benar:</t>
        </is>
      </c>
      <c r="F13" s="23">
        <f>MROUND(C11, 500)</f>
        <v/>
      </c>
      <c r="G13" s="5" t="n"/>
    </row>
    <row r="14">
      <c r="B14" s="19" t="inlineStr">
        <is>
          <t>Simulasi Unit D</t>
        </is>
      </c>
      <c r="C14" s="19" t="n">
        <v>21400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Tagihan Kasir</t>
        </is>
      </c>
      <c r="C20" s="14" t="inlineStr">
        <is>
          <t>Nominal (Rp)</t>
        </is>
      </c>
      <c r="E20" s="27" t="inlineStr">
        <is>
          <t>Persoalan Tes #1: Bulatkan nominal uang pada sel C21 ke kelipatan 500 terdekat menggunakan fungsi MROUND!</t>
        </is>
      </c>
    </row>
    <row r="21">
      <c r="B21" s="19" t="inlineStr">
        <is>
          <t>Cabang Jakarta</t>
        </is>
      </c>
      <c r="C21" s="19" t="n">
        <v>12750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15200</v>
      </c>
      <c r="E22" s="28" t="n"/>
      <c r="F22" s="29">
        <f>IF(ISBLANK(E22), "⏳ Belum Diisi (Ketik Rumus di Sel Kuning E22)", IF(E22='99_KUNCI_JAWABAN'!F45,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18900</v>
      </c>
    </row>
    <row r="24">
      <c r="B24" s="19" t="inlineStr">
        <is>
          <t>Cabang Medan</t>
        </is>
      </c>
      <c r="C24" s="19" t="n">
        <v>21400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Tagihan Kasir</t>
        </is>
      </c>
      <c r="C28" s="14" t="inlineStr">
        <is>
          <t>Nominal (Rp)</t>
        </is>
      </c>
      <c r="E28" s="27" t="inlineStr">
        <is>
          <t>Persoalan Tes #2: Bulatkan nominal uang pada sel C29 ke kelipatan 500 terdekat menggunakan fungsi MROUND!</t>
        </is>
      </c>
    </row>
    <row r="29">
      <c r="B29" s="19" t="inlineStr">
        <is>
          <t>Budi Santoso</t>
        </is>
      </c>
      <c r="C29" s="19" t="n">
        <v>13150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15200</v>
      </c>
      <c r="E30" s="28" t="n"/>
      <c r="F30" s="29">
        <f>IF(ISBLANK(E30), "⏳ Belum Diisi (Ketik Rumus di Sel Kuning E30)", IF(E30='99_KUNCI_JAWABAN'!F46,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18900</v>
      </c>
    </row>
    <row r="32">
      <c r="B32" s="19" t="inlineStr">
        <is>
          <t>Rina Wijaya</t>
        </is>
      </c>
      <c r="C32" s="19" t="n">
        <v>21400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Tagihan Kasir</t>
        </is>
      </c>
      <c r="C36" s="14" t="inlineStr">
        <is>
          <t>Nominal (Rp)</t>
        </is>
      </c>
      <c r="E36" s="27" t="inlineStr">
        <is>
          <t>Persoalan Tes #3: Bulatkan nominal uang pada sel C37 ke kelipatan 500 terdekat menggunakan fungsi MROUND!</t>
        </is>
      </c>
    </row>
    <row r="37">
      <c r="B37" s="19" t="inlineStr">
        <is>
          <t>Gudang Blok A</t>
        </is>
      </c>
      <c r="C37" s="19" t="n">
        <v>13550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15200</v>
      </c>
      <c r="E38" s="28" t="n"/>
      <c r="F38" s="29">
        <f>IF(ISBLANK(E38), "⏳ Belum Diisi (Ketik Rumus di Sel Kuning E38)", IF(E38='99_KUNCI_JAWABAN'!F47,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18900</v>
      </c>
    </row>
    <row r="40">
      <c r="B40" s="19" t="inlineStr">
        <is>
          <t>Gudang Blok D</t>
        </is>
      </c>
      <c r="C40" s="19" t="n">
        <v>21400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Tagihan Kasir</t>
        </is>
      </c>
      <c r="C44" s="14" t="inlineStr">
        <is>
          <t>Nominal (Rp)</t>
        </is>
      </c>
      <c r="E44" s="27" t="inlineStr">
        <is>
          <t>Persoalan Tes #4: Bulatkan nominal uang pada sel C45 ke kelipatan 500 terdekat menggunakan fungsi MROUND!</t>
        </is>
      </c>
    </row>
    <row r="45">
      <c r="B45" s="19" t="inlineStr">
        <is>
          <t>Toko Elektronik</t>
        </is>
      </c>
      <c r="C45" s="19" t="n">
        <v>13950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15200</v>
      </c>
      <c r="E46" s="28" t="n"/>
      <c r="F46" s="29">
        <f>IF(ISBLANK(E46), "⏳ Belum Diisi (Ketik Rumus di Sel Kuning E46)", IF(E46='99_KUNCI_JAWABAN'!F48,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18900</v>
      </c>
    </row>
    <row r="48">
      <c r="B48" s="19" t="inlineStr">
        <is>
          <t>Toko Servis</t>
        </is>
      </c>
      <c r="C48" s="19" t="n">
        <v>21400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Tagihan Kasir</t>
        </is>
      </c>
      <c r="C52" s="14" t="inlineStr">
        <is>
          <t>Nominal (Rp)</t>
        </is>
      </c>
      <c r="E52" s="27" t="inlineStr">
        <is>
          <t>Persoalan Tes #5: Bulatkan nominal uang pada sel C53 ke kelipatan 500 terdekat menggunakan fungsi MROUND!</t>
        </is>
      </c>
    </row>
    <row r="53">
      <c r="B53" s="19" t="inlineStr">
        <is>
          <t>Kelas 10 IPA</t>
        </is>
      </c>
      <c r="C53" s="19" t="n">
        <v>14350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15200</v>
      </c>
      <c r="E54" s="28" t="n"/>
      <c r="F54" s="29">
        <f>IF(ISBLANK(E54), "⏳ Belum Diisi (Ketik Rumus di Sel Kuning E54)", IF(E54='99_KUNCI_JAWABAN'!F49,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18900</v>
      </c>
    </row>
    <row r="56">
      <c r="B56" s="19" t="inlineStr">
        <is>
          <t>Kelas Unggulan</t>
        </is>
      </c>
      <c r="C56" s="19" t="n">
        <v>21400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#010 — RUMUS EXCEL: CEILING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(CEILING)</t>
        </is>
      </c>
    </row>
    <row r="5" ht="21" customHeight="1">
      <c r="B5" s="14" t="inlineStr">
        <is>
          <t>Nama Rumus Excel</t>
        </is>
      </c>
      <c r="C5" s="15">
        <f>CEILING(...)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CEILING(angka, kelipatan)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Membulatkan angka KE ATAS menuju kelipatan terdekat (misal pembulatan tagihan parkir per kelipatan 500 ke atas).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CEILING DI SINI)</t>
        </is>
      </c>
    </row>
    <row r="10">
      <c r="B10" s="18" t="inlineStr">
        <is>
          <t>Tagihan Kasir</t>
        </is>
      </c>
      <c r="C10" s="18" t="inlineStr">
        <is>
          <t>Nominal (Rp)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14750</v>
      </c>
      <c r="E11" s="20" t="inlineStr">
        <is>
          <t>Contoh Soal:</t>
        </is>
      </c>
      <c r="F11" s="21" t="inlineStr">
        <is>
          <t>Bulatkan nominal uang pada sel C11 ke kelipatan 500 terdekat menggunakan fungsi CEILING!</t>
        </is>
      </c>
      <c r="G11" s="5" t="n"/>
    </row>
    <row r="12">
      <c r="B12" s="19" t="inlineStr">
        <is>
          <t>Simulasi Unit B</t>
        </is>
      </c>
      <c r="C12" s="19" t="n">
        <v>15200</v>
      </c>
      <c r="E12" s="20" t="inlineStr">
        <is>
          <t>Contoh Rumus Benar:</t>
        </is>
      </c>
      <c r="F12" s="22" t="inlineStr">
        <is>
          <t>'=CEILING(C11, 500)</t>
        </is>
      </c>
      <c r="G12" s="5" t="n"/>
    </row>
    <row r="13">
      <c r="B13" s="19" t="inlineStr">
        <is>
          <t>Simulasi Unit C</t>
        </is>
      </c>
      <c r="C13" s="19" t="n">
        <v>18900</v>
      </c>
      <c r="E13" s="20" t="inlineStr">
        <is>
          <t>Contoh Hasil Benar:</t>
        </is>
      </c>
      <c r="F13" s="23">
        <f>CEILING(C11, 500)</f>
        <v/>
      </c>
      <c r="G13" s="5" t="n"/>
    </row>
    <row r="14">
      <c r="B14" s="19" t="inlineStr">
        <is>
          <t>Simulasi Unit D</t>
        </is>
      </c>
      <c r="C14" s="19" t="n">
        <v>21400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Tagihan Kasir</t>
        </is>
      </c>
      <c r="C20" s="14" t="inlineStr">
        <is>
          <t>Nominal (Rp)</t>
        </is>
      </c>
      <c r="E20" s="27" t="inlineStr">
        <is>
          <t>Persoalan Tes #1: Bulatkan nominal uang pada sel C21 ke kelipatan 500 terdekat menggunakan fungsi CEILING!</t>
        </is>
      </c>
    </row>
    <row r="21">
      <c r="B21" s="19" t="inlineStr">
        <is>
          <t>Cabang Jakarta</t>
        </is>
      </c>
      <c r="C21" s="19" t="n">
        <v>12750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15200</v>
      </c>
      <c r="E22" s="28" t="n"/>
      <c r="F22" s="29">
        <f>IF(ISBLANK(E22), "⏳ Belum Diisi (Ketik Rumus di Sel Kuning E22)", IF(E22='99_KUNCI_JAWABAN'!F50,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18900</v>
      </c>
    </row>
    <row r="24">
      <c r="B24" s="19" t="inlineStr">
        <is>
          <t>Cabang Medan</t>
        </is>
      </c>
      <c r="C24" s="19" t="n">
        <v>21400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Tagihan Kasir</t>
        </is>
      </c>
      <c r="C28" s="14" t="inlineStr">
        <is>
          <t>Nominal (Rp)</t>
        </is>
      </c>
      <c r="E28" s="27" t="inlineStr">
        <is>
          <t>Persoalan Tes #2: Bulatkan nominal uang pada sel C29 ke kelipatan 500 terdekat menggunakan fungsi CEILING!</t>
        </is>
      </c>
    </row>
    <row r="29">
      <c r="B29" s="19" t="inlineStr">
        <is>
          <t>Budi Santoso</t>
        </is>
      </c>
      <c r="C29" s="19" t="n">
        <v>13150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15200</v>
      </c>
      <c r="E30" s="28" t="n"/>
      <c r="F30" s="29">
        <f>IF(ISBLANK(E30), "⏳ Belum Diisi (Ketik Rumus di Sel Kuning E30)", IF(E30='99_KUNCI_JAWABAN'!F51,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18900</v>
      </c>
    </row>
    <row r="32">
      <c r="B32" s="19" t="inlineStr">
        <is>
          <t>Rina Wijaya</t>
        </is>
      </c>
      <c r="C32" s="19" t="n">
        <v>21400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Tagihan Kasir</t>
        </is>
      </c>
      <c r="C36" s="14" t="inlineStr">
        <is>
          <t>Nominal (Rp)</t>
        </is>
      </c>
      <c r="E36" s="27" t="inlineStr">
        <is>
          <t>Persoalan Tes #3: Bulatkan nominal uang pada sel C37 ke kelipatan 500 terdekat menggunakan fungsi CEILING!</t>
        </is>
      </c>
    </row>
    <row r="37">
      <c r="B37" s="19" t="inlineStr">
        <is>
          <t>Gudang Blok A</t>
        </is>
      </c>
      <c r="C37" s="19" t="n">
        <v>13550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15200</v>
      </c>
      <c r="E38" s="28" t="n"/>
      <c r="F38" s="29">
        <f>IF(ISBLANK(E38), "⏳ Belum Diisi (Ketik Rumus di Sel Kuning E38)", IF(E38='99_KUNCI_JAWABAN'!F52,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18900</v>
      </c>
    </row>
    <row r="40">
      <c r="B40" s="19" t="inlineStr">
        <is>
          <t>Gudang Blok D</t>
        </is>
      </c>
      <c r="C40" s="19" t="n">
        <v>21400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Tagihan Kasir</t>
        </is>
      </c>
      <c r="C44" s="14" t="inlineStr">
        <is>
          <t>Nominal (Rp)</t>
        </is>
      </c>
      <c r="E44" s="27" t="inlineStr">
        <is>
          <t>Persoalan Tes #4: Bulatkan nominal uang pada sel C45 ke kelipatan 500 terdekat menggunakan fungsi CEILING!</t>
        </is>
      </c>
    </row>
    <row r="45">
      <c r="B45" s="19" t="inlineStr">
        <is>
          <t>Toko Elektronik</t>
        </is>
      </c>
      <c r="C45" s="19" t="n">
        <v>13950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15200</v>
      </c>
      <c r="E46" s="28" t="n"/>
      <c r="F46" s="29">
        <f>IF(ISBLANK(E46), "⏳ Belum Diisi (Ketik Rumus di Sel Kuning E46)", IF(E46='99_KUNCI_JAWABAN'!F53,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18900</v>
      </c>
    </row>
    <row r="48">
      <c r="B48" s="19" t="inlineStr">
        <is>
          <t>Toko Servis</t>
        </is>
      </c>
      <c r="C48" s="19" t="n">
        <v>21400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Tagihan Kasir</t>
        </is>
      </c>
      <c r="C52" s="14" t="inlineStr">
        <is>
          <t>Nominal (Rp)</t>
        </is>
      </c>
      <c r="E52" s="27" t="inlineStr">
        <is>
          <t>Persoalan Tes #5: Bulatkan nominal uang pada sel C53 ke kelipatan 500 terdekat menggunakan fungsi CEILING!</t>
        </is>
      </c>
    </row>
    <row r="53">
      <c r="B53" s="19" t="inlineStr">
        <is>
          <t>Kelas 10 IPA</t>
        </is>
      </c>
      <c r="C53" s="19" t="n">
        <v>14350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15200</v>
      </c>
      <c r="E54" s="28" t="n"/>
      <c r="F54" s="29">
        <f>IF(ISBLANK(E54), "⏳ Belum Diisi (Ketik Rumus di Sel Kuning E54)", IF(E54='99_KUNCI_JAWABAN'!F54,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18900</v>
      </c>
    </row>
    <row r="56">
      <c r="B56" s="19" t="inlineStr">
        <is>
          <t>Kelas Unggulan</t>
        </is>
      </c>
      <c r="C56" s="19" t="n">
        <v>21400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#011 — RUMUS EXCEL: FLOOR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(FLOOR)</t>
        </is>
      </c>
    </row>
    <row r="5" ht="21" customHeight="1">
      <c r="B5" s="14" t="inlineStr">
        <is>
          <t>Nama Rumus Excel</t>
        </is>
      </c>
      <c r="C5" s="15">
        <f>FLOOR(...)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FLOOR(angka, kelipatan)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Membulatkan angka KE BAWAH menuju kelipatan terdekat (misal menghitung paket kelipatan penuh dari nominal tagihan).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FLOOR DI SINI)</t>
        </is>
      </c>
    </row>
    <row r="10">
      <c r="B10" s="18" t="inlineStr">
        <is>
          <t>Tagihan Kasir</t>
        </is>
      </c>
      <c r="C10" s="18" t="inlineStr">
        <is>
          <t>Nominal (Rp)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14750</v>
      </c>
      <c r="E11" s="20" t="inlineStr">
        <is>
          <t>Contoh Soal:</t>
        </is>
      </c>
      <c r="F11" s="21" t="inlineStr">
        <is>
          <t>Bulatkan nominal uang pada sel C11 ke kelipatan 500 terdekat menggunakan fungsi FLOOR!</t>
        </is>
      </c>
      <c r="G11" s="5" t="n"/>
    </row>
    <row r="12">
      <c r="B12" s="19" t="inlineStr">
        <is>
          <t>Simulasi Unit B</t>
        </is>
      </c>
      <c r="C12" s="19" t="n">
        <v>15200</v>
      </c>
      <c r="E12" s="20" t="inlineStr">
        <is>
          <t>Contoh Rumus Benar:</t>
        </is>
      </c>
      <c r="F12" s="22" t="inlineStr">
        <is>
          <t>'=FLOOR(C11, 500)</t>
        </is>
      </c>
      <c r="G12" s="5" t="n"/>
    </row>
    <row r="13">
      <c r="B13" s="19" t="inlineStr">
        <is>
          <t>Simulasi Unit C</t>
        </is>
      </c>
      <c r="C13" s="19" t="n">
        <v>18900</v>
      </c>
      <c r="E13" s="20" t="inlineStr">
        <is>
          <t>Contoh Hasil Benar:</t>
        </is>
      </c>
      <c r="F13" s="23">
        <f>FLOOR(C11, 500)</f>
        <v/>
      </c>
      <c r="G13" s="5" t="n"/>
    </row>
    <row r="14">
      <c r="B14" s="19" t="inlineStr">
        <is>
          <t>Simulasi Unit D</t>
        </is>
      </c>
      <c r="C14" s="19" t="n">
        <v>21400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Tagihan Kasir</t>
        </is>
      </c>
      <c r="C20" s="14" t="inlineStr">
        <is>
          <t>Nominal (Rp)</t>
        </is>
      </c>
      <c r="E20" s="27" t="inlineStr">
        <is>
          <t>Persoalan Tes #1: Bulatkan nominal uang pada sel C21 ke kelipatan 500 terdekat menggunakan fungsi FLOOR!</t>
        </is>
      </c>
    </row>
    <row r="21">
      <c r="B21" s="19" t="inlineStr">
        <is>
          <t>Cabang Jakarta</t>
        </is>
      </c>
      <c r="C21" s="19" t="n">
        <v>12750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15200</v>
      </c>
      <c r="E22" s="28" t="n"/>
      <c r="F22" s="29">
        <f>IF(ISBLANK(E22), "⏳ Belum Diisi (Ketik Rumus di Sel Kuning E22)", IF(E22='99_KUNCI_JAWABAN'!F55,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18900</v>
      </c>
    </row>
    <row r="24">
      <c r="B24" s="19" t="inlineStr">
        <is>
          <t>Cabang Medan</t>
        </is>
      </c>
      <c r="C24" s="19" t="n">
        <v>21400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Tagihan Kasir</t>
        </is>
      </c>
      <c r="C28" s="14" t="inlineStr">
        <is>
          <t>Nominal (Rp)</t>
        </is>
      </c>
      <c r="E28" s="27" t="inlineStr">
        <is>
          <t>Persoalan Tes #2: Bulatkan nominal uang pada sel C29 ke kelipatan 500 terdekat menggunakan fungsi FLOOR!</t>
        </is>
      </c>
    </row>
    <row r="29">
      <c r="B29" s="19" t="inlineStr">
        <is>
          <t>Budi Santoso</t>
        </is>
      </c>
      <c r="C29" s="19" t="n">
        <v>13150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15200</v>
      </c>
      <c r="E30" s="28" t="n"/>
      <c r="F30" s="29">
        <f>IF(ISBLANK(E30), "⏳ Belum Diisi (Ketik Rumus di Sel Kuning E30)", IF(E30='99_KUNCI_JAWABAN'!F56,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18900</v>
      </c>
    </row>
    <row r="32">
      <c r="B32" s="19" t="inlineStr">
        <is>
          <t>Rina Wijaya</t>
        </is>
      </c>
      <c r="C32" s="19" t="n">
        <v>21400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Tagihan Kasir</t>
        </is>
      </c>
      <c r="C36" s="14" t="inlineStr">
        <is>
          <t>Nominal (Rp)</t>
        </is>
      </c>
      <c r="E36" s="27" t="inlineStr">
        <is>
          <t>Persoalan Tes #3: Bulatkan nominal uang pada sel C37 ke kelipatan 500 terdekat menggunakan fungsi FLOOR!</t>
        </is>
      </c>
    </row>
    <row r="37">
      <c r="B37" s="19" t="inlineStr">
        <is>
          <t>Gudang Blok A</t>
        </is>
      </c>
      <c r="C37" s="19" t="n">
        <v>13550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15200</v>
      </c>
      <c r="E38" s="28" t="n"/>
      <c r="F38" s="29">
        <f>IF(ISBLANK(E38), "⏳ Belum Diisi (Ketik Rumus di Sel Kuning E38)", IF(E38='99_KUNCI_JAWABAN'!F57,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18900</v>
      </c>
    </row>
    <row r="40">
      <c r="B40" s="19" t="inlineStr">
        <is>
          <t>Gudang Blok D</t>
        </is>
      </c>
      <c r="C40" s="19" t="n">
        <v>21400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Tagihan Kasir</t>
        </is>
      </c>
      <c r="C44" s="14" t="inlineStr">
        <is>
          <t>Nominal (Rp)</t>
        </is>
      </c>
      <c r="E44" s="27" t="inlineStr">
        <is>
          <t>Persoalan Tes #4: Bulatkan nominal uang pada sel C45 ke kelipatan 500 terdekat menggunakan fungsi FLOOR!</t>
        </is>
      </c>
    </row>
    <row r="45">
      <c r="B45" s="19" t="inlineStr">
        <is>
          <t>Toko Elektronik</t>
        </is>
      </c>
      <c r="C45" s="19" t="n">
        <v>13950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15200</v>
      </c>
      <c r="E46" s="28" t="n"/>
      <c r="F46" s="29">
        <f>IF(ISBLANK(E46), "⏳ Belum Diisi (Ketik Rumus di Sel Kuning E46)", IF(E46='99_KUNCI_JAWABAN'!F58,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18900</v>
      </c>
    </row>
    <row r="48">
      <c r="B48" s="19" t="inlineStr">
        <is>
          <t>Toko Servis</t>
        </is>
      </c>
      <c r="C48" s="19" t="n">
        <v>21400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Tagihan Kasir</t>
        </is>
      </c>
      <c r="C52" s="14" t="inlineStr">
        <is>
          <t>Nominal (Rp)</t>
        </is>
      </c>
      <c r="E52" s="27" t="inlineStr">
        <is>
          <t>Persoalan Tes #5: Bulatkan nominal uang pada sel C53 ke kelipatan 500 terdekat menggunakan fungsi FLOOR!</t>
        </is>
      </c>
    </row>
    <row r="53">
      <c r="B53" s="19" t="inlineStr">
        <is>
          <t>Kelas 10 IPA</t>
        </is>
      </c>
      <c r="C53" s="19" t="n">
        <v>14350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15200</v>
      </c>
      <c r="E54" s="28" t="n"/>
      <c r="F54" s="29">
        <f>IF(ISBLANK(E54), "⏳ Belum Diisi (Ketik Rumus di Sel Kuning E54)", IF(E54='99_KUNCI_JAWABAN'!F59,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18900</v>
      </c>
    </row>
    <row r="56">
      <c r="B56" s="19" t="inlineStr">
        <is>
          <t>Kelas Unggulan</t>
        </is>
      </c>
      <c r="C56" s="19" t="n">
        <v>21400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#012 — RUMUS EXCEL: INT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(INT)</t>
        </is>
      </c>
    </row>
    <row r="5" ht="21" customHeight="1">
      <c r="B5" s="14" t="inlineStr">
        <is>
          <t>Nama Rumus Excel</t>
        </is>
      </c>
      <c r="C5" s="15">
        <f>INT(...)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INT(angka)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Mengambil angka bulatnya saja dengan membulatkan ke bawah ke bilangan bulat terdekat.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INT DI SINI)</t>
        </is>
      </c>
    </row>
    <row r="10">
      <c r="B10" s="18" t="inlineStr">
        <is>
          <t>Item Pengukuran</t>
        </is>
      </c>
      <c r="C10" s="18" t="inlineStr">
        <is>
          <t>Nilai Desimal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140.289</v>
      </c>
      <c r="E11" s="20" t="inlineStr">
        <is>
          <t>Contoh Soal:</t>
        </is>
      </c>
      <c r="F11" s="21" t="inlineStr">
        <is>
          <t>Bulatkan atau potong nilai desimal pada sel C11 (140.289) menggunakan fungsi INT tanpa argumen tambahan!</t>
        </is>
      </c>
      <c r="G11" s="5" t="n"/>
    </row>
    <row r="12">
      <c r="B12" s="19" t="inlineStr">
        <is>
          <t>Simulasi Unit B</t>
        </is>
      </c>
      <c r="C12" s="19" t="n">
        <v>89.345</v>
      </c>
      <c r="E12" s="20" t="inlineStr">
        <is>
          <t>Contoh Rumus Benar:</t>
        </is>
      </c>
      <c r="F12" s="22" t="inlineStr">
        <is>
          <t>'=INT(C11)</t>
        </is>
      </c>
      <c r="G12" s="5" t="n"/>
    </row>
    <row r="13">
      <c r="B13" s="19" t="inlineStr">
        <is>
          <t>Simulasi Unit C</t>
        </is>
      </c>
      <c r="C13" s="19" t="n">
        <v>45.678</v>
      </c>
      <c r="E13" s="20" t="inlineStr">
        <is>
          <t>Contoh Hasil Benar:</t>
        </is>
      </c>
      <c r="F13" s="23">
        <f>INT(C11)</f>
        <v/>
      </c>
      <c r="G13" s="5" t="n"/>
    </row>
    <row r="14">
      <c r="B14" s="19" t="inlineStr">
        <is>
          <t>Simulasi Unit D</t>
        </is>
      </c>
      <c r="C14" s="19" t="n">
        <v>19.99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 Pengukuran</t>
        </is>
      </c>
      <c r="C20" s="14" t="inlineStr">
        <is>
          <t>Nilai Desimal</t>
        </is>
      </c>
      <c r="E20" s="27" t="inlineStr">
        <is>
          <t>Persoalan Tes #1: Bulatkan atau potong nilai desimal pada sel C21 (124.789) menggunakan fungsi INT tanpa argumen tambahan!</t>
        </is>
      </c>
    </row>
    <row r="21">
      <c r="B21" s="19" t="inlineStr">
        <is>
          <t>Cabang Jakarta</t>
        </is>
      </c>
      <c r="C21" s="19" t="n">
        <v>124.789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89.345</v>
      </c>
      <c r="E22" s="28" t="n"/>
      <c r="F22" s="29">
        <f>IF(ISBLANK(E22), "⏳ Belum Diisi (Ketik Rumus di Sel Kuning E22)", IF(E22='99_KUNCI_JAWABAN'!F60,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45.678</v>
      </c>
    </row>
    <row r="24">
      <c r="B24" s="19" t="inlineStr">
        <is>
          <t>Cabang Medan</t>
        </is>
      </c>
      <c r="C24" s="19" t="n">
        <v>19.99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 Pengukuran</t>
        </is>
      </c>
      <c r="C28" s="14" t="inlineStr">
        <is>
          <t>Nilai Desimal</t>
        </is>
      </c>
      <c r="E28" s="27" t="inlineStr">
        <is>
          <t>Persoalan Tes #2: Bulatkan atau potong nilai desimal pada sel C29 (127.889) menggunakan fungsi INT tanpa argumen tambahan!</t>
        </is>
      </c>
    </row>
    <row r="29">
      <c r="B29" s="19" t="inlineStr">
        <is>
          <t>Budi Santoso</t>
        </is>
      </c>
      <c r="C29" s="19" t="n">
        <v>127.889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89.345</v>
      </c>
      <c r="E30" s="28" t="n"/>
      <c r="F30" s="29">
        <f>IF(ISBLANK(E30), "⏳ Belum Diisi (Ketik Rumus di Sel Kuning E30)", IF(E30='99_KUNCI_JAWABAN'!F61,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45.678</v>
      </c>
    </row>
    <row r="32">
      <c r="B32" s="19" t="inlineStr">
        <is>
          <t>Rina Wijaya</t>
        </is>
      </c>
      <c r="C32" s="19" t="n">
        <v>19.99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 Pengukuran</t>
        </is>
      </c>
      <c r="C36" s="14" t="inlineStr">
        <is>
          <t>Nilai Desimal</t>
        </is>
      </c>
      <c r="E36" s="27" t="inlineStr">
        <is>
          <t>Persoalan Tes #3: Bulatkan atau potong nilai desimal pada sel C37 (130.989) menggunakan fungsi INT tanpa argumen tambahan!</t>
        </is>
      </c>
    </row>
    <row r="37">
      <c r="B37" s="19" t="inlineStr">
        <is>
          <t>Gudang Blok A</t>
        </is>
      </c>
      <c r="C37" s="19" t="n">
        <v>130.989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89.345</v>
      </c>
      <c r="E38" s="28" t="n"/>
      <c r="F38" s="29">
        <f>IF(ISBLANK(E38), "⏳ Belum Diisi (Ketik Rumus di Sel Kuning E38)", IF(E38='99_KUNCI_JAWABAN'!F62,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45.678</v>
      </c>
    </row>
    <row r="40">
      <c r="B40" s="19" t="inlineStr">
        <is>
          <t>Gudang Blok D</t>
        </is>
      </c>
      <c r="C40" s="19" t="n">
        <v>19.99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 Pengukuran</t>
        </is>
      </c>
      <c r="C44" s="14" t="inlineStr">
        <is>
          <t>Nilai Desimal</t>
        </is>
      </c>
      <c r="E44" s="27" t="inlineStr">
        <is>
          <t>Persoalan Tes #4: Bulatkan atau potong nilai desimal pada sel C45 (134.089) menggunakan fungsi INT tanpa argumen tambahan!</t>
        </is>
      </c>
    </row>
    <row r="45">
      <c r="B45" s="19" t="inlineStr">
        <is>
          <t>Toko Elektronik</t>
        </is>
      </c>
      <c r="C45" s="19" t="n">
        <v>134.089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89.345</v>
      </c>
      <c r="E46" s="28" t="n"/>
      <c r="F46" s="29">
        <f>IF(ISBLANK(E46), "⏳ Belum Diisi (Ketik Rumus di Sel Kuning E46)", IF(E46='99_KUNCI_JAWABAN'!F63,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45.678</v>
      </c>
    </row>
    <row r="48">
      <c r="B48" s="19" t="inlineStr">
        <is>
          <t>Toko Servis</t>
        </is>
      </c>
      <c r="C48" s="19" t="n">
        <v>19.99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 Pengukuran</t>
        </is>
      </c>
      <c r="C52" s="14" t="inlineStr">
        <is>
          <t>Nilai Desimal</t>
        </is>
      </c>
      <c r="E52" s="27" t="inlineStr">
        <is>
          <t>Persoalan Tes #5: Bulatkan atau potong nilai desimal pada sel C53 (137.189) menggunakan fungsi INT tanpa argumen tambahan!</t>
        </is>
      </c>
    </row>
    <row r="53">
      <c r="B53" s="19" t="inlineStr">
        <is>
          <t>Kelas 10 IPA</t>
        </is>
      </c>
      <c r="C53" s="19" t="n">
        <v>137.189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89.345</v>
      </c>
      <c r="E54" s="28" t="n"/>
      <c r="F54" s="29">
        <f>IF(ISBLANK(E54), "⏳ Belum Diisi (Ketik Rumus di Sel Kuning E54)", IF(E54='99_KUNCI_JAWABAN'!F64,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45.678</v>
      </c>
    </row>
    <row r="56">
      <c r="B56" s="19" t="inlineStr">
        <is>
          <t>Kelas Unggulan</t>
        </is>
      </c>
      <c r="C56" s="19" t="n">
        <v>19.99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#013 — RUMUS EXCEL: TRUNC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(TRUNC)</t>
        </is>
      </c>
    </row>
    <row r="5" ht="21" customHeight="1">
      <c r="B5" s="14" t="inlineStr">
        <is>
          <t>Nama Rumus Excel</t>
        </is>
      </c>
      <c r="C5" s="15">
        <f>TRUNC(...)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TRUNC(angka, [jumlah_digit])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Memotong angka desimal di belakang koma secara langsung tanpa pembulatan.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TRUNC DI SINI)</t>
        </is>
      </c>
    </row>
    <row r="10">
      <c r="B10" s="18" t="inlineStr">
        <is>
          <t>Item Pengukuran</t>
        </is>
      </c>
      <c r="C10" s="18" t="inlineStr">
        <is>
          <t>Nilai Desimal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140.289</v>
      </c>
      <c r="E11" s="20" t="inlineStr">
        <is>
          <t>Contoh Soal:</t>
        </is>
      </c>
      <c r="F11" s="21" t="inlineStr">
        <is>
          <t>Bulatkan atau potong nilai desimal pada sel C11 (140.289) menggunakan fungsi TRUNC tanpa argumen tambahan!</t>
        </is>
      </c>
      <c r="G11" s="5" t="n"/>
    </row>
    <row r="12">
      <c r="B12" s="19" t="inlineStr">
        <is>
          <t>Simulasi Unit B</t>
        </is>
      </c>
      <c r="C12" s="19" t="n">
        <v>89.345</v>
      </c>
      <c r="E12" s="20" t="inlineStr">
        <is>
          <t>Contoh Rumus Benar:</t>
        </is>
      </c>
      <c r="F12" s="22" t="inlineStr">
        <is>
          <t>'=TRUNC(C11)</t>
        </is>
      </c>
      <c r="G12" s="5" t="n"/>
    </row>
    <row r="13">
      <c r="B13" s="19" t="inlineStr">
        <is>
          <t>Simulasi Unit C</t>
        </is>
      </c>
      <c r="C13" s="19" t="n">
        <v>45.678</v>
      </c>
      <c r="E13" s="20" t="inlineStr">
        <is>
          <t>Contoh Hasil Benar:</t>
        </is>
      </c>
      <c r="F13" s="23">
        <f>TRUNC(C11)</f>
        <v/>
      </c>
      <c r="G13" s="5" t="n"/>
    </row>
    <row r="14">
      <c r="B14" s="19" t="inlineStr">
        <is>
          <t>Simulasi Unit D</t>
        </is>
      </c>
      <c r="C14" s="19" t="n">
        <v>19.99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 Pengukuran</t>
        </is>
      </c>
      <c r="C20" s="14" t="inlineStr">
        <is>
          <t>Nilai Desimal</t>
        </is>
      </c>
      <c r="E20" s="27" t="inlineStr">
        <is>
          <t>Persoalan Tes #1: Bulatkan atau potong nilai desimal pada sel C21 (124.789) menggunakan fungsi TRUNC tanpa argumen tambahan!</t>
        </is>
      </c>
    </row>
    <row r="21">
      <c r="B21" s="19" t="inlineStr">
        <is>
          <t>Cabang Jakarta</t>
        </is>
      </c>
      <c r="C21" s="19" t="n">
        <v>124.789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89.345</v>
      </c>
      <c r="E22" s="28" t="n"/>
      <c r="F22" s="29">
        <f>IF(ISBLANK(E22), "⏳ Belum Diisi (Ketik Rumus di Sel Kuning E22)", IF(E22='99_KUNCI_JAWABAN'!F65,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45.678</v>
      </c>
    </row>
    <row r="24">
      <c r="B24" s="19" t="inlineStr">
        <is>
          <t>Cabang Medan</t>
        </is>
      </c>
      <c r="C24" s="19" t="n">
        <v>19.99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 Pengukuran</t>
        </is>
      </c>
      <c r="C28" s="14" t="inlineStr">
        <is>
          <t>Nilai Desimal</t>
        </is>
      </c>
      <c r="E28" s="27" t="inlineStr">
        <is>
          <t>Persoalan Tes #2: Bulatkan atau potong nilai desimal pada sel C29 (127.889) menggunakan fungsi TRUNC tanpa argumen tambahan!</t>
        </is>
      </c>
    </row>
    <row r="29">
      <c r="B29" s="19" t="inlineStr">
        <is>
          <t>Budi Santoso</t>
        </is>
      </c>
      <c r="C29" s="19" t="n">
        <v>127.889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89.345</v>
      </c>
      <c r="E30" s="28" t="n"/>
      <c r="F30" s="29">
        <f>IF(ISBLANK(E30), "⏳ Belum Diisi (Ketik Rumus di Sel Kuning E30)", IF(E30='99_KUNCI_JAWABAN'!F66,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45.678</v>
      </c>
    </row>
    <row r="32">
      <c r="B32" s="19" t="inlineStr">
        <is>
          <t>Rina Wijaya</t>
        </is>
      </c>
      <c r="C32" s="19" t="n">
        <v>19.99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 Pengukuran</t>
        </is>
      </c>
      <c r="C36" s="14" t="inlineStr">
        <is>
          <t>Nilai Desimal</t>
        </is>
      </c>
      <c r="E36" s="27" t="inlineStr">
        <is>
          <t>Persoalan Tes #3: Bulatkan atau potong nilai desimal pada sel C37 (130.989) menggunakan fungsi TRUNC tanpa argumen tambahan!</t>
        </is>
      </c>
    </row>
    <row r="37">
      <c r="B37" s="19" t="inlineStr">
        <is>
          <t>Gudang Blok A</t>
        </is>
      </c>
      <c r="C37" s="19" t="n">
        <v>130.989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89.345</v>
      </c>
      <c r="E38" s="28" t="n"/>
      <c r="F38" s="29">
        <f>IF(ISBLANK(E38), "⏳ Belum Diisi (Ketik Rumus di Sel Kuning E38)", IF(E38='99_KUNCI_JAWABAN'!F67,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45.678</v>
      </c>
    </row>
    <row r="40">
      <c r="B40" s="19" t="inlineStr">
        <is>
          <t>Gudang Blok D</t>
        </is>
      </c>
      <c r="C40" s="19" t="n">
        <v>19.99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 Pengukuran</t>
        </is>
      </c>
      <c r="C44" s="14" t="inlineStr">
        <is>
          <t>Nilai Desimal</t>
        </is>
      </c>
      <c r="E44" s="27" t="inlineStr">
        <is>
          <t>Persoalan Tes #4: Bulatkan atau potong nilai desimal pada sel C45 (134.089) menggunakan fungsi TRUNC tanpa argumen tambahan!</t>
        </is>
      </c>
    </row>
    <row r="45">
      <c r="B45" s="19" t="inlineStr">
        <is>
          <t>Toko Elektronik</t>
        </is>
      </c>
      <c r="C45" s="19" t="n">
        <v>134.089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89.345</v>
      </c>
      <c r="E46" s="28" t="n"/>
      <c r="F46" s="29">
        <f>IF(ISBLANK(E46), "⏳ Belum Diisi (Ketik Rumus di Sel Kuning E46)", IF(E46='99_KUNCI_JAWABAN'!F68,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45.678</v>
      </c>
    </row>
    <row r="48">
      <c r="B48" s="19" t="inlineStr">
        <is>
          <t>Toko Servis</t>
        </is>
      </c>
      <c r="C48" s="19" t="n">
        <v>19.99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 Pengukuran</t>
        </is>
      </c>
      <c r="C52" s="14" t="inlineStr">
        <is>
          <t>Nilai Desimal</t>
        </is>
      </c>
      <c r="E52" s="27" t="inlineStr">
        <is>
          <t>Persoalan Tes #5: Bulatkan atau potong nilai desimal pada sel C53 (137.189) menggunakan fungsi TRUNC tanpa argumen tambahan!</t>
        </is>
      </c>
    </row>
    <row r="53">
      <c r="B53" s="19" t="inlineStr">
        <is>
          <t>Kelas 10 IPA</t>
        </is>
      </c>
      <c r="C53" s="19" t="n">
        <v>137.189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89.345</v>
      </c>
      <c r="E54" s="28" t="n"/>
      <c r="F54" s="29">
        <f>IF(ISBLANK(E54), "⏳ Belum Diisi (Ketik Rumus di Sel Kuning E54)", IF(E54='99_KUNCI_JAWABAN'!F69,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45.678</v>
      </c>
    </row>
    <row r="56">
      <c r="B56" s="19" t="inlineStr">
        <is>
          <t>Kelas Unggulan</t>
        </is>
      </c>
      <c r="C56" s="19" t="n">
        <v>19.99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#014 — RUMUS EXCEL: MOD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(MOD)</t>
        </is>
      </c>
    </row>
    <row r="5" ht="21" customHeight="1">
      <c r="B5" s="14" t="inlineStr">
        <is>
          <t>Nama Rumus Excel</t>
        </is>
      </c>
      <c r="C5" s="15">
        <f>MOD(...)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MOD(angka, pembagi)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SISA hasil pembagian. Contoh: 14 permen dibagi ke 4 anak, masing-masing dapat 3 dan SISA 2 permen (MOD = 2).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MOD DI SINI)</t>
        </is>
      </c>
    </row>
    <row r="10">
      <c r="B10" s="18" t="inlineStr">
        <is>
          <t>Angka Pertama (B)</t>
        </is>
      </c>
      <c r="C10" s="18" t="inlineStr">
        <is>
          <t>Angka Kedua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55</v>
      </c>
      <c r="C11" s="19" t="n">
        <v>4</v>
      </c>
      <c r="E11" s="20" t="inlineStr">
        <is>
          <t>Contoh Soal:</t>
        </is>
      </c>
      <c r="F11" s="21" t="inlineStr">
        <is>
          <t>Terapkan fungsi MOD dengan mengambil angka pertama di sel B11 (55) dan angka kedua di sel C11 (4)!</t>
        </is>
      </c>
      <c r="G11" s="5" t="n"/>
    </row>
    <row r="12">
      <c r="B12" s="19" t="n">
        <v>18</v>
      </c>
      <c r="C12" s="19" t="n">
        <v>5</v>
      </c>
      <c r="E12" s="20" t="inlineStr">
        <is>
          <t>Contoh Rumus Benar:</t>
        </is>
      </c>
      <c r="F12" s="22" t="inlineStr">
        <is>
          <t>'=MOD(B11, C11)</t>
        </is>
      </c>
      <c r="G12" s="5" t="n"/>
    </row>
    <row r="13">
      <c r="B13" s="19" t="n">
        <v>32</v>
      </c>
      <c r="C13" s="19" t="n">
        <v>6</v>
      </c>
      <c r="E13" s="20" t="inlineStr">
        <is>
          <t>Contoh Hasil Benar:</t>
        </is>
      </c>
      <c r="F13" s="23">
        <f>MOD(B11, C11)</f>
        <v/>
      </c>
      <c r="G13" s="5" t="n"/>
    </row>
    <row r="14">
      <c r="B14" s="19" t="n">
        <v>40</v>
      </c>
      <c r="C14" s="19" t="n">
        <v>7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Angka Pertama (B)</t>
        </is>
      </c>
      <c r="C20" s="14" t="inlineStr">
        <is>
          <t>Angka Kedua (C)</t>
        </is>
      </c>
      <c r="E20" s="27" t="inlineStr">
        <is>
          <t>Persoalan Tes #1: Terapkan fungsi MOD dengan mengambil angka pertama di sel B21 (25) dan angka kedua di sel C21 (4)!</t>
        </is>
      </c>
    </row>
    <row r="21">
      <c r="B21" s="19" t="n">
        <v>25</v>
      </c>
      <c r="C21" s="19" t="n">
        <v>4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18</v>
      </c>
      <c r="C22" s="19" t="n">
        <v>5</v>
      </c>
      <c r="E22" s="28" t="n"/>
      <c r="F22" s="29">
        <f>IF(ISBLANK(E22), "⏳ Belum Diisi (Ketik Rumus di Sel Kuning E22)", IF(E22='99_KUNCI_JAWABAN'!F70, "✅ BENAR! JAWABAN TES TEPAT!", "❌ Belum Tepat (Cek Sheet Akhir: 99_KUNCI_JAWABAN)"))</f>
        <v/>
      </c>
      <c r="G22" s="5" t="n"/>
    </row>
    <row r="23">
      <c r="B23" s="19" t="n">
        <v>32</v>
      </c>
      <c r="C23" s="19" t="n">
        <v>6</v>
      </c>
    </row>
    <row r="24">
      <c r="B24" s="19" t="n">
        <v>40</v>
      </c>
      <c r="C24" s="19" t="n">
        <v>7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Angka Pertama (B)</t>
        </is>
      </c>
      <c r="C28" s="14" t="inlineStr">
        <is>
          <t>Angka Kedua (C)</t>
        </is>
      </c>
      <c r="E28" s="27" t="inlineStr">
        <is>
          <t>Persoalan Tes #2: Terapkan fungsi MOD dengan mengambil angka pertama di sel B29 (31) dan angka kedua di sel C29 (4)!</t>
        </is>
      </c>
    </row>
    <row r="29">
      <c r="B29" s="19" t="n">
        <v>31</v>
      </c>
      <c r="C29" s="19" t="n">
        <v>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18</v>
      </c>
      <c r="C30" s="19" t="n">
        <v>5</v>
      </c>
      <c r="E30" s="28" t="n"/>
      <c r="F30" s="29">
        <f>IF(ISBLANK(E30), "⏳ Belum Diisi (Ketik Rumus di Sel Kuning E30)", IF(E30='99_KUNCI_JAWABAN'!F71, "✅ BENAR! JAWABAN TES TEPAT!", "❌ Belum Tepat (Cek Sheet Akhir: 99_KUNCI_JAWABAN)"))</f>
        <v/>
      </c>
      <c r="G30" s="5" t="n"/>
    </row>
    <row r="31">
      <c r="B31" s="19" t="n">
        <v>32</v>
      </c>
      <c r="C31" s="19" t="n">
        <v>6</v>
      </c>
    </row>
    <row r="32">
      <c r="B32" s="19" t="n">
        <v>40</v>
      </c>
      <c r="C32" s="19" t="n">
        <v>7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Angka Pertama (B)</t>
        </is>
      </c>
      <c r="C36" s="14" t="inlineStr">
        <is>
          <t>Angka Kedua (C)</t>
        </is>
      </c>
      <c r="E36" s="27" t="inlineStr">
        <is>
          <t>Persoalan Tes #3: Terapkan fungsi MOD dengan mengambil angka pertama di sel B37 (37) dan angka kedua di sel C37 (4)!</t>
        </is>
      </c>
    </row>
    <row r="37">
      <c r="B37" s="19" t="n">
        <v>37</v>
      </c>
      <c r="C37" s="19" t="n">
        <v>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18</v>
      </c>
      <c r="C38" s="19" t="n">
        <v>5</v>
      </c>
      <c r="E38" s="28" t="n"/>
      <c r="F38" s="29">
        <f>IF(ISBLANK(E38), "⏳ Belum Diisi (Ketik Rumus di Sel Kuning E38)", IF(E38='99_KUNCI_JAWABAN'!F72, "✅ BENAR! JAWABAN TES TEPAT!", "❌ Belum Tepat (Cek Sheet Akhir: 99_KUNCI_JAWABAN)"))</f>
        <v/>
      </c>
      <c r="G38" s="5" t="n"/>
    </row>
    <row r="39">
      <c r="B39" s="19" t="n">
        <v>32</v>
      </c>
      <c r="C39" s="19" t="n">
        <v>6</v>
      </c>
    </row>
    <row r="40">
      <c r="B40" s="19" t="n">
        <v>40</v>
      </c>
      <c r="C40" s="19" t="n">
        <v>7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Angka Pertama (B)</t>
        </is>
      </c>
      <c r="C44" s="14" t="inlineStr">
        <is>
          <t>Angka Kedua (C)</t>
        </is>
      </c>
      <c r="E44" s="27" t="inlineStr">
        <is>
          <t>Persoalan Tes #4: Terapkan fungsi MOD dengan mengambil angka pertama di sel B45 (43) dan angka kedua di sel C45 (4)!</t>
        </is>
      </c>
    </row>
    <row r="45">
      <c r="B45" s="19" t="n">
        <v>43</v>
      </c>
      <c r="C45" s="19" t="n">
        <v>4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18</v>
      </c>
      <c r="C46" s="19" t="n">
        <v>5</v>
      </c>
      <c r="E46" s="28" t="n"/>
      <c r="F46" s="29">
        <f>IF(ISBLANK(E46), "⏳ Belum Diisi (Ketik Rumus di Sel Kuning E46)", IF(E46='99_KUNCI_JAWABAN'!F73, "✅ BENAR! JAWABAN TES TEPAT!", "❌ Belum Tepat (Cek Sheet Akhir: 99_KUNCI_JAWABAN)"))</f>
        <v/>
      </c>
      <c r="G46" s="5" t="n"/>
    </row>
    <row r="47">
      <c r="B47" s="19" t="n">
        <v>32</v>
      </c>
      <c r="C47" s="19" t="n">
        <v>6</v>
      </c>
    </row>
    <row r="48">
      <c r="B48" s="19" t="n">
        <v>40</v>
      </c>
      <c r="C48" s="19" t="n">
        <v>7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Angka Pertama (B)</t>
        </is>
      </c>
      <c r="C52" s="14" t="inlineStr">
        <is>
          <t>Angka Kedua (C)</t>
        </is>
      </c>
      <c r="E52" s="27" t="inlineStr">
        <is>
          <t>Persoalan Tes #5: Terapkan fungsi MOD dengan mengambil angka pertama di sel B53 (49) dan angka kedua di sel C53 (4)!</t>
        </is>
      </c>
    </row>
    <row r="53">
      <c r="B53" s="19" t="n">
        <v>49</v>
      </c>
      <c r="C53" s="19" t="n">
        <v>4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18</v>
      </c>
      <c r="C54" s="19" t="n">
        <v>5</v>
      </c>
      <c r="E54" s="28" t="n"/>
      <c r="F54" s="29">
        <f>IF(ISBLANK(E54), "⏳ Belum Diisi (Ketik Rumus di Sel Kuning E54)", IF(E54='99_KUNCI_JAWABAN'!F74, "✅ BENAR! JAWABAN TES TEPAT!", "❌ Belum Tepat (Cek Sheet Akhir: 99_KUNCI_JAWABAN)"))</f>
        <v/>
      </c>
      <c r="G54" s="5" t="n"/>
    </row>
    <row r="55">
      <c r="B55" s="19" t="n">
        <v>32</v>
      </c>
      <c r="C55" s="19" t="n">
        <v>6</v>
      </c>
    </row>
    <row r="56">
      <c r="B56" s="19" t="n">
        <v>40</v>
      </c>
      <c r="C56" s="19" t="n">
        <v>7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#015 — RUMUS EXCEL: QUOTIENT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(QUOTIENT)</t>
        </is>
      </c>
    </row>
    <row r="5" ht="21" customHeight="1">
      <c r="B5" s="14" t="inlineStr">
        <is>
          <t>Nama Rumus Excel</t>
        </is>
      </c>
      <c r="C5" s="15">
        <f>QUOTIENT(...)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QUOTIENT(pembilang, penyebut)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Mengambil hasil bagi BULAT saja dan membuang sisanya. Contoh: 14 dibagi 4 hasilnya 3 (sisanya diabaikan).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QUOTIENT DI SINI)</t>
        </is>
      </c>
    </row>
    <row r="10">
      <c r="B10" s="18" t="inlineStr">
        <is>
          <t>Angka Pertama (B)</t>
        </is>
      </c>
      <c r="C10" s="18" t="inlineStr">
        <is>
          <t>Angka Kedua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55</v>
      </c>
      <c r="C11" s="19" t="n">
        <v>4</v>
      </c>
      <c r="E11" s="20" t="inlineStr">
        <is>
          <t>Contoh Soal:</t>
        </is>
      </c>
      <c r="F11" s="21" t="inlineStr">
        <is>
          <t>Terapkan fungsi QUOTIENT dengan mengambil angka pertama di sel B11 (55) dan angka kedua di sel C11 (4)!</t>
        </is>
      </c>
      <c r="G11" s="5" t="n"/>
    </row>
    <row r="12">
      <c r="B12" s="19" t="n">
        <v>18</v>
      </c>
      <c r="C12" s="19" t="n">
        <v>5</v>
      </c>
      <c r="E12" s="20" t="inlineStr">
        <is>
          <t>Contoh Rumus Benar:</t>
        </is>
      </c>
      <c r="F12" s="22" t="inlineStr">
        <is>
          <t>'=QUOTIENT(B11, C11)</t>
        </is>
      </c>
      <c r="G12" s="5" t="n"/>
    </row>
    <row r="13">
      <c r="B13" s="19" t="n">
        <v>32</v>
      </c>
      <c r="C13" s="19" t="n">
        <v>6</v>
      </c>
      <c r="E13" s="20" t="inlineStr">
        <is>
          <t>Contoh Hasil Benar:</t>
        </is>
      </c>
      <c r="F13" s="23">
        <f>QUOTIENT(B11, C11)</f>
        <v/>
      </c>
      <c r="G13" s="5" t="n"/>
    </row>
    <row r="14">
      <c r="B14" s="19" t="n">
        <v>40</v>
      </c>
      <c r="C14" s="19" t="n">
        <v>7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Angka Pertama (B)</t>
        </is>
      </c>
      <c r="C20" s="14" t="inlineStr">
        <is>
          <t>Angka Kedua (C)</t>
        </is>
      </c>
      <c r="E20" s="27" t="inlineStr">
        <is>
          <t>Persoalan Tes #1: Terapkan fungsi QUOTIENT dengan mengambil angka pertama di sel B21 (25) dan angka kedua di sel C21 (4)!</t>
        </is>
      </c>
    </row>
    <row r="21">
      <c r="B21" s="19" t="n">
        <v>25</v>
      </c>
      <c r="C21" s="19" t="n">
        <v>4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18</v>
      </c>
      <c r="C22" s="19" t="n">
        <v>5</v>
      </c>
      <c r="E22" s="28" t="n"/>
      <c r="F22" s="29">
        <f>IF(ISBLANK(E22), "⏳ Belum Diisi (Ketik Rumus di Sel Kuning E22)", IF(E22='99_KUNCI_JAWABAN'!F75, "✅ BENAR! JAWABAN TES TEPAT!", "❌ Belum Tepat (Cek Sheet Akhir: 99_KUNCI_JAWABAN)"))</f>
        <v/>
      </c>
      <c r="G22" s="5" t="n"/>
    </row>
    <row r="23">
      <c r="B23" s="19" t="n">
        <v>32</v>
      </c>
      <c r="C23" s="19" t="n">
        <v>6</v>
      </c>
    </row>
    <row r="24">
      <c r="B24" s="19" t="n">
        <v>40</v>
      </c>
      <c r="C24" s="19" t="n">
        <v>7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Angka Pertama (B)</t>
        </is>
      </c>
      <c r="C28" s="14" t="inlineStr">
        <is>
          <t>Angka Kedua (C)</t>
        </is>
      </c>
      <c r="E28" s="27" t="inlineStr">
        <is>
          <t>Persoalan Tes #2: Terapkan fungsi QUOTIENT dengan mengambil angka pertama di sel B29 (31) dan angka kedua di sel C29 (4)!</t>
        </is>
      </c>
    </row>
    <row r="29">
      <c r="B29" s="19" t="n">
        <v>31</v>
      </c>
      <c r="C29" s="19" t="n">
        <v>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18</v>
      </c>
      <c r="C30" s="19" t="n">
        <v>5</v>
      </c>
      <c r="E30" s="28" t="n"/>
      <c r="F30" s="29">
        <f>IF(ISBLANK(E30), "⏳ Belum Diisi (Ketik Rumus di Sel Kuning E30)", IF(E30='99_KUNCI_JAWABAN'!F76, "✅ BENAR! JAWABAN TES TEPAT!", "❌ Belum Tepat (Cek Sheet Akhir: 99_KUNCI_JAWABAN)"))</f>
        <v/>
      </c>
      <c r="G30" s="5" t="n"/>
    </row>
    <row r="31">
      <c r="B31" s="19" t="n">
        <v>32</v>
      </c>
      <c r="C31" s="19" t="n">
        <v>6</v>
      </c>
    </row>
    <row r="32">
      <c r="B32" s="19" t="n">
        <v>40</v>
      </c>
      <c r="C32" s="19" t="n">
        <v>7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Angka Pertama (B)</t>
        </is>
      </c>
      <c r="C36" s="14" t="inlineStr">
        <is>
          <t>Angka Kedua (C)</t>
        </is>
      </c>
      <c r="E36" s="27" t="inlineStr">
        <is>
          <t>Persoalan Tes #3: Terapkan fungsi QUOTIENT dengan mengambil angka pertama di sel B37 (37) dan angka kedua di sel C37 (4)!</t>
        </is>
      </c>
    </row>
    <row r="37">
      <c r="B37" s="19" t="n">
        <v>37</v>
      </c>
      <c r="C37" s="19" t="n">
        <v>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18</v>
      </c>
      <c r="C38" s="19" t="n">
        <v>5</v>
      </c>
      <c r="E38" s="28" t="n"/>
      <c r="F38" s="29">
        <f>IF(ISBLANK(E38), "⏳ Belum Diisi (Ketik Rumus di Sel Kuning E38)", IF(E38='99_KUNCI_JAWABAN'!F77, "✅ BENAR! JAWABAN TES TEPAT!", "❌ Belum Tepat (Cek Sheet Akhir: 99_KUNCI_JAWABAN)"))</f>
        <v/>
      </c>
      <c r="G38" s="5" t="n"/>
    </row>
    <row r="39">
      <c r="B39" s="19" t="n">
        <v>32</v>
      </c>
      <c r="C39" s="19" t="n">
        <v>6</v>
      </c>
    </row>
    <row r="40">
      <c r="B40" s="19" t="n">
        <v>40</v>
      </c>
      <c r="C40" s="19" t="n">
        <v>7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Angka Pertama (B)</t>
        </is>
      </c>
      <c r="C44" s="14" t="inlineStr">
        <is>
          <t>Angka Kedua (C)</t>
        </is>
      </c>
      <c r="E44" s="27" t="inlineStr">
        <is>
          <t>Persoalan Tes #4: Terapkan fungsi QUOTIENT dengan mengambil angka pertama di sel B45 (43) dan angka kedua di sel C45 (4)!</t>
        </is>
      </c>
    </row>
    <row r="45">
      <c r="B45" s="19" t="n">
        <v>43</v>
      </c>
      <c r="C45" s="19" t="n">
        <v>4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18</v>
      </c>
      <c r="C46" s="19" t="n">
        <v>5</v>
      </c>
      <c r="E46" s="28" t="n"/>
      <c r="F46" s="29">
        <f>IF(ISBLANK(E46), "⏳ Belum Diisi (Ketik Rumus di Sel Kuning E46)", IF(E46='99_KUNCI_JAWABAN'!F78, "✅ BENAR! JAWABAN TES TEPAT!", "❌ Belum Tepat (Cek Sheet Akhir: 99_KUNCI_JAWABAN)"))</f>
        <v/>
      </c>
      <c r="G46" s="5" t="n"/>
    </row>
    <row r="47">
      <c r="B47" s="19" t="n">
        <v>32</v>
      </c>
      <c r="C47" s="19" t="n">
        <v>6</v>
      </c>
    </row>
    <row r="48">
      <c r="B48" s="19" t="n">
        <v>40</v>
      </c>
      <c r="C48" s="19" t="n">
        <v>7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Angka Pertama (B)</t>
        </is>
      </c>
      <c r="C52" s="14" t="inlineStr">
        <is>
          <t>Angka Kedua (C)</t>
        </is>
      </c>
      <c r="E52" s="27" t="inlineStr">
        <is>
          <t>Persoalan Tes #5: Terapkan fungsi QUOTIENT dengan mengambil angka pertama di sel B53 (49) dan angka kedua di sel C53 (4)!</t>
        </is>
      </c>
    </row>
    <row r="53">
      <c r="B53" s="19" t="n">
        <v>49</v>
      </c>
      <c r="C53" s="19" t="n">
        <v>4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18</v>
      </c>
      <c r="C54" s="19" t="n">
        <v>5</v>
      </c>
      <c r="E54" s="28" t="n"/>
      <c r="F54" s="29">
        <f>IF(ISBLANK(E54), "⏳ Belum Diisi (Ketik Rumus di Sel Kuning E54)", IF(E54='99_KUNCI_JAWABAN'!F79, "✅ BENAR! JAWABAN TES TEPAT!", "❌ Belum Tepat (Cek Sheet Akhir: 99_KUNCI_JAWABAN)"))</f>
        <v/>
      </c>
      <c r="G54" s="5" t="n"/>
    </row>
    <row r="55">
      <c r="B55" s="19" t="n">
        <v>32</v>
      </c>
      <c r="C55" s="19" t="n">
        <v>6</v>
      </c>
    </row>
    <row r="56">
      <c r="B56" s="19" t="n">
        <v>40</v>
      </c>
      <c r="C56" s="19" t="n">
        <v>7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#016 — RUMUS EXCEL: ABS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(ABS)</t>
        </is>
      </c>
    </row>
    <row r="5" ht="21" customHeight="1">
      <c r="B5" s="14" t="inlineStr">
        <is>
          <t>Nama Rumus Excel</t>
        </is>
      </c>
      <c r="C5" s="15">
        <f>ABS(...)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ABS(angka)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Mengubah angka minus (negatif) menjadi positif (Nilai Mutlak). Cocok untuk menghitung selisih jarak atau deviasi stok tanpa tanda minus.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ABS DI SINI)</t>
        </is>
      </c>
    </row>
    <row r="10">
      <c r="B10" s="18" t="inlineStr">
        <is>
          <t>Pos Audit</t>
        </is>
      </c>
      <c r="C10" s="18" t="inlineStr">
        <is>
          <t>Selisih Stok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-900</v>
      </c>
      <c r="E11" s="20" t="inlineStr">
        <is>
          <t>Contoh Soal:</t>
        </is>
      </c>
      <c r="F11" s="21" t="inlineStr">
        <is>
          <t>Evaluasi nilai selisih pada sel C11 (-900) menggunakan fungsi ABS!</t>
        </is>
      </c>
      <c r="G11" s="5" t="n"/>
    </row>
    <row r="12">
      <c r="B12" s="19" t="inlineStr">
        <is>
          <t>Simulasi Unit B</t>
        </is>
      </c>
      <c r="C12" s="19" t="n">
        <v>1200</v>
      </c>
      <c r="E12" s="20" t="inlineStr">
        <is>
          <t>Contoh Rumus Benar:</t>
        </is>
      </c>
      <c r="F12" s="22" t="inlineStr">
        <is>
          <t>'=ABS(C11)</t>
        </is>
      </c>
      <c r="G12" s="5" t="n"/>
    </row>
    <row r="13">
      <c r="B13" s="19" t="inlineStr">
        <is>
          <t>Simulasi Unit C</t>
        </is>
      </c>
      <c r="C13" s="19" t="n">
        <v>-450</v>
      </c>
      <c r="E13" s="20" t="inlineStr">
        <is>
          <t>Contoh Hasil Benar:</t>
        </is>
      </c>
      <c r="F13" s="23">
        <f>ABS(C11)</f>
        <v/>
      </c>
      <c r="G13" s="5" t="n"/>
    </row>
    <row r="14">
      <c r="B14" s="19" t="inlineStr">
        <is>
          <t>Simulasi Unit D</t>
        </is>
      </c>
      <c r="C14" s="19" t="n">
        <v>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Pos Audit</t>
        </is>
      </c>
      <c r="C20" s="14" t="inlineStr">
        <is>
          <t>Selisih Stok</t>
        </is>
      </c>
      <c r="E20" s="27" t="inlineStr">
        <is>
          <t>Persoalan Tes #1: Evaluasi nilai selisih pada sel C21 (-150) menggunakan fungsi ABS!</t>
        </is>
      </c>
    </row>
    <row r="21">
      <c r="B21" s="19" t="inlineStr">
        <is>
          <t>Cabang Jakarta</t>
        </is>
      </c>
      <c r="C21" s="19" t="n">
        <v>-150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200</v>
      </c>
      <c r="E22" s="28" t="n"/>
      <c r="F22" s="29">
        <f>IF(ISBLANK(E22), "⏳ Belum Diisi (Ketik Rumus di Sel Kuning E22)", IF(E22='99_KUNCI_JAWABAN'!F80,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-75</v>
      </c>
    </row>
    <row r="24">
      <c r="B24" s="19" t="inlineStr">
        <is>
          <t>Cabang Medan</t>
        </is>
      </c>
      <c r="C24" s="19" t="n">
        <v>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Pos Audit</t>
        </is>
      </c>
      <c r="C28" s="14" t="inlineStr">
        <is>
          <t>Selisih Stok</t>
        </is>
      </c>
      <c r="E28" s="27" t="inlineStr">
        <is>
          <t>Persoalan Tes #2: Evaluasi nilai selisih pada sel C29 (-300) menggunakan fungsi ABS!</t>
        </is>
      </c>
    </row>
    <row r="29">
      <c r="B29" s="19" t="inlineStr">
        <is>
          <t>Budi Santoso</t>
        </is>
      </c>
      <c r="C29" s="19" t="n">
        <v>-300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400</v>
      </c>
      <c r="E30" s="28" t="n"/>
      <c r="F30" s="29">
        <f>IF(ISBLANK(E30), "⏳ Belum Diisi (Ketik Rumus di Sel Kuning E30)", IF(E30='99_KUNCI_JAWABAN'!F81,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-150</v>
      </c>
    </row>
    <row r="32">
      <c r="B32" s="19" t="inlineStr">
        <is>
          <t>Rina Wijaya</t>
        </is>
      </c>
      <c r="C32" s="19" t="n">
        <v>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Pos Audit</t>
        </is>
      </c>
      <c r="C36" s="14" t="inlineStr">
        <is>
          <t>Selisih Stok</t>
        </is>
      </c>
      <c r="E36" s="27" t="inlineStr">
        <is>
          <t>Persoalan Tes #3: Evaluasi nilai selisih pada sel C37 (-450) menggunakan fungsi ABS!</t>
        </is>
      </c>
    </row>
    <row r="37">
      <c r="B37" s="19" t="inlineStr">
        <is>
          <t>Gudang Blok A</t>
        </is>
      </c>
      <c r="C37" s="19" t="n">
        <v>-450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600</v>
      </c>
      <c r="E38" s="28" t="n"/>
      <c r="F38" s="29">
        <f>IF(ISBLANK(E38), "⏳ Belum Diisi (Ketik Rumus di Sel Kuning E38)", IF(E38='99_KUNCI_JAWABAN'!F82,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-225</v>
      </c>
    </row>
    <row r="40">
      <c r="B40" s="19" t="inlineStr">
        <is>
          <t>Gudang Blok D</t>
        </is>
      </c>
      <c r="C40" s="19" t="n">
        <v>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Pos Audit</t>
        </is>
      </c>
      <c r="C44" s="14" t="inlineStr">
        <is>
          <t>Selisih Stok</t>
        </is>
      </c>
      <c r="E44" s="27" t="inlineStr">
        <is>
          <t>Persoalan Tes #4: Evaluasi nilai selisih pada sel C45 (-600) menggunakan fungsi ABS!</t>
        </is>
      </c>
    </row>
    <row r="45">
      <c r="B45" s="19" t="inlineStr">
        <is>
          <t>Toko Elektronik</t>
        </is>
      </c>
      <c r="C45" s="19" t="n">
        <v>-600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800</v>
      </c>
      <c r="E46" s="28" t="n"/>
      <c r="F46" s="29">
        <f>IF(ISBLANK(E46), "⏳ Belum Diisi (Ketik Rumus di Sel Kuning E46)", IF(E46='99_KUNCI_JAWABAN'!F83,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-300</v>
      </c>
    </row>
    <row r="48">
      <c r="B48" s="19" t="inlineStr">
        <is>
          <t>Toko Servis</t>
        </is>
      </c>
      <c r="C48" s="19" t="n">
        <v>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Pos Audit</t>
        </is>
      </c>
      <c r="C52" s="14" t="inlineStr">
        <is>
          <t>Selisih Stok</t>
        </is>
      </c>
      <c r="E52" s="27" t="inlineStr">
        <is>
          <t>Persoalan Tes #5: Evaluasi nilai selisih pada sel C53 (-750) menggunakan fungsi ABS!</t>
        </is>
      </c>
    </row>
    <row r="53">
      <c r="B53" s="19" t="inlineStr">
        <is>
          <t>Kelas 10 IPA</t>
        </is>
      </c>
      <c r="C53" s="19" t="n">
        <v>-750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1000</v>
      </c>
      <c r="E54" s="28" t="n"/>
      <c r="F54" s="29">
        <f>IF(ISBLANK(E54), "⏳ Belum Diisi (Ketik Rumus di Sel Kuning E54)", IF(E54='99_KUNCI_JAWABAN'!F84,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-375</v>
      </c>
    </row>
    <row r="56">
      <c r="B56" s="19" t="inlineStr">
        <is>
          <t>Kelas Unggulan</t>
        </is>
      </c>
      <c r="C56" s="19" t="n">
        <v>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#017 — RUMUS EXCEL: POWER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(POWER)</t>
        </is>
      </c>
    </row>
    <row r="5" ht="21" customHeight="1">
      <c r="B5" s="14" t="inlineStr">
        <is>
          <t>Nama Rumus Excel</t>
        </is>
      </c>
      <c r="C5" s="15">
        <f>POWER(...)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POWER(angka, pangkat)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perpangkatan angka (misal angka pertama dipangkatkan angka kedua).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POWER DI SINI)</t>
        </is>
      </c>
    </row>
    <row r="10">
      <c r="B10" s="18" t="inlineStr">
        <is>
          <t>Angka Pertama (B)</t>
        </is>
      </c>
      <c r="C10" s="18" t="inlineStr">
        <is>
          <t>Angka Kedua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55</v>
      </c>
      <c r="C11" s="19" t="n">
        <v>3</v>
      </c>
      <c r="E11" s="20" t="inlineStr">
        <is>
          <t>Contoh Soal:</t>
        </is>
      </c>
      <c r="F11" s="21" t="inlineStr">
        <is>
          <t>Terapkan fungsi POWER dengan mengambil angka pertama di sel B11 (55) dan angka kedua di sel C11 (3)!</t>
        </is>
      </c>
      <c r="G11" s="5" t="n"/>
    </row>
    <row r="12">
      <c r="B12" s="19" t="n">
        <v>18</v>
      </c>
      <c r="C12" s="19" t="n">
        <v>5</v>
      </c>
      <c r="E12" s="20" t="inlineStr">
        <is>
          <t>Contoh Rumus Benar:</t>
        </is>
      </c>
      <c r="F12" s="22" t="inlineStr">
        <is>
          <t>'=POWER(B11, C11)</t>
        </is>
      </c>
      <c r="G12" s="5" t="n"/>
    </row>
    <row r="13">
      <c r="B13" s="19" t="n">
        <v>32</v>
      </c>
      <c r="C13" s="19" t="n">
        <v>6</v>
      </c>
      <c r="E13" s="20" t="inlineStr">
        <is>
          <t>Contoh Hasil Benar:</t>
        </is>
      </c>
      <c r="F13" s="23">
        <f>POWER(B11, C11)</f>
        <v/>
      </c>
      <c r="G13" s="5" t="n"/>
    </row>
    <row r="14">
      <c r="B14" s="19" t="n">
        <v>40</v>
      </c>
      <c r="C14" s="19" t="n">
        <v>7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Angka Pertama (B)</t>
        </is>
      </c>
      <c r="C20" s="14" t="inlineStr">
        <is>
          <t>Angka Kedua (C)</t>
        </is>
      </c>
      <c r="E20" s="27" t="inlineStr">
        <is>
          <t>Persoalan Tes #1: Terapkan fungsi POWER dengan mengambil angka pertama di sel B21 (25) dan angka kedua di sel C21 (3)!</t>
        </is>
      </c>
    </row>
    <row r="21">
      <c r="B21" s="19" t="n">
        <v>25</v>
      </c>
      <c r="C21" s="19" t="n">
        <v>3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18</v>
      </c>
      <c r="C22" s="19" t="n">
        <v>5</v>
      </c>
      <c r="E22" s="28" t="n"/>
      <c r="F22" s="29">
        <f>IF(ISBLANK(E22), "⏳ Belum Diisi (Ketik Rumus di Sel Kuning E22)", IF(E22='99_KUNCI_JAWABAN'!F85, "✅ BENAR! JAWABAN TES TEPAT!", "❌ Belum Tepat (Cek Sheet Akhir: 99_KUNCI_JAWABAN)"))</f>
        <v/>
      </c>
      <c r="G22" s="5" t="n"/>
    </row>
    <row r="23">
      <c r="B23" s="19" t="n">
        <v>32</v>
      </c>
      <c r="C23" s="19" t="n">
        <v>6</v>
      </c>
    </row>
    <row r="24">
      <c r="B24" s="19" t="n">
        <v>40</v>
      </c>
      <c r="C24" s="19" t="n">
        <v>7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Angka Pertama (B)</t>
        </is>
      </c>
      <c r="C28" s="14" t="inlineStr">
        <is>
          <t>Angka Kedua (C)</t>
        </is>
      </c>
      <c r="E28" s="27" t="inlineStr">
        <is>
          <t>Persoalan Tes #2: Terapkan fungsi POWER dengan mengambil angka pertama di sel B29 (31) dan angka kedua di sel C29 (3)!</t>
        </is>
      </c>
    </row>
    <row r="29">
      <c r="B29" s="19" t="n">
        <v>31</v>
      </c>
      <c r="C29" s="19" t="n">
        <v>3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18</v>
      </c>
      <c r="C30" s="19" t="n">
        <v>5</v>
      </c>
      <c r="E30" s="28" t="n"/>
      <c r="F30" s="29">
        <f>IF(ISBLANK(E30), "⏳ Belum Diisi (Ketik Rumus di Sel Kuning E30)", IF(E30='99_KUNCI_JAWABAN'!F86, "✅ BENAR! JAWABAN TES TEPAT!", "❌ Belum Tepat (Cek Sheet Akhir: 99_KUNCI_JAWABAN)"))</f>
        <v/>
      </c>
      <c r="G30" s="5" t="n"/>
    </row>
    <row r="31">
      <c r="B31" s="19" t="n">
        <v>32</v>
      </c>
      <c r="C31" s="19" t="n">
        <v>6</v>
      </c>
    </row>
    <row r="32">
      <c r="B32" s="19" t="n">
        <v>40</v>
      </c>
      <c r="C32" s="19" t="n">
        <v>7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Angka Pertama (B)</t>
        </is>
      </c>
      <c r="C36" s="14" t="inlineStr">
        <is>
          <t>Angka Kedua (C)</t>
        </is>
      </c>
      <c r="E36" s="27" t="inlineStr">
        <is>
          <t>Persoalan Tes #3: Terapkan fungsi POWER dengan mengambil angka pertama di sel B37 (37) dan angka kedua di sel C37 (3)!</t>
        </is>
      </c>
    </row>
    <row r="37">
      <c r="B37" s="19" t="n">
        <v>37</v>
      </c>
      <c r="C37" s="19" t="n">
        <v>3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18</v>
      </c>
      <c r="C38" s="19" t="n">
        <v>5</v>
      </c>
      <c r="E38" s="28" t="n"/>
      <c r="F38" s="29">
        <f>IF(ISBLANK(E38), "⏳ Belum Diisi (Ketik Rumus di Sel Kuning E38)", IF(E38='99_KUNCI_JAWABAN'!F87, "✅ BENAR! JAWABAN TES TEPAT!", "❌ Belum Tepat (Cek Sheet Akhir: 99_KUNCI_JAWABAN)"))</f>
        <v/>
      </c>
      <c r="G38" s="5" t="n"/>
    </row>
    <row r="39">
      <c r="B39" s="19" t="n">
        <v>32</v>
      </c>
      <c r="C39" s="19" t="n">
        <v>6</v>
      </c>
    </row>
    <row r="40">
      <c r="B40" s="19" t="n">
        <v>40</v>
      </c>
      <c r="C40" s="19" t="n">
        <v>7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Angka Pertama (B)</t>
        </is>
      </c>
      <c r="C44" s="14" t="inlineStr">
        <is>
          <t>Angka Kedua (C)</t>
        </is>
      </c>
      <c r="E44" s="27" t="inlineStr">
        <is>
          <t>Persoalan Tes #4: Terapkan fungsi POWER dengan mengambil angka pertama di sel B45 (43) dan angka kedua di sel C45 (3)!</t>
        </is>
      </c>
    </row>
    <row r="45">
      <c r="B45" s="19" t="n">
        <v>43</v>
      </c>
      <c r="C45" s="19" t="n">
        <v>3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18</v>
      </c>
      <c r="C46" s="19" t="n">
        <v>5</v>
      </c>
      <c r="E46" s="28" t="n"/>
      <c r="F46" s="29">
        <f>IF(ISBLANK(E46), "⏳ Belum Diisi (Ketik Rumus di Sel Kuning E46)", IF(E46='99_KUNCI_JAWABAN'!F88, "✅ BENAR! JAWABAN TES TEPAT!", "❌ Belum Tepat (Cek Sheet Akhir: 99_KUNCI_JAWABAN)"))</f>
        <v/>
      </c>
      <c r="G46" s="5" t="n"/>
    </row>
    <row r="47">
      <c r="B47" s="19" t="n">
        <v>32</v>
      </c>
      <c r="C47" s="19" t="n">
        <v>6</v>
      </c>
    </row>
    <row r="48">
      <c r="B48" s="19" t="n">
        <v>40</v>
      </c>
      <c r="C48" s="19" t="n">
        <v>7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Angka Pertama (B)</t>
        </is>
      </c>
      <c r="C52" s="14" t="inlineStr">
        <is>
          <t>Angka Kedua (C)</t>
        </is>
      </c>
      <c r="E52" s="27" t="inlineStr">
        <is>
          <t>Persoalan Tes #5: Terapkan fungsi POWER dengan mengambil angka pertama di sel B53 (49) dan angka kedua di sel C53 (3)!</t>
        </is>
      </c>
    </row>
    <row r="53">
      <c r="B53" s="19" t="n">
        <v>49</v>
      </c>
      <c r="C53" s="19" t="n">
        <v>3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18</v>
      </c>
      <c r="C54" s="19" t="n">
        <v>5</v>
      </c>
      <c r="E54" s="28" t="n"/>
      <c r="F54" s="29">
        <f>IF(ISBLANK(E54), "⏳ Belum Diisi (Ketik Rumus di Sel Kuning E54)", IF(E54='99_KUNCI_JAWABAN'!F89, "✅ BENAR! JAWABAN TES TEPAT!", "❌ Belum Tepat (Cek Sheet Akhir: 99_KUNCI_JAWABAN)"))</f>
        <v/>
      </c>
      <c r="G54" s="5" t="n"/>
    </row>
    <row r="55">
      <c r="B55" s="19" t="n">
        <v>32</v>
      </c>
      <c r="C55" s="19" t="n">
        <v>6</v>
      </c>
    </row>
    <row r="56">
      <c r="B56" s="19" t="n">
        <v>40</v>
      </c>
      <c r="C56" s="19" t="n">
        <v>7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#018 — RUMUS EXCEL: SQRT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(SQRT)</t>
        </is>
      </c>
    </row>
    <row r="5" ht="21" customHeight="1">
      <c r="B5" s="14" t="inlineStr">
        <is>
          <t>Nama Rumus Excel</t>
        </is>
      </c>
      <c r="C5" s="15">
        <f>SQRT(...)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SQRT(angka)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akar kuadrat dari suatu angka (misal akar dari 144 adalah 12).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SQRT DI SINI)</t>
        </is>
      </c>
    </row>
    <row r="10">
      <c r="B10" s="18" t="inlineStr">
        <is>
          <t>Parameter Uji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81</v>
      </c>
      <c r="E11" s="20" t="inlineStr">
        <is>
          <t>Contoh Soal:</t>
        </is>
      </c>
      <c r="F11" s="21" t="inlineStr">
        <is>
          <t>Hitung hasil fungsi SQRT untuk nilai input pada sel C11 (81)!</t>
        </is>
      </c>
      <c r="G11" s="5" t="n"/>
    </row>
    <row r="12">
      <c r="B12" s="19" t="inlineStr">
        <is>
          <t>Simulasi Unit B</t>
        </is>
      </c>
      <c r="C12" s="19" t="n">
        <v>64</v>
      </c>
      <c r="E12" s="20" t="inlineStr">
        <is>
          <t>Contoh Rumus Benar:</t>
        </is>
      </c>
      <c r="F12" s="22" t="inlineStr">
        <is>
          <t>'=SQRT(C11)</t>
        </is>
      </c>
      <c r="G12" s="5" t="n"/>
    </row>
    <row r="13">
      <c r="B13" s="19" t="inlineStr">
        <is>
          <t>Simulasi Unit C</t>
        </is>
      </c>
      <c r="C13" s="19" t="n">
        <v>81</v>
      </c>
      <c r="E13" s="20" t="inlineStr">
        <is>
          <t>Contoh Hasil Benar:</t>
        </is>
      </c>
      <c r="F13" s="23">
        <f>SQRT(C11)</f>
        <v/>
      </c>
      <c r="G13" s="5" t="n"/>
    </row>
    <row r="14">
      <c r="B14" s="19" t="inlineStr">
        <is>
          <t>Simulasi Unit D</t>
        </is>
      </c>
      <c r="C14" s="19" t="n">
        <v>100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Uji</t>
        </is>
      </c>
      <c r="C20" s="14" t="inlineStr">
        <is>
          <t>Nilai Input</t>
        </is>
      </c>
      <c r="E20" s="27" t="inlineStr">
        <is>
          <t>Persoalan Tes #1: Hitung hasil fungsi SQRT untuk nilai input pada sel C21 (16)!</t>
        </is>
      </c>
    </row>
    <row r="21">
      <c r="B21" s="19" t="inlineStr">
        <is>
          <t>Cabang Jakarta</t>
        </is>
      </c>
      <c r="C21" s="19" t="n">
        <v>16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64</v>
      </c>
      <c r="E22" s="28" t="n"/>
      <c r="F22" s="29">
        <f>IF(ISBLANK(E22), "⏳ Belum Diisi (Ketik Rumus di Sel Kuning E22)", IF(E22='99_KUNCI_JAWABAN'!F90,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81</v>
      </c>
    </row>
    <row r="24">
      <c r="B24" s="19" t="inlineStr">
        <is>
          <t>Cabang Medan</t>
        </is>
      </c>
      <c r="C24" s="19" t="n">
        <v>100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Uji</t>
        </is>
      </c>
      <c r="C28" s="14" t="inlineStr">
        <is>
          <t>Nilai Input</t>
        </is>
      </c>
      <c r="E28" s="27" t="inlineStr">
        <is>
          <t>Persoalan Tes #2: Hitung hasil fungsi SQRT untuk nilai input pada sel C29 (25)!</t>
        </is>
      </c>
    </row>
    <row r="29">
      <c r="B29" s="19" t="inlineStr">
        <is>
          <t>Budi Santoso</t>
        </is>
      </c>
      <c r="C29" s="19" t="n">
        <v>25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64</v>
      </c>
      <c r="E30" s="28" t="n"/>
      <c r="F30" s="29">
        <f>IF(ISBLANK(E30), "⏳ Belum Diisi (Ketik Rumus di Sel Kuning E30)", IF(E30='99_KUNCI_JAWABAN'!F91,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81</v>
      </c>
    </row>
    <row r="32">
      <c r="B32" s="19" t="inlineStr">
        <is>
          <t>Rina Wijaya</t>
        </is>
      </c>
      <c r="C32" s="19" t="n">
        <v>100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Uji</t>
        </is>
      </c>
      <c r="C36" s="14" t="inlineStr">
        <is>
          <t>Nilai Input</t>
        </is>
      </c>
      <c r="E36" s="27" t="inlineStr">
        <is>
          <t>Persoalan Tes #3: Hitung hasil fungsi SQRT untuk nilai input pada sel C37 (36)!</t>
        </is>
      </c>
    </row>
    <row r="37">
      <c r="B37" s="19" t="inlineStr">
        <is>
          <t>Gudang Blok A</t>
        </is>
      </c>
      <c r="C37" s="19" t="n">
        <v>36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64</v>
      </c>
      <c r="E38" s="28" t="n"/>
      <c r="F38" s="29">
        <f>IF(ISBLANK(E38), "⏳ Belum Diisi (Ketik Rumus di Sel Kuning E38)", IF(E38='99_KUNCI_JAWABAN'!F92,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81</v>
      </c>
    </row>
    <row r="40">
      <c r="B40" s="19" t="inlineStr">
        <is>
          <t>Gudang Blok D</t>
        </is>
      </c>
      <c r="C40" s="19" t="n">
        <v>100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Uji</t>
        </is>
      </c>
      <c r="C44" s="14" t="inlineStr">
        <is>
          <t>Nilai Input</t>
        </is>
      </c>
      <c r="E44" s="27" t="inlineStr">
        <is>
          <t>Persoalan Tes #4: Hitung hasil fungsi SQRT untuk nilai input pada sel C45 (49)!</t>
        </is>
      </c>
    </row>
    <row r="45">
      <c r="B45" s="19" t="inlineStr">
        <is>
          <t>Toko Elektronik</t>
        </is>
      </c>
      <c r="C45" s="19" t="n">
        <v>49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64</v>
      </c>
      <c r="E46" s="28" t="n"/>
      <c r="F46" s="29">
        <f>IF(ISBLANK(E46), "⏳ Belum Diisi (Ketik Rumus di Sel Kuning E46)", IF(E46='99_KUNCI_JAWABAN'!F93,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81</v>
      </c>
    </row>
    <row r="48">
      <c r="B48" s="19" t="inlineStr">
        <is>
          <t>Toko Servis</t>
        </is>
      </c>
      <c r="C48" s="19" t="n">
        <v>100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Uji</t>
        </is>
      </c>
      <c r="C52" s="14" t="inlineStr">
        <is>
          <t>Nilai Input</t>
        </is>
      </c>
      <c r="E52" s="27" t="inlineStr">
        <is>
          <t>Persoalan Tes #5: Hitung hasil fungsi SQRT untuk nilai input pada sel C53 (64)!</t>
        </is>
      </c>
    </row>
    <row r="53">
      <c r="B53" s="19" t="inlineStr">
        <is>
          <t>Kelas 10 IPA</t>
        </is>
      </c>
      <c r="C53" s="19" t="n">
        <v>64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64</v>
      </c>
      <c r="E54" s="28" t="n"/>
      <c r="F54" s="29">
        <f>IF(ISBLANK(E54), "⏳ Belum Diisi (Ketik Rumus di Sel Kuning E54)", IF(E54='99_KUNCI_JAWABAN'!F94,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81</v>
      </c>
    </row>
    <row r="56">
      <c r="B56" s="19" t="inlineStr">
        <is>
          <t>Kelas Unggulan</t>
        </is>
      </c>
      <c r="C56" s="19" t="n">
        <v>100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#019 — RUMUS EXCEL: SUBTOTAL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(SUBTOTAL)</t>
        </is>
      </c>
    </row>
    <row r="5" ht="21" customHeight="1">
      <c r="B5" s="14" t="inlineStr">
        <is>
          <t>Nama Rumus Excel</t>
        </is>
      </c>
      <c r="C5" s="15">
        <f>SUBTOTAL(...)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SUBTOTAL(kode_fungsi, range)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total/rata-rata yang PINTAR karena otomatis mengabaikan baris yang sedang disembunyikan oleh Filter!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SUBTOTAL DI SINI)</t>
        </is>
      </c>
    </row>
    <row r="10">
      <c r="B10" s="18" t="inlineStr">
        <is>
          <t>Divisi Kerja</t>
        </is>
      </c>
      <c r="C10" s="18" t="inlineStr">
        <is>
          <t>Anggaran Biaya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total penjumlahan dinamis dengan kode fungsi 9 pada rentang C11:C14 menggunakan fungsi SUBTOTAL!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'=SUBTOTAL(9, 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SUBTOTAL(9, 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Divisi Kerja</t>
        </is>
      </c>
      <c r="C20" s="14" t="inlineStr">
        <is>
          <t>Anggaran Biaya</t>
        </is>
      </c>
      <c r="E20" s="27" t="inlineStr">
        <is>
          <t>Persoalan Tes #1: Hitung total penjumlahan dinamis dengan kode fungsi 9 pada rentang C21:C24 menggunakan fungsi SUBTOTAL!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IF(E22='99_KUNCI_JAWABAN'!F95,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Divisi Kerja</t>
        </is>
      </c>
      <c r="C28" s="14" t="inlineStr">
        <is>
          <t>Anggaran Biaya</t>
        </is>
      </c>
      <c r="E28" s="27" t="inlineStr">
        <is>
          <t>Persoalan Tes #2: Hitung total penjumlahan dinamis dengan kode fungsi 9 pada rentang C29:C32 menggunakan fungsi SUBTOTAL!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IF(E30='99_KUNCI_JAWABAN'!F96,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Divisi Kerja</t>
        </is>
      </c>
      <c r="C36" s="14" t="inlineStr">
        <is>
          <t>Anggaran Biaya</t>
        </is>
      </c>
      <c r="E36" s="27" t="inlineStr">
        <is>
          <t>Persoalan Tes #3: Hitung total penjumlahan dinamis dengan kode fungsi 9 pada rentang C37:C40 menggunakan fungsi SUBTOTAL!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IF(E38='99_KUNCI_JAWABAN'!F97,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Divisi Kerja</t>
        </is>
      </c>
      <c r="C44" s="14" t="inlineStr">
        <is>
          <t>Anggaran Biaya</t>
        </is>
      </c>
      <c r="E44" s="27" t="inlineStr">
        <is>
          <t>Persoalan Tes #4: Hitung total penjumlahan dinamis dengan kode fungsi 9 pada rentang C45:C48 menggunakan fungsi SUBTOTAL!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IF(E46='99_KUNCI_JAWABAN'!F98,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Divisi Kerja</t>
        </is>
      </c>
      <c r="C52" s="14" t="inlineStr">
        <is>
          <t>Anggaran Biaya</t>
        </is>
      </c>
      <c r="E52" s="27" t="inlineStr">
        <is>
          <t>Persoalan Tes #5: Hitung total penjumlahan dinamis dengan kode fungsi 9 pada rentang C53:C56 menggunakan fungsi SUBTOTAL!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IF(E54='99_KUNCI_JAWABAN'!F99,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#020 — RUMUS EXCEL: AGGREGATE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(AGGREGATE)</t>
        </is>
      </c>
    </row>
    <row r="5" ht="21" customHeight="1">
      <c r="B5" s="14" t="inlineStr">
        <is>
          <t>Nama Rumus Excel</t>
        </is>
      </c>
      <c r="C5" s="15">
        <f>AGGREGATE(...)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AGGREGATE(kode_fungsi, opsi_abaikan, range)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Versi super dari SUBTOTAL yang sanggup mengabaikan baris tersembunyi SEKALIGUS mengabaikan sel yang error (#N/A atau #DIV/0!).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AGGREGATE DI SINI)</t>
        </is>
      </c>
    </row>
    <row r="10">
      <c r="B10" s="18" t="inlineStr">
        <is>
          <t>Divisi Kerja</t>
        </is>
      </c>
      <c r="C10" s="18" t="inlineStr">
        <is>
          <t>Anggaran Biaya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penjumlahan (kode fungsi 9) dengan opsi abaikan error (kode opsi 6) pada rentang C11:C14 menggunakan fungsi AGGREGATE!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'=AGGREGATE(9, 6, 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AGGREGATE(9, 6, 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Divisi Kerja</t>
        </is>
      </c>
      <c r="C20" s="14" t="inlineStr">
        <is>
          <t>Anggaran Biaya</t>
        </is>
      </c>
      <c r="E20" s="27" t="inlineStr">
        <is>
          <t>Persoalan Tes #1: Hitung penjumlahan (kode fungsi 9) dengan opsi abaikan error (kode opsi 6) pada rentang C21:C24 menggunakan fungsi AGGREGATE!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IF(E22='99_KUNCI_JAWABAN'!F100,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Divisi Kerja</t>
        </is>
      </c>
      <c r="C28" s="14" t="inlineStr">
        <is>
          <t>Anggaran Biaya</t>
        </is>
      </c>
      <c r="E28" s="27" t="inlineStr">
        <is>
          <t>Persoalan Tes #2: Hitung penjumlahan (kode fungsi 9) dengan opsi abaikan error (kode opsi 6) pada rentang C29:C32 menggunakan fungsi AGGREGATE!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IF(E30='99_KUNCI_JAWABAN'!F101,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Divisi Kerja</t>
        </is>
      </c>
      <c r="C36" s="14" t="inlineStr">
        <is>
          <t>Anggaran Biaya</t>
        </is>
      </c>
      <c r="E36" s="27" t="inlineStr">
        <is>
          <t>Persoalan Tes #3: Hitung penjumlahan (kode fungsi 9) dengan opsi abaikan error (kode opsi 6) pada rentang C37:C40 menggunakan fungsi AGGREGATE!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IF(E38='99_KUNCI_JAWABAN'!F102,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Divisi Kerja</t>
        </is>
      </c>
      <c r="C44" s="14" t="inlineStr">
        <is>
          <t>Anggaran Biaya</t>
        </is>
      </c>
      <c r="E44" s="27" t="inlineStr">
        <is>
          <t>Persoalan Tes #4: Hitung penjumlahan (kode fungsi 9) dengan opsi abaikan error (kode opsi 6) pada rentang C45:C48 menggunakan fungsi AGGREGATE!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IF(E46='99_KUNCI_JAWABAN'!F103,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Divisi Kerja</t>
        </is>
      </c>
      <c r="C52" s="14" t="inlineStr">
        <is>
          <t>Anggaran Biaya</t>
        </is>
      </c>
      <c r="E52" s="27" t="inlineStr">
        <is>
          <t>Persoalan Tes #5: Hitung penjumlahan (kode fungsi 9) dengan opsi abaikan error (kode opsi 6) pada rentang C53:C56 menggunakan fungsi AGGREGATE!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IF(E54='99_KUNCI_JAWABAN'!F104,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#021 — RUMUS EXCEL: RANDBETWEEN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(RANDBETWEEN)</t>
        </is>
      </c>
    </row>
    <row r="5" ht="21" customHeight="1">
      <c r="B5" s="14" t="inlineStr">
        <is>
          <t>Nama Rumus Excel</t>
        </is>
      </c>
      <c r="C5" s="15">
        <f>RANDBETWEEN(...)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RANDBETWEEN(batas_bawah, batas_atas)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angka acak bulat di antara batas bawah dan batas atas (cocok untuk undian doorprize atau simulasi data).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RANDBETWEEN DI SINI)</t>
        </is>
      </c>
    </row>
    <row r="10">
      <c r="B10" s="18" t="inlineStr">
        <is>
          <t>Parameter Undian</t>
        </is>
      </c>
      <c r="C10" s="18" t="inlineStr">
        <is>
          <t>Batas Nilai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600</v>
      </c>
      <c r="E11" s="20" t="inlineStr">
        <is>
          <t>Contoh Soal:</t>
        </is>
      </c>
      <c r="F11" s="21" t="inlineStr">
        <is>
          <t>Gunakan fungsi RANDBETWEEN dengan batas bawah di sel C11 dan batas atas di sel C11!</t>
        </is>
      </c>
      <c r="G11" s="5" t="n"/>
    </row>
    <row r="12">
      <c r="B12" s="19" t="inlineStr">
        <is>
          <t>Simulasi Unit B</t>
        </is>
      </c>
      <c r="C12" s="19" t="n">
        <v>3000</v>
      </c>
      <c r="E12" s="20" t="inlineStr">
        <is>
          <t>Contoh Rumus Benar:</t>
        </is>
      </c>
      <c r="F12" s="22" t="inlineStr">
        <is>
          <t>'=RANDBETWEEN(C11, C11)</t>
        </is>
      </c>
      <c r="G12" s="5" t="n"/>
    </row>
    <row r="13">
      <c r="B13" s="19" t="inlineStr">
        <is>
          <t>Simulasi Unit C</t>
        </is>
      </c>
      <c r="C13" s="19" t="n">
        <v>10</v>
      </c>
      <c r="E13" s="20" t="inlineStr">
        <is>
          <t>Contoh Hasil Benar:</t>
        </is>
      </c>
      <c r="F13" s="23">
        <f>RANDBETWEEN(C11, C11)</f>
        <v/>
      </c>
      <c r="G13" s="5" t="n"/>
    </row>
    <row r="14">
      <c r="B14" s="19" t="inlineStr">
        <is>
          <t>Simulasi Unit D</t>
        </is>
      </c>
      <c r="C14" s="19" t="n">
        <v>50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Undian</t>
        </is>
      </c>
      <c r="C20" s="14" t="inlineStr">
        <is>
          <t>Batas Nilai</t>
        </is>
      </c>
      <c r="E20" s="27" t="inlineStr">
        <is>
          <t>Persoalan Tes #1: Gunakan fungsi RANDBETWEEN dengan batas bawah di sel C21 dan batas atas di sel C21!</t>
        </is>
      </c>
    </row>
    <row r="21">
      <c r="B21" s="19" t="inlineStr">
        <is>
          <t>Cabang Jakarta</t>
        </is>
      </c>
      <c r="C21" s="19" t="n">
        <v>100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500</v>
      </c>
      <c r="E22" s="28" t="n"/>
      <c r="F22" s="29">
        <f>IF(ISBLANK(E22), "⏳ Belum Diisi (Ketik Rumus di Sel Kuning E22)", IF(E22='99_KUNCI_JAWABAN'!F105,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10</v>
      </c>
    </row>
    <row r="24">
      <c r="B24" s="19" t="inlineStr">
        <is>
          <t>Cabang Medan</t>
        </is>
      </c>
      <c r="C24" s="19" t="n">
        <v>50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Undian</t>
        </is>
      </c>
      <c r="C28" s="14" t="inlineStr">
        <is>
          <t>Batas Nilai</t>
        </is>
      </c>
      <c r="E28" s="27" t="inlineStr">
        <is>
          <t>Persoalan Tes #2: Gunakan fungsi RANDBETWEEN dengan batas bawah di sel C29 dan batas atas di sel C29!</t>
        </is>
      </c>
    </row>
    <row r="29">
      <c r="B29" s="19" t="inlineStr">
        <is>
          <t>Budi Santoso</t>
        </is>
      </c>
      <c r="C29" s="19" t="n">
        <v>200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1000</v>
      </c>
      <c r="E30" s="28" t="n"/>
      <c r="F30" s="29">
        <f>IF(ISBLANK(E30), "⏳ Belum Diisi (Ketik Rumus di Sel Kuning E30)", IF(E30='99_KUNCI_JAWABAN'!F106,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10</v>
      </c>
    </row>
    <row r="32">
      <c r="B32" s="19" t="inlineStr">
        <is>
          <t>Rina Wijaya</t>
        </is>
      </c>
      <c r="C32" s="19" t="n">
        <v>50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Undian</t>
        </is>
      </c>
      <c r="C36" s="14" t="inlineStr">
        <is>
          <t>Batas Nilai</t>
        </is>
      </c>
      <c r="E36" s="27" t="inlineStr">
        <is>
          <t>Persoalan Tes #3: Gunakan fungsi RANDBETWEEN dengan batas bawah di sel C37 dan batas atas di sel C37!</t>
        </is>
      </c>
    </row>
    <row r="37">
      <c r="B37" s="19" t="inlineStr">
        <is>
          <t>Gudang Blok A</t>
        </is>
      </c>
      <c r="C37" s="19" t="n">
        <v>300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1500</v>
      </c>
      <c r="E38" s="28" t="n"/>
      <c r="F38" s="29">
        <f>IF(ISBLANK(E38), "⏳ Belum Diisi (Ketik Rumus di Sel Kuning E38)", IF(E38='99_KUNCI_JAWABAN'!F107,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10</v>
      </c>
    </row>
    <row r="40">
      <c r="B40" s="19" t="inlineStr">
        <is>
          <t>Gudang Blok D</t>
        </is>
      </c>
      <c r="C40" s="19" t="n">
        <v>50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Undian</t>
        </is>
      </c>
      <c r="C44" s="14" t="inlineStr">
        <is>
          <t>Batas Nilai</t>
        </is>
      </c>
      <c r="E44" s="27" t="inlineStr">
        <is>
          <t>Persoalan Tes #4: Gunakan fungsi RANDBETWEEN dengan batas bawah di sel C45 dan batas atas di sel C45!</t>
        </is>
      </c>
    </row>
    <row r="45">
      <c r="B45" s="19" t="inlineStr">
        <is>
          <t>Toko Elektronik</t>
        </is>
      </c>
      <c r="C45" s="19" t="n">
        <v>400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2000</v>
      </c>
      <c r="E46" s="28" t="n"/>
      <c r="F46" s="29">
        <f>IF(ISBLANK(E46), "⏳ Belum Diisi (Ketik Rumus di Sel Kuning E46)", IF(E46='99_KUNCI_JAWABAN'!F108,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10</v>
      </c>
    </row>
    <row r="48">
      <c r="B48" s="19" t="inlineStr">
        <is>
          <t>Toko Servis</t>
        </is>
      </c>
      <c r="C48" s="19" t="n">
        <v>50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Undian</t>
        </is>
      </c>
      <c r="C52" s="14" t="inlineStr">
        <is>
          <t>Batas Nilai</t>
        </is>
      </c>
      <c r="E52" s="27" t="inlineStr">
        <is>
          <t>Persoalan Tes #5: Gunakan fungsi RANDBETWEEN dengan batas bawah di sel C53 dan batas atas di sel C53!</t>
        </is>
      </c>
    </row>
    <row r="53">
      <c r="B53" s="19" t="inlineStr">
        <is>
          <t>Kelas 10 IPA</t>
        </is>
      </c>
      <c r="C53" s="19" t="n">
        <v>500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2500</v>
      </c>
      <c r="E54" s="28" t="n"/>
      <c r="F54" s="29">
        <f>IF(ISBLANK(E54), "⏳ Belum Diisi (Ketik Rumus di Sel Kuning E54)", IF(E54='99_KUNCI_JAWABAN'!F109,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10</v>
      </c>
    </row>
    <row r="56">
      <c r="B56" s="19" t="inlineStr">
        <is>
          <t>Kelas Unggulan</t>
        </is>
      </c>
      <c r="C56" s="19" t="n">
        <v>50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#022 — RUMUS EXCEL: SIGN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(SIGN)</t>
        </is>
      </c>
    </row>
    <row r="5" ht="21" customHeight="1">
      <c r="B5" s="14" t="inlineStr">
        <is>
          <t>Nama Rumus Excel</t>
        </is>
      </c>
      <c r="C5" s="15">
        <f>SIGN(...)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SIGN(angka)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Mendeteksi tanda bilangan: menghasilkan 1 jika positif, -1 jika negatif (rugi), dan 0 jika nol.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SIGN DI SINI)</t>
        </is>
      </c>
    </row>
    <row r="10">
      <c r="B10" s="18" t="inlineStr">
        <is>
          <t>Pos Audit</t>
        </is>
      </c>
      <c r="C10" s="18" t="inlineStr">
        <is>
          <t>Selisih Stok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-900</v>
      </c>
      <c r="E11" s="20" t="inlineStr">
        <is>
          <t>Contoh Soal:</t>
        </is>
      </c>
      <c r="F11" s="21" t="inlineStr">
        <is>
          <t>Evaluasi nilai selisih pada sel C11 (-900) menggunakan fungsi SIGN!</t>
        </is>
      </c>
      <c r="G11" s="5" t="n"/>
    </row>
    <row r="12">
      <c r="B12" s="19" t="inlineStr">
        <is>
          <t>Simulasi Unit B</t>
        </is>
      </c>
      <c r="C12" s="19" t="n">
        <v>1200</v>
      </c>
      <c r="E12" s="20" t="inlineStr">
        <is>
          <t>Contoh Rumus Benar:</t>
        </is>
      </c>
      <c r="F12" s="22" t="inlineStr">
        <is>
          <t>'=SIGN(C11)</t>
        </is>
      </c>
      <c r="G12" s="5" t="n"/>
    </row>
    <row r="13">
      <c r="B13" s="19" t="inlineStr">
        <is>
          <t>Simulasi Unit C</t>
        </is>
      </c>
      <c r="C13" s="19" t="n">
        <v>-450</v>
      </c>
      <c r="E13" s="20" t="inlineStr">
        <is>
          <t>Contoh Hasil Benar:</t>
        </is>
      </c>
      <c r="F13" s="23">
        <f>SIGN(C11)</f>
        <v/>
      </c>
      <c r="G13" s="5" t="n"/>
    </row>
    <row r="14">
      <c r="B14" s="19" t="inlineStr">
        <is>
          <t>Simulasi Unit D</t>
        </is>
      </c>
      <c r="C14" s="19" t="n">
        <v>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Pos Audit</t>
        </is>
      </c>
      <c r="C20" s="14" t="inlineStr">
        <is>
          <t>Selisih Stok</t>
        </is>
      </c>
      <c r="E20" s="27" t="inlineStr">
        <is>
          <t>Persoalan Tes #1: Evaluasi nilai selisih pada sel C21 (-150) menggunakan fungsi SIGN!</t>
        </is>
      </c>
    </row>
    <row r="21">
      <c r="B21" s="19" t="inlineStr">
        <is>
          <t>Cabang Jakarta</t>
        </is>
      </c>
      <c r="C21" s="19" t="n">
        <v>-150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200</v>
      </c>
      <c r="E22" s="28" t="n"/>
      <c r="F22" s="29">
        <f>IF(ISBLANK(E22), "⏳ Belum Diisi (Ketik Rumus di Sel Kuning E22)", IF(E22='99_KUNCI_JAWABAN'!F110,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-75</v>
      </c>
    </row>
    <row r="24">
      <c r="B24" s="19" t="inlineStr">
        <is>
          <t>Cabang Medan</t>
        </is>
      </c>
      <c r="C24" s="19" t="n">
        <v>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Pos Audit</t>
        </is>
      </c>
      <c r="C28" s="14" t="inlineStr">
        <is>
          <t>Selisih Stok</t>
        </is>
      </c>
      <c r="E28" s="27" t="inlineStr">
        <is>
          <t>Persoalan Tes #2: Evaluasi nilai selisih pada sel C29 (-300) menggunakan fungsi SIGN!</t>
        </is>
      </c>
    </row>
    <row r="29">
      <c r="B29" s="19" t="inlineStr">
        <is>
          <t>Budi Santoso</t>
        </is>
      </c>
      <c r="C29" s="19" t="n">
        <v>-300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400</v>
      </c>
      <c r="E30" s="28" t="n"/>
      <c r="F30" s="29">
        <f>IF(ISBLANK(E30), "⏳ Belum Diisi (Ketik Rumus di Sel Kuning E30)", IF(E30='99_KUNCI_JAWABAN'!F111,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-150</v>
      </c>
    </row>
    <row r="32">
      <c r="B32" s="19" t="inlineStr">
        <is>
          <t>Rina Wijaya</t>
        </is>
      </c>
      <c r="C32" s="19" t="n">
        <v>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Pos Audit</t>
        </is>
      </c>
      <c r="C36" s="14" t="inlineStr">
        <is>
          <t>Selisih Stok</t>
        </is>
      </c>
      <c r="E36" s="27" t="inlineStr">
        <is>
          <t>Persoalan Tes #3: Evaluasi nilai selisih pada sel C37 (-450) menggunakan fungsi SIGN!</t>
        </is>
      </c>
    </row>
    <row r="37">
      <c r="B37" s="19" t="inlineStr">
        <is>
          <t>Gudang Blok A</t>
        </is>
      </c>
      <c r="C37" s="19" t="n">
        <v>-450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600</v>
      </c>
      <c r="E38" s="28" t="n"/>
      <c r="F38" s="29">
        <f>IF(ISBLANK(E38), "⏳ Belum Diisi (Ketik Rumus di Sel Kuning E38)", IF(E38='99_KUNCI_JAWABAN'!F112,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-225</v>
      </c>
    </row>
    <row r="40">
      <c r="B40" s="19" t="inlineStr">
        <is>
          <t>Gudang Blok D</t>
        </is>
      </c>
      <c r="C40" s="19" t="n">
        <v>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Pos Audit</t>
        </is>
      </c>
      <c r="C44" s="14" t="inlineStr">
        <is>
          <t>Selisih Stok</t>
        </is>
      </c>
      <c r="E44" s="27" t="inlineStr">
        <is>
          <t>Persoalan Tes #4: Evaluasi nilai selisih pada sel C45 (-600) menggunakan fungsi SIGN!</t>
        </is>
      </c>
    </row>
    <row r="45">
      <c r="B45" s="19" t="inlineStr">
        <is>
          <t>Toko Elektronik</t>
        </is>
      </c>
      <c r="C45" s="19" t="n">
        <v>-600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800</v>
      </c>
      <c r="E46" s="28" t="n"/>
      <c r="F46" s="29">
        <f>IF(ISBLANK(E46), "⏳ Belum Diisi (Ketik Rumus di Sel Kuning E46)", IF(E46='99_KUNCI_JAWABAN'!F113,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-300</v>
      </c>
    </row>
    <row r="48">
      <c r="B48" s="19" t="inlineStr">
        <is>
          <t>Toko Servis</t>
        </is>
      </c>
      <c r="C48" s="19" t="n">
        <v>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Pos Audit</t>
        </is>
      </c>
      <c r="C52" s="14" t="inlineStr">
        <is>
          <t>Selisih Stok</t>
        </is>
      </c>
      <c r="E52" s="27" t="inlineStr">
        <is>
          <t>Persoalan Tes #5: Evaluasi nilai selisih pada sel C53 (-750) menggunakan fungsi SIGN!</t>
        </is>
      </c>
    </row>
    <row r="53">
      <c r="B53" s="19" t="inlineStr">
        <is>
          <t>Kelas 10 IPA</t>
        </is>
      </c>
      <c r="C53" s="19" t="n">
        <v>-750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1000</v>
      </c>
      <c r="E54" s="28" t="n"/>
      <c r="F54" s="29">
        <f>IF(ISBLANK(E54), "⏳ Belum Diisi (Ketik Rumus di Sel Kuning E54)", IF(E54='99_KUNCI_JAWABAN'!F114,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-375</v>
      </c>
    </row>
    <row r="56">
      <c r="B56" s="19" t="inlineStr">
        <is>
          <t>Kelas Unggulan</t>
        </is>
      </c>
      <c r="C56" s="19" t="n">
        <v>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#023 — RUMUS EXCEL: EVEN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(EVEN)</t>
        </is>
      </c>
    </row>
    <row r="5" ht="21" customHeight="1">
      <c r="B5" s="14" t="inlineStr">
        <is>
          <t>Nama Rumus Excel</t>
        </is>
      </c>
      <c r="C5" s="15">
        <f>EVEN(...)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EVEN(angka)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Membulatkan angka ke atas menuju bilangan GENAP terdekat (cocok untuk pengemasan barang berpasangan).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EVEN DI SINI)</t>
        </is>
      </c>
    </row>
    <row r="10">
      <c r="B10" s="18" t="inlineStr">
        <is>
          <t>Item Pengukuran</t>
        </is>
      </c>
      <c r="C10" s="18" t="inlineStr">
        <is>
          <t>Nilai Desimal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140.289</v>
      </c>
      <c r="E11" s="20" t="inlineStr">
        <is>
          <t>Contoh Soal:</t>
        </is>
      </c>
      <c r="F11" s="21" t="inlineStr">
        <is>
          <t>Bulatkan atau potong nilai desimal pada sel C11 (140.289) menggunakan fungsi EVEN tanpa argumen tambahan!</t>
        </is>
      </c>
      <c r="G11" s="5" t="n"/>
    </row>
    <row r="12">
      <c r="B12" s="19" t="inlineStr">
        <is>
          <t>Simulasi Unit B</t>
        </is>
      </c>
      <c r="C12" s="19" t="n">
        <v>89.345</v>
      </c>
      <c r="E12" s="20" t="inlineStr">
        <is>
          <t>Contoh Rumus Benar:</t>
        </is>
      </c>
      <c r="F12" s="22" t="inlineStr">
        <is>
          <t>'=EVEN(C11)</t>
        </is>
      </c>
      <c r="G12" s="5" t="n"/>
    </row>
    <row r="13">
      <c r="B13" s="19" t="inlineStr">
        <is>
          <t>Simulasi Unit C</t>
        </is>
      </c>
      <c r="C13" s="19" t="n">
        <v>45.678</v>
      </c>
      <c r="E13" s="20" t="inlineStr">
        <is>
          <t>Contoh Hasil Benar:</t>
        </is>
      </c>
      <c r="F13" s="23">
        <f>EVEN(C11)</f>
        <v/>
      </c>
      <c r="G13" s="5" t="n"/>
    </row>
    <row r="14">
      <c r="B14" s="19" t="inlineStr">
        <is>
          <t>Simulasi Unit D</t>
        </is>
      </c>
      <c r="C14" s="19" t="n">
        <v>19.99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 Pengukuran</t>
        </is>
      </c>
      <c r="C20" s="14" t="inlineStr">
        <is>
          <t>Nilai Desimal</t>
        </is>
      </c>
      <c r="E20" s="27" t="inlineStr">
        <is>
          <t>Persoalan Tes #1: Bulatkan atau potong nilai desimal pada sel C21 (124.789) menggunakan fungsi EVEN tanpa argumen tambahan!</t>
        </is>
      </c>
    </row>
    <row r="21">
      <c r="B21" s="19" t="inlineStr">
        <is>
          <t>Cabang Jakarta</t>
        </is>
      </c>
      <c r="C21" s="19" t="n">
        <v>124.789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89.345</v>
      </c>
      <c r="E22" s="28" t="n"/>
      <c r="F22" s="29">
        <f>IF(ISBLANK(E22), "⏳ Belum Diisi (Ketik Rumus di Sel Kuning E22)", IF(E22='99_KUNCI_JAWABAN'!F115,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45.678</v>
      </c>
    </row>
    <row r="24">
      <c r="B24" s="19" t="inlineStr">
        <is>
          <t>Cabang Medan</t>
        </is>
      </c>
      <c r="C24" s="19" t="n">
        <v>19.99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 Pengukuran</t>
        </is>
      </c>
      <c r="C28" s="14" t="inlineStr">
        <is>
          <t>Nilai Desimal</t>
        </is>
      </c>
      <c r="E28" s="27" t="inlineStr">
        <is>
          <t>Persoalan Tes #2: Bulatkan atau potong nilai desimal pada sel C29 (127.889) menggunakan fungsi EVEN tanpa argumen tambahan!</t>
        </is>
      </c>
    </row>
    <row r="29">
      <c r="B29" s="19" t="inlineStr">
        <is>
          <t>Budi Santoso</t>
        </is>
      </c>
      <c r="C29" s="19" t="n">
        <v>127.889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89.345</v>
      </c>
      <c r="E30" s="28" t="n"/>
      <c r="F30" s="29">
        <f>IF(ISBLANK(E30), "⏳ Belum Diisi (Ketik Rumus di Sel Kuning E30)", IF(E30='99_KUNCI_JAWABAN'!F116,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45.678</v>
      </c>
    </row>
    <row r="32">
      <c r="B32" s="19" t="inlineStr">
        <is>
          <t>Rina Wijaya</t>
        </is>
      </c>
      <c r="C32" s="19" t="n">
        <v>19.99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 Pengukuran</t>
        </is>
      </c>
      <c r="C36" s="14" t="inlineStr">
        <is>
          <t>Nilai Desimal</t>
        </is>
      </c>
      <c r="E36" s="27" t="inlineStr">
        <is>
          <t>Persoalan Tes #3: Bulatkan atau potong nilai desimal pada sel C37 (130.989) menggunakan fungsi EVEN tanpa argumen tambahan!</t>
        </is>
      </c>
    </row>
    <row r="37">
      <c r="B37" s="19" t="inlineStr">
        <is>
          <t>Gudang Blok A</t>
        </is>
      </c>
      <c r="C37" s="19" t="n">
        <v>130.989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89.345</v>
      </c>
      <c r="E38" s="28" t="n"/>
      <c r="F38" s="29">
        <f>IF(ISBLANK(E38), "⏳ Belum Diisi (Ketik Rumus di Sel Kuning E38)", IF(E38='99_KUNCI_JAWABAN'!F117,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45.678</v>
      </c>
    </row>
    <row r="40">
      <c r="B40" s="19" t="inlineStr">
        <is>
          <t>Gudang Blok D</t>
        </is>
      </c>
      <c r="C40" s="19" t="n">
        <v>19.99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 Pengukuran</t>
        </is>
      </c>
      <c r="C44" s="14" t="inlineStr">
        <is>
          <t>Nilai Desimal</t>
        </is>
      </c>
      <c r="E44" s="27" t="inlineStr">
        <is>
          <t>Persoalan Tes #4: Bulatkan atau potong nilai desimal pada sel C45 (134.089) menggunakan fungsi EVEN tanpa argumen tambahan!</t>
        </is>
      </c>
    </row>
    <row r="45">
      <c r="B45" s="19" t="inlineStr">
        <is>
          <t>Toko Elektronik</t>
        </is>
      </c>
      <c r="C45" s="19" t="n">
        <v>134.089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89.345</v>
      </c>
      <c r="E46" s="28" t="n"/>
      <c r="F46" s="29">
        <f>IF(ISBLANK(E46), "⏳ Belum Diisi (Ketik Rumus di Sel Kuning E46)", IF(E46='99_KUNCI_JAWABAN'!F118,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45.678</v>
      </c>
    </row>
    <row r="48">
      <c r="B48" s="19" t="inlineStr">
        <is>
          <t>Toko Servis</t>
        </is>
      </c>
      <c r="C48" s="19" t="n">
        <v>19.99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 Pengukuran</t>
        </is>
      </c>
      <c r="C52" s="14" t="inlineStr">
        <is>
          <t>Nilai Desimal</t>
        </is>
      </c>
      <c r="E52" s="27" t="inlineStr">
        <is>
          <t>Persoalan Tes #5: Bulatkan atau potong nilai desimal pada sel C53 (137.189) menggunakan fungsi EVEN tanpa argumen tambahan!</t>
        </is>
      </c>
    </row>
    <row r="53">
      <c r="B53" s="19" t="inlineStr">
        <is>
          <t>Kelas 10 IPA</t>
        </is>
      </c>
      <c r="C53" s="19" t="n">
        <v>137.189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89.345</v>
      </c>
      <c r="E54" s="28" t="n"/>
      <c r="F54" s="29">
        <f>IF(ISBLANK(E54), "⏳ Belum Diisi (Ketik Rumus di Sel Kuning E54)", IF(E54='99_KUNCI_JAWABAN'!F119,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45.678</v>
      </c>
    </row>
    <row r="56">
      <c r="B56" s="19" t="inlineStr">
        <is>
          <t>Kelas Unggulan</t>
        </is>
      </c>
      <c r="C56" s="19" t="n">
        <v>19.99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#024 — RUMUS EXCEL: ODD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(ODD)</t>
        </is>
      </c>
    </row>
    <row r="5" ht="21" customHeight="1">
      <c r="B5" s="14" t="inlineStr">
        <is>
          <t>Nama Rumus Excel</t>
        </is>
      </c>
      <c r="C5" s="15">
        <f>ODD(...)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ODD(angka)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Membulatkan angka ke atas menuju bilangan GANJIL terdekat.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ODD DI SINI)</t>
        </is>
      </c>
    </row>
    <row r="10">
      <c r="B10" s="18" t="inlineStr">
        <is>
          <t>Item Pengukuran</t>
        </is>
      </c>
      <c r="C10" s="18" t="inlineStr">
        <is>
          <t>Nilai Desimal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140.289</v>
      </c>
      <c r="E11" s="20" t="inlineStr">
        <is>
          <t>Contoh Soal:</t>
        </is>
      </c>
      <c r="F11" s="21" t="inlineStr">
        <is>
          <t>Bulatkan atau potong nilai desimal pada sel C11 (140.289) menggunakan fungsi ODD tanpa argumen tambahan!</t>
        </is>
      </c>
      <c r="G11" s="5" t="n"/>
    </row>
    <row r="12">
      <c r="B12" s="19" t="inlineStr">
        <is>
          <t>Simulasi Unit B</t>
        </is>
      </c>
      <c r="C12" s="19" t="n">
        <v>89.345</v>
      </c>
      <c r="E12" s="20" t="inlineStr">
        <is>
          <t>Contoh Rumus Benar:</t>
        </is>
      </c>
      <c r="F12" s="22" t="inlineStr">
        <is>
          <t>'=ODD(C11)</t>
        </is>
      </c>
      <c r="G12" s="5" t="n"/>
    </row>
    <row r="13">
      <c r="B13" s="19" t="inlineStr">
        <is>
          <t>Simulasi Unit C</t>
        </is>
      </c>
      <c r="C13" s="19" t="n">
        <v>45.678</v>
      </c>
      <c r="E13" s="20" t="inlineStr">
        <is>
          <t>Contoh Hasil Benar:</t>
        </is>
      </c>
      <c r="F13" s="23">
        <f>ODD(C11)</f>
        <v/>
      </c>
      <c r="G13" s="5" t="n"/>
    </row>
    <row r="14">
      <c r="B14" s="19" t="inlineStr">
        <is>
          <t>Simulasi Unit D</t>
        </is>
      </c>
      <c r="C14" s="19" t="n">
        <v>19.99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 Pengukuran</t>
        </is>
      </c>
      <c r="C20" s="14" t="inlineStr">
        <is>
          <t>Nilai Desimal</t>
        </is>
      </c>
      <c r="E20" s="27" t="inlineStr">
        <is>
          <t>Persoalan Tes #1: Bulatkan atau potong nilai desimal pada sel C21 (124.789) menggunakan fungsi ODD tanpa argumen tambahan!</t>
        </is>
      </c>
    </row>
    <row r="21">
      <c r="B21" s="19" t="inlineStr">
        <is>
          <t>Cabang Jakarta</t>
        </is>
      </c>
      <c r="C21" s="19" t="n">
        <v>124.789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89.345</v>
      </c>
      <c r="E22" s="28" t="n"/>
      <c r="F22" s="29">
        <f>IF(ISBLANK(E22), "⏳ Belum Diisi (Ketik Rumus di Sel Kuning E22)", IF(E22='99_KUNCI_JAWABAN'!F120,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45.678</v>
      </c>
    </row>
    <row r="24">
      <c r="B24" s="19" t="inlineStr">
        <is>
          <t>Cabang Medan</t>
        </is>
      </c>
      <c r="C24" s="19" t="n">
        <v>19.99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 Pengukuran</t>
        </is>
      </c>
      <c r="C28" s="14" t="inlineStr">
        <is>
          <t>Nilai Desimal</t>
        </is>
      </c>
      <c r="E28" s="27" t="inlineStr">
        <is>
          <t>Persoalan Tes #2: Bulatkan atau potong nilai desimal pada sel C29 (127.889) menggunakan fungsi ODD tanpa argumen tambahan!</t>
        </is>
      </c>
    </row>
    <row r="29">
      <c r="B29" s="19" t="inlineStr">
        <is>
          <t>Budi Santoso</t>
        </is>
      </c>
      <c r="C29" s="19" t="n">
        <v>127.889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89.345</v>
      </c>
      <c r="E30" s="28" t="n"/>
      <c r="F30" s="29">
        <f>IF(ISBLANK(E30), "⏳ Belum Diisi (Ketik Rumus di Sel Kuning E30)", IF(E30='99_KUNCI_JAWABAN'!F121,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45.678</v>
      </c>
    </row>
    <row r="32">
      <c r="B32" s="19" t="inlineStr">
        <is>
          <t>Rina Wijaya</t>
        </is>
      </c>
      <c r="C32" s="19" t="n">
        <v>19.99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 Pengukuran</t>
        </is>
      </c>
      <c r="C36" s="14" t="inlineStr">
        <is>
          <t>Nilai Desimal</t>
        </is>
      </c>
      <c r="E36" s="27" t="inlineStr">
        <is>
          <t>Persoalan Tes #3: Bulatkan atau potong nilai desimal pada sel C37 (130.989) menggunakan fungsi ODD tanpa argumen tambahan!</t>
        </is>
      </c>
    </row>
    <row r="37">
      <c r="B37" s="19" t="inlineStr">
        <is>
          <t>Gudang Blok A</t>
        </is>
      </c>
      <c r="C37" s="19" t="n">
        <v>130.989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89.345</v>
      </c>
      <c r="E38" s="28" t="n"/>
      <c r="F38" s="29">
        <f>IF(ISBLANK(E38), "⏳ Belum Diisi (Ketik Rumus di Sel Kuning E38)", IF(E38='99_KUNCI_JAWABAN'!F122,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45.678</v>
      </c>
    </row>
    <row r="40">
      <c r="B40" s="19" t="inlineStr">
        <is>
          <t>Gudang Blok D</t>
        </is>
      </c>
      <c r="C40" s="19" t="n">
        <v>19.99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 Pengukuran</t>
        </is>
      </c>
      <c r="C44" s="14" t="inlineStr">
        <is>
          <t>Nilai Desimal</t>
        </is>
      </c>
      <c r="E44" s="27" t="inlineStr">
        <is>
          <t>Persoalan Tes #4: Bulatkan atau potong nilai desimal pada sel C45 (134.089) menggunakan fungsi ODD tanpa argumen tambahan!</t>
        </is>
      </c>
    </row>
    <row r="45">
      <c r="B45" s="19" t="inlineStr">
        <is>
          <t>Toko Elektronik</t>
        </is>
      </c>
      <c r="C45" s="19" t="n">
        <v>134.089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89.345</v>
      </c>
      <c r="E46" s="28" t="n"/>
      <c r="F46" s="29">
        <f>IF(ISBLANK(E46), "⏳ Belum Diisi (Ketik Rumus di Sel Kuning E46)", IF(E46='99_KUNCI_JAWABAN'!F123,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45.678</v>
      </c>
    </row>
    <row r="48">
      <c r="B48" s="19" t="inlineStr">
        <is>
          <t>Toko Servis</t>
        </is>
      </c>
      <c r="C48" s="19" t="n">
        <v>19.99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 Pengukuran</t>
        </is>
      </c>
      <c r="C52" s="14" t="inlineStr">
        <is>
          <t>Nilai Desimal</t>
        </is>
      </c>
      <c r="E52" s="27" t="inlineStr">
        <is>
          <t>Persoalan Tes #5: Bulatkan atau potong nilai desimal pada sel C53 (137.189) menggunakan fungsi ODD tanpa argumen tambahan!</t>
        </is>
      </c>
    </row>
    <row r="53">
      <c r="B53" s="19" t="inlineStr">
        <is>
          <t>Kelas 10 IPA</t>
        </is>
      </c>
      <c r="C53" s="19" t="n">
        <v>137.189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89.345</v>
      </c>
      <c r="E54" s="28" t="n"/>
      <c r="F54" s="29">
        <f>IF(ISBLANK(E54), "⏳ Belum Diisi (Ketik Rumus di Sel Kuning E54)", IF(E54='99_KUNCI_JAWABAN'!F124,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45.678</v>
      </c>
    </row>
    <row r="56">
      <c r="B56" s="19" t="inlineStr">
        <is>
          <t>Kelas Unggulan</t>
        </is>
      </c>
      <c r="C56" s="19" t="n">
        <v>19.99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#025 — RUMUS EXCEL: FACT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(FACT)</t>
        </is>
      </c>
    </row>
    <row r="5" ht="21" customHeight="1">
      <c r="B5" s="14" t="inlineStr">
        <is>
          <t>Nama Rumus Excel</t>
        </is>
      </c>
      <c r="C5" s="15">
        <f>FACT(...)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FACT(angka)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nilai faktorial (n! = 1 × 2 × ... × n) untuk analisis kombinasi antrean atau jadwal.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FACT DI SINI)</t>
        </is>
      </c>
    </row>
    <row r="10">
      <c r="B10" s="18" t="inlineStr">
        <is>
          <t>Parameter Uji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3</v>
      </c>
      <c r="E11" s="20" t="inlineStr">
        <is>
          <t>Contoh Soal:</t>
        </is>
      </c>
      <c r="F11" s="21" t="inlineStr">
        <is>
          <t>Hitung hasil fungsi FACT untuk nilai input pada sel C11 (3)!</t>
        </is>
      </c>
      <c r="G11" s="5" t="n"/>
    </row>
    <row r="12">
      <c r="B12" s="19" t="inlineStr">
        <is>
          <t>Simulasi Unit B</t>
        </is>
      </c>
      <c r="C12" s="19" t="n">
        <v>5</v>
      </c>
      <c r="E12" s="20" t="inlineStr">
        <is>
          <t>Contoh Rumus Benar:</t>
        </is>
      </c>
      <c r="F12" s="22" t="inlineStr">
        <is>
          <t>'=FACT(C11)</t>
        </is>
      </c>
      <c r="G12" s="5" t="n"/>
    </row>
    <row r="13">
      <c r="B13" s="19" t="inlineStr">
        <is>
          <t>Simulasi Unit C</t>
        </is>
      </c>
      <c r="C13" s="19" t="n">
        <v>6</v>
      </c>
      <c r="E13" s="20" t="inlineStr">
        <is>
          <t>Contoh Hasil Benar:</t>
        </is>
      </c>
      <c r="F13" s="23">
        <f>FACT(C11)</f>
        <v/>
      </c>
      <c r="G13" s="5" t="n"/>
    </row>
    <row r="14">
      <c r="B14" s="19" t="inlineStr">
        <is>
          <t>Simulasi Unit D</t>
        </is>
      </c>
      <c r="C14" s="19" t="n">
        <v>4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Uji</t>
        </is>
      </c>
      <c r="C20" s="14" t="inlineStr">
        <is>
          <t>Nilai Input</t>
        </is>
      </c>
      <c r="E20" s="27" t="inlineStr">
        <is>
          <t>Persoalan Tes #1: Hitung hasil fungsi FACT untuk nilai input pada sel C21 (3)!</t>
        </is>
      </c>
    </row>
    <row r="21">
      <c r="B21" s="19" t="inlineStr">
        <is>
          <t>Cabang Jakarta</t>
        </is>
      </c>
      <c r="C21" s="19" t="n">
        <v>3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5</v>
      </c>
      <c r="E22" s="28" t="n"/>
      <c r="F22" s="29">
        <f>IF(ISBLANK(E22), "⏳ Belum Diisi (Ketik Rumus di Sel Kuning E22)", IF(E22='99_KUNCI_JAWABAN'!F125,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6</v>
      </c>
    </row>
    <row r="24">
      <c r="B24" s="19" t="inlineStr">
        <is>
          <t>Cabang Medan</t>
        </is>
      </c>
      <c r="C24" s="19" t="n">
        <v>4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Uji</t>
        </is>
      </c>
      <c r="C28" s="14" t="inlineStr">
        <is>
          <t>Nilai Input</t>
        </is>
      </c>
      <c r="E28" s="27" t="inlineStr">
        <is>
          <t>Persoalan Tes #2: Hitung hasil fungsi FACT untuk nilai input pada sel C29 (4)!</t>
        </is>
      </c>
    </row>
    <row r="29">
      <c r="B29" s="19" t="inlineStr">
        <is>
          <t>Budi Santoso</t>
        </is>
      </c>
      <c r="C29" s="19" t="n">
        <v>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</v>
      </c>
      <c r="E30" s="28" t="n"/>
      <c r="F30" s="29">
        <f>IF(ISBLANK(E30), "⏳ Belum Diisi (Ketik Rumus di Sel Kuning E30)", IF(E30='99_KUNCI_JAWABAN'!F126,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6</v>
      </c>
    </row>
    <row r="32">
      <c r="B32" s="19" t="inlineStr">
        <is>
          <t>Rina Wijaya</t>
        </is>
      </c>
      <c r="C32" s="19" t="n">
        <v>4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Uji</t>
        </is>
      </c>
      <c r="C36" s="14" t="inlineStr">
        <is>
          <t>Nilai Input</t>
        </is>
      </c>
      <c r="E36" s="27" t="inlineStr">
        <is>
          <t>Persoalan Tes #3: Hitung hasil fungsi FACT untuk nilai input pada sel C37 (5)!</t>
        </is>
      </c>
    </row>
    <row r="37">
      <c r="B37" s="19" t="inlineStr">
        <is>
          <t>Gudang Blok A</t>
        </is>
      </c>
      <c r="C37" s="19" t="n">
        <v>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5</v>
      </c>
      <c r="E38" s="28" t="n"/>
      <c r="F38" s="29">
        <f>IF(ISBLANK(E38), "⏳ Belum Diisi (Ketik Rumus di Sel Kuning E38)", IF(E38='99_KUNCI_JAWABAN'!F127,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6</v>
      </c>
    </row>
    <row r="40">
      <c r="B40" s="19" t="inlineStr">
        <is>
          <t>Gudang Blok D</t>
        </is>
      </c>
      <c r="C40" s="19" t="n">
        <v>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Uji</t>
        </is>
      </c>
      <c r="C44" s="14" t="inlineStr">
        <is>
          <t>Nilai Input</t>
        </is>
      </c>
      <c r="E44" s="27" t="inlineStr">
        <is>
          <t>Persoalan Tes #4: Hitung hasil fungsi FACT untuk nilai input pada sel C45 (6)!</t>
        </is>
      </c>
    </row>
    <row r="45">
      <c r="B45" s="19" t="inlineStr">
        <is>
          <t>Toko Elektronik</t>
        </is>
      </c>
      <c r="C45" s="19" t="n">
        <v>6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5</v>
      </c>
      <c r="E46" s="28" t="n"/>
      <c r="F46" s="29">
        <f>IF(ISBLANK(E46), "⏳ Belum Diisi (Ketik Rumus di Sel Kuning E46)", IF(E46='99_KUNCI_JAWABAN'!F128,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6</v>
      </c>
    </row>
    <row r="48">
      <c r="B48" s="19" t="inlineStr">
        <is>
          <t>Toko Servis</t>
        </is>
      </c>
      <c r="C48" s="19" t="n">
        <v>4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Uji</t>
        </is>
      </c>
      <c r="C52" s="14" t="inlineStr">
        <is>
          <t>Nilai Input</t>
        </is>
      </c>
      <c r="E52" s="27" t="inlineStr">
        <is>
          <t>Persoalan Tes #5: Hitung hasil fungsi FACT untuk nilai input pada sel C53 (7)!</t>
        </is>
      </c>
    </row>
    <row r="53">
      <c r="B53" s="19" t="inlineStr">
        <is>
          <t>Kelas 10 IPA</t>
        </is>
      </c>
      <c r="C53" s="19" t="n">
        <v>7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5</v>
      </c>
      <c r="E54" s="28" t="n"/>
      <c r="F54" s="29">
        <f>IF(ISBLANK(E54), "⏳ Belum Diisi (Ketik Rumus di Sel Kuning E54)", IF(E54='99_KUNCI_JAWABAN'!F129,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6</v>
      </c>
    </row>
    <row r="56">
      <c r="B56" s="19" t="inlineStr">
        <is>
          <t>Kelas Unggulan</t>
        </is>
      </c>
      <c r="C56" s="19" t="n">
        <v>4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#026 — RUMUS EXCEL: GCD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(GCD)</t>
        </is>
      </c>
    </row>
    <row r="5" ht="21" customHeight="1">
      <c r="B5" s="14" t="inlineStr">
        <is>
          <t>Nama Rumus Excel</t>
        </is>
      </c>
      <c r="C5" s="15">
        <f>GCD(...)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GCD(angka1, angka2)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Faktor Persekutuan Terbesar (FPB) dari dua angka untuk membagi paket bingkisan sama rata.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GCD DI SINI)</t>
        </is>
      </c>
    </row>
    <row r="10">
      <c r="B10" s="18" t="inlineStr">
        <is>
          <t>Angka Pertama (B)</t>
        </is>
      </c>
      <c r="C10" s="18" t="inlineStr">
        <is>
          <t>Angka Kedua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55</v>
      </c>
      <c r="C11" s="19" t="n">
        <v>4</v>
      </c>
      <c r="E11" s="20" t="inlineStr">
        <is>
          <t>Contoh Soal:</t>
        </is>
      </c>
      <c r="F11" s="21" t="inlineStr">
        <is>
          <t>Terapkan fungsi GCD dengan mengambil angka pertama di sel B11 (55) dan angka kedua di sel C11 (4)!</t>
        </is>
      </c>
      <c r="G11" s="5" t="n"/>
    </row>
    <row r="12">
      <c r="B12" s="19" t="n">
        <v>18</v>
      </c>
      <c r="C12" s="19" t="n">
        <v>5</v>
      </c>
      <c r="E12" s="20" t="inlineStr">
        <is>
          <t>Contoh Rumus Benar:</t>
        </is>
      </c>
      <c r="F12" s="22" t="inlineStr">
        <is>
          <t>'=GCD(B11, C11)</t>
        </is>
      </c>
      <c r="G12" s="5" t="n"/>
    </row>
    <row r="13">
      <c r="B13" s="19" t="n">
        <v>32</v>
      </c>
      <c r="C13" s="19" t="n">
        <v>6</v>
      </c>
      <c r="E13" s="20" t="inlineStr">
        <is>
          <t>Contoh Hasil Benar:</t>
        </is>
      </c>
      <c r="F13" s="23">
        <f>GCD(B11, C11)</f>
        <v/>
      </c>
      <c r="G13" s="5" t="n"/>
    </row>
    <row r="14">
      <c r="B14" s="19" t="n">
        <v>40</v>
      </c>
      <c r="C14" s="19" t="n">
        <v>7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Angka Pertama (B)</t>
        </is>
      </c>
      <c r="C20" s="14" t="inlineStr">
        <is>
          <t>Angka Kedua (C)</t>
        </is>
      </c>
      <c r="E20" s="27" t="inlineStr">
        <is>
          <t>Persoalan Tes #1: Terapkan fungsi GCD dengan mengambil angka pertama di sel B21 (25) dan angka kedua di sel C21 (4)!</t>
        </is>
      </c>
    </row>
    <row r="21">
      <c r="B21" s="19" t="n">
        <v>25</v>
      </c>
      <c r="C21" s="19" t="n">
        <v>4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18</v>
      </c>
      <c r="C22" s="19" t="n">
        <v>5</v>
      </c>
      <c r="E22" s="28" t="n"/>
      <c r="F22" s="29">
        <f>IF(ISBLANK(E22), "⏳ Belum Diisi (Ketik Rumus di Sel Kuning E22)", IF(E22='99_KUNCI_JAWABAN'!F130, "✅ BENAR! JAWABAN TES TEPAT!", "❌ Belum Tepat (Cek Sheet Akhir: 99_KUNCI_JAWABAN)"))</f>
        <v/>
      </c>
      <c r="G22" s="5" t="n"/>
    </row>
    <row r="23">
      <c r="B23" s="19" t="n">
        <v>32</v>
      </c>
      <c r="C23" s="19" t="n">
        <v>6</v>
      </c>
    </row>
    <row r="24">
      <c r="B24" s="19" t="n">
        <v>40</v>
      </c>
      <c r="C24" s="19" t="n">
        <v>7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Angka Pertama (B)</t>
        </is>
      </c>
      <c r="C28" s="14" t="inlineStr">
        <is>
          <t>Angka Kedua (C)</t>
        </is>
      </c>
      <c r="E28" s="27" t="inlineStr">
        <is>
          <t>Persoalan Tes #2: Terapkan fungsi GCD dengan mengambil angka pertama di sel B29 (31) dan angka kedua di sel C29 (4)!</t>
        </is>
      </c>
    </row>
    <row r="29">
      <c r="B29" s="19" t="n">
        <v>31</v>
      </c>
      <c r="C29" s="19" t="n">
        <v>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18</v>
      </c>
      <c r="C30" s="19" t="n">
        <v>5</v>
      </c>
      <c r="E30" s="28" t="n"/>
      <c r="F30" s="29">
        <f>IF(ISBLANK(E30), "⏳ Belum Diisi (Ketik Rumus di Sel Kuning E30)", IF(E30='99_KUNCI_JAWABAN'!F131, "✅ BENAR! JAWABAN TES TEPAT!", "❌ Belum Tepat (Cek Sheet Akhir: 99_KUNCI_JAWABAN)"))</f>
        <v/>
      </c>
      <c r="G30" s="5" t="n"/>
    </row>
    <row r="31">
      <c r="B31" s="19" t="n">
        <v>32</v>
      </c>
      <c r="C31" s="19" t="n">
        <v>6</v>
      </c>
    </row>
    <row r="32">
      <c r="B32" s="19" t="n">
        <v>40</v>
      </c>
      <c r="C32" s="19" t="n">
        <v>7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Angka Pertama (B)</t>
        </is>
      </c>
      <c r="C36" s="14" t="inlineStr">
        <is>
          <t>Angka Kedua (C)</t>
        </is>
      </c>
      <c r="E36" s="27" t="inlineStr">
        <is>
          <t>Persoalan Tes #3: Terapkan fungsi GCD dengan mengambil angka pertama di sel B37 (37) dan angka kedua di sel C37 (4)!</t>
        </is>
      </c>
    </row>
    <row r="37">
      <c r="B37" s="19" t="n">
        <v>37</v>
      </c>
      <c r="C37" s="19" t="n">
        <v>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18</v>
      </c>
      <c r="C38" s="19" t="n">
        <v>5</v>
      </c>
      <c r="E38" s="28" t="n"/>
      <c r="F38" s="29">
        <f>IF(ISBLANK(E38), "⏳ Belum Diisi (Ketik Rumus di Sel Kuning E38)", IF(E38='99_KUNCI_JAWABAN'!F132, "✅ BENAR! JAWABAN TES TEPAT!", "❌ Belum Tepat (Cek Sheet Akhir: 99_KUNCI_JAWABAN)"))</f>
        <v/>
      </c>
      <c r="G38" s="5" t="n"/>
    </row>
    <row r="39">
      <c r="B39" s="19" t="n">
        <v>32</v>
      </c>
      <c r="C39" s="19" t="n">
        <v>6</v>
      </c>
    </row>
    <row r="40">
      <c r="B40" s="19" t="n">
        <v>40</v>
      </c>
      <c r="C40" s="19" t="n">
        <v>7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Angka Pertama (B)</t>
        </is>
      </c>
      <c r="C44" s="14" t="inlineStr">
        <is>
          <t>Angka Kedua (C)</t>
        </is>
      </c>
      <c r="E44" s="27" t="inlineStr">
        <is>
          <t>Persoalan Tes #4: Terapkan fungsi GCD dengan mengambil angka pertama di sel B45 (43) dan angka kedua di sel C45 (4)!</t>
        </is>
      </c>
    </row>
    <row r="45">
      <c r="B45" s="19" t="n">
        <v>43</v>
      </c>
      <c r="C45" s="19" t="n">
        <v>4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18</v>
      </c>
      <c r="C46" s="19" t="n">
        <v>5</v>
      </c>
      <c r="E46" s="28" t="n"/>
      <c r="F46" s="29">
        <f>IF(ISBLANK(E46), "⏳ Belum Diisi (Ketik Rumus di Sel Kuning E46)", IF(E46='99_KUNCI_JAWABAN'!F133, "✅ BENAR! JAWABAN TES TEPAT!", "❌ Belum Tepat (Cek Sheet Akhir: 99_KUNCI_JAWABAN)"))</f>
        <v/>
      </c>
      <c r="G46" s="5" t="n"/>
    </row>
    <row r="47">
      <c r="B47" s="19" t="n">
        <v>32</v>
      </c>
      <c r="C47" s="19" t="n">
        <v>6</v>
      </c>
    </row>
    <row r="48">
      <c r="B48" s="19" t="n">
        <v>40</v>
      </c>
      <c r="C48" s="19" t="n">
        <v>7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Angka Pertama (B)</t>
        </is>
      </c>
      <c r="C52" s="14" t="inlineStr">
        <is>
          <t>Angka Kedua (C)</t>
        </is>
      </c>
      <c r="E52" s="27" t="inlineStr">
        <is>
          <t>Persoalan Tes #5: Terapkan fungsi GCD dengan mengambil angka pertama di sel B53 (49) dan angka kedua di sel C53 (4)!</t>
        </is>
      </c>
    </row>
    <row r="53">
      <c r="B53" s="19" t="n">
        <v>49</v>
      </c>
      <c r="C53" s="19" t="n">
        <v>4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18</v>
      </c>
      <c r="C54" s="19" t="n">
        <v>5</v>
      </c>
      <c r="E54" s="28" t="n"/>
      <c r="F54" s="29">
        <f>IF(ISBLANK(E54), "⏳ Belum Diisi (Ketik Rumus di Sel Kuning E54)", IF(E54='99_KUNCI_JAWABAN'!F134, "✅ BENAR! JAWABAN TES TEPAT!", "❌ Belum Tepat (Cek Sheet Akhir: 99_KUNCI_JAWABAN)"))</f>
        <v/>
      </c>
      <c r="G54" s="5" t="n"/>
    </row>
    <row r="55">
      <c r="B55" s="19" t="n">
        <v>32</v>
      </c>
      <c r="C55" s="19" t="n">
        <v>6</v>
      </c>
    </row>
    <row r="56">
      <c r="B56" s="19" t="n">
        <v>40</v>
      </c>
      <c r="C56" s="19" t="n">
        <v>7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#027 — RUMUS EXCEL: LCM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(LCM)</t>
        </is>
      </c>
    </row>
    <row r="5" ht="21" customHeight="1">
      <c r="B5" s="14" t="inlineStr">
        <is>
          <t>Nama Rumus Excel</t>
        </is>
      </c>
      <c r="C5" s="15">
        <f>LCM(...)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LCM(angka1, angka2)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Kelipatan Persekutuan Terkecil (KPK) untuk menghitung jadwal pertemuan dua siklus perawatan mesin.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LCM DI SINI)</t>
        </is>
      </c>
    </row>
    <row r="10">
      <c r="B10" s="18" t="inlineStr">
        <is>
          <t>Angka Pertama (B)</t>
        </is>
      </c>
      <c r="C10" s="18" t="inlineStr">
        <is>
          <t>Angka Kedua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55</v>
      </c>
      <c r="C11" s="19" t="n">
        <v>4</v>
      </c>
      <c r="E11" s="20" t="inlineStr">
        <is>
          <t>Contoh Soal:</t>
        </is>
      </c>
      <c r="F11" s="21" t="inlineStr">
        <is>
          <t>Terapkan fungsi LCM dengan mengambil angka pertama di sel B11 (55) dan angka kedua di sel C11 (4)!</t>
        </is>
      </c>
      <c r="G11" s="5" t="n"/>
    </row>
    <row r="12">
      <c r="B12" s="19" t="n">
        <v>18</v>
      </c>
      <c r="C12" s="19" t="n">
        <v>5</v>
      </c>
      <c r="E12" s="20" t="inlineStr">
        <is>
          <t>Contoh Rumus Benar:</t>
        </is>
      </c>
      <c r="F12" s="22" t="inlineStr">
        <is>
          <t>'=LCM(B11, C11)</t>
        </is>
      </c>
      <c r="G12" s="5" t="n"/>
    </row>
    <row r="13">
      <c r="B13" s="19" t="n">
        <v>32</v>
      </c>
      <c r="C13" s="19" t="n">
        <v>6</v>
      </c>
      <c r="E13" s="20" t="inlineStr">
        <is>
          <t>Contoh Hasil Benar:</t>
        </is>
      </c>
      <c r="F13" s="23">
        <f>LCM(B11, C11)</f>
        <v/>
      </c>
      <c r="G13" s="5" t="n"/>
    </row>
    <row r="14">
      <c r="B14" s="19" t="n">
        <v>40</v>
      </c>
      <c r="C14" s="19" t="n">
        <v>7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Angka Pertama (B)</t>
        </is>
      </c>
      <c r="C20" s="14" t="inlineStr">
        <is>
          <t>Angka Kedua (C)</t>
        </is>
      </c>
      <c r="E20" s="27" t="inlineStr">
        <is>
          <t>Persoalan Tes #1: Terapkan fungsi LCM dengan mengambil angka pertama di sel B21 (25) dan angka kedua di sel C21 (4)!</t>
        </is>
      </c>
    </row>
    <row r="21">
      <c r="B21" s="19" t="n">
        <v>25</v>
      </c>
      <c r="C21" s="19" t="n">
        <v>4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18</v>
      </c>
      <c r="C22" s="19" t="n">
        <v>5</v>
      </c>
      <c r="E22" s="28" t="n"/>
      <c r="F22" s="29">
        <f>IF(ISBLANK(E22), "⏳ Belum Diisi (Ketik Rumus di Sel Kuning E22)", IF(E22='99_KUNCI_JAWABAN'!F135, "✅ BENAR! JAWABAN TES TEPAT!", "❌ Belum Tepat (Cek Sheet Akhir: 99_KUNCI_JAWABAN)"))</f>
        <v/>
      </c>
      <c r="G22" s="5" t="n"/>
    </row>
    <row r="23">
      <c r="B23" s="19" t="n">
        <v>32</v>
      </c>
      <c r="C23" s="19" t="n">
        <v>6</v>
      </c>
    </row>
    <row r="24">
      <c r="B24" s="19" t="n">
        <v>40</v>
      </c>
      <c r="C24" s="19" t="n">
        <v>7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Angka Pertama (B)</t>
        </is>
      </c>
      <c r="C28" s="14" t="inlineStr">
        <is>
          <t>Angka Kedua (C)</t>
        </is>
      </c>
      <c r="E28" s="27" t="inlineStr">
        <is>
          <t>Persoalan Tes #2: Terapkan fungsi LCM dengan mengambil angka pertama di sel B29 (31) dan angka kedua di sel C29 (4)!</t>
        </is>
      </c>
    </row>
    <row r="29">
      <c r="B29" s="19" t="n">
        <v>31</v>
      </c>
      <c r="C29" s="19" t="n">
        <v>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18</v>
      </c>
      <c r="C30" s="19" t="n">
        <v>5</v>
      </c>
      <c r="E30" s="28" t="n"/>
      <c r="F30" s="29">
        <f>IF(ISBLANK(E30), "⏳ Belum Diisi (Ketik Rumus di Sel Kuning E30)", IF(E30='99_KUNCI_JAWABAN'!F136, "✅ BENAR! JAWABAN TES TEPAT!", "❌ Belum Tepat (Cek Sheet Akhir: 99_KUNCI_JAWABAN)"))</f>
        <v/>
      </c>
      <c r="G30" s="5" t="n"/>
    </row>
    <row r="31">
      <c r="B31" s="19" t="n">
        <v>32</v>
      </c>
      <c r="C31" s="19" t="n">
        <v>6</v>
      </c>
    </row>
    <row r="32">
      <c r="B32" s="19" t="n">
        <v>40</v>
      </c>
      <c r="C32" s="19" t="n">
        <v>7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Angka Pertama (B)</t>
        </is>
      </c>
      <c r="C36" s="14" t="inlineStr">
        <is>
          <t>Angka Kedua (C)</t>
        </is>
      </c>
      <c r="E36" s="27" t="inlineStr">
        <is>
          <t>Persoalan Tes #3: Terapkan fungsi LCM dengan mengambil angka pertama di sel B37 (37) dan angka kedua di sel C37 (4)!</t>
        </is>
      </c>
    </row>
    <row r="37">
      <c r="B37" s="19" t="n">
        <v>37</v>
      </c>
      <c r="C37" s="19" t="n">
        <v>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18</v>
      </c>
      <c r="C38" s="19" t="n">
        <v>5</v>
      </c>
      <c r="E38" s="28" t="n"/>
      <c r="F38" s="29">
        <f>IF(ISBLANK(E38), "⏳ Belum Diisi (Ketik Rumus di Sel Kuning E38)", IF(E38='99_KUNCI_JAWABAN'!F137, "✅ BENAR! JAWABAN TES TEPAT!", "❌ Belum Tepat (Cek Sheet Akhir: 99_KUNCI_JAWABAN)"))</f>
        <v/>
      </c>
      <c r="G38" s="5" t="n"/>
    </row>
    <row r="39">
      <c r="B39" s="19" t="n">
        <v>32</v>
      </c>
      <c r="C39" s="19" t="n">
        <v>6</v>
      </c>
    </row>
    <row r="40">
      <c r="B40" s="19" t="n">
        <v>40</v>
      </c>
      <c r="C40" s="19" t="n">
        <v>7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Angka Pertama (B)</t>
        </is>
      </c>
      <c r="C44" s="14" t="inlineStr">
        <is>
          <t>Angka Kedua (C)</t>
        </is>
      </c>
      <c r="E44" s="27" t="inlineStr">
        <is>
          <t>Persoalan Tes #4: Terapkan fungsi LCM dengan mengambil angka pertama di sel B45 (43) dan angka kedua di sel C45 (4)!</t>
        </is>
      </c>
    </row>
    <row r="45">
      <c r="B45" s="19" t="n">
        <v>43</v>
      </c>
      <c r="C45" s="19" t="n">
        <v>4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18</v>
      </c>
      <c r="C46" s="19" t="n">
        <v>5</v>
      </c>
      <c r="E46" s="28" t="n"/>
      <c r="F46" s="29">
        <f>IF(ISBLANK(E46), "⏳ Belum Diisi (Ketik Rumus di Sel Kuning E46)", IF(E46='99_KUNCI_JAWABAN'!F138, "✅ BENAR! JAWABAN TES TEPAT!", "❌ Belum Tepat (Cek Sheet Akhir: 99_KUNCI_JAWABAN)"))</f>
        <v/>
      </c>
      <c r="G46" s="5" t="n"/>
    </row>
    <row r="47">
      <c r="B47" s="19" t="n">
        <v>32</v>
      </c>
      <c r="C47" s="19" t="n">
        <v>6</v>
      </c>
    </row>
    <row r="48">
      <c r="B48" s="19" t="n">
        <v>40</v>
      </c>
      <c r="C48" s="19" t="n">
        <v>7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Angka Pertama (B)</t>
        </is>
      </c>
      <c r="C52" s="14" t="inlineStr">
        <is>
          <t>Angka Kedua (C)</t>
        </is>
      </c>
      <c r="E52" s="27" t="inlineStr">
        <is>
          <t>Persoalan Tes #5: Terapkan fungsi LCM dengan mengambil angka pertama di sel B53 (49) dan angka kedua di sel C53 (4)!</t>
        </is>
      </c>
    </row>
    <row r="53">
      <c r="B53" s="19" t="n">
        <v>49</v>
      </c>
      <c r="C53" s="19" t="n">
        <v>4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18</v>
      </c>
      <c r="C54" s="19" t="n">
        <v>5</v>
      </c>
      <c r="E54" s="28" t="n"/>
      <c r="F54" s="29">
        <f>IF(ISBLANK(E54), "⏳ Belum Diisi (Ketik Rumus di Sel Kuning E54)", IF(E54='99_KUNCI_JAWABAN'!F139, "✅ BENAR! JAWABAN TES TEPAT!", "❌ Belum Tepat (Cek Sheet Akhir: 99_KUNCI_JAWABAN)"))</f>
        <v/>
      </c>
      <c r="G54" s="5" t="n"/>
    </row>
    <row r="55">
      <c r="B55" s="19" t="n">
        <v>32</v>
      </c>
      <c r="C55" s="19" t="n">
        <v>6</v>
      </c>
    </row>
    <row r="56">
      <c r="B56" s="19" t="n">
        <v>40</v>
      </c>
      <c r="C56" s="19" t="n">
        <v>7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#028 — RUMUS EXCEL: ROMAN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(ROMAN)</t>
        </is>
      </c>
    </row>
    <row r="5" ht="21" customHeight="1">
      <c r="B5" s="14" t="inlineStr">
        <is>
          <t>Nama Rumus Excel</t>
        </is>
      </c>
      <c r="C5" s="15">
        <f>ROMAN(...)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ROMAN(angka)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Mengubah angka biasa (1, 2, 3...) menjadi angka Romawi (I, II, III, IV...) untuk penomoran bab laporan atau surat resmi.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ROMAN DI SINI)</t>
        </is>
      </c>
    </row>
    <row r="10">
      <c r="B10" s="18" t="inlineStr">
        <is>
          <t>Parameter Uji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37</v>
      </c>
      <c r="E11" s="20" t="inlineStr">
        <is>
          <t>Contoh Soal:</t>
        </is>
      </c>
      <c r="F11" s="21" t="inlineStr">
        <is>
          <t>Hitung hasil fungsi ROMAN untuk nilai input pada sel C11 (37)!</t>
        </is>
      </c>
      <c r="G11" s="5" t="n"/>
    </row>
    <row r="12">
      <c r="B12" s="19" t="inlineStr">
        <is>
          <t>Simulasi Unit B</t>
        </is>
      </c>
      <c r="C12" s="19" t="n">
        <v>25</v>
      </c>
      <c r="E12" s="20" t="inlineStr">
        <is>
          <t>Contoh Rumus Benar:</t>
        </is>
      </c>
      <c r="F12" s="22" t="inlineStr">
        <is>
          <t>'=ROMAN(C11)</t>
        </is>
      </c>
      <c r="G12" s="5" t="n"/>
    </row>
    <row r="13">
      <c r="B13" s="19" t="inlineStr">
        <is>
          <t>Simulasi Unit C</t>
        </is>
      </c>
      <c r="C13" s="19" t="n">
        <v>49</v>
      </c>
      <c r="E13" s="20" t="inlineStr">
        <is>
          <t>Contoh Hasil Benar:</t>
        </is>
      </c>
      <c r="F13" s="23">
        <f>ROMAN(C11)</f>
        <v/>
      </c>
      <c r="G13" s="5" t="n"/>
    </row>
    <row r="14">
      <c r="B14" s="19" t="inlineStr">
        <is>
          <t>Simulasi Unit D</t>
        </is>
      </c>
      <c r="C14" s="19" t="n">
        <v>100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Uji</t>
        </is>
      </c>
      <c r="C20" s="14" t="inlineStr">
        <is>
          <t>Nilai Input</t>
        </is>
      </c>
      <c r="E20" s="27" t="inlineStr">
        <is>
          <t>Persoalan Tes #1: Hitung hasil fungsi ROMAN untuk nilai input pada sel C21 (12)!</t>
        </is>
      </c>
    </row>
    <row r="21">
      <c r="B21" s="19" t="inlineStr">
        <is>
          <t>Cabang Jakarta</t>
        </is>
      </c>
      <c r="C21" s="19" t="n">
        <v>12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25</v>
      </c>
      <c r="E22" s="28" t="n"/>
      <c r="F22" s="29">
        <f>IF(ISBLANK(E22), "⏳ Belum Diisi (Ketik Rumus di Sel Kuning E22)", IF(E22='99_KUNCI_JAWABAN'!F140,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49</v>
      </c>
    </row>
    <row r="24">
      <c r="B24" s="19" t="inlineStr">
        <is>
          <t>Cabang Medan</t>
        </is>
      </c>
      <c r="C24" s="19" t="n">
        <v>100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Uji</t>
        </is>
      </c>
      <c r="C28" s="14" t="inlineStr">
        <is>
          <t>Nilai Input</t>
        </is>
      </c>
      <c r="E28" s="27" t="inlineStr">
        <is>
          <t>Persoalan Tes #2: Hitung hasil fungsi ROMAN untuk nilai input pada sel C29 (17)!</t>
        </is>
      </c>
    </row>
    <row r="29">
      <c r="B29" s="19" t="inlineStr">
        <is>
          <t>Budi Santoso</t>
        </is>
      </c>
      <c r="C29" s="19" t="n">
        <v>17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25</v>
      </c>
      <c r="E30" s="28" t="n"/>
      <c r="F30" s="29">
        <f>IF(ISBLANK(E30), "⏳ Belum Diisi (Ketik Rumus di Sel Kuning E30)", IF(E30='99_KUNCI_JAWABAN'!F141,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49</v>
      </c>
    </row>
    <row r="32">
      <c r="B32" s="19" t="inlineStr">
        <is>
          <t>Rina Wijaya</t>
        </is>
      </c>
      <c r="C32" s="19" t="n">
        <v>100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Uji</t>
        </is>
      </c>
      <c r="C36" s="14" t="inlineStr">
        <is>
          <t>Nilai Input</t>
        </is>
      </c>
      <c r="E36" s="27" t="inlineStr">
        <is>
          <t>Persoalan Tes #3: Hitung hasil fungsi ROMAN untuk nilai input pada sel C37 (22)!</t>
        </is>
      </c>
    </row>
    <row r="37">
      <c r="B37" s="19" t="inlineStr">
        <is>
          <t>Gudang Blok A</t>
        </is>
      </c>
      <c r="C37" s="19" t="n">
        <v>22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25</v>
      </c>
      <c r="E38" s="28" t="n"/>
      <c r="F38" s="29">
        <f>IF(ISBLANK(E38), "⏳ Belum Diisi (Ketik Rumus di Sel Kuning E38)", IF(E38='99_KUNCI_JAWABAN'!F142,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49</v>
      </c>
    </row>
    <row r="40">
      <c r="B40" s="19" t="inlineStr">
        <is>
          <t>Gudang Blok D</t>
        </is>
      </c>
      <c r="C40" s="19" t="n">
        <v>100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Uji</t>
        </is>
      </c>
      <c r="C44" s="14" t="inlineStr">
        <is>
          <t>Nilai Input</t>
        </is>
      </c>
      <c r="E44" s="27" t="inlineStr">
        <is>
          <t>Persoalan Tes #4: Hitung hasil fungsi ROMAN untuk nilai input pada sel C45 (27)!</t>
        </is>
      </c>
    </row>
    <row r="45">
      <c r="B45" s="19" t="inlineStr">
        <is>
          <t>Toko Elektronik</t>
        </is>
      </c>
      <c r="C45" s="19" t="n">
        <v>27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25</v>
      </c>
      <c r="E46" s="28" t="n"/>
      <c r="F46" s="29">
        <f>IF(ISBLANK(E46), "⏳ Belum Diisi (Ketik Rumus di Sel Kuning E46)", IF(E46='99_KUNCI_JAWABAN'!F143,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49</v>
      </c>
    </row>
    <row r="48">
      <c r="B48" s="19" t="inlineStr">
        <is>
          <t>Toko Servis</t>
        </is>
      </c>
      <c r="C48" s="19" t="n">
        <v>100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Uji</t>
        </is>
      </c>
      <c r="C52" s="14" t="inlineStr">
        <is>
          <t>Nilai Input</t>
        </is>
      </c>
      <c r="E52" s="27" t="inlineStr">
        <is>
          <t>Persoalan Tes #5: Hitung hasil fungsi ROMAN untuk nilai input pada sel C53 (32)!</t>
        </is>
      </c>
    </row>
    <row r="53">
      <c r="B53" s="19" t="inlineStr">
        <is>
          <t>Kelas 10 IPA</t>
        </is>
      </c>
      <c r="C53" s="19" t="n">
        <v>32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25</v>
      </c>
      <c r="E54" s="28" t="n"/>
      <c r="F54" s="29">
        <f>IF(ISBLANK(E54), "⏳ Belum Diisi (Ketik Rumus di Sel Kuning E54)", IF(E54='99_KUNCI_JAWABAN'!F144,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49</v>
      </c>
    </row>
    <row r="56">
      <c r="B56" s="19" t="inlineStr">
        <is>
          <t>Kelas Unggulan</t>
        </is>
      </c>
      <c r="C56" s="19" t="n">
        <v>100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#029 — RUMUS EXCEL: ARABIC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(ARABIC)</t>
        </is>
      </c>
    </row>
    <row r="5" ht="21" customHeight="1">
      <c r="B5" s="14" t="inlineStr">
        <is>
          <t>Nama Rumus Excel</t>
        </is>
      </c>
      <c r="C5" s="15">
        <f>ARABIC(...)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ARABIC(teks_romawi)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Kebalikan dari ROMAN: mengubah teks angka Romawi (seperti XIV atau XXV) kembali menjadi angka biasa (14 atau 25).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ARABIC DI SINI)</t>
        </is>
      </c>
    </row>
    <row r="10">
      <c r="B10" s="18" t="inlineStr">
        <is>
          <t>Dokumen Bab</t>
        </is>
      </c>
      <c r="C10" s="18" t="inlineStr">
        <is>
          <t>Kode Romawi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inlineStr">
        <is>
          <t>CXX</t>
        </is>
      </c>
      <c r="E11" s="20" t="inlineStr">
        <is>
          <t>Contoh Soal:</t>
        </is>
      </c>
      <c r="F11" s="21" t="inlineStr">
        <is>
          <t>Ubah kode angka Romawi pada sel C11 ("CXX") menjadi bilangan angka Arab biasa menggunakan fungsi ARABIC!</t>
        </is>
      </c>
      <c r="G11" s="5" t="n"/>
    </row>
    <row r="12">
      <c r="B12" s="19" t="inlineStr">
        <is>
          <t>Simulasi Unit B</t>
        </is>
      </c>
      <c r="C12" s="19" t="inlineStr">
        <is>
          <t>X</t>
        </is>
      </c>
      <c r="E12" s="20" t="inlineStr">
        <is>
          <t>Contoh Rumus Benar:</t>
        </is>
      </c>
      <c r="F12" s="22" t="inlineStr">
        <is>
          <t>'=ARABIC(C11)</t>
        </is>
      </c>
      <c r="G12" s="5" t="n"/>
    </row>
    <row r="13">
      <c r="B13" s="19" t="inlineStr">
        <is>
          <t>Simulasi Unit C</t>
        </is>
      </c>
      <c r="C13" s="19" t="inlineStr">
        <is>
          <t>V</t>
        </is>
      </c>
      <c r="E13" s="20" t="inlineStr">
        <is>
          <t>Contoh Hasil Benar:</t>
        </is>
      </c>
      <c r="F13" s="23">
        <f>ARABIC(C11)</f>
        <v/>
      </c>
      <c r="G13" s="5" t="n"/>
    </row>
    <row r="14">
      <c r="B14" s="19" t="inlineStr">
        <is>
          <t>Simulasi Unit D</t>
        </is>
      </c>
      <c r="C14" s="19" t="inlineStr">
        <is>
          <t>C</t>
        </is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Dokumen Bab</t>
        </is>
      </c>
      <c r="C20" s="14" t="inlineStr">
        <is>
          <t>Kode Romawi</t>
        </is>
      </c>
      <c r="E20" s="27" t="inlineStr">
        <is>
          <t>Persoalan Tes #1: Ubah kode angka Romawi pada sel C21 ("XIV") menjadi bilangan angka Arab biasa menggunakan fungsi ARABIC!</t>
        </is>
      </c>
    </row>
    <row r="21">
      <c r="B21" s="19" t="inlineStr">
        <is>
          <t>Cabang Jakarta</t>
        </is>
      </c>
      <c r="C21" s="19" t="inlineStr">
        <is>
          <t>XIV</t>
        </is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inlineStr">
        <is>
          <t>X</t>
        </is>
      </c>
      <c r="E22" s="28" t="n"/>
      <c r="F22" s="29">
        <f>IF(ISBLANK(E22), "⏳ Belum Diisi (Ketik Rumus di Sel Kuning E22)", IF(E22='99_KUNCI_JAWABAN'!F145,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inlineStr">
        <is>
          <t>V</t>
        </is>
      </c>
    </row>
    <row r="24">
      <c r="B24" s="19" t="inlineStr">
        <is>
          <t>Cabang Medan</t>
        </is>
      </c>
      <c r="C24" s="19" t="inlineStr">
        <is>
          <t>C</t>
        </is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Dokumen Bab</t>
        </is>
      </c>
      <c r="C28" s="14" t="inlineStr">
        <is>
          <t>Kode Romawi</t>
        </is>
      </c>
      <c r="E28" s="27" t="inlineStr">
        <is>
          <t>Persoalan Tes #2: Ubah kode angka Romawi pada sel C29 ("XXV") menjadi bilangan angka Arab biasa menggunakan fungsi ARABIC!</t>
        </is>
      </c>
    </row>
    <row r="29">
      <c r="B29" s="19" t="inlineStr">
        <is>
          <t>Budi Santoso</t>
        </is>
      </c>
      <c r="C29" s="19" t="inlineStr">
        <is>
          <t>XXV</t>
        </is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inlineStr">
        <is>
          <t>X</t>
        </is>
      </c>
      <c r="E30" s="28" t="n"/>
      <c r="F30" s="29">
        <f>IF(ISBLANK(E30), "⏳ Belum Diisi (Ketik Rumus di Sel Kuning E30)", IF(E30='99_KUNCI_JAWABAN'!F146,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inlineStr">
        <is>
          <t>V</t>
        </is>
      </c>
    </row>
    <row r="32">
      <c r="B32" s="19" t="inlineStr">
        <is>
          <t>Rina Wijaya</t>
        </is>
      </c>
      <c r="C32" s="19" t="inlineStr">
        <is>
          <t>C</t>
        </is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Dokumen Bab</t>
        </is>
      </c>
      <c r="C36" s="14" t="inlineStr">
        <is>
          <t>Kode Romawi</t>
        </is>
      </c>
      <c r="E36" s="27" t="inlineStr">
        <is>
          <t>Persoalan Tes #3: Ubah kode angka Romawi pada sel C37 ("XL") menjadi bilangan angka Arab biasa menggunakan fungsi ARABIC!</t>
        </is>
      </c>
    </row>
    <row r="37">
      <c r="B37" s="19" t="inlineStr">
        <is>
          <t>Gudang Blok A</t>
        </is>
      </c>
      <c r="C37" s="19" t="inlineStr">
        <is>
          <t>XL</t>
        </is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inlineStr">
        <is>
          <t>X</t>
        </is>
      </c>
      <c r="E38" s="28" t="n"/>
      <c r="F38" s="29">
        <f>IF(ISBLANK(E38), "⏳ Belum Diisi (Ketik Rumus di Sel Kuning E38)", IF(E38='99_KUNCI_JAWABAN'!F147,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inlineStr">
        <is>
          <t>V</t>
        </is>
      </c>
    </row>
    <row r="40">
      <c r="B40" s="19" t="inlineStr">
        <is>
          <t>Gudang Blok D</t>
        </is>
      </c>
      <c r="C40" s="19" t="inlineStr">
        <is>
          <t>C</t>
        </is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Dokumen Bab</t>
        </is>
      </c>
      <c r="C44" s="14" t="inlineStr">
        <is>
          <t>Kode Romawi</t>
        </is>
      </c>
      <c r="E44" s="27" t="inlineStr">
        <is>
          <t>Persoalan Tes #4: Ubah kode angka Romawi pada sel C45 ("LX") menjadi bilangan angka Arab biasa menggunakan fungsi ARABIC!</t>
        </is>
      </c>
    </row>
    <row r="45">
      <c r="B45" s="19" t="inlineStr">
        <is>
          <t>Toko Elektronik</t>
        </is>
      </c>
      <c r="C45" s="19" t="inlineStr">
        <is>
          <t>LX</t>
        </is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inlineStr">
        <is>
          <t>X</t>
        </is>
      </c>
      <c r="E46" s="28" t="n"/>
      <c r="F46" s="29">
        <f>IF(ISBLANK(E46), "⏳ Belum Diisi (Ketik Rumus di Sel Kuning E46)", IF(E46='99_KUNCI_JAWABAN'!F148,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inlineStr">
        <is>
          <t>V</t>
        </is>
      </c>
    </row>
    <row r="48">
      <c r="B48" s="19" t="inlineStr">
        <is>
          <t>Toko Servis</t>
        </is>
      </c>
      <c r="C48" s="19" t="inlineStr">
        <is>
          <t>C</t>
        </is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Dokumen Bab</t>
        </is>
      </c>
      <c r="C52" s="14" t="inlineStr">
        <is>
          <t>Kode Romawi</t>
        </is>
      </c>
      <c r="E52" s="27" t="inlineStr">
        <is>
          <t>Persoalan Tes #5: Ubah kode angka Romawi pada sel C53 ("XC") menjadi bilangan angka Arab biasa menggunakan fungsi ARABIC!</t>
        </is>
      </c>
    </row>
    <row r="53">
      <c r="B53" s="19" t="inlineStr">
        <is>
          <t>Kelas 10 IPA</t>
        </is>
      </c>
      <c r="C53" s="19" t="inlineStr">
        <is>
          <t>XC</t>
        </is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inlineStr">
        <is>
          <t>X</t>
        </is>
      </c>
      <c r="E54" s="28" t="n"/>
      <c r="F54" s="29">
        <f>IF(ISBLANK(E54), "⏳ Belum Diisi (Ketik Rumus di Sel Kuning E54)", IF(E54='99_KUNCI_JAWABAN'!F149,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inlineStr">
        <is>
          <t>V</t>
        </is>
      </c>
    </row>
    <row r="56">
      <c r="B56" s="19" t="inlineStr">
        <is>
          <t>Kelas Unggulan</t>
        </is>
      </c>
      <c r="C56" s="19" t="inlineStr">
        <is>
          <t>C</t>
        </is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#030 — RUMUS EXCEL: IF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(IF)</t>
        </is>
      </c>
    </row>
    <row r="5" ht="21" customHeight="1">
      <c r="B5" s="14" t="inlineStr">
        <is>
          <t>Nama Rumus Excel</t>
        </is>
      </c>
      <c r="C5" s="15">
        <f>IF(...)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IF(syarat_logika, nilai_jika_benar, nilai_jika_salah)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Polisi lalu lintas di Excel! Mengecek apakah suatu syarat terpenuhi: kalau YA jalankan perintah pertama, kalau TIDAK jalankan perintah kedua.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IF DI SINI)</t>
        </is>
      </c>
    </row>
    <row r="10">
      <c r="B10" s="18" t="inlineStr">
        <is>
          <t>Nama Peserta</t>
        </is>
      </c>
      <c r="C10" s="18" t="inlineStr">
        <is>
          <t>Nilai Ujian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65</v>
      </c>
      <c r="E11" s="20" t="inlineStr">
        <is>
          <t>Contoh Soal:</t>
        </is>
      </c>
      <c r="F11" s="21" t="inlineStr">
        <is>
          <t>Uji nilai pada sel C11 menggunakan fungsi IF: apabila nilainya minimal 75 (&gt;=75) tampilkan "LULUS", selain itu tampilkan "REMEDIAL"!</t>
        </is>
      </c>
      <c r="G11" s="5" t="n"/>
    </row>
    <row r="12">
      <c r="B12" s="19" t="inlineStr">
        <is>
          <t>Simulasi Unit B</t>
        </is>
      </c>
      <c r="C12" s="19" t="n">
        <v>60</v>
      </c>
      <c r="E12" s="20" t="inlineStr">
        <is>
          <t>Contoh Rumus Benar:</t>
        </is>
      </c>
      <c r="F12" s="22" t="inlineStr">
        <is>
          <t>'=IF(C11&gt;=75, "LULUS", "REMEDIAL")</t>
        </is>
      </c>
      <c r="G12" s="5" t="n"/>
    </row>
    <row r="13">
      <c r="B13" s="19" t="inlineStr">
        <is>
          <t>Simulasi Unit C</t>
        </is>
      </c>
      <c r="C13" s="19" t="n">
        <v>90</v>
      </c>
      <c r="E13" s="20" t="inlineStr">
        <is>
          <t>Contoh Hasil Benar:</t>
        </is>
      </c>
      <c r="F13" s="23">
        <f>IF(C11&gt;=75, "LULUS", "REMEDIAL")</f>
        <v/>
      </c>
      <c r="G13" s="5" t="n"/>
    </row>
    <row r="14">
      <c r="B14" s="19" t="inlineStr">
        <is>
          <t>Simulasi Unit D</t>
        </is>
      </c>
      <c r="C14" s="19" t="n">
        <v>72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Peserta</t>
        </is>
      </c>
      <c r="C20" s="14" t="inlineStr">
        <is>
          <t>Nilai Ujian</t>
        </is>
      </c>
      <c r="E20" s="27" t="inlineStr">
        <is>
          <t>Persoalan Tes #1: Uji nilai pada sel C21 menggunakan fungsi IF: apabila nilainya minimal 75 (&gt;=75) tampilkan "LULUS", selain itu tampilkan "REMEDIAL"!</t>
        </is>
      </c>
    </row>
    <row r="21">
      <c r="B21" s="19" t="inlineStr">
        <is>
          <t>Cabang Jakarta</t>
        </is>
      </c>
      <c r="C21" s="19" t="n">
        <v>85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60</v>
      </c>
      <c r="E22" s="28" t="n"/>
      <c r="F22" s="29">
        <f>IF(ISBLANK(E22), "⏳ Belum Diisi (Ketik Rumus di Sel Kuning E22)", IF(E22='99_KUNCI_JAWABAN'!F150,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90</v>
      </c>
    </row>
    <row r="24">
      <c r="B24" s="19" t="inlineStr">
        <is>
          <t>Cabang Medan</t>
        </is>
      </c>
      <c r="C24" s="19" t="n">
        <v>72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Peserta</t>
        </is>
      </c>
      <c r="C28" s="14" t="inlineStr">
        <is>
          <t>Nilai Ujian</t>
        </is>
      </c>
      <c r="E28" s="27" t="inlineStr">
        <is>
          <t>Persoalan Tes #2: Uji nilai pada sel C29 menggunakan fungsi IF: apabila nilainya minimal 75 (&gt;=75) tampilkan "LULUS", selain itu tampilkan "REMEDIAL"!</t>
        </is>
      </c>
    </row>
    <row r="29">
      <c r="B29" s="19" t="inlineStr">
        <is>
          <t>Budi Santoso</t>
        </is>
      </c>
      <c r="C29" s="19" t="n">
        <v>81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60</v>
      </c>
      <c r="E30" s="28" t="n"/>
      <c r="F30" s="29">
        <f>IF(ISBLANK(E30), "⏳ Belum Diisi (Ketik Rumus di Sel Kuning E30)", IF(E30='99_KUNCI_JAWABAN'!F151,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90</v>
      </c>
    </row>
    <row r="32">
      <c r="B32" s="19" t="inlineStr">
        <is>
          <t>Rina Wijaya</t>
        </is>
      </c>
      <c r="C32" s="19" t="n">
        <v>72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Peserta</t>
        </is>
      </c>
      <c r="C36" s="14" t="inlineStr">
        <is>
          <t>Nilai Ujian</t>
        </is>
      </c>
      <c r="E36" s="27" t="inlineStr">
        <is>
          <t>Persoalan Tes #3: Uji nilai pada sel C37 menggunakan fungsi IF: apabila nilainya minimal 75 (&gt;=75) tampilkan "LULUS", selain itu tampilkan "REMEDIAL"!</t>
        </is>
      </c>
    </row>
    <row r="37">
      <c r="B37" s="19" t="inlineStr">
        <is>
          <t>Gudang Blok A</t>
        </is>
      </c>
      <c r="C37" s="19" t="n">
        <v>77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60</v>
      </c>
      <c r="E38" s="28" t="n"/>
      <c r="F38" s="29">
        <f>IF(ISBLANK(E38), "⏳ Belum Diisi (Ketik Rumus di Sel Kuning E38)", IF(E38='99_KUNCI_JAWABAN'!F152,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90</v>
      </c>
    </row>
    <row r="40">
      <c r="B40" s="19" t="inlineStr">
        <is>
          <t>Gudang Blok D</t>
        </is>
      </c>
      <c r="C40" s="19" t="n">
        <v>72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Peserta</t>
        </is>
      </c>
      <c r="C44" s="14" t="inlineStr">
        <is>
          <t>Nilai Ujian</t>
        </is>
      </c>
      <c r="E44" s="27" t="inlineStr">
        <is>
          <t>Persoalan Tes #4: Uji nilai pada sel C45 menggunakan fungsi IF: apabila nilainya minimal 75 (&gt;=75) tampilkan "LULUS", selain itu tampilkan "REMEDIAL"!</t>
        </is>
      </c>
    </row>
    <row r="45">
      <c r="B45" s="19" t="inlineStr">
        <is>
          <t>Toko Elektronik</t>
        </is>
      </c>
      <c r="C45" s="19" t="n">
        <v>73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60</v>
      </c>
      <c r="E46" s="28" t="n"/>
      <c r="F46" s="29">
        <f>IF(ISBLANK(E46), "⏳ Belum Diisi (Ketik Rumus di Sel Kuning E46)", IF(E46='99_KUNCI_JAWABAN'!F153,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90</v>
      </c>
    </row>
    <row r="48">
      <c r="B48" s="19" t="inlineStr">
        <is>
          <t>Toko Servis</t>
        </is>
      </c>
      <c r="C48" s="19" t="n">
        <v>72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Peserta</t>
        </is>
      </c>
      <c r="C52" s="14" t="inlineStr">
        <is>
          <t>Nilai Ujian</t>
        </is>
      </c>
      <c r="E52" s="27" t="inlineStr">
        <is>
          <t>Persoalan Tes #5: Uji nilai pada sel C53 menggunakan fungsi IF: apabila nilainya minimal 75 (&gt;=75) tampilkan "LULUS", selain itu tampilkan "REMEDIAL"!</t>
        </is>
      </c>
    </row>
    <row r="53">
      <c r="B53" s="19" t="inlineStr">
        <is>
          <t>Kelas 10 IPA</t>
        </is>
      </c>
      <c r="C53" s="19" t="n">
        <v>69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60</v>
      </c>
      <c r="E54" s="28" t="n"/>
      <c r="F54" s="29">
        <f>IF(ISBLANK(E54), "⏳ Belum Diisi (Ketik Rumus di Sel Kuning E54)", IF(E54='99_KUNCI_JAWABAN'!F154,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90</v>
      </c>
    </row>
    <row r="56">
      <c r="B56" s="19" t="inlineStr">
        <is>
          <t>Kelas Unggulan</t>
        </is>
      </c>
      <c r="C56" s="19" t="n">
        <v>72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#031 — RUMUS EXCEL: IFS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(IFS)</t>
        </is>
      </c>
    </row>
    <row r="5" ht="21" customHeight="1">
      <c r="B5" s="14" t="inlineStr">
        <is>
          <t>Nama Rumus Excel</t>
        </is>
      </c>
      <c r="C5" s="15">
        <f>IFS(...)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IFS(syarat1, hasil1, syarat2, hasil2, ...)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Menguji banyak syarat bertingkat (seperti nilai A, B, C) secara berurutan tanpa perlu menumpuk banyak kurung IF bersarang!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IFS DI SINI)</t>
        </is>
      </c>
    </row>
    <row r="10">
      <c r="B10" s="18" t="inlineStr">
        <is>
          <t>Nama Peserta</t>
        </is>
      </c>
      <c r="C10" s="18" t="inlineStr">
        <is>
          <t>Skor Kinerja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72</v>
      </c>
      <c r="E11" s="20" t="inlineStr">
        <is>
          <t>Contoh Soal:</t>
        </is>
      </c>
      <c r="F11" s="21" t="inlineStr">
        <is>
          <t>Tentukan predikat nilai sel C11 menggunakan fungsi IFS: jika minimal 85 hasilnya "A", jika minimal 70 hasilnya "B", dan kondisi terakhir TRUE hasilnya "C"!</t>
        </is>
      </c>
      <c r="G11" s="5" t="n"/>
    </row>
    <row r="12">
      <c r="B12" s="19" t="inlineStr">
        <is>
          <t>Simulasi Unit B</t>
        </is>
      </c>
      <c r="C12" s="19" t="n">
        <v>84</v>
      </c>
      <c r="E12" s="20" t="inlineStr">
        <is>
          <t>Contoh Rumus Benar:</t>
        </is>
      </c>
      <c r="F12" s="22" t="inlineStr">
        <is>
          <t>'=IFS(C11&gt;=85, "A", C11&gt;=70, "B", TRUE, "C")</t>
        </is>
      </c>
      <c r="G12" s="5" t="n"/>
    </row>
    <row r="13">
      <c r="B13" s="19" t="inlineStr">
        <is>
          <t>Simulasi Unit C</t>
        </is>
      </c>
      <c r="C13" s="19" t="n">
        <v>76</v>
      </c>
      <c r="E13" s="20" t="inlineStr">
        <is>
          <t>Contoh Hasil Benar:</t>
        </is>
      </c>
      <c r="F13" s="23">
        <f>IFS(C11&gt;=85, "A", C11&gt;=70, "B", TRUE, "C")</f>
        <v/>
      </c>
      <c r="G13" s="5" t="n"/>
    </row>
    <row r="14">
      <c r="B14" s="19" t="inlineStr">
        <is>
          <t>Simulasi Unit D</t>
        </is>
      </c>
      <c r="C14" s="19" t="n">
        <v>65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Peserta</t>
        </is>
      </c>
      <c r="C20" s="14" t="inlineStr">
        <is>
          <t>Skor Kinerja</t>
        </is>
      </c>
      <c r="E20" s="27" t="inlineStr">
        <is>
          <t>Persoalan Tes #1: Tentukan predikat nilai sel C21 menggunakan fungsi IFS: jika minimal 85 hasilnya "A", jika minimal 70 hasilnya "B", dan kondisi terakhir TRUE hasilnya "C"!</t>
        </is>
      </c>
    </row>
    <row r="21">
      <c r="B21" s="19" t="inlineStr">
        <is>
          <t>Cabang Jakarta</t>
        </is>
      </c>
      <c r="C21" s="19" t="n">
        <v>92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84</v>
      </c>
      <c r="E22" s="28" t="n"/>
      <c r="F22" s="29">
        <f>IF(ISBLANK(E22), "⏳ Belum Diisi (Ketik Rumus di Sel Kuning E22)", IF(E22='99_KUNCI_JAWABAN'!F155,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76</v>
      </c>
    </row>
    <row r="24">
      <c r="B24" s="19" t="inlineStr">
        <is>
          <t>Cabang Medan</t>
        </is>
      </c>
      <c r="C24" s="19" t="n">
        <v>65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Peserta</t>
        </is>
      </c>
      <c r="C28" s="14" t="inlineStr">
        <is>
          <t>Skor Kinerja</t>
        </is>
      </c>
      <c r="E28" s="27" t="inlineStr">
        <is>
          <t>Persoalan Tes #2: Tentukan predikat nilai sel C29 menggunakan fungsi IFS: jika minimal 85 hasilnya "A", jika minimal 70 hasilnya "B", dan kondisi terakhir TRUE hasilnya "C"!</t>
        </is>
      </c>
    </row>
    <row r="29">
      <c r="B29" s="19" t="inlineStr">
        <is>
          <t>Budi Santoso</t>
        </is>
      </c>
      <c r="C29" s="19" t="n">
        <v>88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84</v>
      </c>
      <c r="E30" s="28" t="n"/>
      <c r="F30" s="29">
        <f>IF(ISBLANK(E30), "⏳ Belum Diisi (Ketik Rumus di Sel Kuning E30)", IF(E30='99_KUNCI_JAWABAN'!F156,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76</v>
      </c>
    </row>
    <row r="32">
      <c r="B32" s="19" t="inlineStr">
        <is>
          <t>Rina Wijaya</t>
        </is>
      </c>
      <c r="C32" s="19" t="n">
        <v>65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Peserta</t>
        </is>
      </c>
      <c r="C36" s="14" t="inlineStr">
        <is>
          <t>Skor Kinerja</t>
        </is>
      </c>
      <c r="E36" s="27" t="inlineStr">
        <is>
          <t>Persoalan Tes #3: Tentukan predikat nilai sel C37 menggunakan fungsi IFS: jika minimal 85 hasilnya "A", jika minimal 70 hasilnya "B", dan kondisi terakhir TRUE hasilnya "C"!</t>
        </is>
      </c>
    </row>
    <row r="37">
      <c r="B37" s="19" t="inlineStr">
        <is>
          <t>Gudang Blok A</t>
        </is>
      </c>
      <c r="C37" s="19" t="n">
        <v>84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84</v>
      </c>
      <c r="E38" s="28" t="n"/>
      <c r="F38" s="29">
        <f>IF(ISBLANK(E38), "⏳ Belum Diisi (Ketik Rumus di Sel Kuning E38)", IF(E38='99_KUNCI_JAWABAN'!F157,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76</v>
      </c>
    </row>
    <row r="40">
      <c r="B40" s="19" t="inlineStr">
        <is>
          <t>Gudang Blok D</t>
        </is>
      </c>
      <c r="C40" s="19" t="n">
        <v>65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Peserta</t>
        </is>
      </c>
      <c r="C44" s="14" t="inlineStr">
        <is>
          <t>Skor Kinerja</t>
        </is>
      </c>
      <c r="E44" s="27" t="inlineStr">
        <is>
          <t>Persoalan Tes #4: Tentukan predikat nilai sel C45 menggunakan fungsi IFS: jika minimal 85 hasilnya "A", jika minimal 70 hasilnya "B", dan kondisi terakhir TRUE hasilnya "C"!</t>
        </is>
      </c>
    </row>
    <row r="45">
      <c r="B45" s="19" t="inlineStr">
        <is>
          <t>Toko Elektronik</t>
        </is>
      </c>
      <c r="C45" s="19" t="n">
        <v>80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84</v>
      </c>
      <c r="E46" s="28" t="n"/>
      <c r="F46" s="29">
        <f>IF(ISBLANK(E46), "⏳ Belum Diisi (Ketik Rumus di Sel Kuning E46)", IF(E46='99_KUNCI_JAWABAN'!F158,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76</v>
      </c>
    </row>
    <row r="48">
      <c r="B48" s="19" t="inlineStr">
        <is>
          <t>Toko Servis</t>
        </is>
      </c>
      <c r="C48" s="19" t="n">
        <v>65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Peserta</t>
        </is>
      </c>
      <c r="C52" s="14" t="inlineStr">
        <is>
          <t>Skor Kinerja</t>
        </is>
      </c>
      <c r="E52" s="27" t="inlineStr">
        <is>
          <t>Persoalan Tes #5: Tentukan predikat nilai sel C53 menggunakan fungsi IFS: jika minimal 85 hasilnya "A", jika minimal 70 hasilnya "B", dan kondisi terakhir TRUE hasilnya "C"!</t>
        </is>
      </c>
    </row>
    <row r="53">
      <c r="B53" s="19" t="inlineStr">
        <is>
          <t>Kelas 10 IPA</t>
        </is>
      </c>
      <c r="C53" s="19" t="n">
        <v>76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84</v>
      </c>
      <c r="E54" s="28" t="n"/>
      <c r="F54" s="29">
        <f>IF(ISBLANK(E54), "⏳ Belum Diisi (Ketik Rumus di Sel Kuning E54)", IF(E54='99_KUNCI_JAWABAN'!F159,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76</v>
      </c>
    </row>
    <row r="56">
      <c r="B56" s="19" t="inlineStr">
        <is>
          <t>Kelas Unggulan</t>
        </is>
      </c>
      <c r="C56" s="19" t="n">
        <v>65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#032 — RUMUS EXCEL: AND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(AND)</t>
        </is>
      </c>
    </row>
    <row r="5" ht="21" customHeight="1">
      <c r="B5" s="14" t="inlineStr">
        <is>
          <t>Nama Rumus Excel</t>
        </is>
      </c>
      <c r="C5" s="15">
        <f>AND(...)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AND(syarat1, syarat2, ...)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TRUE (Benar) HANYA JIKA SEMUA syarat terpenuhi sekaligus. Kalau ada satu saja yang gagal, hasilnya FALSE!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AND DI SINI)</t>
        </is>
      </c>
    </row>
    <row r="10">
      <c r="B10" s="18" t="inlineStr">
        <is>
          <t>Nilai Teori (B)</t>
        </is>
      </c>
      <c r="C10" s="18" t="inlineStr">
        <is>
          <t>Nilai Praktik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87</v>
      </c>
      <c r="C11" s="19" t="n">
        <v>90</v>
      </c>
      <c r="E11" s="20" t="inlineStr">
        <is>
          <t>Contoh Soal:</t>
        </is>
      </c>
      <c r="F11" s="21" t="inlineStr">
        <is>
          <t>Gunakan fungsi logika AND untuk menguji dua syarat: apakah nilai di B11 minimal 75 (&gt;=75) dan apakah nilai di C11 minimal 75 (&gt;=75)!</t>
        </is>
      </c>
      <c r="G11" s="5" t="n"/>
    </row>
    <row r="12">
      <c r="B12" s="19" t="n">
        <v>80</v>
      </c>
      <c r="C12" s="19" t="n">
        <v>60</v>
      </c>
      <c r="E12" s="20" t="inlineStr">
        <is>
          <t>Contoh Rumus Benar:</t>
        </is>
      </c>
      <c r="F12" s="22" t="inlineStr">
        <is>
          <t>'=AND(B11&gt;=75, C11&gt;=75)</t>
        </is>
      </c>
      <c r="G12" s="5" t="n"/>
    </row>
    <row r="13">
      <c r="B13" s="19" t="n">
        <v>70</v>
      </c>
      <c r="C13" s="19" t="n">
        <v>85</v>
      </c>
      <c r="E13" s="20" t="inlineStr">
        <is>
          <t>Contoh Hasil Benar:</t>
        </is>
      </c>
      <c r="F13" s="23">
        <f>AND(B11&gt;=75, C11&gt;=75)</f>
        <v/>
      </c>
      <c r="G13" s="5" t="n"/>
    </row>
    <row r="14">
      <c r="B14" s="19" t="n">
        <v>60</v>
      </c>
      <c r="C14" s="19" t="n">
        <v>65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Nilai Teori (B)</t>
        </is>
      </c>
      <c r="C20" s="14" t="inlineStr">
        <is>
          <t>Nilai Praktik (C)</t>
        </is>
      </c>
      <c r="E20" s="27" t="inlineStr">
        <is>
          <t>Persoalan Tes #1: Gunakan fungsi logika AND untuk menguji dua syarat: apakah nilai di B21 minimal 75 (&gt;=75) dan apakah nilai di C21 minimal 75 (&gt;=75)!</t>
        </is>
      </c>
    </row>
    <row r="21">
      <c r="B21" s="19" t="n">
        <v>72</v>
      </c>
      <c r="C21" s="19" t="n">
        <v>70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80</v>
      </c>
      <c r="C22" s="19" t="n">
        <v>60</v>
      </c>
      <c r="E22" s="28" t="n"/>
      <c r="F22" s="29">
        <f>IF(ISBLANK(E22), "⏳ Belum Diisi (Ketik Rumus di Sel Kuning E22)", IF(E22='99_KUNCI_JAWABAN'!F160, "✅ BENAR! JAWABAN TES TEPAT!", "❌ Belum Tepat (Cek Sheet Akhir: 99_KUNCI_JAWABAN)"))</f>
        <v/>
      </c>
      <c r="G22" s="5" t="n"/>
    </row>
    <row r="23">
      <c r="B23" s="19" t="n">
        <v>70</v>
      </c>
      <c r="C23" s="19" t="n">
        <v>85</v>
      </c>
    </row>
    <row r="24">
      <c r="B24" s="19" t="n">
        <v>60</v>
      </c>
      <c r="C24" s="19" t="n">
        <v>65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Nilai Teori (B)</t>
        </is>
      </c>
      <c r="C28" s="14" t="inlineStr">
        <is>
          <t>Nilai Praktik (C)</t>
        </is>
      </c>
      <c r="E28" s="27" t="inlineStr">
        <is>
          <t>Persoalan Tes #2: Gunakan fungsi logika AND untuk menguji dua syarat: apakah nilai di B29 minimal 75 (&gt;=75) dan apakah nilai di C29 minimal 75 (&gt;=75)!</t>
        </is>
      </c>
    </row>
    <row r="29">
      <c r="B29" s="19" t="n">
        <v>75</v>
      </c>
      <c r="C29" s="19" t="n">
        <v>74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80</v>
      </c>
      <c r="C30" s="19" t="n">
        <v>60</v>
      </c>
      <c r="E30" s="28" t="n"/>
      <c r="F30" s="29">
        <f>IF(ISBLANK(E30), "⏳ Belum Diisi (Ketik Rumus di Sel Kuning E30)", IF(E30='99_KUNCI_JAWABAN'!F161, "✅ BENAR! JAWABAN TES TEPAT!", "❌ Belum Tepat (Cek Sheet Akhir: 99_KUNCI_JAWABAN)"))</f>
        <v/>
      </c>
      <c r="G30" s="5" t="n"/>
    </row>
    <row r="31">
      <c r="B31" s="19" t="n">
        <v>70</v>
      </c>
      <c r="C31" s="19" t="n">
        <v>85</v>
      </c>
    </row>
    <row r="32">
      <c r="B32" s="19" t="n">
        <v>60</v>
      </c>
      <c r="C32" s="19" t="n">
        <v>65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Nilai Teori (B)</t>
        </is>
      </c>
      <c r="C36" s="14" t="inlineStr">
        <is>
          <t>Nilai Praktik (C)</t>
        </is>
      </c>
      <c r="E36" s="27" t="inlineStr">
        <is>
          <t>Persoalan Tes #3: Gunakan fungsi logika AND untuk menguji dua syarat: apakah nilai di B37 minimal 75 (&gt;=75) dan apakah nilai di C37 minimal 75 (&gt;=75)!</t>
        </is>
      </c>
    </row>
    <row r="37">
      <c r="B37" s="19" t="n">
        <v>78</v>
      </c>
      <c r="C37" s="19" t="n">
        <v>78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80</v>
      </c>
      <c r="C38" s="19" t="n">
        <v>60</v>
      </c>
      <c r="E38" s="28" t="n"/>
      <c r="F38" s="29">
        <f>IF(ISBLANK(E38), "⏳ Belum Diisi (Ketik Rumus di Sel Kuning E38)", IF(E38='99_KUNCI_JAWABAN'!F162, "✅ BENAR! JAWABAN TES TEPAT!", "❌ Belum Tepat (Cek Sheet Akhir: 99_KUNCI_JAWABAN)"))</f>
        <v/>
      </c>
      <c r="G38" s="5" t="n"/>
    </row>
    <row r="39">
      <c r="B39" s="19" t="n">
        <v>70</v>
      </c>
      <c r="C39" s="19" t="n">
        <v>85</v>
      </c>
    </row>
    <row r="40">
      <c r="B40" s="19" t="n">
        <v>60</v>
      </c>
      <c r="C40" s="19" t="n">
        <v>65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Nilai Teori (B)</t>
        </is>
      </c>
      <c r="C44" s="14" t="inlineStr">
        <is>
          <t>Nilai Praktik (C)</t>
        </is>
      </c>
      <c r="E44" s="27" t="inlineStr">
        <is>
          <t>Persoalan Tes #4: Gunakan fungsi logika AND untuk menguji dua syarat: apakah nilai di B45 minimal 75 (&gt;=75) dan apakah nilai di C45 minimal 75 (&gt;=75)!</t>
        </is>
      </c>
    </row>
    <row r="45">
      <c r="B45" s="19" t="n">
        <v>81</v>
      </c>
      <c r="C45" s="19" t="n">
        <v>82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80</v>
      </c>
      <c r="C46" s="19" t="n">
        <v>60</v>
      </c>
      <c r="E46" s="28" t="n"/>
      <c r="F46" s="29">
        <f>IF(ISBLANK(E46), "⏳ Belum Diisi (Ketik Rumus di Sel Kuning E46)", IF(E46='99_KUNCI_JAWABAN'!F163, "✅ BENAR! JAWABAN TES TEPAT!", "❌ Belum Tepat (Cek Sheet Akhir: 99_KUNCI_JAWABAN)"))</f>
        <v/>
      </c>
      <c r="G46" s="5" t="n"/>
    </row>
    <row r="47">
      <c r="B47" s="19" t="n">
        <v>70</v>
      </c>
      <c r="C47" s="19" t="n">
        <v>85</v>
      </c>
    </row>
    <row r="48">
      <c r="B48" s="19" t="n">
        <v>60</v>
      </c>
      <c r="C48" s="19" t="n">
        <v>65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Nilai Teori (B)</t>
        </is>
      </c>
      <c r="C52" s="14" t="inlineStr">
        <is>
          <t>Nilai Praktik (C)</t>
        </is>
      </c>
      <c r="E52" s="27" t="inlineStr">
        <is>
          <t>Persoalan Tes #5: Gunakan fungsi logika AND untuk menguji dua syarat: apakah nilai di B53 minimal 75 (&gt;=75) dan apakah nilai di C53 minimal 75 (&gt;=75)!</t>
        </is>
      </c>
    </row>
    <row r="53">
      <c r="B53" s="19" t="n">
        <v>84</v>
      </c>
      <c r="C53" s="19" t="n">
        <v>86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80</v>
      </c>
      <c r="C54" s="19" t="n">
        <v>60</v>
      </c>
      <c r="E54" s="28" t="n"/>
      <c r="F54" s="29">
        <f>IF(ISBLANK(E54), "⏳ Belum Diisi (Ketik Rumus di Sel Kuning E54)", IF(E54='99_KUNCI_JAWABAN'!F164, "✅ BENAR! JAWABAN TES TEPAT!", "❌ Belum Tepat (Cek Sheet Akhir: 99_KUNCI_JAWABAN)"))</f>
        <v/>
      </c>
      <c r="G54" s="5" t="n"/>
    </row>
    <row r="55">
      <c r="B55" s="19" t="n">
        <v>70</v>
      </c>
      <c r="C55" s="19" t="n">
        <v>85</v>
      </c>
    </row>
    <row r="56">
      <c r="B56" s="19" t="n">
        <v>60</v>
      </c>
      <c r="C56" s="19" t="n">
        <v>65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#033 — RUMUS EXCEL: OR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(OR)</t>
        </is>
      </c>
    </row>
    <row r="5" ht="21" customHeight="1">
      <c r="B5" s="14" t="inlineStr">
        <is>
          <t>Nama Rumus Excel</t>
        </is>
      </c>
      <c r="C5" s="15">
        <f>OR(...)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OR(syarat1, syarat2, ...)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TRUE (Benar) jika MINIMAL SALAH SATU syarat terpenuhi. Lebih fleksibel daripada AND!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OR DI SINI)</t>
        </is>
      </c>
    </row>
    <row r="10">
      <c r="B10" s="18" t="inlineStr">
        <is>
          <t>Nilai Teori (B)</t>
        </is>
      </c>
      <c r="C10" s="18" t="inlineStr">
        <is>
          <t>Nilai Praktik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87</v>
      </c>
      <c r="C11" s="19" t="n">
        <v>90</v>
      </c>
      <c r="E11" s="20" t="inlineStr">
        <is>
          <t>Contoh Soal:</t>
        </is>
      </c>
      <c r="F11" s="21" t="inlineStr">
        <is>
          <t>Gunakan fungsi logika OR untuk menguji dua syarat: apakah nilai di B11 minimal 75 (&gt;=75) dan apakah nilai di C11 minimal 75 (&gt;=75)!</t>
        </is>
      </c>
      <c r="G11" s="5" t="n"/>
    </row>
    <row r="12">
      <c r="B12" s="19" t="n">
        <v>80</v>
      </c>
      <c r="C12" s="19" t="n">
        <v>60</v>
      </c>
      <c r="E12" s="20" t="inlineStr">
        <is>
          <t>Contoh Rumus Benar:</t>
        </is>
      </c>
      <c r="F12" s="22" t="inlineStr">
        <is>
          <t>'=OR(B11&gt;=75, C11&gt;=75)</t>
        </is>
      </c>
      <c r="G12" s="5" t="n"/>
    </row>
    <row r="13">
      <c r="B13" s="19" t="n">
        <v>70</v>
      </c>
      <c r="C13" s="19" t="n">
        <v>85</v>
      </c>
      <c r="E13" s="20" t="inlineStr">
        <is>
          <t>Contoh Hasil Benar:</t>
        </is>
      </c>
      <c r="F13" s="23">
        <f>OR(B11&gt;=75, C11&gt;=75)</f>
        <v/>
      </c>
      <c r="G13" s="5" t="n"/>
    </row>
    <row r="14">
      <c r="B14" s="19" t="n">
        <v>60</v>
      </c>
      <c r="C14" s="19" t="n">
        <v>65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Nilai Teori (B)</t>
        </is>
      </c>
      <c r="C20" s="14" t="inlineStr">
        <is>
          <t>Nilai Praktik (C)</t>
        </is>
      </c>
      <c r="E20" s="27" t="inlineStr">
        <is>
          <t>Persoalan Tes #1: Gunakan fungsi logika OR untuk menguji dua syarat: apakah nilai di B21 minimal 75 (&gt;=75) dan apakah nilai di C21 minimal 75 (&gt;=75)!</t>
        </is>
      </c>
    </row>
    <row r="21">
      <c r="B21" s="19" t="n">
        <v>72</v>
      </c>
      <c r="C21" s="19" t="n">
        <v>70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80</v>
      </c>
      <c r="C22" s="19" t="n">
        <v>60</v>
      </c>
      <c r="E22" s="28" t="n"/>
      <c r="F22" s="29">
        <f>IF(ISBLANK(E22), "⏳ Belum Diisi (Ketik Rumus di Sel Kuning E22)", IF(E22='99_KUNCI_JAWABAN'!F165, "✅ BENAR! JAWABAN TES TEPAT!", "❌ Belum Tepat (Cek Sheet Akhir: 99_KUNCI_JAWABAN)"))</f>
        <v/>
      </c>
      <c r="G22" s="5" t="n"/>
    </row>
    <row r="23">
      <c r="B23" s="19" t="n">
        <v>70</v>
      </c>
      <c r="C23" s="19" t="n">
        <v>85</v>
      </c>
    </row>
    <row r="24">
      <c r="B24" s="19" t="n">
        <v>60</v>
      </c>
      <c r="C24" s="19" t="n">
        <v>65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Nilai Teori (B)</t>
        </is>
      </c>
      <c r="C28" s="14" t="inlineStr">
        <is>
          <t>Nilai Praktik (C)</t>
        </is>
      </c>
      <c r="E28" s="27" t="inlineStr">
        <is>
          <t>Persoalan Tes #2: Gunakan fungsi logika OR untuk menguji dua syarat: apakah nilai di B29 minimal 75 (&gt;=75) dan apakah nilai di C29 minimal 75 (&gt;=75)!</t>
        </is>
      </c>
    </row>
    <row r="29">
      <c r="B29" s="19" t="n">
        <v>75</v>
      </c>
      <c r="C29" s="19" t="n">
        <v>74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80</v>
      </c>
      <c r="C30" s="19" t="n">
        <v>60</v>
      </c>
      <c r="E30" s="28" t="n"/>
      <c r="F30" s="29">
        <f>IF(ISBLANK(E30), "⏳ Belum Diisi (Ketik Rumus di Sel Kuning E30)", IF(E30='99_KUNCI_JAWABAN'!F166, "✅ BENAR! JAWABAN TES TEPAT!", "❌ Belum Tepat (Cek Sheet Akhir: 99_KUNCI_JAWABAN)"))</f>
        <v/>
      </c>
      <c r="G30" s="5" t="n"/>
    </row>
    <row r="31">
      <c r="B31" s="19" t="n">
        <v>70</v>
      </c>
      <c r="C31" s="19" t="n">
        <v>85</v>
      </c>
    </row>
    <row r="32">
      <c r="B32" s="19" t="n">
        <v>60</v>
      </c>
      <c r="C32" s="19" t="n">
        <v>65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Nilai Teori (B)</t>
        </is>
      </c>
      <c r="C36" s="14" t="inlineStr">
        <is>
          <t>Nilai Praktik (C)</t>
        </is>
      </c>
      <c r="E36" s="27" t="inlineStr">
        <is>
          <t>Persoalan Tes #3: Gunakan fungsi logika OR untuk menguji dua syarat: apakah nilai di B37 minimal 75 (&gt;=75) dan apakah nilai di C37 minimal 75 (&gt;=75)!</t>
        </is>
      </c>
    </row>
    <row r="37">
      <c r="B37" s="19" t="n">
        <v>78</v>
      </c>
      <c r="C37" s="19" t="n">
        <v>78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80</v>
      </c>
      <c r="C38" s="19" t="n">
        <v>60</v>
      </c>
      <c r="E38" s="28" t="n"/>
      <c r="F38" s="29">
        <f>IF(ISBLANK(E38), "⏳ Belum Diisi (Ketik Rumus di Sel Kuning E38)", IF(E38='99_KUNCI_JAWABAN'!F167, "✅ BENAR! JAWABAN TES TEPAT!", "❌ Belum Tepat (Cek Sheet Akhir: 99_KUNCI_JAWABAN)"))</f>
        <v/>
      </c>
      <c r="G38" s="5" t="n"/>
    </row>
    <row r="39">
      <c r="B39" s="19" t="n">
        <v>70</v>
      </c>
      <c r="C39" s="19" t="n">
        <v>85</v>
      </c>
    </row>
    <row r="40">
      <c r="B40" s="19" t="n">
        <v>60</v>
      </c>
      <c r="C40" s="19" t="n">
        <v>65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Nilai Teori (B)</t>
        </is>
      </c>
      <c r="C44" s="14" t="inlineStr">
        <is>
          <t>Nilai Praktik (C)</t>
        </is>
      </c>
      <c r="E44" s="27" t="inlineStr">
        <is>
          <t>Persoalan Tes #4: Gunakan fungsi logika OR untuk menguji dua syarat: apakah nilai di B45 minimal 75 (&gt;=75) dan apakah nilai di C45 minimal 75 (&gt;=75)!</t>
        </is>
      </c>
    </row>
    <row r="45">
      <c r="B45" s="19" t="n">
        <v>81</v>
      </c>
      <c r="C45" s="19" t="n">
        <v>82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80</v>
      </c>
      <c r="C46" s="19" t="n">
        <v>60</v>
      </c>
      <c r="E46" s="28" t="n"/>
      <c r="F46" s="29">
        <f>IF(ISBLANK(E46), "⏳ Belum Diisi (Ketik Rumus di Sel Kuning E46)", IF(E46='99_KUNCI_JAWABAN'!F168, "✅ BENAR! JAWABAN TES TEPAT!", "❌ Belum Tepat (Cek Sheet Akhir: 99_KUNCI_JAWABAN)"))</f>
        <v/>
      </c>
      <c r="G46" s="5" t="n"/>
    </row>
    <row r="47">
      <c r="B47" s="19" t="n">
        <v>70</v>
      </c>
      <c r="C47" s="19" t="n">
        <v>85</v>
      </c>
    </row>
    <row r="48">
      <c r="B48" s="19" t="n">
        <v>60</v>
      </c>
      <c r="C48" s="19" t="n">
        <v>65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Nilai Teori (B)</t>
        </is>
      </c>
      <c r="C52" s="14" t="inlineStr">
        <is>
          <t>Nilai Praktik (C)</t>
        </is>
      </c>
      <c r="E52" s="27" t="inlineStr">
        <is>
          <t>Persoalan Tes #5: Gunakan fungsi logika OR untuk menguji dua syarat: apakah nilai di B53 minimal 75 (&gt;=75) dan apakah nilai di C53 minimal 75 (&gt;=75)!</t>
        </is>
      </c>
    </row>
    <row r="53">
      <c r="B53" s="19" t="n">
        <v>84</v>
      </c>
      <c r="C53" s="19" t="n">
        <v>86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80</v>
      </c>
      <c r="C54" s="19" t="n">
        <v>60</v>
      </c>
      <c r="E54" s="28" t="n"/>
      <c r="F54" s="29">
        <f>IF(ISBLANK(E54), "⏳ Belum Diisi (Ketik Rumus di Sel Kuning E54)", IF(E54='99_KUNCI_JAWABAN'!F169, "✅ BENAR! JAWABAN TES TEPAT!", "❌ Belum Tepat (Cek Sheet Akhir: 99_KUNCI_JAWABAN)"))</f>
        <v/>
      </c>
      <c r="G54" s="5" t="n"/>
    </row>
    <row r="55">
      <c r="B55" s="19" t="n">
        <v>70</v>
      </c>
      <c r="C55" s="19" t="n">
        <v>85</v>
      </c>
    </row>
    <row r="56">
      <c r="B56" s="19" t="n">
        <v>60</v>
      </c>
      <c r="C56" s="19" t="n">
        <v>65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#034 — RUMUS EXCEL: NOT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(NOT)</t>
        </is>
      </c>
    </row>
    <row r="5" ht="21" customHeight="1">
      <c r="B5" s="14" t="inlineStr">
        <is>
          <t>Nama Rumus Excel</t>
        </is>
      </c>
      <c r="C5" s="15">
        <f>NOT(...)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NOT(logika)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Membalikkan keadaan logika: yang TRUE dibalik jadi FALSE, yang FALSE dibalik jadi TRUE.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NOT DI SINI)</t>
        </is>
      </c>
    </row>
    <row r="10">
      <c r="B10" s="18" t="inlineStr">
        <is>
          <t>Peserta</t>
        </is>
      </c>
      <c r="C10" s="18" t="inlineStr">
        <is>
          <t>Skor Uji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70</v>
      </c>
      <c r="E11" s="20" t="inlineStr">
        <is>
          <t>Contoh Soal:</t>
        </is>
      </c>
      <c r="F11" s="21" t="inlineStr">
        <is>
          <t>Gunakan fungsi NOT untuk membalikkan pengujian apakah nilai pada sel C11 kurang dari 75!</t>
        </is>
      </c>
      <c r="G11" s="5" t="n"/>
    </row>
    <row r="12">
      <c r="B12" s="19" t="inlineStr">
        <is>
          <t>Simulasi Unit B</t>
        </is>
      </c>
      <c r="C12" s="19" t="n">
        <v>60</v>
      </c>
      <c r="E12" s="20" t="inlineStr">
        <is>
          <t>Contoh Rumus Benar:</t>
        </is>
      </c>
      <c r="F12" s="22" t="inlineStr">
        <is>
          <t>'=NOT(C11&lt;75)</t>
        </is>
      </c>
      <c r="G12" s="5" t="n"/>
    </row>
    <row r="13">
      <c r="B13" s="19" t="inlineStr">
        <is>
          <t>Simulasi Unit C</t>
        </is>
      </c>
      <c r="C13" s="19" t="n">
        <v>90</v>
      </c>
      <c r="E13" s="20" t="inlineStr">
        <is>
          <t>Contoh Hasil Benar:</t>
        </is>
      </c>
      <c r="F13" s="23">
        <f>NOT(C11&lt;75)</f>
        <v/>
      </c>
      <c r="G13" s="5" t="n"/>
    </row>
    <row r="14">
      <c r="B14" s="19" t="inlineStr">
        <is>
          <t>Simulasi Unit D</t>
        </is>
      </c>
      <c r="C14" s="19" t="n">
        <v>70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Peserta</t>
        </is>
      </c>
      <c r="C20" s="14" t="inlineStr">
        <is>
          <t>Skor Uji</t>
        </is>
      </c>
      <c r="E20" s="27" t="inlineStr">
        <is>
          <t>Persoalan Tes #1: Gunakan fungsi NOT untuk membalikkan pengujian apakah nilai pada sel C21 kurang dari 75!</t>
        </is>
      </c>
    </row>
    <row r="21">
      <c r="B21" s="19" t="inlineStr">
        <is>
          <t>Cabang Jakarta</t>
        </is>
      </c>
      <c r="C21" s="19" t="n">
        <v>80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60</v>
      </c>
      <c r="E22" s="28" t="n"/>
      <c r="F22" s="29">
        <f>IF(ISBLANK(E22), "⏳ Belum Diisi (Ketik Rumus di Sel Kuning E22)", IF(E22='99_KUNCI_JAWABAN'!F170,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90</v>
      </c>
    </row>
    <row r="24">
      <c r="B24" s="19" t="inlineStr">
        <is>
          <t>Cabang Medan</t>
        </is>
      </c>
      <c r="C24" s="19" t="n">
        <v>70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Peserta</t>
        </is>
      </c>
      <c r="C28" s="14" t="inlineStr">
        <is>
          <t>Skor Uji</t>
        </is>
      </c>
      <c r="E28" s="27" t="inlineStr">
        <is>
          <t>Persoalan Tes #2: Gunakan fungsi NOT untuk membalikkan pengujian apakah nilai pada sel C29 kurang dari 75!</t>
        </is>
      </c>
    </row>
    <row r="29">
      <c r="B29" s="19" t="inlineStr">
        <is>
          <t>Budi Santoso</t>
        </is>
      </c>
      <c r="C29" s="19" t="n">
        <v>78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60</v>
      </c>
      <c r="E30" s="28" t="n"/>
      <c r="F30" s="29">
        <f>IF(ISBLANK(E30), "⏳ Belum Diisi (Ketik Rumus di Sel Kuning E30)", IF(E30='99_KUNCI_JAWABAN'!F171,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90</v>
      </c>
    </row>
    <row r="32">
      <c r="B32" s="19" t="inlineStr">
        <is>
          <t>Rina Wijaya</t>
        </is>
      </c>
      <c r="C32" s="19" t="n">
        <v>70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Peserta</t>
        </is>
      </c>
      <c r="C36" s="14" t="inlineStr">
        <is>
          <t>Skor Uji</t>
        </is>
      </c>
      <c r="E36" s="27" t="inlineStr">
        <is>
          <t>Persoalan Tes #3: Gunakan fungsi NOT untuk membalikkan pengujian apakah nilai pada sel C37 kurang dari 75!</t>
        </is>
      </c>
    </row>
    <row r="37">
      <c r="B37" s="19" t="inlineStr">
        <is>
          <t>Gudang Blok A</t>
        </is>
      </c>
      <c r="C37" s="19" t="n">
        <v>76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60</v>
      </c>
      <c r="E38" s="28" t="n"/>
      <c r="F38" s="29">
        <f>IF(ISBLANK(E38), "⏳ Belum Diisi (Ketik Rumus di Sel Kuning E38)", IF(E38='99_KUNCI_JAWABAN'!F172,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90</v>
      </c>
    </row>
    <row r="40">
      <c r="B40" s="19" t="inlineStr">
        <is>
          <t>Gudang Blok D</t>
        </is>
      </c>
      <c r="C40" s="19" t="n">
        <v>70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Peserta</t>
        </is>
      </c>
      <c r="C44" s="14" t="inlineStr">
        <is>
          <t>Skor Uji</t>
        </is>
      </c>
      <c r="E44" s="27" t="inlineStr">
        <is>
          <t>Persoalan Tes #4: Gunakan fungsi NOT untuk membalikkan pengujian apakah nilai pada sel C45 kurang dari 75!</t>
        </is>
      </c>
    </row>
    <row r="45">
      <c r="B45" s="19" t="inlineStr">
        <is>
          <t>Toko Elektronik</t>
        </is>
      </c>
      <c r="C45" s="19" t="n">
        <v>74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60</v>
      </c>
      <c r="E46" s="28" t="n"/>
      <c r="F46" s="29">
        <f>IF(ISBLANK(E46), "⏳ Belum Diisi (Ketik Rumus di Sel Kuning E46)", IF(E46='99_KUNCI_JAWABAN'!F173,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90</v>
      </c>
    </row>
    <row r="48">
      <c r="B48" s="19" t="inlineStr">
        <is>
          <t>Toko Servis</t>
        </is>
      </c>
      <c r="C48" s="19" t="n">
        <v>70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Peserta</t>
        </is>
      </c>
      <c r="C52" s="14" t="inlineStr">
        <is>
          <t>Skor Uji</t>
        </is>
      </c>
      <c r="E52" s="27" t="inlineStr">
        <is>
          <t>Persoalan Tes #5: Gunakan fungsi NOT untuk membalikkan pengujian apakah nilai pada sel C53 kurang dari 75!</t>
        </is>
      </c>
    </row>
    <row r="53">
      <c r="B53" s="19" t="inlineStr">
        <is>
          <t>Kelas 10 IPA</t>
        </is>
      </c>
      <c r="C53" s="19" t="n">
        <v>72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60</v>
      </c>
      <c r="E54" s="28" t="n"/>
      <c r="F54" s="29">
        <f>IF(ISBLANK(E54), "⏳ Belum Diisi (Ketik Rumus di Sel Kuning E54)", IF(E54='99_KUNCI_JAWABAN'!F174,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90</v>
      </c>
    </row>
    <row r="56">
      <c r="B56" s="19" t="inlineStr">
        <is>
          <t>Kelas Unggulan</t>
        </is>
      </c>
      <c r="C56" s="19" t="n">
        <v>70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#035 — RUMUS EXCEL: XOR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(XOR)</t>
        </is>
      </c>
    </row>
    <row r="5" ht="21" customHeight="1">
      <c r="B5" s="14" t="inlineStr">
        <is>
          <t>Nama Rumus Excel</t>
        </is>
      </c>
      <c r="C5" s="15">
        <f>XOR(...)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XOR(syarat1, syarat2)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Logika Eksklusif OR: menghasilkan TRUE jika tepat salah satu syarat benar, tapi FALSE jika keduanya sama-sama benar atau sama-sama salah.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XOR DI SINI)</t>
        </is>
      </c>
    </row>
    <row r="10">
      <c r="B10" s="18" t="inlineStr">
        <is>
          <t>Nilai Teori (B)</t>
        </is>
      </c>
      <c r="C10" s="18" t="inlineStr">
        <is>
          <t>Nilai Praktik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87</v>
      </c>
      <c r="C11" s="19" t="n">
        <v>90</v>
      </c>
      <c r="E11" s="20" t="inlineStr">
        <is>
          <t>Contoh Soal:</t>
        </is>
      </c>
      <c r="F11" s="21" t="inlineStr">
        <is>
          <t>Gunakan fungsi logika XOR untuk menguji dua syarat: apakah nilai di B11 minimal 75 (&gt;=75) dan apakah nilai di C11 minimal 75 (&gt;=75)!</t>
        </is>
      </c>
      <c r="G11" s="5" t="n"/>
    </row>
    <row r="12">
      <c r="B12" s="19" t="n">
        <v>80</v>
      </c>
      <c r="C12" s="19" t="n">
        <v>60</v>
      </c>
      <c r="E12" s="20" t="inlineStr">
        <is>
          <t>Contoh Rumus Benar:</t>
        </is>
      </c>
      <c r="F12" s="22" t="inlineStr">
        <is>
          <t>'=XOR(B11&gt;=75, C11&gt;=75)</t>
        </is>
      </c>
      <c r="G12" s="5" t="n"/>
    </row>
    <row r="13">
      <c r="B13" s="19" t="n">
        <v>70</v>
      </c>
      <c r="C13" s="19" t="n">
        <v>85</v>
      </c>
      <c r="E13" s="20" t="inlineStr">
        <is>
          <t>Contoh Hasil Benar:</t>
        </is>
      </c>
      <c r="F13" s="23">
        <f>XOR(B11&gt;=75, C11&gt;=75)</f>
        <v/>
      </c>
      <c r="G13" s="5" t="n"/>
    </row>
    <row r="14">
      <c r="B14" s="19" t="n">
        <v>60</v>
      </c>
      <c r="C14" s="19" t="n">
        <v>65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Nilai Teori (B)</t>
        </is>
      </c>
      <c r="C20" s="14" t="inlineStr">
        <is>
          <t>Nilai Praktik (C)</t>
        </is>
      </c>
      <c r="E20" s="27" t="inlineStr">
        <is>
          <t>Persoalan Tes #1: Gunakan fungsi logika XOR untuk menguji dua syarat: apakah nilai di B21 minimal 75 (&gt;=75) dan apakah nilai di C21 minimal 75 (&gt;=75)!</t>
        </is>
      </c>
    </row>
    <row r="21">
      <c r="B21" s="19" t="n">
        <v>72</v>
      </c>
      <c r="C21" s="19" t="n">
        <v>70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80</v>
      </c>
      <c r="C22" s="19" t="n">
        <v>60</v>
      </c>
      <c r="E22" s="28" t="n"/>
      <c r="F22" s="29">
        <f>IF(ISBLANK(E22), "⏳ Belum Diisi (Ketik Rumus di Sel Kuning E22)", IF(E22='99_KUNCI_JAWABAN'!F175, "✅ BENAR! JAWABAN TES TEPAT!", "❌ Belum Tepat (Cek Sheet Akhir: 99_KUNCI_JAWABAN)"))</f>
        <v/>
      </c>
      <c r="G22" s="5" t="n"/>
    </row>
    <row r="23">
      <c r="B23" s="19" t="n">
        <v>70</v>
      </c>
      <c r="C23" s="19" t="n">
        <v>85</v>
      </c>
    </row>
    <row r="24">
      <c r="B24" s="19" t="n">
        <v>60</v>
      </c>
      <c r="C24" s="19" t="n">
        <v>65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Nilai Teori (B)</t>
        </is>
      </c>
      <c r="C28" s="14" t="inlineStr">
        <is>
          <t>Nilai Praktik (C)</t>
        </is>
      </c>
      <c r="E28" s="27" t="inlineStr">
        <is>
          <t>Persoalan Tes #2: Gunakan fungsi logika XOR untuk menguji dua syarat: apakah nilai di B29 minimal 75 (&gt;=75) dan apakah nilai di C29 minimal 75 (&gt;=75)!</t>
        </is>
      </c>
    </row>
    <row r="29">
      <c r="B29" s="19" t="n">
        <v>75</v>
      </c>
      <c r="C29" s="19" t="n">
        <v>74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80</v>
      </c>
      <c r="C30" s="19" t="n">
        <v>60</v>
      </c>
      <c r="E30" s="28" t="n"/>
      <c r="F30" s="29">
        <f>IF(ISBLANK(E30), "⏳ Belum Diisi (Ketik Rumus di Sel Kuning E30)", IF(E30='99_KUNCI_JAWABAN'!F176, "✅ BENAR! JAWABAN TES TEPAT!", "❌ Belum Tepat (Cek Sheet Akhir: 99_KUNCI_JAWABAN)"))</f>
        <v/>
      </c>
      <c r="G30" s="5" t="n"/>
    </row>
    <row r="31">
      <c r="B31" s="19" t="n">
        <v>70</v>
      </c>
      <c r="C31" s="19" t="n">
        <v>85</v>
      </c>
    </row>
    <row r="32">
      <c r="B32" s="19" t="n">
        <v>60</v>
      </c>
      <c r="C32" s="19" t="n">
        <v>65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Nilai Teori (B)</t>
        </is>
      </c>
      <c r="C36" s="14" t="inlineStr">
        <is>
          <t>Nilai Praktik (C)</t>
        </is>
      </c>
      <c r="E36" s="27" t="inlineStr">
        <is>
          <t>Persoalan Tes #3: Gunakan fungsi logika XOR untuk menguji dua syarat: apakah nilai di B37 minimal 75 (&gt;=75) dan apakah nilai di C37 minimal 75 (&gt;=75)!</t>
        </is>
      </c>
    </row>
    <row r="37">
      <c r="B37" s="19" t="n">
        <v>78</v>
      </c>
      <c r="C37" s="19" t="n">
        <v>78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80</v>
      </c>
      <c r="C38" s="19" t="n">
        <v>60</v>
      </c>
      <c r="E38" s="28" t="n"/>
      <c r="F38" s="29">
        <f>IF(ISBLANK(E38), "⏳ Belum Diisi (Ketik Rumus di Sel Kuning E38)", IF(E38='99_KUNCI_JAWABAN'!F177, "✅ BENAR! JAWABAN TES TEPAT!", "❌ Belum Tepat (Cek Sheet Akhir: 99_KUNCI_JAWABAN)"))</f>
        <v/>
      </c>
      <c r="G38" s="5" t="n"/>
    </row>
    <row r="39">
      <c r="B39" s="19" t="n">
        <v>70</v>
      </c>
      <c r="C39" s="19" t="n">
        <v>85</v>
      </c>
    </row>
    <row r="40">
      <c r="B40" s="19" t="n">
        <v>60</v>
      </c>
      <c r="C40" s="19" t="n">
        <v>65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Nilai Teori (B)</t>
        </is>
      </c>
      <c r="C44" s="14" t="inlineStr">
        <is>
          <t>Nilai Praktik (C)</t>
        </is>
      </c>
      <c r="E44" s="27" t="inlineStr">
        <is>
          <t>Persoalan Tes #4: Gunakan fungsi logika XOR untuk menguji dua syarat: apakah nilai di B45 minimal 75 (&gt;=75) dan apakah nilai di C45 minimal 75 (&gt;=75)!</t>
        </is>
      </c>
    </row>
    <row r="45">
      <c r="B45" s="19" t="n">
        <v>81</v>
      </c>
      <c r="C45" s="19" t="n">
        <v>82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80</v>
      </c>
      <c r="C46" s="19" t="n">
        <v>60</v>
      </c>
      <c r="E46" s="28" t="n"/>
      <c r="F46" s="29">
        <f>IF(ISBLANK(E46), "⏳ Belum Diisi (Ketik Rumus di Sel Kuning E46)", IF(E46='99_KUNCI_JAWABAN'!F178, "✅ BENAR! JAWABAN TES TEPAT!", "❌ Belum Tepat (Cek Sheet Akhir: 99_KUNCI_JAWABAN)"))</f>
        <v/>
      </c>
      <c r="G46" s="5" t="n"/>
    </row>
    <row r="47">
      <c r="B47" s="19" t="n">
        <v>70</v>
      </c>
      <c r="C47" s="19" t="n">
        <v>85</v>
      </c>
    </row>
    <row r="48">
      <c r="B48" s="19" t="n">
        <v>60</v>
      </c>
      <c r="C48" s="19" t="n">
        <v>65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Nilai Teori (B)</t>
        </is>
      </c>
      <c r="C52" s="14" t="inlineStr">
        <is>
          <t>Nilai Praktik (C)</t>
        </is>
      </c>
      <c r="E52" s="27" t="inlineStr">
        <is>
          <t>Persoalan Tes #5: Gunakan fungsi logika XOR untuk menguji dua syarat: apakah nilai di B53 minimal 75 (&gt;=75) dan apakah nilai di C53 minimal 75 (&gt;=75)!</t>
        </is>
      </c>
    </row>
    <row r="53">
      <c r="B53" s="19" t="n">
        <v>84</v>
      </c>
      <c r="C53" s="19" t="n">
        <v>86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80</v>
      </c>
      <c r="C54" s="19" t="n">
        <v>60</v>
      </c>
      <c r="E54" s="28" t="n"/>
      <c r="F54" s="29">
        <f>IF(ISBLANK(E54), "⏳ Belum Diisi (Ketik Rumus di Sel Kuning E54)", IF(E54='99_KUNCI_JAWABAN'!F179, "✅ BENAR! JAWABAN TES TEPAT!", "❌ Belum Tepat (Cek Sheet Akhir: 99_KUNCI_JAWABAN)"))</f>
        <v/>
      </c>
      <c r="G54" s="5" t="n"/>
    </row>
    <row r="55">
      <c r="B55" s="19" t="n">
        <v>70</v>
      </c>
      <c r="C55" s="19" t="n">
        <v>85</v>
      </c>
    </row>
    <row r="56">
      <c r="B56" s="19" t="n">
        <v>60</v>
      </c>
      <c r="C56" s="19" t="n">
        <v>65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#036 — RUMUS EXCEL: IFERROR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(IFERROR)</t>
        </is>
      </c>
    </row>
    <row r="5" ht="21" customHeight="1">
      <c r="B5" s="14" t="inlineStr">
        <is>
          <t>Nama Rumus Excel</t>
        </is>
      </c>
      <c r="C5" s="15">
        <f>IFERROR(...)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IFERROR(rumus_utama, nilai_pengganti_jika_error)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Sabuk pengaman rumus Excel! Jika rumus utama menghasilkan pesan error (#DIV/0!, #N/A, #VALUE!), otomatis diganti dengan teks/angka yang rapi.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IFERROR DI SINI)</t>
        </is>
      </c>
    </row>
    <row r="10">
      <c r="B10" s="18" t="inlineStr">
        <is>
          <t>Item Data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720</v>
      </c>
      <c r="E11" s="20" t="inlineStr">
        <is>
          <t>Contoh Soal:</t>
        </is>
      </c>
      <c r="F11" s="21" t="inlineStr">
        <is>
          <t>Gunakan fungsi IFERROR untuk membungkus pembagian C11 dibagi 2, dan berikan nilai cadangan 0 jika terjadi error!</t>
        </is>
      </c>
      <c r="G11" s="5" t="n"/>
    </row>
    <row r="12">
      <c r="B12" s="19" t="inlineStr">
        <is>
          <t>Simulasi Unit B</t>
        </is>
      </c>
      <c r="C12" s="19" t="n">
        <v>200</v>
      </c>
      <c r="E12" s="20" t="inlineStr">
        <is>
          <t>Contoh Rumus Benar:</t>
        </is>
      </c>
      <c r="F12" s="22" t="inlineStr">
        <is>
          <t>'=IFERROR(C11/2, 0)</t>
        </is>
      </c>
      <c r="G12" s="5" t="n"/>
    </row>
    <row r="13">
      <c r="B13" s="19" t="inlineStr">
        <is>
          <t>Simulasi Unit C</t>
        </is>
      </c>
      <c r="C13" s="19" t="n">
        <v>300</v>
      </c>
      <c r="E13" s="20" t="inlineStr">
        <is>
          <t>Contoh Hasil Benar:</t>
        </is>
      </c>
      <c r="F13" s="23">
        <f>IFERROR(C11/2, 0)</f>
        <v/>
      </c>
      <c r="G13" s="5" t="n"/>
    </row>
    <row r="14">
      <c r="B14" s="19" t="inlineStr">
        <is>
          <t>Simulasi Unit D</t>
        </is>
      </c>
      <c r="C14" s="19" t="n">
        <v>400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 Data</t>
        </is>
      </c>
      <c r="C20" s="14" t="inlineStr">
        <is>
          <t>Nilai Input</t>
        </is>
      </c>
      <c r="E20" s="27" t="inlineStr">
        <is>
          <t>Persoalan Tes #1: Gunakan fungsi IFERROR untuk membungkus pembagian C21 dibagi 2, dan berikan nilai cadangan 0 jika terjadi error!</t>
        </is>
      </c>
    </row>
    <row r="21">
      <c r="B21" s="19" t="inlineStr">
        <is>
          <t>Cabang Jakarta</t>
        </is>
      </c>
      <c r="C21" s="19" t="n">
        <v>120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200</v>
      </c>
      <c r="E22" s="28" t="n"/>
      <c r="F22" s="29">
        <f>IF(ISBLANK(E22), "⏳ Belum Diisi (Ketik Rumus di Sel Kuning E22)", IF(E22='99_KUNCI_JAWABAN'!F180,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300</v>
      </c>
    </row>
    <row r="24">
      <c r="B24" s="19" t="inlineStr">
        <is>
          <t>Cabang Medan</t>
        </is>
      </c>
      <c r="C24" s="19" t="n">
        <v>400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 Data</t>
        </is>
      </c>
      <c r="C28" s="14" t="inlineStr">
        <is>
          <t>Nilai Input</t>
        </is>
      </c>
      <c r="E28" s="27" t="inlineStr">
        <is>
          <t>Persoalan Tes #2: Gunakan fungsi IFERROR untuk membungkus pembagian C29 dibagi 2, dan berikan nilai cadangan 0 jika terjadi error!</t>
        </is>
      </c>
    </row>
    <row r="29">
      <c r="B29" s="19" t="inlineStr">
        <is>
          <t>Budi Santoso</t>
        </is>
      </c>
      <c r="C29" s="19" t="n">
        <v>240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200</v>
      </c>
      <c r="E30" s="28" t="n"/>
      <c r="F30" s="29">
        <f>IF(ISBLANK(E30), "⏳ Belum Diisi (Ketik Rumus di Sel Kuning E30)", IF(E30='99_KUNCI_JAWABAN'!F181,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300</v>
      </c>
    </row>
    <row r="32">
      <c r="B32" s="19" t="inlineStr">
        <is>
          <t>Rina Wijaya</t>
        </is>
      </c>
      <c r="C32" s="19" t="n">
        <v>400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 Data</t>
        </is>
      </c>
      <c r="C36" s="14" t="inlineStr">
        <is>
          <t>Nilai Input</t>
        </is>
      </c>
      <c r="E36" s="27" t="inlineStr">
        <is>
          <t>Persoalan Tes #3: Gunakan fungsi IFERROR untuk membungkus pembagian C37 dibagi 2, dan berikan nilai cadangan 0 jika terjadi error!</t>
        </is>
      </c>
    </row>
    <row r="37">
      <c r="B37" s="19" t="inlineStr">
        <is>
          <t>Gudang Blok A</t>
        </is>
      </c>
      <c r="C37" s="19" t="n">
        <v>360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200</v>
      </c>
      <c r="E38" s="28" t="n"/>
      <c r="F38" s="29">
        <f>IF(ISBLANK(E38), "⏳ Belum Diisi (Ketik Rumus di Sel Kuning E38)", IF(E38='99_KUNCI_JAWABAN'!F182,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300</v>
      </c>
    </row>
    <row r="40">
      <c r="B40" s="19" t="inlineStr">
        <is>
          <t>Gudang Blok D</t>
        </is>
      </c>
      <c r="C40" s="19" t="n">
        <v>400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 Data</t>
        </is>
      </c>
      <c r="C44" s="14" t="inlineStr">
        <is>
          <t>Nilai Input</t>
        </is>
      </c>
      <c r="E44" s="27" t="inlineStr">
        <is>
          <t>Persoalan Tes #4: Gunakan fungsi IFERROR untuk membungkus pembagian C45 dibagi 2, dan berikan nilai cadangan 0 jika terjadi error!</t>
        </is>
      </c>
    </row>
    <row r="45">
      <c r="B45" s="19" t="inlineStr">
        <is>
          <t>Toko Elektronik</t>
        </is>
      </c>
      <c r="C45" s="19" t="n">
        <v>480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200</v>
      </c>
      <c r="E46" s="28" t="n"/>
      <c r="F46" s="29">
        <f>IF(ISBLANK(E46), "⏳ Belum Diisi (Ketik Rumus di Sel Kuning E46)", IF(E46='99_KUNCI_JAWABAN'!F183,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300</v>
      </c>
    </row>
    <row r="48">
      <c r="B48" s="19" t="inlineStr">
        <is>
          <t>Toko Servis</t>
        </is>
      </c>
      <c r="C48" s="19" t="n">
        <v>400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 Data</t>
        </is>
      </c>
      <c r="C52" s="14" t="inlineStr">
        <is>
          <t>Nilai Input</t>
        </is>
      </c>
      <c r="E52" s="27" t="inlineStr">
        <is>
          <t>Persoalan Tes #5: Gunakan fungsi IFERROR untuk membungkus pembagian C53 dibagi 2, dan berikan nilai cadangan 0 jika terjadi error!</t>
        </is>
      </c>
    </row>
    <row r="53">
      <c r="B53" s="19" t="inlineStr">
        <is>
          <t>Kelas 10 IPA</t>
        </is>
      </c>
      <c r="C53" s="19" t="n">
        <v>600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200</v>
      </c>
      <c r="E54" s="28" t="n"/>
      <c r="F54" s="29">
        <f>IF(ISBLANK(E54), "⏳ Belum Diisi (Ketik Rumus di Sel Kuning E54)", IF(E54='99_KUNCI_JAWABAN'!F184,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300</v>
      </c>
    </row>
    <row r="56">
      <c r="B56" s="19" t="inlineStr">
        <is>
          <t>Kelas Unggulan</t>
        </is>
      </c>
      <c r="C56" s="19" t="n">
        <v>400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#037 — RUMUS EXCEL: IFNA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(IFNA)</t>
        </is>
      </c>
    </row>
    <row r="5" ht="21" customHeight="1">
      <c r="B5" s="14" t="inlineStr">
        <is>
          <t>Nama Rumus Excel</t>
        </is>
      </c>
      <c r="C5" s="15">
        <f>IFNA(...)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IFNA(rumus_lookup, nilai_jika_NA)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Penangkap khusus error #N/A saat pencarian VLOOKUP/MATCH tidak menemukan data yang dicari.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IFNA DI SINI)</t>
        </is>
      </c>
    </row>
    <row r="10">
      <c r="B10" s="18" t="inlineStr">
        <is>
          <t>Item Data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720</v>
      </c>
      <c r="E11" s="20" t="inlineStr">
        <is>
          <t>Contoh Soal:</t>
        </is>
      </c>
      <c r="F11" s="21" t="inlineStr">
        <is>
          <t>Gunakan fungsi IFNA untuk membungkus pembagian C11 dibagi 2, dan berikan nilai cadangan 0 jika terjadi error!</t>
        </is>
      </c>
      <c r="G11" s="5" t="n"/>
    </row>
    <row r="12">
      <c r="B12" s="19" t="inlineStr">
        <is>
          <t>Simulasi Unit B</t>
        </is>
      </c>
      <c r="C12" s="19" t="n">
        <v>200</v>
      </c>
      <c r="E12" s="20" t="inlineStr">
        <is>
          <t>Contoh Rumus Benar:</t>
        </is>
      </c>
      <c r="F12" s="22" t="inlineStr">
        <is>
          <t>'=IFNA(C11/2, 0)</t>
        </is>
      </c>
      <c r="G12" s="5" t="n"/>
    </row>
    <row r="13">
      <c r="B13" s="19" t="inlineStr">
        <is>
          <t>Simulasi Unit C</t>
        </is>
      </c>
      <c r="C13" s="19" t="n">
        <v>300</v>
      </c>
      <c r="E13" s="20" t="inlineStr">
        <is>
          <t>Contoh Hasil Benar:</t>
        </is>
      </c>
      <c r="F13" s="23">
        <f>IFNA(C11/2, 0)</f>
        <v/>
      </c>
      <c r="G13" s="5" t="n"/>
    </row>
    <row r="14">
      <c r="B14" s="19" t="inlineStr">
        <is>
          <t>Simulasi Unit D</t>
        </is>
      </c>
      <c r="C14" s="19" t="n">
        <v>400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 Data</t>
        </is>
      </c>
      <c r="C20" s="14" t="inlineStr">
        <is>
          <t>Nilai Input</t>
        </is>
      </c>
      <c r="E20" s="27" t="inlineStr">
        <is>
          <t>Persoalan Tes #1: Gunakan fungsi IFNA untuk membungkus pembagian C21 dibagi 2, dan berikan nilai cadangan 0 jika terjadi error!</t>
        </is>
      </c>
    </row>
    <row r="21">
      <c r="B21" s="19" t="inlineStr">
        <is>
          <t>Cabang Jakarta</t>
        </is>
      </c>
      <c r="C21" s="19" t="n">
        <v>120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200</v>
      </c>
      <c r="E22" s="28" t="n"/>
      <c r="F22" s="29">
        <f>IF(ISBLANK(E22), "⏳ Belum Diisi (Ketik Rumus di Sel Kuning E22)", IF(E22='99_KUNCI_JAWABAN'!F185,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300</v>
      </c>
    </row>
    <row r="24">
      <c r="B24" s="19" t="inlineStr">
        <is>
          <t>Cabang Medan</t>
        </is>
      </c>
      <c r="C24" s="19" t="n">
        <v>400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 Data</t>
        </is>
      </c>
      <c r="C28" s="14" t="inlineStr">
        <is>
          <t>Nilai Input</t>
        </is>
      </c>
      <c r="E28" s="27" t="inlineStr">
        <is>
          <t>Persoalan Tes #2: Gunakan fungsi IFNA untuk membungkus pembagian C29 dibagi 2, dan berikan nilai cadangan 0 jika terjadi error!</t>
        </is>
      </c>
    </row>
    <row r="29">
      <c r="B29" s="19" t="inlineStr">
        <is>
          <t>Budi Santoso</t>
        </is>
      </c>
      <c r="C29" s="19" t="n">
        <v>240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200</v>
      </c>
      <c r="E30" s="28" t="n"/>
      <c r="F30" s="29">
        <f>IF(ISBLANK(E30), "⏳ Belum Diisi (Ketik Rumus di Sel Kuning E30)", IF(E30='99_KUNCI_JAWABAN'!F186,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300</v>
      </c>
    </row>
    <row r="32">
      <c r="B32" s="19" t="inlineStr">
        <is>
          <t>Rina Wijaya</t>
        </is>
      </c>
      <c r="C32" s="19" t="n">
        <v>400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 Data</t>
        </is>
      </c>
      <c r="C36" s="14" t="inlineStr">
        <is>
          <t>Nilai Input</t>
        </is>
      </c>
      <c r="E36" s="27" t="inlineStr">
        <is>
          <t>Persoalan Tes #3: Gunakan fungsi IFNA untuk membungkus pembagian C37 dibagi 2, dan berikan nilai cadangan 0 jika terjadi error!</t>
        </is>
      </c>
    </row>
    <row r="37">
      <c r="B37" s="19" t="inlineStr">
        <is>
          <t>Gudang Blok A</t>
        </is>
      </c>
      <c r="C37" s="19" t="n">
        <v>360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200</v>
      </c>
      <c r="E38" s="28" t="n"/>
      <c r="F38" s="29">
        <f>IF(ISBLANK(E38), "⏳ Belum Diisi (Ketik Rumus di Sel Kuning E38)", IF(E38='99_KUNCI_JAWABAN'!F187,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300</v>
      </c>
    </row>
    <row r="40">
      <c r="B40" s="19" t="inlineStr">
        <is>
          <t>Gudang Blok D</t>
        </is>
      </c>
      <c r="C40" s="19" t="n">
        <v>400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 Data</t>
        </is>
      </c>
      <c r="C44" s="14" t="inlineStr">
        <is>
          <t>Nilai Input</t>
        </is>
      </c>
      <c r="E44" s="27" t="inlineStr">
        <is>
          <t>Persoalan Tes #4: Gunakan fungsi IFNA untuk membungkus pembagian C45 dibagi 2, dan berikan nilai cadangan 0 jika terjadi error!</t>
        </is>
      </c>
    </row>
    <row r="45">
      <c r="B45" s="19" t="inlineStr">
        <is>
          <t>Toko Elektronik</t>
        </is>
      </c>
      <c r="C45" s="19" t="n">
        <v>480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200</v>
      </c>
      <c r="E46" s="28" t="n"/>
      <c r="F46" s="29">
        <f>IF(ISBLANK(E46), "⏳ Belum Diisi (Ketik Rumus di Sel Kuning E46)", IF(E46='99_KUNCI_JAWABAN'!F188,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300</v>
      </c>
    </row>
    <row r="48">
      <c r="B48" s="19" t="inlineStr">
        <is>
          <t>Toko Servis</t>
        </is>
      </c>
      <c r="C48" s="19" t="n">
        <v>400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 Data</t>
        </is>
      </c>
      <c r="C52" s="14" t="inlineStr">
        <is>
          <t>Nilai Input</t>
        </is>
      </c>
      <c r="E52" s="27" t="inlineStr">
        <is>
          <t>Persoalan Tes #5: Gunakan fungsi IFNA untuk membungkus pembagian C53 dibagi 2, dan berikan nilai cadangan 0 jika terjadi error!</t>
        </is>
      </c>
    </row>
    <row r="53">
      <c r="B53" s="19" t="inlineStr">
        <is>
          <t>Kelas 10 IPA</t>
        </is>
      </c>
      <c r="C53" s="19" t="n">
        <v>600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200</v>
      </c>
      <c r="E54" s="28" t="n"/>
      <c r="F54" s="29">
        <f>IF(ISBLANK(E54), "⏳ Belum Diisi (Ketik Rumus di Sel Kuning E54)", IF(E54='99_KUNCI_JAWABAN'!F189,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300</v>
      </c>
    </row>
    <row r="56">
      <c r="B56" s="19" t="inlineStr">
        <is>
          <t>Kelas Unggulan</t>
        </is>
      </c>
      <c r="C56" s="19" t="n">
        <v>400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#038 — RUMUS EXCEL: TRUE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(TRUE)</t>
        </is>
      </c>
    </row>
    <row r="5" ht="21" customHeight="1">
      <c r="B5" s="14" t="inlineStr">
        <is>
          <t>Nama Rumus Excel</t>
        </is>
      </c>
      <c r="C5" s="15">
        <f>TRUE(...)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TRUE()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nilai logika benar (TRUE) secara eksplisit untuk tabel kebenaran atau saklar laporan keuangan.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TRUE DI SINI)</t>
        </is>
      </c>
    </row>
    <row r="10">
      <c r="B10" s="18" t="inlineStr">
        <is>
          <t>Item</t>
        </is>
      </c>
      <c r="C10" s="18" t="inlineStr">
        <is>
          <t>Nilai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Panggil fungsi konstanta logika TRUE tanpa argumen di dalam kurung!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'=TRUE()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TRUE()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</t>
        </is>
      </c>
      <c r="C20" s="14" t="inlineStr">
        <is>
          <t>Nilai</t>
        </is>
      </c>
      <c r="E20" s="27" t="inlineStr">
        <is>
          <t>Persoalan Tes #1: Panggil fungsi konstanta logika TRUE tanpa argumen di dalam kurung!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IF(E22='99_KUNCI_JAWABAN'!F190,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</t>
        </is>
      </c>
      <c r="C28" s="14" t="inlineStr">
        <is>
          <t>Nilai</t>
        </is>
      </c>
      <c r="E28" s="27" t="inlineStr">
        <is>
          <t>Persoalan Tes #2: Panggil fungsi konstanta logika TRUE tanpa argumen di dalam kurung!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IF(E30='99_KUNCI_JAWABAN'!F191,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</t>
        </is>
      </c>
      <c r="C36" s="14" t="inlineStr">
        <is>
          <t>Nilai</t>
        </is>
      </c>
      <c r="E36" s="27" t="inlineStr">
        <is>
          <t>Persoalan Tes #3: Panggil fungsi konstanta logika TRUE tanpa argumen di dalam kurung!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IF(E38='99_KUNCI_JAWABAN'!F192,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</t>
        </is>
      </c>
      <c r="C44" s="14" t="inlineStr">
        <is>
          <t>Nilai</t>
        </is>
      </c>
      <c r="E44" s="27" t="inlineStr">
        <is>
          <t>Persoalan Tes #4: Panggil fungsi konstanta logika TRUE tanpa argumen di dalam kurung!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IF(E46='99_KUNCI_JAWABAN'!F193,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</t>
        </is>
      </c>
      <c r="C52" s="14" t="inlineStr">
        <is>
          <t>Nilai</t>
        </is>
      </c>
      <c r="E52" s="27" t="inlineStr">
        <is>
          <t>Persoalan Tes #5: Panggil fungsi konstanta logika TRUE tanpa argumen di dalam kurung!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IF(E54='99_KUNCI_JAWABAN'!F194,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#039 — RUMUS EXCEL: FALSE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(FALSE)</t>
        </is>
      </c>
    </row>
    <row r="5" ht="21" customHeight="1">
      <c r="B5" s="14" t="inlineStr">
        <is>
          <t>Nama Rumus Excel</t>
        </is>
      </c>
      <c r="C5" s="15">
        <f>FALSE(...)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FALSE()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nilai logika salah (FALSE) secara eksplisit untuk parameter pencarian eksak.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FALSE DI SINI)</t>
        </is>
      </c>
    </row>
    <row r="10">
      <c r="B10" s="18" t="inlineStr">
        <is>
          <t>Item</t>
        </is>
      </c>
      <c r="C10" s="18" t="inlineStr">
        <is>
          <t>Nilai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Panggil fungsi konstanta logika FALSE tanpa argumen di dalam kurung!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'=FALSE()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FALSE()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</t>
        </is>
      </c>
      <c r="C20" s="14" t="inlineStr">
        <is>
          <t>Nilai</t>
        </is>
      </c>
      <c r="E20" s="27" t="inlineStr">
        <is>
          <t>Persoalan Tes #1: Panggil fungsi konstanta logika FALSE tanpa argumen di dalam kurung!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IF(E22='99_KUNCI_JAWABAN'!F195,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</t>
        </is>
      </c>
      <c r="C28" s="14" t="inlineStr">
        <is>
          <t>Nilai</t>
        </is>
      </c>
      <c r="E28" s="27" t="inlineStr">
        <is>
          <t>Persoalan Tes #2: Panggil fungsi konstanta logika FALSE tanpa argumen di dalam kurung!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IF(E30='99_KUNCI_JAWABAN'!F196,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</t>
        </is>
      </c>
      <c r="C36" s="14" t="inlineStr">
        <is>
          <t>Nilai</t>
        </is>
      </c>
      <c r="E36" s="27" t="inlineStr">
        <is>
          <t>Persoalan Tes #3: Panggil fungsi konstanta logika FALSE tanpa argumen di dalam kurung!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IF(E38='99_KUNCI_JAWABAN'!F197,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</t>
        </is>
      </c>
      <c r="C44" s="14" t="inlineStr">
        <is>
          <t>Nilai</t>
        </is>
      </c>
      <c r="E44" s="27" t="inlineStr">
        <is>
          <t>Persoalan Tes #4: Panggil fungsi konstanta logika FALSE tanpa argumen di dalam kurung!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IF(E46='99_KUNCI_JAWABAN'!F198,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</t>
        </is>
      </c>
      <c r="C52" s="14" t="inlineStr">
        <is>
          <t>Nilai</t>
        </is>
      </c>
      <c r="E52" s="27" t="inlineStr">
        <is>
          <t>Persoalan Tes #5: Panggil fungsi konstanta logika FALSE tanpa argumen di dalam kurung!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IF(E54='99_KUNCI_JAWABAN'!F199,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9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8" customWidth="1" min="3" max="3"/>
    <col width="16" customWidth="1" min="4" max="4"/>
    <col width="44" customWidth="1" min="5" max="5"/>
    <col width="28" customWidth="1" min="6" max="6"/>
    <col width="65" customWidth="1" min="7" max="7"/>
  </cols>
  <sheetData>
    <row r="1" ht="32" customHeight="1">
      <c r="A1" s="1" t="inlineStr">
        <is>
          <t>🔑 KUNCI JAWABAN LENGKAP SELURUH SOAL TES (39 RUMUS × 5 SOAL TES = 195 SOAL)</t>
        </is>
      </c>
    </row>
    <row r="2" ht="22" customHeight="1">
      <c r="A2" s="2" t="inlineStr">
        <is>
          <t>Gunakan halaman paling terakhir ini untuk memeriksa Kunci Rumus &amp; Hasil Jawaban Benar setelah Anda selesai mengerjakan Soal Tes di masing-masing sheet!</t>
        </is>
      </c>
      <c r="G2" s="12" t="inlineStr">
        <is>
          <t>⬅️ Kembali ke 00_DAFTAR_ISI</t>
        </is>
      </c>
    </row>
    <row r="4" ht="24" customHeight="1">
      <c r="A4" s="30" t="inlineStr">
        <is>
          <t>No</t>
        </is>
      </c>
      <c r="B4" s="30" t="inlineStr">
        <is>
          <t>Nama Rumus (Sheet)</t>
        </is>
      </c>
      <c r="C4" s="30" t="inlineStr">
        <is>
          <t>Nomor Soal Tes</t>
        </is>
      </c>
      <c r="D4" s="30" t="inlineStr">
        <is>
          <t>Sel Kotak Kuning</t>
        </is>
      </c>
      <c r="E4" s="30" t="inlineStr">
        <is>
          <t>🔑 KUNCI RUMUS (YANG HARUS DIKETIK)</t>
        </is>
      </c>
      <c r="F4" s="30" t="inlineStr">
        <is>
          <t>🎯 HASIL JAWABAN BENAR</t>
        </is>
      </c>
      <c r="G4" s="30" t="inlineStr">
        <is>
          <t>Ringkasan Persoalan Tes</t>
        </is>
      </c>
    </row>
    <row r="5">
      <c r="A5" s="5" t="n">
        <v>1</v>
      </c>
      <c r="B5" s="8" t="inlineStr">
        <is>
          <t>SUM</t>
        </is>
      </c>
      <c r="C5" s="6" t="inlineStr">
        <is>
          <t>Soal Tes #1</t>
        </is>
      </c>
      <c r="D5" s="31" t="inlineStr">
        <is>
          <t>SUM!E22</t>
        </is>
      </c>
      <c r="E5" s="22" t="inlineStr">
        <is>
          <t>'=SUM(C21:C24)</t>
        </is>
      </c>
      <c r="F5" s="32">
        <f>SUM('SUM'!C21:C24)</f>
        <v/>
      </c>
      <c r="G5" s="19" t="inlineStr">
        <is>
          <t>Hitung hasil pengolahan fungsi SUM untuk keempat baris data pada rentang C21:C24!</t>
        </is>
      </c>
    </row>
    <row r="6">
      <c r="A6" s="5" t="n">
        <v>2</v>
      </c>
      <c r="B6" s="8" t="inlineStr">
        <is>
          <t>SUM</t>
        </is>
      </c>
      <c r="C6" s="6" t="inlineStr">
        <is>
          <t>Soal Tes #2</t>
        </is>
      </c>
      <c r="D6" s="31" t="inlineStr">
        <is>
          <t>SUM!E30</t>
        </is>
      </c>
      <c r="E6" s="22" t="inlineStr">
        <is>
          <t>'=SUM(C29:C32)</t>
        </is>
      </c>
      <c r="F6" s="32">
        <f>SUM('SUM'!C29:C32)</f>
        <v/>
      </c>
      <c r="G6" s="19" t="inlineStr">
        <is>
          <t>Hitung hasil pengolahan fungsi SUM untuk keempat baris data pada rentang C29:C32!</t>
        </is>
      </c>
    </row>
    <row r="7">
      <c r="A7" s="5" t="n">
        <v>3</v>
      </c>
      <c r="B7" s="8" t="inlineStr">
        <is>
          <t>SUM</t>
        </is>
      </c>
      <c r="C7" s="6" t="inlineStr">
        <is>
          <t>Soal Tes #3</t>
        </is>
      </c>
      <c r="D7" s="31" t="inlineStr">
        <is>
          <t>SUM!E38</t>
        </is>
      </c>
      <c r="E7" s="22" t="inlineStr">
        <is>
          <t>'=SUM(C37:C40)</t>
        </is>
      </c>
      <c r="F7" s="32">
        <f>SUM('SUM'!C37:C40)</f>
        <v/>
      </c>
      <c r="G7" s="19" t="inlineStr">
        <is>
          <t>Hitung hasil pengolahan fungsi SUM untuk keempat baris data pada rentang C37:C40!</t>
        </is>
      </c>
    </row>
    <row r="8">
      <c r="A8" s="5" t="n">
        <v>4</v>
      </c>
      <c r="B8" s="8" t="inlineStr">
        <is>
          <t>SUM</t>
        </is>
      </c>
      <c r="C8" s="6" t="inlineStr">
        <is>
          <t>Soal Tes #4</t>
        </is>
      </c>
      <c r="D8" s="31" t="inlineStr">
        <is>
          <t>SUM!E46</t>
        </is>
      </c>
      <c r="E8" s="22" t="inlineStr">
        <is>
          <t>'=SUM(C45:C48)</t>
        </is>
      </c>
      <c r="F8" s="32">
        <f>SUM('SUM'!C45:C48)</f>
        <v/>
      </c>
      <c r="G8" s="19" t="inlineStr">
        <is>
          <t>Hitung hasil pengolahan fungsi SUM untuk keempat baris data pada rentang C45:C48!</t>
        </is>
      </c>
    </row>
    <row r="9">
      <c r="A9" s="5" t="n">
        <v>5</v>
      </c>
      <c r="B9" s="8" t="inlineStr">
        <is>
          <t>SUM</t>
        </is>
      </c>
      <c r="C9" s="6" t="inlineStr">
        <is>
          <t>Soal Tes #5</t>
        </is>
      </c>
      <c r="D9" s="31" t="inlineStr">
        <is>
          <t>SUM!E54</t>
        </is>
      </c>
      <c r="E9" s="22" t="inlineStr">
        <is>
          <t>'=SUM(C53:C56)</t>
        </is>
      </c>
      <c r="F9" s="32">
        <f>SUM('SUM'!C53:C56)</f>
        <v/>
      </c>
      <c r="G9" s="19" t="inlineStr">
        <is>
          <t>Hitung hasil pengolahan fungsi SUM untuk keempat baris data pada rentang C53:C56!</t>
        </is>
      </c>
    </row>
    <row r="10">
      <c r="A10" s="5" t="n">
        <v>6</v>
      </c>
      <c r="B10" s="8" t="inlineStr">
        <is>
          <t>SUMIF</t>
        </is>
      </c>
      <c r="C10" s="6" t="inlineStr">
        <is>
          <t>Soal Tes #1</t>
        </is>
      </c>
      <c r="D10" s="31" t="inlineStr">
        <is>
          <t>SUMIF!E22</t>
        </is>
      </c>
      <c r="E10" s="22" t="inlineStr">
        <is>
          <t>'=SUMIF(B21:B24, "Pusat", C21:C24)</t>
        </is>
      </c>
      <c r="F10" s="32">
        <f>SUMIF('SUMIF'!B21:B24, "Pusat", 'SUMIF'!C21:C24)</f>
        <v/>
      </c>
      <c r="G10" s="19" t="inlineStr">
        <is>
          <t>Gunakan fungsi SUMIF untuk mengolah data khusus kategori "Pusat" saja (rentang kategori di B21:B24 dan rentang nilai di C21:C24)!</t>
        </is>
      </c>
    </row>
    <row r="11">
      <c r="A11" s="5" t="n">
        <v>7</v>
      </c>
      <c r="B11" s="8" t="inlineStr">
        <is>
          <t>SUMIF</t>
        </is>
      </c>
      <c r="C11" s="6" t="inlineStr">
        <is>
          <t>Soal Tes #2</t>
        </is>
      </c>
      <c r="D11" s="31" t="inlineStr">
        <is>
          <t>SUMIF!E30</t>
        </is>
      </c>
      <c r="E11" s="22" t="inlineStr">
        <is>
          <t>'=SUMIF(B29:B32, "Pusat", C29:C32)</t>
        </is>
      </c>
      <c r="F11" s="32">
        <f>SUMIF('SUMIF'!B29:B32, "Pusat", 'SUMIF'!C29:C32)</f>
        <v/>
      </c>
      <c r="G11" s="19" t="inlineStr">
        <is>
          <t>Gunakan fungsi SUMIF untuk mengolah data khusus kategori "Pusat" saja (rentang kategori di B29:B32 dan rentang nilai di C29:C32)!</t>
        </is>
      </c>
    </row>
    <row r="12">
      <c r="A12" s="5" t="n">
        <v>8</v>
      </c>
      <c r="B12" s="8" t="inlineStr">
        <is>
          <t>SUMIF</t>
        </is>
      </c>
      <c r="C12" s="6" t="inlineStr">
        <is>
          <t>Soal Tes #3</t>
        </is>
      </c>
      <c r="D12" s="31" t="inlineStr">
        <is>
          <t>SUMIF!E38</t>
        </is>
      </c>
      <c r="E12" s="22" t="inlineStr">
        <is>
          <t>'=SUMIF(B37:B40, "Pusat", C37:C40)</t>
        </is>
      </c>
      <c r="F12" s="32">
        <f>SUMIF('SUMIF'!B37:B40, "Pusat", 'SUMIF'!C37:C40)</f>
        <v/>
      </c>
      <c r="G12" s="19" t="inlineStr">
        <is>
          <t>Gunakan fungsi SUMIF untuk mengolah data khusus kategori "Pusat" saja (rentang kategori di B37:B40 dan rentang nilai di C37:C40)!</t>
        </is>
      </c>
    </row>
    <row r="13">
      <c r="A13" s="5" t="n">
        <v>9</v>
      </c>
      <c r="B13" s="8" t="inlineStr">
        <is>
          <t>SUMIF</t>
        </is>
      </c>
      <c r="C13" s="6" t="inlineStr">
        <is>
          <t>Soal Tes #4</t>
        </is>
      </c>
      <c r="D13" s="31" t="inlineStr">
        <is>
          <t>SUMIF!E46</t>
        </is>
      </c>
      <c r="E13" s="22" t="inlineStr">
        <is>
          <t>'=SUMIF(B45:B48, "Pusat", C45:C48)</t>
        </is>
      </c>
      <c r="F13" s="32">
        <f>SUMIF('SUMIF'!B45:B48, "Pusat", 'SUMIF'!C45:C48)</f>
        <v/>
      </c>
      <c r="G13" s="19" t="inlineStr">
        <is>
          <t>Gunakan fungsi SUMIF untuk mengolah data khusus kategori "Pusat" saja (rentang kategori di B45:B48 dan rentang nilai di C45:C48)!</t>
        </is>
      </c>
    </row>
    <row r="14">
      <c r="A14" s="5" t="n">
        <v>10</v>
      </c>
      <c r="B14" s="8" t="inlineStr">
        <is>
          <t>SUMIF</t>
        </is>
      </c>
      <c r="C14" s="6" t="inlineStr">
        <is>
          <t>Soal Tes #5</t>
        </is>
      </c>
      <c r="D14" s="31" t="inlineStr">
        <is>
          <t>SUMIF!E54</t>
        </is>
      </c>
      <c r="E14" s="22" t="inlineStr">
        <is>
          <t>'=SUMIF(B53:B56, "Pusat", C53:C56)</t>
        </is>
      </c>
      <c r="F14" s="32">
        <f>SUMIF('SUMIF'!B53:B56, "Pusat", 'SUMIF'!C53:C56)</f>
        <v/>
      </c>
      <c r="G14" s="19" t="inlineStr">
        <is>
          <t>Gunakan fungsi SUMIF untuk mengolah data khusus kategori "Pusat" saja (rentang kategori di B53:B56 dan rentang nilai di C53:C56)!</t>
        </is>
      </c>
    </row>
    <row r="15">
      <c r="A15" s="5" t="n">
        <v>11</v>
      </c>
      <c r="B15" s="8" t="inlineStr">
        <is>
          <t>SUMIFS</t>
        </is>
      </c>
      <c r="C15" s="6" t="inlineStr">
        <is>
          <t>Soal Tes #1</t>
        </is>
      </c>
      <c r="D15" s="31" t="inlineStr">
        <is>
          <t>SUMIFS!E22</t>
        </is>
      </c>
      <c r="E15" s="22" t="inlineStr">
        <is>
          <t>'=SUMIFS(C21:C24, B21:B24, "Aktif")</t>
        </is>
      </c>
      <c r="F15" s="32">
        <f>SUMIFS('SUMIFS'!C21:C24, 'SUMIFS'!B21:B24, "Aktif")</f>
        <v/>
      </c>
      <c r="G15" s="19" t="inlineStr">
        <is>
          <t>Gunakan fungsi SUMIFS untuk mengolah nilai di C21:C24 khusus baris yang berstatus "Aktif" pada kolom B21:B24!</t>
        </is>
      </c>
    </row>
    <row r="16">
      <c r="A16" s="5" t="n">
        <v>12</v>
      </c>
      <c r="B16" s="8" t="inlineStr">
        <is>
          <t>SUMIFS</t>
        </is>
      </c>
      <c r="C16" s="6" t="inlineStr">
        <is>
          <t>Soal Tes #2</t>
        </is>
      </c>
      <c r="D16" s="31" t="inlineStr">
        <is>
          <t>SUMIFS!E30</t>
        </is>
      </c>
      <c r="E16" s="22" t="inlineStr">
        <is>
          <t>'=SUMIFS(C29:C32, B29:B32, "Aktif")</t>
        </is>
      </c>
      <c r="F16" s="32">
        <f>SUMIFS('SUMIFS'!C29:C32, 'SUMIFS'!B29:B32, "Aktif")</f>
        <v/>
      </c>
      <c r="G16" s="19" t="inlineStr">
        <is>
          <t>Gunakan fungsi SUMIFS untuk mengolah nilai di C29:C32 khusus baris yang berstatus "Aktif" pada kolom B29:B32!</t>
        </is>
      </c>
    </row>
    <row r="17">
      <c r="A17" s="5" t="n">
        <v>13</v>
      </c>
      <c r="B17" s="8" t="inlineStr">
        <is>
          <t>SUMIFS</t>
        </is>
      </c>
      <c r="C17" s="6" t="inlineStr">
        <is>
          <t>Soal Tes #3</t>
        </is>
      </c>
      <c r="D17" s="31" t="inlineStr">
        <is>
          <t>SUMIFS!E38</t>
        </is>
      </c>
      <c r="E17" s="22" t="inlineStr">
        <is>
          <t>'=SUMIFS(C37:C40, B37:B40, "Aktif")</t>
        </is>
      </c>
      <c r="F17" s="32">
        <f>SUMIFS('SUMIFS'!C37:C40, 'SUMIFS'!B37:B40, "Aktif")</f>
        <v/>
      </c>
      <c r="G17" s="19" t="inlineStr">
        <is>
          <t>Gunakan fungsi SUMIFS untuk mengolah nilai di C37:C40 khusus baris yang berstatus "Aktif" pada kolom B37:B40!</t>
        </is>
      </c>
    </row>
    <row r="18">
      <c r="A18" s="5" t="n">
        <v>14</v>
      </c>
      <c r="B18" s="8" t="inlineStr">
        <is>
          <t>SUMIFS</t>
        </is>
      </c>
      <c r="C18" s="6" t="inlineStr">
        <is>
          <t>Soal Tes #4</t>
        </is>
      </c>
      <c r="D18" s="31" t="inlineStr">
        <is>
          <t>SUMIFS!E46</t>
        </is>
      </c>
      <c r="E18" s="22" t="inlineStr">
        <is>
          <t>'=SUMIFS(C45:C48, B45:B48, "Aktif")</t>
        </is>
      </c>
      <c r="F18" s="32">
        <f>SUMIFS('SUMIFS'!C45:C48, 'SUMIFS'!B45:B48, "Aktif")</f>
        <v/>
      </c>
      <c r="G18" s="19" t="inlineStr">
        <is>
          <t>Gunakan fungsi SUMIFS untuk mengolah nilai di C45:C48 khusus baris yang berstatus "Aktif" pada kolom B45:B48!</t>
        </is>
      </c>
    </row>
    <row r="19">
      <c r="A19" s="5" t="n">
        <v>15</v>
      </c>
      <c r="B19" s="8" t="inlineStr">
        <is>
          <t>SUMIFS</t>
        </is>
      </c>
      <c r="C19" s="6" t="inlineStr">
        <is>
          <t>Soal Tes #5</t>
        </is>
      </c>
      <c r="D19" s="31" t="inlineStr">
        <is>
          <t>SUMIFS!E54</t>
        </is>
      </c>
      <c r="E19" s="22" t="inlineStr">
        <is>
          <t>'=SUMIFS(C53:C56, B53:B56, "Aktif")</t>
        </is>
      </c>
      <c r="F19" s="32">
        <f>SUMIFS('SUMIFS'!C53:C56, 'SUMIFS'!B53:B56, "Aktif")</f>
        <v/>
      </c>
      <c r="G19" s="19" t="inlineStr">
        <is>
          <t>Gunakan fungsi SUMIFS untuk mengolah nilai di C53:C56 khusus baris yang berstatus "Aktif" pada kolom B53:B56!</t>
        </is>
      </c>
    </row>
    <row r="20">
      <c r="A20" s="5" t="n">
        <v>16</v>
      </c>
      <c r="B20" s="8" t="inlineStr">
        <is>
          <t>PRODUCT</t>
        </is>
      </c>
      <c r="C20" s="6" t="inlineStr">
        <is>
          <t>Soal Tes #1</t>
        </is>
      </c>
      <c r="D20" s="31" t="inlineStr">
        <is>
          <t>PRODUCT!E22</t>
        </is>
      </c>
      <c r="E20" s="22" t="inlineStr">
        <is>
          <t>'=PRODUCT(C21:C24)</t>
        </is>
      </c>
      <c r="F20" s="32">
        <f>PRODUCT('PRODUCT'!C21:C24)</f>
        <v/>
      </c>
      <c r="G20" s="19" t="inlineStr">
        <is>
          <t>Hitung hasil pengolahan fungsi PRODUCT untuk keempat baris data pada rentang C21:C24!</t>
        </is>
      </c>
    </row>
    <row r="21">
      <c r="A21" s="5" t="n">
        <v>17</v>
      </c>
      <c r="B21" s="8" t="inlineStr">
        <is>
          <t>PRODUCT</t>
        </is>
      </c>
      <c r="C21" s="6" t="inlineStr">
        <is>
          <t>Soal Tes #2</t>
        </is>
      </c>
      <c r="D21" s="31" t="inlineStr">
        <is>
          <t>PRODUCT!E30</t>
        </is>
      </c>
      <c r="E21" s="22" t="inlineStr">
        <is>
          <t>'=PRODUCT(C29:C32)</t>
        </is>
      </c>
      <c r="F21" s="32">
        <f>PRODUCT('PRODUCT'!C29:C32)</f>
        <v/>
      </c>
      <c r="G21" s="19" t="inlineStr">
        <is>
          <t>Hitung hasil pengolahan fungsi PRODUCT untuk keempat baris data pada rentang C29:C32!</t>
        </is>
      </c>
    </row>
    <row r="22">
      <c r="A22" s="5" t="n">
        <v>18</v>
      </c>
      <c r="B22" s="8" t="inlineStr">
        <is>
          <t>PRODUCT</t>
        </is>
      </c>
      <c r="C22" s="6" t="inlineStr">
        <is>
          <t>Soal Tes #3</t>
        </is>
      </c>
      <c r="D22" s="31" t="inlineStr">
        <is>
          <t>PRODUCT!E38</t>
        </is>
      </c>
      <c r="E22" s="22" t="inlineStr">
        <is>
          <t>'=PRODUCT(C37:C40)</t>
        </is>
      </c>
      <c r="F22" s="32">
        <f>PRODUCT('PRODUCT'!C37:C40)</f>
        <v/>
      </c>
      <c r="G22" s="19" t="inlineStr">
        <is>
          <t>Hitung hasil pengolahan fungsi PRODUCT untuk keempat baris data pada rentang C37:C40!</t>
        </is>
      </c>
    </row>
    <row r="23">
      <c r="A23" s="5" t="n">
        <v>19</v>
      </c>
      <c r="B23" s="8" t="inlineStr">
        <is>
          <t>PRODUCT</t>
        </is>
      </c>
      <c r="C23" s="6" t="inlineStr">
        <is>
          <t>Soal Tes #4</t>
        </is>
      </c>
      <c r="D23" s="31" t="inlineStr">
        <is>
          <t>PRODUCT!E46</t>
        </is>
      </c>
      <c r="E23" s="22" t="inlineStr">
        <is>
          <t>'=PRODUCT(C45:C48)</t>
        </is>
      </c>
      <c r="F23" s="32">
        <f>PRODUCT('PRODUCT'!C45:C48)</f>
        <v/>
      </c>
      <c r="G23" s="19" t="inlineStr">
        <is>
          <t>Hitung hasil pengolahan fungsi PRODUCT untuk keempat baris data pada rentang C45:C48!</t>
        </is>
      </c>
    </row>
    <row r="24">
      <c r="A24" s="5" t="n">
        <v>20</v>
      </c>
      <c r="B24" s="8" t="inlineStr">
        <is>
          <t>PRODUCT</t>
        </is>
      </c>
      <c r="C24" s="6" t="inlineStr">
        <is>
          <t>Soal Tes #5</t>
        </is>
      </c>
      <c r="D24" s="31" t="inlineStr">
        <is>
          <t>PRODUCT!E54</t>
        </is>
      </c>
      <c r="E24" s="22" t="inlineStr">
        <is>
          <t>'=PRODUCT(C53:C56)</t>
        </is>
      </c>
      <c r="F24" s="32">
        <f>PRODUCT('PRODUCT'!C53:C56)</f>
        <v/>
      </c>
      <c r="G24" s="19" t="inlineStr">
        <is>
          <t>Hitung hasil pengolahan fungsi PRODUCT untuk keempat baris data pada rentang C53:C56!</t>
        </is>
      </c>
    </row>
    <row r="25">
      <c r="A25" s="5" t="n">
        <v>21</v>
      </c>
      <c r="B25" s="8" t="inlineStr">
        <is>
          <t>SUMPRODUCT</t>
        </is>
      </c>
      <c r="C25" s="6" t="inlineStr">
        <is>
          <t>Soal Tes #1</t>
        </is>
      </c>
      <c r="D25" s="31" t="inlineStr">
        <is>
          <t>SUMPRODUCT!E22</t>
        </is>
      </c>
      <c r="E25" s="22" t="inlineStr">
        <is>
          <t>'=SUMPRODUCT(B21:B24, C21:C24)</t>
        </is>
      </c>
      <c r="F25" s="32">
        <f>SUMPRODUCT('SUMPRODUCT'!B21:B24, 'SUMPRODUCT'!C21:C24)</f>
        <v/>
      </c>
      <c r="G25" s="19" t="inlineStr">
        <is>
          <t>Kalikan kolom Qty Barang (B21:B24) dengan Harga Satuan (C21:C24) lalu jumlahkan totalnya sekaligus menggunakan fungsi SUMPRODUCT!</t>
        </is>
      </c>
    </row>
    <row r="26">
      <c r="A26" s="5" t="n">
        <v>22</v>
      </c>
      <c r="B26" s="8" t="inlineStr">
        <is>
          <t>SUMPRODUCT</t>
        </is>
      </c>
      <c r="C26" s="6" t="inlineStr">
        <is>
          <t>Soal Tes #2</t>
        </is>
      </c>
      <c r="D26" s="31" t="inlineStr">
        <is>
          <t>SUMPRODUCT!E30</t>
        </is>
      </c>
      <c r="E26" s="22" t="inlineStr">
        <is>
          <t>'=SUMPRODUCT(B29:B32, C29:C32)</t>
        </is>
      </c>
      <c r="F26" s="32">
        <f>SUMPRODUCT('SUMPRODUCT'!B29:B32, 'SUMPRODUCT'!C29:C32)</f>
        <v/>
      </c>
      <c r="G26" s="19" t="inlineStr">
        <is>
          <t>Kalikan kolom Qty Barang (B29:B32) dengan Harga Satuan (C29:C32) lalu jumlahkan totalnya sekaligus menggunakan fungsi SUMPRODUCT!</t>
        </is>
      </c>
    </row>
    <row r="27">
      <c r="A27" s="5" t="n">
        <v>23</v>
      </c>
      <c r="B27" s="8" t="inlineStr">
        <is>
          <t>SUMPRODUCT</t>
        </is>
      </c>
      <c r="C27" s="6" t="inlineStr">
        <is>
          <t>Soal Tes #3</t>
        </is>
      </c>
      <c r="D27" s="31" t="inlineStr">
        <is>
          <t>SUMPRODUCT!E38</t>
        </is>
      </c>
      <c r="E27" s="22" t="inlineStr">
        <is>
          <t>'=SUMPRODUCT(B37:B40, C37:C40)</t>
        </is>
      </c>
      <c r="F27" s="32">
        <f>SUMPRODUCT('SUMPRODUCT'!B37:B40, 'SUMPRODUCT'!C37:C40)</f>
        <v/>
      </c>
      <c r="G27" s="19" t="inlineStr">
        <is>
          <t>Kalikan kolom Qty Barang (B37:B40) dengan Harga Satuan (C37:C40) lalu jumlahkan totalnya sekaligus menggunakan fungsi SUMPRODUCT!</t>
        </is>
      </c>
    </row>
    <row r="28">
      <c r="A28" s="5" t="n">
        <v>24</v>
      </c>
      <c r="B28" s="8" t="inlineStr">
        <is>
          <t>SUMPRODUCT</t>
        </is>
      </c>
      <c r="C28" s="6" t="inlineStr">
        <is>
          <t>Soal Tes #4</t>
        </is>
      </c>
      <c r="D28" s="31" t="inlineStr">
        <is>
          <t>SUMPRODUCT!E46</t>
        </is>
      </c>
      <c r="E28" s="22" t="inlineStr">
        <is>
          <t>'=SUMPRODUCT(B45:B48, C45:C48)</t>
        </is>
      </c>
      <c r="F28" s="32">
        <f>SUMPRODUCT('SUMPRODUCT'!B45:B48, 'SUMPRODUCT'!C45:C48)</f>
        <v/>
      </c>
      <c r="G28" s="19" t="inlineStr">
        <is>
          <t>Kalikan kolom Qty Barang (B45:B48) dengan Harga Satuan (C45:C48) lalu jumlahkan totalnya sekaligus menggunakan fungsi SUMPRODUCT!</t>
        </is>
      </c>
    </row>
    <row r="29">
      <c r="A29" s="5" t="n">
        <v>25</v>
      </c>
      <c r="B29" s="8" t="inlineStr">
        <is>
          <t>SUMPRODUCT</t>
        </is>
      </c>
      <c r="C29" s="6" t="inlineStr">
        <is>
          <t>Soal Tes #5</t>
        </is>
      </c>
      <c r="D29" s="31" t="inlineStr">
        <is>
          <t>SUMPRODUCT!E54</t>
        </is>
      </c>
      <c r="E29" s="22" t="inlineStr">
        <is>
          <t>'=SUMPRODUCT(B53:B56, C53:C56)</t>
        </is>
      </c>
      <c r="F29" s="32">
        <f>SUMPRODUCT('SUMPRODUCT'!B53:B56, 'SUMPRODUCT'!C53:C56)</f>
        <v/>
      </c>
      <c r="G29" s="19" t="inlineStr">
        <is>
          <t>Kalikan kolom Qty Barang (B53:B56) dengan Harga Satuan (C53:C56) lalu jumlahkan totalnya sekaligus menggunakan fungsi SUMPRODUCT!</t>
        </is>
      </c>
    </row>
    <row r="30">
      <c r="A30" s="5" t="n">
        <v>26</v>
      </c>
      <c r="B30" s="8" t="inlineStr">
        <is>
          <t>ROUND</t>
        </is>
      </c>
      <c r="C30" s="6" t="inlineStr">
        <is>
          <t>Soal Tes #1</t>
        </is>
      </c>
      <c r="D30" s="31" t="inlineStr">
        <is>
          <t>ROUND!E22</t>
        </is>
      </c>
      <c r="E30" s="22" t="inlineStr">
        <is>
          <t>'=ROUND(C21, 1)</t>
        </is>
      </c>
      <c r="F30" s="32">
        <f>ROUND('ROUND'!C21, 1)</f>
        <v/>
      </c>
      <c r="G30" s="19" t="inlineStr">
        <is>
          <t>Bulatkan nilai desimal pada sel C21 (124.789) menjadi 1 angka di belakang koma menggunakan fungsi ROUND!</t>
        </is>
      </c>
    </row>
    <row r="31">
      <c r="A31" s="5" t="n">
        <v>27</v>
      </c>
      <c r="B31" s="8" t="inlineStr">
        <is>
          <t>ROUND</t>
        </is>
      </c>
      <c r="C31" s="6" t="inlineStr">
        <is>
          <t>Soal Tes #2</t>
        </is>
      </c>
      <c r="D31" s="31" t="inlineStr">
        <is>
          <t>ROUND!E30</t>
        </is>
      </c>
      <c r="E31" s="22" t="inlineStr">
        <is>
          <t>'=ROUND(C29, 1)</t>
        </is>
      </c>
      <c r="F31" s="32">
        <f>ROUND('ROUND'!C29, 1)</f>
        <v/>
      </c>
      <c r="G31" s="19" t="inlineStr">
        <is>
          <t>Bulatkan nilai desimal pada sel C29 (127.889) menjadi 1 angka di belakang koma menggunakan fungsi ROUND!</t>
        </is>
      </c>
    </row>
    <row r="32">
      <c r="A32" s="5" t="n">
        <v>28</v>
      </c>
      <c r="B32" s="8" t="inlineStr">
        <is>
          <t>ROUND</t>
        </is>
      </c>
      <c r="C32" s="6" t="inlineStr">
        <is>
          <t>Soal Tes #3</t>
        </is>
      </c>
      <c r="D32" s="31" t="inlineStr">
        <is>
          <t>ROUND!E38</t>
        </is>
      </c>
      <c r="E32" s="22" t="inlineStr">
        <is>
          <t>'=ROUND(C37, 1)</t>
        </is>
      </c>
      <c r="F32" s="32">
        <f>ROUND('ROUND'!C37, 1)</f>
        <v/>
      </c>
      <c r="G32" s="19" t="inlineStr">
        <is>
          <t>Bulatkan nilai desimal pada sel C37 (130.989) menjadi 1 angka di belakang koma menggunakan fungsi ROUND!</t>
        </is>
      </c>
    </row>
    <row r="33">
      <c r="A33" s="5" t="n">
        <v>29</v>
      </c>
      <c r="B33" s="8" t="inlineStr">
        <is>
          <t>ROUND</t>
        </is>
      </c>
      <c r="C33" s="6" t="inlineStr">
        <is>
          <t>Soal Tes #4</t>
        </is>
      </c>
      <c r="D33" s="31" t="inlineStr">
        <is>
          <t>ROUND!E46</t>
        </is>
      </c>
      <c r="E33" s="22" t="inlineStr">
        <is>
          <t>'=ROUND(C45, 1)</t>
        </is>
      </c>
      <c r="F33" s="32">
        <f>ROUND('ROUND'!C45, 1)</f>
        <v/>
      </c>
      <c r="G33" s="19" t="inlineStr">
        <is>
          <t>Bulatkan nilai desimal pada sel C45 (134.089) menjadi 1 angka di belakang koma menggunakan fungsi ROUND!</t>
        </is>
      </c>
    </row>
    <row r="34">
      <c r="A34" s="5" t="n">
        <v>30</v>
      </c>
      <c r="B34" s="8" t="inlineStr">
        <is>
          <t>ROUND</t>
        </is>
      </c>
      <c r="C34" s="6" t="inlineStr">
        <is>
          <t>Soal Tes #5</t>
        </is>
      </c>
      <c r="D34" s="31" t="inlineStr">
        <is>
          <t>ROUND!E54</t>
        </is>
      </c>
      <c r="E34" s="22" t="inlineStr">
        <is>
          <t>'=ROUND(C53, 1)</t>
        </is>
      </c>
      <c r="F34" s="32">
        <f>ROUND('ROUND'!C53, 1)</f>
        <v/>
      </c>
      <c r="G34" s="19" t="inlineStr">
        <is>
          <t>Bulatkan nilai desimal pada sel C53 (137.189) menjadi 1 angka di belakang koma menggunakan fungsi ROUND!</t>
        </is>
      </c>
    </row>
    <row r="35">
      <c r="A35" s="5" t="n">
        <v>31</v>
      </c>
      <c r="B35" s="8" t="inlineStr">
        <is>
          <t>ROUNDUP</t>
        </is>
      </c>
      <c r="C35" s="6" t="inlineStr">
        <is>
          <t>Soal Tes #1</t>
        </is>
      </c>
      <c r="D35" s="31" t="inlineStr">
        <is>
          <t>ROUNDUP!E22</t>
        </is>
      </c>
      <c r="E35" s="22" t="inlineStr">
        <is>
          <t>'=ROUNDUP(C21, 1)</t>
        </is>
      </c>
      <c r="F35" s="32">
        <f>ROUNDUP('ROUNDUP'!C21, 1)</f>
        <v/>
      </c>
      <c r="G35" s="19" t="inlineStr">
        <is>
          <t>Bulatkan nilai desimal pada sel C21 (124.789) menjadi 1 angka di belakang koma menggunakan fungsi ROUNDUP!</t>
        </is>
      </c>
    </row>
    <row r="36">
      <c r="A36" s="5" t="n">
        <v>32</v>
      </c>
      <c r="B36" s="8" t="inlineStr">
        <is>
          <t>ROUNDUP</t>
        </is>
      </c>
      <c r="C36" s="6" t="inlineStr">
        <is>
          <t>Soal Tes #2</t>
        </is>
      </c>
      <c r="D36" s="31" t="inlineStr">
        <is>
          <t>ROUNDUP!E30</t>
        </is>
      </c>
      <c r="E36" s="22" t="inlineStr">
        <is>
          <t>'=ROUNDUP(C29, 1)</t>
        </is>
      </c>
      <c r="F36" s="32">
        <f>ROUNDUP('ROUNDUP'!C29, 1)</f>
        <v/>
      </c>
      <c r="G36" s="19" t="inlineStr">
        <is>
          <t>Bulatkan nilai desimal pada sel C29 (127.889) menjadi 1 angka di belakang koma menggunakan fungsi ROUNDUP!</t>
        </is>
      </c>
    </row>
    <row r="37">
      <c r="A37" s="5" t="n">
        <v>33</v>
      </c>
      <c r="B37" s="8" t="inlineStr">
        <is>
          <t>ROUNDUP</t>
        </is>
      </c>
      <c r="C37" s="6" t="inlineStr">
        <is>
          <t>Soal Tes #3</t>
        </is>
      </c>
      <c r="D37" s="31" t="inlineStr">
        <is>
          <t>ROUNDUP!E38</t>
        </is>
      </c>
      <c r="E37" s="22" t="inlineStr">
        <is>
          <t>'=ROUNDUP(C37, 1)</t>
        </is>
      </c>
      <c r="F37" s="32">
        <f>ROUNDUP('ROUNDUP'!C37, 1)</f>
        <v/>
      </c>
      <c r="G37" s="19" t="inlineStr">
        <is>
          <t>Bulatkan nilai desimal pada sel C37 (130.989) menjadi 1 angka di belakang koma menggunakan fungsi ROUNDUP!</t>
        </is>
      </c>
    </row>
    <row r="38">
      <c r="A38" s="5" t="n">
        <v>34</v>
      </c>
      <c r="B38" s="8" t="inlineStr">
        <is>
          <t>ROUNDUP</t>
        </is>
      </c>
      <c r="C38" s="6" t="inlineStr">
        <is>
          <t>Soal Tes #4</t>
        </is>
      </c>
      <c r="D38" s="31" t="inlineStr">
        <is>
          <t>ROUNDUP!E46</t>
        </is>
      </c>
      <c r="E38" s="22" t="inlineStr">
        <is>
          <t>'=ROUNDUP(C45, 1)</t>
        </is>
      </c>
      <c r="F38" s="32">
        <f>ROUNDUP('ROUNDUP'!C45, 1)</f>
        <v/>
      </c>
      <c r="G38" s="19" t="inlineStr">
        <is>
          <t>Bulatkan nilai desimal pada sel C45 (134.089) menjadi 1 angka di belakang koma menggunakan fungsi ROUNDUP!</t>
        </is>
      </c>
    </row>
    <row r="39">
      <c r="A39" s="5" t="n">
        <v>35</v>
      </c>
      <c r="B39" s="8" t="inlineStr">
        <is>
          <t>ROUNDUP</t>
        </is>
      </c>
      <c r="C39" s="6" t="inlineStr">
        <is>
          <t>Soal Tes #5</t>
        </is>
      </c>
      <c r="D39" s="31" t="inlineStr">
        <is>
          <t>ROUNDUP!E54</t>
        </is>
      </c>
      <c r="E39" s="22" t="inlineStr">
        <is>
          <t>'=ROUNDUP(C53, 1)</t>
        </is>
      </c>
      <c r="F39" s="32">
        <f>ROUNDUP('ROUNDUP'!C53, 1)</f>
        <v/>
      </c>
      <c r="G39" s="19" t="inlineStr">
        <is>
          <t>Bulatkan nilai desimal pada sel C53 (137.189) menjadi 1 angka di belakang koma menggunakan fungsi ROUNDUP!</t>
        </is>
      </c>
    </row>
    <row r="40">
      <c r="A40" s="5" t="n">
        <v>36</v>
      </c>
      <c r="B40" s="8" t="inlineStr">
        <is>
          <t>ROUNDDOWN</t>
        </is>
      </c>
      <c r="C40" s="6" t="inlineStr">
        <is>
          <t>Soal Tes #1</t>
        </is>
      </c>
      <c r="D40" s="31" t="inlineStr">
        <is>
          <t>ROUNDDOWN!E22</t>
        </is>
      </c>
      <c r="E40" s="22" t="inlineStr">
        <is>
          <t>'=ROUNDDOWN(C21, 1)</t>
        </is>
      </c>
      <c r="F40" s="32">
        <f>ROUNDDOWN('ROUNDDOWN'!C21, 1)</f>
        <v/>
      </c>
      <c r="G40" s="19" t="inlineStr">
        <is>
          <t>Bulatkan nilai desimal pada sel C21 (124.789) menjadi 1 angka di belakang koma menggunakan fungsi ROUNDDOWN!</t>
        </is>
      </c>
    </row>
    <row r="41">
      <c r="A41" s="5" t="n">
        <v>37</v>
      </c>
      <c r="B41" s="8" t="inlineStr">
        <is>
          <t>ROUNDDOWN</t>
        </is>
      </c>
      <c r="C41" s="6" t="inlineStr">
        <is>
          <t>Soal Tes #2</t>
        </is>
      </c>
      <c r="D41" s="31" t="inlineStr">
        <is>
          <t>ROUNDDOWN!E30</t>
        </is>
      </c>
      <c r="E41" s="22" t="inlineStr">
        <is>
          <t>'=ROUNDDOWN(C29, 1)</t>
        </is>
      </c>
      <c r="F41" s="32">
        <f>ROUNDDOWN('ROUNDDOWN'!C29, 1)</f>
        <v/>
      </c>
      <c r="G41" s="19" t="inlineStr">
        <is>
          <t>Bulatkan nilai desimal pada sel C29 (127.889) menjadi 1 angka di belakang koma menggunakan fungsi ROUNDDOWN!</t>
        </is>
      </c>
    </row>
    <row r="42">
      <c r="A42" s="5" t="n">
        <v>38</v>
      </c>
      <c r="B42" s="8" t="inlineStr">
        <is>
          <t>ROUNDDOWN</t>
        </is>
      </c>
      <c r="C42" s="6" t="inlineStr">
        <is>
          <t>Soal Tes #3</t>
        </is>
      </c>
      <c r="D42" s="31" t="inlineStr">
        <is>
          <t>ROUNDDOWN!E38</t>
        </is>
      </c>
      <c r="E42" s="22" t="inlineStr">
        <is>
          <t>'=ROUNDDOWN(C37, 1)</t>
        </is>
      </c>
      <c r="F42" s="32">
        <f>ROUNDDOWN('ROUNDDOWN'!C37, 1)</f>
        <v/>
      </c>
      <c r="G42" s="19" t="inlineStr">
        <is>
          <t>Bulatkan nilai desimal pada sel C37 (130.989) menjadi 1 angka di belakang koma menggunakan fungsi ROUNDDOWN!</t>
        </is>
      </c>
    </row>
    <row r="43">
      <c r="A43" s="5" t="n">
        <v>39</v>
      </c>
      <c r="B43" s="8" t="inlineStr">
        <is>
          <t>ROUNDDOWN</t>
        </is>
      </c>
      <c r="C43" s="6" t="inlineStr">
        <is>
          <t>Soal Tes #4</t>
        </is>
      </c>
      <c r="D43" s="31" t="inlineStr">
        <is>
          <t>ROUNDDOWN!E46</t>
        </is>
      </c>
      <c r="E43" s="22" t="inlineStr">
        <is>
          <t>'=ROUNDDOWN(C45, 1)</t>
        </is>
      </c>
      <c r="F43" s="32">
        <f>ROUNDDOWN('ROUNDDOWN'!C45, 1)</f>
        <v/>
      </c>
      <c r="G43" s="19" t="inlineStr">
        <is>
          <t>Bulatkan nilai desimal pada sel C45 (134.089) menjadi 1 angka di belakang koma menggunakan fungsi ROUNDDOWN!</t>
        </is>
      </c>
    </row>
    <row r="44">
      <c r="A44" s="5" t="n">
        <v>40</v>
      </c>
      <c r="B44" s="8" t="inlineStr">
        <is>
          <t>ROUNDDOWN</t>
        </is>
      </c>
      <c r="C44" s="6" t="inlineStr">
        <is>
          <t>Soal Tes #5</t>
        </is>
      </c>
      <c r="D44" s="31" t="inlineStr">
        <is>
          <t>ROUNDDOWN!E54</t>
        </is>
      </c>
      <c r="E44" s="22" t="inlineStr">
        <is>
          <t>'=ROUNDDOWN(C53, 1)</t>
        </is>
      </c>
      <c r="F44" s="32">
        <f>ROUNDDOWN('ROUNDDOWN'!C53, 1)</f>
        <v/>
      </c>
      <c r="G44" s="19" t="inlineStr">
        <is>
          <t>Bulatkan nilai desimal pada sel C53 (137.189) menjadi 1 angka di belakang koma menggunakan fungsi ROUNDDOWN!</t>
        </is>
      </c>
    </row>
    <row r="45">
      <c r="A45" s="5" t="n">
        <v>41</v>
      </c>
      <c r="B45" s="8" t="inlineStr">
        <is>
          <t>MROUND</t>
        </is>
      </c>
      <c r="C45" s="6" t="inlineStr">
        <is>
          <t>Soal Tes #1</t>
        </is>
      </c>
      <c r="D45" s="31" t="inlineStr">
        <is>
          <t>MROUND!E22</t>
        </is>
      </c>
      <c r="E45" s="22" t="inlineStr">
        <is>
          <t>'=MROUND(C21, 500)</t>
        </is>
      </c>
      <c r="F45" s="32">
        <f>MROUND('MROUND'!C21, 500)</f>
        <v/>
      </c>
      <c r="G45" s="19" t="inlineStr">
        <is>
          <t>Bulatkan nominal uang pada sel C21 ke kelipatan 500 terdekat menggunakan fungsi MROUND!</t>
        </is>
      </c>
    </row>
    <row r="46">
      <c r="A46" s="5" t="n">
        <v>42</v>
      </c>
      <c r="B46" s="8" t="inlineStr">
        <is>
          <t>MROUND</t>
        </is>
      </c>
      <c r="C46" s="6" t="inlineStr">
        <is>
          <t>Soal Tes #2</t>
        </is>
      </c>
      <c r="D46" s="31" t="inlineStr">
        <is>
          <t>MROUND!E30</t>
        </is>
      </c>
      <c r="E46" s="22" t="inlineStr">
        <is>
          <t>'=MROUND(C29, 500)</t>
        </is>
      </c>
      <c r="F46" s="32">
        <f>MROUND('MROUND'!C29, 500)</f>
        <v/>
      </c>
      <c r="G46" s="19" t="inlineStr">
        <is>
          <t>Bulatkan nominal uang pada sel C29 ke kelipatan 500 terdekat menggunakan fungsi MROUND!</t>
        </is>
      </c>
    </row>
    <row r="47">
      <c r="A47" s="5" t="n">
        <v>43</v>
      </c>
      <c r="B47" s="8" t="inlineStr">
        <is>
          <t>MROUND</t>
        </is>
      </c>
      <c r="C47" s="6" t="inlineStr">
        <is>
          <t>Soal Tes #3</t>
        </is>
      </c>
      <c r="D47" s="31" t="inlineStr">
        <is>
          <t>MROUND!E38</t>
        </is>
      </c>
      <c r="E47" s="22" t="inlineStr">
        <is>
          <t>'=MROUND(C37, 500)</t>
        </is>
      </c>
      <c r="F47" s="32">
        <f>MROUND('MROUND'!C37, 500)</f>
        <v/>
      </c>
      <c r="G47" s="19" t="inlineStr">
        <is>
          <t>Bulatkan nominal uang pada sel C37 ke kelipatan 500 terdekat menggunakan fungsi MROUND!</t>
        </is>
      </c>
    </row>
    <row r="48">
      <c r="A48" s="5" t="n">
        <v>44</v>
      </c>
      <c r="B48" s="8" t="inlineStr">
        <is>
          <t>MROUND</t>
        </is>
      </c>
      <c r="C48" s="6" t="inlineStr">
        <is>
          <t>Soal Tes #4</t>
        </is>
      </c>
      <c r="D48" s="31" t="inlineStr">
        <is>
          <t>MROUND!E46</t>
        </is>
      </c>
      <c r="E48" s="22" t="inlineStr">
        <is>
          <t>'=MROUND(C45, 500)</t>
        </is>
      </c>
      <c r="F48" s="32">
        <f>MROUND('MROUND'!C45, 500)</f>
        <v/>
      </c>
      <c r="G48" s="19" t="inlineStr">
        <is>
          <t>Bulatkan nominal uang pada sel C45 ke kelipatan 500 terdekat menggunakan fungsi MROUND!</t>
        </is>
      </c>
    </row>
    <row r="49">
      <c r="A49" s="5" t="n">
        <v>45</v>
      </c>
      <c r="B49" s="8" t="inlineStr">
        <is>
          <t>MROUND</t>
        </is>
      </c>
      <c r="C49" s="6" t="inlineStr">
        <is>
          <t>Soal Tes #5</t>
        </is>
      </c>
      <c r="D49" s="31" t="inlineStr">
        <is>
          <t>MROUND!E54</t>
        </is>
      </c>
      <c r="E49" s="22" t="inlineStr">
        <is>
          <t>'=MROUND(C53, 500)</t>
        </is>
      </c>
      <c r="F49" s="32">
        <f>MROUND('MROUND'!C53, 500)</f>
        <v/>
      </c>
      <c r="G49" s="19" t="inlineStr">
        <is>
          <t>Bulatkan nominal uang pada sel C53 ke kelipatan 500 terdekat menggunakan fungsi MROUND!</t>
        </is>
      </c>
    </row>
    <row r="50">
      <c r="A50" s="5" t="n">
        <v>46</v>
      </c>
      <c r="B50" s="8" t="inlineStr">
        <is>
          <t>CEILING</t>
        </is>
      </c>
      <c r="C50" s="6" t="inlineStr">
        <is>
          <t>Soal Tes #1</t>
        </is>
      </c>
      <c r="D50" s="31" t="inlineStr">
        <is>
          <t>CEILING!E22</t>
        </is>
      </c>
      <c r="E50" s="22" t="inlineStr">
        <is>
          <t>'=CEILING(C21, 500)</t>
        </is>
      </c>
      <c r="F50" s="32">
        <f>CEILING('CEILING'!C21, 500)</f>
        <v/>
      </c>
      <c r="G50" s="19" t="inlineStr">
        <is>
          <t>Bulatkan nominal uang pada sel C21 ke kelipatan 500 terdekat menggunakan fungsi CEILING!</t>
        </is>
      </c>
    </row>
    <row r="51">
      <c r="A51" s="5" t="n">
        <v>47</v>
      </c>
      <c r="B51" s="8" t="inlineStr">
        <is>
          <t>CEILING</t>
        </is>
      </c>
      <c r="C51" s="6" t="inlineStr">
        <is>
          <t>Soal Tes #2</t>
        </is>
      </c>
      <c r="D51" s="31" t="inlineStr">
        <is>
          <t>CEILING!E30</t>
        </is>
      </c>
      <c r="E51" s="22" t="inlineStr">
        <is>
          <t>'=CEILING(C29, 500)</t>
        </is>
      </c>
      <c r="F51" s="32">
        <f>CEILING('CEILING'!C29, 500)</f>
        <v/>
      </c>
      <c r="G51" s="19" t="inlineStr">
        <is>
          <t>Bulatkan nominal uang pada sel C29 ke kelipatan 500 terdekat menggunakan fungsi CEILING!</t>
        </is>
      </c>
    </row>
    <row r="52">
      <c r="A52" s="5" t="n">
        <v>48</v>
      </c>
      <c r="B52" s="8" t="inlineStr">
        <is>
          <t>CEILING</t>
        </is>
      </c>
      <c r="C52" s="6" t="inlineStr">
        <is>
          <t>Soal Tes #3</t>
        </is>
      </c>
      <c r="D52" s="31" t="inlineStr">
        <is>
          <t>CEILING!E38</t>
        </is>
      </c>
      <c r="E52" s="22" t="inlineStr">
        <is>
          <t>'=CEILING(C37, 500)</t>
        </is>
      </c>
      <c r="F52" s="32">
        <f>CEILING('CEILING'!C37, 500)</f>
        <v/>
      </c>
      <c r="G52" s="19" t="inlineStr">
        <is>
          <t>Bulatkan nominal uang pada sel C37 ke kelipatan 500 terdekat menggunakan fungsi CEILING!</t>
        </is>
      </c>
    </row>
    <row r="53">
      <c r="A53" s="5" t="n">
        <v>49</v>
      </c>
      <c r="B53" s="8" t="inlineStr">
        <is>
          <t>CEILING</t>
        </is>
      </c>
      <c r="C53" s="6" t="inlineStr">
        <is>
          <t>Soal Tes #4</t>
        </is>
      </c>
      <c r="D53" s="31" t="inlineStr">
        <is>
          <t>CEILING!E46</t>
        </is>
      </c>
      <c r="E53" s="22" t="inlineStr">
        <is>
          <t>'=CEILING(C45, 500)</t>
        </is>
      </c>
      <c r="F53" s="32">
        <f>CEILING('CEILING'!C45, 500)</f>
        <v/>
      </c>
      <c r="G53" s="19" t="inlineStr">
        <is>
          <t>Bulatkan nominal uang pada sel C45 ke kelipatan 500 terdekat menggunakan fungsi CEILING!</t>
        </is>
      </c>
    </row>
    <row r="54">
      <c r="A54" s="5" t="n">
        <v>50</v>
      </c>
      <c r="B54" s="8" t="inlineStr">
        <is>
          <t>CEILING</t>
        </is>
      </c>
      <c r="C54" s="6" t="inlineStr">
        <is>
          <t>Soal Tes #5</t>
        </is>
      </c>
      <c r="D54" s="31" t="inlineStr">
        <is>
          <t>CEILING!E54</t>
        </is>
      </c>
      <c r="E54" s="22" t="inlineStr">
        <is>
          <t>'=CEILING(C53, 500)</t>
        </is>
      </c>
      <c r="F54" s="32">
        <f>CEILING('CEILING'!C53, 500)</f>
        <v/>
      </c>
      <c r="G54" s="19" t="inlineStr">
        <is>
          <t>Bulatkan nominal uang pada sel C53 ke kelipatan 500 terdekat menggunakan fungsi CEILING!</t>
        </is>
      </c>
    </row>
    <row r="55">
      <c r="A55" s="5" t="n">
        <v>51</v>
      </c>
      <c r="B55" s="8" t="inlineStr">
        <is>
          <t>FLOOR</t>
        </is>
      </c>
      <c r="C55" s="6" t="inlineStr">
        <is>
          <t>Soal Tes #1</t>
        </is>
      </c>
      <c r="D55" s="31" t="inlineStr">
        <is>
          <t>FLOOR!E22</t>
        </is>
      </c>
      <c r="E55" s="22" t="inlineStr">
        <is>
          <t>'=FLOOR(C21, 500)</t>
        </is>
      </c>
      <c r="F55" s="32">
        <f>FLOOR('FLOOR'!C21, 500)</f>
        <v/>
      </c>
      <c r="G55" s="19" t="inlineStr">
        <is>
          <t>Bulatkan nominal uang pada sel C21 ke kelipatan 500 terdekat menggunakan fungsi FLOOR!</t>
        </is>
      </c>
    </row>
    <row r="56">
      <c r="A56" s="5" t="n">
        <v>52</v>
      </c>
      <c r="B56" s="8" t="inlineStr">
        <is>
          <t>FLOOR</t>
        </is>
      </c>
      <c r="C56" s="6" t="inlineStr">
        <is>
          <t>Soal Tes #2</t>
        </is>
      </c>
      <c r="D56" s="31" t="inlineStr">
        <is>
          <t>FLOOR!E30</t>
        </is>
      </c>
      <c r="E56" s="22" t="inlineStr">
        <is>
          <t>'=FLOOR(C29, 500)</t>
        </is>
      </c>
      <c r="F56" s="32">
        <f>FLOOR('FLOOR'!C29, 500)</f>
        <v/>
      </c>
      <c r="G56" s="19" t="inlineStr">
        <is>
          <t>Bulatkan nominal uang pada sel C29 ke kelipatan 500 terdekat menggunakan fungsi FLOOR!</t>
        </is>
      </c>
    </row>
    <row r="57">
      <c r="A57" s="5" t="n">
        <v>53</v>
      </c>
      <c r="B57" s="8" t="inlineStr">
        <is>
          <t>FLOOR</t>
        </is>
      </c>
      <c r="C57" s="6" t="inlineStr">
        <is>
          <t>Soal Tes #3</t>
        </is>
      </c>
      <c r="D57" s="31" t="inlineStr">
        <is>
          <t>FLOOR!E38</t>
        </is>
      </c>
      <c r="E57" s="22" t="inlineStr">
        <is>
          <t>'=FLOOR(C37, 500)</t>
        </is>
      </c>
      <c r="F57" s="32">
        <f>FLOOR('FLOOR'!C37, 500)</f>
        <v/>
      </c>
      <c r="G57" s="19" t="inlineStr">
        <is>
          <t>Bulatkan nominal uang pada sel C37 ke kelipatan 500 terdekat menggunakan fungsi FLOOR!</t>
        </is>
      </c>
    </row>
    <row r="58">
      <c r="A58" s="5" t="n">
        <v>54</v>
      </c>
      <c r="B58" s="8" t="inlineStr">
        <is>
          <t>FLOOR</t>
        </is>
      </c>
      <c r="C58" s="6" t="inlineStr">
        <is>
          <t>Soal Tes #4</t>
        </is>
      </c>
      <c r="D58" s="31" t="inlineStr">
        <is>
          <t>FLOOR!E46</t>
        </is>
      </c>
      <c r="E58" s="22" t="inlineStr">
        <is>
          <t>'=FLOOR(C45, 500)</t>
        </is>
      </c>
      <c r="F58" s="32">
        <f>FLOOR('FLOOR'!C45, 500)</f>
        <v/>
      </c>
      <c r="G58" s="19" t="inlineStr">
        <is>
          <t>Bulatkan nominal uang pada sel C45 ke kelipatan 500 terdekat menggunakan fungsi FLOOR!</t>
        </is>
      </c>
    </row>
    <row r="59">
      <c r="A59" s="5" t="n">
        <v>55</v>
      </c>
      <c r="B59" s="8" t="inlineStr">
        <is>
          <t>FLOOR</t>
        </is>
      </c>
      <c r="C59" s="6" t="inlineStr">
        <is>
          <t>Soal Tes #5</t>
        </is>
      </c>
      <c r="D59" s="31" t="inlineStr">
        <is>
          <t>FLOOR!E54</t>
        </is>
      </c>
      <c r="E59" s="22" t="inlineStr">
        <is>
          <t>'=FLOOR(C53, 500)</t>
        </is>
      </c>
      <c r="F59" s="32">
        <f>FLOOR('FLOOR'!C53, 500)</f>
        <v/>
      </c>
      <c r="G59" s="19" t="inlineStr">
        <is>
          <t>Bulatkan nominal uang pada sel C53 ke kelipatan 500 terdekat menggunakan fungsi FLOOR!</t>
        </is>
      </c>
    </row>
    <row r="60">
      <c r="A60" s="5" t="n">
        <v>56</v>
      </c>
      <c r="B60" s="8" t="inlineStr">
        <is>
          <t>INT</t>
        </is>
      </c>
      <c r="C60" s="6" t="inlineStr">
        <is>
          <t>Soal Tes #1</t>
        </is>
      </c>
      <c r="D60" s="31" t="inlineStr">
        <is>
          <t>INT!E22</t>
        </is>
      </c>
      <c r="E60" s="22" t="inlineStr">
        <is>
          <t>'=INT(C21)</t>
        </is>
      </c>
      <c r="F60" s="32">
        <f>INT('INT'!C21)</f>
        <v/>
      </c>
      <c r="G60" s="19" t="inlineStr">
        <is>
          <t>Bulatkan atau potong nilai desimal pada sel C21 (124.789) menggunakan fungsi INT tanpa argumen tambahan!</t>
        </is>
      </c>
    </row>
    <row r="61">
      <c r="A61" s="5" t="n">
        <v>57</v>
      </c>
      <c r="B61" s="8" t="inlineStr">
        <is>
          <t>INT</t>
        </is>
      </c>
      <c r="C61" s="6" t="inlineStr">
        <is>
          <t>Soal Tes #2</t>
        </is>
      </c>
      <c r="D61" s="31" t="inlineStr">
        <is>
          <t>INT!E30</t>
        </is>
      </c>
      <c r="E61" s="22" t="inlineStr">
        <is>
          <t>'=INT(C29)</t>
        </is>
      </c>
      <c r="F61" s="32">
        <f>INT('INT'!C29)</f>
        <v/>
      </c>
      <c r="G61" s="19" t="inlineStr">
        <is>
          <t>Bulatkan atau potong nilai desimal pada sel C29 (127.889) menggunakan fungsi INT tanpa argumen tambahan!</t>
        </is>
      </c>
    </row>
    <row r="62">
      <c r="A62" s="5" t="n">
        <v>58</v>
      </c>
      <c r="B62" s="8" t="inlineStr">
        <is>
          <t>INT</t>
        </is>
      </c>
      <c r="C62" s="6" t="inlineStr">
        <is>
          <t>Soal Tes #3</t>
        </is>
      </c>
      <c r="D62" s="31" t="inlineStr">
        <is>
          <t>INT!E38</t>
        </is>
      </c>
      <c r="E62" s="22" t="inlineStr">
        <is>
          <t>'=INT(C37)</t>
        </is>
      </c>
      <c r="F62" s="32">
        <f>INT('INT'!C37)</f>
        <v/>
      </c>
      <c r="G62" s="19" t="inlineStr">
        <is>
          <t>Bulatkan atau potong nilai desimal pada sel C37 (130.989) menggunakan fungsi INT tanpa argumen tambahan!</t>
        </is>
      </c>
    </row>
    <row r="63">
      <c r="A63" s="5" t="n">
        <v>59</v>
      </c>
      <c r="B63" s="8" t="inlineStr">
        <is>
          <t>INT</t>
        </is>
      </c>
      <c r="C63" s="6" t="inlineStr">
        <is>
          <t>Soal Tes #4</t>
        </is>
      </c>
      <c r="D63" s="31" t="inlineStr">
        <is>
          <t>INT!E46</t>
        </is>
      </c>
      <c r="E63" s="22" t="inlineStr">
        <is>
          <t>'=INT(C45)</t>
        </is>
      </c>
      <c r="F63" s="32">
        <f>INT('INT'!C45)</f>
        <v/>
      </c>
      <c r="G63" s="19" t="inlineStr">
        <is>
          <t>Bulatkan atau potong nilai desimal pada sel C45 (134.089) menggunakan fungsi INT tanpa argumen tambahan!</t>
        </is>
      </c>
    </row>
    <row r="64">
      <c r="A64" s="5" t="n">
        <v>60</v>
      </c>
      <c r="B64" s="8" t="inlineStr">
        <is>
          <t>INT</t>
        </is>
      </c>
      <c r="C64" s="6" t="inlineStr">
        <is>
          <t>Soal Tes #5</t>
        </is>
      </c>
      <c r="D64" s="31" t="inlineStr">
        <is>
          <t>INT!E54</t>
        </is>
      </c>
      <c r="E64" s="22" t="inlineStr">
        <is>
          <t>'=INT(C53)</t>
        </is>
      </c>
      <c r="F64" s="32">
        <f>INT('INT'!C53)</f>
        <v/>
      </c>
      <c r="G64" s="19" t="inlineStr">
        <is>
          <t>Bulatkan atau potong nilai desimal pada sel C53 (137.189) menggunakan fungsi INT tanpa argumen tambahan!</t>
        </is>
      </c>
    </row>
    <row r="65">
      <c r="A65" s="5" t="n">
        <v>61</v>
      </c>
      <c r="B65" s="8" t="inlineStr">
        <is>
          <t>TRUNC</t>
        </is>
      </c>
      <c r="C65" s="6" t="inlineStr">
        <is>
          <t>Soal Tes #1</t>
        </is>
      </c>
      <c r="D65" s="31" t="inlineStr">
        <is>
          <t>TRUNC!E22</t>
        </is>
      </c>
      <c r="E65" s="22" t="inlineStr">
        <is>
          <t>'=TRUNC(C21)</t>
        </is>
      </c>
      <c r="F65" s="32">
        <f>TRUNC('TRUNC'!C21)</f>
        <v/>
      </c>
      <c r="G65" s="19" t="inlineStr">
        <is>
          <t>Bulatkan atau potong nilai desimal pada sel C21 (124.789) menggunakan fungsi TRUNC tanpa argumen tambahan!</t>
        </is>
      </c>
    </row>
    <row r="66">
      <c r="A66" s="5" t="n">
        <v>62</v>
      </c>
      <c r="B66" s="8" t="inlineStr">
        <is>
          <t>TRUNC</t>
        </is>
      </c>
      <c r="C66" s="6" t="inlineStr">
        <is>
          <t>Soal Tes #2</t>
        </is>
      </c>
      <c r="D66" s="31" t="inlineStr">
        <is>
          <t>TRUNC!E30</t>
        </is>
      </c>
      <c r="E66" s="22" t="inlineStr">
        <is>
          <t>'=TRUNC(C29)</t>
        </is>
      </c>
      <c r="F66" s="32">
        <f>TRUNC('TRUNC'!C29)</f>
        <v/>
      </c>
      <c r="G66" s="19" t="inlineStr">
        <is>
          <t>Bulatkan atau potong nilai desimal pada sel C29 (127.889) menggunakan fungsi TRUNC tanpa argumen tambahan!</t>
        </is>
      </c>
    </row>
    <row r="67">
      <c r="A67" s="5" t="n">
        <v>63</v>
      </c>
      <c r="B67" s="8" t="inlineStr">
        <is>
          <t>TRUNC</t>
        </is>
      </c>
      <c r="C67" s="6" t="inlineStr">
        <is>
          <t>Soal Tes #3</t>
        </is>
      </c>
      <c r="D67" s="31" t="inlineStr">
        <is>
          <t>TRUNC!E38</t>
        </is>
      </c>
      <c r="E67" s="22" t="inlineStr">
        <is>
          <t>'=TRUNC(C37)</t>
        </is>
      </c>
      <c r="F67" s="32">
        <f>TRUNC('TRUNC'!C37)</f>
        <v/>
      </c>
      <c r="G67" s="19" t="inlineStr">
        <is>
          <t>Bulatkan atau potong nilai desimal pada sel C37 (130.989) menggunakan fungsi TRUNC tanpa argumen tambahan!</t>
        </is>
      </c>
    </row>
    <row r="68">
      <c r="A68" s="5" t="n">
        <v>64</v>
      </c>
      <c r="B68" s="8" t="inlineStr">
        <is>
          <t>TRUNC</t>
        </is>
      </c>
      <c r="C68" s="6" t="inlineStr">
        <is>
          <t>Soal Tes #4</t>
        </is>
      </c>
      <c r="D68" s="31" t="inlineStr">
        <is>
          <t>TRUNC!E46</t>
        </is>
      </c>
      <c r="E68" s="22" t="inlineStr">
        <is>
          <t>'=TRUNC(C45)</t>
        </is>
      </c>
      <c r="F68" s="32">
        <f>TRUNC('TRUNC'!C45)</f>
        <v/>
      </c>
      <c r="G68" s="19" t="inlineStr">
        <is>
          <t>Bulatkan atau potong nilai desimal pada sel C45 (134.089) menggunakan fungsi TRUNC tanpa argumen tambahan!</t>
        </is>
      </c>
    </row>
    <row r="69">
      <c r="A69" s="5" t="n">
        <v>65</v>
      </c>
      <c r="B69" s="8" t="inlineStr">
        <is>
          <t>TRUNC</t>
        </is>
      </c>
      <c r="C69" s="6" t="inlineStr">
        <is>
          <t>Soal Tes #5</t>
        </is>
      </c>
      <c r="D69" s="31" t="inlineStr">
        <is>
          <t>TRUNC!E54</t>
        </is>
      </c>
      <c r="E69" s="22" t="inlineStr">
        <is>
          <t>'=TRUNC(C53)</t>
        </is>
      </c>
      <c r="F69" s="32">
        <f>TRUNC('TRUNC'!C53)</f>
        <v/>
      </c>
      <c r="G69" s="19" t="inlineStr">
        <is>
          <t>Bulatkan atau potong nilai desimal pada sel C53 (137.189) menggunakan fungsi TRUNC tanpa argumen tambahan!</t>
        </is>
      </c>
    </row>
    <row r="70">
      <c r="A70" s="5" t="n">
        <v>66</v>
      </c>
      <c r="B70" s="8" t="inlineStr">
        <is>
          <t>MOD</t>
        </is>
      </c>
      <c r="C70" s="6" t="inlineStr">
        <is>
          <t>Soal Tes #1</t>
        </is>
      </c>
      <c r="D70" s="31" t="inlineStr">
        <is>
          <t>MOD!E22</t>
        </is>
      </c>
      <c r="E70" s="22" t="inlineStr">
        <is>
          <t>'=MOD(B21, C21)</t>
        </is>
      </c>
      <c r="F70" s="32">
        <f>MOD('MOD'!B21, 'MOD'!C21)</f>
        <v/>
      </c>
      <c r="G70" s="19" t="inlineStr">
        <is>
          <t>Terapkan fungsi MOD dengan mengambil angka pertama di sel B21 (25) dan angka kedua di sel C21 (4)!</t>
        </is>
      </c>
    </row>
    <row r="71">
      <c r="A71" s="5" t="n">
        <v>67</v>
      </c>
      <c r="B71" s="8" t="inlineStr">
        <is>
          <t>MOD</t>
        </is>
      </c>
      <c r="C71" s="6" t="inlineStr">
        <is>
          <t>Soal Tes #2</t>
        </is>
      </c>
      <c r="D71" s="31" t="inlineStr">
        <is>
          <t>MOD!E30</t>
        </is>
      </c>
      <c r="E71" s="22" t="inlineStr">
        <is>
          <t>'=MOD(B29, C29)</t>
        </is>
      </c>
      <c r="F71" s="32">
        <f>MOD('MOD'!B29, 'MOD'!C29)</f>
        <v/>
      </c>
      <c r="G71" s="19" t="inlineStr">
        <is>
          <t>Terapkan fungsi MOD dengan mengambil angka pertama di sel B29 (31) dan angka kedua di sel C29 (4)!</t>
        </is>
      </c>
    </row>
    <row r="72">
      <c r="A72" s="5" t="n">
        <v>68</v>
      </c>
      <c r="B72" s="8" t="inlineStr">
        <is>
          <t>MOD</t>
        </is>
      </c>
      <c r="C72" s="6" t="inlineStr">
        <is>
          <t>Soal Tes #3</t>
        </is>
      </c>
      <c r="D72" s="31" t="inlineStr">
        <is>
          <t>MOD!E38</t>
        </is>
      </c>
      <c r="E72" s="22" t="inlineStr">
        <is>
          <t>'=MOD(B37, C37)</t>
        </is>
      </c>
      <c r="F72" s="32">
        <f>MOD('MOD'!B37, 'MOD'!C37)</f>
        <v/>
      </c>
      <c r="G72" s="19" t="inlineStr">
        <is>
          <t>Terapkan fungsi MOD dengan mengambil angka pertama di sel B37 (37) dan angka kedua di sel C37 (4)!</t>
        </is>
      </c>
    </row>
    <row r="73">
      <c r="A73" s="5" t="n">
        <v>69</v>
      </c>
      <c r="B73" s="8" t="inlineStr">
        <is>
          <t>MOD</t>
        </is>
      </c>
      <c r="C73" s="6" t="inlineStr">
        <is>
          <t>Soal Tes #4</t>
        </is>
      </c>
      <c r="D73" s="31" t="inlineStr">
        <is>
          <t>MOD!E46</t>
        </is>
      </c>
      <c r="E73" s="22" t="inlineStr">
        <is>
          <t>'=MOD(B45, C45)</t>
        </is>
      </c>
      <c r="F73" s="32">
        <f>MOD('MOD'!B45, 'MOD'!C45)</f>
        <v/>
      </c>
      <c r="G73" s="19" t="inlineStr">
        <is>
          <t>Terapkan fungsi MOD dengan mengambil angka pertama di sel B45 (43) dan angka kedua di sel C45 (4)!</t>
        </is>
      </c>
    </row>
    <row r="74">
      <c r="A74" s="5" t="n">
        <v>70</v>
      </c>
      <c r="B74" s="8" t="inlineStr">
        <is>
          <t>MOD</t>
        </is>
      </c>
      <c r="C74" s="6" t="inlineStr">
        <is>
          <t>Soal Tes #5</t>
        </is>
      </c>
      <c r="D74" s="31" t="inlineStr">
        <is>
          <t>MOD!E54</t>
        </is>
      </c>
      <c r="E74" s="22" t="inlineStr">
        <is>
          <t>'=MOD(B53, C53)</t>
        </is>
      </c>
      <c r="F74" s="32">
        <f>MOD('MOD'!B53, 'MOD'!C53)</f>
        <v/>
      </c>
      <c r="G74" s="19" t="inlineStr">
        <is>
          <t>Terapkan fungsi MOD dengan mengambil angka pertama di sel B53 (49) dan angka kedua di sel C53 (4)!</t>
        </is>
      </c>
    </row>
    <row r="75">
      <c r="A75" s="5" t="n">
        <v>71</v>
      </c>
      <c r="B75" s="8" t="inlineStr">
        <is>
          <t>QUOTIENT</t>
        </is>
      </c>
      <c r="C75" s="6" t="inlineStr">
        <is>
          <t>Soal Tes #1</t>
        </is>
      </c>
      <c r="D75" s="31" t="inlineStr">
        <is>
          <t>QUOTIENT!E22</t>
        </is>
      </c>
      <c r="E75" s="22" t="inlineStr">
        <is>
          <t>'=QUOTIENT(B21, C21)</t>
        </is>
      </c>
      <c r="F75" s="32">
        <f>QUOTIENT('QUOTIENT'!B21, 'QUOTIENT'!C21)</f>
        <v/>
      </c>
      <c r="G75" s="19" t="inlineStr">
        <is>
          <t>Terapkan fungsi QUOTIENT dengan mengambil angka pertama di sel B21 (25) dan angka kedua di sel C21 (4)!</t>
        </is>
      </c>
    </row>
    <row r="76">
      <c r="A76" s="5" t="n">
        <v>72</v>
      </c>
      <c r="B76" s="8" t="inlineStr">
        <is>
          <t>QUOTIENT</t>
        </is>
      </c>
      <c r="C76" s="6" t="inlineStr">
        <is>
          <t>Soal Tes #2</t>
        </is>
      </c>
      <c r="D76" s="31" t="inlineStr">
        <is>
          <t>QUOTIENT!E30</t>
        </is>
      </c>
      <c r="E76" s="22" t="inlineStr">
        <is>
          <t>'=QUOTIENT(B29, C29)</t>
        </is>
      </c>
      <c r="F76" s="32">
        <f>QUOTIENT('QUOTIENT'!B29, 'QUOTIENT'!C29)</f>
        <v/>
      </c>
      <c r="G76" s="19" t="inlineStr">
        <is>
          <t>Terapkan fungsi QUOTIENT dengan mengambil angka pertama di sel B29 (31) dan angka kedua di sel C29 (4)!</t>
        </is>
      </c>
    </row>
    <row r="77">
      <c r="A77" s="5" t="n">
        <v>73</v>
      </c>
      <c r="B77" s="8" t="inlineStr">
        <is>
          <t>QUOTIENT</t>
        </is>
      </c>
      <c r="C77" s="6" t="inlineStr">
        <is>
          <t>Soal Tes #3</t>
        </is>
      </c>
      <c r="D77" s="31" t="inlineStr">
        <is>
          <t>QUOTIENT!E38</t>
        </is>
      </c>
      <c r="E77" s="22" t="inlineStr">
        <is>
          <t>'=QUOTIENT(B37, C37)</t>
        </is>
      </c>
      <c r="F77" s="32">
        <f>QUOTIENT('QUOTIENT'!B37, 'QUOTIENT'!C37)</f>
        <v/>
      </c>
      <c r="G77" s="19" t="inlineStr">
        <is>
          <t>Terapkan fungsi QUOTIENT dengan mengambil angka pertama di sel B37 (37) dan angka kedua di sel C37 (4)!</t>
        </is>
      </c>
    </row>
    <row r="78">
      <c r="A78" s="5" t="n">
        <v>74</v>
      </c>
      <c r="B78" s="8" t="inlineStr">
        <is>
          <t>QUOTIENT</t>
        </is>
      </c>
      <c r="C78" s="6" t="inlineStr">
        <is>
          <t>Soal Tes #4</t>
        </is>
      </c>
      <c r="D78" s="31" t="inlineStr">
        <is>
          <t>QUOTIENT!E46</t>
        </is>
      </c>
      <c r="E78" s="22" t="inlineStr">
        <is>
          <t>'=QUOTIENT(B45, C45)</t>
        </is>
      </c>
      <c r="F78" s="32">
        <f>QUOTIENT('QUOTIENT'!B45, 'QUOTIENT'!C45)</f>
        <v/>
      </c>
      <c r="G78" s="19" t="inlineStr">
        <is>
          <t>Terapkan fungsi QUOTIENT dengan mengambil angka pertama di sel B45 (43) dan angka kedua di sel C45 (4)!</t>
        </is>
      </c>
    </row>
    <row r="79">
      <c r="A79" s="5" t="n">
        <v>75</v>
      </c>
      <c r="B79" s="8" t="inlineStr">
        <is>
          <t>QUOTIENT</t>
        </is>
      </c>
      <c r="C79" s="6" t="inlineStr">
        <is>
          <t>Soal Tes #5</t>
        </is>
      </c>
      <c r="D79" s="31" t="inlineStr">
        <is>
          <t>QUOTIENT!E54</t>
        </is>
      </c>
      <c r="E79" s="22" t="inlineStr">
        <is>
          <t>'=QUOTIENT(B53, C53)</t>
        </is>
      </c>
      <c r="F79" s="32">
        <f>QUOTIENT('QUOTIENT'!B53, 'QUOTIENT'!C53)</f>
        <v/>
      </c>
      <c r="G79" s="19" t="inlineStr">
        <is>
          <t>Terapkan fungsi QUOTIENT dengan mengambil angka pertama di sel B53 (49) dan angka kedua di sel C53 (4)!</t>
        </is>
      </c>
    </row>
    <row r="80">
      <c r="A80" s="5" t="n">
        <v>76</v>
      </c>
      <c r="B80" s="8" t="inlineStr">
        <is>
          <t>ABS</t>
        </is>
      </c>
      <c r="C80" s="6" t="inlineStr">
        <is>
          <t>Soal Tes #1</t>
        </is>
      </c>
      <c r="D80" s="31" t="inlineStr">
        <is>
          <t>ABS!E22</t>
        </is>
      </c>
      <c r="E80" s="22" t="inlineStr">
        <is>
          <t>'=ABS(C21)</t>
        </is>
      </c>
      <c r="F80" s="32">
        <f>ABS('ABS'!C21)</f>
        <v/>
      </c>
      <c r="G80" s="19" t="inlineStr">
        <is>
          <t>Evaluasi nilai selisih pada sel C21 (-150) menggunakan fungsi ABS!</t>
        </is>
      </c>
    </row>
    <row r="81">
      <c r="A81" s="5" t="n">
        <v>77</v>
      </c>
      <c r="B81" s="8" t="inlineStr">
        <is>
          <t>ABS</t>
        </is>
      </c>
      <c r="C81" s="6" t="inlineStr">
        <is>
          <t>Soal Tes #2</t>
        </is>
      </c>
      <c r="D81" s="31" t="inlineStr">
        <is>
          <t>ABS!E30</t>
        </is>
      </c>
      <c r="E81" s="22" t="inlineStr">
        <is>
          <t>'=ABS(C29)</t>
        </is>
      </c>
      <c r="F81" s="32">
        <f>ABS('ABS'!C29)</f>
        <v/>
      </c>
      <c r="G81" s="19" t="inlineStr">
        <is>
          <t>Evaluasi nilai selisih pada sel C29 (-300) menggunakan fungsi ABS!</t>
        </is>
      </c>
    </row>
    <row r="82">
      <c r="A82" s="5" t="n">
        <v>78</v>
      </c>
      <c r="B82" s="8" t="inlineStr">
        <is>
          <t>ABS</t>
        </is>
      </c>
      <c r="C82" s="6" t="inlineStr">
        <is>
          <t>Soal Tes #3</t>
        </is>
      </c>
      <c r="D82" s="31" t="inlineStr">
        <is>
          <t>ABS!E38</t>
        </is>
      </c>
      <c r="E82" s="22" t="inlineStr">
        <is>
          <t>'=ABS(C37)</t>
        </is>
      </c>
      <c r="F82" s="32">
        <f>ABS('ABS'!C37)</f>
        <v/>
      </c>
      <c r="G82" s="19" t="inlineStr">
        <is>
          <t>Evaluasi nilai selisih pada sel C37 (-450) menggunakan fungsi ABS!</t>
        </is>
      </c>
    </row>
    <row r="83">
      <c r="A83" s="5" t="n">
        <v>79</v>
      </c>
      <c r="B83" s="8" t="inlineStr">
        <is>
          <t>ABS</t>
        </is>
      </c>
      <c r="C83" s="6" t="inlineStr">
        <is>
          <t>Soal Tes #4</t>
        </is>
      </c>
      <c r="D83" s="31" t="inlineStr">
        <is>
          <t>ABS!E46</t>
        </is>
      </c>
      <c r="E83" s="22" t="inlineStr">
        <is>
          <t>'=ABS(C45)</t>
        </is>
      </c>
      <c r="F83" s="32">
        <f>ABS('ABS'!C45)</f>
        <v/>
      </c>
      <c r="G83" s="19" t="inlineStr">
        <is>
          <t>Evaluasi nilai selisih pada sel C45 (-600) menggunakan fungsi ABS!</t>
        </is>
      </c>
    </row>
    <row r="84">
      <c r="A84" s="5" t="n">
        <v>80</v>
      </c>
      <c r="B84" s="8" t="inlineStr">
        <is>
          <t>ABS</t>
        </is>
      </c>
      <c r="C84" s="6" t="inlineStr">
        <is>
          <t>Soal Tes #5</t>
        </is>
      </c>
      <c r="D84" s="31" t="inlineStr">
        <is>
          <t>ABS!E54</t>
        </is>
      </c>
      <c r="E84" s="22" t="inlineStr">
        <is>
          <t>'=ABS(C53)</t>
        </is>
      </c>
      <c r="F84" s="32">
        <f>ABS('ABS'!C53)</f>
        <v/>
      </c>
      <c r="G84" s="19" t="inlineStr">
        <is>
          <t>Evaluasi nilai selisih pada sel C53 (-750) menggunakan fungsi ABS!</t>
        </is>
      </c>
    </row>
    <row r="85">
      <c r="A85" s="5" t="n">
        <v>81</v>
      </c>
      <c r="B85" s="8" t="inlineStr">
        <is>
          <t>POWER</t>
        </is>
      </c>
      <c r="C85" s="6" t="inlineStr">
        <is>
          <t>Soal Tes #1</t>
        </is>
      </c>
      <c r="D85" s="31" t="inlineStr">
        <is>
          <t>POWER!E22</t>
        </is>
      </c>
      <c r="E85" s="22" t="inlineStr">
        <is>
          <t>'=POWER(B21, C21)</t>
        </is>
      </c>
      <c r="F85" s="32">
        <f>POWER('POWER'!B21, 'POWER'!C21)</f>
        <v/>
      </c>
      <c r="G85" s="19" t="inlineStr">
        <is>
          <t>Terapkan fungsi POWER dengan mengambil angka pertama di sel B21 (25) dan angka kedua di sel C21 (3)!</t>
        </is>
      </c>
    </row>
    <row r="86">
      <c r="A86" s="5" t="n">
        <v>82</v>
      </c>
      <c r="B86" s="8" t="inlineStr">
        <is>
          <t>POWER</t>
        </is>
      </c>
      <c r="C86" s="6" t="inlineStr">
        <is>
          <t>Soal Tes #2</t>
        </is>
      </c>
      <c r="D86" s="31" t="inlineStr">
        <is>
          <t>POWER!E30</t>
        </is>
      </c>
      <c r="E86" s="22" t="inlineStr">
        <is>
          <t>'=POWER(B29, C29)</t>
        </is>
      </c>
      <c r="F86" s="32">
        <f>POWER('POWER'!B29, 'POWER'!C29)</f>
        <v/>
      </c>
      <c r="G86" s="19" t="inlineStr">
        <is>
          <t>Terapkan fungsi POWER dengan mengambil angka pertama di sel B29 (31) dan angka kedua di sel C29 (3)!</t>
        </is>
      </c>
    </row>
    <row r="87">
      <c r="A87" s="5" t="n">
        <v>83</v>
      </c>
      <c r="B87" s="8" t="inlineStr">
        <is>
          <t>POWER</t>
        </is>
      </c>
      <c r="C87" s="6" t="inlineStr">
        <is>
          <t>Soal Tes #3</t>
        </is>
      </c>
      <c r="D87" s="31" t="inlineStr">
        <is>
          <t>POWER!E38</t>
        </is>
      </c>
      <c r="E87" s="22" t="inlineStr">
        <is>
          <t>'=POWER(B37, C37)</t>
        </is>
      </c>
      <c r="F87" s="32">
        <f>POWER('POWER'!B37, 'POWER'!C37)</f>
        <v/>
      </c>
      <c r="G87" s="19" t="inlineStr">
        <is>
          <t>Terapkan fungsi POWER dengan mengambil angka pertama di sel B37 (37) dan angka kedua di sel C37 (3)!</t>
        </is>
      </c>
    </row>
    <row r="88">
      <c r="A88" s="5" t="n">
        <v>84</v>
      </c>
      <c r="B88" s="8" t="inlineStr">
        <is>
          <t>POWER</t>
        </is>
      </c>
      <c r="C88" s="6" t="inlineStr">
        <is>
          <t>Soal Tes #4</t>
        </is>
      </c>
      <c r="D88" s="31" t="inlineStr">
        <is>
          <t>POWER!E46</t>
        </is>
      </c>
      <c r="E88" s="22" t="inlineStr">
        <is>
          <t>'=POWER(B45, C45)</t>
        </is>
      </c>
      <c r="F88" s="32">
        <f>POWER('POWER'!B45, 'POWER'!C45)</f>
        <v/>
      </c>
      <c r="G88" s="19" t="inlineStr">
        <is>
          <t>Terapkan fungsi POWER dengan mengambil angka pertama di sel B45 (43) dan angka kedua di sel C45 (3)!</t>
        </is>
      </c>
    </row>
    <row r="89">
      <c r="A89" s="5" t="n">
        <v>85</v>
      </c>
      <c r="B89" s="8" t="inlineStr">
        <is>
          <t>POWER</t>
        </is>
      </c>
      <c r="C89" s="6" t="inlineStr">
        <is>
          <t>Soal Tes #5</t>
        </is>
      </c>
      <c r="D89" s="31" t="inlineStr">
        <is>
          <t>POWER!E54</t>
        </is>
      </c>
      <c r="E89" s="22" t="inlineStr">
        <is>
          <t>'=POWER(B53, C53)</t>
        </is>
      </c>
      <c r="F89" s="32">
        <f>POWER('POWER'!B53, 'POWER'!C53)</f>
        <v/>
      </c>
      <c r="G89" s="19" t="inlineStr">
        <is>
          <t>Terapkan fungsi POWER dengan mengambil angka pertama di sel B53 (49) dan angka kedua di sel C53 (3)!</t>
        </is>
      </c>
    </row>
    <row r="90">
      <c r="A90" s="5" t="n">
        <v>86</v>
      </c>
      <c r="B90" s="8" t="inlineStr">
        <is>
          <t>SQRT</t>
        </is>
      </c>
      <c r="C90" s="6" t="inlineStr">
        <is>
          <t>Soal Tes #1</t>
        </is>
      </c>
      <c r="D90" s="31" t="inlineStr">
        <is>
          <t>SQRT!E22</t>
        </is>
      </c>
      <c r="E90" s="22" t="inlineStr">
        <is>
          <t>'=SQRT(C21)</t>
        </is>
      </c>
      <c r="F90" s="32">
        <f>SQRT('SQRT'!C21)</f>
        <v/>
      </c>
      <c r="G90" s="19" t="inlineStr">
        <is>
          <t>Hitung hasil fungsi SQRT untuk nilai input pada sel C21 (16)!</t>
        </is>
      </c>
    </row>
    <row r="91">
      <c r="A91" s="5" t="n">
        <v>87</v>
      </c>
      <c r="B91" s="8" t="inlineStr">
        <is>
          <t>SQRT</t>
        </is>
      </c>
      <c r="C91" s="6" t="inlineStr">
        <is>
          <t>Soal Tes #2</t>
        </is>
      </c>
      <c r="D91" s="31" t="inlineStr">
        <is>
          <t>SQRT!E30</t>
        </is>
      </c>
      <c r="E91" s="22" t="inlineStr">
        <is>
          <t>'=SQRT(C29)</t>
        </is>
      </c>
      <c r="F91" s="32">
        <f>SQRT('SQRT'!C29)</f>
        <v/>
      </c>
      <c r="G91" s="19" t="inlineStr">
        <is>
          <t>Hitung hasil fungsi SQRT untuk nilai input pada sel C29 (25)!</t>
        </is>
      </c>
    </row>
    <row r="92">
      <c r="A92" s="5" t="n">
        <v>88</v>
      </c>
      <c r="B92" s="8" t="inlineStr">
        <is>
          <t>SQRT</t>
        </is>
      </c>
      <c r="C92" s="6" t="inlineStr">
        <is>
          <t>Soal Tes #3</t>
        </is>
      </c>
      <c r="D92" s="31" t="inlineStr">
        <is>
          <t>SQRT!E38</t>
        </is>
      </c>
      <c r="E92" s="22" t="inlineStr">
        <is>
          <t>'=SQRT(C37)</t>
        </is>
      </c>
      <c r="F92" s="32">
        <f>SQRT('SQRT'!C37)</f>
        <v/>
      </c>
      <c r="G92" s="19" t="inlineStr">
        <is>
          <t>Hitung hasil fungsi SQRT untuk nilai input pada sel C37 (36)!</t>
        </is>
      </c>
    </row>
    <row r="93">
      <c r="A93" s="5" t="n">
        <v>89</v>
      </c>
      <c r="B93" s="8" t="inlineStr">
        <is>
          <t>SQRT</t>
        </is>
      </c>
      <c r="C93" s="6" t="inlineStr">
        <is>
          <t>Soal Tes #4</t>
        </is>
      </c>
      <c r="D93" s="31" t="inlineStr">
        <is>
          <t>SQRT!E46</t>
        </is>
      </c>
      <c r="E93" s="22" t="inlineStr">
        <is>
          <t>'=SQRT(C45)</t>
        </is>
      </c>
      <c r="F93" s="32">
        <f>SQRT('SQRT'!C45)</f>
        <v/>
      </c>
      <c r="G93" s="19" t="inlineStr">
        <is>
          <t>Hitung hasil fungsi SQRT untuk nilai input pada sel C45 (49)!</t>
        </is>
      </c>
    </row>
    <row r="94">
      <c r="A94" s="5" t="n">
        <v>90</v>
      </c>
      <c r="B94" s="8" t="inlineStr">
        <is>
          <t>SQRT</t>
        </is>
      </c>
      <c r="C94" s="6" t="inlineStr">
        <is>
          <t>Soal Tes #5</t>
        </is>
      </c>
      <c r="D94" s="31" t="inlineStr">
        <is>
          <t>SQRT!E54</t>
        </is>
      </c>
      <c r="E94" s="22" t="inlineStr">
        <is>
          <t>'=SQRT(C53)</t>
        </is>
      </c>
      <c r="F94" s="32">
        <f>SQRT('SQRT'!C53)</f>
        <v/>
      </c>
      <c r="G94" s="19" t="inlineStr">
        <is>
          <t>Hitung hasil fungsi SQRT untuk nilai input pada sel C53 (64)!</t>
        </is>
      </c>
    </row>
    <row r="95">
      <c r="A95" s="5" t="n">
        <v>91</v>
      </c>
      <c r="B95" s="8" t="inlineStr">
        <is>
          <t>SUBTOTAL</t>
        </is>
      </c>
      <c r="C95" s="6" t="inlineStr">
        <is>
          <t>Soal Tes #1</t>
        </is>
      </c>
      <c r="D95" s="31" t="inlineStr">
        <is>
          <t>SUBTOTAL!E22</t>
        </is>
      </c>
      <c r="E95" s="22" t="inlineStr">
        <is>
          <t>'=SUBTOTAL(9, C21:C24)</t>
        </is>
      </c>
      <c r="F95" s="32">
        <f>SUBTOTAL(9, 'SUBTOTAL'!C21:C24)</f>
        <v/>
      </c>
      <c r="G95" s="19" t="inlineStr">
        <is>
          <t>Hitung total penjumlahan dinamis dengan kode fungsi 9 pada rentang C21:C24 menggunakan fungsi SUBTOTAL!</t>
        </is>
      </c>
    </row>
    <row r="96">
      <c r="A96" s="5" t="n">
        <v>92</v>
      </c>
      <c r="B96" s="8" t="inlineStr">
        <is>
          <t>SUBTOTAL</t>
        </is>
      </c>
      <c r="C96" s="6" t="inlineStr">
        <is>
          <t>Soal Tes #2</t>
        </is>
      </c>
      <c r="D96" s="31" t="inlineStr">
        <is>
          <t>SUBTOTAL!E30</t>
        </is>
      </c>
      <c r="E96" s="22" t="inlineStr">
        <is>
          <t>'=SUBTOTAL(9, C29:C32)</t>
        </is>
      </c>
      <c r="F96" s="32">
        <f>SUBTOTAL(9, 'SUBTOTAL'!C29:C32)</f>
        <v/>
      </c>
      <c r="G96" s="19" t="inlineStr">
        <is>
          <t>Hitung total penjumlahan dinamis dengan kode fungsi 9 pada rentang C29:C32 menggunakan fungsi SUBTOTAL!</t>
        </is>
      </c>
    </row>
    <row r="97">
      <c r="A97" s="5" t="n">
        <v>93</v>
      </c>
      <c r="B97" s="8" t="inlineStr">
        <is>
          <t>SUBTOTAL</t>
        </is>
      </c>
      <c r="C97" s="6" t="inlineStr">
        <is>
          <t>Soal Tes #3</t>
        </is>
      </c>
      <c r="D97" s="31" t="inlineStr">
        <is>
          <t>SUBTOTAL!E38</t>
        </is>
      </c>
      <c r="E97" s="22" t="inlineStr">
        <is>
          <t>'=SUBTOTAL(9, C37:C40)</t>
        </is>
      </c>
      <c r="F97" s="32">
        <f>SUBTOTAL(9, 'SUBTOTAL'!C37:C40)</f>
        <v/>
      </c>
      <c r="G97" s="19" t="inlineStr">
        <is>
          <t>Hitung total penjumlahan dinamis dengan kode fungsi 9 pada rentang C37:C40 menggunakan fungsi SUBTOTAL!</t>
        </is>
      </c>
    </row>
    <row r="98">
      <c r="A98" s="5" t="n">
        <v>94</v>
      </c>
      <c r="B98" s="8" t="inlineStr">
        <is>
          <t>SUBTOTAL</t>
        </is>
      </c>
      <c r="C98" s="6" t="inlineStr">
        <is>
          <t>Soal Tes #4</t>
        </is>
      </c>
      <c r="D98" s="31" t="inlineStr">
        <is>
          <t>SUBTOTAL!E46</t>
        </is>
      </c>
      <c r="E98" s="22" t="inlineStr">
        <is>
          <t>'=SUBTOTAL(9, C45:C48)</t>
        </is>
      </c>
      <c r="F98" s="32">
        <f>SUBTOTAL(9, 'SUBTOTAL'!C45:C48)</f>
        <v/>
      </c>
      <c r="G98" s="19" t="inlineStr">
        <is>
          <t>Hitung total penjumlahan dinamis dengan kode fungsi 9 pada rentang C45:C48 menggunakan fungsi SUBTOTAL!</t>
        </is>
      </c>
    </row>
    <row r="99">
      <c r="A99" s="5" t="n">
        <v>95</v>
      </c>
      <c r="B99" s="8" t="inlineStr">
        <is>
          <t>SUBTOTAL</t>
        </is>
      </c>
      <c r="C99" s="6" t="inlineStr">
        <is>
          <t>Soal Tes #5</t>
        </is>
      </c>
      <c r="D99" s="31" t="inlineStr">
        <is>
          <t>SUBTOTAL!E54</t>
        </is>
      </c>
      <c r="E99" s="22" t="inlineStr">
        <is>
          <t>'=SUBTOTAL(9, C53:C56)</t>
        </is>
      </c>
      <c r="F99" s="32">
        <f>SUBTOTAL(9, 'SUBTOTAL'!C53:C56)</f>
        <v/>
      </c>
      <c r="G99" s="19" t="inlineStr">
        <is>
          <t>Hitung total penjumlahan dinamis dengan kode fungsi 9 pada rentang C53:C56 menggunakan fungsi SUBTOTAL!</t>
        </is>
      </c>
    </row>
    <row r="100">
      <c r="A100" s="5" t="n">
        <v>96</v>
      </c>
      <c r="B100" s="8" t="inlineStr">
        <is>
          <t>AGGREGATE</t>
        </is>
      </c>
      <c r="C100" s="6" t="inlineStr">
        <is>
          <t>Soal Tes #1</t>
        </is>
      </c>
      <c r="D100" s="31" t="inlineStr">
        <is>
          <t>AGGREGATE!E22</t>
        </is>
      </c>
      <c r="E100" s="22" t="inlineStr">
        <is>
          <t>'=AGGREGATE(9, 6, C21:C24)</t>
        </is>
      </c>
      <c r="F100" s="32">
        <f>AGGREGATE(9, 6, 'AGGREGATE'!C21:C24)</f>
        <v/>
      </c>
      <c r="G100" s="19" t="inlineStr">
        <is>
          <t>Hitung penjumlahan (kode fungsi 9) dengan opsi abaikan error (kode opsi 6) pada rentang C21:C24 menggunakan fungsi AGGREGATE!</t>
        </is>
      </c>
    </row>
    <row r="101">
      <c r="A101" s="5" t="n">
        <v>97</v>
      </c>
      <c r="B101" s="8" t="inlineStr">
        <is>
          <t>AGGREGATE</t>
        </is>
      </c>
      <c r="C101" s="6" t="inlineStr">
        <is>
          <t>Soal Tes #2</t>
        </is>
      </c>
      <c r="D101" s="31" t="inlineStr">
        <is>
          <t>AGGREGATE!E30</t>
        </is>
      </c>
      <c r="E101" s="22" t="inlineStr">
        <is>
          <t>'=AGGREGATE(9, 6, C29:C32)</t>
        </is>
      </c>
      <c r="F101" s="32">
        <f>AGGREGATE(9, 6, 'AGGREGATE'!C29:C32)</f>
        <v/>
      </c>
      <c r="G101" s="19" t="inlineStr">
        <is>
          <t>Hitung penjumlahan (kode fungsi 9) dengan opsi abaikan error (kode opsi 6) pada rentang C29:C32 menggunakan fungsi AGGREGATE!</t>
        </is>
      </c>
    </row>
    <row r="102">
      <c r="A102" s="5" t="n">
        <v>98</v>
      </c>
      <c r="B102" s="8" t="inlineStr">
        <is>
          <t>AGGREGATE</t>
        </is>
      </c>
      <c r="C102" s="6" t="inlineStr">
        <is>
          <t>Soal Tes #3</t>
        </is>
      </c>
      <c r="D102" s="31" t="inlineStr">
        <is>
          <t>AGGREGATE!E38</t>
        </is>
      </c>
      <c r="E102" s="22" t="inlineStr">
        <is>
          <t>'=AGGREGATE(9, 6, C37:C40)</t>
        </is>
      </c>
      <c r="F102" s="32">
        <f>AGGREGATE(9, 6, 'AGGREGATE'!C37:C40)</f>
        <v/>
      </c>
      <c r="G102" s="19" t="inlineStr">
        <is>
          <t>Hitung penjumlahan (kode fungsi 9) dengan opsi abaikan error (kode opsi 6) pada rentang C37:C40 menggunakan fungsi AGGREGATE!</t>
        </is>
      </c>
    </row>
    <row r="103">
      <c r="A103" s="5" t="n">
        <v>99</v>
      </c>
      <c r="B103" s="8" t="inlineStr">
        <is>
          <t>AGGREGATE</t>
        </is>
      </c>
      <c r="C103" s="6" t="inlineStr">
        <is>
          <t>Soal Tes #4</t>
        </is>
      </c>
      <c r="D103" s="31" t="inlineStr">
        <is>
          <t>AGGREGATE!E46</t>
        </is>
      </c>
      <c r="E103" s="22" t="inlineStr">
        <is>
          <t>'=AGGREGATE(9, 6, C45:C48)</t>
        </is>
      </c>
      <c r="F103" s="32">
        <f>AGGREGATE(9, 6, 'AGGREGATE'!C45:C48)</f>
        <v/>
      </c>
      <c r="G103" s="19" t="inlineStr">
        <is>
          <t>Hitung penjumlahan (kode fungsi 9) dengan opsi abaikan error (kode opsi 6) pada rentang C45:C48 menggunakan fungsi AGGREGATE!</t>
        </is>
      </c>
    </row>
    <row r="104">
      <c r="A104" s="5" t="n">
        <v>100</v>
      </c>
      <c r="B104" s="8" t="inlineStr">
        <is>
          <t>AGGREGATE</t>
        </is>
      </c>
      <c r="C104" s="6" t="inlineStr">
        <is>
          <t>Soal Tes #5</t>
        </is>
      </c>
      <c r="D104" s="31" t="inlineStr">
        <is>
          <t>AGGREGATE!E54</t>
        </is>
      </c>
      <c r="E104" s="22" t="inlineStr">
        <is>
          <t>'=AGGREGATE(9, 6, C53:C56)</t>
        </is>
      </c>
      <c r="F104" s="32">
        <f>AGGREGATE(9, 6, 'AGGREGATE'!C53:C56)</f>
        <v/>
      </c>
      <c r="G104" s="19" t="inlineStr">
        <is>
          <t>Hitung penjumlahan (kode fungsi 9) dengan opsi abaikan error (kode opsi 6) pada rentang C53:C56 menggunakan fungsi AGGREGATE!</t>
        </is>
      </c>
    </row>
    <row r="105">
      <c r="A105" s="5" t="n">
        <v>101</v>
      </c>
      <c r="B105" s="8" t="inlineStr">
        <is>
          <t>RANDBETWEEN</t>
        </is>
      </c>
      <c r="C105" s="6" t="inlineStr">
        <is>
          <t>Soal Tes #1</t>
        </is>
      </c>
      <c r="D105" s="31" t="inlineStr">
        <is>
          <t>RANDBETWEEN!E22</t>
        </is>
      </c>
      <c r="E105" s="22" t="inlineStr">
        <is>
          <t>'=RANDBETWEEN(C21, C21)</t>
        </is>
      </c>
      <c r="F105" s="32">
        <f>RANDBETWEEN('RANDBETWEEN'!C21, 'RANDBETWEEN'!C21)</f>
        <v/>
      </c>
      <c r="G105" s="19" t="inlineStr">
        <is>
          <t>Gunakan fungsi RANDBETWEEN dengan batas bawah di sel C21 dan batas atas di sel C21!</t>
        </is>
      </c>
    </row>
    <row r="106">
      <c r="A106" s="5" t="n">
        <v>102</v>
      </c>
      <c r="B106" s="8" t="inlineStr">
        <is>
          <t>RANDBETWEEN</t>
        </is>
      </c>
      <c r="C106" s="6" t="inlineStr">
        <is>
          <t>Soal Tes #2</t>
        </is>
      </c>
      <c r="D106" s="31" t="inlineStr">
        <is>
          <t>RANDBETWEEN!E30</t>
        </is>
      </c>
      <c r="E106" s="22" t="inlineStr">
        <is>
          <t>'=RANDBETWEEN(C29, C29)</t>
        </is>
      </c>
      <c r="F106" s="32">
        <f>RANDBETWEEN('RANDBETWEEN'!C29, 'RANDBETWEEN'!C29)</f>
        <v/>
      </c>
      <c r="G106" s="19" t="inlineStr">
        <is>
          <t>Gunakan fungsi RANDBETWEEN dengan batas bawah di sel C29 dan batas atas di sel C29!</t>
        </is>
      </c>
    </row>
    <row r="107">
      <c r="A107" s="5" t="n">
        <v>103</v>
      </c>
      <c r="B107" s="8" t="inlineStr">
        <is>
          <t>RANDBETWEEN</t>
        </is>
      </c>
      <c r="C107" s="6" t="inlineStr">
        <is>
          <t>Soal Tes #3</t>
        </is>
      </c>
      <c r="D107" s="31" t="inlineStr">
        <is>
          <t>RANDBETWEEN!E38</t>
        </is>
      </c>
      <c r="E107" s="22" t="inlineStr">
        <is>
          <t>'=RANDBETWEEN(C37, C37)</t>
        </is>
      </c>
      <c r="F107" s="32">
        <f>RANDBETWEEN('RANDBETWEEN'!C37, 'RANDBETWEEN'!C37)</f>
        <v/>
      </c>
      <c r="G107" s="19" t="inlineStr">
        <is>
          <t>Gunakan fungsi RANDBETWEEN dengan batas bawah di sel C37 dan batas atas di sel C37!</t>
        </is>
      </c>
    </row>
    <row r="108">
      <c r="A108" s="5" t="n">
        <v>104</v>
      </c>
      <c r="B108" s="8" t="inlineStr">
        <is>
          <t>RANDBETWEEN</t>
        </is>
      </c>
      <c r="C108" s="6" t="inlineStr">
        <is>
          <t>Soal Tes #4</t>
        </is>
      </c>
      <c r="D108" s="31" t="inlineStr">
        <is>
          <t>RANDBETWEEN!E46</t>
        </is>
      </c>
      <c r="E108" s="22" t="inlineStr">
        <is>
          <t>'=RANDBETWEEN(C45, C45)</t>
        </is>
      </c>
      <c r="F108" s="32">
        <f>RANDBETWEEN('RANDBETWEEN'!C45, 'RANDBETWEEN'!C45)</f>
        <v/>
      </c>
      <c r="G108" s="19" t="inlineStr">
        <is>
          <t>Gunakan fungsi RANDBETWEEN dengan batas bawah di sel C45 dan batas atas di sel C45!</t>
        </is>
      </c>
    </row>
    <row r="109">
      <c r="A109" s="5" t="n">
        <v>105</v>
      </c>
      <c r="B109" s="8" t="inlineStr">
        <is>
          <t>RANDBETWEEN</t>
        </is>
      </c>
      <c r="C109" s="6" t="inlineStr">
        <is>
          <t>Soal Tes #5</t>
        </is>
      </c>
      <c r="D109" s="31" t="inlineStr">
        <is>
          <t>RANDBETWEEN!E54</t>
        </is>
      </c>
      <c r="E109" s="22" t="inlineStr">
        <is>
          <t>'=RANDBETWEEN(C53, C53)</t>
        </is>
      </c>
      <c r="F109" s="32">
        <f>RANDBETWEEN('RANDBETWEEN'!C53, 'RANDBETWEEN'!C53)</f>
        <v/>
      </c>
      <c r="G109" s="19" t="inlineStr">
        <is>
          <t>Gunakan fungsi RANDBETWEEN dengan batas bawah di sel C53 dan batas atas di sel C53!</t>
        </is>
      </c>
    </row>
    <row r="110">
      <c r="A110" s="5" t="n">
        <v>106</v>
      </c>
      <c r="B110" s="8" t="inlineStr">
        <is>
          <t>SIGN</t>
        </is>
      </c>
      <c r="C110" s="6" t="inlineStr">
        <is>
          <t>Soal Tes #1</t>
        </is>
      </c>
      <c r="D110" s="31" t="inlineStr">
        <is>
          <t>SIGN!E22</t>
        </is>
      </c>
      <c r="E110" s="22" t="inlineStr">
        <is>
          <t>'=SIGN(C21)</t>
        </is>
      </c>
      <c r="F110" s="32">
        <f>SIGN('SIGN'!C21)</f>
        <v/>
      </c>
      <c r="G110" s="19" t="inlineStr">
        <is>
          <t>Evaluasi nilai selisih pada sel C21 (-150) menggunakan fungsi SIGN!</t>
        </is>
      </c>
    </row>
    <row r="111">
      <c r="A111" s="5" t="n">
        <v>107</v>
      </c>
      <c r="B111" s="8" t="inlineStr">
        <is>
          <t>SIGN</t>
        </is>
      </c>
      <c r="C111" s="6" t="inlineStr">
        <is>
          <t>Soal Tes #2</t>
        </is>
      </c>
      <c r="D111" s="31" t="inlineStr">
        <is>
          <t>SIGN!E30</t>
        </is>
      </c>
      <c r="E111" s="22" t="inlineStr">
        <is>
          <t>'=SIGN(C29)</t>
        </is>
      </c>
      <c r="F111" s="32">
        <f>SIGN('SIGN'!C29)</f>
        <v/>
      </c>
      <c r="G111" s="19" t="inlineStr">
        <is>
          <t>Evaluasi nilai selisih pada sel C29 (-300) menggunakan fungsi SIGN!</t>
        </is>
      </c>
    </row>
    <row r="112">
      <c r="A112" s="5" t="n">
        <v>108</v>
      </c>
      <c r="B112" s="8" t="inlineStr">
        <is>
          <t>SIGN</t>
        </is>
      </c>
      <c r="C112" s="6" t="inlineStr">
        <is>
          <t>Soal Tes #3</t>
        </is>
      </c>
      <c r="D112" s="31" t="inlineStr">
        <is>
          <t>SIGN!E38</t>
        </is>
      </c>
      <c r="E112" s="22" t="inlineStr">
        <is>
          <t>'=SIGN(C37)</t>
        </is>
      </c>
      <c r="F112" s="32">
        <f>SIGN('SIGN'!C37)</f>
        <v/>
      </c>
      <c r="G112" s="19" t="inlineStr">
        <is>
          <t>Evaluasi nilai selisih pada sel C37 (-450) menggunakan fungsi SIGN!</t>
        </is>
      </c>
    </row>
    <row r="113">
      <c r="A113" s="5" t="n">
        <v>109</v>
      </c>
      <c r="B113" s="8" t="inlineStr">
        <is>
          <t>SIGN</t>
        </is>
      </c>
      <c r="C113" s="6" t="inlineStr">
        <is>
          <t>Soal Tes #4</t>
        </is>
      </c>
      <c r="D113" s="31" t="inlineStr">
        <is>
          <t>SIGN!E46</t>
        </is>
      </c>
      <c r="E113" s="22" t="inlineStr">
        <is>
          <t>'=SIGN(C45)</t>
        </is>
      </c>
      <c r="F113" s="32">
        <f>SIGN('SIGN'!C45)</f>
        <v/>
      </c>
      <c r="G113" s="19" t="inlineStr">
        <is>
          <t>Evaluasi nilai selisih pada sel C45 (-600) menggunakan fungsi SIGN!</t>
        </is>
      </c>
    </row>
    <row r="114">
      <c r="A114" s="5" t="n">
        <v>110</v>
      </c>
      <c r="B114" s="8" t="inlineStr">
        <is>
          <t>SIGN</t>
        </is>
      </c>
      <c r="C114" s="6" t="inlineStr">
        <is>
          <t>Soal Tes #5</t>
        </is>
      </c>
      <c r="D114" s="31" t="inlineStr">
        <is>
          <t>SIGN!E54</t>
        </is>
      </c>
      <c r="E114" s="22" t="inlineStr">
        <is>
          <t>'=SIGN(C53)</t>
        </is>
      </c>
      <c r="F114" s="32">
        <f>SIGN('SIGN'!C53)</f>
        <v/>
      </c>
      <c r="G114" s="19" t="inlineStr">
        <is>
          <t>Evaluasi nilai selisih pada sel C53 (-750) menggunakan fungsi SIGN!</t>
        </is>
      </c>
    </row>
    <row r="115">
      <c r="A115" s="5" t="n">
        <v>111</v>
      </c>
      <c r="B115" s="8" t="inlineStr">
        <is>
          <t>EVEN</t>
        </is>
      </c>
      <c r="C115" s="6" t="inlineStr">
        <is>
          <t>Soal Tes #1</t>
        </is>
      </c>
      <c r="D115" s="31" t="inlineStr">
        <is>
          <t>EVEN!E22</t>
        </is>
      </c>
      <c r="E115" s="22" t="inlineStr">
        <is>
          <t>'=EVEN(C21)</t>
        </is>
      </c>
      <c r="F115" s="32">
        <f>EVEN('EVEN'!C21)</f>
        <v/>
      </c>
      <c r="G115" s="19" t="inlineStr">
        <is>
          <t>Bulatkan atau potong nilai desimal pada sel C21 (124.789) menggunakan fungsi EVEN tanpa argumen tambahan!</t>
        </is>
      </c>
    </row>
    <row r="116">
      <c r="A116" s="5" t="n">
        <v>112</v>
      </c>
      <c r="B116" s="8" t="inlineStr">
        <is>
          <t>EVEN</t>
        </is>
      </c>
      <c r="C116" s="6" t="inlineStr">
        <is>
          <t>Soal Tes #2</t>
        </is>
      </c>
      <c r="D116" s="31" t="inlineStr">
        <is>
          <t>EVEN!E30</t>
        </is>
      </c>
      <c r="E116" s="22" t="inlineStr">
        <is>
          <t>'=EVEN(C29)</t>
        </is>
      </c>
      <c r="F116" s="32">
        <f>EVEN('EVEN'!C29)</f>
        <v/>
      </c>
      <c r="G116" s="19" t="inlineStr">
        <is>
          <t>Bulatkan atau potong nilai desimal pada sel C29 (127.889) menggunakan fungsi EVEN tanpa argumen tambahan!</t>
        </is>
      </c>
    </row>
    <row r="117">
      <c r="A117" s="5" t="n">
        <v>113</v>
      </c>
      <c r="B117" s="8" t="inlineStr">
        <is>
          <t>EVEN</t>
        </is>
      </c>
      <c r="C117" s="6" t="inlineStr">
        <is>
          <t>Soal Tes #3</t>
        </is>
      </c>
      <c r="D117" s="31" t="inlineStr">
        <is>
          <t>EVEN!E38</t>
        </is>
      </c>
      <c r="E117" s="22" t="inlineStr">
        <is>
          <t>'=EVEN(C37)</t>
        </is>
      </c>
      <c r="F117" s="32">
        <f>EVEN('EVEN'!C37)</f>
        <v/>
      </c>
      <c r="G117" s="19" t="inlineStr">
        <is>
          <t>Bulatkan atau potong nilai desimal pada sel C37 (130.989) menggunakan fungsi EVEN tanpa argumen tambahan!</t>
        </is>
      </c>
    </row>
    <row r="118">
      <c r="A118" s="5" t="n">
        <v>114</v>
      </c>
      <c r="B118" s="8" t="inlineStr">
        <is>
          <t>EVEN</t>
        </is>
      </c>
      <c r="C118" s="6" t="inlineStr">
        <is>
          <t>Soal Tes #4</t>
        </is>
      </c>
      <c r="D118" s="31" t="inlineStr">
        <is>
          <t>EVEN!E46</t>
        </is>
      </c>
      <c r="E118" s="22" t="inlineStr">
        <is>
          <t>'=EVEN(C45)</t>
        </is>
      </c>
      <c r="F118" s="32">
        <f>EVEN('EVEN'!C45)</f>
        <v/>
      </c>
      <c r="G118" s="19" t="inlineStr">
        <is>
          <t>Bulatkan atau potong nilai desimal pada sel C45 (134.089) menggunakan fungsi EVEN tanpa argumen tambahan!</t>
        </is>
      </c>
    </row>
    <row r="119">
      <c r="A119" s="5" t="n">
        <v>115</v>
      </c>
      <c r="B119" s="8" t="inlineStr">
        <is>
          <t>EVEN</t>
        </is>
      </c>
      <c r="C119" s="6" t="inlineStr">
        <is>
          <t>Soal Tes #5</t>
        </is>
      </c>
      <c r="D119" s="31" t="inlineStr">
        <is>
          <t>EVEN!E54</t>
        </is>
      </c>
      <c r="E119" s="22" t="inlineStr">
        <is>
          <t>'=EVEN(C53)</t>
        </is>
      </c>
      <c r="F119" s="32">
        <f>EVEN('EVEN'!C53)</f>
        <v/>
      </c>
      <c r="G119" s="19" t="inlineStr">
        <is>
          <t>Bulatkan atau potong nilai desimal pada sel C53 (137.189) menggunakan fungsi EVEN tanpa argumen tambahan!</t>
        </is>
      </c>
    </row>
    <row r="120">
      <c r="A120" s="5" t="n">
        <v>116</v>
      </c>
      <c r="B120" s="8" t="inlineStr">
        <is>
          <t>ODD</t>
        </is>
      </c>
      <c r="C120" s="6" t="inlineStr">
        <is>
          <t>Soal Tes #1</t>
        </is>
      </c>
      <c r="D120" s="31" t="inlineStr">
        <is>
          <t>ODD!E22</t>
        </is>
      </c>
      <c r="E120" s="22" t="inlineStr">
        <is>
          <t>'=ODD(C21)</t>
        </is>
      </c>
      <c r="F120" s="32">
        <f>ODD('ODD'!C21)</f>
        <v/>
      </c>
      <c r="G120" s="19" t="inlineStr">
        <is>
          <t>Bulatkan atau potong nilai desimal pada sel C21 (124.789) menggunakan fungsi ODD tanpa argumen tambahan!</t>
        </is>
      </c>
    </row>
    <row r="121">
      <c r="A121" s="5" t="n">
        <v>117</v>
      </c>
      <c r="B121" s="8" t="inlineStr">
        <is>
          <t>ODD</t>
        </is>
      </c>
      <c r="C121" s="6" t="inlineStr">
        <is>
          <t>Soal Tes #2</t>
        </is>
      </c>
      <c r="D121" s="31" t="inlineStr">
        <is>
          <t>ODD!E30</t>
        </is>
      </c>
      <c r="E121" s="22" t="inlineStr">
        <is>
          <t>'=ODD(C29)</t>
        </is>
      </c>
      <c r="F121" s="32">
        <f>ODD('ODD'!C29)</f>
        <v/>
      </c>
      <c r="G121" s="19" t="inlineStr">
        <is>
          <t>Bulatkan atau potong nilai desimal pada sel C29 (127.889) menggunakan fungsi ODD tanpa argumen tambahan!</t>
        </is>
      </c>
    </row>
    <row r="122">
      <c r="A122" s="5" t="n">
        <v>118</v>
      </c>
      <c r="B122" s="8" t="inlineStr">
        <is>
          <t>ODD</t>
        </is>
      </c>
      <c r="C122" s="6" t="inlineStr">
        <is>
          <t>Soal Tes #3</t>
        </is>
      </c>
      <c r="D122" s="31" t="inlineStr">
        <is>
          <t>ODD!E38</t>
        </is>
      </c>
      <c r="E122" s="22" t="inlineStr">
        <is>
          <t>'=ODD(C37)</t>
        </is>
      </c>
      <c r="F122" s="32">
        <f>ODD('ODD'!C37)</f>
        <v/>
      </c>
      <c r="G122" s="19" t="inlineStr">
        <is>
          <t>Bulatkan atau potong nilai desimal pada sel C37 (130.989) menggunakan fungsi ODD tanpa argumen tambahan!</t>
        </is>
      </c>
    </row>
    <row r="123">
      <c r="A123" s="5" t="n">
        <v>119</v>
      </c>
      <c r="B123" s="8" t="inlineStr">
        <is>
          <t>ODD</t>
        </is>
      </c>
      <c r="C123" s="6" t="inlineStr">
        <is>
          <t>Soal Tes #4</t>
        </is>
      </c>
      <c r="D123" s="31" t="inlineStr">
        <is>
          <t>ODD!E46</t>
        </is>
      </c>
      <c r="E123" s="22" t="inlineStr">
        <is>
          <t>'=ODD(C45)</t>
        </is>
      </c>
      <c r="F123" s="32">
        <f>ODD('ODD'!C45)</f>
        <v/>
      </c>
      <c r="G123" s="19" t="inlineStr">
        <is>
          <t>Bulatkan atau potong nilai desimal pada sel C45 (134.089) menggunakan fungsi ODD tanpa argumen tambahan!</t>
        </is>
      </c>
    </row>
    <row r="124">
      <c r="A124" s="5" t="n">
        <v>120</v>
      </c>
      <c r="B124" s="8" t="inlineStr">
        <is>
          <t>ODD</t>
        </is>
      </c>
      <c r="C124" s="6" t="inlineStr">
        <is>
          <t>Soal Tes #5</t>
        </is>
      </c>
      <c r="D124" s="31" t="inlineStr">
        <is>
          <t>ODD!E54</t>
        </is>
      </c>
      <c r="E124" s="22" t="inlineStr">
        <is>
          <t>'=ODD(C53)</t>
        </is>
      </c>
      <c r="F124" s="32">
        <f>ODD('ODD'!C53)</f>
        <v/>
      </c>
      <c r="G124" s="19" t="inlineStr">
        <is>
          <t>Bulatkan atau potong nilai desimal pada sel C53 (137.189) menggunakan fungsi ODD tanpa argumen tambahan!</t>
        </is>
      </c>
    </row>
    <row r="125">
      <c r="A125" s="5" t="n">
        <v>121</v>
      </c>
      <c r="B125" s="8" t="inlineStr">
        <is>
          <t>FACT</t>
        </is>
      </c>
      <c r="C125" s="6" t="inlineStr">
        <is>
          <t>Soal Tes #1</t>
        </is>
      </c>
      <c r="D125" s="31" t="inlineStr">
        <is>
          <t>FACT!E22</t>
        </is>
      </c>
      <c r="E125" s="22" t="inlineStr">
        <is>
          <t>'=FACT(C21)</t>
        </is>
      </c>
      <c r="F125" s="32">
        <f>FACT('FACT'!C21)</f>
        <v/>
      </c>
      <c r="G125" s="19" t="inlineStr">
        <is>
          <t>Hitung hasil fungsi FACT untuk nilai input pada sel C21 (3)!</t>
        </is>
      </c>
    </row>
    <row r="126">
      <c r="A126" s="5" t="n">
        <v>122</v>
      </c>
      <c r="B126" s="8" t="inlineStr">
        <is>
          <t>FACT</t>
        </is>
      </c>
      <c r="C126" s="6" t="inlineStr">
        <is>
          <t>Soal Tes #2</t>
        </is>
      </c>
      <c r="D126" s="31" t="inlineStr">
        <is>
          <t>FACT!E30</t>
        </is>
      </c>
      <c r="E126" s="22" t="inlineStr">
        <is>
          <t>'=FACT(C29)</t>
        </is>
      </c>
      <c r="F126" s="32">
        <f>FACT('FACT'!C29)</f>
        <v/>
      </c>
      <c r="G126" s="19" t="inlineStr">
        <is>
          <t>Hitung hasil fungsi FACT untuk nilai input pada sel C29 (4)!</t>
        </is>
      </c>
    </row>
    <row r="127">
      <c r="A127" s="5" t="n">
        <v>123</v>
      </c>
      <c r="B127" s="8" t="inlineStr">
        <is>
          <t>FACT</t>
        </is>
      </c>
      <c r="C127" s="6" t="inlineStr">
        <is>
          <t>Soal Tes #3</t>
        </is>
      </c>
      <c r="D127" s="31" t="inlineStr">
        <is>
          <t>FACT!E38</t>
        </is>
      </c>
      <c r="E127" s="22" t="inlineStr">
        <is>
          <t>'=FACT(C37)</t>
        </is>
      </c>
      <c r="F127" s="32">
        <f>FACT('FACT'!C37)</f>
        <v/>
      </c>
      <c r="G127" s="19" t="inlineStr">
        <is>
          <t>Hitung hasil fungsi FACT untuk nilai input pada sel C37 (5)!</t>
        </is>
      </c>
    </row>
    <row r="128">
      <c r="A128" s="5" t="n">
        <v>124</v>
      </c>
      <c r="B128" s="8" t="inlineStr">
        <is>
          <t>FACT</t>
        </is>
      </c>
      <c r="C128" s="6" t="inlineStr">
        <is>
          <t>Soal Tes #4</t>
        </is>
      </c>
      <c r="D128" s="31" t="inlineStr">
        <is>
          <t>FACT!E46</t>
        </is>
      </c>
      <c r="E128" s="22" t="inlineStr">
        <is>
          <t>'=FACT(C45)</t>
        </is>
      </c>
      <c r="F128" s="32">
        <f>FACT('FACT'!C45)</f>
        <v/>
      </c>
      <c r="G128" s="19" t="inlineStr">
        <is>
          <t>Hitung hasil fungsi FACT untuk nilai input pada sel C45 (6)!</t>
        </is>
      </c>
    </row>
    <row r="129">
      <c r="A129" s="5" t="n">
        <v>125</v>
      </c>
      <c r="B129" s="8" t="inlineStr">
        <is>
          <t>FACT</t>
        </is>
      </c>
      <c r="C129" s="6" t="inlineStr">
        <is>
          <t>Soal Tes #5</t>
        </is>
      </c>
      <c r="D129" s="31" t="inlineStr">
        <is>
          <t>FACT!E54</t>
        </is>
      </c>
      <c r="E129" s="22" t="inlineStr">
        <is>
          <t>'=FACT(C53)</t>
        </is>
      </c>
      <c r="F129" s="32">
        <f>FACT('FACT'!C53)</f>
        <v/>
      </c>
      <c r="G129" s="19" t="inlineStr">
        <is>
          <t>Hitung hasil fungsi FACT untuk nilai input pada sel C53 (7)!</t>
        </is>
      </c>
    </row>
    <row r="130">
      <c r="A130" s="5" t="n">
        <v>126</v>
      </c>
      <c r="B130" s="8" t="inlineStr">
        <is>
          <t>GCD</t>
        </is>
      </c>
      <c r="C130" s="6" t="inlineStr">
        <is>
          <t>Soal Tes #1</t>
        </is>
      </c>
      <c r="D130" s="31" t="inlineStr">
        <is>
          <t>GCD!E22</t>
        </is>
      </c>
      <c r="E130" s="22" t="inlineStr">
        <is>
          <t>'=GCD(B21, C21)</t>
        </is>
      </c>
      <c r="F130" s="32">
        <f>GCD('GCD'!B21, 'GCD'!C21)</f>
        <v/>
      </c>
      <c r="G130" s="19" t="inlineStr">
        <is>
          <t>Terapkan fungsi GCD dengan mengambil angka pertama di sel B21 (25) dan angka kedua di sel C21 (4)!</t>
        </is>
      </c>
    </row>
    <row r="131">
      <c r="A131" s="5" t="n">
        <v>127</v>
      </c>
      <c r="B131" s="8" t="inlineStr">
        <is>
          <t>GCD</t>
        </is>
      </c>
      <c r="C131" s="6" t="inlineStr">
        <is>
          <t>Soal Tes #2</t>
        </is>
      </c>
      <c r="D131" s="31" t="inlineStr">
        <is>
          <t>GCD!E30</t>
        </is>
      </c>
      <c r="E131" s="22" t="inlineStr">
        <is>
          <t>'=GCD(B29, C29)</t>
        </is>
      </c>
      <c r="F131" s="32">
        <f>GCD('GCD'!B29, 'GCD'!C29)</f>
        <v/>
      </c>
      <c r="G131" s="19" t="inlineStr">
        <is>
          <t>Terapkan fungsi GCD dengan mengambil angka pertama di sel B29 (31) dan angka kedua di sel C29 (4)!</t>
        </is>
      </c>
    </row>
    <row r="132">
      <c r="A132" s="5" t="n">
        <v>128</v>
      </c>
      <c r="B132" s="8" t="inlineStr">
        <is>
          <t>GCD</t>
        </is>
      </c>
      <c r="C132" s="6" t="inlineStr">
        <is>
          <t>Soal Tes #3</t>
        </is>
      </c>
      <c r="D132" s="31" t="inlineStr">
        <is>
          <t>GCD!E38</t>
        </is>
      </c>
      <c r="E132" s="22" t="inlineStr">
        <is>
          <t>'=GCD(B37, C37)</t>
        </is>
      </c>
      <c r="F132" s="32">
        <f>GCD('GCD'!B37, 'GCD'!C37)</f>
        <v/>
      </c>
      <c r="G132" s="19" t="inlineStr">
        <is>
          <t>Terapkan fungsi GCD dengan mengambil angka pertama di sel B37 (37) dan angka kedua di sel C37 (4)!</t>
        </is>
      </c>
    </row>
    <row r="133">
      <c r="A133" s="5" t="n">
        <v>129</v>
      </c>
      <c r="B133" s="8" t="inlineStr">
        <is>
          <t>GCD</t>
        </is>
      </c>
      <c r="C133" s="6" t="inlineStr">
        <is>
          <t>Soal Tes #4</t>
        </is>
      </c>
      <c r="D133" s="31" t="inlineStr">
        <is>
          <t>GCD!E46</t>
        </is>
      </c>
      <c r="E133" s="22" t="inlineStr">
        <is>
          <t>'=GCD(B45, C45)</t>
        </is>
      </c>
      <c r="F133" s="32">
        <f>GCD('GCD'!B45, 'GCD'!C45)</f>
        <v/>
      </c>
      <c r="G133" s="19" t="inlineStr">
        <is>
          <t>Terapkan fungsi GCD dengan mengambil angka pertama di sel B45 (43) dan angka kedua di sel C45 (4)!</t>
        </is>
      </c>
    </row>
    <row r="134">
      <c r="A134" s="5" t="n">
        <v>130</v>
      </c>
      <c r="B134" s="8" t="inlineStr">
        <is>
          <t>GCD</t>
        </is>
      </c>
      <c r="C134" s="6" t="inlineStr">
        <is>
          <t>Soal Tes #5</t>
        </is>
      </c>
      <c r="D134" s="31" t="inlineStr">
        <is>
          <t>GCD!E54</t>
        </is>
      </c>
      <c r="E134" s="22" t="inlineStr">
        <is>
          <t>'=GCD(B53, C53)</t>
        </is>
      </c>
      <c r="F134" s="32">
        <f>GCD('GCD'!B53, 'GCD'!C53)</f>
        <v/>
      </c>
      <c r="G134" s="19" t="inlineStr">
        <is>
          <t>Terapkan fungsi GCD dengan mengambil angka pertama di sel B53 (49) dan angka kedua di sel C53 (4)!</t>
        </is>
      </c>
    </row>
    <row r="135">
      <c r="A135" s="5" t="n">
        <v>131</v>
      </c>
      <c r="B135" s="8" t="inlineStr">
        <is>
          <t>LCM</t>
        </is>
      </c>
      <c r="C135" s="6" t="inlineStr">
        <is>
          <t>Soal Tes #1</t>
        </is>
      </c>
      <c r="D135" s="31" t="inlineStr">
        <is>
          <t>LCM!E22</t>
        </is>
      </c>
      <c r="E135" s="22" t="inlineStr">
        <is>
          <t>'=LCM(B21, C21)</t>
        </is>
      </c>
      <c r="F135" s="32">
        <f>LCM('LCM'!B21, 'LCM'!C21)</f>
        <v/>
      </c>
      <c r="G135" s="19" t="inlineStr">
        <is>
          <t>Terapkan fungsi LCM dengan mengambil angka pertama di sel B21 (25) dan angka kedua di sel C21 (4)!</t>
        </is>
      </c>
    </row>
    <row r="136">
      <c r="A136" s="5" t="n">
        <v>132</v>
      </c>
      <c r="B136" s="8" t="inlineStr">
        <is>
          <t>LCM</t>
        </is>
      </c>
      <c r="C136" s="6" t="inlineStr">
        <is>
          <t>Soal Tes #2</t>
        </is>
      </c>
      <c r="D136" s="31" t="inlineStr">
        <is>
          <t>LCM!E30</t>
        </is>
      </c>
      <c r="E136" s="22" t="inlineStr">
        <is>
          <t>'=LCM(B29, C29)</t>
        </is>
      </c>
      <c r="F136" s="32">
        <f>LCM('LCM'!B29, 'LCM'!C29)</f>
        <v/>
      </c>
      <c r="G136" s="19" t="inlineStr">
        <is>
          <t>Terapkan fungsi LCM dengan mengambil angka pertama di sel B29 (31) dan angka kedua di sel C29 (4)!</t>
        </is>
      </c>
    </row>
    <row r="137">
      <c r="A137" s="5" t="n">
        <v>133</v>
      </c>
      <c r="B137" s="8" t="inlineStr">
        <is>
          <t>LCM</t>
        </is>
      </c>
      <c r="C137" s="6" t="inlineStr">
        <is>
          <t>Soal Tes #3</t>
        </is>
      </c>
      <c r="D137" s="31" t="inlineStr">
        <is>
          <t>LCM!E38</t>
        </is>
      </c>
      <c r="E137" s="22" t="inlineStr">
        <is>
          <t>'=LCM(B37, C37)</t>
        </is>
      </c>
      <c r="F137" s="32">
        <f>LCM('LCM'!B37, 'LCM'!C37)</f>
        <v/>
      </c>
      <c r="G137" s="19" t="inlineStr">
        <is>
          <t>Terapkan fungsi LCM dengan mengambil angka pertama di sel B37 (37) dan angka kedua di sel C37 (4)!</t>
        </is>
      </c>
    </row>
    <row r="138">
      <c r="A138" s="5" t="n">
        <v>134</v>
      </c>
      <c r="B138" s="8" t="inlineStr">
        <is>
          <t>LCM</t>
        </is>
      </c>
      <c r="C138" s="6" t="inlineStr">
        <is>
          <t>Soal Tes #4</t>
        </is>
      </c>
      <c r="D138" s="31" t="inlineStr">
        <is>
          <t>LCM!E46</t>
        </is>
      </c>
      <c r="E138" s="22" t="inlineStr">
        <is>
          <t>'=LCM(B45, C45)</t>
        </is>
      </c>
      <c r="F138" s="32">
        <f>LCM('LCM'!B45, 'LCM'!C45)</f>
        <v/>
      </c>
      <c r="G138" s="19" t="inlineStr">
        <is>
          <t>Terapkan fungsi LCM dengan mengambil angka pertama di sel B45 (43) dan angka kedua di sel C45 (4)!</t>
        </is>
      </c>
    </row>
    <row r="139">
      <c r="A139" s="5" t="n">
        <v>135</v>
      </c>
      <c r="B139" s="8" t="inlineStr">
        <is>
          <t>LCM</t>
        </is>
      </c>
      <c r="C139" s="6" t="inlineStr">
        <is>
          <t>Soal Tes #5</t>
        </is>
      </c>
      <c r="D139" s="31" t="inlineStr">
        <is>
          <t>LCM!E54</t>
        </is>
      </c>
      <c r="E139" s="22" t="inlineStr">
        <is>
          <t>'=LCM(B53, C53)</t>
        </is>
      </c>
      <c r="F139" s="32">
        <f>LCM('LCM'!B53, 'LCM'!C53)</f>
        <v/>
      </c>
      <c r="G139" s="19" t="inlineStr">
        <is>
          <t>Terapkan fungsi LCM dengan mengambil angka pertama di sel B53 (49) dan angka kedua di sel C53 (4)!</t>
        </is>
      </c>
    </row>
    <row r="140">
      <c r="A140" s="5" t="n">
        <v>136</v>
      </c>
      <c r="B140" s="8" t="inlineStr">
        <is>
          <t>ROMAN</t>
        </is>
      </c>
      <c r="C140" s="6" t="inlineStr">
        <is>
          <t>Soal Tes #1</t>
        </is>
      </c>
      <c r="D140" s="31" t="inlineStr">
        <is>
          <t>ROMAN!E22</t>
        </is>
      </c>
      <c r="E140" s="22" t="inlineStr">
        <is>
          <t>'=ROMAN(C21)</t>
        </is>
      </c>
      <c r="F140" s="32">
        <f>ROMAN('ROMAN'!C21)</f>
        <v/>
      </c>
      <c r="G140" s="19" t="inlineStr">
        <is>
          <t>Hitung hasil fungsi ROMAN untuk nilai input pada sel C21 (12)!</t>
        </is>
      </c>
    </row>
    <row r="141">
      <c r="A141" s="5" t="n">
        <v>137</v>
      </c>
      <c r="B141" s="8" t="inlineStr">
        <is>
          <t>ROMAN</t>
        </is>
      </c>
      <c r="C141" s="6" t="inlineStr">
        <is>
          <t>Soal Tes #2</t>
        </is>
      </c>
      <c r="D141" s="31" t="inlineStr">
        <is>
          <t>ROMAN!E30</t>
        </is>
      </c>
      <c r="E141" s="22" t="inlineStr">
        <is>
          <t>'=ROMAN(C29)</t>
        </is>
      </c>
      <c r="F141" s="32">
        <f>ROMAN('ROMAN'!C29)</f>
        <v/>
      </c>
      <c r="G141" s="19" t="inlineStr">
        <is>
          <t>Hitung hasil fungsi ROMAN untuk nilai input pada sel C29 (17)!</t>
        </is>
      </c>
    </row>
    <row r="142">
      <c r="A142" s="5" t="n">
        <v>138</v>
      </c>
      <c r="B142" s="8" t="inlineStr">
        <is>
          <t>ROMAN</t>
        </is>
      </c>
      <c r="C142" s="6" t="inlineStr">
        <is>
          <t>Soal Tes #3</t>
        </is>
      </c>
      <c r="D142" s="31" t="inlineStr">
        <is>
          <t>ROMAN!E38</t>
        </is>
      </c>
      <c r="E142" s="22" t="inlineStr">
        <is>
          <t>'=ROMAN(C37)</t>
        </is>
      </c>
      <c r="F142" s="32">
        <f>ROMAN('ROMAN'!C37)</f>
        <v/>
      </c>
      <c r="G142" s="19" t="inlineStr">
        <is>
          <t>Hitung hasil fungsi ROMAN untuk nilai input pada sel C37 (22)!</t>
        </is>
      </c>
    </row>
    <row r="143">
      <c r="A143" s="5" t="n">
        <v>139</v>
      </c>
      <c r="B143" s="8" t="inlineStr">
        <is>
          <t>ROMAN</t>
        </is>
      </c>
      <c r="C143" s="6" t="inlineStr">
        <is>
          <t>Soal Tes #4</t>
        </is>
      </c>
      <c r="D143" s="31" t="inlineStr">
        <is>
          <t>ROMAN!E46</t>
        </is>
      </c>
      <c r="E143" s="22" t="inlineStr">
        <is>
          <t>'=ROMAN(C45)</t>
        </is>
      </c>
      <c r="F143" s="32">
        <f>ROMAN('ROMAN'!C45)</f>
        <v/>
      </c>
      <c r="G143" s="19" t="inlineStr">
        <is>
          <t>Hitung hasil fungsi ROMAN untuk nilai input pada sel C45 (27)!</t>
        </is>
      </c>
    </row>
    <row r="144">
      <c r="A144" s="5" t="n">
        <v>140</v>
      </c>
      <c r="B144" s="8" t="inlineStr">
        <is>
          <t>ROMAN</t>
        </is>
      </c>
      <c r="C144" s="6" t="inlineStr">
        <is>
          <t>Soal Tes #5</t>
        </is>
      </c>
      <c r="D144" s="31" t="inlineStr">
        <is>
          <t>ROMAN!E54</t>
        </is>
      </c>
      <c r="E144" s="22" t="inlineStr">
        <is>
          <t>'=ROMAN(C53)</t>
        </is>
      </c>
      <c r="F144" s="32">
        <f>ROMAN('ROMAN'!C53)</f>
        <v/>
      </c>
      <c r="G144" s="19" t="inlineStr">
        <is>
          <t>Hitung hasil fungsi ROMAN untuk nilai input pada sel C53 (32)!</t>
        </is>
      </c>
    </row>
    <row r="145">
      <c r="A145" s="5" t="n">
        <v>141</v>
      </c>
      <c r="B145" s="8" t="inlineStr">
        <is>
          <t>ARABIC</t>
        </is>
      </c>
      <c r="C145" s="6" t="inlineStr">
        <is>
          <t>Soal Tes #1</t>
        </is>
      </c>
      <c r="D145" s="31" t="inlineStr">
        <is>
          <t>ARABIC!E22</t>
        </is>
      </c>
      <c r="E145" s="22" t="inlineStr">
        <is>
          <t>'=ARABIC(C21)</t>
        </is>
      </c>
      <c r="F145" s="32">
        <f>ARABIC('ARABIC'!C21)</f>
        <v/>
      </c>
      <c r="G145" s="19" t="inlineStr">
        <is>
          <t>Ubah kode angka Romawi pada sel C21 ("XIV") menjadi bilangan angka Arab biasa menggunakan fungsi ARABIC!</t>
        </is>
      </c>
    </row>
    <row r="146">
      <c r="A146" s="5" t="n">
        <v>142</v>
      </c>
      <c r="B146" s="8" t="inlineStr">
        <is>
          <t>ARABIC</t>
        </is>
      </c>
      <c r="C146" s="6" t="inlineStr">
        <is>
          <t>Soal Tes #2</t>
        </is>
      </c>
      <c r="D146" s="31" t="inlineStr">
        <is>
          <t>ARABIC!E30</t>
        </is>
      </c>
      <c r="E146" s="22" t="inlineStr">
        <is>
          <t>'=ARABIC(C29)</t>
        </is>
      </c>
      <c r="F146" s="32">
        <f>ARABIC('ARABIC'!C29)</f>
        <v/>
      </c>
      <c r="G146" s="19" t="inlineStr">
        <is>
          <t>Ubah kode angka Romawi pada sel C29 ("XXV") menjadi bilangan angka Arab biasa menggunakan fungsi ARABIC!</t>
        </is>
      </c>
    </row>
    <row r="147">
      <c r="A147" s="5" t="n">
        <v>143</v>
      </c>
      <c r="B147" s="8" t="inlineStr">
        <is>
          <t>ARABIC</t>
        </is>
      </c>
      <c r="C147" s="6" t="inlineStr">
        <is>
          <t>Soal Tes #3</t>
        </is>
      </c>
      <c r="D147" s="31" t="inlineStr">
        <is>
          <t>ARABIC!E38</t>
        </is>
      </c>
      <c r="E147" s="22" t="inlineStr">
        <is>
          <t>'=ARABIC(C37)</t>
        </is>
      </c>
      <c r="F147" s="32">
        <f>ARABIC('ARABIC'!C37)</f>
        <v/>
      </c>
      <c r="G147" s="19" t="inlineStr">
        <is>
          <t>Ubah kode angka Romawi pada sel C37 ("XL") menjadi bilangan angka Arab biasa menggunakan fungsi ARABIC!</t>
        </is>
      </c>
    </row>
    <row r="148">
      <c r="A148" s="5" t="n">
        <v>144</v>
      </c>
      <c r="B148" s="8" t="inlineStr">
        <is>
          <t>ARABIC</t>
        </is>
      </c>
      <c r="C148" s="6" t="inlineStr">
        <is>
          <t>Soal Tes #4</t>
        </is>
      </c>
      <c r="D148" s="31" t="inlineStr">
        <is>
          <t>ARABIC!E46</t>
        </is>
      </c>
      <c r="E148" s="22" t="inlineStr">
        <is>
          <t>'=ARABIC(C45)</t>
        </is>
      </c>
      <c r="F148" s="32">
        <f>ARABIC('ARABIC'!C45)</f>
        <v/>
      </c>
      <c r="G148" s="19" t="inlineStr">
        <is>
          <t>Ubah kode angka Romawi pada sel C45 ("LX") menjadi bilangan angka Arab biasa menggunakan fungsi ARABIC!</t>
        </is>
      </c>
    </row>
    <row r="149">
      <c r="A149" s="5" t="n">
        <v>145</v>
      </c>
      <c r="B149" s="8" t="inlineStr">
        <is>
          <t>ARABIC</t>
        </is>
      </c>
      <c r="C149" s="6" t="inlineStr">
        <is>
          <t>Soal Tes #5</t>
        </is>
      </c>
      <c r="D149" s="31" t="inlineStr">
        <is>
          <t>ARABIC!E54</t>
        </is>
      </c>
      <c r="E149" s="22" t="inlineStr">
        <is>
          <t>'=ARABIC(C53)</t>
        </is>
      </c>
      <c r="F149" s="32">
        <f>ARABIC('ARABIC'!C53)</f>
        <v/>
      </c>
      <c r="G149" s="19" t="inlineStr">
        <is>
          <t>Ubah kode angka Romawi pada sel C53 ("XC") menjadi bilangan angka Arab biasa menggunakan fungsi ARABIC!</t>
        </is>
      </c>
    </row>
    <row r="150">
      <c r="A150" s="5" t="n">
        <v>146</v>
      </c>
      <c r="B150" s="8" t="inlineStr">
        <is>
          <t>IF</t>
        </is>
      </c>
      <c r="C150" s="6" t="inlineStr">
        <is>
          <t>Soal Tes #1</t>
        </is>
      </c>
      <c r="D150" s="31" t="inlineStr">
        <is>
          <t>IF!E22</t>
        </is>
      </c>
      <c r="E150" s="22" t="inlineStr">
        <is>
          <t>'=IF(C21&gt;=75, "LULUS", "REMEDIAL")</t>
        </is>
      </c>
      <c r="F150" s="32">
        <f>IF('IF'!C21&gt;=75, "LULUS", "REMEDIAL")</f>
        <v/>
      </c>
      <c r="G150" s="19" t="inlineStr">
        <is>
          <t>Uji nilai pada sel C21 menggunakan fungsi IF: apabila nilainya minimal 75 (&gt;=75) tampilkan "LULUS", selain itu tampilkan "REMEDIAL"!</t>
        </is>
      </c>
    </row>
    <row r="151">
      <c r="A151" s="5" t="n">
        <v>147</v>
      </c>
      <c r="B151" s="8" t="inlineStr">
        <is>
          <t>IF</t>
        </is>
      </c>
      <c r="C151" s="6" t="inlineStr">
        <is>
          <t>Soal Tes #2</t>
        </is>
      </c>
      <c r="D151" s="31" t="inlineStr">
        <is>
          <t>IF!E30</t>
        </is>
      </c>
      <c r="E151" s="22" t="inlineStr">
        <is>
          <t>'=IF(C29&gt;=75, "LULUS", "REMEDIAL")</t>
        </is>
      </c>
      <c r="F151" s="32">
        <f>IF('IF'!C29&gt;=75, "LULUS", "REMEDIAL")</f>
        <v/>
      </c>
      <c r="G151" s="19" t="inlineStr">
        <is>
          <t>Uji nilai pada sel C29 menggunakan fungsi IF: apabila nilainya minimal 75 (&gt;=75) tampilkan "LULUS", selain itu tampilkan "REMEDIAL"!</t>
        </is>
      </c>
    </row>
    <row r="152">
      <c r="A152" s="5" t="n">
        <v>148</v>
      </c>
      <c r="B152" s="8" t="inlineStr">
        <is>
          <t>IF</t>
        </is>
      </c>
      <c r="C152" s="6" t="inlineStr">
        <is>
          <t>Soal Tes #3</t>
        </is>
      </c>
      <c r="D152" s="31" t="inlineStr">
        <is>
          <t>IF!E38</t>
        </is>
      </c>
      <c r="E152" s="22" t="inlineStr">
        <is>
          <t>'=IF(C37&gt;=75, "LULUS", "REMEDIAL")</t>
        </is>
      </c>
      <c r="F152" s="32">
        <f>IF('IF'!C37&gt;=75, "LULUS", "REMEDIAL")</f>
        <v/>
      </c>
      <c r="G152" s="19" t="inlineStr">
        <is>
          <t>Uji nilai pada sel C37 menggunakan fungsi IF: apabila nilainya minimal 75 (&gt;=75) tampilkan "LULUS", selain itu tampilkan "REMEDIAL"!</t>
        </is>
      </c>
    </row>
    <row r="153">
      <c r="A153" s="5" t="n">
        <v>149</v>
      </c>
      <c r="B153" s="8" t="inlineStr">
        <is>
          <t>IF</t>
        </is>
      </c>
      <c r="C153" s="6" t="inlineStr">
        <is>
          <t>Soal Tes #4</t>
        </is>
      </c>
      <c r="D153" s="31" t="inlineStr">
        <is>
          <t>IF!E46</t>
        </is>
      </c>
      <c r="E153" s="22" t="inlineStr">
        <is>
          <t>'=IF(C45&gt;=75, "LULUS", "REMEDIAL")</t>
        </is>
      </c>
      <c r="F153" s="32">
        <f>IF('IF'!C45&gt;=75, "LULUS", "REMEDIAL")</f>
        <v/>
      </c>
      <c r="G153" s="19" t="inlineStr">
        <is>
          <t>Uji nilai pada sel C45 menggunakan fungsi IF: apabila nilainya minimal 75 (&gt;=75) tampilkan "LULUS", selain itu tampilkan "REMEDIAL"!</t>
        </is>
      </c>
    </row>
    <row r="154">
      <c r="A154" s="5" t="n">
        <v>150</v>
      </c>
      <c r="B154" s="8" t="inlineStr">
        <is>
          <t>IF</t>
        </is>
      </c>
      <c r="C154" s="6" t="inlineStr">
        <is>
          <t>Soal Tes #5</t>
        </is>
      </c>
      <c r="D154" s="31" t="inlineStr">
        <is>
          <t>IF!E54</t>
        </is>
      </c>
      <c r="E154" s="22" t="inlineStr">
        <is>
          <t>'=IF(C53&gt;=75, "LULUS", "REMEDIAL")</t>
        </is>
      </c>
      <c r="F154" s="32">
        <f>IF('IF'!C53&gt;=75, "LULUS", "REMEDIAL")</f>
        <v/>
      </c>
      <c r="G154" s="19" t="inlineStr">
        <is>
          <t>Uji nilai pada sel C53 menggunakan fungsi IF: apabila nilainya minimal 75 (&gt;=75) tampilkan "LULUS", selain itu tampilkan "REMEDIAL"!</t>
        </is>
      </c>
    </row>
    <row r="155">
      <c r="A155" s="5" t="n">
        <v>151</v>
      </c>
      <c r="B155" s="8" t="inlineStr">
        <is>
          <t>IFS</t>
        </is>
      </c>
      <c r="C155" s="6" t="inlineStr">
        <is>
          <t>Soal Tes #1</t>
        </is>
      </c>
      <c r="D155" s="31" t="inlineStr">
        <is>
          <t>IFS!E22</t>
        </is>
      </c>
      <c r="E155" s="22" t="inlineStr">
        <is>
          <t>'=IFS(C21&gt;=85, "A", C21&gt;=70, "B", TRUE, "C")</t>
        </is>
      </c>
      <c r="F155" s="32">
        <f>IFS('IFS'!C21&gt;=85, "A", 'IFS'!C21&gt;=70, "B", TRUE, "C")</f>
        <v/>
      </c>
      <c r="G155" s="19" t="inlineStr">
        <is>
          <t>Tentukan predikat nilai sel C21 menggunakan fungsi IFS: jika minimal 85 hasilnya "A", jika minimal 70 hasilnya "B", dan kondisi terakhir TRUE hasilnya "C"!</t>
        </is>
      </c>
    </row>
    <row r="156">
      <c r="A156" s="5" t="n">
        <v>152</v>
      </c>
      <c r="B156" s="8" t="inlineStr">
        <is>
          <t>IFS</t>
        </is>
      </c>
      <c r="C156" s="6" t="inlineStr">
        <is>
          <t>Soal Tes #2</t>
        </is>
      </c>
      <c r="D156" s="31" t="inlineStr">
        <is>
          <t>IFS!E30</t>
        </is>
      </c>
      <c r="E156" s="22" t="inlineStr">
        <is>
          <t>'=IFS(C29&gt;=85, "A", C29&gt;=70, "B", TRUE, "C")</t>
        </is>
      </c>
      <c r="F156" s="32">
        <f>IFS('IFS'!C29&gt;=85, "A", 'IFS'!C29&gt;=70, "B", TRUE, "C")</f>
        <v/>
      </c>
      <c r="G156" s="19" t="inlineStr">
        <is>
          <t>Tentukan predikat nilai sel C29 menggunakan fungsi IFS: jika minimal 85 hasilnya "A", jika minimal 70 hasilnya "B", dan kondisi terakhir TRUE hasilnya "C"!</t>
        </is>
      </c>
    </row>
    <row r="157">
      <c r="A157" s="5" t="n">
        <v>153</v>
      </c>
      <c r="B157" s="8" t="inlineStr">
        <is>
          <t>IFS</t>
        </is>
      </c>
      <c r="C157" s="6" t="inlineStr">
        <is>
          <t>Soal Tes #3</t>
        </is>
      </c>
      <c r="D157" s="31" t="inlineStr">
        <is>
          <t>IFS!E38</t>
        </is>
      </c>
      <c r="E157" s="22" t="inlineStr">
        <is>
          <t>'=IFS(C37&gt;=85, "A", C37&gt;=70, "B", TRUE, "C")</t>
        </is>
      </c>
      <c r="F157" s="32">
        <f>IFS('IFS'!C37&gt;=85, "A", 'IFS'!C37&gt;=70, "B", TRUE, "C")</f>
        <v/>
      </c>
      <c r="G157" s="19" t="inlineStr">
        <is>
          <t>Tentukan predikat nilai sel C37 menggunakan fungsi IFS: jika minimal 85 hasilnya "A", jika minimal 70 hasilnya "B", dan kondisi terakhir TRUE hasilnya "C"!</t>
        </is>
      </c>
    </row>
    <row r="158">
      <c r="A158" s="5" t="n">
        <v>154</v>
      </c>
      <c r="B158" s="8" t="inlineStr">
        <is>
          <t>IFS</t>
        </is>
      </c>
      <c r="C158" s="6" t="inlineStr">
        <is>
          <t>Soal Tes #4</t>
        </is>
      </c>
      <c r="D158" s="31" t="inlineStr">
        <is>
          <t>IFS!E46</t>
        </is>
      </c>
      <c r="E158" s="22" t="inlineStr">
        <is>
          <t>'=IFS(C45&gt;=85, "A", C45&gt;=70, "B", TRUE, "C")</t>
        </is>
      </c>
      <c r="F158" s="32">
        <f>IFS('IFS'!C45&gt;=85, "A", 'IFS'!C45&gt;=70, "B", TRUE, "C")</f>
        <v/>
      </c>
      <c r="G158" s="19" t="inlineStr">
        <is>
          <t>Tentukan predikat nilai sel C45 menggunakan fungsi IFS: jika minimal 85 hasilnya "A", jika minimal 70 hasilnya "B", dan kondisi terakhir TRUE hasilnya "C"!</t>
        </is>
      </c>
    </row>
    <row r="159">
      <c r="A159" s="5" t="n">
        <v>155</v>
      </c>
      <c r="B159" s="8" t="inlineStr">
        <is>
          <t>IFS</t>
        </is>
      </c>
      <c r="C159" s="6" t="inlineStr">
        <is>
          <t>Soal Tes #5</t>
        </is>
      </c>
      <c r="D159" s="31" t="inlineStr">
        <is>
          <t>IFS!E54</t>
        </is>
      </c>
      <c r="E159" s="22" t="inlineStr">
        <is>
          <t>'=IFS(C53&gt;=85, "A", C53&gt;=70, "B", TRUE, "C")</t>
        </is>
      </c>
      <c r="F159" s="32">
        <f>IFS('IFS'!C53&gt;=85, "A", 'IFS'!C53&gt;=70, "B", TRUE, "C")</f>
        <v/>
      </c>
      <c r="G159" s="19" t="inlineStr">
        <is>
          <t>Tentukan predikat nilai sel C53 menggunakan fungsi IFS: jika minimal 85 hasilnya "A", jika minimal 70 hasilnya "B", dan kondisi terakhir TRUE hasilnya "C"!</t>
        </is>
      </c>
    </row>
    <row r="160">
      <c r="A160" s="5" t="n">
        <v>156</v>
      </c>
      <c r="B160" s="8" t="inlineStr">
        <is>
          <t>AND</t>
        </is>
      </c>
      <c r="C160" s="6" t="inlineStr">
        <is>
          <t>Soal Tes #1</t>
        </is>
      </c>
      <c r="D160" s="31" t="inlineStr">
        <is>
          <t>AND!E22</t>
        </is>
      </c>
      <c r="E160" s="22" t="inlineStr">
        <is>
          <t>'=AND(B21&gt;=75, C21&gt;=75)</t>
        </is>
      </c>
      <c r="F160" s="32">
        <f>AND('AND'!B21&gt;=75, 'AND'!C21&gt;=75)</f>
        <v/>
      </c>
      <c r="G160" s="19" t="inlineStr">
        <is>
          <t>Gunakan fungsi logika AND untuk menguji dua syarat: apakah nilai di B21 minimal 75 (&gt;=75) dan apakah nilai di C21 minimal 75 (&gt;=75)!</t>
        </is>
      </c>
    </row>
    <row r="161">
      <c r="A161" s="5" t="n">
        <v>157</v>
      </c>
      <c r="B161" s="8" t="inlineStr">
        <is>
          <t>AND</t>
        </is>
      </c>
      <c r="C161" s="6" t="inlineStr">
        <is>
          <t>Soal Tes #2</t>
        </is>
      </c>
      <c r="D161" s="31" t="inlineStr">
        <is>
          <t>AND!E30</t>
        </is>
      </c>
      <c r="E161" s="22" t="inlineStr">
        <is>
          <t>'=AND(B29&gt;=75, C29&gt;=75)</t>
        </is>
      </c>
      <c r="F161" s="32">
        <f>AND('AND'!B29&gt;=75, 'AND'!C29&gt;=75)</f>
        <v/>
      </c>
      <c r="G161" s="19" t="inlineStr">
        <is>
          <t>Gunakan fungsi logika AND untuk menguji dua syarat: apakah nilai di B29 minimal 75 (&gt;=75) dan apakah nilai di C29 minimal 75 (&gt;=75)!</t>
        </is>
      </c>
    </row>
    <row r="162">
      <c r="A162" s="5" t="n">
        <v>158</v>
      </c>
      <c r="B162" s="8" t="inlineStr">
        <is>
          <t>AND</t>
        </is>
      </c>
      <c r="C162" s="6" t="inlineStr">
        <is>
          <t>Soal Tes #3</t>
        </is>
      </c>
      <c r="D162" s="31" t="inlineStr">
        <is>
          <t>AND!E38</t>
        </is>
      </c>
      <c r="E162" s="22" t="inlineStr">
        <is>
          <t>'=AND(B37&gt;=75, C37&gt;=75)</t>
        </is>
      </c>
      <c r="F162" s="32">
        <f>AND('AND'!B37&gt;=75, 'AND'!C37&gt;=75)</f>
        <v/>
      </c>
      <c r="G162" s="19" t="inlineStr">
        <is>
          <t>Gunakan fungsi logika AND untuk menguji dua syarat: apakah nilai di B37 minimal 75 (&gt;=75) dan apakah nilai di C37 minimal 75 (&gt;=75)!</t>
        </is>
      </c>
    </row>
    <row r="163">
      <c r="A163" s="5" t="n">
        <v>159</v>
      </c>
      <c r="B163" s="8" t="inlineStr">
        <is>
          <t>AND</t>
        </is>
      </c>
      <c r="C163" s="6" t="inlineStr">
        <is>
          <t>Soal Tes #4</t>
        </is>
      </c>
      <c r="D163" s="31" t="inlineStr">
        <is>
          <t>AND!E46</t>
        </is>
      </c>
      <c r="E163" s="22" t="inlineStr">
        <is>
          <t>'=AND(B45&gt;=75, C45&gt;=75)</t>
        </is>
      </c>
      <c r="F163" s="32">
        <f>AND('AND'!B45&gt;=75, 'AND'!C45&gt;=75)</f>
        <v/>
      </c>
      <c r="G163" s="19" t="inlineStr">
        <is>
          <t>Gunakan fungsi logika AND untuk menguji dua syarat: apakah nilai di B45 minimal 75 (&gt;=75) dan apakah nilai di C45 minimal 75 (&gt;=75)!</t>
        </is>
      </c>
    </row>
    <row r="164">
      <c r="A164" s="5" t="n">
        <v>160</v>
      </c>
      <c r="B164" s="8" t="inlineStr">
        <is>
          <t>AND</t>
        </is>
      </c>
      <c r="C164" s="6" t="inlineStr">
        <is>
          <t>Soal Tes #5</t>
        </is>
      </c>
      <c r="D164" s="31" t="inlineStr">
        <is>
          <t>AND!E54</t>
        </is>
      </c>
      <c r="E164" s="22" t="inlineStr">
        <is>
          <t>'=AND(B53&gt;=75, C53&gt;=75)</t>
        </is>
      </c>
      <c r="F164" s="32">
        <f>AND('AND'!B53&gt;=75, 'AND'!C53&gt;=75)</f>
        <v/>
      </c>
      <c r="G164" s="19" t="inlineStr">
        <is>
          <t>Gunakan fungsi logika AND untuk menguji dua syarat: apakah nilai di B53 minimal 75 (&gt;=75) dan apakah nilai di C53 minimal 75 (&gt;=75)!</t>
        </is>
      </c>
    </row>
    <row r="165">
      <c r="A165" s="5" t="n">
        <v>161</v>
      </c>
      <c r="B165" s="8" t="inlineStr">
        <is>
          <t>OR</t>
        </is>
      </c>
      <c r="C165" s="6" t="inlineStr">
        <is>
          <t>Soal Tes #1</t>
        </is>
      </c>
      <c r="D165" s="31" t="inlineStr">
        <is>
          <t>OR!E22</t>
        </is>
      </c>
      <c r="E165" s="22" t="inlineStr">
        <is>
          <t>'=OR(B21&gt;=75, C21&gt;=75)</t>
        </is>
      </c>
      <c r="F165" s="32">
        <f>OR('OR'!B21&gt;=75, 'OR'!C21&gt;=75)</f>
        <v/>
      </c>
      <c r="G165" s="19" t="inlineStr">
        <is>
          <t>Gunakan fungsi logika OR untuk menguji dua syarat: apakah nilai di B21 minimal 75 (&gt;=75) dan apakah nilai di C21 minimal 75 (&gt;=75)!</t>
        </is>
      </c>
    </row>
    <row r="166">
      <c r="A166" s="5" t="n">
        <v>162</v>
      </c>
      <c r="B166" s="8" t="inlineStr">
        <is>
          <t>OR</t>
        </is>
      </c>
      <c r="C166" s="6" t="inlineStr">
        <is>
          <t>Soal Tes #2</t>
        </is>
      </c>
      <c r="D166" s="31" t="inlineStr">
        <is>
          <t>OR!E30</t>
        </is>
      </c>
      <c r="E166" s="22" t="inlineStr">
        <is>
          <t>'=OR(B29&gt;=75, C29&gt;=75)</t>
        </is>
      </c>
      <c r="F166" s="32">
        <f>OR('OR'!B29&gt;=75, 'OR'!C29&gt;=75)</f>
        <v/>
      </c>
      <c r="G166" s="19" t="inlineStr">
        <is>
          <t>Gunakan fungsi logika OR untuk menguji dua syarat: apakah nilai di B29 minimal 75 (&gt;=75) dan apakah nilai di C29 minimal 75 (&gt;=75)!</t>
        </is>
      </c>
    </row>
    <row r="167">
      <c r="A167" s="5" t="n">
        <v>163</v>
      </c>
      <c r="B167" s="8" t="inlineStr">
        <is>
          <t>OR</t>
        </is>
      </c>
      <c r="C167" s="6" t="inlineStr">
        <is>
          <t>Soal Tes #3</t>
        </is>
      </c>
      <c r="D167" s="31" t="inlineStr">
        <is>
          <t>OR!E38</t>
        </is>
      </c>
      <c r="E167" s="22" t="inlineStr">
        <is>
          <t>'=OR(B37&gt;=75, C37&gt;=75)</t>
        </is>
      </c>
      <c r="F167" s="32">
        <f>OR('OR'!B37&gt;=75, 'OR'!C37&gt;=75)</f>
        <v/>
      </c>
      <c r="G167" s="19" t="inlineStr">
        <is>
          <t>Gunakan fungsi logika OR untuk menguji dua syarat: apakah nilai di B37 minimal 75 (&gt;=75) dan apakah nilai di C37 minimal 75 (&gt;=75)!</t>
        </is>
      </c>
    </row>
    <row r="168">
      <c r="A168" s="5" t="n">
        <v>164</v>
      </c>
      <c r="B168" s="8" t="inlineStr">
        <is>
          <t>OR</t>
        </is>
      </c>
      <c r="C168" s="6" t="inlineStr">
        <is>
          <t>Soal Tes #4</t>
        </is>
      </c>
      <c r="D168" s="31" t="inlineStr">
        <is>
          <t>OR!E46</t>
        </is>
      </c>
      <c r="E168" s="22" t="inlineStr">
        <is>
          <t>'=OR(B45&gt;=75, C45&gt;=75)</t>
        </is>
      </c>
      <c r="F168" s="32">
        <f>OR('OR'!B45&gt;=75, 'OR'!C45&gt;=75)</f>
        <v/>
      </c>
      <c r="G168" s="19" t="inlineStr">
        <is>
          <t>Gunakan fungsi logika OR untuk menguji dua syarat: apakah nilai di B45 minimal 75 (&gt;=75) dan apakah nilai di C45 minimal 75 (&gt;=75)!</t>
        </is>
      </c>
    </row>
    <row r="169">
      <c r="A169" s="5" t="n">
        <v>165</v>
      </c>
      <c r="B169" s="8" t="inlineStr">
        <is>
          <t>OR</t>
        </is>
      </c>
      <c r="C169" s="6" t="inlineStr">
        <is>
          <t>Soal Tes #5</t>
        </is>
      </c>
      <c r="D169" s="31" t="inlineStr">
        <is>
          <t>OR!E54</t>
        </is>
      </c>
      <c r="E169" s="22" t="inlineStr">
        <is>
          <t>'=OR(B53&gt;=75, C53&gt;=75)</t>
        </is>
      </c>
      <c r="F169" s="32">
        <f>OR('OR'!B53&gt;=75, 'OR'!C53&gt;=75)</f>
        <v/>
      </c>
      <c r="G169" s="19" t="inlineStr">
        <is>
          <t>Gunakan fungsi logika OR untuk menguji dua syarat: apakah nilai di B53 minimal 75 (&gt;=75) dan apakah nilai di C53 minimal 75 (&gt;=75)!</t>
        </is>
      </c>
    </row>
    <row r="170">
      <c r="A170" s="5" t="n">
        <v>166</v>
      </c>
      <c r="B170" s="8" t="inlineStr">
        <is>
          <t>NOT</t>
        </is>
      </c>
      <c r="C170" s="6" t="inlineStr">
        <is>
          <t>Soal Tes #1</t>
        </is>
      </c>
      <c r="D170" s="31" t="inlineStr">
        <is>
          <t>NOT!E22</t>
        </is>
      </c>
      <c r="E170" s="22" t="inlineStr">
        <is>
          <t>'=NOT(C21&lt;75)</t>
        </is>
      </c>
      <c r="F170" s="32">
        <f>NOT('NOT'!C21&lt;75)</f>
        <v/>
      </c>
      <c r="G170" s="19" t="inlineStr">
        <is>
          <t>Gunakan fungsi NOT untuk membalikkan pengujian apakah nilai pada sel C21 kurang dari 75!</t>
        </is>
      </c>
    </row>
    <row r="171">
      <c r="A171" s="5" t="n">
        <v>167</v>
      </c>
      <c r="B171" s="8" t="inlineStr">
        <is>
          <t>NOT</t>
        </is>
      </c>
      <c r="C171" s="6" t="inlineStr">
        <is>
          <t>Soal Tes #2</t>
        </is>
      </c>
      <c r="D171" s="31" t="inlineStr">
        <is>
          <t>NOT!E30</t>
        </is>
      </c>
      <c r="E171" s="22" t="inlineStr">
        <is>
          <t>'=NOT(C29&lt;75)</t>
        </is>
      </c>
      <c r="F171" s="32">
        <f>NOT('NOT'!C29&lt;75)</f>
        <v/>
      </c>
      <c r="G171" s="19" t="inlineStr">
        <is>
          <t>Gunakan fungsi NOT untuk membalikkan pengujian apakah nilai pada sel C29 kurang dari 75!</t>
        </is>
      </c>
    </row>
    <row r="172">
      <c r="A172" s="5" t="n">
        <v>168</v>
      </c>
      <c r="B172" s="8" t="inlineStr">
        <is>
          <t>NOT</t>
        </is>
      </c>
      <c r="C172" s="6" t="inlineStr">
        <is>
          <t>Soal Tes #3</t>
        </is>
      </c>
      <c r="D172" s="31" t="inlineStr">
        <is>
          <t>NOT!E38</t>
        </is>
      </c>
      <c r="E172" s="22" t="inlineStr">
        <is>
          <t>'=NOT(C37&lt;75)</t>
        </is>
      </c>
      <c r="F172" s="32">
        <f>NOT('NOT'!C37&lt;75)</f>
        <v/>
      </c>
      <c r="G172" s="19" t="inlineStr">
        <is>
          <t>Gunakan fungsi NOT untuk membalikkan pengujian apakah nilai pada sel C37 kurang dari 75!</t>
        </is>
      </c>
    </row>
    <row r="173">
      <c r="A173" s="5" t="n">
        <v>169</v>
      </c>
      <c r="B173" s="8" t="inlineStr">
        <is>
          <t>NOT</t>
        </is>
      </c>
      <c r="C173" s="6" t="inlineStr">
        <is>
          <t>Soal Tes #4</t>
        </is>
      </c>
      <c r="D173" s="31" t="inlineStr">
        <is>
          <t>NOT!E46</t>
        </is>
      </c>
      <c r="E173" s="22" t="inlineStr">
        <is>
          <t>'=NOT(C45&lt;75)</t>
        </is>
      </c>
      <c r="F173" s="32">
        <f>NOT('NOT'!C45&lt;75)</f>
        <v/>
      </c>
      <c r="G173" s="19" t="inlineStr">
        <is>
          <t>Gunakan fungsi NOT untuk membalikkan pengujian apakah nilai pada sel C45 kurang dari 75!</t>
        </is>
      </c>
    </row>
    <row r="174">
      <c r="A174" s="5" t="n">
        <v>170</v>
      </c>
      <c r="B174" s="8" t="inlineStr">
        <is>
          <t>NOT</t>
        </is>
      </c>
      <c r="C174" s="6" t="inlineStr">
        <is>
          <t>Soal Tes #5</t>
        </is>
      </c>
      <c r="D174" s="31" t="inlineStr">
        <is>
          <t>NOT!E54</t>
        </is>
      </c>
      <c r="E174" s="22" t="inlineStr">
        <is>
          <t>'=NOT(C53&lt;75)</t>
        </is>
      </c>
      <c r="F174" s="32">
        <f>NOT('NOT'!C53&lt;75)</f>
        <v/>
      </c>
      <c r="G174" s="19" t="inlineStr">
        <is>
          <t>Gunakan fungsi NOT untuk membalikkan pengujian apakah nilai pada sel C53 kurang dari 75!</t>
        </is>
      </c>
    </row>
    <row r="175">
      <c r="A175" s="5" t="n">
        <v>171</v>
      </c>
      <c r="B175" s="8" t="inlineStr">
        <is>
          <t>XOR</t>
        </is>
      </c>
      <c r="C175" s="6" t="inlineStr">
        <is>
          <t>Soal Tes #1</t>
        </is>
      </c>
      <c r="D175" s="31" t="inlineStr">
        <is>
          <t>XOR!E22</t>
        </is>
      </c>
      <c r="E175" s="22" t="inlineStr">
        <is>
          <t>'=XOR(B21&gt;=75, C21&gt;=75)</t>
        </is>
      </c>
      <c r="F175" s="32">
        <f>XOR('XOR'!B21&gt;=75, 'XOR'!C21&gt;=75)</f>
        <v/>
      </c>
      <c r="G175" s="19" t="inlineStr">
        <is>
          <t>Gunakan fungsi logika XOR untuk menguji dua syarat: apakah nilai di B21 minimal 75 (&gt;=75) dan apakah nilai di C21 minimal 75 (&gt;=75)!</t>
        </is>
      </c>
    </row>
    <row r="176">
      <c r="A176" s="5" t="n">
        <v>172</v>
      </c>
      <c r="B176" s="8" t="inlineStr">
        <is>
          <t>XOR</t>
        </is>
      </c>
      <c r="C176" s="6" t="inlineStr">
        <is>
          <t>Soal Tes #2</t>
        </is>
      </c>
      <c r="D176" s="31" t="inlineStr">
        <is>
          <t>XOR!E30</t>
        </is>
      </c>
      <c r="E176" s="22" t="inlineStr">
        <is>
          <t>'=XOR(B29&gt;=75, C29&gt;=75)</t>
        </is>
      </c>
      <c r="F176" s="32">
        <f>XOR('XOR'!B29&gt;=75, 'XOR'!C29&gt;=75)</f>
        <v/>
      </c>
      <c r="G176" s="19" t="inlineStr">
        <is>
          <t>Gunakan fungsi logika XOR untuk menguji dua syarat: apakah nilai di B29 minimal 75 (&gt;=75) dan apakah nilai di C29 minimal 75 (&gt;=75)!</t>
        </is>
      </c>
    </row>
    <row r="177">
      <c r="A177" s="5" t="n">
        <v>173</v>
      </c>
      <c r="B177" s="8" t="inlineStr">
        <is>
          <t>XOR</t>
        </is>
      </c>
      <c r="C177" s="6" t="inlineStr">
        <is>
          <t>Soal Tes #3</t>
        </is>
      </c>
      <c r="D177" s="31" t="inlineStr">
        <is>
          <t>XOR!E38</t>
        </is>
      </c>
      <c r="E177" s="22" t="inlineStr">
        <is>
          <t>'=XOR(B37&gt;=75, C37&gt;=75)</t>
        </is>
      </c>
      <c r="F177" s="32">
        <f>XOR('XOR'!B37&gt;=75, 'XOR'!C37&gt;=75)</f>
        <v/>
      </c>
      <c r="G177" s="19" t="inlineStr">
        <is>
          <t>Gunakan fungsi logika XOR untuk menguji dua syarat: apakah nilai di B37 minimal 75 (&gt;=75) dan apakah nilai di C37 minimal 75 (&gt;=75)!</t>
        </is>
      </c>
    </row>
    <row r="178">
      <c r="A178" s="5" t="n">
        <v>174</v>
      </c>
      <c r="B178" s="8" t="inlineStr">
        <is>
          <t>XOR</t>
        </is>
      </c>
      <c r="C178" s="6" t="inlineStr">
        <is>
          <t>Soal Tes #4</t>
        </is>
      </c>
      <c r="D178" s="31" t="inlineStr">
        <is>
          <t>XOR!E46</t>
        </is>
      </c>
      <c r="E178" s="22" t="inlineStr">
        <is>
          <t>'=XOR(B45&gt;=75, C45&gt;=75)</t>
        </is>
      </c>
      <c r="F178" s="32">
        <f>XOR('XOR'!B45&gt;=75, 'XOR'!C45&gt;=75)</f>
        <v/>
      </c>
      <c r="G178" s="19" t="inlineStr">
        <is>
          <t>Gunakan fungsi logika XOR untuk menguji dua syarat: apakah nilai di B45 minimal 75 (&gt;=75) dan apakah nilai di C45 minimal 75 (&gt;=75)!</t>
        </is>
      </c>
    </row>
    <row r="179">
      <c r="A179" s="5" t="n">
        <v>175</v>
      </c>
      <c r="B179" s="8" t="inlineStr">
        <is>
          <t>XOR</t>
        </is>
      </c>
      <c r="C179" s="6" t="inlineStr">
        <is>
          <t>Soal Tes #5</t>
        </is>
      </c>
      <c r="D179" s="31" t="inlineStr">
        <is>
          <t>XOR!E54</t>
        </is>
      </c>
      <c r="E179" s="22" t="inlineStr">
        <is>
          <t>'=XOR(B53&gt;=75, C53&gt;=75)</t>
        </is>
      </c>
      <c r="F179" s="32">
        <f>XOR('XOR'!B53&gt;=75, 'XOR'!C53&gt;=75)</f>
        <v/>
      </c>
      <c r="G179" s="19" t="inlineStr">
        <is>
          <t>Gunakan fungsi logika XOR untuk menguji dua syarat: apakah nilai di B53 minimal 75 (&gt;=75) dan apakah nilai di C53 minimal 75 (&gt;=75)!</t>
        </is>
      </c>
    </row>
    <row r="180">
      <c r="A180" s="5" t="n">
        <v>176</v>
      </c>
      <c r="B180" s="8" t="inlineStr">
        <is>
          <t>IFERROR</t>
        </is>
      </c>
      <c r="C180" s="6" t="inlineStr">
        <is>
          <t>Soal Tes #1</t>
        </is>
      </c>
      <c r="D180" s="31" t="inlineStr">
        <is>
          <t>IFERROR!E22</t>
        </is>
      </c>
      <c r="E180" s="22" t="inlineStr">
        <is>
          <t>'=IFERROR(C21/2, 0)</t>
        </is>
      </c>
      <c r="F180" s="32">
        <f>IFERROR('IFERROR'!C21/2, 0)</f>
        <v/>
      </c>
      <c r="G180" s="19" t="inlineStr">
        <is>
          <t>Gunakan fungsi IFERROR untuk membungkus pembagian C21 dibagi 2, dan berikan nilai cadangan 0 jika terjadi error!</t>
        </is>
      </c>
    </row>
    <row r="181">
      <c r="A181" s="5" t="n">
        <v>177</v>
      </c>
      <c r="B181" s="8" t="inlineStr">
        <is>
          <t>IFERROR</t>
        </is>
      </c>
      <c r="C181" s="6" t="inlineStr">
        <is>
          <t>Soal Tes #2</t>
        </is>
      </c>
      <c r="D181" s="31" t="inlineStr">
        <is>
          <t>IFERROR!E30</t>
        </is>
      </c>
      <c r="E181" s="22" t="inlineStr">
        <is>
          <t>'=IFERROR(C29/2, 0)</t>
        </is>
      </c>
      <c r="F181" s="32">
        <f>IFERROR('IFERROR'!C29/2, 0)</f>
        <v/>
      </c>
      <c r="G181" s="19" t="inlineStr">
        <is>
          <t>Gunakan fungsi IFERROR untuk membungkus pembagian C29 dibagi 2, dan berikan nilai cadangan 0 jika terjadi error!</t>
        </is>
      </c>
    </row>
    <row r="182">
      <c r="A182" s="5" t="n">
        <v>178</v>
      </c>
      <c r="B182" s="8" t="inlineStr">
        <is>
          <t>IFERROR</t>
        </is>
      </c>
      <c r="C182" s="6" t="inlineStr">
        <is>
          <t>Soal Tes #3</t>
        </is>
      </c>
      <c r="D182" s="31" t="inlineStr">
        <is>
          <t>IFERROR!E38</t>
        </is>
      </c>
      <c r="E182" s="22" t="inlineStr">
        <is>
          <t>'=IFERROR(C37/2, 0)</t>
        </is>
      </c>
      <c r="F182" s="32">
        <f>IFERROR('IFERROR'!C37/2, 0)</f>
        <v/>
      </c>
      <c r="G182" s="19" t="inlineStr">
        <is>
          <t>Gunakan fungsi IFERROR untuk membungkus pembagian C37 dibagi 2, dan berikan nilai cadangan 0 jika terjadi error!</t>
        </is>
      </c>
    </row>
    <row r="183">
      <c r="A183" s="5" t="n">
        <v>179</v>
      </c>
      <c r="B183" s="8" t="inlineStr">
        <is>
          <t>IFERROR</t>
        </is>
      </c>
      <c r="C183" s="6" t="inlineStr">
        <is>
          <t>Soal Tes #4</t>
        </is>
      </c>
      <c r="D183" s="31" t="inlineStr">
        <is>
          <t>IFERROR!E46</t>
        </is>
      </c>
      <c r="E183" s="22" t="inlineStr">
        <is>
          <t>'=IFERROR(C45/2, 0)</t>
        </is>
      </c>
      <c r="F183" s="32">
        <f>IFERROR('IFERROR'!C45/2, 0)</f>
        <v/>
      </c>
      <c r="G183" s="19" t="inlineStr">
        <is>
          <t>Gunakan fungsi IFERROR untuk membungkus pembagian C45 dibagi 2, dan berikan nilai cadangan 0 jika terjadi error!</t>
        </is>
      </c>
    </row>
    <row r="184">
      <c r="A184" s="5" t="n">
        <v>180</v>
      </c>
      <c r="B184" s="8" t="inlineStr">
        <is>
          <t>IFERROR</t>
        </is>
      </c>
      <c r="C184" s="6" t="inlineStr">
        <is>
          <t>Soal Tes #5</t>
        </is>
      </c>
      <c r="D184" s="31" t="inlineStr">
        <is>
          <t>IFERROR!E54</t>
        </is>
      </c>
      <c r="E184" s="22" t="inlineStr">
        <is>
          <t>'=IFERROR(C53/2, 0)</t>
        </is>
      </c>
      <c r="F184" s="32">
        <f>IFERROR('IFERROR'!C53/2, 0)</f>
        <v/>
      </c>
      <c r="G184" s="19" t="inlineStr">
        <is>
          <t>Gunakan fungsi IFERROR untuk membungkus pembagian C53 dibagi 2, dan berikan nilai cadangan 0 jika terjadi error!</t>
        </is>
      </c>
    </row>
    <row r="185">
      <c r="A185" s="5" t="n">
        <v>181</v>
      </c>
      <c r="B185" s="8" t="inlineStr">
        <is>
          <t>IFNA</t>
        </is>
      </c>
      <c r="C185" s="6" t="inlineStr">
        <is>
          <t>Soal Tes #1</t>
        </is>
      </c>
      <c r="D185" s="31" t="inlineStr">
        <is>
          <t>IFNA!E22</t>
        </is>
      </c>
      <c r="E185" s="22" t="inlineStr">
        <is>
          <t>'=IFNA(C21/2, 0)</t>
        </is>
      </c>
      <c r="F185" s="32">
        <f>IFNA('IFNA'!C21/2, 0)</f>
        <v/>
      </c>
      <c r="G185" s="19" t="inlineStr">
        <is>
          <t>Gunakan fungsi IFNA untuk membungkus pembagian C21 dibagi 2, dan berikan nilai cadangan 0 jika terjadi error!</t>
        </is>
      </c>
    </row>
    <row r="186">
      <c r="A186" s="5" t="n">
        <v>182</v>
      </c>
      <c r="B186" s="8" t="inlineStr">
        <is>
          <t>IFNA</t>
        </is>
      </c>
      <c r="C186" s="6" t="inlineStr">
        <is>
          <t>Soal Tes #2</t>
        </is>
      </c>
      <c r="D186" s="31" t="inlineStr">
        <is>
          <t>IFNA!E30</t>
        </is>
      </c>
      <c r="E186" s="22" t="inlineStr">
        <is>
          <t>'=IFNA(C29/2, 0)</t>
        </is>
      </c>
      <c r="F186" s="32">
        <f>IFNA('IFNA'!C29/2, 0)</f>
        <v/>
      </c>
      <c r="G186" s="19" t="inlineStr">
        <is>
          <t>Gunakan fungsi IFNA untuk membungkus pembagian C29 dibagi 2, dan berikan nilai cadangan 0 jika terjadi error!</t>
        </is>
      </c>
    </row>
    <row r="187">
      <c r="A187" s="5" t="n">
        <v>183</v>
      </c>
      <c r="B187" s="8" t="inlineStr">
        <is>
          <t>IFNA</t>
        </is>
      </c>
      <c r="C187" s="6" t="inlineStr">
        <is>
          <t>Soal Tes #3</t>
        </is>
      </c>
      <c r="D187" s="31" t="inlineStr">
        <is>
          <t>IFNA!E38</t>
        </is>
      </c>
      <c r="E187" s="22" t="inlineStr">
        <is>
          <t>'=IFNA(C37/2, 0)</t>
        </is>
      </c>
      <c r="F187" s="32">
        <f>IFNA('IFNA'!C37/2, 0)</f>
        <v/>
      </c>
      <c r="G187" s="19" t="inlineStr">
        <is>
          <t>Gunakan fungsi IFNA untuk membungkus pembagian C37 dibagi 2, dan berikan nilai cadangan 0 jika terjadi error!</t>
        </is>
      </c>
    </row>
    <row r="188">
      <c r="A188" s="5" t="n">
        <v>184</v>
      </c>
      <c r="B188" s="8" t="inlineStr">
        <is>
          <t>IFNA</t>
        </is>
      </c>
      <c r="C188" s="6" t="inlineStr">
        <is>
          <t>Soal Tes #4</t>
        </is>
      </c>
      <c r="D188" s="31" t="inlineStr">
        <is>
          <t>IFNA!E46</t>
        </is>
      </c>
      <c r="E188" s="22" t="inlineStr">
        <is>
          <t>'=IFNA(C45/2, 0)</t>
        </is>
      </c>
      <c r="F188" s="32">
        <f>IFNA('IFNA'!C45/2, 0)</f>
        <v/>
      </c>
      <c r="G188" s="19" t="inlineStr">
        <is>
          <t>Gunakan fungsi IFNA untuk membungkus pembagian C45 dibagi 2, dan berikan nilai cadangan 0 jika terjadi error!</t>
        </is>
      </c>
    </row>
    <row r="189">
      <c r="A189" s="5" t="n">
        <v>185</v>
      </c>
      <c r="B189" s="8" t="inlineStr">
        <is>
          <t>IFNA</t>
        </is>
      </c>
      <c r="C189" s="6" t="inlineStr">
        <is>
          <t>Soal Tes #5</t>
        </is>
      </c>
      <c r="D189" s="31" t="inlineStr">
        <is>
          <t>IFNA!E54</t>
        </is>
      </c>
      <c r="E189" s="22" t="inlineStr">
        <is>
          <t>'=IFNA(C53/2, 0)</t>
        </is>
      </c>
      <c r="F189" s="32">
        <f>IFNA('IFNA'!C53/2, 0)</f>
        <v/>
      </c>
      <c r="G189" s="19" t="inlineStr">
        <is>
          <t>Gunakan fungsi IFNA untuk membungkus pembagian C53 dibagi 2, dan berikan nilai cadangan 0 jika terjadi error!</t>
        </is>
      </c>
    </row>
    <row r="190">
      <c r="A190" s="5" t="n">
        <v>186</v>
      </c>
      <c r="B190" s="8" t="inlineStr">
        <is>
          <t>TRUE</t>
        </is>
      </c>
      <c r="C190" s="6" t="inlineStr">
        <is>
          <t>Soal Tes #1</t>
        </is>
      </c>
      <c r="D190" s="31" t="inlineStr">
        <is>
          <t>TRUE!E22</t>
        </is>
      </c>
      <c r="E190" s="22" t="inlineStr">
        <is>
          <t>'=TRUE()</t>
        </is>
      </c>
      <c r="F190" s="32">
        <f>TRUE()</f>
        <v/>
      </c>
      <c r="G190" s="19" t="inlineStr">
        <is>
          <t>Panggil fungsi konstanta logika TRUE tanpa argumen di dalam kurung!</t>
        </is>
      </c>
    </row>
    <row r="191">
      <c r="A191" s="5" t="n">
        <v>187</v>
      </c>
      <c r="B191" s="8" t="inlineStr">
        <is>
          <t>TRUE</t>
        </is>
      </c>
      <c r="C191" s="6" t="inlineStr">
        <is>
          <t>Soal Tes #2</t>
        </is>
      </c>
      <c r="D191" s="31" t="inlineStr">
        <is>
          <t>TRUE!E30</t>
        </is>
      </c>
      <c r="E191" s="22" t="inlineStr">
        <is>
          <t>'=TRUE()</t>
        </is>
      </c>
      <c r="F191" s="32">
        <f>TRUE()</f>
        <v/>
      </c>
      <c r="G191" s="19" t="inlineStr">
        <is>
          <t>Panggil fungsi konstanta logika TRUE tanpa argumen di dalam kurung!</t>
        </is>
      </c>
    </row>
    <row r="192">
      <c r="A192" s="5" t="n">
        <v>188</v>
      </c>
      <c r="B192" s="8" t="inlineStr">
        <is>
          <t>TRUE</t>
        </is>
      </c>
      <c r="C192" s="6" t="inlineStr">
        <is>
          <t>Soal Tes #3</t>
        </is>
      </c>
      <c r="D192" s="31" t="inlineStr">
        <is>
          <t>TRUE!E38</t>
        </is>
      </c>
      <c r="E192" s="22" t="inlineStr">
        <is>
          <t>'=TRUE()</t>
        </is>
      </c>
      <c r="F192" s="32">
        <f>TRUE()</f>
        <v/>
      </c>
      <c r="G192" s="19" t="inlineStr">
        <is>
          <t>Panggil fungsi konstanta logika TRUE tanpa argumen di dalam kurung!</t>
        </is>
      </c>
    </row>
    <row r="193">
      <c r="A193" s="5" t="n">
        <v>189</v>
      </c>
      <c r="B193" s="8" t="inlineStr">
        <is>
          <t>TRUE</t>
        </is>
      </c>
      <c r="C193" s="6" t="inlineStr">
        <is>
          <t>Soal Tes #4</t>
        </is>
      </c>
      <c r="D193" s="31" t="inlineStr">
        <is>
          <t>TRUE!E46</t>
        </is>
      </c>
      <c r="E193" s="22" t="inlineStr">
        <is>
          <t>'=TRUE()</t>
        </is>
      </c>
      <c r="F193" s="32">
        <f>TRUE()</f>
        <v/>
      </c>
      <c r="G193" s="19" t="inlineStr">
        <is>
          <t>Panggil fungsi konstanta logika TRUE tanpa argumen di dalam kurung!</t>
        </is>
      </c>
    </row>
    <row r="194">
      <c r="A194" s="5" t="n">
        <v>190</v>
      </c>
      <c r="B194" s="8" t="inlineStr">
        <is>
          <t>TRUE</t>
        </is>
      </c>
      <c r="C194" s="6" t="inlineStr">
        <is>
          <t>Soal Tes #5</t>
        </is>
      </c>
      <c r="D194" s="31" t="inlineStr">
        <is>
          <t>TRUE!E54</t>
        </is>
      </c>
      <c r="E194" s="22" t="inlineStr">
        <is>
          <t>'=TRUE()</t>
        </is>
      </c>
      <c r="F194" s="32">
        <f>TRUE()</f>
        <v/>
      </c>
      <c r="G194" s="19" t="inlineStr">
        <is>
          <t>Panggil fungsi konstanta logika TRUE tanpa argumen di dalam kurung!</t>
        </is>
      </c>
    </row>
    <row r="195">
      <c r="A195" s="5" t="n">
        <v>191</v>
      </c>
      <c r="B195" s="8" t="inlineStr">
        <is>
          <t>FALSE</t>
        </is>
      </c>
      <c r="C195" s="6" t="inlineStr">
        <is>
          <t>Soal Tes #1</t>
        </is>
      </c>
      <c r="D195" s="31" t="inlineStr">
        <is>
          <t>FALSE!E22</t>
        </is>
      </c>
      <c r="E195" s="22" t="inlineStr">
        <is>
          <t>'=FALSE()</t>
        </is>
      </c>
      <c r="F195" s="32">
        <f>FALSE()</f>
        <v/>
      </c>
      <c r="G195" s="19" t="inlineStr">
        <is>
          <t>Panggil fungsi konstanta logika FALSE tanpa argumen di dalam kurung!</t>
        </is>
      </c>
    </row>
    <row r="196">
      <c r="A196" s="5" t="n">
        <v>192</v>
      </c>
      <c r="B196" s="8" t="inlineStr">
        <is>
          <t>FALSE</t>
        </is>
      </c>
      <c r="C196" s="6" t="inlineStr">
        <is>
          <t>Soal Tes #2</t>
        </is>
      </c>
      <c r="D196" s="31" t="inlineStr">
        <is>
          <t>FALSE!E30</t>
        </is>
      </c>
      <c r="E196" s="22" t="inlineStr">
        <is>
          <t>'=FALSE()</t>
        </is>
      </c>
      <c r="F196" s="32">
        <f>FALSE()</f>
        <v/>
      </c>
      <c r="G196" s="19" t="inlineStr">
        <is>
          <t>Panggil fungsi konstanta logika FALSE tanpa argumen di dalam kurung!</t>
        </is>
      </c>
    </row>
    <row r="197">
      <c r="A197" s="5" t="n">
        <v>193</v>
      </c>
      <c r="B197" s="8" t="inlineStr">
        <is>
          <t>FALSE</t>
        </is>
      </c>
      <c r="C197" s="6" t="inlineStr">
        <is>
          <t>Soal Tes #3</t>
        </is>
      </c>
      <c r="D197" s="31" t="inlineStr">
        <is>
          <t>FALSE!E38</t>
        </is>
      </c>
      <c r="E197" s="22" t="inlineStr">
        <is>
          <t>'=FALSE()</t>
        </is>
      </c>
      <c r="F197" s="32">
        <f>FALSE()</f>
        <v/>
      </c>
      <c r="G197" s="19" t="inlineStr">
        <is>
          <t>Panggil fungsi konstanta logika FALSE tanpa argumen di dalam kurung!</t>
        </is>
      </c>
    </row>
    <row r="198">
      <c r="A198" s="5" t="n">
        <v>194</v>
      </c>
      <c r="B198" s="8" t="inlineStr">
        <is>
          <t>FALSE</t>
        </is>
      </c>
      <c r="C198" s="6" t="inlineStr">
        <is>
          <t>Soal Tes #4</t>
        </is>
      </c>
      <c r="D198" s="31" t="inlineStr">
        <is>
          <t>FALSE!E46</t>
        </is>
      </c>
      <c r="E198" s="22" t="inlineStr">
        <is>
          <t>'=FALSE()</t>
        </is>
      </c>
      <c r="F198" s="32">
        <f>FALSE()</f>
        <v/>
      </c>
      <c r="G198" s="19" t="inlineStr">
        <is>
          <t>Panggil fungsi konstanta logika FALSE tanpa argumen di dalam kurung!</t>
        </is>
      </c>
    </row>
    <row r="199">
      <c r="A199" s="5" t="n">
        <v>195</v>
      </c>
      <c r="B199" s="8" t="inlineStr">
        <is>
          <t>FALSE</t>
        </is>
      </c>
      <c r="C199" s="6" t="inlineStr">
        <is>
          <t>Soal Tes #5</t>
        </is>
      </c>
      <c r="D199" s="31" t="inlineStr">
        <is>
          <t>FALSE!E54</t>
        </is>
      </c>
      <c r="E199" s="22" t="inlineStr">
        <is>
          <t>'=FALSE()</t>
        </is>
      </c>
      <c r="F199" s="32">
        <f>FALSE()</f>
        <v/>
      </c>
      <c r="G199" s="19" t="inlineStr">
        <is>
          <t>Panggil fungsi konstanta logika FALSE tanpa argumen di dalam kurung!</t>
        </is>
      </c>
    </row>
  </sheetData>
  <mergeCells count="2">
    <mergeCell ref="A2:F2"/>
    <mergeCell ref="A1:G1"/>
  </mergeCells>
  <hyperlinks>
    <hyperlink xmlns:r="http://schemas.openxmlformats.org/officeDocument/2006/relationships" ref="G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  <hyperlink xmlns:r="http://schemas.openxmlformats.org/officeDocument/2006/relationships" ref="B32" r:id="rId29"/>
    <hyperlink xmlns:r="http://schemas.openxmlformats.org/officeDocument/2006/relationships" ref="B33" r:id="rId30"/>
    <hyperlink xmlns:r="http://schemas.openxmlformats.org/officeDocument/2006/relationships" ref="B34" r:id="rId31"/>
    <hyperlink xmlns:r="http://schemas.openxmlformats.org/officeDocument/2006/relationships" ref="B35" r:id="rId32"/>
    <hyperlink xmlns:r="http://schemas.openxmlformats.org/officeDocument/2006/relationships" ref="B36" r:id="rId33"/>
    <hyperlink xmlns:r="http://schemas.openxmlformats.org/officeDocument/2006/relationships" ref="B37" r:id="rId34"/>
    <hyperlink xmlns:r="http://schemas.openxmlformats.org/officeDocument/2006/relationships" ref="B38" r:id="rId35"/>
    <hyperlink xmlns:r="http://schemas.openxmlformats.org/officeDocument/2006/relationships" ref="B39" r:id="rId36"/>
    <hyperlink xmlns:r="http://schemas.openxmlformats.org/officeDocument/2006/relationships" ref="B40" r:id="rId37"/>
    <hyperlink xmlns:r="http://schemas.openxmlformats.org/officeDocument/2006/relationships" ref="B41" r:id="rId38"/>
    <hyperlink xmlns:r="http://schemas.openxmlformats.org/officeDocument/2006/relationships" ref="B42" r:id="rId39"/>
    <hyperlink xmlns:r="http://schemas.openxmlformats.org/officeDocument/2006/relationships" ref="B43" r:id="rId40"/>
    <hyperlink xmlns:r="http://schemas.openxmlformats.org/officeDocument/2006/relationships" ref="B44" r:id="rId41"/>
    <hyperlink xmlns:r="http://schemas.openxmlformats.org/officeDocument/2006/relationships" ref="B45" r:id="rId42"/>
    <hyperlink xmlns:r="http://schemas.openxmlformats.org/officeDocument/2006/relationships" ref="B46" r:id="rId43"/>
    <hyperlink xmlns:r="http://schemas.openxmlformats.org/officeDocument/2006/relationships" ref="B47" r:id="rId44"/>
    <hyperlink xmlns:r="http://schemas.openxmlformats.org/officeDocument/2006/relationships" ref="B48" r:id="rId45"/>
    <hyperlink xmlns:r="http://schemas.openxmlformats.org/officeDocument/2006/relationships" ref="B49" r:id="rId46"/>
    <hyperlink xmlns:r="http://schemas.openxmlformats.org/officeDocument/2006/relationships" ref="B50" r:id="rId47"/>
    <hyperlink xmlns:r="http://schemas.openxmlformats.org/officeDocument/2006/relationships" ref="B51" r:id="rId48"/>
    <hyperlink xmlns:r="http://schemas.openxmlformats.org/officeDocument/2006/relationships" ref="B52" r:id="rId49"/>
    <hyperlink xmlns:r="http://schemas.openxmlformats.org/officeDocument/2006/relationships" ref="B53" r:id="rId50"/>
    <hyperlink xmlns:r="http://schemas.openxmlformats.org/officeDocument/2006/relationships" ref="B54" r:id="rId51"/>
    <hyperlink xmlns:r="http://schemas.openxmlformats.org/officeDocument/2006/relationships" ref="B55" r:id="rId52"/>
    <hyperlink xmlns:r="http://schemas.openxmlformats.org/officeDocument/2006/relationships" ref="B56" r:id="rId53"/>
    <hyperlink xmlns:r="http://schemas.openxmlformats.org/officeDocument/2006/relationships" ref="B57" r:id="rId54"/>
    <hyperlink xmlns:r="http://schemas.openxmlformats.org/officeDocument/2006/relationships" ref="B58" r:id="rId55"/>
    <hyperlink xmlns:r="http://schemas.openxmlformats.org/officeDocument/2006/relationships" ref="B59" r:id="rId56"/>
    <hyperlink xmlns:r="http://schemas.openxmlformats.org/officeDocument/2006/relationships" ref="B60" r:id="rId57"/>
    <hyperlink xmlns:r="http://schemas.openxmlformats.org/officeDocument/2006/relationships" ref="B61" r:id="rId58"/>
    <hyperlink xmlns:r="http://schemas.openxmlformats.org/officeDocument/2006/relationships" ref="B62" r:id="rId59"/>
    <hyperlink xmlns:r="http://schemas.openxmlformats.org/officeDocument/2006/relationships" ref="B63" r:id="rId60"/>
    <hyperlink xmlns:r="http://schemas.openxmlformats.org/officeDocument/2006/relationships" ref="B64" r:id="rId61"/>
    <hyperlink xmlns:r="http://schemas.openxmlformats.org/officeDocument/2006/relationships" ref="B65" r:id="rId62"/>
    <hyperlink xmlns:r="http://schemas.openxmlformats.org/officeDocument/2006/relationships" ref="B66" r:id="rId63"/>
    <hyperlink xmlns:r="http://schemas.openxmlformats.org/officeDocument/2006/relationships" ref="B67" r:id="rId64"/>
    <hyperlink xmlns:r="http://schemas.openxmlformats.org/officeDocument/2006/relationships" ref="B68" r:id="rId65"/>
    <hyperlink xmlns:r="http://schemas.openxmlformats.org/officeDocument/2006/relationships" ref="B69" r:id="rId66"/>
    <hyperlink xmlns:r="http://schemas.openxmlformats.org/officeDocument/2006/relationships" ref="B70" r:id="rId67"/>
    <hyperlink xmlns:r="http://schemas.openxmlformats.org/officeDocument/2006/relationships" ref="B71" r:id="rId68"/>
    <hyperlink xmlns:r="http://schemas.openxmlformats.org/officeDocument/2006/relationships" ref="B72" r:id="rId69"/>
    <hyperlink xmlns:r="http://schemas.openxmlformats.org/officeDocument/2006/relationships" ref="B73" r:id="rId70"/>
    <hyperlink xmlns:r="http://schemas.openxmlformats.org/officeDocument/2006/relationships" ref="B74" r:id="rId71"/>
    <hyperlink xmlns:r="http://schemas.openxmlformats.org/officeDocument/2006/relationships" ref="B75" r:id="rId72"/>
    <hyperlink xmlns:r="http://schemas.openxmlformats.org/officeDocument/2006/relationships" ref="B76" r:id="rId73"/>
    <hyperlink xmlns:r="http://schemas.openxmlformats.org/officeDocument/2006/relationships" ref="B77" r:id="rId74"/>
    <hyperlink xmlns:r="http://schemas.openxmlformats.org/officeDocument/2006/relationships" ref="B78" r:id="rId75"/>
    <hyperlink xmlns:r="http://schemas.openxmlformats.org/officeDocument/2006/relationships" ref="B79" r:id="rId76"/>
    <hyperlink xmlns:r="http://schemas.openxmlformats.org/officeDocument/2006/relationships" ref="B80" r:id="rId77"/>
    <hyperlink xmlns:r="http://schemas.openxmlformats.org/officeDocument/2006/relationships" ref="B81" r:id="rId78"/>
    <hyperlink xmlns:r="http://schemas.openxmlformats.org/officeDocument/2006/relationships" ref="B82" r:id="rId79"/>
    <hyperlink xmlns:r="http://schemas.openxmlformats.org/officeDocument/2006/relationships" ref="B83" r:id="rId80"/>
    <hyperlink xmlns:r="http://schemas.openxmlformats.org/officeDocument/2006/relationships" ref="B84" r:id="rId81"/>
    <hyperlink xmlns:r="http://schemas.openxmlformats.org/officeDocument/2006/relationships" ref="B85" r:id="rId82"/>
    <hyperlink xmlns:r="http://schemas.openxmlformats.org/officeDocument/2006/relationships" ref="B86" r:id="rId83"/>
    <hyperlink xmlns:r="http://schemas.openxmlformats.org/officeDocument/2006/relationships" ref="B87" r:id="rId84"/>
    <hyperlink xmlns:r="http://schemas.openxmlformats.org/officeDocument/2006/relationships" ref="B88" r:id="rId85"/>
    <hyperlink xmlns:r="http://schemas.openxmlformats.org/officeDocument/2006/relationships" ref="B89" r:id="rId86"/>
    <hyperlink xmlns:r="http://schemas.openxmlformats.org/officeDocument/2006/relationships" ref="B90" r:id="rId87"/>
    <hyperlink xmlns:r="http://schemas.openxmlformats.org/officeDocument/2006/relationships" ref="B91" r:id="rId88"/>
    <hyperlink xmlns:r="http://schemas.openxmlformats.org/officeDocument/2006/relationships" ref="B92" r:id="rId89"/>
    <hyperlink xmlns:r="http://schemas.openxmlformats.org/officeDocument/2006/relationships" ref="B93" r:id="rId90"/>
    <hyperlink xmlns:r="http://schemas.openxmlformats.org/officeDocument/2006/relationships" ref="B94" r:id="rId91"/>
    <hyperlink xmlns:r="http://schemas.openxmlformats.org/officeDocument/2006/relationships" ref="B95" r:id="rId92"/>
    <hyperlink xmlns:r="http://schemas.openxmlformats.org/officeDocument/2006/relationships" ref="B96" r:id="rId93"/>
    <hyperlink xmlns:r="http://schemas.openxmlformats.org/officeDocument/2006/relationships" ref="B97" r:id="rId94"/>
    <hyperlink xmlns:r="http://schemas.openxmlformats.org/officeDocument/2006/relationships" ref="B98" r:id="rId95"/>
    <hyperlink xmlns:r="http://schemas.openxmlformats.org/officeDocument/2006/relationships" ref="B99" r:id="rId96"/>
    <hyperlink xmlns:r="http://schemas.openxmlformats.org/officeDocument/2006/relationships" ref="B100" r:id="rId97"/>
    <hyperlink xmlns:r="http://schemas.openxmlformats.org/officeDocument/2006/relationships" ref="B101" r:id="rId98"/>
    <hyperlink xmlns:r="http://schemas.openxmlformats.org/officeDocument/2006/relationships" ref="B102" r:id="rId99"/>
    <hyperlink xmlns:r="http://schemas.openxmlformats.org/officeDocument/2006/relationships" ref="B103" r:id="rId100"/>
    <hyperlink xmlns:r="http://schemas.openxmlformats.org/officeDocument/2006/relationships" ref="B104" r:id="rId101"/>
    <hyperlink xmlns:r="http://schemas.openxmlformats.org/officeDocument/2006/relationships" ref="B105" r:id="rId102"/>
    <hyperlink xmlns:r="http://schemas.openxmlformats.org/officeDocument/2006/relationships" ref="B106" r:id="rId103"/>
    <hyperlink xmlns:r="http://schemas.openxmlformats.org/officeDocument/2006/relationships" ref="B107" r:id="rId104"/>
    <hyperlink xmlns:r="http://schemas.openxmlformats.org/officeDocument/2006/relationships" ref="B108" r:id="rId105"/>
    <hyperlink xmlns:r="http://schemas.openxmlformats.org/officeDocument/2006/relationships" ref="B109" r:id="rId106"/>
    <hyperlink xmlns:r="http://schemas.openxmlformats.org/officeDocument/2006/relationships" ref="B110" r:id="rId107"/>
    <hyperlink xmlns:r="http://schemas.openxmlformats.org/officeDocument/2006/relationships" ref="B111" r:id="rId108"/>
    <hyperlink xmlns:r="http://schemas.openxmlformats.org/officeDocument/2006/relationships" ref="B112" r:id="rId109"/>
    <hyperlink xmlns:r="http://schemas.openxmlformats.org/officeDocument/2006/relationships" ref="B113" r:id="rId110"/>
    <hyperlink xmlns:r="http://schemas.openxmlformats.org/officeDocument/2006/relationships" ref="B114" r:id="rId111"/>
    <hyperlink xmlns:r="http://schemas.openxmlformats.org/officeDocument/2006/relationships" ref="B115" r:id="rId112"/>
    <hyperlink xmlns:r="http://schemas.openxmlformats.org/officeDocument/2006/relationships" ref="B116" r:id="rId113"/>
    <hyperlink xmlns:r="http://schemas.openxmlformats.org/officeDocument/2006/relationships" ref="B117" r:id="rId114"/>
    <hyperlink xmlns:r="http://schemas.openxmlformats.org/officeDocument/2006/relationships" ref="B118" r:id="rId115"/>
    <hyperlink xmlns:r="http://schemas.openxmlformats.org/officeDocument/2006/relationships" ref="B119" r:id="rId116"/>
    <hyperlink xmlns:r="http://schemas.openxmlformats.org/officeDocument/2006/relationships" ref="B120" r:id="rId117"/>
    <hyperlink xmlns:r="http://schemas.openxmlformats.org/officeDocument/2006/relationships" ref="B121" r:id="rId118"/>
    <hyperlink xmlns:r="http://schemas.openxmlformats.org/officeDocument/2006/relationships" ref="B122" r:id="rId119"/>
    <hyperlink xmlns:r="http://schemas.openxmlformats.org/officeDocument/2006/relationships" ref="B123" r:id="rId120"/>
    <hyperlink xmlns:r="http://schemas.openxmlformats.org/officeDocument/2006/relationships" ref="B124" r:id="rId121"/>
    <hyperlink xmlns:r="http://schemas.openxmlformats.org/officeDocument/2006/relationships" ref="B125" r:id="rId122"/>
    <hyperlink xmlns:r="http://schemas.openxmlformats.org/officeDocument/2006/relationships" ref="B126" r:id="rId123"/>
    <hyperlink xmlns:r="http://schemas.openxmlformats.org/officeDocument/2006/relationships" ref="B127" r:id="rId124"/>
    <hyperlink xmlns:r="http://schemas.openxmlformats.org/officeDocument/2006/relationships" ref="B128" r:id="rId125"/>
    <hyperlink xmlns:r="http://schemas.openxmlformats.org/officeDocument/2006/relationships" ref="B129" r:id="rId126"/>
    <hyperlink xmlns:r="http://schemas.openxmlformats.org/officeDocument/2006/relationships" ref="B130" r:id="rId127"/>
    <hyperlink xmlns:r="http://schemas.openxmlformats.org/officeDocument/2006/relationships" ref="B131" r:id="rId128"/>
    <hyperlink xmlns:r="http://schemas.openxmlformats.org/officeDocument/2006/relationships" ref="B132" r:id="rId129"/>
    <hyperlink xmlns:r="http://schemas.openxmlformats.org/officeDocument/2006/relationships" ref="B133" r:id="rId130"/>
    <hyperlink xmlns:r="http://schemas.openxmlformats.org/officeDocument/2006/relationships" ref="B134" r:id="rId131"/>
    <hyperlink xmlns:r="http://schemas.openxmlformats.org/officeDocument/2006/relationships" ref="B135" r:id="rId132"/>
    <hyperlink xmlns:r="http://schemas.openxmlformats.org/officeDocument/2006/relationships" ref="B136" r:id="rId133"/>
    <hyperlink xmlns:r="http://schemas.openxmlformats.org/officeDocument/2006/relationships" ref="B137" r:id="rId134"/>
    <hyperlink xmlns:r="http://schemas.openxmlformats.org/officeDocument/2006/relationships" ref="B138" r:id="rId135"/>
    <hyperlink xmlns:r="http://schemas.openxmlformats.org/officeDocument/2006/relationships" ref="B139" r:id="rId136"/>
    <hyperlink xmlns:r="http://schemas.openxmlformats.org/officeDocument/2006/relationships" ref="B140" r:id="rId137"/>
    <hyperlink xmlns:r="http://schemas.openxmlformats.org/officeDocument/2006/relationships" ref="B141" r:id="rId138"/>
    <hyperlink xmlns:r="http://schemas.openxmlformats.org/officeDocument/2006/relationships" ref="B142" r:id="rId139"/>
    <hyperlink xmlns:r="http://schemas.openxmlformats.org/officeDocument/2006/relationships" ref="B143" r:id="rId140"/>
    <hyperlink xmlns:r="http://schemas.openxmlformats.org/officeDocument/2006/relationships" ref="B144" r:id="rId141"/>
    <hyperlink xmlns:r="http://schemas.openxmlformats.org/officeDocument/2006/relationships" ref="B145" r:id="rId142"/>
    <hyperlink xmlns:r="http://schemas.openxmlformats.org/officeDocument/2006/relationships" ref="B146" r:id="rId143"/>
    <hyperlink xmlns:r="http://schemas.openxmlformats.org/officeDocument/2006/relationships" ref="B147" r:id="rId144"/>
    <hyperlink xmlns:r="http://schemas.openxmlformats.org/officeDocument/2006/relationships" ref="B148" r:id="rId145"/>
    <hyperlink xmlns:r="http://schemas.openxmlformats.org/officeDocument/2006/relationships" ref="B149" r:id="rId146"/>
    <hyperlink xmlns:r="http://schemas.openxmlformats.org/officeDocument/2006/relationships" ref="B150" r:id="rId147"/>
    <hyperlink xmlns:r="http://schemas.openxmlformats.org/officeDocument/2006/relationships" ref="B151" r:id="rId148"/>
    <hyperlink xmlns:r="http://schemas.openxmlformats.org/officeDocument/2006/relationships" ref="B152" r:id="rId149"/>
    <hyperlink xmlns:r="http://schemas.openxmlformats.org/officeDocument/2006/relationships" ref="B153" r:id="rId150"/>
    <hyperlink xmlns:r="http://schemas.openxmlformats.org/officeDocument/2006/relationships" ref="B154" r:id="rId151"/>
    <hyperlink xmlns:r="http://schemas.openxmlformats.org/officeDocument/2006/relationships" ref="B155" r:id="rId152"/>
    <hyperlink xmlns:r="http://schemas.openxmlformats.org/officeDocument/2006/relationships" ref="B156" r:id="rId153"/>
    <hyperlink xmlns:r="http://schemas.openxmlformats.org/officeDocument/2006/relationships" ref="B157" r:id="rId154"/>
    <hyperlink xmlns:r="http://schemas.openxmlformats.org/officeDocument/2006/relationships" ref="B158" r:id="rId155"/>
    <hyperlink xmlns:r="http://schemas.openxmlformats.org/officeDocument/2006/relationships" ref="B159" r:id="rId156"/>
    <hyperlink xmlns:r="http://schemas.openxmlformats.org/officeDocument/2006/relationships" ref="B160" r:id="rId157"/>
    <hyperlink xmlns:r="http://schemas.openxmlformats.org/officeDocument/2006/relationships" ref="B161" r:id="rId158"/>
    <hyperlink xmlns:r="http://schemas.openxmlformats.org/officeDocument/2006/relationships" ref="B162" r:id="rId159"/>
    <hyperlink xmlns:r="http://schemas.openxmlformats.org/officeDocument/2006/relationships" ref="B163" r:id="rId160"/>
    <hyperlink xmlns:r="http://schemas.openxmlformats.org/officeDocument/2006/relationships" ref="B164" r:id="rId161"/>
    <hyperlink xmlns:r="http://schemas.openxmlformats.org/officeDocument/2006/relationships" ref="B165" r:id="rId162"/>
    <hyperlink xmlns:r="http://schemas.openxmlformats.org/officeDocument/2006/relationships" ref="B166" r:id="rId163"/>
    <hyperlink xmlns:r="http://schemas.openxmlformats.org/officeDocument/2006/relationships" ref="B167" r:id="rId164"/>
    <hyperlink xmlns:r="http://schemas.openxmlformats.org/officeDocument/2006/relationships" ref="B168" r:id="rId165"/>
    <hyperlink xmlns:r="http://schemas.openxmlformats.org/officeDocument/2006/relationships" ref="B169" r:id="rId166"/>
    <hyperlink xmlns:r="http://schemas.openxmlformats.org/officeDocument/2006/relationships" ref="B170" r:id="rId167"/>
    <hyperlink xmlns:r="http://schemas.openxmlformats.org/officeDocument/2006/relationships" ref="B171" r:id="rId168"/>
    <hyperlink xmlns:r="http://schemas.openxmlformats.org/officeDocument/2006/relationships" ref="B172" r:id="rId169"/>
    <hyperlink xmlns:r="http://schemas.openxmlformats.org/officeDocument/2006/relationships" ref="B173" r:id="rId170"/>
    <hyperlink xmlns:r="http://schemas.openxmlformats.org/officeDocument/2006/relationships" ref="B174" r:id="rId171"/>
    <hyperlink xmlns:r="http://schemas.openxmlformats.org/officeDocument/2006/relationships" ref="B175" r:id="rId172"/>
    <hyperlink xmlns:r="http://schemas.openxmlformats.org/officeDocument/2006/relationships" ref="B176" r:id="rId173"/>
    <hyperlink xmlns:r="http://schemas.openxmlformats.org/officeDocument/2006/relationships" ref="B177" r:id="rId174"/>
    <hyperlink xmlns:r="http://schemas.openxmlformats.org/officeDocument/2006/relationships" ref="B178" r:id="rId175"/>
    <hyperlink xmlns:r="http://schemas.openxmlformats.org/officeDocument/2006/relationships" ref="B179" r:id="rId176"/>
    <hyperlink xmlns:r="http://schemas.openxmlformats.org/officeDocument/2006/relationships" ref="B180" r:id="rId177"/>
    <hyperlink xmlns:r="http://schemas.openxmlformats.org/officeDocument/2006/relationships" ref="B181" r:id="rId178"/>
    <hyperlink xmlns:r="http://schemas.openxmlformats.org/officeDocument/2006/relationships" ref="B182" r:id="rId179"/>
    <hyperlink xmlns:r="http://schemas.openxmlformats.org/officeDocument/2006/relationships" ref="B183" r:id="rId180"/>
    <hyperlink xmlns:r="http://schemas.openxmlformats.org/officeDocument/2006/relationships" ref="B184" r:id="rId181"/>
    <hyperlink xmlns:r="http://schemas.openxmlformats.org/officeDocument/2006/relationships" ref="B185" r:id="rId182"/>
    <hyperlink xmlns:r="http://schemas.openxmlformats.org/officeDocument/2006/relationships" ref="B186" r:id="rId183"/>
    <hyperlink xmlns:r="http://schemas.openxmlformats.org/officeDocument/2006/relationships" ref="B187" r:id="rId184"/>
    <hyperlink xmlns:r="http://schemas.openxmlformats.org/officeDocument/2006/relationships" ref="B188" r:id="rId185"/>
    <hyperlink xmlns:r="http://schemas.openxmlformats.org/officeDocument/2006/relationships" ref="B189" r:id="rId186"/>
    <hyperlink xmlns:r="http://schemas.openxmlformats.org/officeDocument/2006/relationships" ref="B190" r:id="rId187"/>
    <hyperlink xmlns:r="http://schemas.openxmlformats.org/officeDocument/2006/relationships" ref="B191" r:id="rId188"/>
    <hyperlink xmlns:r="http://schemas.openxmlformats.org/officeDocument/2006/relationships" ref="B192" r:id="rId189"/>
    <hyperlink xmlns:r="http://schemas.openxmlformats.org/officeDocument/2006/relationships" ref="B193" r:id="rId190"/>
    <hyperlink xmlns:r="http://schemas.openxmlformats.org/officeDocument/2006/relationships" ref="B194" r:id="rId191"/>
    <hyperlink xmlns:r="http://schemas.openxmlformats.org/officeDocument/2006/relationships" ref="B195" r:id="rId192"/>
    <hyperlink xmlns:r="http://schemas.openxmlformats.org/officeDocument/2006/relationships" ref="B196" r:id="rId193"/>
    <hyperlink xmlns:r="http://schemas.openxmlformats.org/officeDocument/2006/relationships" ref="B197" r:id="rId194"/>
    <hyperlink xmlns:r="http://schemas.openxmlformats.org/officeDocument/2006/relationships" ref="B198" r:id="rId195"/>
    <hyperlink xmlns:r="http://schemas.openxmlformats.org/officeDocument/2006/relationships" ref="B199" r:id="rId1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2026-10-13T04:17:57Z</dcterms:created>
  <dcterms:modified xmlns:dcterms="http://purl.org/dc/terms/" xmlns:xsi="http://www.w3.org/2001/XMLSchema-instance" xsi:type="dcterms:W3CDTF">2026-10-13T04:17:58Z</dcterms:modified>
</cp:coreProperties>
</file>