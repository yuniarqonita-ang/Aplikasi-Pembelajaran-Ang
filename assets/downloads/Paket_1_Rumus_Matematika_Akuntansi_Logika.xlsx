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FTAR_ISI" sheetId="1" state="visible" r:id="rId1"/>
    <sheet xmlns:r="http://schemas.openxmlformats.org/officeDocument/2006/relationships" name="SUM" sheetId="2" state="visible" r:id="rId2"/>
    <sheet xmlns:r="http://schemas.openxmlformats.org/officeDocument/2006/relationships" name="SUMIF" sheetId="3" state="visible" r:id="rId3"/>
    <sheet xmlns:r="http://schemas.openxmlformats.org/officeDocument/2006/relationships" name="SUMIFS" sheetId="4" state="visible" r:id="rId4"/>
    <sheet xmlns:r="http://schemas.openxmlformats.org/officeDocument/2006/relationships" name="PRODUCT" sheetId="5" state="visible" r:id="rId5"/>
    <sheet xmlns:r="http://schemas.openxmlformats.org/officeDocument/2006/relationships" name="SUMPRODUCT" sheetId="6" state="visible" r:id="rId6"/>
    <sheet xmlns:r="http://schemas.openxmlformats.org/officeDocument/2006/relationships" name="ROUND" sheetId="7" state="visible" r:id="rId7"/>
    <sheet xmlns:r="http://schemas.openxmlformats.org/officeDocument/2006/relationships" name="ROUNDUP" sheetId="8" state="visible" r:id="rId8"/>
    <sheet xmlns:r="http://schemas.openxmlformats.org/officeDocument/2006/relationships" name="ROUNDDOWN" sheetId="9" state="visible" r:id="rId9"/>
    <sheet xmlns:r="http://schemas.openxmlformats.org/officeDocument/2006/relationships" name="MROUND" sheetId="10" state="visible" r:id="rId10"/>
    <sheet xmlns:r="http://schemas.openxmlformats.org/officeDocument/2006/relationships" name="CEILING" sheetId="11" state="visible" r:id="rId11"/>
    <sheet xmlns:r="http://schemas.openxmlformats.org/officeDocument/2006/relationships" name="FLOOR" sheetId="12" state="visible" r:id="rId12"/>
    <sheet xmlns:r="http://schemas.openxmlformats.org/officeDocument/2006/relationships" name="INT" sheetId="13" state="visible" r:id="rId13"/>
    <sheet xmlns:r="http://schemas.openxmlformats.org/officeDocument/2006/relationships" name="TRUNC" sheetId="14" state="visible" r:id="rId14"/>
    <sheet xmlns:r="http://schemas.openxmlformats.org/officeDocument/2006/relationships" name="MOD" sheetId="15" state="visible" r:id="rId15"/>
    <sheet xmlns:r="http://schemas.openxmlformats.org/officeDocument/2006/relationships" name="QUOTIENT" sheetId="16" state="visible" r:id="rId16"/>
    <sheet xmlns:r="http://schemas.openxmlformats.org/officeDocument/2006/relationships" name="ABS" sheetId="17" state="visible" r:id="rId17"/>
    <sheet xmlns:r="http://schemas.openxmlformats.org/officeDocument/2006/relationships" name="POWER" sheetId="18" state="visible" r:id="rId18"/>
    <sheet xmlns:r="http://schemas.openxmlformats.org/officeDocument/2006/relationships" name="SQRT" sheetId="19" state="visible" r:id="rId19"/>
    <sheet xmlns:r="http://schemas.openxmlformats.org/officeDocument/2006/relationships" name="SUBTOTAL" sheetId="20" state="visible" r:id="rId20"/>
    <sheet xmlns:r="http://schemas.openxmlformats.org/officeDocument/2006/relationships" name="AGGREGATE" sheetId="21" state="visible" r:id="rId21"/>
    <sheet xmlns:r="http://schemas.openxmlformats.org/officeDocument/2006/relationships" name="RANDBETWEEN" sheetId="22" state="visible" r:id="rId22"/>
    <sheet xmlns:r="http://schemas.openxmlformats.org/officeDocument/2006/relationships" name="SIGN" sheetId="23" state="visible" r:id="rId23"/>
    <sheet xmlns:r="http://schemas.openxmlformats.org/officeDocument/2006/relationships" name="ROMAN" sheetId="24" state="visible" r:id="rId24"/>
    <sheet xmlns:r="http://schemas.openxmlformats.org/officeDocument/2006/relationships" name="ARABIC" sheetId="25" state="visible" r:id="rId25"/>
    <sheet xmlns:r="http://schemas.openxmlformats.org/officeDocument/2006/relationships" name="FACT" sheetId="26" state="visible" r:id="rId26"/>
    <sheet xmlns:r="http://schemas.openxmlformats.org/officeDocument/2006/relationships" name="GCD" sheetId="27" state="visible" r:id="rId27"/>
    <sheet xmlns:r="http://schemas.openxmlformats.org/officeDocument/2006/relationships" name="LCM" sheetId="28" state="visible" r:id="rId28"/>
    <sheet xmlns:r="http://schemas.openxmlformats.org/officeDocument/2006/relationships" name="COMBIN" sheetId="29" state="visible" r:id="rId29"/>
    <sheet xmlns:r="http://schemas.openxmlformats.org/officeDocument/2006/relationships" name="IF" sheetId="30" state="visible" r:id="rId30"/>
    <sheet xmlns:r="http://schemas.openxmlformats.org/officeDocument/2006/relationships" name="IFS" sheetId="31" state="visible" r:id="rId31"/>
    <sheet xmlns:r="http://schemas.openxmlformats.org/officeDocument/2006/relationships" name="AND" sheetId="32" state="visible" r:id="rId32"/>
    <sheet xmlns:r="http://schemas.openxmlformats.org/officeDocument/2006/relationships" name="OR" sheetId="33" state="visible" r:id="rId33"/>
    <sheet xmlns:r="http://schemas.openxmlformats.org/officeDocument/2006/relationships" name="NOT" sheetId="34" state="visible" r:id="rId34"/>
    <sheet xmlns:r="http://schemas.openxmlformats.org/officeDocument/2006/relationships" name="XOR" sheetId="35" state="visible" r:id="rId35"/>
    <sheet xmlns:r="http://schemas.openxmlformats.org/officeDocument/2006/relationships" name="IFERROR" sheetId="36" state="visible" r:id="rId36"/>
    <sheet xmlns:r="http://schemas.openxmlformats.org/officeDocument/2006/relationships" name="IFNA" sheetId="37" state="visible" r:id="rId37"/>
    <sheet xmlns:r="http://schemas.openxmlformats.org/officeDocument/2006/relationships" name="TRUE" sheetId="38" state="visible" r:id="rId38"/>
    <sheet xmlns:r="http://schemas.openxmlformats.org/officeDocument/2006/relationships" name="FALSE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b val="1"/>
      <color rgb="0038BDF8"/>
      <sz val="10"/>
      <u val="single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b val="1"/>
      <color rgb="000369A1"/>
      <sz val="10"/>
    </font>
    <font>
      <name val="Segoe UI"/>
      <color rgb="001E293B"/>
      <sz val="10"/>
    </font>
    <font>
      <name val="Consolas"/>
      <b val="1"/>
      <color rgb="000F172A"/>
      <sz val="11"/>
    </font>
    <font>
      <name val="Segoe UI"/>
      <b val="1"/>
      <color rgb="00065F46"/>
      <sz val="10"/>
    </font>
    <font>
      <name val="Segoe UI"/>
      <b val="1"/>
      <color rgb="002563EB"/>
      <sz val="10"/>
      <u val="single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6" fillId="4" borderId="1" pivotButton="0" quotePrefix="0" xfId="0"/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5" fillId="6" borderId="0" pivotButton="0" quotePrefix="0" xfId="0"/>
    <xf numFmtId="0" fontId="6" fillId="7" borderId="1" pivotButton="0" quotePrefix="0" xfId="0"/>
    <xf numFmtId="0" fontId="6" fillId="7" borderId="0" pivotButton="0" quotePrefix="0" xfId="0"/>
    <xf numFmtId="0" fontId="8" fillId="0" borderId="1" pivotButton="0" quotePrefix="0" xfId="0"/>
    <xf numFmtId="0" fontId="6" fillId="0" borderId="0" pivotButton="0" quotePrefix="0" xfId="0"/>
    <xf numFmtId="0" fontId="8" fillId="0" borderId="0" applyAlignment="1" pivotButton="0" quotePrefix="0" xfId="0">
      <alignment wrapText="1"/>
    </xf>
    <xf numFmtId="0" fontId="7" fillId="0" borderId="0" pivotButton="0" quotePrefix="0" xfId="0"/>
    <xf numFmtId="0" fontId="9" fillId="7" borderId="1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0" borderId="0" applyAlignment="1" pivotButton="0" quotePrefix="0" xfId="0">
      <alignment vertical="center" wrapText="1"/>
    </xf>
    <xf numFmtId="0" fontId="9" fillId="10" borderId="2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'!A1" TargetMode="External" Id="rId1"/><Relationship Type="http://schemas.openxmlformats.org/officeDocument/2006/relationships/hyperlink" Target="#'SUMIF'!A1" TargetMode="External" Id="rId2"/><Relationship Type="http://schemas.openxmlformats.org/officeDocument/2006/relationships/hyperlink" Target="#'SUMIFS'!A1" TargetMode="External" Id="rId3"/><Relationship Type="http://schemas.openxmlformats.org/officeDocument/2006/relationships/hyperlink" Target="#'PRODUCT'!A1" TargetMode="External" Id="rId4"/><Relationship Type="http://schemas.openxmlformats.org/officeDocument/2006/relationships/hyperlink" Target="#'SUMPRODUCT'!A1" TargetMode="External" Id="rId5"/><Relationship Type="http://schemas.openxmlformats.org/officeDocument/2006/relationships/hyperlink" Target="#'ROUND'!A1" TargetMode="External" Id="rId6"/><Relationship Type="http://schemas.openxmlformats.org/officeDocument/2006/relationships/hyperlink" Target="#'ROUNDUP'!A1" TargetMode="External" Id="rId7"/><Relationship Type="http://schemas.openxmlformats.org/officeDocument/2006/relationships/hyperlink" Target="#'ROUNDDOWN'!A1" TargetMode="External" Id="rId8"/><Relationship Type="http://schemas.openxmlformats.org/officeDocument/2006/relationships/hyperlink" Target="#'MROUND'!A1" TargetMode="External" Id="rId9"/><Relationship Type="http://schemas.openxmlformats.org/officeDocument/2006/relationships/hyperlink" Target="#'CEILING'!A1" TargetMode="External" Id="rId10"/><Relationship Type="http://schemas.openxmlformats.org/officeDocument/2006/relationships/hyperlink" Target="#'FLOOR'!A1" TargetMode="External" Id="rId11"/><Relationship Type="http://schemas.openxmlformats.org/officeDocument/2006/relationships/hyperlink" Target="#'INT'!A1" TargetMode="External" Id="rId12"/><Relationship Type="http://schemas.openxmlformats.org/officeDocument/2006/relationships/hyperlink" Target="#'TRUNC'!A1" TargetMode="External" Id="rId13"/><Relationship Type="http://schemas.openxmlformats.org/officeDocument/2006/relationships/hyperlink" Target="#'MOD'!A1" TargetMode="External" Id="rId14"/><Relationship Type="http://schemas.openxmlformats.org/officeDocument/2006/relationships/hyperlink" Target="#'QUOTIENT'!A1" TargetMode="External" Id="rId15"/><Relationship Type="http://schemas.openxmlformats.org/officeDocument/2006/relationships/hyperlink" Target="#'ABS'!A1" TargetMode="External" Id="rId16"/><Relationship Type="http://schemas.openxmlformats.org/officeDocument/2006/relationships/hyperlink" Target="#'POWER'!A1" TargetMode="External" Id="rId17"/><Relationship Type="http://schemas.openxmlformats.org/officeDocument/2006/relationships/hyperlink" Target="#'SQRT'!A1" TargetMode="External" Id="rId18"/><Relationship Type="http://schemas.openxmlformats.org/officeDocument/2006/relationships/hyperlink" Target="#'SUBTOTAL'!A1" TargetMode="External" Id="rId19"/><Relationship Type="http://schemas.openxmlformats.org/officeDocument/2006/relationships/hyperlink" Target="#'AGGREGATE'!A1" TargetMode="External" Id="rId20"/><Relationship Type="http://schemas.openxmlformats.org/officeDocument/2006/relationships/hyperlink" Target="#'RANDBETWEEN'!A1" TargetMode="External" Id="rId21"/><Relationship Type="http://schemas.openxmlformats.org/officeDocument/2006/relationships/hyperlink" Target="#'SIGN'!A1" TargetMode="External" Id="rId22"/><Relationship Type="http://schemas.openxmlformats.org/officeDocument/2006/relationships/hyperlink" Target="#'ROMAN'!A1" TargetMode="External" Id="rId23"/><Relationship Type="http://schemas.openxmlformats.org/officeDocument/2006/relationships/hyperlink" Target="#'ARABIC'!A1" TargetMode="External" Id="rId24"/><Relationship Type="http://schemas.openxmlformats.org/officeDocument/2006/relationships/hyperlink" Target="#'FACT'!A1" TargetMode="External" Id="rId25"/><Relationship Type="http://schemas.openxmlformats.org/officeDocument/2006/relationships/hyperlink" Target="#'GCD'!A1" TargetMode="External" Id="rId26"/><Relationship Type="http://schemas.openxmlformats.org/officeDocument/2006/relationships/hyperlink" Target="#'LCM'!A1" TargetMode="External" Id="rId27"/><Relationship Type="http://schemas.openxmlformats.org/officeDocument/2006/relationships/hyperlink" Target="#'COMBIN'!A1" TargetMode="External" Id="rId28"/><Relationship Type="http://schemas.openxmlformats.org/officeDocument/2006/relationships/hyperlink" Target="#'IF'!A1" TargetMode="External" Id="rId29"/><Relationship Type="http://schemas.openxmlformats.org/officeDocument/2006/relationships/hyperlink" Target="#'IFS'!A1" TargetMode="External" Id="rId30"/><Relationship Type="http://schemas.openxmlformats.org/officeDocument/2006/relationships/hyperlink" Target="#'AND'!A1" TargetMode="External" Id="rId31"/><Relationship Type="http://schemas.openxmlformats.org/officeDocument/2006/relationships/hyperlink" Target="#'OR'!A1" TargetMode="External" Id="rId32"/><Relationship Type="http://schemas.openxmlformats.org/officeDocument/2006/relationships/hyperlink" Target="#'NOT'!A1" TargetMode="External" Id="rId33"/><Relationship Type="http://schemas.openxmlformats.org/officeDocument/2006/relationships/hyperlink" Target="#'XOR'!A1" TargetMode="External" Id="rId34"/><Relationship Type="http://schemas.openxmlformats.org/officeDocument/2006/relationships/hyperlink" Target="#'IFERROR'!A1" TargetMode="External" Id="rId35"/><Relationship Type="http://schemas.openxmlformats.org/officeDocument/2006/relationships/hyperlink" Target="#'IFNA'!A1" TargetMode="External" Id="rId36"/><Relationship Type="http://schemas.openxmlformats.org/officeDocument/2006/relationships/hyperlink" Target="#'TRUE'!A1" TargetMode="External" Id="rId37"/><Relationship Type="http://schemas.openxmlformats.org/officeDocument/2006/relationships/hyperlink" Target="#'FALSE'!A1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00_DAFTAR_ISI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6" customWidth="1" min="4" max="4"/>
    <col width="65" customWidth="1" min="5" max="5"/>
    <col width="24" customWidth="1" min="6" max="6"/>
  </cols>
  <sheetData>
    <row r="1" ht="32" customHeight="1">
      <c r="A1" s="1" t="inlineStr">
        <is>
          <t>📚 PAKET 1: RUMUS MATEMATIKA, AKUNTANSI &amp; LOGIKA (38 SHEET RUMUS &amp; 190 SOAL DUNIA NYATA)</t>
        </is>
      </c>
    </row>
    <row r="2" ht="22" customHeight="1">
      <c r="A2" s="2" t="inlineStr">
        <is>
          <t>Klik nama sheet di kolom 'Link Langsung' atau pilih tab di bawah untuk langsung mempraktekkan 5 Persoalan Dunia Nyata di setiap rumus!</t>
        </is>
      </c>
    </row>
    <row r="4" ht="24" customHeight="1">
      <c r="A4" s="3" t="inlineStr">
        <is>
          <t>No</t>
        </is>
      </c>
      <c r="B4" s="3" t="inlineStr">
        <is>
          <t>Nama Rumus (Sheet)</t>
        </is>
      </c>
      <c r="C4" s="3" t="inlineStr">
        <is>
          <t>Kategori</t>
        </is>
      </c>
      <c r="D4" s="3" t="inlineStr">
        <is>
          <t>Sintaks Penulisan</t>
        </is>
      </c>
      <c r="E4" s="3" t="inlineStr">
        <is>
          <t>Fungsinya Buat Apa (Bahasa Bayi &amp; Dunia Nyata)</t>
        </is>
      </c>
      <c r="F4" s="3" t="inlineStr">
        <is>
          <t>Link Langsung</t>
        </is>
      </c>
    </row>
    <row r="5">
      <c r="A5" s="4" t="n">
        <v>1</v>
      </c>
      <c r="B5" s="5" t="inlineStr">
        <is>
          <t>SUM</t>
        </is>
      </c>
      <c r="C5" s="4" t="inlineStr">
        <is>
          <t>1. Matematika &amp; Akuntansi</t>
        </is>
      </c>
      <c r="D5" s="6">
        <f>SUM(angka1, [angka2], ...)</f>
        <v/>
      </c>
      <c r="E5" s="4" t="inlineStr">
        <is>
          <t>Menjumlahkan seluruh angka di dalam blok sel sekaligus. Bayangkan punya 5 celengan, SUM langsung menghitung total uang di semua celengan itu dalam 1 detik!</t>
        </is>
      </c>
      <c r="F5" s="7" t="inlineStr">
        <is>
          <t>👉 Buka Sheet SUM</t>
        </is>
      </c>
    </row>
    <row r="6">
      <c r="A6" s="4" t="n">
        <v>2</v>
      </c>
      <c r="B6" s="5" t="inlineStr">
        <is>
          <t>SUMIF</t>
        </is>
      </c>
      <c r="C6" s="4" t="inlineStr">
        <is>
          <t>1. Matematika &amp; Akuntansi</t>
        </is>
      </c>
      <c r="D6" s="6">
        <f>SUMIF(range_syarat, syarat, [range_jumlah])</f>
        <v/>
      </c>
      <c r="E6" s="4" t="inlineStr">
        <is>
          <t>Menjumlahkan angka TAPI pilih-pilih sesuai 1 syarat. Contoh: Hanya jumlahkan omzet dari cabang 'Jakarta' saja, cabang lain abaikan!</t>
        </is>
      </c>
      <c r="F6" s="7" t="inlineStr">
        <is>
          <t>👉 Buka Sheet SUMIF</t>
        </is>
      </c>
    </row>
    <row r="7">
      <c r="A7" s="4" t="n">
        <v>3</v>
      </c>
      <c r="B7" s="5" t="inlineStr">
        <is>
          <t>SUMIFS</t>
        </is>
      </c>
      <c r="C7" s="4" t="inlineStr">
        <is>
          <t>1. Matematika &amp; Akuntansi</t>
        </is>
      </c>
      <c r="D7" s="6">
        <f>SUMIFS(range_jumlah, range_syarat1, syarat1, range_syarat2, syarat2)</f>
        <v/>
      </c>
      <c r="E7" s="4" t="inlineStr">
        <is>
          <t>Menjumlahkan angka dengan BANYAK syarat sekaligus. Contoh: Jumlahkan penjualan khusus barang 'Laptop' DAN khusus cabang 'Surabaya'!</t>
        </is>
      </c>
      <c r="F7" s="7" t="inlineStr">
        <is>
          <t>👉 Buka Sheet SUMIFS</t>
        </is>
      </c>
    </row>
    <row r="8">
      <c r="A8" s="4" t="n">
        <v>4</v>
      </c>
      <c r="B8" s="5" t="inlineStr">
        <is>
          <t>PRODUCT</t>
        </is>
      </c>
      <c r="C8" s="4" t="inlineStr">
        <is>
          <t>1. Matematika &amp; Akuntansi</t>
        </is>
      </c>
      <c r="D8" s="6">
        <f>PRODUCT(angka1, [angka2], ...)</f>
        <v/>
      </c>
      <c r="E8" s="4" t="inlineStr">
        <is>
          <t>Mengalikan semua angka di dalam rentang sel. Cocok untuk menghitung perkalian beruntun seperti Harga × Jumlah × Faktor Diskon.</t>
        </is>
      </c>
      <c r="F8" s="7" t="inlineStr">
        <is>
          <t>👉 Buka Sheet PRODUCT</t>
        </is>
      </c>
    </row>
    <row r="9">
      <c r="A9" s="4" t="n">
        <v>5</v>
      </c>
      <c r="B9" s="5" t="inlineStr">
        <is>
          <t>SUMPRODUCT</t>
        </is>
      </c>
      <c r="C9" s="4" t="inlineStr">
        <is>
          <t>1. Matematika &amp; Akuntansi</t>
        </is>
      </c>
      <c r="D9" s="6">
        <f>SUMPRODUCT(array1, [array2], ...)</f>
        <v/>
      </c>
      <c r="E9" s="4" t="inlineStr">
        <is>
          <t>Mengalikan dua kolom sejajar (misal Harga × Qty tiap baris) lalu langsung menjumlahkan total akhirnya tanpa perlu kolom bantuan!</t>
        </is>
      </c>
      <c r="F9" s="7" t="inlineStr">
        <is>
          <t>👉 Buka Sheet SUMPRODUCT</t>
        </is>
      </c>
    </row>
    <row r="10">
      <c r="A10" s="4" t="n">
        <v>6</v>
      </c>
      <c r="B10" s="5" t="inlineStr">
        <is>
          <t>ROUND</t>
        </is>
      </c>
      <c r="C10" s="4" t="inlineStr">
        <is>
          <t>1. Matematika &amp; Akuntansi</t>
        </is>
      </c>
      <c r="D10" s="6">
        <f>ROUND(angka, jumlah_digit)</f>
        <v/>
      </c>
      <c r="E10" s="4" t="inlineStr">
        <is>
          <t>Membulatkan angka desimal ke jumlah angka di belakang koma terdekat sesuai aturan matematika standar (0.5 ke atas naik).</t>
        </is>
      </c>
      <c r="F10" s="7" t="inlineStr">
        <is>
          <t>👉 Buka Sheet ROUND</t>
        </is>
      </c>
    </row>
    <row r="11">
      <c r="A11" s="4" t="n">
        <v>7</v>
      </c>
      <c r="B11" s="5" t="inlineStr">
        <is>
          <t>ROUNDUP</t>
        </is>
      </c>
      <c r="C11" s="4" t="inlineStr">
        <is>
          <t>1. Matematika &amp; Akuntansi</t>
        </is>
      </c>
      <c r="D11" s="6">
        <f>ROUNDUP(angka, jumlah_digit)</f>
        <v/>
      </c>
      <c r="E11" s="4" t="inlineStr">
        <is>
          <t>Selalu membulatkan angka KE ATAS menjauhi nol. Cocok untuk menghitung jumlah dus/truk (kalau butuh 4.1 truk, harus sewa 5 truk!).</t>
        </is>
      </c>
      <c r="F11" s="7" t="inlineStr">
        <is>
          <t>👉 Buka Sheet ROUNDUP</t>
        </is>
      </c>
    </row>
    <row r="12">
      <c r="A12" s="4" t="n">
        <v>8</v>
      </c>
      <c r="B12" s="5" t="inlineStr">
        <is>
          <t>ROUNDDOWN</t>
        </is>
      </c>
      <c r="C12" s="4" t="inlineStr">
        <is>
          <t>1. Matematika &amp; Akuntansi</t>
        </is>
      </c>
      <c r="D12" s="6">
        <f>ROUNDDOWN(angka, jumlah_digit)</f>
        <v/>
      </c>
      <c r="E12" s="4" t="inlineStr">
        <is>
          <t>Selalu membulatkan angka KE BAWAH mendekati nol (memotong desimal tanpa peduli angkanya besar).</t>
        </is>
      </c>
      <c r="F12" s="7" t="inlineStr">
        <is>
          <t>👉 Buka Sheet ROUNDDOWN</t>
        </is>
      </c>
    </row>
    <row r="13">
      <c r="A13" s="4" t="n">
        <v>9</v>
      </c>
      <c r="B13" s="5" t="inlineStr">
        <is>
          <t>MROUND</t>
        </is>
      </c>
      <c r="C13" s="4" t="inlineStr">
        <is>
          <t>1. Matematika &amp; Akuntansi</t>
        </is>
      </c>
      <c r="D13" s="6">
        <f>MROUND(angka, kelipatan)</f>
        <v/>
      </c>
      <c r="E13" s="4" t="inlineStr">
        <is>
          <t>Membulatkan angka ke kelipatan tertentu terdekat (misal membulatkan harga uang receh ke kelipatan Rp 500 terdekat).</t>
        </is>
      </c>
      <c r="F13" s="7" t="inlineStr">
        <is>
          <t>👉 Buka Sheet MROUND</t>
        </is>
      </c>
    </row>
    <row r="14">
      <c r="A14" s="4" t="n">
        <v>10</v>
      </c>
      <c r="B14" s="5" t="inlineStr">
        <is>
          <t>CEILING</t>
        </is>
      </c>
      <c r="C14" s="4" t="inlineStr">
        <is>
          <t>1. Matematika &amp; Akuntansi</t>
        </is>
      </c>
      <c r="D14" s="6">
        <f>CEILING(angka, kelipatan)</f>
        <v/>
      </c>
      <c r="E14" s="4" t="inlineStr">
        <is>
          <t>Membulatkan angka KE ATAS menuju kelipatan terdekat (misal pembulatan tagihan parkir per kelipatan 1000 ke atas).</t>
        </is>
      </c>
      <c r="F14" s="7" t="inlineStr">
        <is>
          <t>👉 Buka Sheet CEILING</t>
        </is>
      </c>
    </row>
    <row r="15">
      <c r="A15" s="4" t="n">
        <v>11</v>
      </c>
      <c r="B15" s="5" t="inlineStr">
        <is>
          <t>FLOOR</t>
        </is>
      </c>
      <c r="C15" s="4" t="inlineStr">
        <is>
          <t>1. Matematika &amp; Akuntansi</t>
        </is>
      </c>
      <c r="D15" s="6">
        <f>FLOOR(angka, kelipatan)</f>
        <v/>
      </c>
      <c r="E15" s="4" t="inlineStr">
        <is>
          <t>Membulatkan angka KE BAWAH menuju kelipatan terdekat (misal menghitung paket lusinan penuh dari stok barang).</t>
        </is>
      </c>
      <c r="F15" s="7" t="inlineStr">
        <is>
          <t>👉 Buka Sheet FLOOR</t>
        </is>
      </c>
    </row>
    <row r="16">
      <c r="A16" s="4" t="n">
        <v>12</v>
      </c>
      <c r="B16" s="5" t="inlineStr">
        <is>
          <t>INT</t>
        </is>
      </c>
      <c r="C16" s="4" t="inlineStr">
        <is>
          <t>1. Matematika &amp; Akuntansi</t>
        </is>
      </c>
      <c r="D16" s="6">
        <f>INT(angka)</f>
        <v/>
      </c>
      <c r="E16" s="4" t="inlineStr">
        <is>
          <t>Mengambil angka bulatnya saja dengan membulatkan ke bawah ke bilangan bulat terdekat.</t>
        </is>
      </c>
      <c r="F16" s="7" t="inlineStr">
        <is>
          <t>👉 Buka Sheet INT</t>
        </is>
      </c>
    </row>
    <row r="17">
      <c r="A17" s="4" t="n">
        <v>13</v>
      </c>
      <c r="B17" s="5" t="inlineStr">
        <is>
          <t>TRUNC</t>
        </is>
      </c>
      <c r="C17" s="4" t="inlineStr">
        <is>
          <t>1. Matematika &amp; Akuntansi</t>
        </is>
      </c>
      <c r="D17" s="6">
        <f>TRUNC(angka, [jumlah_digit])</f>
        <v/>
      </c>
      <c r="E17" s="4" t="inlineStr">
        <is>
          <t>Memotong angka desimal di belakang koma secara langsung tanpa pembulatan.</t>
        </is>
      </c>
      <c r="F17" s="7" t="inlineStr">
        <is>
          <t>👉 Buka Sheet TRUNC</t>
        </is>
      </c>
    </row>
    <row r="18">
      <c r="A18" s="4" t="n">
        <v>14</v>
      </c>
      <c r="B18" s="5" t="inlineStr">
        <is>
          <t>MOD</t>
        </is>
      </c>
      <c r="C18" s="4" t="inlineStr">
        <is>
          <t>1. Matematika &amp; Akuntansi</t>
        </is>
      </c>
      <c r="D18" s="6">
        <f>MOD(angka, pembagi)</f>
        <v/>
      </c>
      <c r="E18" s="4" t="inlineStr">
        <is>
          <t>Mencari SISA hasil pembagian. Contoh: 14 permen dibagi ke 4 anak, masing-masing dapat 3 dan SISA 2 permen (MOD = 2).</t>
        </is>
      </c>
      <c r="F18" s="7" t="inlineStr">
        <is>
          <t>👉 Buka Sheet MOD</t>
        </is>
      </c>
    </row>
    <row r="19">
      <c r="A19" s="4" t="n">
        <v>15</v>
      </c>
      <c r="B19" s="5" t="inlineStr">
        <is>
          <t>QUOTIENT</t>
        </is>
      </c>
      <c r="C19" s="4" t="inlineStr">
        <is>
          <t>1. Matematika &amp; Akuntansi</t>
        </is>
      </c>
      <c r="D19" s="6">
        <f>QUOTIENT(pembilang, penyebut)</f>
        <v/>
      </c>
      <c r="E19" s="4" t="inlineStr">
        <is>
          <t>Mengambil hasil bagi BULAT saja dan membuang sisanya. Contoh: 14 dibagi 4 hasilnya 3 (sisanya diabaikan).</t>
        </is>
      </c>
      <c r="F19" s="7" t="inlineStr">
        <is>
          <t>👉 Buka Sheet QUOTIENT</t>
        </is>
      </c>
    </row>
    <row r="20">
      <c r="A20" s="4" t="n">
        <v>16</v>
      </c>
      <c r="B20" s="5" t="inlineStr">
        <is>
          <t>ABS</t>
        </is>
      </c>
      <c r="C20" s="4" t="inlineStr">
        <is>
          <t>1. Matematika &amp; Akuntansi</t>
        </is>
      </c>
      <c r="D20" s="6">
        <f>ABS(angka)</f>
        <v/>
      </c>
      <c r="E20" s="4" t="inlineStr">
        <is>
          <t>Mengubah angka minus (negatif) menjadi positif (Nilai Mutlak). Cocok untuk menghitung selisih jarak atau deviasi stok tanpa tanda minus.</t>
        </is>
      </c>
      <c r="F20" s="7" t="inlineStr">
        <is>
          <t>👉 Buka Sheet ABS</t>
        </is>
      </c>
    </row>
    <row r="21">
      <c r="A21" s="4" t="n">
        <v>17</v>
      </c>
      <c r="B21" s="5" t="inlineStr">
        <is>
          <t>POWER</t>
        </is>
      </c>
      <c r="C21" s="4" t="inlineStr">
        <is>
          <t>1. Matematika &amp; Akuntansi</t>
        </is>
      </c>
      <c r="D21" s="6">
        <f>POWER(angka, pangkat)</f>
        <v/>
      </c>
      <c r="E21" s="4" t="inlineStr">
        <is>
          <t>Menghitung perpangkatan angka (misal 5 pangkat 3 = 125).</t>
        </is>
      </c>
      <c r="F21" s="7" t="inlineStr">
        <is>
          <t>👉 Buka Sheet POWER</t>
        </is>
      </c>
    </row>
    <row r="22">
      <c r="A22" s="4" t="n">
        <v>18</v>
      </c>
      <c r="B22" s="5" t="inlineStr">
        <is>
          <t>SQRT</t>
        </is>
      </c>
      <c r="C22" s="4" t="inlineStr">
        <is>
          <t>1. Matematika &amp; Akuntansi</t>
        </is>
      </c>
      <c r="D22" s="6">
        <f>SQRT(angka)</f>
        <v/>
      </c>
      <c r="E22" s="4" t="inlineStr">
        <is>
          <t>Mencari akar kuadrat dari suatu angka (misal akar dari 144 adalah 12).</t>
        </is>
      </c>
      <c r="F22" s="7" t="inlineStr">
        <is>
          <t>👉 Buka Sheet SQRT</t>
        </is>
      </c>
    </row>
    <row r="23">
      <c r="A23" s="4" t="n">
        <v>19</v>
      </c>
      <c r="B23" s="5" t="inlineStr">
        <is>
          <t>SUBTOTAL</t>
        </is>
      </c>
      <c r="C23" s="4" t="inlineStr">
        <is>
          <t>1. Matematika &amp; Akuntansi</t>
        </is>
      </c>
      <c r="D23" s="6">
        <f>SUBTOTAL(kode_fungsi, range)</f>
        <v/>
      </c>
      <c r="E23" s="4" t="inlineStr">
        <is>
          <t>Menghitung total/rata-rata yang PINTAR karena otomatis mengabaikan baris yang sedang disembunyikan oleh Filter!</t>
        </is>
      </c>
      <c r="F23" s="7" t="inlineStr">
        <is>
          <t>👉 Buka Sheet SUBTOTAL</t>
        </is>
      </c>
    </row>
    <row r="24">
      <c r="A24" s="4" t="n">
        <v>20</v>
      </c>
      <c r="B24" s="5" t="inlineStr">
        <is>
          <t>AGGREGATE</t>
        </is>
      </c>
      <c r="C24" s="4" t="inlineStr">
        <is>
          <t>1. Matematika &amp; Akuntansi</t>
        </is>
      </c>
      <c r="D24" s="6">
        <f>AGGREGATE(kode_fungsi, opsi_abaikan, range)</f>
        <v/>
      </c>
      <c r="E24" s="4" t="inlineStr">
        <is>
          <t>Versi super dari SUBTOTAL yang sanggup mengabaikan baris tersembunyi SEKALIGUS mengabaikan sel yang error (#N/A atau #DIV/0!).</t>
        </is>
      </c>
      <c r="F24" s="7" t="inlineStr">
        <is>
          <t>👉 Buka Sheet AGGREGATE</t>
        </is>
      </c>
    </row>
    <row r="25">
      <c r="A25" s="4" t="n">
        <v>21</v>
      </c>
      <c r="B25" s="5" t="inlineStr">
        <is>
          <t>RANDBETWEEN</t>
        </is>
      </c>
      <c r="C25" s="4" t="inlineStr">
        <is>
          <t>1. Matematika &amp; Akuntansi</t>
        </is>
      </c>
      <c r="D25" s="6">
        <f>RANDBETWEEN(batas_bawah, batas_atas)</f>
        <v/>
      </c>
      <c r="E25" s="4" t="inlineStr">
        <is>
          <t>Menghasilkan angka acak bulat di antara batas bawah dan atas (cocok untuk undian doorprize atau simulasi data).</t>
        </is>
      </c>
      <c r="F25" s="7" t="inlineStr">
        <is>
          <t>👉 Buka Sheet RANDBETWEEN</t>
        </is>
      </c>
    </row>
    <row r="26">
      <c r="A26" s="4" t="n">
        <v>22</v>
      </c>
      <c r="B26" s="5" t="inlineStr">
        <is>
          <t>SIGN</t>
        </is>
      </c>
      <c r="C26" s="4" t="inlineStr">
        <is>
          <t>1. Matematika &amp; Akuntansi</t>
        </is>
      </c>
      <c r="D26" s="6">
        <f>SIGN(angka)</f>
        <v/>
      </c>
      <c r="E26" s="4" t="inlineStr">
        <is>
          <t>Mengecek tanda angka: menghasilkan 1 jika positif (untung), 0 jika impas, dan -1 jika negatif (rugi).</t>
        </is>
      </c>
      <c r="F26" s="7" t="inlineStr">
        <is>
          <t>👉 Buka Sheet SIGN</t>
        </is>
      </c>
    </row>
    <row r="27">
      <c r="A27" s="4" t="n">
        <v>23</v>
      </c>
      <c r="B27" s="5" t="inlineStr">
        <is>
          <t>ROMAN</t>
        </is>
      </c>
      <c r="C27" s="4" t="inlineStr">
        <is>
          <t>1. Matematika &amp; Akuntansi</t>
        </is>
      </c>
      <c r="D27" s="6">
        <f>ROMAN(angka)</f>
        <v/>
      </c>
      <c r="E27" s="4" t="inlineStr">
        <is>
          <t>Mengubah angka biasa menjadi Angka Romawi (misal 2026 menjadi MMXXVI, atau bab laporan I, II, III, IV).</t>
        </is>
      </c>
      <c r="F27" s="7" t="inlineStr">
        <is>
          <t>👉 Buka Sheet ROMAN</t>
        </is>
      </c>
    </row>
    <row r="28">
      <c r="A28" s="4" t="n">
        <v>24</v>
      </c>
      <c r="B28" s="5" t="inlineStr">
        <is>
          <t>ARABIC</t>
        </is>
      </c>
      <c r="C28" s="4" t="inlineStr">
        <is>
          <t>1. Matematika &amp; Akuntansi</t>
        </is>
      </c>
      <c r="D28" s="6">
        <f>ARABIC(teks_romawi)</f>
        <v/>
      </c>
      <c r="E28" s="4" t="inlineStr">
        <is>
          <t>Kebalikan ROMAN: mengubah teks angka Romawi (seperti 'XIV') kembali menjadi angka biasa (14).</t>
        </is>
      </c>
      <c r="F28" s="7" t="inlineStr">
        <is>
          <t>👉 Buka Sheet ARABIC</t>
        </is>
      </c>
    </row>
    <row r="29">
      <c r="A29" s="4" t="n">
        <v>25</v>
      </c>
      <c r="B29" s="5" t="inlineStr">
        <is>
          <t>FACT</t>
        </is>
      </c>
      <c r="C29" s="4" t="inlineStr">
        <is>
          <t>1. Matematika &amp; Akuntansi</t>
        </is>
      </c>
      <c r="D29" s="6">
        <f>FACT(angka)</f>
        <v/>
      </c>
      <c r="E29" s="4" t="inlineStr">
        <is>
          <t>Menghitung faktorial matematika (n! = 1 × 2 × 3 × ... × n) untuk peluang dan susunan jadwal.</t>
        </is>
      </c>
      <c r="F29" s="7" t="inlineStr">
        <is>
          <t>👉 Buka Sheet FACT</t>
        </is>
      </c>
    </row>
    <row r="30">
      <c r="A30" s="4" t="n">
        <v>26</v>
      </c>
      <c r="B30" s="5" t="inlineStr">
        <is>
          <t>GCD</t>
        </is>
      </c>
      <c r="C30" s="4" t="inlineStr">
        <is>
          <t>1. Matematika &amp; Akuntansi</t>
        </is>
      </c>
      <c r="D30" s="6">
        <f>GCD(angka1, angka2)</f>
        <v/>
      </c>
      <c r="E30" s="4" t="inlineStr">
        <is>
          <t>Mencari Faktor Persekutuan Terbesar (FPB) dari dua angka atau lebih (misal membagi paket bingkisan sama rata).</t>
        </is>
      </c>
      <c r="F30" s="7" t="inlineStr">
        <is>
          <t>👉 Buka Sheet GCD</t>
        </is>
      </c>
    </row>
    <row r="31">
      <c r="A31" s="4" t="n">
        <v>27</v>
      </c>
      <c r="B31" s="5" t="inlineStr">
        <is>
          <t>LCM</t>
        </is>
      </c>
      <c r="C31" s="4" t="inlineStr">
        <is>
          <t>1. Matematika &amp; Akuntansi</t>
        </is>
      </c>
      <c r="D31" s="6">
        <f>LCM(angka1, angka2)</f>
        <v/>
      </c>
      <c r="E31" s="4" t="inlineStr">
        <is>
          <t>Mencari Kelipatan Persekutuan Terkecil (KPK) dari dua angka (misal jadwal pertemuan dua armada truk).</t>
        </is>
      </c>
      <c r="F31" s="7" t="inlineStr">
        <is>
          <t>👉 Buka Sheet LCM</t>
        </is>
      </c>
    </row>
    <row r="32">
      <c r="A32" s="4" t="n">
        <v>28</v>
      </c>
      <c r="B32" s="5" t="inlineStr">
        <is>
          <t>COMBIN</t>
        </is>
      </c>
      <c r="C32" s="4" t="inlineStr">
        <is>
          <t>1. Matematika &amp; Akuntansi</t>
        </is>
      </c>
      <c r="D32" s="6">
        <f>COMBIN(total_item, jumlah_dipilih)</f>
        <v/>
      </c>
      <c r="E32" s="4" t="inlineStr">
        <is>
          <t>Menghitung banyaknya kombinasi pemilihan tim/barang tanpa memperhatikan urutan.</t>
        </is>
      </c>
      <c r="F32" s="7" t="inlineStr">
        <is>
          <t>👉 Buka Sheet COMBIN</t>
        </is>
      </c>
    </row>
    <row r="33">
      <c r="A33" s="4" t="n">
        <v>29</v>
      </c>
      <c r="B33" s="5" t="inlineStr">
        <is>
          <t>IF</t>
        </is>
      </c>
      <c r="C33" s="4" t="inlineStr">
        <is>
          <t>2. Logika &amp; Keputusan</t>
        </is>
      </c>
      <c r="D33" s="6">
        <f>IF(syarat_logika, jika_benar, jika_salah)</f>
        <v/>
      </c>
      <c r="E33" s="4" t="inlineStr">
        <is>
          <t>Polisi lalu lintas di Excel: Jika syarat terpenuhi maka jalankan perintah A, jika tidak maka jalankan perintah B (Misal: Nilai &gt;= 75 maka 'LULUS', selain itu 'REMEDIAL').</t>
        </is>
      </c>
      <c r="F33" s="7" t="inlineStr">
        <is>
          <t>👉 Buka Sheet IF</t>
        </is>
      </c>
    </row>
    <row r="34">
      <c r="A34" s="4" t="n">
        <v>30</v>
      </c>
      <c r="B34" s="5" t="inlineStr">
        <is>
          <t>IFS</t>
        </is>
      </c>
      <c r="C34" s="4" t="inlineStr">
        <is>
          <t>2. Logika &amp; Keputusan</t>
        </is>
      </c>
      <c r="D34" s="6">
        <f>IFS(syarat1, hasil1, syarat2, hasil2, ...)</f>
        <v/>
      </c>
      <c r="E34" s="4" t="inlineStr">
        <is>
          <t>Menguji banyak syarat bertingkat tanpa perlu membuat IF bertumpuk-tumpuk (Misal: &gt;=90 'A', &gt;=80 'B', &gt;=70 'C').</t>
        </is>
      </c>
      <c r="F34" s="7" t="inlineStr">
        <is>
          <t>👉 Buka Sheet IFS</t>
        </is>
      </c>
    </row>
    <row r="35">
      <c r="A35" s="4" t="n">
        <v>31</v>
      </c>
      <c r="B35" s="5" t="inlineStr">
        <is>
          <t>AND</t>
        </is>
      </c>
      <c r="C35" s="4" t="inlineStr">
        <is>
          <t>2. Logika &amp; Keputusan</t>
        </is>
      </c>
      <c r="D35" s="6">
        <f>AND(logika1, logika2, ...)</f>
        <v/>
      </c>
      <c r="E35" s="4" t="inlineStr">
        <is>
          <t>Menghasilkan TRUE (Benar) HANYA JIKA SEMUA syarat terpenuhi sekaligus. Kalau ada satu saja yang gagal, hasilnya FALSE.</t>
        </is>
      </c>
      <c r="F35" s="7" t="inlineStr">
        <is>
          <t>👉 Buka Sheet AND</t>
        </is>
      </c>
    </row>
    <row r="36">
      <c r="A36" s="4" t="n">
        <v>32</v>
      </c>
      <c r="B36" s="5" t="inlineStr">
        <is>
          <t>OR</t>
        </is>
      </c>
      <c r="C36" s="4" t="inlineStr">
        <is>
          <t>2. Logika &amp; Keputusan</t>
        </is>
      </c>
      <c r="D36" s="6">
        <f>OR(logika1, logika2, ...)</f>
        <v/>
      </c>
      <c r="E36" s="4" t="inlineStr">
        <is>
          <t>Menghasilkan TRUE (Benar) jika SALAH SATU syarat saja sudah terpenuhi. Lebih fleksibel daripada AND.</t>
        </is>
      </c>
      <c r="F36" s="7" t="inlineStr">
        <is>
          <t>👉 Buka Sheet OR</t>
        </is>
      </c>
    </row>
    <row r="37">
      <c r="A37" s="4" t="n">
        <v>33</v>
      </c>
      <c r="B37" s="5" t="inlineStr">
        <is>
          <t>NOT</t>
        </is>
      </c>
      <c r="C37" s="4" t="inlineStr">
        <is>
          <t>2. Logika &amp; Keputusan</t>
        </is>
      </c>
      <c r="D37" s="6">
        <f>NOT(logika)</f>
        <v/>
      </c>
      <c r="E37" s="4" t="inlineStr">
        <is>
          <t>Membalikkan keadaan logika: yang TRUE dibalik jadi FALSE, yang FALSE dibalik jadi TRUE.</t>
        </is>
      </c>
      <c r="F37" s="7" t="inlineStr">
        <is>
          <t>👉 Buka Sheet NOT</t>
        </is>
      </c>
    </row>
    <row r="38">
      <c r="A38" s="4" t="n">
        <v>34</v>
      </c>
      <c r="B38" s="5" t="inlineStr">
        <is>
          <t>XOR</t>
        </is>
      </c>
      <c r="C38" s="4" t="inlineStr">
        <is>
          <t>2. Logika &amp; Keputusan</t>
        </is>
      </c>
      <c r="D38" s="6">
        <f>XOR(logika1, logika2)</f>
        <v/>
      </c>
      <c r="E38" s="4" t="inlineStr">
        <is>
          <t>Logika Eksklusif OR: menghasilkan TRUE jika tepat salah satu syarat benar, tapi FALSE jika keduanya sama-sama benar atau sama-sama salah.</t>
        </is>
      </c>
      <c r="F38" s="7" t="inlineStr">
        <is>
          <t>👉 Buka Sheet XOR</t>
        </is>
      </c>
    </row>
    <row r="39">
      <c r="A39" s="4" t="n">
        <v>35</v>
      </c>
      <c r="B39" s="5" t="inlineStr">
        <is>
          <t>IFERROR</t>
        </is>
      </c>
      <c r="C39" s="4" t="inlineStr">
        <is>
          <t>2. Logika &amp; Keputusan</t>
        </is>
      </c>
      <c r="D39" s="6">
        <f>IFERROR(rumus_utama, nilai_jika_error)</f>
        <v/>
      </c>
      <c r="E39" s="4" t="inlineStr">
        <is>
          <t>Sabuk pengaman rumus: jika rumus utama menghasilkan pesan error (#N/A, #DIV/0!), otomatis diganti dengan teks rapi seperti 'Data Tidak Ditemukan' atau angka 0.</t>
        </is>
      </c>
      <c r="F39" s="7" t="inlineStr">
        <is>
          <t>👉 Buka Sheet IFERROR</t>
        </is>
      </c>
    </row>
    <row r="40">
      <c r="A40" s="4" t="n">
        <v>36</v>
      </c>
      <c r="B40" s="5" t="inlineStr">
        <is>
          <t>IFNA</t>
        </is>
      </c>
      <c r="C40" s="4" t="inlineStr">
        <is>
          <t>2. Logika &amp; Keputusan</t>
        </is>
      </c>
      <c r="D40" s="6">
        <f>IFNA(nilai, nilai_jika_na)</f>
        <v/>
      </c>
      <c r="E40" s="4" t="inlineStr">
        <is>
          <t>Khusus menangkap error #N/A pada rumus pencarian VLOOKUP/MATCH agar tampil sopan jika kode barang tidak ditemukan.</t>
        </is>
      </c>
      <c r="F40" s="7" t="inlineStr">
        <is>
          <t>👉 Buka Sheet IFNA</t>
        </is>
      </c>
    </row>
    <row r="41">
      <c r="A41" s="4" t="n">
        <v>37</v>
      </c>
      <c r="B41" s="5" t="inlineStr">
        <is>
          <t>TRUE</t>
        </is>
      </c>
      <c r="C41" s="4" t="inlineStr">
        <is>
          <t>2. Logika &amp; Keputusan</t>
        </is>
      </c>
      <c r="D41" s="6">
        <f>TRUE()</f>
        <v/>
      </c>
      <c r="E41" s="4" t="inlineStr">
        <is>
          <t>Menghasilkan nilai logika benar (TRUE) untuk pengujian kondisi.</t>
        </is>
      </c>
      <c r="F41" s="7" t="inlineStr">
        <is>
          <t>👉 Buka Sheet TRUE</t>
        </is>
      </c>
    </row>
    <row r="42">
      <c r="A42" s="4" t="n">
        <v>38</v>
      </c>
      <c r="B42" s="5" t="inlineStr">
        <is>
          <t>FALSE</t>
        </is>
      </c>
      <c r="C42" s="4" t="inlineStr">
        <is>
          <t>2. Logika &amp; Keputusan</t>
        </is>
      </c>
      <c r="D42" s="6">
        <f>FALSE()</f>
        <v/>
      </c>
      <c r="E42" s="4" t="inlineStr">
        <is>
          <t>Menghasilkan nilai logika salah (FALSE) untuk pengujian kondisi.</t>
        </is>
      </c>
      <c r="F42" s="7" t="inlineStr">
        <is>
          <t>👉 Buka Sheet FALSE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#001 — RUMUS EXCEL: SUM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(SUM)</t>
        </is>
      </c>
    </row>
    <row r="5" ht="21" customHeight="1">
      <c r="B5" s="12" t="inlineStr">
        <is>
          <t>Nama Rumus Excel</t>
        </is>
      </c>
      <c r="C5" s="13">
        <f>SUM(...)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SUM(angka1, [angka2],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Menjumlahkan seluruh angka di dalam blok sel sekaligus. Bayangkan punya 5 celengan, SUM langsung menghitung total uang di semua celengan itu dalam 1 detik!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SUM pada rentang sel C11:C14 untuk menghitung nilai SUM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'=SUM(C11:C14)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SUM(C11:C14)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SUM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SUM pada rentang sel C20:C23 untuk menghitung nilai SUM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SUM(C20:C23)</f>
        <v/>
      </c>
      <c r="H21" s="29" t="inlineStr">
        <is>
          <t>Ketik: =SUM(C20:C23)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SUM pada rentang sel C28:C31 untuk menghitung nilai SUM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SUM(C28:C31)</f>
        <v/>
      </c>
      <c r="H29" s="29" t="inlineStr">
        <is>
          <t>Ketik: =SUM(C28:C31)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SUM pada rentang sel C36:C39 untuk menghitung nilai SUM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SUM(C36:C39)</f>
        <v/>
      </c>
      <c r="H37" s="29" t="inlineStr">
        <is>
          <t>Ketik: =SUM(C36:C39)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SUM pada rentang sel C44:C47 untuk menghitung nilai SUM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SUM(C44:C47)</f>
        <v/>
      </c>
      <c r="H45" s="29" t="inlineStr">
        <is>
          <t>Ketik: =SUM(C44:C47)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SUM pada rentang sel C52:C55 untuk menghitung nilai SUM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SUM(C52:C55)</f>
        <v/>
      </c>
      <c r="H53" s="29" t="inlineStr">
        <is>
          <t>Ketik: =SUM(C52:C55)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#002 — RUMUS EXCEL: SUMIF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(SUMIF)</t>
        </is>
      </c>
    </row>
    <row r="5" ht="21" customHeight="1">
      <c r="B5" s="12" t="inlineStr">
        <is>
          <t>Nama Rumus Excel</t>
        </is>
      </c>
      <c r="C5" s="13">
        <f>SUMIF(...)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SUMIF(range_syarat, syarat, [range_jumlah])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Menjumlahkan angka TAPI pilih-pilih sesuai 1 syarat. Contoh: Hanya jumlahkan omzet dari cabang 'Jakarta' saja, cabang lain abaikan!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SUMIF)</t>
        </is>
      </c>
    </row>
    <row r="10">
      <c r="B10" s="16" t="inlineStr">
        <is>
          <t>Kategori Lokasi</t>
        </is>
      </c>
      <c r="C10" s="16" t="inlineStr">
        <is>
          <t>Nilai Transaksi</t>
        </is>
      </c>
      <c r="E10" s="17" t="inlineStr">
        <is>
          <t>💡 CONTOH RUMUS YANG SUDAH TERPASANG AKTIF:</t>
        </is>
      </c>
    </row>
    <row r="11">
      <c r="B11" s="18" t="inlineStr">
        <is>
          <t>Pusat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SUMIF untuk menghitung khusus kategori "Pusat" saja (Kolom syarat: B11:B14, Kolom nilai: C11:C14)!</t>
        </is>
      </c>
    </row>
    <row r="12">
      <c r="B12" s="18" t="inlineStr">
        <is>
          <t>Cabang</t>
        </is>
      </c>
      <c r="C12" s="18" t="n">
        <v>1850000</v>
      </c>
      <c r="E12" s="19" t="inlineStr">
        <is>
          <t>Rumus yang Diketik:</t>
        </is>
      </c>
      <c r="F12" s="21" t="inlineStr">
        <is>
          <t>'=SUMIF(B11:B14, "Pusat", C11:C14)</t>
        </is>
      </c>
    </row>
    <row r="13">
      <c r="B13" s="18" t="inlineStr">
        <is>
          <t>Pusat</t>
        </is>
      </c>
      <c r="C13" s="18" t="n">
        <v>2100000</v>
      </c>
      <c r="E13" s="19" t="inlineStr">
        <is>
          <t>Hasil Otomatis Excel:</t>
        </is>
      </c>
      <c r="F13" s="22">
        <f>SUMIF(B11:B14, "Pusat", C11:C14)</f>
        <v/>
      </c>
    </row>
    <row r="14">
      <c r="B14" s="18" t="inlineStr">
        <is>
          <t>Cabang</t>
        </is>
      </c>
      <c r="C14" s="18" t="n">
        <v>1600000</v>
      </c>
    </row>
    <row r="16" ht="26" customHeight="1">
      <c r="B16" s="23" t="inlineStr">
        <is>
          <t>3️⃣ 5 PERSOALAN DUNIA NYATA (KETIK RUMUS SUMIF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Kategori Lokasi</t>
        </is>
      </c>
      <c r="C19" s="12" t="inlineStr">
        <is>
          <t>Nilai Transaksi</t>
        </is>
      </c>
      <c r="E19" s="25" t="inlineStr">
        <is>
          <t>Persoalan #1: Gunakan rumus SUMIF untuk menghitung khusus kategori "Pusat" saja (Kolom syarat: B20:B23, Kolom nilai: C20:C23)!</t>
        </is>
      </c>
    </row>
    <row r="20">
      <c r="B20" s="18" t="inlineStr">
        <is>
          <t>Pusat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SUMIF(B20:B23, "Pusat", C20:C23)</f>
        <v/>
      </c>
      <c r="H21" s="29" t="inlineStr">
        <is>
          <t>Ketik: =SUMIF(B20:B23, "Pusat", C20:C23)</t>
        </is>
      </c>
    </row>
    <row r="22">
      <c r="B22" s="18" t="inlineStr">
        <is>
          <t>Pusat</t>
        </is>
      </c>
      <c r="C22" s="18" t="n">
        <v>2100000</v>
      </c>
    </row>
    <row r="23">
      <c r="B23" s="18" t="inlineStr">
        <is>
          <t>Cabang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Kategori Lokasi</t>
        </is>
      </c>
      <c r="C27" s="12" t="inlineStr">
        <is>
          <t>Nilai Transaksi</t>
        </is>
      </c>
      <c r="E27" s="25" t="inlineStr">
        <is>
          <t>Persoalan #2: Gunakan rumus SUMIF untuk menghitung khusus kategori "Pusat" saja (Kolom syarat: B28:B31, Kolom nilai: C28:C31)!</t>
        </is>
      </c>
    </row>
    <row r="28">
      <c r="B28" s="18" t="inlineStr">
        <is>
          <t>Pusat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Cabang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SUMIF(B28:B31, "Pusat", C28:C31)</f>
        <v/>
      </c>
      <c r="H29" s="29" t="inlineStr">
        <is>
          <t>Ketik: =SUMIF(B28:B31, "Pusat", C28:C31)</t>
        </is>
      </c>
    </row>
    <row r="30">
      <c r="B30" s="18" t="inlineStr">
        <is>
          <t>Pusat</t>
        </is>
      </c>
      <c r="C30" s="18" t="n">
        <v>4800000</v>
      </c>
    </row>
    <row r="31">
      <c r="B31" s="18" t="inlineStr">
        <is>
          <t>Cabang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Kategori Lokasi</t>
        </is>
      </c>
      <c r="C35" s="12" t="inlineStr">
        <is>
          <t>Nilai Transaksi</t>
        </is>
      </c>
      <c r="E35" s="25" t="inlineStr">
        <is>
          <t>Persoalan #3: Gunakan rumus SUMIF untuk menghitung khusus kategori "Pusat" saja (Kolom syarat: B36:B39, Kolom nilai: C36:C39)!</t>
        </is>
      </c>
    </row>
    <row r="36">
      <c r="B36" s="18" t="inlineStr">
        <is>
          <t>Pusat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Cabang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SUMIF(B36:B39, "Pusat", C36:C39)</f>
        <v/>
      </c>
      <c r="H37" s="29" t="inlineStr">
        <is>
          <t>Ketik: =SUMIF(B36:B39, "Pusat", C36:C39)</t>
        </is>
      </c>
    </row>
    <row r="38">
      <c r="B38" s="18" t="inlineStr">
        <is>
          <t>Pusat</t>
        </is>
      </c>
      <c r="C38" s="18" t="n">
        <v>195</v>
      </c>
    </row>
    <row r="39">
      <c r="B39" s="18" t="inlineStr">
        <is>
          <t>Cabang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Kategori Lokasi</t>
        </is>
      </c>
      <c r="C43" s="12" t="inlineStr">
        <is>
          <t>Nilai Transaksi</t>
        </is>
      </c>
      <c r="E43" s="25" t="inlineStr">
        <is>
          <t>Persoalan #4: Gunakan rumus SUMIF untuk menghitung khusus kategori "Pusat" saja (Kolom syarat: B44:B47, Kolom nilai: C44:C47)!</t>
        </is>
      </c>
    </row>
    <row r="44">
      <c r="B44" s="18" t="inlineStr">
        <is>
          <t>Pusat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Cabang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SUMIF(B44:B47, "Pusat", C44:C47)</f>
        <v/>
      </c>
      <c r="H45" s="29" t="inlineStr">
        <is>
          <t>Ketik: =SUMIF(B44:B47, "Pusat", C44:C47)</t>
        </is>
      </c>
    </row>
    <row r="46">
      <c r="B46" s="18" t="inlineStr">
        <is>
          <t>Pusat</t>
        </is>
      </c>
      <c r="C46" s="18" t="n">
        <v>78</v>
      </c>
    </row>
    <row r="47">
      <c r="B47" s="18" t="inlineStr">
        <is>
          <t>Cabang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Kategori Lokasi</t>
        </is>
      </c>
      <c r="C51" s="12" t="inlineStr">
        <is>
          <t>Nilai Transaksi</t>
        </is>
      </c>
      <c r="E51" s="25" t="inlineStr">
        <is>
          <t>Persoalan #5: Gunakan rumus SUMIF untuk menghitung khusus kategori "Pusat" saja (Kolom syarat: B52:B55, Kolom nilai: C52:C55)!</t>
        </is>
      </c>
    </row>
    <row r="52">
      <c r="B52" s="18" t="inlineStr">
        <is>
          <t>Pusat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Cabang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SUMIF(B52:B55, "Pusat", C52:C55)</f>
        <v/>
      </c>
      <c r="H53" s="29" t="inlineStr">
        <is>
          <t>Ketik: =SUMIF(B52:B55, "Pusat", C52:C55)</t>
        </is>
      </c>
    </row>
    <row r="54">
      <c r="B54" s="18" t="inlineStr">
        <is>
          <t>Pusat</t>
        </is>
      </c>
      <c r="C54" s="18" t="n">
        <v>91</v>
      </c>
    </row>
    <row r="55">
      <c r="B55" s="18" t="inlineStr">
        <is>
          <t>Cabang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#003 — RUMUS EXCEL: SUMIFS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(SUMIFS)</t>
        </is>
      </c>
    </row>
    <row r="5" ht="21" customHeight="1">
      <c r="B5" s="12" t="inlineStr">
        <is>
          <t>Nama Rumus Excel</t>
        </is>
      </c>
      <c r="C5" s="13">
        <f>SUMIFS(...)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SUMIFS(range_jumlah, range_syarat1, syarat1, range_syarat2, syarat2)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Menjumlahkan angka dengan BANYAK syarat sekaligus. Contoh: Jumlahkan penjualan khusus barang 'Laptop' DAN khusus cabang 'Surabaya'!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SUMIFS)</t>
        </is>
      </c>
    </row>
    <row r="10">
      <c r="B10" s="16" t="inlineStr">
        <is>
          <t>Status Unit</t>
        </is>
      </c>
      <c r="C10" s="16" t="inlineStr">
        <is>
          <t>Nilai Realisasi</t>
        </is>
      </c>
      <c r="E10" s="17" t="inlineStr">
        <is>
          <t>💡 CONTOH RUMUS YANG SUDAH TERPASANG AKTIF:</t>
        </is>
      </c>
    </row>
    <row r="11">
      <c r="B11" s="18" t="inlineStr">
        <is>
          <t>Aktif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SUMIFS untuk mengolah nilai di C11:C14 yang berstatus "Aktif" pada kolom B11:B14!</t>
        </is>
      </c>
    </row>
    <row r="12">
      <c r="B12" s="18" t="inlineStr">
        <is>
          <t>Aktif</t>
        </is>
      </c>
      <c r="C12" s="18" t="n">
        <v>1850000</v>
      </c>
      <c r="E12" s="19" t="inlineStr">
        <is>
          <t>Rumus yang Diketik:</t>
        </is>
      </c>
      <c r="F12" s="21" t="inlineStr">
        <is>
          <t>'=SUMIFS(C11:C14, B11:B14, "Aktif")</t>
        </is>
      </c>
    </row>
    <row r="13">
      <c r="B13" s="18" t="inlineStr">
        <is>
          <t>Nonaktif</t>
        </is>
      </c>
      <c r="C13" s="18" t="n">
        <v>2100000</v>
      </c>
      <c r="E13" s="19" t="inlineStr">
        <is>
          <t>Hasil Otomatis Excel:</t>
        </is>
      </c>
      <c r="F13" s="22">
        <f>SUMIFS(C11:C14, B11:B14, "Aktif")</f>
        <v/>
      </c>
    </row>
    <row r="14">
      <c r="B14" s="18" t="inlineStr">
        <is>
          <t>Aktif</t>
        </is>
      </c>
      <c r="C14" s="18" t="n">
        <v>1600000</v>
      </c>
    </row>
    <row r="16" ht="26" customHeight="1">
      <c r="B16" s="23" t="inlineStr">
        <is>
          <t>3️⃣ 5 PERSOALAN DUNIA NYATA (KETIK RUMUS SUMIFS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Status Unit</t>
        </is>
      </c>
      <c r="C19" s="12" t="inlineStr">
        <is>
          <t>Nilai Realisasi</t>
        </is>
      </c>
      <c r="E19" s="25" t="inlineStr">
        <is>
          <t>Persoalan #1: Gunakan rumus SUMIFS untuk mengolah nilai di C20:C23 yang berstatus "Aktif" pada kolom B20:B23!</t>
        </is>
      </c>
    </row>
    <row r="20">
      <c r="B20" s="18" t="inlineStr">
        <is>
          <t>Aktif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Aktif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SUMIFS(C20:C23, B20:B23, "Aktif")</f>
        <v/>
      </c>
      <c r="H21" s="29" t="inlineStr">
        <is>
          <t>Ketik: =SUMIFS(C20:C23, B20:B23, "Aktif")</t>
        </is>
      </c>
    </row>
    <row r="22">
      <c r="B22" s="18" t="inlineStr">
        <is>
          <t>Nonaktif</t>
        </is>
      </c>
      <c r="C22" s="18" t="n">
        <v>2100000</v>
      </c>
    </row>
    <row r="23">
      <c r="B23" s="18" t="inlineStr">
        <is>
          <t>Aktif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Status Unit</t>
        </is>
      </c>
      <c r="C27" s="12" t="inlineStr">
        <is>
          <t>Nilai Realisasi</t>
        </is>
      </c>
      <c r="E27" s="25" t="inlineStr">
        <is>
          <t>Persoalan #2: Gunakan rumus SUMIFS untuk mengolah nilai di C28:C31 yang berstatus "Aktif" pada kolom B28:B31!</t>
        </is>
      </c>
    </row>
    <row r="28">
      <c r="B28" s="18" t="inlineStr">
        <is>
          <t>Aktif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Aktif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SUMIFS(C28:C31, B28:B31, "Aktif")</f>
        <v/>
      </c>
      <c r="H29" s="29" t="inlineStr">
        <is>
          <t>Ketik: =SUMIFS(C28:C31, B28:B31, "Aktif")</t>
        </is>
      </c>
    </row>
    <row r="30">
      <c r="B30" s="18" t="inlineStr">
        <is>
          <t>Nonaktif</t>
        </is>
      </c>
      <c r="C30" s="18" t="n">
        <v>4800000</v>
      </c>
    </row>
    <row r="31">
      <c r="B31" s="18" t="inlineStr">
        <is>
          <t>Aktif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Status Unit</t>
        </is>
      </c>
      <c r="C35" s="12" t="inlineStr">
        <is>
          <t>Nilai Realisasi</t>
        </is>
      </c>
      <c r="E35" s="25" t="inlineStr">
        <is>
          <t>Persoalan #3: Gunakan rumus SUMIFS untuk mengolah nilai di C36:C39 yang berstatus "Aktif" pada kolom B36:B39!</t>
        </is>
      </c>
    </row>
    <row r="36">
      <c r="B36" s="18" t="inlineStr">
        <is>
          <t>Aktif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Aktif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SUMIFS(C36:C39, B36:B39, "Aktif")</f>
        <v/>
      </c>
      <c r="H37" s="29" t="inlineStr">
        <is>
          <t>Ketik: =SUMIFS(C36:C39, B36:B39, "Aktif")</t>
        </is>
      </c>
    </row>
    <row r="38">
      <c r="B38" s="18" t="inlineStr">
        <is>
          <t>Nonaktif</t>
        </is>
      </c>
      <c r="C38" s="18" t="n">
        <v>195</v>
      </c>
    </row>
    <row r="39">
      <c r="B39" s="18" t="inlineStr">
        <is>
          <t>Aktif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Status Unit</t>
        </is>
      </c>
      <c r="C43" s="12" t="inlineStr">
        <is>
          <t>Nilai Realisasi</t>
        </is>
      </c>
      <c r="E43" s="25" t="inlineStr">
        <is>
          <t>Persoalan #4: Gunakan rumus SUMIFS untuk mengolah nilai di C44:C47 yang berstatus "Aktif" pada kolom B44:B47!</t>
        </is>
      </c>
    </row>
    <row r="44">
      <c r="B44" s="18" t="inlineStr">
        <is>
          <t>Aktif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Aktif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SUMIFS(C44:C47, B44:B47, "Aktif")</f>
        <v/>
      </c>
      <c r="H45" s="29" t="inlineStr">
        <is>
          <t>Ketik: =SUMIFS(C44:C47, B44:B47, "Aktif")</t>
        </is>
      </c>
    </row>
    <row r="46">
      <c r="B46" s="18" t="inlineStr">
        <is>
          <t>Nonaktif</t>
        </is>
      </c>
      <c r="C46" s="18" t="n">
        <v>78</v>
      </c>
    </row>
    <row r="47">
      <c r="B47" s="18" t="inlineStr">
        <is>
          <t>Aktif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Status Unit</t>
        </is>
      </c>
      <c r="C51" s="12" t="inlineStr">
        <is>
          <t>Nilai Realisasi</t>
        </is>
      </c>
      <c r="E51" s="25" t="inlineStr">
        <is>
          <t>Persoalan #5: Gunakan rumus SUMIFS untuk mengolah nilai di C52:C55 yang berstatus "Aktif" pada kolom B52:B55!</t>
        </is>
      </c>
    </row>
    <row r="52">
      <c r="B52" s="18" t="inlineStr">
        <is>
          <t>Aktif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Aktif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SUMIFS(C52:C55, B52:B55, "Aktif")</f>
        <v/>
      </c>
      <c r="H53" s="29" t="inlineStr">
        <is>
          <t>Ketik: =SUMIFS(C52:C55, B52:B55, "Aktif")</t>
        </is>
      </c>
    </row>
    <row r="54">
      <c r="B54" s="18" t="inlineStr">
        <is>
          <t>Nonaktif</t>
        </is>
      </c>
      <c r="C54" s="18" t="n">
        <v>91</v>
      </c>
    </row>
    <row r="55">
      <c r="B55" s="18" t="inlineStr">
        <is>
          <t>Aktif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#004 — RUMUS EXCEL: PRODUCT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(PRODUCT)</t>
        </is>
      </c>
    </row>
    <row r="5" ht="21" customHeight="1">
      <c r="B5" s="12" t="inlineStr">
        <is>
          <t>Nama Rumus Excel</t>
        </is>
      </c>
      <c r="C5" s="13">
        <f>PRODUCT(...)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PRODUCT(angka1, [angka2],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Mengalikan semua angka di dalam rentang sel. Cocok untuk menghitung perkalian beruntun seperti Harga × Jumlah × Faktor Diskon.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PRODUCT)</t>
        </is>
      </c>
    </row>
    <row r="10">
      <c r="B10" s="16" t="inlineStr">
        <is>
          <t>Nama Unit / Kategori</t>
        </is>
      </c>
      <c r="C10" s="16" t="inlineStr">
        <is>
          <t>Nilai Data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Gunakan rumus PRODUCT pada rentang sel C11:C14 untuk menghitung nilai PRODUCT dari ke-4 data di samping!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'=PRODUCT(C11:C14)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PRODUCT(C11:C14)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PRODUCT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Unit / Kategori</t>
        </is>
      </c>
      <c r="C19" s="12" t="inlineStr">
        <is>
          <t>Nilai Data</t>
        </is>
      </c>
      <c r="E19" s="25" t="inlineStr">
        <is>
          <t>Persoalan #1: Gunakan rumus PRODUCT pada rentang sel C20:C23 untuk menghitung nilai PRODUCT dari ke-4 data di samping!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PRODUCT(C20:C23)</f>
        <v/>
      </c>
      <c r="H21" s="29" t="inlineStr">
        <is>
          <t>Ketik: =PRODUCT(C20:C23)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Unit / Kategori</t>
        </is>
      </c>
      <c r="C27" s="12" t="inlineStr">
        <is>
          <t>Nilai Data</t>
        </is>
      </c>
      <c r="E27" s="25" t="inlineStr">
        <is>
          <t>Persoalan #2: Gunakan rumus PRODUCT pada rentang sel C28:C31 untuk menghitung nilai PRODUCT dari ke-4 data di samping!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PRODUCT(C28:C31)</f>
        <v/>
      </c>
      <c r="H29" s="29" t="inlineStr">
        <is>
          <t>Ketik: =PRODUCT(C28:C31)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Unit / Kategori</t>
        </is>
      </c>
      <c r="C35" s="12" t="inlineStr">
        <is>
          <t>Nilai Data</t>
        </is>
      </c>
      <c r="E35" s="25" t="inlineStr">
        <is>
          <t>Persoalan #3: Gunakan rumus PRODUCT pada rentang sel C36:C39 untuk menghitung nilai PRODUCT dari ke-4 data di samping!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PRODUCT(C36:C39)</f>
        <v/>
      </c>
      <c r="H37" s="29" t="inlineStr">
        <is>
          <t>Ketik: =PRODUCT(C36:C39)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Unit / Kategori</t>
        </is>
      </c>
      <c r="C43" s="12" t="inlineStr">
        <is>
          <t>Nilai Data</t>
        </is>
      </c>
      <c r="E43" s="25" t="inlineStr">
        <is>
          <t>Persoalan #4: Gunakan rumus PRODUCT pada rentang sel C44:C47 untuk menghitung nilai PRODUCT dari ke-4 data di samping!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PRODUCT(C44:C47)</f>
        <v/>
      </c>
      <c r="H45" s="29" t="inlineStr">
        <is>
          <t>Ketik: =PRODUCT(C44:C47)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Unit / Kategori</t>
        </is>
      </c>
      <c r="C51" s="12" t="inlineStr">
        <is>
          <t>Nilai Data</t>
        </is>
      </c>
      <c r="E51" s="25" t="inlineStr">
        <is>
          <t>Persoalan #5: Gunakan rumus PRODUCT pada rentang sel C52:C55 untuk menghitung nilai PRODUCT dari ke-4 data di samping!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PRODUCT(C52:C55)</f>
        <v/>
      </c>
      <c r="H53" s="29" t="inlineStr">
        <is>
          <t>Ketik: =PRODUCT(C52:C55)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#005 — RUMUS EXCEL: SUMPRODUCT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(SUMPRODUCT)</t>
        </is>
      </c>
    </row>
    <row r="5" ht="21" customHeight="1">
      <c r="B5" s="12" t="inlineStr">
        <is>
          <t>Nama Rumus Excel</t>
        </is>
      </c>
      <c r="C5" s="13">
        <f>SUMPRODUCT(...)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SUMPRODUCT(array1, [array2],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Mengalikan dua kolom sejajar (misal Harga × Qty tiap baris) lalu langsung menjumlahkan total akhirnya tanpa perlu kolom bantuan!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SUMPRODUCT)</t>
        </is>
      </c>
    </row>
    <row r="10">
      <c r="B10" s="16" t="inlineStr">
        <is>
          <t>Qty Barang</t>
        </is>
      </c>
      <c r="C10" s="16" t="inlineStr">
        <is>
          <t>Harga Satuan</t>
        </is>
      </c>
      <c r="E10" s="17" t="inlineStr">
        <is>
          <t>💡 CONTOH RUMUS YANG SUDAH TERPASANG AKTIF:</t>
        </is>
      </c>
    </row>
    <row r="11">
      <c r="B11" s="18" t="n">
        <v>10</v>
      </c>
      <c r="C11" s="18" t="n">
        <v>15</v>
      </c>
      <c r="E11" s="19" t="inlineStr">
        <is>
          <t>Kasus Contoh:</t>
        </is>
      </c>
      <c r="F11" s="20" t="inlineStr">
        <is>
          <t>Kalikan Jumlah Barang (B11:B14) dengan Harga Satuan (C11:C14) lalu jumlahkan sekaligus memakai SUMPRODUCT!</t>
        </is>
      </c>
    </row>
    <row r="12">
      <c r="B12" s="18" t="n">
        <v>20</v>
      </c>
      <c r="C12" s="18" t="n">
        <v>28</v>
      </c>
      <c r="E12" s="19" t="inlineStr">
        <is>
          <t>Rumus yang Diketik:</t>
        </is>
      </c>
      <c r="F12" s="21" t="inlineStr">
        <is>
          <t>'=SUMPRODUCT(B11:B14, C11:C14)</t>
        </is>
      </c>
    </row>
    <row r="13">
      <c r="B13" s="18" t="n">
        <v>30</v>
      </c>
      <c r="C13" s="18" t="n">
        <v>42</v>
      </c>
      <c r="E13" s="19" t="inlineStr">
        <is>
          <t>Hasil Otomatis Excel:</t>
        </is>
      </c>
      <c r="F13" s="22">
        <f>SUMPRODUCT(B11:B14, C11:C14)</f>
        <v/>
      </c>
    </row>
    <row r="14">
      <c r="B14" s="18" t="n">
        <v>40</v>
      </c>
      <c r="C14" s="18" t="n">
        <v>55</v>
      </c>
    </row>
    <row r="16" ht="26" customHeight="1">
      <c r="B16" s="23" t="inlineStr">
        <is>
          <t>3️⃣ 5 PERSOALAN DUNIA NYATA (KETIK RUMUS SUMPRODUCT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Qty Barang</t>
        </is>
      </c>
      <c r="C19" s="12" t="inlineStr">
        <is>
          <t>Harga Satuan</t>
        </is>
      </c>
      <c r="E19" s="25" t="inlineStr">
        <is>
          <t>Persoalan #1: Kalikan Jumlah Barang (B20:B23) dengan Harga Satuan (C20:C23) lalu jumlahkan sekaligus memakai SUMPRODUCT!</t>
        </is>
      </c>
    </row>
    <row r="20">
      <c r="B20" s="18" t="n">
        <v>10</v>
      </c>
      <c r="C20" s="18" t="n">
        <v>15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20</v>
      </c>
      <c r="C21" s="18" t="n">
        <v>28</v>
      </c>
      <c r="E21" s="26" t="n"/>
      <c r="F21" s="27">
        <f>IF(ISBLANK(E21), "⏳ Ketik rumus di sel kuning E21", IF(E21=G21, "✅ BENAR! LUAR BIASA!", "❌ Belum Tepat, Cek Kunci"))</f>
        <v/>
      </c>
      <c r="G21" s="28">
        <f>SUMPRODUCT(B20:B23, C20:C23)</f>
        <v/>
      </c>
      <c r="H21" s="29" t="inlineStr">
        <is>
          <t>Ketik: =SUMPRODUCT(B20:B23, C20:C23)</t>
        </is>
      </c>
    </row>
    <row r="22">
      <c r="B22" s="18" t="n">
        <v>30</v>
      </c>
      <c r="C22" s="18" t="n">
        <v>42</v>
      </c>
    </row>
    <row r="23">
      <c r="B23" s="18" t="n">
        <v>40</v>
      </c>
      <c r="C23" s="18" t="n">
        <v>55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Qty Barang</t>
        </is>
      </c>
      <c r="C27" s="12" t="inlineStr">
        <is>
          <t>Harga Satuan</t>
        </is>
      </c>
      <c r="E27" s="25" t="inlineStr">
        <is>
          <t>Persoalan #2: Kalikan Jumlah Barang (B28:B31) dengan Harga Satuan (C28:C31) lalu jumlahkan sekaligus memakai SUMPRODUCT!</t>
        </is>
      </c>
    </row>
    <row r="28">
      <c r="B28" s="18" t="n">
        <v>20</v>
      </c>
      <c r="C28" s="18" t="n">
        <v>30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40</v>
      </c>
      <c r="C29" s="18" t="n">
        <v>56</v>
      </c>
      <c r="E29" s="26" t="n"/>
      <c r="F29" s="27">
        <f>IF(ISBLANK(E29), "⏳ Ketik rumus di sel kuning E29", IF(E29=G29, "✅ BENAR! LUAR BIASA!", "❌ Belum Tepat, Cek Kunci"))</f>
        <v/>
      </c>
      <c r="G29" s="28">
        <f>SUMPRODUCT(B28:B31, C28:C31)</f>
        <v/>
      </c>
      <c r="H29" s="29" t="inlineStr">
        <is>
          <t>Ketik: =SUMPRODUCT(B28:B31, C28:C31)</t>
        </is>
      </c>
    </row>
    <row r="30">
      <c r="B30" s="18" t="n">
        <v>60</v>
      </c>
      <c r="C30" s="18" t="n">
        <v>84</v>
      </c>
    </row>
    <row r="31">
      <c r="B31" s="18" t="n">
        <v>80</v>
      </c>
      <c r="C31" s="18" t="n">
        <v>110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Qty Barang</t>
        </is>
      </c>
      <c r="C35" s="12" t="inlineStr">
        <is>
          <t>Harga Satuan</t>
        </is>
      </c>
      <c r="E35" s="25" t="inlineStr">
        <is>
          <t>Persoalan #3: Kalikan Jumlah Barang (B36:B39) dengan Harga Satuan (C36:C39) lalu jumlahkan sekaligus memakai SUMPRODUCT!</t>
        </is>
      </c>
    </row>
    <row r="36">
      <c r="B36" s="18" t="n">
        <v>30</v>
      </c>
      <c r="C36" s="18" t="n">
        <v>45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60</v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SUMPRODUCT(B36:B39, C36:C39)</f>
        <v/>
      </c>
      <c r="H37" s="29" t="inlineStr">
        <is>
          <t>Ketik: =SUMPRODUCT(B36:B39, C36:C39)</t>
        </is>
      </c>
    </row>
    <row r="38">
      <c r="B38" s="18" t="n">
        <v>90</v>
      </c>
      <c r="C38" s="18" t="n">
        <v>126</v>
      </c>
    </row>
    <row r="39">
      <c r="B39" s="18" t="n">
        <v>120</v>
      </c>
      <c r="C39" s="18" t="n">
        <v>165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Qty Barang</t>
        </is>
      </c>
      <c r="C43" s="12" t="inlineStr">
        <is>
          <t>Harga Satuan</t>
        </is>
      </c>
      <c r="E43" s="25" t="inlineStr">
        <is>
          <t>Persoalan #4: Kalikan Jumlah Barang (B44:B47) dengan Harga Satuan (C44:C47) lalu jumlahkan sekaligus memakai SUMPRODUCT!</t>
        </is>
      </c>
    </row>
    <row r="44">
      <c r="B44" s="18" t="n">
        <v>40</v>
      </c>
      <c r="C44" s="18" t="n">
        <v>60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112</v>
      </c>
      <c r="E45" s="26" t="n"/>
      <c r="F45" s="27">
        <f>IF(ISBLANK(E45), "⏳ Ketik rumus di sel kuning E45", IF(E45=G45, "✅ BENAR! LUAR BIASA!", "❌ Belum Tepat, Cek Kunci"))</f>
        <v/>
      </c>
      <c r="G45" s="28">
        <f>SUMPRODUCT(B44:B47, C44:C47)</f>
        <v/>
      </c>
      <c r="H45" s="29" t="inlineStr">
        <is>
          <t>Ketik: =SUMPRODUCT(B44:B47, C44:C47)</t>
        </is>
      </c>
    </row>
    <row r="46">
      <c r="B46" s="18" t="n">
        <v>120</v>
      </c>
      <c r="C46" s="18" t="n">
        <v>168</v>
      </c>
    </row>
    <row r="47">
      <c r="B47" s="18" t="n">
        <v>160</v>
      </c>
      <c r="C47" s="18" t="n">
        <v>220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Qty Barang</t>
        </is>
      </c>
      <c r="C51" s="12" t="inlineStr">
        <is>
          <t>Harga Satuan</t>
        </is>
      </c>
      <c r="E51" s="25" t="inlineStr">
        <is>
          <t>Persoalan #5: Kalikan Jumlah Barang (B52:B55) dengan Harga Satuan (C52:C55) lalu jumlahkan sekaligus memakai SUMPRODUCT!</t>
        </is>
      </c>
    </row>
    <row r="52">
      <c r="B52" s="18" t="n">
        <v>50</v>
      </c>
      <c r="C52" s="18" t="n">
        <v>75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100</v>
      </c>
      <c r="C53" s="18" t="n">
        <v>140</v>
      </c>
      <c r="E53" s="26" t="n"/>
      <c r="F53" s="27">
        <f>IF(ISBLANK(E53), "⏳ Ketik rumus di sel kuning E53", IF(E53=G53, "✅ BENAR! LUAR BIASA!", "❌ Belum Tepat, Cek Kunci"))</f>
        <v/>
      </c>
      <c r="G53" s="28">
        <f>SUMPRODUCT(B52:B55, C52:C55)</f>
        <v/>
      </c>
      <c r="H53" s="29" t="inlineStr">
        <is>
          <t>Ketik: =SUMPRODUCT(B52:B55, C52:C55)</t>
        </is>
      </c>
    </row>
    <row r="54">
      <c r="B54" s="18" t="n">
        <v>150</v>
      </c>
      <c r="C54" s="18" t="n">
        <v>210</v>
      </c>
    </row>
    <row r="55">
      <c r="B55" s="18" t="n">
        <v>200</v>
      </c>
      <c r="C55" s="18" t="n">
        <v>275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#006 — RUMUS EXCEL: ROUND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(ROUND)</t>
        </is>
      </c>
    </row>
    <row r="5" ht="21" customHeight="1">
      <c r="B5" s="12" t="inlineStr">
        <is>
          <t>Nama Rumus Excel</t>
        </is>
      </c>
      <c r="C5" s="13">
        <f>ROUND(...)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ROUND(angka, jumlah_digit)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desimal ke jumlah angka di belakang koma terdekat sesuai aturan matematika standar (0.5 ke atas naik).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ROUND)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 angka desimal di sel C11 (124.789) menjadi 1 angka di belakang koma menggunakan ROUND!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'=ROUND(C11, 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ROUND(C11, 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ROUND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 angka desimal di sel C20 (124.789) menjadi 1 angka di belakang koma menggunakan ROUND!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ROUND(C20, 1)</f>
        <v/>
      </c>
      <c r="H21" s="29" t="inlineStr">
        <is>
          <t>Ketik: =ROUND(C20, 1)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 angka desimal di sel C28 (125.789) menjadi 1 angka di belakang koma menggunakan ROUND!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ROUND(C28, 1)</f>
        <v/>
      </c>
      <c r="H29" s="29" t="inlineStr">
        <is>
          <t>Ketik: =ROUND(C28, 1)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 angka desimal di sel C36 (126.789) menjadi 1 angka di belakang koma menggunakan ROUND!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ROUND(C36, 1)</f>
        <v/>
      </c>
      <c r="H37" s="29" t="inlineStr">
        <is>
          <t>Ketik: =ROUND(C36, 1)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 angka desimal di sel C44 (127.789) menjadi 1 angka di belakang koma menggunakan ROUND!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ROUND(C44, 1)</f>
        <v/>
      </c>
      <c r="H45" s="29" t="inlineStr">
        <is>
          <t>Ketik: =ROUND(C44, 1)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 angka desimal di sel C52 (128.789) menjadi 1 angka di belakang koma menggunakan ROUND!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ROUND(C52, 1)</f>
        <v/>
      </c>
      <c r="H53" s="29" t="inlineStr">
        <is>
          <t>Ketik: =ROUND(C52, 1)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#007 — RUMUS EXCEL: ROUNDUP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(ROUNDUP)</t>
        </is>
      </c>
    </row>
    <row r="5" ht="21" customHeight="1">
      <c r="B5" s="12" t="inlineStr">
        <is>
          <t>Nama Rumus Excel</t>
        </is>
      </c>
      <c r="C5" s="13">
        <f>ROUNDUP(...)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ROUNDUP(angka, jumlah_digit)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Selalu membulatkan angka KE ATAS menjauhi nol. Cocok untuk menghitung jumlah dus/truk (kalau butuh 4.1 truk, harus sewa 5 truk!).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ROUNDUP)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 angka desimal di sel C11 (124.789) menjadi 1 angka di belakang koma menggunakan ROUNDUP!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'=ROUNDUP(C11, 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ROUNDUP(C11, 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ROUNDUP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 angka desimal di sel C20 (124.789) menjadi 1 angka di belakang koma menggunakan ROUNDUP!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ROUNDUP(C20, 1)</f>
        <v/>
      </c>
      <c r="H21" s="29" t="inlineStr">
        <is>
          <t>Ketik: =ROUNDUP(C20, 1)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 angka desimal di sel C28 (125.789) menjadi 1 angka di belakang koma menggunakan ROUNDUP!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ROUNDUP(C28, 1)</f>
        <v/>
      </c>
      <c r="H29" s="29" t="inlineStr">
        <is>
          <t>Ketik: =ROUNDUP(C28, 1)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 angka desimal di sel C36 (126.789) menjadi 1 angka di belakang koma menggunakan ROUNDUP!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ROUNDUP(C36, 1)</f>
        <v/>
      </c>
      <c r="H37" s="29" t="inlineStr">
        <is>
          <t>Ketik: =ROUNDUP(C36, 1)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 angka desimal di sel C44 (127.789) menjadi 1 angka di belakang koma menggunakan ROUNDUP!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ROUNDUP(C44, 1)</f>
        <v/>
      </c>
      <c r="H45" s="29" t="inlineStr">
        <is>
          <t>Ketik: =ROUNDUP(C44, 1)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 angka desimal di sel C52 (128.789) menjadi 1 angka di belakang koma menggunakan ROUNDUP!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ROUNDUP(C52, 1)</f>
        <v/>
      </c>
      <c r="H53" s="29" t="inlineStr">
        <is>
          <t>Ketik: =ROUNDUP(C52, 1)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#008 — RUMUS EXCEL: ROUNDDOWN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(ROUNDDOWN)</t>
        </is>
      </c>
    </row>
    <row r="5" ht="21" customHeight="1">
      <c r="B5" s="12" t="inlineStr">
        <is>
          <t>Nama Rumus Excel</t>
        </is>
      </c>
      <c r="C5" s="13">
        <f>ROUNDDOWN(...)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ROUNDDOWN(angka, jumlah_digit)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Selalu membulatkan angka KE BAWAH mendekati nol (memotong desimal tanpa peduli angkanya besar).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ROUNDDOWN)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 angka desimal di sel C11 (124.789) menjadi 1 angka di belakang koma menggunakan ROUNDDOWN!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'=ROUNDDOWN(C11, 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ROUNDDOWN(C11, 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ROUNDDOWN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 angka desimal di sel C20 (124.789) menjadi 1 angka di belakang koma menggunakan ROUNDDOWN!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ROUNDDOWN(C20, 1)</f>
        <v/>
      </c>
      <c r="H21" s="29" t="inlineStr">
        <is>
          <t>Ketik: =ROUNDDOWN(C20, 1)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 angka desimal di sel C28 (125.789) menjadi 1 angka di belakang koma menggunakan ROUNDDOWN!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ROUNDDOWN(C28, 1)</f>
        <v/>
      </c>
      <c r="H29" s="29" t="inlineStr">
        <is>
          <t>Ketik: =ROUNDDOWN(C28, 1)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 angka desimal di sel C36 (126.789) menjadi 1 angka di belakang koma menggunakan ROUNDDOWN!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ROUNDDOWN(C36, 1)</f>
        <v/>
      </c>
      <c r="H37" s="29" t="inlineStr">
        <is>
          <t>Ketik: =ROUNDDOWN(C36, 1)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 angka desimal di sel C44 (127.789) menjadi 1 angka di belakang koma menggunakan ROUNDDOWN!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ROUNDDOWN(C44, 1)</f>
        <v/>
      </c>
      <c r="H45" s="29" t="inlineStr">
        <is>
          <t>Ketik: =ROUNDDOWN(C44, 1)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 angka desimal di sel C52 (128.789) menjadi 1 angka di belakang koma menggunakan ROUNDDOWN!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ROUNDDOWN(C52, 1)</f>
        <v/>
      </c>
      <c r="H53" s="29" t="inlineStr">
        <is>
          <t>Ketik: =ROUNDDOWN(C52, 1)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#009 — RUMUS EXCEL: MROUND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(MROUND)</t>
        </is>
      </c>
    </row>
    <row r="5" ht="21" customHeight="1">
      <c r="B5" s="12" t="inlineStr">
        <is>
          <t>Nama Rumus Excel</t>
        </is>
      </c>
      <c r="C5" s="13">
        <f>MROUND(...)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MROUND(angka, kelipatan)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ke kelipatan tertentu terdekat (misal membulatkan harga uang receh ke kelipatan Rp 500 terdekat).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MROUND)</t>
        </is>
      </c>
    </row>
    <row r="10">
      <c r="B10" s="16" t="inlineStr">
        <is>
          <t>Tagihan Kasir</t>
        </is>
      </c>
      <c r="C10" s="16" t="inlineStr">
        <is>
          <t>Nominal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12750</v>
      </c>
      <c r="E11" s="19" t="inlineStr">
        <is>
          <t>Kasus Contoh:</t>
        </is>
      </c>
      <c r="F11" s="20" t="inlineStr">
        <is>
          <t>Bulatkan nominal uang di sel C11 ke kelipatan 500 terdekat menggunakan rumus MROUND!</t>
        </is>
      </c>
    </row>
    <row r="12">
      <c r="B12" s="18" t="inlineStr">
        <is>
          <t>Cabang Bandung</t>
        </is>
      </c>
      <c r="C12" s="18" t="n">
        <v>15200</v>
      </c>
      <c r="E12" s="19" t="inlineStr">
        <is>
          <t>Rumus yang Diketik:</t>
        </is>
      </c>
      <c r="F12" s="21" t="inlineStr">
        <is>
          <t>'=MROUND(C11, 500)</t>
        </is>
      </c>
    </row>
    <row r="13">
      <c r="B13" s="18" t="inlineStr">
        <is>
          <t>Cabang Surabaya</t>
        </is>
      </c>
      <c r="C13" s="18" t="n">
        <v>18900</v>
      </c>
      <c r="E13" s="19" t="inlineStr">
        <is>
          <t>Hasil Otomatis Excel:</t>
        </is>
      </c>
      <c r="F13" s="22">
        <f>MROUND(C11, 500)</f>
        <v/>
      </c>
    </row>
    <row r="14">
      <c r="B14" s="18" t="inlineStr">
        <is>
          <t>Cabang Medan</t>
        </is>
      </c>
      <c r="C14" s="18" t="n">
        <v>21400</v>
      </c>
    </row>
    <row r="16" ht="26" customHeight="1">
      <c r="B16" s="23" t="inlineStr">
        <is>
          <t>3️⃣ 5 PERSOALAN DUNIA NYATA (KETIK RUMUS MROUND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Tagihan Kasir</t>
        </is>
      </c>
      <c r="C19" s="12" t="inlineStr">
        <is>
          <t>Nominal (Rp)</t>
        </is>
      </c>
      <c r="E19" s="25" t="inlineStr">
        <is>
          <t>Persoalan #1: Bulatkan nominal uang di sel C20 ke kelipatan 500 terdekat menggunakan rumus MROUND!</t>
        </is>
      </c>
    </row>
    <row r="20">
      <c r="B20" s="18" t="inlineStr">
        <is>
          <t>Cabang Jakarta</t>
        </is>
      </c>
      <c r="C20" s="18" t="n">
        <v>12750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15200</v>
      </c>
      <c r="E21" s="26" t="n"/>
      <c r="F21" s="27">
        <f>IF(ISBLANK(E21), "⏳ Ketik rumus di sel kuning E21", IF(E21=G21, "✅ BENAR! LUAR BIASA!", "❌ Belum Tepat, Cek Kunci"))</f>
        <v/>
      </c>
      <c r="G21" s="28">
        <f>MROUND(C20, 500)</f>
        <v/>
      </c>
      <c r="H21" s="29" t="inlineStr">
        <is>
          <t>Ketik: =MROUND(C20, 500)</t>
        </is>
      </c>
    </row>
    <row r="22">
      <c r="B22" s="18" t="inlineStr">
        <is>
          <t>Cabang Surabaya</t>
        </is>
      </c>
      <c r="C22" s="18" t="n">
        <v>18900</v>
      </c>
    </row>
    <row r="23">
      <c r="B23" s="18" t="inlineStr">
        <is>
          <t>Cabang Medan</t>
        </is>
      </c>
      <c r="C23" s="18" t="n">
        <v>21400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Tagihan Kasir</t>
        </is>
      </c>
      <c r="C27" s="12" t="inlineStr">
        <is>
          <t>Nominal (Rp)</t>
        </is>
      </c>
      <c r="E27" s="25" t="inlineStr">
        <is>
          <t>Persoalan #2: Bulatkan nominal uang di sel C28 ke kelipatan 500 terdekat menggunakan rumus MROUND!</t>
        </is>
      </c>
    </row>
    <row r="28">
      <c r="B28" s="18" t="inlineStr">
        <is>
          <t>Budi Santoso</t>
        </is>
      </c>
      <c r="C28" s="18" t="n">
        <v>13050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15200</v>
      </c>
      <c r="E29" s="26" t="n"/>
      <c r="F29" s="27">
        <f>IF(ISBLANK(E29), "⏳ Ketik rumus di sel kuning E29", IF(E29=G29, "✅ BENAR! LUAR BIASA!", "❌ Belum Tepat, Cek Kunci"))</f>
        <v/>
      </c>
      <c r="G29" s="28">
        <f>MROUND(C28, 500)</f>
        <v/>
      </c>
      <c r="H29" s="29" t="inlineStr">
        <is>
          <t>Ketik: =MROUND(C28, 500)</t>
        </is>
      </c>
    </row>
    <row r="30">
      <c r="B30" s="18" t="inlineStr">
        <is>
          <t>Andi Pratama</t>
        </is>
      </c>
      <c r="C30" s="18" t="n">
        <v>18900</v>
      </c>
    </row>
    <row r="31">
      <c r="B31" s="18" t="inlineStr">
        <is>
          <t>Rina Wijaya</t>
        </is>
      </c>
      <c r="C31" s="18" t="n">
        <v>21400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Tagihan Kasir</t>
        </is>
      </c>
      <c r="C35" s="12" t="inlineStr">
        <is>
          <t>Nominal (Rp)</t>
        </is>
      </c>
      <c r="E35" s="25" t="inlineStr">
        <is>
          <t>Persoalan #3: Bulatkan nominal uang di sel C36 ke kelipatan 500 terdekat menggunakan rumus MROUND!</t>
        </is>
      </c>
    </row>
    <row r="36">
      <c r="B36" s="18" t="inlineStr">
        <is>
          <t>Gudang Blok A</t>
        </is>
      </c>
      <c r="C36" s="18" t="n">
        <v>13350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15200</v>
      </c>
      <c r="E37" s="26" t="n"/>
      <c r="F37" s="27">
        <f>IF(ISBLANK(E37), "⏳ Ketik rumus di sel kuning E37", IF(E37=G37, "✅ BENAR! LUAR BIASA!", "❌ Belum Tepat, Cek Kunci"))</f>
        <v/>
      </c>
      <c r="G37" s="28">
        <f>MROUND(C36, 500)</f>
        <v/>
      </c>
      <c r="H37" s="29" t="inlineStr">
        <is>
          <t>Ketik: =MROUND(C36, 500)</t>
        </is>
      </c>
    </row>
    <row r="38">
      <c r="B38" s="18" t="inlineStr">
        <is>
          <t>Gudang Blok C</t>
        </is>
      </c>
      <c r="C38" s="18" t="n">
        <v>18900</v>
      </c>
    </row>
    <row r="39">
      <c r="B39" s="18" t="inlineStr">
        <is>
          <t>Gudang Blok D</t>
        </is>
      </c>
      <c r="C39" s="18" t="n">
        <v>21400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Tagihan Kasir</t>
        </is>
      </c>
      <c r="C43" s="12" t="inlineStr">
        <is>
          <t>Nominal (Rp)</t>
        </is>
      </c>
      <c r="E43" s="25" t="inlineStr">
        <is>
          <t>Persoalan #4: Bulatkan nominal uang di sel C44 ke kelipatan 500 terdekat menggunakan rumus MROUND!</t>
        </is>
      </c>
    </row>
    <row r="44">
      <c r="B44" s="18" t="inlineStr">
        <is>
          <t>Toko Elektronik</t>
        </is>
      </c>
      <c r="C44" s="18" t="n">
        <v>13650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15200</v>
      </c>
      <c r="E45" s="26" t="n"/>
      <c r="F45" s="27">
        <f>IF(ISBLANK(E45), "⏳ Ketik rumus di sel kuning E45", IF(E45=G45, "✅ BENAR! LUAR BIASA!", "❌ Belum Tepat, Cek Kunci"))</f>
        <v/>
      </c>
      <c r="G45" s="28">
        <f>MROUND(C44, 500)</f>
        <v/>
      </c>
      <c r="H45" s="29" t="inlineStr">
        <is>
          <t>Ketik: =MROUND(C44, 500)</t>
        </is>
      </c>
    </row>
    <row r="46">
      <c r="B46" s="18" t="inlineStr">
        <is>
          <t>Toko Aksesoris</t>
        </is>
      </c>
      <c r="C46" s="18" t="n">
        <v>18900</v>
      </c>
    </row>
    <row r="47">
      <c r="B47" s="18" t="inlineStr">
        <is>
          <t>Toko Servis</t>
        </is>
      </c>
      <c r="C47" s="18" t="n">
        <v>21400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Tagihan Kasir</t>
        </is>
      </c>
      <c r="C51" s="12" t="inlineStr">
        <is>
          <t>Nominal (Rp)</t>
        </is>
      </c>
      <c r="E51" s="25" t="inlineStr">
        <is>
          <t>Persoalan #5: Bulatkan nominal uang di sel C52 ke kelipatan 500 terdekat menggunakan rumus MROUND!</t>
        </is>
      </c>
    </row>
    <row r="52">
      <c r="B52" s="18" t="inlineStr">
        <is>
          <t>Kelas 10 IPA</t>
        </is>
      </c>
      <c r="C52" s="18" t="n">
        <v>13950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15200</v>
      </c>
      <c r="E53" s="26" t="n"/>
      <c r="F53" s="27">
        <f>IF(ISBLANK(E53), "⏳ Ketik rumus di sel kuning E53", IF(E53=G53, "✅ BENAR! LUAR BIASA!", "❌ Belum Tepat, Cek Kunci"))</f>
        <v/>
      </c>
      <c r="G53" s="28">
        <f>MROUND(C52, 500)</f>
        <v/>
      </c>
      <c r="H53" s="29" t="inlineStr">
        <is>
          <t>Ketik: =MROUND(C52, 500)</t>
        </is>
      </c>
    </row>
    <row r="54">
      <c r="B54" s="18" t="inlineStr">
        <is>
          <t>Kelas 12 IPA</t>
        </is>
      </c>
      <c r="C54" s="18" t="n">
        <v>18900</v>
      </c>
    </row>
    <row r="55">
      <c r="B55" s="18" t="inlineStr">
        <is>
          <t>Kelas Unggulan</t>
        </is>
      </c>
      <c r="C55" s="18" t="n">
        <v>21400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#010 — RUMUS EXCEL: CEILING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(CEILING)</t>
        </is>
      </c>
    </row>
    <row r="5" ht="21" customHeight="1">
      <c r="B5" s="12" t="inlineStr">
        <is>
          <t>Nama Rumus Excel</t>
        </is>
      </c>
      <c r="C5" s="13">
        <f>CEILING(...)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CEILING(angka, kelipatan)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KE ATAS menuju kelipatan terdekat (misal pembulatan tagihan parkir per kelipatan 1000 ke atas).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CEILING)</t>
        </is>
      </c>
    </row>
    <row r="10">
      <c r="B10" s="16" t="inlineStr">
        <is>
          <t>Tagihan Kasir</t>
        </is>
      </c>
      <c r="C10" s="16" t="inlineStr">
        <is>
          <t>Nominal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12750</v>
      </c>
      <c r="E11" s="19" t="inlineStr">
        <is>
          <t>Kasus Contoh:</t>
        </is>
      </c>
      <c r="F11" s="20" t="inlineStr">
        <is>
          <t>Bulatkan nominal uang di sel C11 ke kelipatan 500 terdekat menggunakan rumus CEILING!</t>
        </is>
      </c>
    </row>
    <row r="12">
      <c r="B12" s="18" t="inlineStr">
        <is>
          <t>Cabang Bandung</t>
        </is>
      </c>
      <c r="C12" s="18" t="n">
        <v>15200</v>
      </c>
      <c r="E12" s="19" t="inlineStr">
        <is>
          <t>Rumus yang Diketik:</t>
        </is>
      </c>
      <c r="F12" s="21" t="inlineStr">
        <is>
          <t>'=CEILING(C11, 500)</t>
        </is>
      </c>
    </row>
    <row r="13">
      <c r="B13" s="18" t="inlineStr">
        <is>
          <t>Cabang Surabaya</t>
        </is>
      </c>
      <c r="C13" s="18" t="n">
        <v>18900</v>
      </c>
      <c r="E13" s="19" t="inlineStr">
        <is>
          <t>Hasil Otomatis Excel:</t>
        </is>
      </c>
      <c r="F13" s="22">
        <f>CEILING(C11, 500)</f>
        <v/>
      </c>
    </row>
    <row r="14">
      <c r="B14" s="18" t="inlineStr">
        <is>
          <t>Cabang Medan</t>
        </is>
      </c>
      <c r="C14" s="18" t="n">
        <v>21400</v>
      </c>
    </row>
    <row r="16" ht="26" customHeight="1">
      <c r="B16" s="23" t="inlineStr">
        <is>
          <t>3️⃣ 5 PERSOALAN DUNIA NYATA (KETIK RUMUS CEILING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Tagihan Kasir</t>
        </is>
      </c>
      <c r="C19" s="12" t="inlineStr">
        <is>
          <t>Nominal (Rp)</t>
        </is>
      </c>
      <c r="E19" s="25" t="inlineStr">
        <is>
          <t>Persoalan #1: Bulatkan nominal uang di sel C20 ke kelipatan 500 terdekat menggunakan rumus CEILING!</t>
        </is>
      </c>
    </row>
    <row r="20">
      <c r="B20" s="18" t="inlineStr">
        <is>
          <t>Cabang Jakarta</t>
        </is>
      </c>
      <c r="C20" s="18" t="n">
        <v>12750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15200</v>
      </c>
      <c r="E21" s="26" t="n"/>
      <c r="F21" s="27">
        <f>IF(ISBLANK(E21), "⏳ Ketik rumus di sel kuning E21", IF(E21=G21, "✅ BENAR! LUAR BIASA!", "❌ Belum Tepat, Cek Kunci"))</f>
        <v/>
      </c>
      <c r="G21" s="28">
        <f>CEILING(C20, 500)</f>
        <v/>
      </c>
      <c r="H21" s="29" t="inlineStr">
        <is>
          <t>Ketik: =CEILING(C20, 500)</t>
        </is>
      </c>
    </row>
    <row r="22">
      <c r="B22" s="18" t="inlineStr">
        <is>
          <t>Cabang Surabaya</t>
        </is>
      </c>
      <c r="C22" s="18" t="n">
        <v>18900</v>
      </c>
    </row>
    <row r="23">
      <c r="B23" s="18" t="inlineStr">
        <is>
          <t>Cabang Medan</t>
        </is>
      </c>
      <c r="C23" s="18" t="n">
        <v>21400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Tagihan Kasir</t>
        </is>
      </c>
      <c r="C27" s="12" t="inlineStr">
        <is>
          <t>Nominal (Rp)</t>
        </is>
      </c>
      <c r="E27" s="25" t="inlineStr">
        <is>
          <t>Persoalan #2: Bulatkan nominal uang di sel C28 ke kelipatan 500 terdekat menggunakan rumus CEILING!</t>
        </is>
      </c>
    </row>
    <row r="28">
      <c r="B28" s="18" t="inlineStr">
        <is>
          <t>Budi Santoso</t>
        </is>
      </c>
      <c r="C28" s="18" t="n">
        <v>13050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15200</v>
      </c>
      <c r="E29" s="26" t="n"/>
      <c r="F29" s="27">
        <f>IF(ISBLANK(E29), "⏳ Ketik rumus di sel kuning E29", IF(E29=G29, "✅ BENAR! LUAR BIASA!", "❌ Belum Tepat, Cek Kunci"))</f>
        <v/>
      </c>
      <c r="G29" s="28">
        <f>CEILING(C28, 500)</f>
        <v/>
      </c>
      <c r="H29" s="29" t="inlineStr">
        <is>
          <t>Ketik: =CEILING(C28, 500)</t>
        </is>
      </c>
    </row>
    <row r="30">
      <c r="B30" s="18" t="inlineStr">
        <is>
          <t>Andi Pratama</t>
        </is>
      </c>
      <c r="C30" s="18" t="n">
        <v>18900</v>
      </c>
    </row>
    <row r="31">
      <c r="B31" s="18" t="inlineStr">
        <is>
          <t>Rina Wijaya</t>
        </is>
      </c>
      <c r="C31" s="18" t="n">
        <v>21400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Tagihan Kasir</t>
        </is>
      </c>
      <c r="C35" s="12" t="inlineStr">
        <is>
          <t>Nominal (Rp)</t>
        </is>
      </c>
      <c r="E35" s="25" t="inlineStr">
        <is>
          <t>Persoalan #3: Bulatkan nominal uang di sel C36 ke kelipatan 500 terdekat menggunakan rumus CEILING!</t>
        </is>
      </c>
    </row>
    <row r="36">
      <c r="B36" s="18" t="inlineStr">
        <is>
          <t>Gudang Blok A</t>
        </is>
      </c>
      <c r="C36" s="18" t="n">
        <v>13350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15200</v>
      </c>
      <c r="E37" s="26" t="n"/>
      <c r="F37" s="27">
        <f>IF(ISBLANK(E37), "⏳ Ketik rumus di sel kuning E37", IF(E37=G37, "✅ BENAR! LUAR BIASA!", "❌ Belum Tepat, Cek Kunci"))</f>
        <v/>
      </c>
      <c r="G37" s="28">
        <f>CEILING(C36, 500)</f>
        <v/>
      </c>
      <c r="H37" s="29" t="inlineStr">
        <is>
          <t>Ketik: =CEILING(C36, 500)</t>
        </is>
      </c>
    </row>
    <row r="38">
      <c r="B38" s="18" t="inlineStr">
        <is>
          <t>Gudang Blok C</t>
        </is>
      </c>
      <c r="C38" s="18" t="n">
        <v>18900</v>
      </c>
    </row>
    <row r="39">
      <c r="B39" s="18" t="inlineStr">
        <is>
          <t>Gudang Blok D</t>
        </is>
      </c>
      <c r="C39" s="18" t="n">
        <v>21400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Tagihan Kasir</t>
        </is>
      </c>
      <c r="C43" s="12" t="inlineStr">
        <is>
          <t>Nominal (Rp)</t>
        </is>
      </c>
      <c r="E43" s="25" t="inlineStr">
        <is>
          <t>Persoalan #4: Bulatkan nominal uang di sel C44 ke kelipatan 500 terdekat menggunakan rumus CEILING!</t>
        </is>
      </c>
    </row>
    <row r="44">
      <c r="B44" s="18" t="inlineStr">
        <is>
          <t>Toko Elektronik</t>
        </is>
      </c>
      <c r="C44" s="18" t="n">
        <v>13650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15200</v>
      </c>
      <c r="E45" s="26" t="n"/>
      <c r="F45" s="27">
        <f>IF(ISBLANK(E45), "⏳ Ketik rumus di sel kuning E45", IF(E45=G45, "✅ BENAR! LUAR BIASA!", "❌ Belum Tepat, Cek Kunci"))</f>
        <v/>
      </c>
      <c r="G45" s="28">
        <f>CEILING(C44, 500)</f>
        <v/>
      </c>
      <c r="H45" s="29" t="inlineStr">
        <is>
          <t>Ketik: =CEILING(C44, 500)</t>
        </is>
      </c>
    </row>
    <row r="46">
      <c r="B46" s="18" t="inlineStr">
        <is>
          <t>Toko Aksesoris</t>
        </is>
      </c>
      <c r="C46" s="18" t="n">
        <v>18900</v>
      </c>
    </row>
    <row r="47">
      <c r="B47" s="18" t="inlineStr">
        <is>
          <t>Toko Servis</t>
        </is>
      </c>
      <c r="C47" s="18" t="n">
        <v>21400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Tagihan Kasir</t>
        </is>
      </c>
      <c r="C51" s="12" t="inlineStr">
        <is>
          <t>Nominal (Rp)</t>
        </is>
      </c>
      <c r="E51" s="25" t="inlineStr">
        <is>
          <t>Persoalan #5: Bulatkan nominal uang di sel C52 ke kelipatan 500 terdekat menggunakan rumus CEILING!</t>
        </is>
      </c>
    </row>
    <row r="52">
      <c r="B52" s="18" t="inlineStr">
        <is>
          <t>Kelas 10 IPA</t>
        </is>
      </c>
      <c r="C52" s="18" t="n">
        <v>13950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15200</v>
      </c>
      <c r="E53" s="26" t="n"/>
      <c r="F53" s="27">
        <f>IF(ISBLANK(E53), "⏳ Ketik rumus di sel kuning E53", IF(E53=G53, "✅ BENAR! LUAR BIASA!", "❌ Belum Tepat, Cek Kunci"))</f>
        <v/>
      </c>
      <c r="G53" s="28">
        <f>CEILING(C52, 500)</f>
        <v/>
      </c>
      <c r="H53" s="29" t="inlineStr">
        <is>
          <t>Ketik: =CEILING(C52, 500)</t>
        </is>
      </c>
    </row>
    <row r="54">
      <c r="B54" s="18" t="inlineStr">
        <is>
          <t>Kelas 12 IPA</t>
        </is>
      </c>
      <c r="C54" s="18" t="n">
        <v>18900</v>
      </c>
    </row>
    <row r="55">
      <c r="B55" s="18" t="inlineStr">
        <is>
          <t>Kelas Unggulan</t>
        </is>
      </c>
      <c r="C55" s="18" t="n">
        <v>21400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#011 — RUMUS EXCEL: FLOOR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(FLOOR)</t>
        </is>
      </c>
    </row>
    <row r="5" ht="21" customHeight="1">
      <c r="B5" s="12" t="inlineStr">
        <is>
          <t>Nama Rumus Excel</t>
        </is>
      </c>
      <c r="C5" s="13">
        <f>FLOOR(...)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FLOOR(angka, kelipatan)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Membulatkan angka KE BAWAH menuju kelipatan terdekat (misal menghitung paket lusinan penuh dari stok barang).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FLOOR)</t>
        </is>
      </c>
    </row>
    <row r="10">
      <c r="B10" s="16" t="inlineStr">
        <is>
          <t>Tagihan Kasir</t>
        </is>
      </c>
      <c r="C10" s="16" t="inlineStr">
        <is>
          <t>Nominal (Rp)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12750</v>
      </c>
      <c r="E11" s="19" t="inlineStr">
        <is>
          <t>Kasus Contoh:</t>
        </is>
      </c>
      <c r="F11" s="20" t="inlineStr">
        <is>
          <t>Bulatkan nominal uang di sel C11 ke kelipatan 500 terdekat menggunakan rumus FLOOR!</t>
        </is>
      </c>
    </row>
    <row r="12">
      <c r="B12" s="18" t="inlineStr">
        <is>
          <t>Cabang Bandung</t>
        </is>
      </c>
      <c r="C12" s="18" t="n">
        <v>15200</v>
      </c>
      <c r="E12" s="19" t="inlineStr">
        <is>
          <t>Rumus yang Diketik:</t>
        </is>
      </c>
      <c r="F12" s="21" t="inlineStr">
        <is>
          <t>'=FLOOR(C11, 500)</t>
        </is>
      </c>
    </row>
    <row r="13">
      <c r="B13" s="18" t="inlineStr">
        <is>
          <t>Cabang Surabaya</t>
        </is>
      </c>
      <c r="C13" s="18" t="n">
        <v>18900</v>
      </c>
      <c r="E13" s="19" t="inlineStr">
        <is>
          <t>Hasil Otomatis Excel:</t>
        </is>
      </c>
      <c r="F13" s="22">
        <f>FLOOR(C11, 500)</f>
        <v/>
      </c>
    </row>
    <row r="14">
      <c r="B14" s="18" t="inlineStr">
        <is>
          <t>Cabang Medan</t>
        </is>
      </c>
      <c r="C14" s="18" t="n">
        <v>21400</v>
      </c>
    </row>
    <row r="16" ht="26" customHeight="1">
      <c r="B16" s="23" t="inlineStr">
        <is>
          <t>3️⃣ 5 PERSOALAN DUNIA NYATA (KETIK RUMUS FLOOR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Tagihan Kasir</t>
        </is>
      </c>
      <c r="C19" s="12" t="inlineStr">
        <is>
          <t>Nominal (Rp)</t>
        </is>
      </c>
      <c r="E19" s="25" t="inlineStr">
        <is>
          <t>Persoalan #1: Bulatkan nominal uang di sel C20 ke kelipatan 500 terdekat menggunakan rumus FLOOR!</t>
        </is>
      </c>
    </row>
    <row r="20">
      <c r="B20" s="18" t="inlineStr">
        <is>
          <t>Cabang Jakarta</t>
        </is>
      </c>
      <c r="C20" s="18" t="n">
        <v>12750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15200</v>
      </c>
      <c r="E21" s="26" t="n"/>
      <c r="F21" s="27">
        <f>IF(ISBLANK(E21), "⏳ Ketik rumus di sel kuning E21", IF(E21=G21, "✅ BENAR! LUAR BIASA!", "❌ Belum Tepat, Cek Kunci"))</f>
        <v/>
      </c>
      <c r="G21" s="28">
        <f>FLOOR(C20, 500)</f>
        <v/>
      </c>
      <c r="H21" s="29" t="inlineStr">
        <is>
          <t>Ketik: =FLOOR(C20, 500)</t>
        </is>
      </c>
    </row>
    <row r="22">
      <c r="B22" s="18" t="inlineStr">
        <is>
          <t>Cabang Surabaya</t>
        </is>
      </c>
      <c r="C22" s="18" t="n">
        <v>18900</v>
      </c>
    </row>
    <row r="23">
      <c r="B23" s="18" t="inlineStr">
        <is>
          <t>Cabang Medan</t>
        </is>
      </c>
      <c r="C23" s="18" t="n">
        <v>21400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Tagihan Kasir</t>
        </is>
      </c>
      <c r="C27" s="12" t="inlineStr">
        <is>
          <t>Nominal (Rp)</t>
        </is>
      </c>
      <c r="E27" s="25" t="inlineStr">
        <is>
          <t>Persoalan #2: Bulatkan nominal uang di sel C28 ke kelipatan 500 terdekat menggunakan rumus FLOOR!</t>
        </is>
      </c>
    </row>
    <row r="28">
      <c r="B28" s="18" t="inlineStr">
        <is>
          <t>Budi Santoso</t>
        </is>
      </c>
      <c r="C28" s="18" t="n">
        <v>13050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15200</v>
      </c>
      <c r="E29" s="26" t="n"/>
      <c r="F29" s="27">
        <f>IF(ISBLANK(E29), "⏳ Ketik rumus di sel kuning E29", IF(E29=G29, "✅ BENAR! LUAR BIASA!", "❌ Belum Tepat, Cek Kunci"))</f>
        <v/>
      </c>
      <c r="G29" s="28">
        <f>FLOOR(C28, 500)</f>
        <v/>
      </c>
      <c r="H29" s="29" t="inlineStr">
        <is>
          <t>Ketik: =FLOOR(C28, 500)</t>
        </is>
      </c>
    </row>
    <row r="30">
      <c r="B30" s="18" t="inlineStr">
        <is>
          <t>Andi Pratama</t>
        </is>
      </c>
      <c r="C30" s="18" t="n">
        <v>18900</v>
      </c>
    </row>
    <row r="31">
      <c r="B31" s="18" t="inlineStr">
        <is>
          <t>Rina Wijaya</t>
        </is>
      </c>
      <c r="C31" s="18" t="n">
        <v>21400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Tagihan Kasir</t>
        </is>
      </c>
      <c r="C35" s="12" t="inlineStr">
        <is>
          <t>Nominal (Rp)</t>
        </is>
      </c>
      <c r="E35" s="25" t="inlineStr">
        <is>
          <t>Persoalan #3: Bulatkan nominal uang di sel C36 ke kelipatan 500 terdekat menggunakan rumus FLOOR!</t>
        </is>
      </c>
    </row>
    <row r="36">
      <c r="B36" s="18" t="inlineStr">
        <is>
          <t>Gudang Blok A</t>
        </is>
      </c>
      <c r="C36" s="18" t="n">
        <v>13350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15200</v>
      </c>
      <c r="E37" s="26" t="n"/>
      <c r="F37" s="27">
        <f>IF(ISBLANK(E37), "⏳ Ketik rumus di sel kuning E37", IF(E37=G37, "✅ BENAR! LUAR BIASA!", "❌ Belum Tepat, Cek Kunci"))</f>
        <v/>
      </c>
      <c r="G37" s="28">
        <f>FLOOR(C36, 500)</f>
        <v/>
      </c>
      <c r="H37" s="29" t="inlineStr">
        <is>
          <t>Ketik: =FLOOR(C36, 500)</t>
        </is>
      </c>
    </row>
    <row r="38">
      <c r="B38" s="18" t="inlineStr">
        <is>
          <t>Gudang Blok C</t>
        </is>
      </c>
      <c r="C38" s="18" t="n">
        <v>18900</v>
      </c>
    </row>
    <row r="39">
      <c r="B39" s="18" t="inlineStr">
        <is>
          <t>Gudang Blok D</t>
        </is>
      </c>
      <c r="C39" s="18" t="n">
        <v>21400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Tagihan Kasir</t>
        </is>
      </c>
      <c r="C43" s="12" t="inlineStr">
        <is>
          <t>Nominal (Rp)</t>
        </is>
      </c>
      <c r="E43" s="25" t="inlineStr">
        <is>
          <t>Persoalan #4: Bulatkan nominal uang di sel C44 ke kelipatan 500 terdekat menggunakan rumus FLOOR!</t>
        </is>
      </c>
    </row>
    <row r="44">
      <c r="B44" s="18" t="inlineStr">
        <is>
          <t>Toko Elektronik</t>
        </is>
      </c>
      <c r="C44" s="18" t="n">
        <v>13650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15200</v>
      </c>
      <c r="E45" s="26" t="n"/>
      <c r="F45" s="27">
        <f>IF(ISBLANK(E45), "⏳ Ketik rumus di sel kuning E45", IF(E45=G45, "✅ BENAR! LUAR BIASA!", "❌ Belum Tepat, Cek Kunci"))</f>
        <v/>
      </c>
      <c r="G45" s="28">
        <f>FLOOR(C44, 500)</f>
        <v/>
      </c>
      <c r="H45" s="29" t="inlineStr">
        <is>
          <t>Ketik: =FLOOR(C44, 500)</t>
        </is>
      </c>
    </row>
    <row r="46">
      <c r="B46" s="18" t="inlineStr">
        <is>
          <t>Toko Aksesoris</t>
        </is>
      </c>
      <c r="C46" s="18" t="n">
        <v>18900</v>
      </c>
    </row>
    <row r="47">
      <c r="B47" s="18" t="inlineStr">
        <is>
          <t>Toko Servis</t>
        </is>
      </c>
      <c r="C47" s="18" t="n">
        <v>21400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Tagihan Kasir</t>
        </is>
      </c>
      <c r="C51" s="12" t="inlineStr">
        <is>
          <t>Nominal (Rp)</t>
        </is>
      </c>
      <c r="E51" s="25" t="inlineStr">
        <is>
          <t>Persoalan #5: Bulatkan nominal uang di sel C52 ke kelipatan 500 terdekat menggunakan rumus FLOOR!</t>
        </is>
      </c>
    </row>
    <row r="52">
      <c r="B52" s="18" t="inlineStr">
        <is>
          <t>Kelas 10 IPA</t>
        </is>
      </c>
      <c r="C52" s="18" t="n">
        <v>13950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15200</v>
      </c>
      <c r="E53" s="26" t="n"/>
      <c r="F53" s="27">
        <f>IF(ISBLANK(E53), "⏳ Ketik rumus di sel kuning E53", IF(E53=G53, "✅ BENAR! LUAR BIASA!", "❌ Belum Tepat, Cek Kunci"))</f>
        <v/>
      </c>
      <c r="G53" s="28">
        <f>FLOOR(C52, 500)</f>
        <v/>
      </c>
      <c r="H53" s="29" t="inlineStr">
        <is>
          <t>Ketik: =FLOOR(C52, 500)</t>
        </is>
      </c>
    </row>
    <row r="54">
      <c r="B54" s="18" t="inlineStr">
        <is>
          <t>Kelas 12 IPA</t>
        </is>
      </c>
      <c r="C54" s="18" t="n">
        <v>18900</v>
      </c>
    </row>
    <row r="55">
      <c r="B55" s="18" t="inlineStr">
        <is>
          <t>Kelas Unggulan</t>
        </is>
      </c>
      <c r="C55" s="18" t="n">
        <v>21400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#012 — RUMUS EXCEL: INT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(INT)</t>
        </is>
      </c>
    </row>
    <row r="5" ht="21" customHeight="1">
      <c r="B5" s="12" t="inlineStr">
        <is>
          <t>Nama Rumus Excel</t>
        </is>
      </c>
      <c r="C5" s="13">
        <f>INT(...)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INT(angka)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angka bulatnya saja dengan membulatkan ke bawah ke bilangan bulat terdekat.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INT)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Bulatkan/potong desimal angka di sel C11 (124.789) menjadi bilangan bulat menggunakan INT!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'=INT(C11)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INT(C11)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INT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Bulatkan/potong desimal angka di sel C20 (124.789) menjadi bilangan bulat menggunakan INT!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INT(C20)</f>
        <v/>
      </c>
      <c r="H21" s="29" t="inlineStr">
        <is>
          <t>Ketik: =INT(C20)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Bulatkan/potong desimal angka di sel C28 (125.789) menjadi bilangan bulat menggunakan INT!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INT(C28)</f>
        <v/>
      </c>
      <c r="H29" s="29" t="inlineStr">
        <is>
          <t>Ketik: =INT(C28)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Bulatkan/potong desimal angka di sel C36 (126.789) menjadi bilangan bulat menggunakan INT!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INT(C36)</f>
        <v/>
      </c>
      <c r="H37" s="29" t="inlineStr">
        <is>
          <t>Ketik: =INT(C36)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Bulatkan/potong desimal angka di sel C44 (127.789) menjadi bilangan bulat menggunakan INT!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INT(C44)</f>
        <v/>
      </c>
      <c r="H45" s="29" t="inlineStr">
        <is>
          <t>Ketik: =INT(C44)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Bulatkan/potong desimal angka di sel C52 (128.789) menjadi bilangan bulat menggunakan INT!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INT(C52)</f>
        <v/>
      </c>
      <c r="H53" s="29" t="inlineStr">
        <is>
          <t>Ketik: =INT(C52)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#013 — RUMUS EXCEL: TRUNC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(TRUNC)</t>
        </is>
      </c>
    </row>
    <row r="5" ht="21" customHeight="1">
      <c r="B5" s="12" t="inlineStr">
        <is>
          <t>Nama Rumus Excel</t>
        </is>
      </c>
      <c r="C5" s="13">
        <f>TRUNC(...)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TRUNC(angka, [jumlah_digit])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Memotong angka desimal di belakang koma secara langsung tanpa pembulatan.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TRUNC)</t>
        </is>
      </c>
    </row>
    <row r="10">
      <c r="B10" s="16" t="inlineStr">
        <is>
          <t>Item Pengukuran</t>
        </is>
      </c>
      <c r="C10" s="16" t="inlineStr">
        <is>
          <t>Nilai Desimal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124.789</v>
      </c>
      <c r="E11" s="19" t="inlineStr">
        <is>
          <t>Kasus Contoh:</t>
        </is>
      </c>
      <c r="F11" s="20" t="inlineStr">
        <is>
          <t>Bulatkan/potong desimal angka di sel C11 (124.789) menjadi bilangan bulat menggunakan TRUNC!</t>
        </is>
      </c>
    </row>
    <row r="12">
      <c r="B12" s="18" t="inlineStr">
        <is>
          <t>Cabang Bandung</t>
        </is>
      </c>
      <c r="C12" s="18" t="n">
        <v>89.345</v>
      </c>
      <c r="E12" s="19" t="inlineStr">
        <is>
          <t>Rumus yang Diketik:</t>
        </is>
      </c>
      <c r="F12" s="21" t="inlineStr">
        <is>
          <t>'=TRUNC(C11)</t>
        </is>
      </c>
    </row>
    <row r="13">
      <c r="B13" s="18" t="inlineStr">
        <is>
          <t>Cabang Surabaya</t>
        </is>
      </c>
      <c r="C13" s="18" t="n">
        <v>45.678</v>
      </c>
      <c r="E13" s="19" t="inlineStr">
        <is>
          <t>Hasil Otomatis Excel:</t>
        </is>
      </c>
      <c r="F13" s="22">
        <f>TRUNC(C11)</f>
        <v/>
      </c>
    </row>
    <row r="14">
      <c r="B14" s="18" t="inlineStr">
        <is>
          <t>Cabang Medan</t>
        </is>
      </c>
      <c r="C14" s="18" t="n">
        <v>19.99</v>
      </c>
    </row>
    <row r="16" ht="26" customHeight="1">
      <c r="B16" s="23" t="inlineStr">
        <is>
          <t>3️⃣ 5 PERSOALAN DUNIA NYATA (KETIK RUMUS TRUNC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Pengukuran</t>
        </is>
      </c>
      <c r="C19" s="12" t="inlineStr">
        <is>
          <t>Nilai Desimal</t>
        </is>
      </c>
      <c r="E19" s="25" t="inlineStr">
        <is>
          <t>Persoalan #1: Bulatkan/potong desimal angka di sel C20 (124.789) menjadi bilangan bulat menggunakan TRUNC!</t>
        </is>
      </c>
    </row>
    <row r="20">
      <c r="B20" s="18" t="inlineStr">
        <is>
          <t>Cabang Jakarta</t>
        </is>
      </c>
      <c r="C20" s="18" t="n">
        <v>124.789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89.345</v>
      </c>
      <c r="E21" s="26" t="n"/>
      <c r="F21" s="27">
        <f>IF(ISBLANK(E21), "⏳ Ketik rumus di sel kuning E21", IF(E21=G21, "✅ BENAR! LUAR BIASA!", "❌ Belum Tepat, Cek Kunci"))</f>
        <v/>
      </c>
      <c r="G21" s="28">
        <f>TRUNC(C20)</f>
        <v/>
      </c>
      <c r="H21" s="29" t="inlineStr">
        <is>
          <t>Ketik: =TRUNC(C20)</t>
        </is>
      </c>
    </row>
    <row r="22">
      <c r="B22" s="18" t="inlineStr">
        <is>
          <t>Cabang Surabaya</t>
        </is>
      </c>
      <c r="C22" s="18" t="n">
        <v>45.678</v>
      </c>
    </row>
    <row r="23">
      <c r="B23" s="18" t="inlineStr">
        <is>
          <t>Cabang Medan</t>
        </is>
      </c>
      <c r="C23" s="18" t="n">
        <v>19.99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Pengukuran</t>
        </is>
      </c>
      <c r="C27" s="12" t="inlineStr">
        <is>
          <t>Nilai Desimal</t>
        </is>
      </c>
      <c r="E27" s="25" t="inlineStr">
        <is>
          <t>Persoalan #2: Bulatkan/potong desimal angka di sel C28 (125.789) menjadi bilangan bulat menggunakan TRUNC!</t>
        </is>
      </c>
    </row>
    <row r="28">
      <c r="B28" s="18" t="inlineStr">
        <is>
          <t>Budi Santoso</t>
        </is>
      </c>
      <c r="C28" s="18" t="n">
        <v>125.789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89.345</v>
      </c>
      <c r="E29" s="26" t="n"/>
      <c r="F29" s="27">
        <f>IF(ISBLANK(E29), "⏳ Ketik rumus di sel kuning E29", IF(E29=G29, "✅ BENAR! LUAR BIASA!", "❌ Belum Tepat, Cek Kunci"))</f>
        <v/>
      </c>
      <c r="G29" s="28">
        <f>TRUNC(C28)</f>
        <v/>
      </c>
      <c r="H29" s="29" t="inlineStr">
        <is>
          <t>Ketik: =TRUNC(C28)</t>
        </is>
      </c>
    </row>
    <row r="30">
      <c r="B30" s="18" t="inlineStr">
        <is>
          <t>Andi Pratama</t>
        </is>
      </c>
      <c r="C30" s="18" t="n">
        <v>45.678</v>
      </c>
    </row>
    <row r="31">
      <c r="B31" s="18" t="inlineStr">
        <is>
          <t>Rina Wijaya</t>
        </is>
      </c>
      <c r="C31" s="18" t="n">
        <v>19.99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Pengukuran</t>
        </is>
      </c>
      <c r="C35" s="12" t="inlineStr">
        <is>
          <t>Nilai Desimal</t>
        </is>
      </c>
      <c r="E35" s="25" t="inlineStr">
        <is>
          <t>Persoalan #3: Bulatkan/potong desimal angka di sel C36 (126.789) menjadi bilangan bulat menggunakan TRUNC!</t>
        </is>
      </c>
    </row>
    <row r="36">
      <c r="B36" s="18" t="inlineStr">
        <is>
          <t>Gudang Blok A</t>
        </is>
      </c>
      <c r="C36" s="18" t="n">
        <v>126.789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89.345</v>
      </c>
      <c r="E37" s="26" t="n"/>
      <c r="F37" s="27">
        <f>IF(ISBLANK(E37), "⏳ Ketik rumus di sel kuning E37", IF(E37=G37, "✅ BENAR! LUAR BIASA!", "❌ Belum Tepat, Cek Kunci"))</f>
        <v/>
      </c>
      <c r="G37" s="28">
        <f>TRUNC(C36)</f>
        <v/>
      </c>
      <c r="H37" s="29" t="inlineStr">
        <is>
          <t>Ketik: =TRUNC(C36)</t>
        </is>
      </c>
    </row>
    <row r="38">
      <c r="B38" s="18" t="inlineStr">
        <is>
          <t>Gudang Blok C</t>
        </is>
      </c>
      <c r="C38" s="18" t="n">
        <v>45.678</v>
      </c>
    </row>
    <row r="39">
      <c r="B39" s="18" t="inlineStr">
        <is>
          <t>Gudang Blok D</t>
        </is>
      </c>
      <c r="C39" s="18" t="n">
        <v>19.99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Pengukuran</t>
        </is>
      </c>
      <c r="C43" s="12" t="inlineStr">
        <is>
          <t>Nilai Desimal</t>
        </is>
      </c>
      <c r="E43" s="25" t="inlineStr">
        <is>
          <t>Persoalan #4: Bulatkan/potong desimal angka di sel C44 (127.789) menjadi bilangan bulat menggunakan TRUNC!</t>
        </is>
      </c>
    </row>
    <row r="44">
      <c r="B44" s="18" t="inlineStr">
        <is>
          <t>Toko Elektronik</t>
        </is>
      </c>
      <c r="C44" s="18" t="n">
        <v>127.789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89.345</v>
      </c>
      <c r="E45" s="26" t="n"/>
      <c r="F45" s="27">
        <f>IF(ISBLANK(E45), "⏳ Ketik rumus di sel kuning E45", IF(E45=G45, "✅ BENAR! LUAR BIASA!", "❌ Belum Tepat, Cek Kunci"))</f>
        <v/>
      </c>
      <c r="G45" s="28">
        <f>TRUNC(C44)</f>
        <v/>
      </c>
      <c r="H45" s="29" t="inlineStr">
        <is>
          <t>Ketik: =TRUNC(C44)</t>
        </is>
      </c>
    </row>
    <row r="46">
      <c r="B46" s="18" t="inlineStr">
        <is>
          <t>Toko Aksesoris</t>
        </is>
      </c>
      <c r="C46" s="18" t="n">
        <v>45.678</v>
      </c>
    </row>
    <row r="47">
      <c r="B47" s="18" t="inlineStr">
        <is>
          <t>Toko Servis</t>
        </is>
      </c>
      <c r="C47" s="18" t="n">
        <v>19.99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Pengukuran</t>
        </is>
      </c>
      <c r="C51" s="12" t="inlineStr">
        <is>
          <t>Nilai Desimal</t>
        </is>
      </c>
      <c r="E51" s="25" t="inlineStr">
        <is>
          <t>Persoalan #5: Bulatkan/potong desimal angka di sel C52 (128.789) menjadi bilangan bulat menggunakan TRUNC!</t>
        </is>
      </c>
    </row>
    <row r="52">
      <c r="B52" s="18" t="inlineStr">
        <is>
          <t>Kelas 10 IPA</t>
        </is>
      </c>
      <c r="C52" s="18" t="n">
        <v>128.789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89.345</v>
      </c>
      <c r="E53" s="26" t="n"/>
      <c r="F53" s="27">
        <f>IF(ISBLANK(E53), "⏳ Ketik rumus di sel kuning E53", IF(E53=G53, "✅ BENAR! LUAR BIASA!", "❌ Belum Tepat, Cek Kunci"))</f>
        <v/>
      </c>
      <c r="G53" s="28">
        <f>TRUNC(C52)</f>
        <v/>
      </c>
      <c r="H53" s="29" t="inlineStr">
        <is>
          <t>Ketik: =TRUNC(C52)</t>
        </is>
      </c>
    </row>
    <row r="54">
      <c r="B54" s="18" t="inlineStr">
        <is>
          <t>Kelas 12 IPA</t>
        </is>
      </c>
      <c r="C54" s="18" t="n">
        <v>45.678</v>
      </c>
    </row>
    <row r="55">
      <c r="B55" s="18" t="inlineStr">
        <is>
          <t>Kelas Unggulan</t>
        </is>
      </c>
      <c r="C55" s="18" t="n">
        <v>19.99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#014 — RUMUS EXCEL: MOD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(MOD)</t>
        </is>
      </c>
    </row>
    <row r="5" ht="21" customHeight="1">
      <c r="B5" s="12" t="inlineStr">
        <is>
          <t>Nama Rumus Excel</t>
        </is>
      </c>
      <c r="C5" s="13">
        <f>MOD(...)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MOD(angka, pembagi)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SISA hasil pembagian. Contoh: 14 permen dibagi ke 4 anak, masing-masing dapat 3 dan SISA 2 permen (MOD = 2).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MOD)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MOD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'=MOD(B11,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MOD(B11,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MOD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MOD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MOD(B20, C20)</f>
        <v/>
      </c>
      <c r="H21" s="29" t="inlineStr">
        <is>
          <t>Ketik: =MOD(B20,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MOD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MOD(B28, C28)</f>
        <v/>
      </c>
      <c r="H29" s="29" t="inlineStr">
        <is>
          <t>Ketik: =MOD(B28,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MOD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MOD(B36, C36)</f>
        <v/>
      </c>
      <c r="H37" s="29" t="inlineStr">
        <is>
          <t>Ketik: =MOD(B36,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MOD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MOD(B44, C44)</f>
        <v/>
      </c>
      <c r="H45" s="29" t="inlineStr">
        <is>
          <t>Ketik: =MOD(B44,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MOD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MOD(B52, C52)</f>
        <v/>
      </c>
      <c r="H53" s="29" t="inlineStr">
        <is>
          <t>Ketik: =MOD(B52,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#015 — RUMUS EXCEL: QUOTIENT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(QUOTIENT)</t>
        </is>
      </c>
    </row>
    <row r="5" ht="21" customHeight="1">
      <c r="B5" s="12" t="inlineStr">
        <is>
          <t>Nama Rumus Excel</t>
        </is>
      </c>
      <c r="C5" s="13">
        <f>QUOTIENT(...)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QUOTIENT(pembilang, penyebut)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Mengambil hasil bagi BULAT saja dan membuang sisanya. Contoh: 14 dibagi 4 hasilnya 3 (sisanya diabaikan).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QUOTIENT)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QUOTIENT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'=QUOTIENT(B11,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QUOTIENT(B11,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QUOTIENT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QUOTIENT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QUOTIENT(B20, C20)</f>
        <v/>
      </c>
      <c r="H21" s="29" t="inlineStr">
        <is>
          <t>Ketik: =QUOTIENT(B20,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QUOTIENT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QUOTIENT(B28, C28)</f>
        <v/>
      </c>
      <c r="H29" s="29" t="inlineStr">
        <is>
          <t>Ketik: =QUOTIENT(B28,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QUOTIENT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QUOTIENT(B36, C36)</f>
        <v/>
      </c>
      <c r="H37" s="29" t="inlineStr">
        <is>
          <t>Ketik: =QUOTIENT(B36,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QUOTIENT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QUOTIENT(B44, C44)</f>
        <v/>
      </c>
      <c r="H45" s="29" t="inlineStr">
        <is>
          <t>Ketik: =QUOTIENT(B44,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QUOTIENT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QUOTIENT(B52, C52)</f>
        <v/>
      </c>
      <c r="H53" s="29" t="inlineStr">
        <is>
          <t>Ketik: =QUOTIENT(B52,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#016 — RUMUS EXCEL: ABS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(ABS)</t>
        </is>
      </c>
    </row>
    <row r="5" ht="21" customHeight="1">
      <c r="B5" s="12" t="inlineStr">
        <is>
          <t>Nama Rumus Excel</t>
        </is>
      </c>
      <c r="C5" s="13">
        <f>ABS(...)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ABS(angka)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angka minus (negatif) menjadi positif (Nilai Mutlak). Cocok untuk menghitung selisih jarak atau deviasi stok tanpa tanda minus.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ABS)</t>
        </is>
      </c>
    </row>
    <row r="10">
      <c r="B10" s="16" t="inlineStr">
        <is>
          <t xml:space="preserve"> Pos Audit</t>
        </is>
      </c>
      <c r="C10" s="16" t="inlineStr">
        <is>
          <t>Selisih Stok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-150</v>
      </c>
      <c r="E11" s="19" t="inlineStr">
        <is>
          <t>Kasus Contoh:</t>
        </is>
      </c>
      <c r="F11" s="20" t="inlineStr">
        <is>
          <t>Gunakan rumus ABS pada nilai selisih di sel C11 (-150)!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'=ABS(C11)</t>
        </is>
      </c>
    </row>
    <row r="13">
      <c r="B13" s="18" t="inlineStr">
        <is>
          <t>Cabang Surabaya</t>
        </is>
      </c>
      <c r="C13" s="18" t="n">
        <v>-75</v>
      </c>
      <c r="E13" s="19" t="inlineStr">
        <is>
          <t>Hasil Otomatis Excel:</t>
        </is>
      </c>
      <c r="F13" s="22">
        <f>ABS(C11)</f>
        <v/>
      </c>
    </row>
    <row r="14">
      <c r="B14" s="18" t="inlineStr">
        <is>
          <t>Cabang Medan</t>
        </is>
      </c>
      <c r="C14" s="18" t="n">
        <v>0</v>
      </c>
    </row>
    <row r="16" ht="26" customHeight="1">
      <c r="B16" s="23" t="inlineStr">
        <is>
          <t>3️⃣ 5 PERSOALAN DUNIA NYATA (KETIK RUMUS ABS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 xml:space="preserve"> Pos Audit</t>
        </is>
      </c>
      <c r="C19" s="12" t="inlineStr">
        <is>
          <t>Selisih Stok</t>
        </is>
      </c>
      <c r="E19" s="25" t="inlineStr">
        <is>
          <t>Persoalan #1: Gunakan rumus ABS pada nilai selisih di sel C20 (-150)!</t>
        </is>
      </c>
    </row>
    <row r="20">
      <c r="B20" s="18" t="inlineStr">
        <is>
          <t>Cabang Jakarta</t>
        </is>
      </c>
      <c r="C20" s="18" t="n">
        <v>-150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ABS(C20)</f>
        <v/>
      </c>
      <c r="H21" s="29" t="inlineStr">
        <is>
          <t>Ketik: =ABS(C20)</t>
        </is>
      </c>
    </row>
    <row r="22">
      <c r="B22" s="18" t="inlineStr">
        <is>
          <t>Cabang Surabaya</t>
        </is>
      </c>
      <c r="C22" s="18" t="n">
        <v>-75</v>
      </c>
    </row>
    <row r="23">
      <c r="B23" s="18" t="inlineStr">
        <is>
          <t>Cabang Medan</t>
        </is>
      </c>
      <c r="C23" s="18" t="n">
        <v>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 xml:space="preserve"> Pos Audit</t>
        </is>
      </c>
      <c r="C27" s="12" t="inlineStr">
        <is>
          <t>Selisih Stok</t>
        </is>
      </c>
      <c r="E27" s="25" t="inlineStr">
        <is>
          <t>Persoalan #2: Gunakan rumus ABS pada nilai selisih di sel C28 (-300)!</t>
        </is>
      </c>
    </row>
    <row r="28">
      <c r="B28" s="18" t="inlineStr">
        <is>
          <t>Budi Santoso</t>
        </is>
      </c>
      <c r="C28" s="18" t="n">
        <v>-300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400</v>
      </c>
      <c r="E29" s="26" t="n"/>
      <c r="F29" s="27">
        <f>IF(ISBLANK(E29), "⏳ Ketik rumus di sel kuning E29", IF(E29=G29, "✅ BENAR! LUAR BIASA!", "❌ Belum Tepat, Cek Kunci"))</f>
        <v/>
      </c>
      <c r="G29" s="28">
        <f>ABS(C28)</f>
        <v/>
      </c>
      <c r="H29" s="29" t="inlineStr">
        <is>
          <t>Ketik: =ABS(C28)</t>
        </is>
      </c>
    </row>
    <row r="30">
      <c r="B30" s="18" t="inlineStr">
        <is>
          <t>Andi Pratama</t>
        </is>
      </c>
      <c r="C30" s="18" t="n">
        <v>-150</v>
      </c>
    </row>
    <row r="31">
      <c r="B31" s="18" t="inlineStr">
        <is>
          <t>Rina Wijaya</t>
        </is>
      </c>
      <c r="C31" s="18" t="n">
        <v>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 xml:space="preserve"> Pos Audit</t>
        </is>
      </c>
      <c r="C35" s="12" t="inlineStr">
        <is>
          <t>Selisih Stok</t>
        </is>
      </c>
      <c r="E35" s="25" t="inlineStr">
        <is>
          <t>Persoalan #3: Gunakan rumus ABS pada nilai selisih di sel C36 (-450)!</t>
        </is>
      </c>
    </row>
    <row r="36">
      <c r="B36" s="18" t="inlineStr">
        <is>
          <t>Gudang Blok A</t>
        </is>
      </c>
      <c r="C36" s="18" t="n">
        <v>-450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600</v>
      </c>
      <c r="E37" s="26" t="n"/>
      <c r="F37" s="27">
        <f>IF(ISBLANK(E37), "⏳ Ketik rumus di sel kuning E37", IF(E37=G37, "✅ BENAR! LUAR BIASA!", "❌ Belum Tepat, Cek Kunci"))</f>
        <v/>
      </c>
      <c r="G37" s="28">
        <f>ABS(C36)</f>
        <v/>
      </c>
      <c r="H37" s="29" t="inlineStr">
        <is>
          <t>Ketik: =ABS(C36)</t>
        </is>
      </c>
    </row>
    <row r="38">
      <c r="B38" s="18" t="inlineStr">
        <is>
          <t>Gudang Blok C</t>
        </is>
      </c>
      <c r="C38" s="18" t="n">
        <v>-225</v>
      </c>
    </row>
    <row r="39">
      <c r="B39" s="18" t="inlineStr">
        <is>
          <t>Gudang Blok D</t>
        </is>
      </c>
      <c r="C39" s="18" t="n">
        <v>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 xml:space="preserve"> Pos Audit</t>
        </is>
      </c>
      <c r="C43" s="12" t="inlineStr">
        <is>
          <t>Selisih Stok</t>
        </is>
      </c>
      <c r="E43" s="25" t="inlineStr">
        <is>
          <t>Persoalan #4: Gunakan rumus ABS pada nilai selisih di sel C44 (-600)!</t>
        </is>
      </c>
    </row>
    <row r="44">
      <c r="B44" s="18" t="inlineStr">
        <is>
          <t>Toko Elektronik</t>
        </is>
      </c>
      <c r="C44" s="18" t="n">
        <v>-600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</v>
      </c>
      <c r="E45" s="26" t="n"/>
      <c r="F45" s="27">
        <f>IF(ISBLANK(E45), "⏳ Ketik rumus di sel kuning E45", IF(E45=G45, "✅ BENAR! LUAR BIASA!", "❌ Belum Tepat, Cek Kunci"))</f>
        <v/>
      </c>
      <c r="G45" s="28">
        <f>ABS(C44)</f>
        <v/>
      </c>
      <c r="H45" s="29" t="inlineStr">
        <is>
          <t>Ketik: =ABS(C44)</t>
        </is>
      </c>
    </row>
    <row r="46">
      <c r="B46" s="18" t="inlineStr">
        <is>
          <t>Toko Aksesoris</t>
        </is>
      </c>
      <c r="C46" s="18" t="n">
        <v>-300</v>
      </c>
    </row>
    <row r="47">
      <c r="B47" s="18" t="inlineStr">
        <is>
          <t>Toko Servis</t>
        </is>
      </c>
      <c r="C47" s="18" t="n">
        <v>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 xml:space="preserve"> Pos Audit</t>
        </is>
      </c>
      <c r="C51" s="12" t="inlineStr">
        <is>
          <t>Selisih Stok</t>
        </is>
      </c>
      <c r="E51" s="25" t="inlineStr">
        <is>
          <t>Persoalan #5: Gunakan rumus ABS pada nilai selisih di sel C52 (-750)!</t>
        </is>
      </c>
    </row>
    <row r="52">
      <c r="B52" s="18" t="inlineStr">
        <is>
          <t>Kelas 10 IPA</t>
        </is>
      </c>
      <c r="C52" s="18" t="n">
        <v>-750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1000</v>
      </c>
      <c r="E53" s="26" t="n"/>
      <c r="F53" s="27">
        <f>IF(ISBLANK(E53), "⏳ Ketik rumus di sel kuning E53", IF(E53=G53, "✅ BENAR! LUAR BIASA!", "❌ Belum Tepat, Cek Kunci"))</f>
        <v/>
      </c>
      <c r="G53" s="28">
        <f>ABS(C52)</f>
        <v/>
      </c>
      <c r="H53" s="29" t="inlineStr">
        <is>
          <t>Ketik: =ABS(C52)</t>
        </is>
      </c>
    </row>
    <row r="54">
      <c r="B54" s="18" t="inlineStr">
        <is>
          <t>Kelas 12 IPA</t>
        </is>
      </c>
      <c r="C54" s="18" t="n">
        <v>-375</v>
      </c>
    </row>
    <row r="55">
      <c r="B55" s="18" t="inlineStr">
        <is>
          <t>Kelas Unggulan</t>
        </is>
      </c>
      <c r="C55" s="18" t="n">
        <v>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#017 — RUMUS EXCEL: POWER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(POWER)</t>
        </is>
      </c>
    </row>
    <row r="5" ht="21" customHeight="1">
      <c r="B5" s="12" t="inlineStr">
        <is>
          <t>Nama Rumus Excel</t>
        </is>
      </c>
      <c r="C5" s="13">
        <f>POWER(...)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POWER(angka, pangkat)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perpangkatan angka (misal 5 pangkat 3 = 125).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POWER)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3</v>
      </c>
      <c r="E11" s="19" t="inlineStr">
        <is>
          <t>Kasus Contoh:</t>
        </is>
      </c>
      <c r="F11" s="20" t="inlineStr">
        <is>
          <t>Gunakan rumus POWER pada angka pertama di B11 (25) dan angka kedua di C11 (3)!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'=POWER(B11,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POWER(B11,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POWER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POWER pada angka pertama di B20 (25) dan angka kedua di C20 (3)!</t>
        </is>
      </c>
    </row>
    <row r="20">
      <c r="B20" s="18" t="n">
        <v>25</v>
      </c>
      <c r="C20" s="18" t="n">
        <v>3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POWER(B20, C20)</f>
        <v/>
      </c>
      <c r="H21" s="29" t="inlineStr">
        <is>
          <t>Ketik: =POWER(B20,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POWER pada angka pertama di B28 (31) dan angka kedua di C28 (3)!</t>
        </is>
      </c>
    </row>
    <row r="28">
      <c r="B28" s="18" t="n">
        <v>31</v>
      </c>
      <c r="C28" s="18" t="n">
        <v>3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POWER(B28, C28)</f>
        <v/>
      </c>
      <c r="H29" s="29" t="inlineStr">
        <is>
          <t>Ketik: =POWER(B28,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POWER pada angka pertama di B36 (37) dan angka kedua di C36 (3)!</t>
        </is>
      </c>
    </row>
    <row r="36">
      <c r="B36" s="18" t="n">
        <v>37</v>
      </c>
      <c r="C36" s="18" t="n">
        <v>3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POWER(B36, C36)</f>
        <v/>
      </c>
      <c r="H37" s="29" t="inlineStr">
        <is>
          <t>Ketik: =POWER(B36,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POWER pada angka pertama di B44 (43) dan angka kedua di C44 (3)!</t>
        </is>
      </c>
    </row>
    <row r="44">
      <c r="B44" s="18" t="n">
        <v>43</v>
      </c>
      <c r="C44" s="18" t="n">
        <v>3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POWER(B44, C44)</f>
        <v/>
      </c>
      <c r="H45" s="29" t="inlineStr">
        <is>
          <t>Ketik: =POWER(B44,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POWER pada angka pertama di B52 (49) dan angka kedua di C52 (3)!</t>
        </is>
      </c>
    </row>
    <row r="52">
      <c r="B52" s="18" t="n">
        <v>49</v>
      </c>
      <c r="C52" s="18" t="n">
        <v>3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POWER(B52, C52)</f>
        <v/>
      </c>
      <c r="H53" s="29" t="inlineStr">
        <is>
          <t>Ketik: =POWER(B52,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#018 — RUMUS EXCEL: SQRT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(SQRT)</t>
        </is>
      </c>
    </row>
    <row r="5" ht="21" customHeight="1">
      <c r="B5" s="12" t="inlineStr">
        <is>
          <t>Nama Rumus Excel</t>
        </is>
      </c>
      <c r="C5" s="13">
        <f>SQRT(...)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SQRT(angka)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akar kuadrat dari suatu angka (misal akar dari 144 adalah 12).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SQRT)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16</v>
      </c>
      <c r="E11" s="19" t="inlineStr">
        <is>
          <t>Kasus Contoh:</t>
        </is>
      </c>
      <c r="F11" s="20" t="inlineStr">
        <is>
          <t>Terapkan rumus SQRT pada nilai di sel C11 (16)!</t>
        </is>
      </c>
    </row>
    <row r="12">
      <c r="B12" s="18" t="inlineStr">
        <is>
          <t>Cabang Bandung</t>
        </is>
      </c>
      <c r="C12" s="18" t="n">
        <v>64</v>
      </c>
      <c r="E12" s="19" t="inlineStr">
        <is>
          <t>Rumus yang Diketik:</t>
        </is>
      </c>
      <c r="F12" s="21" t="inlineStr">
        <is>
          <t>'=SQRT(C11)</t>
        </is>
      </c>
    </row>
    <row r="13">
      <c r="B13" s="18" t="inlineStr">
        <is>
          <t>Cabang Surabaya</t>
        </is>
      </c>
      <c r="C13" s="18" t="n">
        <v>81</v>
      </c>
      <c r="E13" s="19" t="inlineStr">
        <is>
          <t>Hasil Otomatis Excel:</t>
        </is>
      </c>
      <c r="F13" s="22">
        <f>SQRT(C11)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SQRT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SQRT pada nilai di sel C20 (16)!</t>
        </is>
      </c>
    </row>
    <row r="20">
      <c r="B20" s="18" t="inlineStr">
        <is>
          <t>Cabang Jakarta</t>
        </is>
      </c>
      <c r="C20" s="18" t="n">
        <v>16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64</v>
      </c>
      <c r="E21" s="26" t="n"/>
      <c r="F21" s="27">
        <f>IF(ISBLANK(E21), "⏳ Ketik rumus di sel kuning E21", IF(E21=G21, "✅ BENAR! LUAR BIASA!", "❌ Belum Tepat, Cek Kunci"))</f>
        <v/>
      </c>
      <c r="G21" s="28">
        <f>SQRT(C20)</f>
        <v/>
      </c>
      <c r="H21" s="29" t="inlineStr">
        <is>
          <t>Ketik: =SQRT(C20)</t>
        </is>
      </c>
    </row>
    <row r="22">
      <c r="B22" s="18" t="inlineStr">
        <is>
          <t>Cabang Surabaya</t>
        </is>
      </c>
      <c r="C22" s="18" t="n">
        <v>81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SQRT pada nilai di sel C28 (25)!</t>
        </is>
      </c>
    </row>
    <row r="28">
      <c r="B28" s="18" t="inlineStr">
        <is>
          <t>Budi Santoso</t>
        </is>
      </c>
      <c r="C28" s="18" t="n">
        <v>25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64</v>
      </c>
      <c r="E29" s="26" t="n"/>
      <c r="F29" s="27">
        <f>IF(ISBLANK(E29), "⏳ Ketik rumus di sel kuning E29", IF(E29=G29, "✅ BENAR! LUAR BIASA!", "❌ Belum Tepat, Cek Kunci"))</f>
        <v/>
      </c>
      <c r="G29" s="28">
        <f>SQRT(C28)</f>
        <v/>
      </c>
      <c r="H29" s="29" t="inlineStr">
        <is>
          <t>Ketik: =SQRT(C28)</t>
        </is>
      </c>
    </row>
    <row r="30">
      <c r="B30" s="18" t="inlineStr">
        <is>
          <t>Andi Pratama</t>
        </is>
      </c>
      <c r="C30" s="18" t="n">
        <v>81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SQRT pada nilai di sel C36 (36)!</t>
        </is>
      </c>
    </row>
    <row r="36">
      <c r="B36" s="18" t="inlineStr">
        <is>
          <t>Gudang Blok A</t>
        </is>
      </c>
      <c r="C36" s="18" t="n">
        <v>36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64</v>
      </c>
      <c r="E37" s="26" t="n"/>
      <c r="F37" s="27">
        <f>IF(ISBLANK(E37), "⏳ Ketik rumus di sel kuning E37", IF(E37=G37, "✅ BENAR! LUAR BIASA!", "❌ Belum Tepat, Cek Kunci"))</f>
        <v/>
      </c>
      <c r="G37" s="28">
        <f>SQRT(C36)</f>
        <v/>
      </c>
      <c r="H37" s="29" t="inlineStr">
        <is>
          <t>Ketik: =SQRT(C36)</t>
        </is>
      </c>
    </row>
    <row r="38">
      <c r="B38" s="18" t="inlineStr">
        <is>
          <t>Gudang Blok C</t>
        </is>
      </c>
      <c r="C38" s="18" t="n">
        <v>81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SQRT pada nilai di sel C44 (49)!</t>
        </is>
      </c>
    </row>
    <row r="44">
      <c r="B44" s="18" t="inlineStr">
        <is>
          <t>Toko Elektronik</t>
        </is>
      </c>
      <c r="C44" s="18" t="n">
        <v>49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64</v>
      </c>
      <c r="E45" s="26" t="n"/>
      <c r="F45" s="27">
        <f>IF(ISBLANK(E45), "⏳ Ketik rumus di sel kuning E45", IF(E45=G45, "✅ BENAR! LUAR BIASA!", "❌ Belum Tepat, Cek Kunci"))</f>
        <v/>
      </c>
      <c r="G45" s="28">
        <f>SQRT(C44)</f>
        <v/>
      </c>
      <c r="H45" s="29" t="inlineStr">
        <is>
          <t>Ketik: =SQRT(C44)</t>
        </is>
      </c>
    </row>
    <row r="46">
      <c r="B46" s="18" t="inlineStr">
        <is>
          <t>Toko Aksesoris</t>
        </is>
      </c>
      <c r="C46" s="18" t="n">
        <v>81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SQRT pada nilai di sel C52 (64)!</t>
        </is>
      </c>
    </row>
    <row r="52">
      <c r="B52" s="18" t="inlineStr">
        <is>
          <t>Kelas 10 IPA</t>
        </is>
      </c>
      <c r="C52" s="18" t="n">
        <v>64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64</v>
      </c>
      <c r="E53" s="26" t="n"/>
      <c r="F53" s="27">
        <f>IF(ISBLANK(E53), "⏳ Ketik rumus di sel kuning E53", IF(E53=G53, "✅ BENAR! LUAR BIASA!", "❌ Belum Tepat, Cek Kunci"))</f>
        <v/>
      </c>
      <c r="G53" s="28">
        <f>SQRT(C52)</f>
        <v/>
      </c>
      <c r="H53" s="29" t="inlineStr">
        <is>
          <t>Ketik: =SQRT(C52)</t>
        </is>
      </c>
    </row>
    <row r="54">
      <c r="B54" s="18" t="inlineStr">
        <is>
          <t>Kelas 12 IPA</t>
        </is>
      </c>
      <c r="C54" s="18" t="n">
        <v>81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#019 — RUMUS EXCEL: SUBTOTAL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(SUBTOTAL)</t>
        </is>
      </c>
    </row>
    <row r="5" ht="21" customHeight="1">
      <c r="B5" s="12" t="inlineStr">
        <is>
          <t>Nama Rumus Excel</t>
        </is>
      </c>
      <c r="C5" s="13">
        <f>SUBTOTAL(...)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SUBTOTAL(kode_fungsi, range)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total/rata-rata yang PINTAR karena otomatis mengabaikan baris yang sedang disembunyikan oleh Filter!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SUBTOTAL)</t>
        </is>
      </c>
    </row>
    <row r="10">
      <c r="B10" s="16" t="inlineStr">
        <is>
          <t>Divisi Kerja</t>
        </is>
      </c>
      <c r="C10" s="16" t="inlineStr">
        <is>
          <t>Anggaran Biaya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Hitung total penjumlahan dinamis (kode fungsi 9) pada rentang C11:C14 menggunakan rumus SUBTOTAL!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'=SUBTOTAL(9, 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SUBTOTAL(9, 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SUBTOTAL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Divisi Kerja</t>
        </is>
      </c>
      <c r="C19" s="12" t="inlineStr">
        <is>
          <t>Anggaran Biaya</t>
        </is>
      </c>
      <c r="E19" s="25" t="inlineStr">
        <is>
          <t>Persoalan #1: Hitung total penjumlahan dinamis (kode fungsi 9) pada rentang C20:C23 menggunakan rumus SUBTOTAL!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SUBTOTAL(9, C20:C23)</f>
        <v/>
      </c>
      <c r="H21" s="29" t="inlineStr">
        <is>
          <t>Ketik: =SUBTOTAL(9, 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Divisi Kerja</t>
        </is>
      </c>
      <c r="C27" s="12" t="inlineStr">
        <is>
          <t>Anggaran Biaya</t>
        </is>
      </c>
      <c r="E27" s="25" t="inlineStr">
        <is>
          <t>Persoalan #2: Hitung total penjumlahan dinamis (kode fungsi 9) pada rentang C28:C31 menggunakan rumus SUBTOTAL!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SUBTOTAL(9, C28:C31)</f>
        <v/>
      </c>
      <c r="H29" s="29" t="inlineStr">
        <is>
          <t>Ketik: =SUBTOTAL(9, 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Divisi Kerja</t>
        </is>
      </c>
      <c r="C35" s="12" t="inlineStr">
        <is>
          <t>Anggaran Biaya</t>
        </is>
      </c>
      <c r="E35" s="25" t="inlineStr">
        <is>
          <t>Persoalan #3: Hitung total penjumlahan dinamis (kode fungsi 9) pada rentang C36:C39 menggunakan rumus SUBTOTAL!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SUBTOTAL(9, C36:C39)</f>
        <v/>
      </c>
      <c r="H37" s="29" t="inlineStr">
        <is>
          <t>Ketik: =SUBTOTAL(9, 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Divisi Kerja</t>
        </is>
      </c>
      <c r="C43" s="12" t="inlineStr">
        <is>
          <t>Anggaran Biaya</t>
        </is>
      </c>
      <c r="E43" s="25" t="inlineStr">
        <is>
          <t>Persoalan #4: Hitung total penjumlahan dinamis (kode fungsi 9) pada rentang C44:C47 menggunakan rumus SUBTOTAL!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SUBTOTAL(9, C44:C47)</f>
        <v/>
      </c>
      <c r="H45" s="29" t="inlineStr">
        <is>
          <t>Ketik: =SUBTOTAL(9, 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Divisi Kerja</t>
        </is>
      </c>
      <c r="C51" s="12" t="inlineStr">
        <is>
          <t>Anggaran Biaya</t>
        </is>
      </c>
      <c r="E51" s="25" t="inlineStr">
        <is>
          <t>Persoalan #5: Hitung total penjumlahan dinamis (kode fungsi 9) pada rentang C52:C55 menggunakan rumus SUBTOTAL!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SUBTOTAL(9, C52:C55)</f>
        <v/>
      </c>
      <c r="H53" s="29" t="inlineStr">
        <is>
          <t>Ketik: =SUBTOTAL(9, 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#020 — RUMUS EXCEL: AGGREGATE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(AGGREGATE)</t>
        </is>
      </c>
    </row>
    <row r="5" ht="21" customHeight="1">
      <c r="B5" s="12" t="inlineStr">
        <is>
          <t>Nama Rumus Excel</t>
        </is>
      </c>
      <c r="C5" s="13">
        <f>AGGREGATE(...)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AGGREGATE(kode_fungsi, opsi_abaikan, range)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Versi super dari SUBTOTAL yang sanggup mengabaikan baris tersembunyi SEKALIGUS mengabaikan sel yang error (#N/A atau #DIV/0!).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AGGREGATE)</t>
        </is>
      </c>
    </row>
    <row r="10">
      <c r="B10" s="16" t="inlineStr">
        <is>
          <t>Divisi Kerja</t>
        </is>
      </c>
      <c r="C10" s="16" t="inlineStr">
        <is>
          <t>Anggaran Biaya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Hitung penjumlahan (kode 9) dengan mengabaikan error (opsi 6) pada rentang C11:C14 menggunakan AGGREGATE!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'=AGGREGATE(9, 6, C11:C14)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AGGREGATE(9, 6, C11:C14)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AGGREGATE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Divisi Kerja</t>
        </is>
      </c>
      <c r="C19" s="12" t="inlineStr">
        <is>
          <t>Anggaran Biaya</t>
        </is>
      </c>
      <c r="E19" s="25" t="inlineStr">
        <is>
          <t>Persoalan #1: Hitung penjumlahan (kode 9) dengan mengabaikan error (opsi 6) pada rentang C20:C23 menggunakan AGGREGATE!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AGGREGATE(9, 6, C20:C23)</f>
        <v/>
      </c>
      <c r="H21" s="29" t="inlineStr">
        <is>
          <t>Ketik: =AGGREGATE(9, 6, C20:C23)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Divisi Kerja</t>
        </is>
      </c>
      <c r="C27" s="12" t="inlineStr">
        <is>
          <t>Anggaran Biaya</t>
        </is>
      </c>
      <c r="E27" s="25" t="inlineStr">
        <is>
          <t>Persoalan #2: Hitung penjumlahan (kode 9) dengan mengabaikan error (opsi 6) pada rentang C28:C31 menggunakan AGGREGATE!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AGGREGATE(9, 6, C28:C31)</f>
        <v/>
      </c>
      <c r="H29" s="29" t="inlineStr">
        <is>
          <t>Ketik: =AGGREGATE(9, 6, C28:C31)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Divisi Kerja</t>
        </is>
      </c>
      <c r="C35" s="12" t="inlineStr">
        <is>
          <t>Anggaran Biaya</t>
        </is>
      </c>
      <c r="E35" s="25" t="inlineStr">
        <is>
          <t>Persoalan #3: Hitung penjumlahan (kode 9) dengan mengabaikan error (opsi 6) pada rentang C36:C39 menggunakan AGGREGATE!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AGGREGATE(9, 6, C36:C39)</f>
        <v/>
      </c>
      <c r="H37" s="29" t="inlineStr">
        <is>
          <t>Ketik: =AGGREGATE(9, 6, C36:C39)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Divisi Kerja</t>
        </is>
      </c>
      <c r="C43" s="12" t="inlineStr">
        <is>
          <t>Anggaran Biaya</t>
        </is>
      </c>
      <c r="E43" s="25" t="inlineStr">
        <is>
          <t>Persoalan #4: Hitung penjumlahan (kode 9) dengan mengabaikan error (opsi 6) pada rentang C44:C47 menggunakan AGGREGATE!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AGGREGATE(9, 6, C44:C47)</f>
        <v/>
      </c>
      <c r="H45" s="29" t="inlineStr">
        <is>
          <t>Ketik: =AGGREGATE(9, 6, C44:C47)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Divisi Kerja</t>
        </is>
      </c>
      <c r="C51" s="12" t="inlineStr">
        <is>
          <t>Anggaran Biaya</t>
        </is>
      </c>
      <c r="E51" s="25" t="inlineStr">
        <is>
          <t>Persoalan #5: Hitung penjumlahan (kode 9) dengan mengabaikan error (opsi 6) pada rentang C52:C55 menggunakan AGGREGATE!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AGGREGATE(9, 6, C52:C55)</f>
        <v/>
      </c>
      <c r="H53" s="29" t="inlineStr">
        <is>
          <t>Ketik: =AGGREGATE(9, 6, C52:C55)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#021 — RUMUS EXCEL: RANDBETWEEN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(RANDBETWEEN)</t>
        </is>
      </c>
    </row>
    <row r="5" ht="21" customHeight="1">
      <c r="B5" s="12" t="inlineStr">
        <is>
          <t>Nama Rumus Excel</t>
        </is>
      </c>
      <c r="C5" s="13">
        <f>RANDBETWEEN(...)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RANDBETWEEN(batas_bawah, batas_atas)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angka acak bulat di antara batas bawah dan atas (cocok untuk undian doorprize atau simulasi data).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RANDBETWEEN)</t>
        </is>
      </c>
    </row>
    <row r="10">
      <c r="B10" s="16" t="inlineStr">
        <is>
          <t>Parameter Undian</t>
        </is>
      </c>
      <c r="C10" s="16" t="inlineStr">
        <is>
          <t>Batas 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</v>
      </c>
      <c r="E11" s="19" t="inlineStr">
        <is>
          <t>Kasus Contoh:</t>
        </is>
      </c>
      <c r="F11" s="20" t="inlineStr">
        <is>
          <t>Gunakan rumus RANDBETWEEN dengan batas bawah C11 dan batas atas C11!</t>
        </is>
      </c>
    </row>
    <row r="12">
      <c r="B12" s="18" t="inlineStr">
        <is>
          <t>Cabang Bandung</t>
        </is>
      </c>
      <c r="C12" s="18" t="n">
        <v>500</v>
      </c>
      <c r="E12" s="19" t="inlineStr">
        <is>
          <t>Rumus yang Diketik:</t>
        </is>
      </c>
      <c r="F12" s="21" t="inlineStr">
        <is>
          <t>'=RANDBETWEEN(C11, C11)</t>
        </is>
      </c>
    </row>
    <row r="13">
      <c r="B13" s="18" t="inlineStr">
        <is>
          <t>Cabang Surabaya</t>
        </is>
      </c>
      <c r="C13" s="18" t="n">
        <v>10</v>
      </c>
      <c r="E13" s="19" t="inlineStr">
        <is>
          <t>Hasil Otomatis Excel:</t>
        </is>
      </c>
      <c r="F13" s="22">
        <f>RANDBETWEEN(C11, C11)</f>
        <v/>
      </c>
    </row>
    <row r="14">
      <c r="B14" s="18" t="inlineStr">
        <is>
          <t>Cabang Medan</t>
        </is>
      </c>
      <c r="C14" s="18" t="n">
        <v>50</v>
      </c>
    </row>
    <row r="16" ht="26" customHeight="1">
      <c r="B16" s="23" t="inlineStr">
        <is>
          <t>3️⃣ 5 PERSOALAN DUNIA NYATA (KETIK RUMUS RANDBETWEEN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Undian</t>
        </is>
      </c>
      <c r="C19" s="12" t="inlineStr">
        <is>
          <t>Batas Nilai</t>
        </is>
      </c>
      <c r="E19" s="25" t="inlineStr">
        <is>
          <t>Persoalan #1: Gunakan rumus RANDBETWEEN dengan batas bawah C20 dan batas atas C20!</t>
        </is>
      </c>
    </row>
    <row r="20">
      <c r="B20" s="18" t="inlineStr">
        <is>
          <t>Cabang Jakarta</t>
        </is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500</v>
      </c>
      <c r="E21" s="26" t="n"/>
      <c r="F21" s="27">
        <f>IF(ISBLANK(E21), "⏳ Ketik rumus di sel kuning E21", IF(E21=G21, "✅ BENAR! LUAR BIASA!", "❌ Belum Tepat, Cek Kunci"))</f>
        <v/>
      </c>
      <c r="G21" s="28">
        <f>RANDBETWEEN(C20, C20)</f>
        <v/>
      </c>
      <c r="H21" s="29" t="inlineStr">
        <is>
          <t>Ketik: =RANDBETWEEN(C20, C20)</t>
        </is>
      </c>
    </row>
    <row r="22">
      <c r="B22" s="18" t="inlineStr">
        <is>
          <t>Cabang Surabaya</t>
        </is>
      </c>
      <c r="C22" s="18" t="n">
        <v>10</v>
      </c>
    </row>
    <row r="23">
      <c r="B23" s="18" t="inlineStr">
        <is>
          <t>Cabang Medan</t>
        </is>
      </c>
      <c r="C23" s="18" t="n">
        <v>50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Undian</t>
        </is>
      </c>
      <c r="C27" s="12" t="inlineStr">
        <is>
          <t>Batas Nilai</t>
        </is>
      </c>
      <c r="E27" s="25" t="inlineStr">
        <is>
          <t>Persoalan #2: Gunakan rumus RANDBETWEEN dengan batas bawah C28 dan batas atas C28!</t>
        </is>
      </c>
    </row>
    <row r="28">
      <c r="B28" s="18" t="inlineStr">
        <is>
          <t>Budi Santoso</t>
        </is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1000</v>
      </c>
      <c r="E29" s="26" t="n"/>
      <c r="F29" s="27">
        <f>IF(ISBLANK(E29), "⏳ Ketik rumus di sel kuning E29", IF(E29=G29, "✅ BENAR! LUAR BIASA!", "❌ Belum Tepat, Cek Kunci"))</f>
        <v/>
      </c>
      <c r="G29" s="28">
        <f>RANDBETWEEN(C28, C28)</f>
        <v/>
      </c>
      <c r="H29" s="29" t="inlineStr">
        <is>
          <t>Ketik: =RANDBETWEEN(C28, C28)</t>
        </is>
      </c>
    </row>
    <row r="30">
      <c r="B30" s="18" t="inlineStr">
        <is>
          <t>Andi Pratama</t>
        </is>
      </c>
      <c r="C30" s="18" t="n">
        <v>10</v>
      </c>
    </row>
    <row r="31">
      <c r="B31" s="18" t="inlineStr">
        <is>
          <t>Rina Wijaya</t>
        </is>
      </c>
      <c r="C31" s="18" t="n">
        <v>50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Undian</t>
        </is>
      </c>
      <c r="C35" s="12" t="inlineStr">
        <is>
          <t>Batas Nilai</t>
        </is>
      </c>
      <c r="E35" s="25" t="inlineStr">
        <is>
          <t>Persoalan #3: Gunakan rumus RANDBETWEEN dengan batas bawah C36 dan batas atas C36!</t>
        </is>
      </c>
    </row>
    <row r="36">
      <c r="B36" s="18" t="inlineStr">
        <is>
          <t>Gudang Blok A</t>
        </is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1500</v>
      </c>
      <c r="E37" s="26" t="n"/>
      <c r="F37" s="27">
        <f>IF(ISBLANK(E37), "⏳ Ketik rumus di sel kuning E37", IF(E37=G37, "✅ BENAR! LUAR BIASA!", "❌ Belum Tepat, Cek Kunci"))</f>
        <v/>
      </c>
      <c r="G37" s="28">
        <f>RANDBETWEEN(C36, C36)</f>
        <v/>
      </c>
      <c r="H37" s="29" t="inlineStr">
        <is>
          <t>Ketik: =RANDBETWEEN(C36, C36)</t>
        </is>
      </c>
    </row>
    <row r="38">
      <c r="B38" s="18" t="inlineStr">
        <is>
          <t>Gudang Blok C</t>
        </is>
      </c>
      <c r="C38" s="18" t="n">
        <v>10</v>
      </c>
    </row>
    <row r="39">
      <c r="B39" s="18" t="inlineStr">
        <is>
          <t>Gudang Blok D</t>
        </is>
      </c>
      <c r="C39" s="18" t="n">
        <v>50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Undian</t>
        </is>
      </c>
      <c r="C43" s="12" t="inlineStr">
        <is>
          <t>Batas Nilai</t>
        </is>
      </c>
      <c r="E43" s="25" t="inlineStr">
        <is>
          <t>Persoalan #4: Gunakan rumus RANDBETWEEN dengan batas bawah C44 dan batas atas C44!</t>
        </is>
      </c>
    </row>
    <row r="44">
      <c r="B44" s="18" t="inlineStr">
        <is>
          <t>Toko Elektronik</t>
        </is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2000</v>
      </c>
      <c r="E45" s="26" t="n"/>
      <c r="F45" s="27">
        <f>IF(ISBLANK(E45), "⏳ Ketik rumus di sel kuning E45", IF(E45=G45, "✅ BENAR! LUAR BIASA!", "❌ Belum Tepat, Cek Kunci"))</f>
        <v/>
      </c>
      <c r="G45" s="28">
        <f>RANDBETWEEN(C44, C44)</f>
        <v/>
      </c>
      <c r="H45" s="29" t="inlineStr">
        <is>
          <t>Ketik: =RANDBETWEEN(C44, C44)</t>
        </is>
      </c>
    </row>
    <row r="46">
      <c r="B46" s="18" t="inlineStr">
        <is>
          <t>Toko Aksesoris</t>
        </is>
      </c>
      <c r="C46" s="18" t="n">
        <v>10</v>
      </c>
    </row>
    <row r="47">
      <c r="B47" s="18" t="inlineStr">
        <is>
          <t>Toko Servis</t>
        </is>
      </c>
      <c r="C47" s="18" t="n">
        <v>50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Undian</t>
        </is>
      </c>
      <c r="C51" s="12" t="inlineStr">
        <is>
          <t>Batas Nilai</t>
        </is>
      </c>
      <c r="E51" s="25" t="inlineStr">
        <is>
          <t>Persoalan #5: Gunakan rumus RANDBETWEEN dengan batas bawah C52 dan batas atas C52!</t>
        </is>
      </c>
    </row>
    <row r="52">
      <c r="B52" s="18" t="inlineStr">
        <is>
          <t>Kelas 10 IPA</t>
        </is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2500</v>
      </c>
      <c r="E53" s="26" t="n"/>
      <c r="F53" s="27">
        <f>IF(ISBLANK(E53), "⏳ Ketik rumus di sel kuning E53", IF(E53=G53, "✅ BENAR! LUAR BIASA!", "❌ Belum Tepat, Cek Kunci"))</f>
        <v/>
      </c>
      <c r="G53" s="28">
        <f>RANDBETWEEN(C52, C52)</f>
        <v/>
      </c>
      <c r="H53" s="29" t="inlineStr">
        <is>
          <t>Ketik: =RANDBETWEEN(C52, C52)</t>
        </is>
      </c>
    </row>
    <row r="54">
      <c r="B54" s="18" t="inlineStr">
        <is>
          <t>Kelas 12 IPA</t>
        </is>
      </c>
      <c r="C54" s="18" t="n">
        <v>10</v>
      </c>
    </row>
    <row r="55">
      <c r="B55" s="18" t="inlineStr">
        <is>
          <t>Kelas Unggulan</t>
        </is>
      </c>
      <c r="C55" s="18" t="n">
        <v>50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#022 — RUMUS EXCEL: SIGN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(SIGN)</t>
        </is>
      </c>
    </row>
    <row r="5" ht="21" customHeight="1">
      <c r="B5" s="12" t="inlineStr">
        <is>
          <t>Nama Rumus Excel</t>
        </is>
      </c>
      <c r="C5" s="13">
        <f>SIGN(...)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SIGN(angka)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Mengecek tanda angka: menghasilkan 1 jika positif (untung), 0 jika impas, dan -1 jika negatif (rugi).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SIGN)</t>
        </is>
      </c>
    </row>
    <row r="10">
      <c r="B10" s="16" t="inlineStr">
        <is>
          <t xml:space="preserve"> Pos Audit</t>
        </is>
      </c>
      <c r="C10" s="16" t="inlineStr">
        <is>
          <t>Selisih Stok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-150</v>
      </c>
      <c r="E11" s="19" t="inlineStr">
        <is>
          <t>Kasus Contoh:</t>
        </is>
      </c>
      <c r="F11" s="20" t="inlineStr">
        <is>
          <t>Gunakan rumus SIGN pada nilai selisih di sel C11 (-150)!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'=SIGN(C11)</t>
        </is>
      </c>
    </row>
    <row r="13">
      <c r="B13" s="18" t="inlineStr">
        <is>
          <t>Cabang Surabaya</t>
        </is>
      </c>
      <c r="C13" s="18" t="n">
        <v>-75</v>
      </c>
      <c r="E13" s="19" t="inlineStr">
        <is>
          <t>Hasil Otomatis Excel:</t>
        </is>
      </c>
      <c r="F13" s="22">
        <f>SIGN(C11)</f>
        <v/>
      </c>
    </row>
    <row r="14">
      <c r="B14" s="18" t="inlineStr">
        <is>
          <t>Cabang Medan</t>
        </is>
      </c>
      <c r="C14" s="18" t="n">
        <v>0</v>
      </c>
    </row>
    <row r="16" ht="26" customHeight="1">
      <c r="B16" s="23" t="inlineStr">
        <is>
          <t>3️⃣ 5 PERSOALAN DUNIA NYATA (KETIK RUMUS SIGN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 xml:space="preserve"> Pos Audit</t>
        </is>
      </c>
      <c r="C19" s="12" t="inlineStr">
        <is>
          <t>Selisih Stok</t>
        </is>
      </c>
      <c r="E19" s="25" t="inlineStr">
        <is>
          <t>Persoalan #1: Gunakan rumus SIGN pada nilai selisih di sel C20 (-150)!</t>
        </is>
      </c>
    </row>
    <row r="20">
      <c r="B20" s="18" t="inlineStr">
        <is>
          <t>Cabang Jakarta</t>
        </is>
      </c>
      <c r="C20" s="18" t="n">
        <v>-150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SIGN(C20)</f>
        <v/>
      </c>
      <c r="H21" s="29" t="inlineStr">
        <is>
          <t>Ketik: =SIGN(C20)</t>
        </is>
      </c>
    </row>
    <row r="22">
      <c r="B22" s="18" t="inlineStr">
        <is>
          <t>Cabang Surabaya</t>
        </is>
      </c>
      <c r="C22" s="18" t="n">
        <v>-75</v>
      </c>
    </row>
    <row r="23">
      <c r="B23" s="18" t="inlineStr">
        <is>
          <t>Cabang Medan</t>
        </is>
      </c>
      <c r="C23" s="18" t="n">
        <v>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 xml:space="preserve"> Pos Audit</t>
        </is>
      </c>
      <c r="C27" s="12" t="inlineStr">
        <is>
          <t>Selisih Stok</t>
        </is>
      </c>
      <c r="E27" s="25" t="inlineStr">
        <is>
          <t>Persoalan #2: Gunakan rumus SIGN pada nilai selisih di sel C28 (-300)!</t>
        </is>
      </c>
    </row>
    <row r="28">
      <c r="B28" s="18" t="inlineStr">
        <is>
          <t>Budi Santoso</t>
        </is>
      </c>
      <c r="C28" s="18" t="n">
        <v>-300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400</v>
      </c>
      <c r="E29" s="26" t="n"/>
      <c r="F29" s="27">
        <f>IF(ISBLANK(E29), "⏳ Ketik rumus di sel kuning E29", IF(E29=G29, "✅ BENAR! LUAR BIASA!", "❌ Belum Tepat, Cek Kunci"))</f>
        <v/>
      </c>
      <c r="G29" s="28">
        <f>SIGN(C28)</f>
        <v/>
      </c>
      <c r="H29" s="29" t="inlineStr">
        <is>
          <t>Ketik: =SIGN(C28)</t>
        </is>
      </c>
    </row>
    <row r="30">
      <c r="B30" s="18" t="inlineStr">
        <is>
          <t>Andi Pratama</t>
        </is>
      </c>
      <c r="C30" s="18" t="n">
        <v>-150</v>
      </c>
    </row>
    <row r="31">
      <c r="B31" s="18" t="inlineStr">
        <is>
          <t>Rina Wijaya</t>
        </is>
      </c>
      <c r="C31" s="18" t="n">
        <v>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 xml:space="preserve"> Pos Audit</t>
        </is>
      </c>
      <c r="C35" s="12" t="inlineStr">
        <is>
          <t>Selisih Stok</t>
        </is>
      </c>
      <c r="E35" s="25" t="inlineStr">
        <is>
          <t>Persoalan #3: Gunakan rumus SIGN pada nilai selisih di sel C36 (-450)!</t>
        </is>
      </c>
    </row>
    <row r="36">
      <c r="B36" s="18" t="inlineStr">
        <is>
          <t>Gudang Blok A</t>
        </is>
      </c>
      <c r="C36" s="18" t="n">
        <v>-450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600</v>
      </c>
      <c r="E37" s="26" t="n"/>
      <c r="F37" s="27">
        <f>IF(ISBLANK(E37), "⏳ Ketik rumus di sel kuning E37", IF(E37=G37, "✅ BENAR! LUAR BIASA!", "❌ Belum Tepat, Cek Kunci"))</f>
        <v/>
      </c>
      <c r="G37" s="28">
        <f>SIGN(C36)</f>
        <v/>
      </c>
      <c r="H37" s="29" t="inlineStr">
        <is>
          <t>Ketik: =SIGN(C36)</t>
        </is>
      </c>
    </row>
    <row r="38">
      <c r="B38" s="18" t="inlineStr">
        <is>
          <t>Gudang Blok C</t>
        </is>
      </c>
      <c r="C38" s="18" t="n">
        <v>-225</v>
      </c>
    </row>
    <row r="39">
      <c r="B39" s="18" t="inlineStr">
        <is>
          <t>Gudang Blok D</t>
        </is>
      </c>
      <c r="C39" s="18" t="n">
        <v>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 xml:space="preserve"> Pos Audit</t>
        </is>
      </c>
      <c r="C43" s="12" t="inlineStr">
        <is>
          <t>Selisih Stok</t>
        </is>
      </c>
      <c r="E43" s="25" t="inlineStr">
        <is>
          <t>Persoalan #4: Gunakan rumus SIGN pada nilai selisih di sel C44 (-600)!</t>
        </is>
      </c>
    </row>
    <row r="44">
      <c r="B44" s="18" t="inlineStr">
        <is>
          <t>Toko Elektronik</t>
        </is>
      </c>
      <c r="C44" s="18" t="n">
        <v>-600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800</v>
      </c>
      <c r="E45" s="26" t="n"/>
      <c r="F45" s="27">
        <f>IF(ISBLANK(E45), "⏳ Ketik rumus di sel kuning E45", IF(E45=G45, "✅ BENAR! LUAR BIASA!", "❌ Belum Tepat, Cek Kunci"))</f>
        <v/>
      </c>
      <c r="G45" s="28">
        <f>SIGN(C44)</f>
        <v/>
      </c>
      <c r="H45" s="29" t="inlineStr">
        <is>
          <t>Ketik: =SIGN(C44)</t>
        </is>
      </c>
    </row>
    <row r="46">
      <c r="B46" s="18" t="inlineStr">
        <is>
          <t>Toko Aksesoris</t>
        </is>
      </c>
      <c r="C46" s="18" t="n">
        <v>-300</v>
      </c>
    </row>
    <row r="47">
      <c r="B47" s="18" t="inlineStr">
        <is>
          <t>Toko Servis</t>
        </is>
      </c>
      <c r="C47" s="18" t="n">
        <v>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 xml:space="preserve"> Pos Audit</t>
        </is>
      </c>
      <c r="C51" s="12" t="inlineStr">
        <is>
          <t>Selisih Stok</t>
        </is>
      </c>
      <c r="E51" s="25" t="inlineStr">
        <is>
          <t>Persoalan #5: Gunakan rumus SIGN pada nilai selisih di sel C52 (-750)!</t>
        </is>
      </c>
    </row>
    <row r="52">
      <c r="B52" s="18" t="inlineStr">
        <is>
          <t>Kelas 10 IPA</t>
        </is>
      </c>
      <c r="C52" s="18" t="n">
        <v>-750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1000</v>
      </c>
      <c r="E53" s="26" t="n"/>
      <c r="F53" s="27">
        <f>IF(ISBLANK(E53), "⏳ Ketik rumus di sel kuning E53", IF(E53=G53, "✅ BENAR! LUAR BIASA!", "❌ Belum Tepat, Cek Kunci"))</f>
        <v/>
      </c>
      <c r="G53" s="28">
        <f>SIGN(C52)</f>
        <v/>
      </c>
      <c r="H53" s="29" t="inlineStr">
        <is>
          <t>Ketik: =SIGN(C52)</t>
        </is>
      </c>
    </row>
    <row r="54">
      <c r="B54" s="18" t="inlineStr">
        <is>
          <t>Kelas 12 IPA</t>
        </is>
      </c>
      <c r="C54" s="18" t="n">
        <v>-375</v>
      </c>
    </row>
    <row r="55">
      <c r="B55" s="18" t="inlineStr">
        <is>
          <t>Kelas Unggulan</t>
        </is>
      </c>
      <c r="C55" s="18" t="n">
        <v>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#023 — RUMUS EXCEL: ROMAN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(ROMAN)</t>
        </is>
      </c>
    </row>
    <row r="5" ht="21" customHeight="1">
      <c r="B5" s="12" t="inlineStr">
        <is>
          <t>Nama Rumus Excel</t>
        </is>
      </c>
      <c r="C5" s="13">
        <f>ROMAN(...)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ROMAN(angka)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Mengubah angka biasa menjadi Angka Romawi (misal 2026 menjadi MMXXVI, atau bab laporan I, II, III, IV).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ROMAN)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</v>
      </c>
      <c r="E11" s="19" t="inlineStr">
        <is>
          <t>Kasus Contoh:</t>
        </is>
      </c>
      <c r="F11" s="20" t="inlineStr">
        <is>
          <t>Terapkan rumus ROMAN pada nilai di sel C11 (12)!</t>
        </is>
      </c>
    </row>
    <row r="12">
      <c r="B12" s="18" t="inlineStr">
        <is>
          <t>Cabang Bandung</t>
        </is>
      </c>
      <c r="C12" s="18" t="n">
        <v>25</v>
      </c>
      <c r="E12" s="19" t="inlineStr">
        <is>
          <t>Rumus yang Diketik:</t>
        </is>
      </c>
      <c r="F12" s="21" t="inlineStr">
        <is>
          <t>'=ROMAN(C11)</t>
        </is>
      </c>
    </row>
    <row r="13">
      <c r="B13" s="18" t="inlineStr">
        <is>
          <t>Cabang Surabaya</t>
        </is>
      </c>
      <c r="C13" s="18" t="n">
        <v>49</v>
      </c>
      <c r="E13" s="19" t="inlineStr">
        <is>
          <t>Hasil Otomatis Excel:</t>
        </is>
      </c>
      <c r="F13" s="22">
        <f>ROMAN(C11)</f>
        <v/>
      </c>
    </row>
    <row r="14">
      <c r="B14" s="18" t="inlineStr">
        <is>
          <t>Cabang Medan</t>
        </is>
      </c>
      <c r="C14" s="18" t="n">
        <v>100</v>
      </c>
    </row>
    <row r="16" ht="26" customHeight="1">
      <c r="B16" s="23" t="inlineStr">
        <is>
          <t>3️⃣ 5 PERSOALAN DUNIA NYATA (KETIK RUMUS ROMAN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ROMAN pada nilai di sel C20 (12)!</t>
        </is>
      </c>
    </row>
    <row r="20">
      <c r="B20" s="18" t="inlineStr">
        <is>
          <t>Cabang Jakarta</t>
        </is>
      </c>
      <c r="C20" s="18" t="n">
        <v>12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25</v>
      </c>
      <c r="E21" s="26" t="n"/>
      <c r="F21" s="27">
        <f>IF(ISBLANK(E21), "⏳ Ketik rumus di sel kuning E21", IF(E21=G21, "✅ BENAR! LUAR BIASA!", "❌ Belum Tepat, Cek Kunci"))</f>
        <v/>
      </c>
      <c r="G21" s="28">
        <f>ROMAN(C20)</f>
        <v/>
      </c>
      <c r="H21" s="29" t="inlineStr">
        <is>
          <t>Ketik: =ROMAN(C20)</t>
        </is>
      </c>
    </row>
    <row r="22">
      <c r="B22" s="18" t="inlineStr">
        <is>
          <t>Cabang Surabaya</t>
        </is>
      </c>
      <c r="C22" s="18" t="n">
        <v>49</v>
      </c>
    </row>
    <row r="23">
      <c r="B23" s="18" t="inlineStr">
        <is>
          <t>Cabang Medan</t>
        </is>
      </c>
      <c r="C23" s="18" t="n">
        <v>100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ROMAN pada nilai di sel C28 (17)!</t>
        </is>
      </c>
    </row>
    <row r="28">
      <c r="B28" s="18" t="inlineStr">
        <is>
          <t>Budi Santoso</t>
        </is>
      </c>
      <c r="C28" s="18" t="n">
        <v>17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25</v>
      </c>
      <c r="E29" s="26" t="n"/>
      <c r="F29" s="27">
        <f>IF(ISBLANK(E29), "⏳ Ketik rumus di sel kuning E29", IF(E29=G29, "✅ BENAR! LUAR BIASA!", "❌ Belum Tepat, Cek Kunci"))</f>
        <v/>
      </c>
      <c r="G29" s="28">
        <f>ROMAN(C28)</f>
        <v/>
      </c>
      <c r="H29" s="29" t="inlineStr">
        <is>
          <t>Ketik: =ROMAN(C28)</t>
        </is>
      </c>
    </row>
    <row r="30">
      <c r="B30" s="18" t="inlineStr">
        <is>
          <t>Andi Pratama</t>
        </is>
      </c>
      <c r="C30" s="18" t="n">
        <v>49</v>
      </c>
    </row>
    <row r="31">
      <c r="B31" s="18" t="inlineStr">
        <is>
          <t>Rina Wijaya</t>
        </is>
      </c>
      <c r="C31" s="18" t="n">
        <v>100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ROMAN pada nilai di sel C36 (22)!</t>
        </is>
      </c>
    </row>
    <row r="36">
      <c r="B36" s="18" t="inlineStr">
        <is>
          <t>Gudang Blok A</t>
        </is>
      </c>
      <c r="C36" s="18" t="n">
        <v>22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25</v>
      </c>
      <c r="E37" s="26" t="n"/>
      <c r="F37" s="27">
        <f>IF(ISBLANK(E37), "⏳ Ketik rumus di sel kuning E37", IF(E37=G37, "✅ BENAR! LUAR BIASA!", "❌ Belum Tepat, Cek Kunci"))</f>
        <v/>
      </c>
      <c r="G37" s="28">
        <f>ROMAN(C36)</f>
        <v/>
      </c>
      <c r="H37" s="29" t="inlineStr">
        <is>
          <t>Ketik: =ROMAN(C36)</t>
        </is>
      </c>
    </row>
    <row r="38">
      <c r="B38" s="18" t="inlineStr">
        <is>
          <t>Gudang Blok C</t>
        </is>
      </c>
      <c r="C38" s="18" t="n">
        <v>49</v>
      </c>
    </row>
    <row r="39">
      <c r="B39" s="18" t="inlineStr">
        <is>
          <t>Gudang Blok D</t>
        </is>
      </c>
      <c r="C39" s="18" t="n">
        <v>100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ROMAN pada nilai di sel C44 (27)!</t>
        </is>
      </c>
    </row>
    <row r="44">
      <c r="B44" s="18" t="inlineStr">
        <is>
          <t>Toko Elektronik</t>
        </is>
      </c>
      <c r="C44" s="18" t="n">
        <v>27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25</v>
      </c>
      <c r="E45" s="26" t="n"/>
      <c r="F45" s="27">
        <f>IF(ISBLANK(E45), "⏳ Ketik rumus di sel kuning E45", IF(E45=G45, "✅ BENAR! LUAR BIASA!", "❌ Belum Tepat, Cek Kunci"))</f>
        <v/>
      </c>
      <c r="G45" s="28">
        <f>ROMAN(C44)</f>
        <v/>
      </c>
      <c r="H45" s="29" t="inlineStr">
        <is>
          <t>Ketik: =ROMAN(C44)</t>
        </is>
      </c>
    </row>
    <row r="46">
      <c r="B46" s="18" t="inlineStr">
        <is>
          <t>Toko Aksesoris</t>
        </is>
      </c>
      <c r="C46" s="18" t="n">
        <v>49</v>
      </c>
    </row>
    <row r="47">
      <c r="B47" s="18" t="inlineStr">
        <is>
          <t>Toko Servis</t>
        </is>
      </c>
      <c r="C47" s="18" t="n">
        <v>100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ROMAN pada nilai di sel C52 (32)!</t>
        </is>
      </c>
    </row>
    <row r="52">
      <c r="B52" s="18" t="inlineStr">
        <is>
          <t>Kelas 10 IPA</t>
        </is>
      </c>
      <c r="C52" s="18" t="n">
        <v>32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25</v>
      </c>
      <c r="E53" s="26" t="n"/>
      <c r="F53" s="27">
        <f>IF(ISBLANK(E53), "⏳ Ketik rumus di sel kuning E53", IF(E53=G53, "✅ BENAR! LUAR BIASA!", "❌ Belum Tepat, Cek Kunci"))</f>
        <v/>
      </c>
      <c r="G53" s="28">
        <f>ROMAN(C52)</f>
        <v/>
      </c>
      <c r="H53" s="29" t="inlineStr">
        <is>
          <t>Ketik: =ROMAN(C52)</t>
        </is>
      </c>
    </row>
    <row r="54">
      <c r="B54" s="18" t="inlineStr">
        <is>
          <t>Kelas 12 IPA</t>
        </is>
      </c>
      <c r="C54" s="18" t="n">
        <v>49</v>
      </c>
    </row>
    <row r="55">
      <c r="B55" s="18" t="inlineStr">
        <is>
          <t>Kelas Unggulan</t>
        </is>
      </c>
      <c r="C55" s="18" t="n">
        <v>100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#024 — RUMUS EXCEL: ARABIC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(ARABIC)</t>
        </is>
      </c>
    </row>
    <row r="5" ht="21" customHeight="1">
      <c r="B5" s="12" t="inlineStr">
        <is>
          <t>Nama Rumus Excel</t>
        </is>
      </c>
      <c r="C5" s="13">
        <f>ARABIC(...)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ARABIC(teks_romawi)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Kebalikan ROMAN: mengubah teks angka Romawi (seperti 'XIV') kembali menjadi angka biasa (14).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ARABIC)</t>
        </is>
      </c>
    </row>
    <row r="10">
      <c r="B10" s="16" t="inlineStr">
        <is>
          <t>Dokumen Bab</t>
        </is>
      </c>
      <c r="C10" s="16" t="inlineStr">
        <is>
          <t>Kode Romawi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inlineStr">
        <is>
          <t>XIV</t>
        </is>
      </c>
      <c r="E11" s="19" t="inlineStr">
        <is>
          <t>Kasus Contoh:</t>
        </is>
      </c>
      <c r="F11" s="20" t="inlineStr">
        <is>
          <t>Ubah teks angka Romawi di sel C11 ("XIV") menjadi angka biasa memakai rumus ARABIC!</t>
        </is>
      </c>
    </row>
    <row r="12">
      <c r="B12" s="18" t="inlineStr">
        <is>
          <t>Cabang Bandung</t>
        </is>
      </c>
      <c r="C12" s="18" t="inlineStr">
        <is>
          <t>X</t>
        </is>
      </c>
      <c r="E12" s="19" t="inlineStr">
        <is>
          <t>Rumus yang Diketik:</t>
        </is>
      </c>
      <c r="F12" s="21" t="inlineStr">
        <is>
          <t>'=ARABIC(C11)</t>
        </is>
      </c>
    </row>
    <row r="13">
      <c r="B13" s="18" t="inlineStr">
        <is>
          <t>Cabang Surabaya</t>
        </is>
      </c>
      <c r="C13" s="18" t="inlineStr">
        <is>
          <t>V</t>
        </is>
      </c>
      <c r="E13" s="19" t="inlineStr">
        <is>
          <t>Hasil Otomatis Excel:</t>
        </is>
      </c>
      <c r="F13" s="22">
        <f>ARABIC(C11)</f>
        <v/>
      </c>
    </row>
    <row r="14">
      <c r="B14" s="18" t="inlineStr">
        <is>
          <t>Cabang Medan</t>
        </is>
      </c>
      <c r="C14" s="18" t="inlineStr">
        <is>
          <t>C</t>
        </is>
      </c>
    </row>
    <row r="16" ht="26" customHeight="1">
      <c r="B16" s="23" t="inlineStr">
        <is>
          <t>3️⃣ 5 PERSOALAN DUNIA NYATA (KETIK RUMUS ARABIC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Dokumen Bab</t>
        </is>
      </c>
      <c r="C19" s="12" t="inlineStr">
        <is>
          <t>Kode Romawi</t>
        </is>
      </c>
      <c r="E19" s="25" t="inlineStr">
        <is>
          <t>Persoalan #1: Ubah teks angka Romawi di sel C20 ("XIV") menjadi angka biasa memakai rumus ARABIC!</t>
        </is>
      </c>
    </row>
    <row r="20">
      <c r="B20" s="18" t="inlineStr">
        <is>
          <t>Cabang Jakarta</t>
        </is>
      </c>
      <c r="C20" s="18" t="inlineStr">
        <is>
          <t>XIV</t>
        </is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inlineStr">
        <is>
          <t>X</t>
        </is>
      </c>
      <c r="E21" s="26" t="n"/>
      <c r="F21" s="27">
        <f>IF(ISBLANK(E21), "⏳ Ketik rumus di sel kuning E21", IF(E21=G21, "✅ BENAR! LUAR BIASA!", "❌ Belum Tepat, Cek Kunci"))</f>
        <v/>
      </c>
      <c r="G21" s="28">
        <f>ARABIC(C20)</f>
        <v/>
      </c>
      <c r="H21" s="29" t="inlineStr">
        <is>
          <t>Ketik: =ARABIC(C20)</t>
        </is>
      </c>
    </row>
    <row r="22">
      <c r="B22" s="18" t="inlineStr">
        <is>
          <t>Cabang Surabaya</t>
        </is>
      </c>
      <c r="C22" s="18" t="inlineStr">
        <is>
          <t>V</t>
        </is>
      </c>
    </row>
    <row r="23">
      <c r="B23" s="18" t="inlineStr">
        <is>
          <t>Cabang Medan</t>
        </is>
      </c>
      <c r="C23" s="18" t="inlineStr">
        <is>
          <t>C</t>
        </is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Dokumen Bab</t>
        </is>
      </c>
      <c r="C27" s="12" t="inlineStr">
        <is>
          <t>Kode Romawi</t>
        </is>
      </c>
      <c r="E27" s="25" t="inlineStr">
        <is>
          <t>Persoalan #2: Ubah teks angka Romawi di sel C28 ("XXV") menjadi angka biasa memakai rumus ARABIC!</t>
        </is>
      </c>
    </row>
    <row r="28">
      <c r="B28" s="18" t="inlineStr">
        <is>
          <t>Budi Santoso</t>
        </is>
      </c>
      <c r="C28" s="18" t="inlineStr">
        <is>
          <t>XXV</t>
        </is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inlineStr">
        <is>
          <t>X</t>
        </is>
      </c>
      <c r="E29" s="26" t="n"/>
      <c r="F29" s="27">
        <f>IF(ISBLANK(E29), "⏳ Ketik rumus di sel kuning E29", IF(E29=G29, "✅ BENAR! LUAR BIASA!", "❌ Belum Tepat, Cek Kunci"))</f>
        <v/>
      </c>
      <c r="G29" s="28">
        <f>ARABIC(C28)</f>
        <v/>
      </c>
      <c r="H29" s="29" t="inlineStr">
        <is>
          <t>Ketik: =ARABIC(C28)</t>
        </is>
      </c>
    </row>
    <row r="30">
      <c r="B30" s="18" t="inlineStr">
        <is>
          <t>Andi Pratama</t>
        </is>
      </c>
      <c r="C30" s="18" t="inlineStr">
        <is>
          <t>V</t>
        </is>
      </c>
    </row>
    <row r="31">
      <c r="B31" s="18" t="inlineStr">
        <is>
          <t>Rina Wijaya</t>
        </is>
      </c>
      <c r="C31" s="18" t="inlineStr">
        <is>
          <t>C</t>
        </is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Dokumen Bab</t>
        </is>
      </c>
      <c r="C35" s="12" t="inlineStr">
        <is>
          <t>Kode Romawi</t>
        </is>
      </c>
      <c r="E35" s="25" t="inlineStr">
        <is>
          <t>Persoalan #3: Ubah teks angka Romawi di sel C36 ("L") menjadi angka biasa memakai rumus ARABIC!</t>
        </is>
      </c>
    </row>
    <row r="36">
      <c r="B36" s="18" t="inlineStr">
        <is>
          <t>Gudang Blok A</t>
        </is>
      </c>
      <c r="C36" s="18" t="inlineStr">
        <is>
          <t>L</t>
        </is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inlineStr">
        <is>
          <t>X</t>
        </is>
      </c>
      <c r="E37" s="26" t="n"/>
      <c r="F37" s="27">
        <f>IF(ISBLANK(E37), "⏳ Ketik rumus di sel kuning E37", IF(E37=G37, "✅ BENAR! LUAR BIASA!", "❌ Belum Tepat, Cek Kunci"))</f>
        <v/>
      </c>
      <c r="G37" s="28">
        <f>ARABIC(C36)</f>
        <v/>
      </c>
      <c r="H37" s="29" t="inlineStr">
        <is>
          <t>Ketik: =ARABIC(C36)</t>
        </is>
      </c>
    </row>
    <row r="38">
      <c r="B38" s="18" t="inlineStr">
        <is>
          <t>Gudang Blok C</t>
        </is>
      </c>
      <c r="C38" s="18" t="inlineStr">
        <is>
          <t>V</t>
        </is>
      </c>
    </row>
    <row r="39">
      <c r="B39" s="18" t="inlineStr">
        <is>
          <t>Gudang Blok D</t>
        </is>
      </c>
      <c r="C39" s="18" t="inlineStr">
        <is>
          <t>C</t>
        </is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Dokumen Bab</t>
        </is>
      </c>
      <c r="C43" s="12" t="inlineStr">
        <is>
          <t>Kode Romawi</t>
        </is>
      </c>
      <c r="E43" s="25" t="inlineStr">
        <is>
          <t>Persoalan #4: Ubah teks angka Romawi di sel C44 ("MMXXVI") menjadi angka biasa memakai rumus ARABIC!</t>
        </is>
      </c>
    </row>
    <row r="44">
      <c r="B44" s="18" t="inlineStr">
        <is>
          <t>Toko Elektronik</t>
        </is>
      </c>
      <c r="C44" s="18" t="inlineStr">
        <is>
          <t>MMXXVI</t>
        </is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inlineStr">
        <is>
          <t>X</t>
        </is>
      </c>
      <c r="E45" s="26" t="n"/>
      <c r="F45" s="27">
        <f>IF(ISBLANK(E45), "⏳ Ketik rumus di sel kuning E45", IF(E45=G45, "✅ BENAR! LUAR BIASA!", "❌ Belum Tepat, Cek Kunci"))</f>
        <v/>
      </c>
      <c r="G45" s="28">
        <f>ARABIC(C44)</f>
        <v/>
      </c>
      <c r="H45" s="29" t="inlineStr">
        <is>
          <t>Ketik: =ARABIC(C44)</t>
        </is>
      </c>
    </row>
    <row r="46">
      <c r="B46" s="18" t="inlineStr">
        <is>
          <t>Toko Aksesoris</t>
        </is>
      </c>
      <c r="C46" s="18" t="inlineStr">
        <is>
          <t>V</t>
        </is>
      </c>
    </row>
    <row r="47">
      <c r="B47" s="18" t="inlineStr">
        <is>
          <t>Toko Servis</t>
        </is>
      </c>
      <c r="C47" s="18" t="inlineStr">
        <is>
          <t>C</t>
        </is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Dokumen Bab</t>
        </is>
      </c>
      <c r="C51" s="12" t="inlineStr">
        <is>
          <t>Kode Romawi</t>
        </is>
      </c>
      <c r="E51" s="25" t="inlineStr">
        <is>
          <t>Persoalan #5: Ubah teks angka Romawi di sel C52 ("XIV") menjadi angka biasa memakai rumus ARABIC!</t>
        </is>
      </c>
    </row>
    <row r="52">
      <c r="B52" s="18" t="inlineStr">
        <is>
          <t>Kelas 10 IPA</t>
        </is>
      </c>
      <c r="C52" s="18" t="inlineStr">
        <is>
          <t>XIV</t>
        </is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inlineStr">
        <is>
          <t>X</t>
        </is>
      </c>
      <c r="E53" s="26" t="n"/>
      <c r="F53" s="27">
        <f>IF(ISBLANK(E53), "⏳ Ketik rumus di sel kuning E53", IF(E53=G53, "✅ BENAR! LUAR BIASA!", "❌ Belum Tepat, Cek Kunci"))</f>
        <v/>
      </c>
      <c r="G53" s="28">
        <f>ARABIC(C52)</f>
        <v/>
      </c>
      <c r="H53" s="29" t="inlineStr">
        <is>
          <t>Ketik: =ARABIC(C52)</t>
        </is>
      </c>
    </row>
    <row r="54">
      <c r="B54" s="18" t="inlineStr">
        <is>
          <t>Kelas 12 IPA</t>
        </is>
      </c>
      <c r="C54" s="18" t="inlineStr">
        <is>
          <t>V</t>
        </is>
      </c>
    </row>
    <row r="55">
      <c r="B55" s="18" t="inlineStr">
        <is>
          <t>Kelas Unggulan</t>
        </is>
      </c>
      <c r="C55" s="18" t="inlineStr">
        <is>
          <t>C</t>
        </is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#025 — RUMUS EXCEL: FACT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(FACT)</t>
        </is>
      </c>
    </row>
    <row r="5" ht="21" customHeight="1">
      <c r="B5" s="12" t="inlineStr">
        <is>
          <t>Nama Rumus Excel</t>
        </is>
      </c>
      <c r="C5" s="13">
        <f>FACT(...)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FACT(angka)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faktorial matematika (n! = 1 × 2 × 3 × ... × n) untuk peluang dan susunan jadwal.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FACT)</t>
        </is>
      </c>
    </row>
    <row r="10">
      <c r="B10" s="16" t="inlineStr">
        <is>
          <t>Parameter Uji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4</v>
      </c>
      <c r="E11" s="19" t="inlineStr">
        <is>
          <t>Kasus Contoh:</t>
        </is>
      </c>
      <c r="F11" s="20" t="inlineStr">
        <is>
          <t>Terapkan rumus FACT pada nilai di sel C11 (4)!</t>
        </is>
      </c>
    </row>
    <row r="12">
      <c r="B12" s="18" t="inlineStr">
        <is>
          <t>Cabang Bandung</t>
        </is>
      </c>
      <c r="C12" s="18" t="n">
        <v>5</v>
      </c>
      <c r="E12" s="19" t="inlineStr">
        <is>
          <t>Rumus yang Diketik:</t>
        </is>
      </c>
      <c r="F12" s="21" t="inlineStr">
        <is>
          <t>'=FACT(C11)</t>
        </is>
      </c>
    </row>
    <row r="13">
      <c r="B13" s="18" t="inlineStr">
        <is>
          <t>Cabang Surabaya</t>
        </is>
      </c>
      <c r="C13" s="18" t="n">
        <v>6</v>
      </c>
      <c r="E13" s="19" t="inlineStr">
        <is>
          <t>Hasil Otomatis Excel:</t>
        </is>
      </c>
      <c r="F13" s="22">
        <f>FACT(C11)</f>
        <v/>
      </c>
    </row>
    <row r="14">
      <c r="B14" s="18" t="inlineStr">
        <is>
          <t>Cabang Medan</t>
        </is>
      </c>
      <c r="C14" s="18" t="n">
        <v>3</v>
      </c>
    </row>
    <row r="16" ht="26" customHeight="1">
      <c r="B16" s="23" t="inlineStr">
        <is>
          <t>3️⃣ 5 PERSOALAN DUNIA NYATA (KETIK RUMUS FACT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Parameter Uji</t>
        </is>
      </c>
      <c r="C19" s="12" t="inlineStr">
        <is>
          <t>Nilai Input</t>
        </is>
      </c>
      <c r="E19" s="25" t="inlineStr">
        <is>
          <t>Persoalan #1: Terapkan rumus FACT pada nilai di sel C20 (4)!</t>
        </is>
      </c>
    </row>
    <row r="20">
      <c r="B20" s="18" t="inlineStr">
        <is>
          <t>Cabang Jakarta</t>
        </is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FACT(C20)</f>
        <v/>
      </c>
      <c r="H21" s="29" t="inlineStr">
        <is>
          <t>Ketik: =FACT(C20)</t>
        </is>
      </c>
    </row>
    <row r="22">
      <c r="B22" s="18" t="inlineStr">
        <is>
          <t>Cabang Surabaya</t>
        </is>
      </c>
      <c r="C22" s="18" t="n">
        <v>6</v>
      </c>
    </row>
    <row r="23">
      <c r="B23" s="18" t="inlineStr">
        <is>
          <t>Cabang Medan</t>
        </is>
      </c>
      <c r="C23" s="18" t="n">
        <v>3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Parameter Uji</t>
        </is>
      </c>
      <c r="C27" s="12" t="inlineStr">
        <is>
          <t>Nilai Input</t>
        </is>
      </c>
      <c r="E27" s="25" t="inlineStr">
        <is>
          <t>Persoalan #2: Terapkan rumus FACT pada nilai di sel C28 (5)!</t>
        </is>
      </c>
    </row>
    <row r="28">
      <c r="B28" s="18" t="inlineStr">
        <is>
          <t>Budi Santoso</t>
        </is>
      </c>
      <c r="C28" s="18" t="n">
        <v>5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FACT(C28)</f>
        <v/>
      </c>
      <c r="H29" s="29" t="inlineStr">
        <is>
          <t>Ketik: =FACT(C28)</t>
        </is>
      </c>
    </row>
    <row r="30">
      <c r="B30" s="18" t="inlineStr">
        <is>
          <t>Andi Pratama</t>
        </is>
      </c>
      <c r="C30" s="18" t="n">
        <v>6</v>
      </c>
    </row>
    <row r="31">
      <c r="B31" s="18" t="inlineStr">
        <is>
          <t>Rina Wijaya</t>
        </is>
      </c>
      <c r="C31" s="18" t="n">
        <v>3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Parameter Uji</t>
        </is>
      </c>
      <c r="C35" s="12" t="inlineStr">
        <is>
          <t>Nilai Input</t>
        </is>
      </c>
      <c r="E35" s="25" t="inlineStr">
        <is>
          <t>Persoalan #3: Terapkan rumus FACT pada nilai di sel C36 (6)!</t>
        </is>
      </c>
    </row>
    <row r="36">
      <c r="B36" s="18" t="inlineStr">
        <is>
          <t>Gudang Blok A</t>
        </is>
      </c>
      <c r="C36" s="18" t="n">
        <v>6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FACT(C36)</f>
        <v/>
      </c>
      <c r="H37" s="29" t="inlineStr">
        <is>
          <t>Ketik: =FACT(C36)</t>
        </is>
      </c>
    </row>
    <row r="38">
      <c r="B38" s="18" t="inlineStr">
        <is>
          <t>Gudang Blok C</t>
        </is>
      </c>
      <c r="C38" s="18" t="n">
        <v>6</v>
      </c>
    </row>
    <row r="39">
      <c r="B39" s="18" t="inlineStr">
        <is>
          <t>Gudang Blok D</t>
        </is>
      </c>
      <c r="C39" s="18" t="n">
        <v>3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Parameter Uji</t>
        </is>
      </c>
      <c r="C43" s="12" t="inlineStr">
        <is>
          <t>Nilai Input</t>
        </is>
      </c>
      <c r="E43" s="25" t="inlineStr">
        <is>
          <t>Persoalan #4: Terapkan rumus FACT pada nilai di sel C44 (7)!</t>
        </is>
      </c>
    </row>
    <row r="44">
      <c r="B44" s="18" t="inlineStr">
        <is>
          <t>Toko Elektronik</t>
        </is>
      </c>
      <c r="C44" s="18" t="n">
        <v>7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FACT(C44)</f>
        <v/>
      </c>
      <c r="H45" s="29" t="inlineStr">
        <is>
          <t>Ketik: =FACT(C44)</t>
        </is>
      </c>
    </row>
    <row r="46">
      <c r="B46" s="18" t="inlineStr">
        <is>
          <t>Toko Aksesoris</t>
        </is>
      </c>
      <c r="C46" s="18" t="n">
        <v>6</v>
      </c>
    </row>
    <row r="47">
      <c r="B47" s="18" t="inlineStr">
        <is>
          <t>Toko Servis</t>
        </is>
      </c>
      <c r="C47" s="18" t="n">
        <v>3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Parameter Uji</t>
        </is>
      </c>
      <c r="C51" s="12" t="inlineStr">
        <is>
          <t>Nilai Input</t>
        </is>
      </c>
      <c r="E51" s="25" t="inlineStr">
        <is>
          <t>Persoalan #5: Terapkan rumus FACT pada nilai di sel C52 (4)!</t>
        </is>
      </c>
    </row>
    <row r="52">
      <c r="B52" s="18" t="inlineStr">
        <is>
          <t>Kelas 10 IPA</t>
        </is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FACT(C52)</f>
        <v/>
      </c>
      <c r="H53" s="29" t="inlineStr">
        <is>
          <t>Ketik: =FACT(C52)</t>
        </is>
      </c>
    </row>
    <row r="54">
      <c r="B54" s="18" t="inlineStr">
        <is>
          <t>Kelas 12 IPA</t>
        </is>
      </c>
      <c r="C54" s="18" t="n">
        <v>6</v>
      </c>
    </row>
    <row r="55">
      <c r="B55" s="18" t="inlineStr">
        <is>
          <t>Kelas Unggulan</t>
        </is>
      </c>
      <c r="C55" s="18" t="n">
        <v>3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#026 — RUMUS EXCEL: GCD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(GCD)</t>
        </is>
      </c>
    </row>
    <row r="5" ht="21" customHeight="1">
      <c r="B5" s="12" t="inlineStr">
        <is>
          <t>Nama Rumus Excel</t>
        </is>
      </c>
      <c r="C5" s="13">
        <f>GCD(...)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GCD(angka1, angka2)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Faktor Persekutuan Terbesar (FPB) dari dua angka atau lebih (misal membagi paket bingkisan sama rata).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GCD)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GCD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'=GCD(B11,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GCD(B11,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GCD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GCD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GCD(B20, C20)</f>
        <v/>
      </c>
      <c r="H21" s="29" t="inlineStr">
        <is>
          <t>Ketik: =GCD(B20,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GCD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GCD(B28, C28)</f>
        <v/>
      </c>
      <c r="H29" s="29" t="inlineStr">
        <is>
          <t>Ketik: =GCD(B28,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GCD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GCD(B36, C36)</f>
        <v/>
      </c>
      <c r="H37" s="29" t="inlineStr">
        <is>
          <t>Ketik: =GCD(B36,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GCD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GCD(B44, C44)</f>
        <v/>
      </c>
      <c r="H45" s="29" t="inlineStr">
        <is>
          <t>Ketik: =GCD(B44,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GCD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GCD(B52, C52)</f>
        <v/>
      </c>
      <c r="H53" s="29" t="inlineStr">
        <is>
          <t>Ketik: =GCD(B52,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#027 — RUMUS EXCEL: LCM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(LCM)</t>
        </is>
      </c>
    </row>
    <row r="5" ht="21" customHeight="1">
      <c r="B5" s="12" t="inlineStr">
        <is>
          <t>Nama Rumus Excel</t>
        </is>
      </c>
      <c r="C5" s="13">
        <f>LCM(...)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LCM(angka1, angka2)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Mencari Kelipatan Persekutuan Terkecil (KPK) dari dua angka (misal jadwal pertemuan dua armada truk).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LCM)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LCM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'=LCM(B11,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LCM(B11,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LCM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LCM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LCM(B20, C20)</f>
        <v/>
      </c>
      <c r="H21" s="29" t="inlineStr">
        <is>
          <t>Ketik: =LCM(B20,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LCM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LCM(B28, C28)</f>
        <v/>
      </c>
      <c r="H29" s="29" t="inlineStr">
        <is>
          <t>Ketik: =LCM(B28,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LCM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LCM(B36, C36)</f>
        <v/>
      </c>
      <c r="H37" s="29" t="inlineStr">
        <is>
          <t>Ketik: =LCM(B36,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LCM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LCM(B44, C44)</f>
        <v/>
      </c>
      <c r="H45" s="29" t="inlineStr">
        <is>
          <t>Ketik: =LCM(B44,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LCM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LCM(B52, C52)</f>
        <v/>
      </c>
      <c r="H53" s="29" t="inlineStr">
        <is>
          <t>Ketik: =LCM(B52,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#028 — RUMUS EXCEL: COMBIN   |   Kategori: 1. Matematika &amp; Akuntansi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(COMBIN)</t>
        </is>
      </c>
    </row>
    <row r="5" ht="21" customHeight="1">
      <c r="B5" s="12" t="inlineStr">
        <is>
          <t>Nama Rumus Excel</t>
        </is>
      </c>
      <c r="C5" s="13">
        <f>COMBIN(...)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COMBIN(total_item, jumlah_dipilih)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Menghitung banyaknya kombinasi pemilihan tim/barang tanpa memperhatikan urutan.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COMBIN)</t>
        </is>
      </c>
    </row>
    <row r="10">
      <c r="B10" s="16" t="inlineStr">
        <is>
          <t>Angka Pertama (B)</t>
        </is>
      </c>
      <c r="C10" s="16" t="inlineStr">
        <is>
          <t>Angka Kedua (C)</t>
        </is>
      </c>
      <c r="E10" s="17" t="inlineStr">
        <is>
          <t>💡 CONTOH RUMUS YANG SUDAH TERPASANG AKTIF:</t>
        </is>
      </c>
    </row>
    <row r="11">
      <c r="B11" s="18" t="n">
        <v>25</v>
      </c>
      <c r="C11" s="18" t="n">
        <v>4</v>
      </c>
      <c r="E11" s="19" t="inlineStr">
        <is>
          <t>Kasus Contoh:</t>
        </is>
      </c>
      <c r="F11" s="20" t="inlineStr">
        <is>
          <t>Gunakan rumus COMBIN pada angka pertama di B11 (25) dan angka kedua di C11 (4)!</t>
        </is>
      </c>
    </row>
    <row r="12">
      <c r="B12" s="18" t="n">
        <v>18</v>
      </c>
      <c r="C12" s="18" t="n">
        <v>5</v>
      </c>
      <c r="E12" s="19" t="inlineStr">
        <is>
          <t>Rumus yang Diketik:</t>
        </is>
      </c>
      <c r="F12" s="21" t="inlineStr">
        <is>
          <t>'=COMBIN(B11, C11)</t>
        </is>
      </c>
    </row>
    <row r="13">
      <c r="B13" s="18" t="n">
        <v>32</v>
      </c>
      <c r="C13" s="18" t="n">
        <v>6</v>
      </c>
      <c r="E13" s="19" t="inlineStr">
        <is>
          <t>Hasil Otomatis Excel:</t>
        </is>
      </c>
      <c r="F13" s="22">
        <f>COMBIN(B11, C11)</f>
        <v/>
      </c>
    </row>
    <row r="14">
      <c r="B14" s="18" t="n">
        <v>40</v>
      </c>
      <c r="C14" s="18" t="n">
        <v>7</v>
      </c>
    </row>
    <row r="16" ht="26" customHeight="1">
      <c r="B16" s="23" t="inlineStr">
        <is>
          <t>3️⃣ 5 PERSOALAN DUNIA NYATA (KETIK RUMUS COMBIN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Angka Pertama (B)</t>
        </is>
      </c>
      <c r="C19" s="12" t="inlineStr">
        <is>
          <t>Angka Kedua (C)</t>
        </is>
      </c>
      <c r="E19" s="25" t="inlineStr">
        <is>
          <t>Persoalan #1: Gunakan rumus COMBIN pada angka pertama di B20 (25) dan angka kedua di C20 (4)!</t>
        </is>
      </c>
    </row>
    <row r="20">
      <c r="B20" s="18" t="n">
        <v>25</v>
      </c>
      <c r="C20" s="18" t="n">
        <v>4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18</v>
      </c>
      <c r="C21" s="18" t="n">
        <v>5</v>
      </c>
      <c r="E21" s="26" t="n"/>
      <c r="F21" s="27">
        <f>IF(ISBLANK(E21), "⏳ Ketik rumus di sel kuning E21", IF(E21=G21, "✅ BENAR! LUAR BIASA!", "❌ Belum Tepat, Cek Kunci"))</f>
        <v/>
      </c>
      <c r="G21" s="28">
        <f>COMBIN(B20, C20)</f>
        <v/>
      </c>
      <c r="H21" s="29" t="inlineStr">
        <is>
          <t>Ketik: =COMBIN(B20, C20)</t>
        </is>
      </c>
    </row>
    <row r="22">
      <c r="B22" s="18" t="n">
        <v>32</v>
      </c>
      <c r="C22" s="18" t="n">
        <v>6</v>
      </c>
    </row>
    <row r="23">
      <c r="B23" s="18" t="n">
        <v>40</v>
      </c>
      <c r="C23" s="18" t="n">
        <v>7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Angka Pertama (B)</t>
        </is>
      </c>
      <c r="C27" s="12" t="inlineStr">
        <is>
          <t>Angka Kedua (C)</t>
        </is>
      </c>
      <c r="E27" s="25" t="inlineStr">
        <is>
          <t>Persoalan #2: Gunakan rumus COMBIN pada angka pertama di B28 (31) dan angka kedua di C28 (4)!</t>
        </is>
      </c>
    </row>
    <row r="28">
      <c r="B28" s="18" t="n">
        <v>31</v>
      </c>
      <c r="C28" s="18" t="n">
        <v>4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18</v>
      </c>
      <c r="C29" s="18" t="n">
        <v>5</v>
      </c>
      <c r="E29" s="26" t="n"/>
      <c r="F29" s="27">
        <f>IF(ISBLANK(E29), "⏳ Ketik rumus di sel kuning E29", IF(E29=G29, "✅ BENAR! LUAR BIASA!", "❌ Belum Tepat, Cek Kunci"))</f>
        <v/>
      </c>
      <c r="G29" s="28">
        <f>COMBIN(B28, C28)</f>
        <v/>
      </c>
      <c r="H29" s="29" t="inlineStr">
        <is>
          <t>Ketik: =COMBIN(B28, C28)</t>
        </is>
      </c>
    </row>
    <row r="30">
      <c r="B30" s="18" t="n">
        <v>32</v>
      </c>
      <c r="C30" s="18" t="n">
        <v>6</v>
      </c>
    </row>
    <row r="31">
      <c r="B31" s="18" t="n">
        <v>40</v>
      </c>
      <c r="C31" s="18" t="n">
        <v>7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Angka Pertama (B)</t>
        </is>
      </c>
      <c r="C35" s="12" t="inlineStr">
        <is>
          <t>Angka Kedua (C)</t>
        </is>
      </c>
      <c r="E35" s="25" t="inlineStr">
        <is>
          <t>Persoalan #3: Gunakan rumus COMBIN pada angka pertama di B36 (37) dan angka kedua di C36 (4)!</t>
        </is>
      </c>
    </row>
    <row r="36">
      <c r="B36" s="18" t="n">
        <v>37</v>
      </c>
      <c r="C36" s="18" t="n">
        <v>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18</v>
      </c>
      <c r="C37" s="18" t="n">
        <v>5</v>
      </c>
      <c r="E37" s="26" t="n"/>
      <c r="F37" s="27">
        <f>IF(ISBLANK(E37), "⏳ Ketik rumus di sel kuning E37", IF(E37=G37, "✅ BENAR! LUAR BIASA!", "❌ Belum Tepat, Cek Kunci"))</f>
        <v/>
      </c>
      <c r="G37" s="28">
        <f>COMBIN(B36, C36)</f>
        <v/>
      </c>
      <c r="H37" s="29" t="inlineStr">
        <is>
          <t>Ketik: =COMBIN(B36, C36)</t>
        </is>
      </c>
    </row>
    <row r="38">
      <c r="B38" s="18" t="n">
        <v>32</v>
      </c>
      <c r="C38" s="18" t="n">
        <v>6</v>
      </c>
    </row>
    <row r="39">
      <c r="B39" s="18" t="n">
        <v>40</v>
      </c>
      <c r="C39" s="18" t="n">
        <v>7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Angka Pertama (B)</t>
        </is>
      </c>
      <c r="C43" s="12" t="inlineStr">
        <is>
          <t>Angka Kedua (C)</t>
        </is>
      </c>
      <c r="E43" s="25" t="inlineStr">
        <is>
          <t>Persoalan #4: Gunakan rumus COMBIN pada angka pertama di B44 (43) dan angka kedua di C44 (4)!</t>
        </is>
      </c>
    </row>
    <row r="44">
      <c r="B44" s="18" t="n">
        <v>43</v>
      </c>
      <c r="C44" s="18" t="n">
        <v>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18</v>
      </c>
      <c r="C45" s="18" t="n">
        <v>5</v>
      </c>
      <c r="E45" s="26" t="n"/>
      <c r="F45" s="27">
        <f>IF(ISBLANK(E45), "⏳ Ketik rumus di sel kuning E45", IF(E45=G45, "✅ BENAR! LUAR BIASA!", "❌ Belum Tepat, Cek Kunci"))</f>
        <v/>
      </c>
      <c r="G45" s="28">
        <f>COMBIN(B44, C44)</f>
        <v/>
      </c>
      <c r="H45" s="29" t="inlineStr">
        <is>
          <t>Ketik: =COMBIN(B44, C44)</t>
        </is>
      </c>
    </row>
    <row r="46">
      <c r="B46" s="18" t="n">
        <v>32</v>
      </c>
      <c r="C46" s="18" t="n">
        <v>6</v>
      </c>
    </row>
    <row r="47">
      <c r="B47" s="18" t="n">
        <v>40</v>
      </c>
      <c r="C47" s="18" t="n">
        <v>7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Angka Pertama (B)</t>
        </is>
      </c>
      <c r="C51" s="12" t="inlineStr">
        <is>
          <t>Angka Kedua (C)</t>
        </is>
      </c>
      <c r="E51" s="25" t="inlineStr">
        <is>
          <t>Persoalan #5: Gunakan rumus COMBIN pada angka pertama di B52 (49) dan angka kedua di C52 (4)!</t>
        </is>
      </c>
    </row>
    <row r="52">
      <c r="B52" s="18" t="n">
        <v>49</v>
      </c>
      <c r="C52" s="18" t="n">
        <v>4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18</v>
      </c>
      <c r="C53" s="18" t="n">
        <v>5</v>
      </c>
      <c r="E53" s="26" t="n"/>
      <c r="F53" s="27">
        <f>IF(ISBLANK(E53), "⏳ Ketik rumus di sel kuning E53", IF(E53=G53, "✅ BENAR! LUAR BIASA!", "❌ Belum Tepat, Cek Kunci"))</f>
        <v/>
      </c>
      <c r="G53" s="28">
        <f>COMBIN(B52, C52)</f>
        <v/>
      </c>
      <c r="H53" s="29" t="inlineStr">
        <is>
          <t>Ketik: =COMBIN(B52, C52)</t>
        </is>
      </c>
    </row>
    <row r="54">
      <c r="B54" s="18" t="n">
        <v>32</v>
      </c>
      <c r="C54" s="18" t="n">
        <v>6</v>
      </c>
    </row>
    <row r="55">
      <c r="B55" s="18" t="n">
        <v>40</v>
      </c>
      <c r="C55" s="18" t="n">
        <v>7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#029 — RUMUS EXCEL: IF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(IF)</t>
        </is>
      </c>
    </row>
    <row r="5" ht="21" customHeight="1">
      <c r="B5" s="12" t="inlineStr">
        <is>
          <t>Nama Rumus Excel</t>
        </is>
      </c>
      <c r="C5" s="13">
        <f>IF(...)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IF(syarat_logika, jika_benar, jika_salah)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Polisi lalu lintas di Excel: Jika syarat terpenuhi maka jalankan perintah A, jika tidak maka jalankan perintah B (Misal: Nilai &gt;= 75 maka 'LULUS', selain itu 'REMEDIAL').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IF)</t>
        </is>
      </c>
    </row>
    <row r="10">
      <c r="B10" s="16" t="inlineStr">
        <is>
          <t>Nama Peserta</t>
        </is>
      </c>
      <c r="C10" s="16" t="inlineStr">
        <is>
          <t>Nilai Ujian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85</v>
      </c>
      <c r="E11" s="19" t="inlineStr">
        <is>
          <t>Kasus Contoh:</t>
        </is>
      </c>
      <c r="F11" s="20" t="inlineStr">
        <is>
          <t>Gunakan rumus IF: jika nilai di C11 &gt;= 75 maka "LULUS", selain itu "REMEDIAL"!</t>
        </is>
      </c>
    </row>
    <row r="12">
      <c r="B12" s="18" t="inlineStr">
        <is>
          <t>Cabang Bandung</t>
        </is>
      </c>
      <c r="C12" s="18" t="n">
        <v>60</v>
      </c>
      <c r="E12" s="19" t="inlineStr">
        <is>
          <t>Rumus yang Diketik:</t>
        </is>
      </c>
      <c r="F12" s="21" t="inlineStr">
        <is>
          <t>'=IF(C11&gt;=75, "LULUS", "REMEDIAL")</t>
        </is>
      </c>
    </row>
    <row r="13">
      <c r="B13" s="18" t="inlineStr">
        <is>
          <t>Cabang Surabaya</t>
        </is>
      </c>
      <c r="C13" s="18" t="n">
        <v>90</v>
      </c>
      <c r="E13" s="19" t="inlineStr">
        <is>
          <t>Hasil Otomatis Excel:</t>
        </is>
      </c>
      <c r="F13" s="22">
        <f>IF(C11&gt;=75, "LULUS", "REMEDIAL")</f>
        <v/>
      </c>
    </row>
    <row r="14">
      <c r="B14" s="18" t="inlineStr">
        <is>
          <t>Cabang Medan</t>
        </is>
      </c>
      <c r="C14" s="18" t="n">
        <v>72</v>
      </c>
    </row>
    <row r="16" ht="26" customHeight="1">
      <c r="B16" s="23" t="inlineStr">
        <is>
          <t>3️⃣ 5 PERSOALAN DUNIA NYATA (KETIK RUMUS IF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Peserta</t>
        </is>
      </c>
      <c r="C19" s="12" t="inlineStr">
        <is>
          <t>Nilai Ujian</t>
        </is>
      </c>
      <c r="E19" s="25" t="inlineStr">
        <is>
          <t>Persoalan #1: Gunakan rumus IF: jika nilai di C20 &gt;= 75 maka "LULUS", selain itu "REMEDIAL"!</t>
        </is>
      </c>
    </row>
    <row r="20">
      <c r="B20" s="18" t="inlineStr">
        <is>
          <t>Cabang Jakarta</t>
        </is>
      </c>
      <c r="C20" s="18" t="n">
        <v>85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IF(C20&gt;=75, "LULUS", "REMEDIAL")</f>
        <v/>
      </c>
      <c r="H21" s="29" t="inlineStr">
        <is>
          <t>Ketik: =IF(C20&gt;=75, "LULUS", "REMEDIAL")</t>
        </is>
      </c>
    </row>
    <row r="22">
      <c r="B22" s="18" t="inlineStr">
        <is>
          <t>Cabang Surabaya</t>
        </is>
      </c>
      <c r="C22" s="18" t="n">
        <v>90</v>
      </c>
    </row>
    <row r="23">
      <c r="B23" s="18" t="inlineStr">
        <is>
          <t>Cabang Medan</t>
        </is>
      </c>
      <c r="C23" s="18" t="n">
        <v>72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Peserta</t>
        </is>
      </c>
      <c r="C27" s="12" t="inlineStr">
        <is>
          <t>Nilai Ujian</t>
        </is>
      </c>
      <c r="E27" s="25" t="inlineStr">
        <is>
          <t>Persoalan #2: Gunakan rumus IF: jika nilai di C28 &gt;= 75 maka "LULUS", selain itu "REMEDIAL"!</t>
        </is>
      </c>
    </row>
    <row r="28">
      <c r="B28" s="18" t="inlineStr">
        <is>
          <t>Budi Santoso</t>
        </is>
      </c>
      <c r="C28" s="18" t="n">
        <v>80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IF(C28&gt;=75, "LULUS", "REMEDIAL")</f>
        <v/>
      </c>
      <c r="H29" s="29" t="inlineStr">
        <is>
          <t>Ketik: =IF(C28&gt;=75, "LULUS", "REMEDIAL")</t>
        </is>
      </c>
    </row>
    <row r="30">
      <c r="B30" s="18" t="inlineStr">
        <is>
          <t>Andi Pratama</t>
        </is>
      </c>
      <c r="C30" s="18" t="n">
        <v>90</v>
      </c>
    </row>
    <row r="31">
      <c r="B31" s="18" t="inlineStr">
        <is>
          <t>Rina Wijaya</t>
        </is>
      </c>
      <c r="C31" s="18" t="n">
        <v>72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Peserta</t>
        </is>
      </c>
      <c r="C35" s="12" t="inlineStr">
        <is>
          <t>Nilai Ujian</t>
        </is>
      </c>
      <c r="E35" s="25" t="inlineStr">
        <is>
          <t>Persoalan #3: Gunakan rumus IF: jika nilai di C36 &gt;= 75 maka "LULUS", selain itu "REMEDIAL"!</t>
        </is>
      </c>
    </row>
    <row r="36">
      <c r="B36" s="18" t="inlineStr">
        <is>
          <t>Gudang Blok A</t>
        </is>
      </c>
      <c r="C36" s="18" t="n">
        <v>75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IF(C36&gt;=75, "LULUS", "REMEDIAL")</f>
        <v/>
      </c>
      <c r="H37" s="29" t="inlineStr">
        <is>
          <t>Ketik: =IF(C36&gt;=75, "LULUS", "REMEDIAL")</t>
        </is>
      </c>
    </row>
    <row r="38">
      <c r="B38" s="18" t="inlineStr">
        <is>
          <t>Gudang Blok C</t>
        </is>
      </c>
      <c r="C38" s="18" t="n">
        <v>90</v>
      </c>
    </row>
    <row r="39">
      <c r="B39" s="18" t="inlineStr">
        <is>
          <t>Gudang Blok D</t>
        </is>
      </c>
      <c r="C39" s="18" t="n">
        <v>72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Peserta</t>
        </is>
      </c>
      <c r="C43" s="12" t="inlineStr">
        <is>
          <t>Nilai Ujian</t>
        </is>
      </c>
      <c r="E43" s="25" t="inlineStr">
        <is>
          <t>Persoalan #4: Gunakan rumus IF: jika nilai di C44 &gt;= 75 maka "LULUS", selain itu "REMEDIAL"!</t>
        </is>
      </c>
    </row>
    <row r="44">
      <c r="B44" s="18" t="inlineStr">
        <is>
          <t>Toko Elektronik</t>
        </is>
      </c>
      <c r="C44" s="18" t="n">
        <v>70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IF(C44&gt;=75, "LULUS", "REMEDIAL")</f>
        <v/>
      </c>
      <c r="H45" s="29" t="inlineStr">
        <is>
          <t>Ketik: =IF(C44&gt;=75, "LULUS", "REMEDIAL")</t>
        </is>
      </c>
    </row>
    <row r="46">
      <c r="B46" s="18" t="inlineStr">
        <is>
          <t>Toko Aksesoris</t>
        </is>
      </c>
      <c r="C46" s="18" t="n">
        <v>90</v>
      </c>
    </row>
    <row r="47">
      <c r="B47" s="18" t="inlineStr">
        <is>
          <t>Toko Servis</t>
        </is>
      </c>
      <c r="C47" s="18" t="n">
        <v>72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Peserta</t>
        </is>
      </c>
      <c r="C51" s="12" t="inlineStr">
        <is>
          <t>Nilai Ujian</t>
        </is>
      </c>
      <c r="E51" s="25" t="inlineStr">
        <is>
          <t>Persoalan #5: Gunakan rumus IF: jika nilai di C52 &gt;= 75 maka "LULUS", selain itu "REMEDIAL"!</t>
        </is>
      </c>
    </row>
    <row r="52">
      <c r="B52" s="18" t="inlineStr">
        <is>
          <t>Kelas 10 IPA</t>
        </is>
      </c>
      <c r="C52" s="18" t="n">
        <v>65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IF(C52&gt;=75, "LULUS", "REMEDIAL")</f>
        <v/>
      </c>
      <c r="H53" s="29" t="inlineStr">
        <is>
          <t>Ketik: =IF(C52&gt;=75, "LULUS", "REMEDIAL")</t>
        </is>
      </c>
    </row>
    <row r="54">
      <c r="B54" s="18" t="inlineStr">
        <is>
          <t>Kelas 12 IPA</t>
        </is>
      </c>
      <c r="C54" s="18" t="n">
        <v>90</v>
      </c>
    </row>
    <row r="55">
      <c r="B55" s="18" t="inlineStr">
        <is>
          <t>Kelas Unggulan</t>
        </is>
      </c>
      <c r="C55" s="18" t="n">
        <v>72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#030 — RUMUS EXCEL: IFS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(IFS)</t>
        </is>
      </c>
    </row>
    <row r="5" ht="21" customHeight="1">
      <c r="B5" s="12" t="inlineStr">
        <is>
          <t>Nama Rumus Excel</t>
        </is>
      </c>
      <c r="C5" s="13">
        <f>IFS(...)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IFS(syarat1, hasil1, syarat2, hasil2,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Menguji banyak syarat bertingkat tanpa perlu membuat IF bertumpuk-tumpuk (Misal: &gt;=90 'A', &gt;=80 'B', &gt;=70 'C').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IFS)</t>
        </is>
      </c>
    </row>
    <row r="10">
      <c r="B10" s="16" t="inlineStr">
        <is>
          <t>Nama Peserta</t>
        </is>
      </c>
      <c r="C10" s="16" t="inlineStr">
        <is>
          <t>Skor Kinerja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92</v>
      </c>
      <c r="E11" s="19" t="inlineStr">
        <is>
          <t>Kasus Contoh:</t>
        </is>
      </c>
      <c r="F11" s="20" t="inlineStr">
        <is>
          <t>Gunakan rumus IFS pada sel C11: jika &gt;=85 maka "A", jika &gt;=70 maka "B", selain itu (TRUE) maka "C"!</t>
        </is>
      </c>
    </row>
    <row r="12">
      <c r="B12" s="18" t="inlineStr">
        <is>
          <t>Cabang Bandung</t>
        </is>
      </c>
      <c r="C12" s="18" t="n">
        <v>84</v>
      </c>
      <c r="E12" s="19" t="inlineStr">
        <is>
          <t>Rumus yang Diketik:</t>
        </is>
      </c>
      <c r="F12" s="21" t="inlineStr">
        <is>
          <t>'=IFS(C11&gt;=85, "A", C11&gt;=70, "B", TRUE, "C")</t>
        </is>
      </c>
    </row>
    <row r="13">
      <c r="B13" s="18" t="inlineStr">
        <is>
          <t>Cabang Surabaya</t>
        </is>
      </c>
      <c r="C13" s="18" t="n">
        <v>76</v>
      </c>
      <c r="E13" s="19" t="inlineStr">
        <is>
          <t>Hasil Otomatis Excel:</t>
        </is>
      </c>
      <c r="F13" s="22">
        <f>IFS(C11&gt;=85, "A", C11&gt;=70, "B", TRUE, "C")</f>
        <v/>
      </c>
    </row>
    <row r="14">
      <c r="B14" s="18" t="inlineStr">
        <is>
          <t>Cabang Medan</t>
        </is>
      </c>
      <c r="C14" s="18" t="n">
        <v>65</v>
      </c>
    </row>
    <row r="16" ht="26" customHeight="1">
      <c r="B16" s="23" t="inlineStr">
        <is>
          <t>3️⃣ 5 PERSOALAN DUNIA NYATA (KETIK RUMUS IFS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Nama Peserta</t>
        </is>
      </c>
      <c r="C19" s="12" t="inlineStr">
        <is>
          <t>Skor Kinerja</t>
        </is>
      </c>
      <c r="E19" s="25" t="inlineStr">
        <is>
          <t>Persoalan #1: Gunakan rumus IFS pada sel C20: jika &gt;=85 maka "A", jika &gt;=70 maka "B", selain itu (TRUE) maka "C"!</t>
        </is>
      </c>
    </row>
    <row r="20">
      <c r="B20" s="18" t="inlineStr">
        <is>
          <t>Cabang Jakarta</t>
        </is>
      </c>
      <c r="C20" s="18" t="n">
        <v>92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84</v>
      </c>
      <c r="E21" s="26" t="n"/>
      <c r="F21" s="27">
        <f>IF(ISBLANK(E21), "⏳ Ketik rumus di sel kuning E21", IF(E21=G21, "✅ BENAR! LUAR BIASA!", "❌ Belum Tepat, Cek Kunci"))</f>
        <v/>
      </c>
      <c r="G21" s="28">
        <f>IFS(C20&gt;=85, "A", C20&gt;=70, "B", TRUE, "C")</f>
        <v/>
      </c>
      <c r="H21" s="29" t="inlineStr">
        <is>
          <t>Ketik: =IFS(C20&gt;=85, "A", C20&gt;=70, "B", TRUE, "C")</t>
        </is>
      </c>
    </row>
    <row r="22">
      <c r="B22" s="18" t="inlineStr">
        <is>
          <t>Cabang Surabaya</t>
        </is>
      </c>
      <c r="C22" s="18" t="n">
        <v>76</v>
      </c>
    </row>
    <row r="23">
      <c r="B23" s="18" t="inlineStr">
        <is>
          <t>Cabang Medan</t>
        </is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Nama Peserta</t>
        </is>
      </c>
      <c r="C27" s="12" t="inlineStr">
        <is>
          <t>Skor Kinerja</t>
        </is>
      </c>
      <c r="E27" s="25" t="inlineStr">
        <is>
          <t>Persoalan #2: Gunakan rumus IFS pada sel C28: jika &gt;=85 maka "A", jika &gt;=70 maka "B", selain itu (TRUE) maka "C"!</t>
        </is>
      </c>
    </row>
    <row r="28">
      <c r="B28" s="18" t="inlineStr">
        <is>
          <t>Budi Santoso</t>
        </is>
      </c>
      <c r="C28" s="18" t="n">
        <v>88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84</v>
      </c>
      <c r="E29" s="26" t="n"/>
      <c r="F29" s="27">
        <f>IF(ISBLANK(E29), "⏳ Ketik rumus di sel kuning E29", IF(E29=G29, "✅ BENAR! LUAR BIASA!", "❌ Belum Tepat, Cek Kunci"))</f>
        <v/>
      </c>
      <c r="G29" s="28">
        <f>IFS(C28&gt;=85, "A", C28&gt;=70, "B", TRUE, "C")</f>
        <v/>
      </c>
      <c r="H29" s="29" t="inlineStr">
        <is>
          <t>Ketik: =IFS(C28&gt;=85, "A", C28&gt;=70, "B", TRUE, "C")</t>
        </is>
      </c>
    </row>
    <row r="30">
      <c r="B30" s="18" t="inlineStr">
        <is>
          <t>Andi Pratama</t>
        </is>
      </c>
      <c r="C30" s="18" t="n">
        <v>76</v>
      </c>
    </row>
    <row r="31">
      <c r="B31" s="18" t="inlineStr">
        <is>
          <t>Rina Wijaya</t>
        </is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Nama Peserta</t>
        </is>
      </c>
      <c r="C35" s="12" t="inlineStr">
        <is>
          <t>Skor Kinerja</t>
        </is>
      </c>
      <c r="E35" s="25" t="inlineStr">
        <is>
          <t>Persoalan #3: Gunakan rumus IFS pada sel C36: jika &gt;=85 maka "A", jika &gt;=70 maka "B", selain itu (TRUE) maka "C"!</t>
        </is>
      </c>
    </row>
    <row r="36">
      <c r="B36" s="18" t="inlineStr">
        <is>
          <t>Gudang Blok A</t>
        </is>
      </c>
      <c r="C36" s="18" t="n">
        <v>84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84</v>
      </c>
      <c r="E37" s="26" t="n"/>
      <c r="F37" s="27">
        <f>IF(ISBLANK(E37), "⏳ Ketik rumus di sel kuning E37", IF(E37=G37, "✅ BENAR! LUAR BIASA!", "❌ Belum Tepat, Cek Kunci"))</f>
        <v/>
      </c>
      <c r="G37" s="28">
        <f>IFS(C36&gt;=85, "A", C36&gt;=70, "B", TRUE, "C")</f>
        <v/>
      </c>
      <c r="H37" s="29" t="inlineStr">
        <is>
          <t>Ketik: =IFS(C36&gt;=85, "A", C36&gt;=70, "B", TRUE, "C")</t>
        </is>
      </c>
    </row>
    <row r="38">
      <c r="B38" s="18" t="inlineStr">
        <is>
          <t>Gudang Blok C</t>
        </is>
      </c>
      <c r="C38" s="18" t="n">
        <v>76</v>
      </c>
    </row>
    <row r="39">
      <c r="B39" s="18" t="inlineStr">
        <is>
          <t>Gudang Blok D</t>
        </is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Nama Peserta</t>
        </is>
      </c>
      <c r="C43" s="12" t="inlineStr">
        <is>
          <t>Skor Kinerja</t>
        </is>
      </c>
      <c r="E43" s="25" t="inlineStr">
        <is>
          <t>Persoalan #4: Gunakan rumus IFS pada sel C44: jika &gt;=85 maka "A", jika &gt;=70 maka "B", selain itu (TRUE) maka "C"!</t>
        </is>
      </c>
    </row>
    <row r="44">
      <c r="B44" s="18" t="inlineStr">
        <is>
          <t>Toko Elektronik</t>
        </is>
      </c>
      <c r="C44" s="18" t="n">
        <v>80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84</v>
      </c>
      <c r="E45" s="26" t="n"/>
      <c r="F45" s="27">
        <f>IF(ISBLANK(E45), "⏳ Ketik rumus di sel kuning E45", IF(E45=G45, "✅ BENAR! LUAR BIASA!", "❌ Belum Tepat, Cek Kunci"))</f>
        <v/>
      </c>
      <c r="G45" s="28">
        <f>IFS(C44&gt;=85, "A", C44&gt;=70, "B", TRUE, "C")</f>
        <v/>
      </c>
      <c r="H45" s="29" t="inlineStr">
        <is>
          <t>Ketik: =IFS(C44&gt;=85, "A", C44&gt;=70, "B", TRUE, "C")</t>
        </is>
      </c>
    </row>
    <row r="46">
      <c r="B46" s="18" t="inlineStr">
        <is>
          <t>Toko Aksesoris</t>
        </is>
      </c>
      <c r="C46" s="18" t="n">
        <v>76</v>
      </c>
    </row>
    <row r="47">
      <c r="B47" s="18" t="inlineStr">
        <is>
          <t>Toko Servis</t>
        </is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Nama Peserta</t>
        </is>
      </c>
      <c r="C51" s="12" t="inlineStr">
        <is>
          <t>Skor Kinerja</t>
        </is>
      </c>
      <c r="E51" s="25" t="inlineStr">
        <is>
          <t>Persoalan #5: Gunakan rumus IFS pada sel C52: jika &gt;=85 maka "A", jika &gt;=70 maka "B", selain itu (TRUE) maka "C"!</t>
        </is>
      </c>
    </row>
    <row r="52">
      <c r="B52" s="18" t="inlineStr">
        <is>
          <t>Kelas 10 IPA</t>
        </is>
      </c>
      <c r="C52" s="18" t="n">
        <v>76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84</v>
      </c>
      <c r="E53" s="26" t="n"/>
      <c r="F53" s="27">
        <f>IF(ISBLANK(E53), "⏳ Ketik rumus di sel kuning E53", IF(E53=G53, "✅ BENAR! LUAR BIASA!", "❌ Belum Tepat, Cek Kunci"))</f>
        <v/>
      </c>
      <c r="G53" s="28">
        <f>IFS(C52&gt;=85, "A", C52&gt;=70, "B", TRUE, "C")</f>
        <v/>
      </c>
      <c r="H53" s="29" t="inlineStr">
        <is>
          <t>Ketik: =IFS(C52&gt;=85, "A", C52&gt;=70, "B", TRUE, "C")</t>
        </is>
      </c>
    </row>
    <row r="54">
      <c r="B54" s="18" t="inlineStr">
        <is>
          <t>Kelas 12 IPA</t>
        </is>
      </c>
      <c r="C54" s="18" t="n">
        <v>76</v>
      </c>
    </row>
    <row r="55">
      <c r="B55" s="18" t="inlineStr">
        <is>
          <t>Kelas Unggulan</t>
        </is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#031 — RUMUS EXCEL: AND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(AND)</t>
        </is>
      </c>
    </row>
    <row r="5" ht="21" customHeight="1">
      <c r="B5" s="12" t="inlineStr">
        <is>
          <t>Nama Rumus Excel</t>
        </is>
      </c>
      <c r="C5" s="13">
        <f>AND(...)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AND(logika1, logika2,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TRUE (Benar) HANYA JIKA SEMUA syarat terpenuhi sekaligus. Kalau ada satu saja yang gagal, hasilnya FALSE.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AND)</t>
        </is>
      </c>
    </row>
    <row r="10">
      <c r="B10" s="16" t="inlineStr">
        <is>
          <t>Nilai Teori (B)</t>
        </is>
      </c>
      <c r="C10" s="16" t="inlineStr">
        <is>
          <t>Nilai Praktik (C)</t>
        </is>
      </c>
      <c r="E10" s="17" t="inlineStr">
        <is>
          <t>💡 CONTOH RUMUS YANG SUDAH TERPASANG AKTIF:</t>
        </is>
      </c>
    </row>
    <row r="11">
      <c r="B11" s="18" t="n">
        <v>80</v>
      </c>
      <c r="C11" s="18" t="n">
        <v>75</v>
      </c>
      <c r="E11" s="19" t="inlineStr">
        <is>
          <t>Kasus Contoh:</t>
        </is>
      </c>
      <c r="F11" s="20" t="inlineStr">
        <is>
          <t>Uji apakah nilai Teori di B11 &gt;= 75 DAN/ATAU nilai Praktik di C11 &gt;= 75 menggunakan rumus AND!</t>
        </is>
      </c>
    </row>
    <row r="12">
      <c r="B12" s="18" t="n">
        <v>80</v>
      </c>
      <c r="C12" s="18" t="n">
        <v>60</v>
      </c>
      <c r="E12" s="19" t="inlineStr">
        <is>
          <t>Rumus yang Diketik:</t>
        </is>
      </c>
      <c r="F12" s="21" t="inlineStr">
        <is>
          <t>'=AND(B11&gt;=75, C11&gt;=75)</t>
        </is>
      </c>
    </row>
    <row r="13">
      <c r="B13" s="18" t="n">
        <v>70</v>
      </c>
      <c r="C13" s="18" t="n">
        <v>85</v>
      </c>
      <c r="E13" s="19" t="inlineStr">
        <is>
          <t>Hasil Otomatis Excel:</t>
        </is>
      </c>
      <c r="F13" s="22">
        <f>AND(B11&gt;=75, C11&gt;=75)</f>
        <v/>
      </c>
    </row>
    <row r="14">
      <c r="B14" s="18" t="n">
        <v>60</v>
      </c>
      <c r="C14" s="18" t="n">
        <v>65</v>
      </c>
    </row>
    <row r="16" ht="26" customHeight="1">
      <c r="B16" s="23" t="inlineStr">
        <is>
          <t>3️⃣ 5 PERSOALAN DUNIA NYATA (KETIK RUMUS AND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Nilai Teori (B)</t>
        </is>
      </c>
      <c r="C19" s="12" t="inlineStr">
        <is>
          <t>Nilai Praktik (C)</t>
        </is>
      </c>
      <c r="E19" s="25" t="inlineStr">
        <is>
          <t>Persoalan #1: Uji apakah nilai Teori di B20 &gt;= 75 DAN/ATAU nilai Praktik di C20 &gt;= 75 menggunakan rumus AND!</t>
        </is>
      </c>
    </row>
    <row r="20">
      <c r="B20" s="18" t="n">
        <v>80</v>
      </c>
      <c r="C20" s="18" t="n">
        <v>75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80</v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AND(B20&gt;=75, C20&gt;=75)</f>
        <v/>
      </c>
      <c r="H21" s="29" t="inlineStr">
        <is>
          <t>Ketik: =AND(B20&gt;=75, C20&gt;=75)</t>
        </is>
      </c>
    </row>
    <row r="22">
      <c r="B22" s="18" t="n">
        <v>70</v>
      </c>
      <c r="C22" s="18" t="n">
        <v>85</v>
      </c>
    </row>
    <row r="23">
      <c r="B23" s="18" t="n">
        <v>60</v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Nilai Teori (B)</t>
        </is>
      </c>
      <c r="C27" s="12" t="inlineStr">
        <is>
          <t>Nilai Praktik (C)</t>
        </is>
      </c>
      <c r="E27" s="25" t="inlineStr">
        <is>
          <t>Persoalan #2: Uji apakah nilai Teori di B28 &gt;= 75 DAN/ATAU nilai Praktik di C28 &gt;= 75 menggunakan rumus AND!</t>
        </is>
      </c>
    </row>
    <row r="28">
      <c r="B28" s="18" t="n">
        <v>82</v>
      </c>
      <c r="C28" s="18" t="n">
        <v>78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80</v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AND(B28&gt;=75, C28&gt;=75)</f>
        <v/>
      </c>
      <c r="H29" s="29" t="inlineStr">
        <is>
          <t>Ketik: =AND(B28&gt;=75, C28&gt;=75)</t>
        </is>
      </c>
    </row>
    <row r="30">
      <c r="B30" s="18" t="n">
        <v>70</v>
      </c>
      <c r="C30" s="18" t="n">
        <v>85</v>
      </c>
    </row>
    <row r="31">
      <c r="B31" s="18" t="n">
        <v>60</v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Nilai Teori (B)</t>
        </is>
      </c>
      <c r="C35" s="12" t="inlineStr">
        <is>
          <t>Nilai Praktik (C)</t>
        </is>
      </c>
      <c r="E35" s="25" t="inlineStr">
        <is>
          <t>Persoalan #3: Uji apakah nilai Teori di B36 &gt;= 75 DAN/ATAU nilai Praktik di C36 &gt;= 75 menggunakan rumus AND!</t>
        </is>
      </c>
    </row>
    <row r="36">
      <c r="B36" s="18" t="n">
        <v>84</v>
      </c>
      <c r="C36" s="18" t="n">
        <v>81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80</v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AND(B36&gt;=75, C36&gt;=75)</f>
        <v/>
      </c>
      <c r="H37" s="29" t="inlineStr">
        <is>
          <t>Ketik: =AND(B36&gt;=75, C36&gt;=75)</t>
        </is>
      </c>
    </row>
    <row r="38">
      <c r="B38" s="18" t="n">
        <v>70</v>
      </c>
      <c r="C38" s="18" t="n">
        <v>85</v>
      </c>
    </row>
    <row r="39">
      <c r="B39" s="18" t="n">
        <v>60</v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Nilai Teori (B)</t>
        </is>
      </c>
      <c r="C43" s="12" t="inlineStr">
        <is>
          <t>Nilai Praktik (C)</t>
        </is>
      </c>
      <c r="E43" s="25" t="inlineStr">
        <is>
          <t>Persoalan #4: Uji apakah nilai Teori di B44 &gt;= 75 DAN/ATAU nilai Praktik di C44 &gt;= 75 menggunakan rumus AND!</t>
        </is>
      </c>
    </row>
    <row r="44">
      <c r="B44" s="18" t="n">
        <v>86</v>
      </c>
      <c r="C44" s="18" t="n">
        <v>84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AND(B44&gt;=75, C44&gt;=75)</f>
        <v/>
      </c>
      <c r="H45" s="29" t="inlineStr">
        <is>
          <t>Ketik: =AND(B44&gt;=75, C44&gt;=75)</t>
        </is>
      </c>
    </row>
    <row r="46">
      <c r="B46" s="18" t="n">
        <v>70</v>
      </c>
      <c r="C46" s="18" t="n">
        <v>85</v>
      </c>
    </row>
    <row r="47">
      <c r="B47" s="18" t="n">
        <v>60</v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Nilai Teori (B)</t>
        </is>
      </c>
      <c r="C51" s="12" t="inlineStr">
        <is>
          <t>Nilai Praktik (C)</t>
        </is>
      </c>
      <c r="E51" s="25" t="inlineStr">
        <is>
          <t>Persoalan #5: Uji apakah nilai Teori di B52 &gt;= 75 DAN/ATAU nilai Praktik di C52 &gt;= 75 menggunakan rumus AND!</t>
        </is>
      </c>
    </row>
    <row r="52">
      <c r="B52" s="18" t="n">
        <v>88</v>
      </c>
      <c r="C52" s="18" t="n">
        <v>87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80</v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AND(B52&gt;=75, C52&gt;=75)</f>
        <v/>
      </c>
      <c r="H53" s="29" t="inlineStr">
        <is>
          <t>Ketik: =AND(B52&gt;=75, C52&gt;=75)</t>
        </is>
      </c>
    </row>
    <row r="54">
      <c r="B54" s="18" t="n">
        <v>70</v>
      </c>
      <c r="C54" s="18" t="n">
        <v>85</v>
      </c>
    </row>
    <row r="55">
      <c r="B55" s="18" t="n">
        <v>60</v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#032 — RUMUS EXCEL: OR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(OR)</t>
        </is>
      </c>
    </row>
    <row r="5" ht="21" customHeight="1">
      <c r="B5" s="12" t="inlineStr">
        <is>
          <t>Nama Rumus Excel</t>
        </is>
      </c>
      <c r="C5" s="13">
        <f>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OR(logika1, logika2, ...)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TRUE (Benar) jika SALAH SATU syarat saja sudah terpenuhi. Lebih fleksibel daripada AND.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OR)</t>
        </is>
      </c>
    </row>
    <row r="10">
      <c r="B10" s="16" t="inlineStr">
        <is>
          <t>Nilai Teori (B)</t>
        </is>
      </c>
      <c r="C10" s="16" t="inlineStr">
        <is>
          <t>Nilai Praktik (C)</t>
        </is>
      </c>
      <c r="E10" s="17" t="inlineStr">
        <is>
          <t>💡 CONTOH RUMUS YANG SUDAH TERPASANG AKTIF:</t>
        </is>
      </c>
    </row>
    <row r="11">
      <c r="B11" s="18" t="n">
        <v>80</v>
      </c>
      <c r="C11" s="18" t="n">
        <v>75</v>
      </c>
      <c r="E11" s="19" t="inlineStr">
        <is>
          <t>Kasus Contoh:</t>
        </is>
      </c>
      <c r="F11" s="20" t="inlineStr">
        <is>
          <t>Uji apakah nilai Teori di B11 &gt;= 75 DAN/ATAU nilai Praktik di C11 &gt;= 75 menggunakan rumus OR!</t>
        </is>
      </c>
    </row>
    <row r="12">
      <c r="B12" s="18" t="n">
        <v>80</v>
      </c>
      <c r="C12" s="18" t="n">
        <v>60</v>
      </c>
      <c r="E12" s="19" t="inlineStr">
        <is>
          <t>Rumus yang Diketik:</t>
        </is>
      </c>
      <c r="F12" s="21" t="inlineStr">
        <is>
          <t>'=OR(B11&gt;=75, C11&gt;=75)</t>
        </is>
      </c>
    </row>
    <row r="13">
      <c r="B13" s="18" t="n">
        <v>70</v>
      </c>
      <c r="C13" s="18" t="n">
        <v>85</v>
      </c>
      <c r="E13" s="19" t="inlineStr">
        <is>
          <t>Hasil Otomatis Excel:</t>
        </is>
      </c>
      <c r="F13" s="22">
        <f>OR(B11&gt;=75, C11&gt;=75)</f>
        <v/>
      </c>
    </row>
    <row r="14">
      <c r="B14" s="18" t="n">
        <v>60</v>
      </c>
      <c r="C14" s="18" t="n">
        <v>65</v>
      </c>
    </row>
    <row r="16" ht="26" customHeight="1">
      <c r="B16" s="23" t="inlineStr">
        <is>
          <t>3️⃣ 5 PERSOALAN DUNIA NYATA (KETIK RUMUS 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Nilai Teori (B)</t>
        </is>
      </c>
      <c r="C19" s="12" t="inlineStr">
        <is>
          <t>Nilai Praktik (C)</t>
        </is>
      </c>
      <c r="E19" s="25" t="inlineStr">
        <is>
          <t>Persoalan #1: Uji apakah nilai Teori di B20 &gt;= 75 DAN/ATAU nilai Praktik di C20 &gt;= 75 menggunakan rumus OR!</t>
        </is>
      </c>
    </row>
    <row r="20">
      <c r="B20" s="18" t="n">
        <v>80</v>
      </c>
      <c r="C20" s="18" t="n">
        <v>75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80</v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OR(B20&gt;=75, C20&gt;=75)</f>
        <v/>
      </c>
      <c r="H21" s="29" t="inlineStr">
        <is>
          <t>Ketik: =OR(B20&gt;=75, C20&gt;=75)</t>
        </is>
      </c>
    </row>
    <row r="22">
      <c r="B22" s="18" t="n">
        <v>70</v>
      </c>
      <c r="C22" s="18" t="n">
        <v>85</v>
      </c>
    </row>
    <row r="23">
      <c r="B23" s="18" t="n">
        <v>60</v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Nilai Teori (B)</t>
        </is>
      </c>
      <c r="C27" s="12" t="inlineStr">
        <is>
          <t>Nilai Praktik (C)</t>
        </is>
      </c>
      <c r="E27" s="25" t="inlineStr">
        <is>
          <t>Persoalan #2: Uji apakah nilai Teori di B28 &gt;= 75 DAN/ATAU nilai Praktik di C28 &gt;= 75 menggunakan rumus OR!</t>
        </is>
      </c>
    </row>
    <row r="28">
      <c r="B28" s="18" t="n">
        <v>82</v>
      </c>
      <c r="C28" s="18" t="n">
        <v>78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80</v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OR(B28&gt;=75, C28&gt;=75)</f>
        <v/>
      </c>
      <c r="H29" s="29" t="inlineStr">
        <is>
          <t>Ketik: =OR(B28&gt;=75, C28&gt;=75)</t>
        </is>
      </c>
    </row>
    <row r="30">
      <c r="B30" s="18" t="n">
        <v>70</v>
      </c>
      <c r="C30" s="18" t="n">
        <v>85</v>
      </c>
    </row>
    <row r="31">
      <c r="B31" s="18" t="n">
        <v>60</v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Nilai Teori (B)</t>
        </is>
      </c>
      <c r="C35" s="12" t="inlineStr">
        <is>
          <t>Nilai Praktik (C)</t>
        </is>
      </c>
      <c r="E35" s="25" t="inlineStr">
        <is>
          <t>Persoalan #3: Uji apakah nilai Teori di B36 &gt;= 75 DAN/ATAU nilai Praktik di C36 &gt;= 75 menggunakan rumus OR!</t>
        </is>
      </c>
    </row>
    <row r="36">
      <c r="B36" s="18" t="n">
        <v>84</v>
      </c>
      <c r="C36" s="18" t="n">
        <v>81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80</v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OR(B36&gt;=75, C36&gt;=75)</f>
        <v/>
      </c>
      <c r="H37" s="29" t="inlineStr">
        <is>
          <t>Ketik: =OR(B36&gt;=75, C36&gt;=75)</t>
        </is>
      </c>
    </row>
    <row r="38">
      <c r="B38" s="18" t="n">
        <v>70</v>
      </c>
      <c r="C38" s="18" t="n">
        <v>85</v>
      </c>
    </row>
    <row r="39">
      <c r="B39" s="18" t="n">
        <v>60</v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Nilai Teori (B)</t>
        </is>
      </c>
      <c r="C43" s="12" t="inlineStr">
        <is>
          <t>Nilai Praktik (C)</t>
        </is>
      </c>
      <c r="E43" s="25" t="inlineStr">
        <is>
          <t>Persoalan #4: Uji apakah nilai Teori di B44 &gt;= 75 DAN/ATAU nilai Praktik di C44 &gt;= 75 menggunakan rumus OR!</t>
        </is>
      </c>
    </row>
    <row r="44">
      <c r="B44" s="18" t="n">
        <v>86</v>
      </c>
      <c r="C44" s="18" t="n">
        <v>84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OR(B44&gt;=75, C44&gt;=75)</f>
        <v/>
      </c>
      <c r="H45" s="29" t="inlineStr">
        <is>
          <t>Ketik: =OR(B44&gt;=75, C44&gt;=75)</t>
        </is>
      </c>
    </row>
    <row r="46">
      <c r="B46" s="18" t="n">
        <v>70</v>
      </c>
      <c r="C46" s="18" t="n">
        <v>85</v>
      </c>
    </row>
    <row r="47">
      <c r="B47" s="18" t="n">
        <v>60</v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Nilai Teori (B)</t>
        </is>
      </c>
      <c r="C51" s="12" t="inlineStr">
        <is>
          <t>Nilai Praktik (C)</t>
        </is>
      </c>
      <c r="E51" s="25" t="inlineStr">
        <is>
          <t>Persoalan #5: Uji apakah nilai Teori di B52 &gt;= 75 DAN/ATAU nilai Praktik di C52 &gt;= 75 menggunakan rumus OR!</t>
        </is>
      </c>
    </row>
    <row r="52">
      <c r="B52" s="18" t="n">
        <v>88</v>
      </c>
      <c r="C52" s="18" t="n">
        <v>87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80</v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OR(B52&gt;=75, C52&gt;=75)</f>
        <v/>
      </c>
      <c r="H53" s="29" t="inlineStr">
        <is>
          <t>Ketik: =OR(B52&gt;=75, C52&gt;=75)</t>
        </is>
      </c>
    </row>
    <row r="54">
      <c r="B54" s="18" t="n">
        <v>70</v>
      </c>
      <c r="C54" s="18" t="n">
        <v>85</v>
      </c>
    </row>
    <row r="55">
      <c r="B55" s="18" t="n">
        <v>60</v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#033 — RUMUS EXCEL: NOT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(NOT)</t>
        </is>
      </c>
    </row>
    <row r="5" ht="21" customHeight="1">
      <c r="B5" s="12" t="inlineStr">
        <is>
          <t>Nama Rumus Excel</t>
        </is>
      </c>
      <c r="C5" s="13">
        <f>NOT(...)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NOT(logika)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Membalikkan keadaan logika: yang TRUE dibalik jadi FALSE, yang FALSE dibalik jadi TRUE.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NOT)</t>
        </is>
      </c>
    </row>
    <row r="10">
      <c r="B10" s="16" t="inlineStr">
        <is>
          <t>Peserta</t>
        </is>
      </c>
      <c r="C10" s="16" t="inlineStr">
        <is>
          <t>Skor Uji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80</v>
      </c>
      <c r="E11" s="19" t="inlineStr">
        <is>
          <t>Kasus Contoh:</t>
        </is>
      </c>
      <c r="F11" s="20" t="inlineStr">
        <is>
          <t>Gunakan rumus NOT untuk membalik logika apakah nilai di C11 kurang dari 75 (C11&lt;75)!</t>
        </is>
      </c>
    </row>
    <row r="12">
      <c r="B12" s="18" t="inlineStr">
        <is>
          <t>Cabang Bandung</t>
        </is>
      </c>
      <c r="C12" s="18" t="n">
        <v>60</v>
      </c>
      <c r="E12" s="19" t="inlineStr">
        <is>
          <t>Rumus yang Diketik:</t>
        </is>
      </c>
      <c r="F12" s="21" t="inlineStr">
        <is>
          <t>'=NOT(C11&lt;75)</t>
        </is>
      </c>
    </row>
    <row r="13">
      <c r="B13" s="18" t="inlineStr">
        <is>
          <t>Cabang Surabaya</t>
        </is>
      </c>
      <c r="C13" s="18" t="n">
        <v>90</v>
      </c>
      <c r="E13" s="19" t="inlineStr">
        <is>
          <t>Hasil Otomatis Excel:</t>
        </is>
      </c>
      <c r="F13" s="22">
        <f>NOT(C11&lt;75)</f>
        <v/>
      </c>
    </row>
    <row r="14">
      <c r="B14" s="18" t="inlineStr">
        <is>
          <t>Cabang Medan</t>
        </is>
      </c>
      <c r="C14" s="18" t="n">
        <v>70</v>
      </c>
    </row>
    <row r="16" ht="26" customHeight="1">
      <c r="B16" s="23" t="inlineStr">
        <is>
          <t>3️⃣ 5 PERSOALAN DUNIA NYATA (KETIK RUMUS NOT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Peserta</t>
        </is>
      </c>
      <c r="C19" s="12" t="inlineStr">
        <is>
          <t>Skor Uji</t>
        </is>
      </c>
      <c r="E19" s="25" t="inlineStr">
        <is>
          <t>Persoalan #1: Gunakan rumus NOT untuk membalik logika apakah nilai di C20 kurang dari 75 (C20&lt;75)!</t>
        </is>
      </c>
    </row>
    <row r="20">
      <c r="B20" s="18" t="inlineStr">
        <is>
          <t>Cabang Jakarta</t>
        </is>
      </c>
      <c r="C20" s="18" t="n">
        <v>80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NOT(C20&lt;75)</f>
        <v/>
      </c>
      <c r="H21" s="29" t="inlineStr">
        <is>
          <t>Ketik: =NOT(C20&lt;75)</t>
        </is>
      </c>
    </row>
    <row r="22">
      <c r="B22" s="18" t="inlineStr">
        <is>
          <t>Cabang Surabaya</t>
        </is>
      </c>
      <c r="C22" s="18" t="n">
        <v>90</v>
      </c>
    </row>
    <row r="23">
      <c r="B23" s="18" t="inlineStr">
        <is>
          <t>Cabang Medan</t>
        </is>
      </c>
      <c r="C23" s="18" t="n">
        <v>70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Peserta</t>
        </is>
      </c>
      <c r="C27" s="12" t="inlineStr">
        <is>
          <t>Skor Uji</t>
        </is>
      </c>
      <c r="E27" s="25" t="inlineStr">
        <is>
          <t>Persoalan #2: Gunakan rumus NOT untuk membalik logika apakah nilai di C28 kurang dari 75 (C28&lt;75)!</t>
        </is>
      </c>
    </row>
    <row r="28">
      <c r="B28" s="18" t="inlineStr">
        <is>
          <t>Budi Santoso</t>
        </is>
      </c>
      <c r="C28" s="18" t="n">
        <v>80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NOT(C28&lt;75)</f>
        <v/>
      </c>
      <c r="H29" s="29" t="inlineStr">
        <is>
          <t>Ketik: =NOT(C28&lt;75)</t>
        </is>
      </c>
    </row>
    <row r="30">
      <c r="B30" s="18" t="inlineStr">
        <is>
          <t>Andi Pratama</t>
        </is>
      </c>
      <c r="C30" s="18" t="n">
        <v>90</v>
      </c>
    </row>
    <row r="31">
      <c r="B31" s="18" t="inlineStr">
        <is>
          <t>Rina Wijaya</t>
        </is>
      </c>
      <c r="C31" s="18" t="n">
        <v>70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Peserta</t>
        </is>
      </c>
      <c r="C35" s="12" t="inlineStr">
        <is>
          <t>Skor Uji</t>
        </is>
      </c>
      <c r="E35" s="25" t="inlineStr">
        <is>
          <t>Persoalan #3: Gunakan rumus NOT untuk membalik logika apakah nilai di C36 kurang dari 75 (C36&lt;75)!</t>
        </is>
      </c>
    </row>
    <row r="36">
      <c r="B36" s="18" t="inlineStr">
        <is>
          <t>Gudang Blok A</t>
        </is>
      </c>
      <c r="C36" s="18" t="n">
        <v>80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NOT(C36&lt;75)</f>
        <v/>
      </c>
      <c r="H37" s="29" t="inlineStr">
        <is>
          <t>Ketik: =NOT(C36&lt;75)</t>
        </is>
      </c>
    </row>
    <row r="38">
      <c r="B38" s="18" t="inlineStr">
        <is>
          <t>Gudang Blok C</t>
        </is>
      </c>
      <c r="C38" s="18" t="n">
        <v>90</v>
      </c>
    </row>
    <row r="39">
      <c r="B39" s="18" t="inlineStr">
        <is>
          <t>Gudang Blok D</t>
        </is>
      </c>
      <c r="C39" s="18" t="n">
        <v>70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Peserta</t>
        </is>
      </c>
      <c r="C43" s="12" t="inlineStr">
        <is>
          <t>Skor Uji</t>
        </is>
      </c>
      <c r="E43" s="25" t="inlineStr">
        <is>
          <t>Persoalan #4: Gunakan rumus NOT untuk membalik logika apakah nilai di C44 kurang dari 75 (C44&lt;75)!</t>
        </is>
      </c>
    </row>
    <row r="44">
      <c r="B44" s="18" t="inlineStr">
        <is>
          <t>Toko Elektronik</t>
        </is>
      </c>
      <c r="C44" s="18" t="n">
        <v>80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NOT(C44&lt;75)</f>
        <v/>
      </c>
      <c r="H45" s="29" t="inlineStr">
        <is>
          <t>Ketik: =NOT(C44&lt;75)</t>
        </is>
      </c>
    </row>
    <row r="46">
      <c r="B46" s="18" t="inlineStr">
        <is>
          <t>Toko Aksesoris</t>
        </is>
      </c>
      <c r="C46" s="18" t="n">
        <v>90</v>
      </c>
    </row>
    <row r="47">
      <c r="B47" s="18" t="inlineStr">
        <is>
          <t>Toko Servis</t>
        </is>
      </c>
      <c r="C47" s="18" t="n">
        <v>70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Peserta</t>
        </is>
      </c>
      <c r="C51" s="12" t="inlineStr">
        <is>
          <t>Skor Uji</t>
        </is>
      </c>
      <c r="E51" s="25" t="inlineStr">
        <is>
          <t>Persoalan #5: Gunakan rumus NOT untuk membalik logika apakah nilai di C52 kurang dari 75 (C52&lt;75)!</t>
        </is>
      </c>
    </row>
    <row r="52">
      <c r="B52" s="18" t="inlineStr">
        <is>
          <t>Kelas 10 IPA</t>
        </is>
      </c>
      <c r="C52" s="18" t="n">
        <v>80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NOT(C52&lt;75)</f>
        <v/>
      </c>
      <c r="H53" s="29" t="inlineStr">
        <is>
          <t>Ketik: =NOT(C52&lt;75)</t>
        </is>
      </c>
    </row>
    <row r="54">
      <c r="B54" s="18" t="inlineStr">
        <is>
          <t>Kelas 12 IPA</t>
        </is>
      </c>
      <c r="C54" s="18" t="n">
        <v>90</v>
      </c>
    </row>
    <row r="55">
      <c r="B55" s="18" t="inlineStr">
        <is>
          <t>Kelas Unggulan</t>
        </is>
      </c>
      <c r="C55" s="18" t="n">
        <v>70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#034 — RUMUS EXCEL: XOR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(XOR)</t>
        </is>
      </c>
    </row>
    <row r="5" ht="21" customHeight="1">
      <c r="B5" s="12" t="inlineStr">
        <is>
          <t>Nama Rumus Excel</t>
        </is>
      </c>
      <c r="C5" s="13">
        <f>XOR(...)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XOR(logika1, logika2)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Logika Eksklusif OR: menghasilkan TRUE jika tepat salah satu syarat benar, tapi FALSE jika keduanya sama-sama benar atau sama-sama salah.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XOR)</t>
        </is>
      </c>
    </row>
    <row r="10">
      <c r="B10" s="16" t="inlineStr">
        <is>
          <t>Nilai Teori (B)</t>
        </is>
      </c>
      <c r="C10" s="16" t="inlineStr">
        <is>
          <t>Nilai Praktik (C)</t>
        </is>
      </c>
      <c r="E10" s="17" t="inlineStr">
        <is>
          <t>💡 CONTOH RUMUS YANG SUDAH TERPASANG AKTIF:</t>
        </is>
      </c>
    </row>
    <row r="11">
      <c r="B11" s="18" t="n">
        <v>80</v>
      </c>
      <c r="C11" s="18" t="n">
        <v>75</v>
      </c>
      <c r="E11" s="19" t="inlineStr">
        <is>
          <t>Kasus Contoh:</t>
        </is>
      </c>
      <c r="F11" s="20" t="inlineStr">
        <is>
          <t>Uji apakah nilai Teori di B11 &gt;= 75 DAN/ATAU nilai Praktik di C11 &gt;= 75 menggunakan rumus XOR!</t>
        </is>
      </c>
    </row>
    <row r="12">
      <c r="B12" s="18" t="n">
        <v>80</v>
      </c>
      <c r="C12" s="18" t="n">
        <v>60</v>
      </c>
      <c r="E12" s="19" t="inlineStr">
        <is>
          <t>Rumus yang Diketik:</t>
        </is>
      </c>
      <c r="F12" s="21" t="inlineStr">
        <is>
          <t>'=XOR(B11&gt;=75, C11&gt;=75)</t>
        </is>
      </c>
    </row>
    <row r="13">
      <c r="B13" s="18" t="n">
        <v>70</v>
      </c>
      <c r="C13" s="18" t="n">
        <v>85</v>
      </c>
      <c r="E13" s="19" t="inlineStr">
        <is>
          <t>Hasil Otomatis Excel:</t>
        </is>
      </c>
      <c r="F13" s="22">
        <f>XOR(B11&gt;=75, C11&gt;=75)</f>
        <v/>
      </c>
    </row>
    <row r="14">
      <c r="B14" s="18" t="n">
        <v>60</v>
      </c>
      <c r="C14" s="18" t="n">
        <v>65</v>
      </c>
    </row>
    <row r="16" ht="26" customHeight="1">
      <c r="B16" s="23" t="inlineStr">
        <is>
          <t>3️⃣ 5 PERSOALAN DUNIA NYATA (KETIK RUMUS XOR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Nilai Teori (B)</t>
        </is>
      </c>
      <c r="C19" s="12" t="inlineStr">
        <is>
          <t>Nilai Praktik (C)</t>
        </is>
      </c>
      <c r="E19" s="25" t="inlineStr">
        <is>
          <t>Persoalan #1: Uji apakah nilai Teori di B20 &gt;= 75 DAN/ATAU nilai Praktik di C20 &gt;= 75 menggunakan rumus XOR!</t>
        </is>
      </c>
    </row>
    <row r="20">
      <c r="B20" s="18" t="n">
        <v>80</v>
      </c>
      <c r="C20" s="18" t="n">
        <v>75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n">
        <v>80</v>
      </c>
      <c r="C21" s="18" t="n">
        <v>60</v>
      </c>
      <c r="E21" s="26" t="n"/>
      <c r="F21" s="27">
        <f>IF(ISBLANK(E21), "⏳ Ketik rumus di sel kuning E21", IF(E21=G21, "✅ BENAR! LUAR BIASA!", "❌ Belum Tepat, Cek Kunci"))</f>
        <v/>
      </c>
      <c r="G21" s="28">
        <f>XOR(B20&gt;=75, C20&gt;=75)</f>
        <v/>
      </c>
      <c r="H21" s="29" t="inlineStr">
        <is>
          <t>Ketik: =XOR(B20&gt;=75, C20&gt;=75)</t>
        </is>
      </c>
    </row>
    <row r="22">
      <c r="B22" s="18" t="n">
        <v>70</v>
      </c>
      <c r="C22" s="18" t="n">
        <v>85</v>
      </c>
    </row>
    <row r="23">
      <c r="B23" s="18" t="n">
        <v>60</v>
      </c>
      <c r="C23" s="18" t="n">
        <v>65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Nilai Teori (B)</t>
        </is>
      </c>
      <c r="C27" s="12" t="inlineStr">
        <is>
          <t>Nilai Praktik (C)</t>
        </is>
      </c>
      <c r="E27" s="25" t="inlineStr">
        <is>
          <t>Persoalan #2: Uji apakah nilai Teori di B28 &gt;= 75 DAN/ATAU nilai Praktik di C28 &gt;= 75 menggunakan rumus XOR!</t>
        </is>
      </c>
    </row>
    <row r="28">
      <c r="B28" s="18" t="n">
        <v>82</v>
      </c>
      <c r="C28" s="18" t="n">
        <v>78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n">
        <v>80</v>
      </c>
      <c r="C29" s="18" t="n">
        <v>60</v>
      </c>
      <c r="E29" s="26" t="n"/>
      <c r="F29" s="27">
        <f>IF(ISBLANK(E29), "⏳ Ketik rumus di sel kuning E29", IF(E29=G29, "✅ BENAR! LUAR BIASA!", "❌ Belum Tepat, Cek Kunci"))</f>
        <v/>
      </c>
      <c r="G29" s="28">
        <f>XOR(B28&gt;=75, C28&gt;=75)</f>
        <v/>
      </c>
      <c r="H29" s="29" t="inlineStr">
        <is>
          <t>Ketik: =XOR(B28&gt;=75, C28&gt;=75)</t>
        </is>
      </c>
    </row>
    <row r="30">
      <c r="B30" s="18" t="n">
        <v>70</v>
      </c>
      <c r="C30" s="18" t="n">
        <v>85</v>
      </c>
    </row>
    <row r="31">
      <c r="B31" s="18" t="n">
        <v>60</v>
      </c>
      <c r="C31" s="18" t="n">
        <v>65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Nilai Teori (B)</t>
        </is>
      </c>
      <c r="C35" s="12" t="inlineStr">
        <is>
          <t>Nilai Praktik (C)</t>
        </is>
      </c>
      <c r="E35" s="25" t="inlineStr">
        <is>
          <t>Persoalan #3: Uji apakah nilai Teori di B36 &gt;= 75 DAN/ATAU nilai Praktik di C36 &gt;= 75 menggunakan rumus XOR!</t>
        </is>
      </c>
    </row>
    <row r="36">
      <c r="B36" s="18" t="n">
        <v>84</v>
      </c>
      <c r="C36" s="18" t="n">
        <v>81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n">
        <v>80</v>
      </c>
      <c r="C37" s="18" t="n">
        <v>60</v>
      </c>
      <c r="E37" s="26" t="n"/>
      <c r="F37" s="27">
        <f>IF(ISBLANK(E37), "⏳ Ketik rumus di sel kuning E37", IF(E37=G37, "✅ BENAR! LUAR BIASA!", "❌ Belum Tepat, Cek Kunci"))</f>
        <v/>
      </c>
      <c r="G37" s="28">
        <f>XOR(B36&gt;=75, C36&gt;=75)</f>
        <v/>
      </c>
      <c r="H37" s="29" t="inlineStr">
        <is>
          <t>Ketik: =XOR(B36&gt;=75, C36&gt;=75)</t>
        </is>
      </c>
    </row>
    <row r="38">
      <c r="B38" s="18" t="n">
        <v>70</v>
      </c>
      <c r="C38" s="18" t="n">
        <v>85</v>
      </c>
    </row>
    <row r="39">
      <c r="B39" s="18" t="n">
        <v>60</v>
      </c>
      <c r="C39" s="18" t="n">
        <v>65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Nilai Teori (B)</t>
        </is>
      </c>
      <c r="C43" s="12" t="inlineStr">
        <is>
          <t>Nilai Praktik (C)</t>
        </is>
      </c>
      <c r="E43" s="25" t="inlineStr">
        <is>
          <t>Persoalan #4: Uji apakah nilai Teori di B44 &gt;= 75 DAN/ATAU nilai Praktik di C44 &gt;= 75 menggunakan rumus XOR!</t>
        </is>
      </c>
    </row>
    <row r="44">
      <c r="B44" s="18" t="n">
        <v>86</v>
      </c>
      <c r="C44" s="18" t="n">
        <v>84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n">
        <v>80</v>
      </c>
      <c r="C45" s="18" t="n">
        <v>60</v>
      </c>
      <c r="E45" s="26" t="n"/>
      <c r="F45" s="27">
        <f>IF(ISBLANK(E45), "⏳ Ketik rumus di sel kuning E45", IF(E45=G45, "✅ BENAR! LUAR BIASA!", "❌ Belum Tepat, Cek Kunci"))</f>
        <v/>
      </c>
      <c r="G45" s="28">
        <f>XOR(B44&gt;=75, C44&gt;=75)</f>
        <v/>
      </c>
      <c r="H45" s="29" t="inlineStr">
        <is>
          <t>Ketik: =XOR(B44&gt;=75, C44&gt;=75)</t>
        </is>
      </c>
    </row>
    <row r="46">
      <c r="B46" s="18" t="n">
        <v>70</v>
      </c>
      <c r="C46" s="18" t="n">
        <v>85</v>
      </c>
    </row>
    <row r="47">
      <c r="B47" s="18" t="n">
        <v>60</v>
      </c>
      <c r="C47" s="18" t="n">
        <v>65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Nilai Teori (B)</t>
        </is>
      </c>
      <c r="C51" s="12" t="inlineStr">
        <is>
          <t>Nilai Praktik (C)</t>
        </is>
      </c>
      <c r="E51" s="25" t="inlineStr">
        <is>
          <t>Persoalan #5: Uji apakah nilai Teori di B52 &gt;= 75 DAN/ATAU nilai Praktik di C52 &gt;= 75 menggunakan rumus XOR!</t>
        </is>
      </c>
    </row>
    <row r="52">
      <c r="B52" s="18" t="n">
        <v>88</v>
      </c>
      <c r="C52" s="18" t="n">
        <v>87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n">
        <v>80</v>
      </c>
      <c r="C53" s="18" t="n">
        <v>60</v>
      </c>
      <c r="E53" s="26" t="n"/>
      <c r="F53" s="27">
        <f>IF(ISBLANK(E53), "⏳ Ketik rumus di sel kuning E53", IF(E53=G53, "✅ BENAR! LUAR BIASA!", "❌ Belum Tepat, Cek Kunci"))</f>
        <v/>
      </c>
      <c r="G53" s="28">
        <f>XOR(B52&gt;=75, C52&gt;=75)</f>
        <v/>
      </c>
      <c r="H53" s="29" t="inlineStr">
        <is>
          <t>Ketik: =XOR(B52&gt;=75, C52&gt;=75)</t>
        </is>
      </c>
    </row>
    <row r="54">
      <c r="B54" s="18" t="n">
        <v>70</v>
      </c>
      <c r="C54" s="18" t="n">
        <v>85</v>
      </c>
    </row>
    <row r="55">
      <c r="B55" s="18" t="n">
        <v>60</v>
      </c>
      <c r="C55" s="18" t="n">
        <v>65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#035 — RUMUS EXCEL: IFERROR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(IFERROR)</t>
        </is>
      </c>
    </row>
    <row r="5" ht="21" customHeight="1">
      <c r="B5" s="12" t="inlineStr">
        <is>
          <t>Nama Rumus Excel</t>
        </is>
      </c>
      <c r="C5" s="13">
        <f>IFERROR(...)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IFERROR(rumus_utama, nilai_jika_error)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Sabuk pengaman rumus: jika rumus utama menghasilkan pesan error (#N/A, #DIV/0!), otomatis diganti dengan teks rapi seperti 'Data Tidak Ditemukan' atau angka 0.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IFERROR)</t>
        </is>
      </c>
    </row>
    <row r="10">
      <c r="B10" s="16" t="inlineStr">
        <is>
          <t>Item Data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</v>
      </c>
      <c r="E11" s="19" t="inlineStr">
        <is>
          <t>Kasus Contoh:</t>
        </is>
      </c>
      <c r="F11" s="20" t="inlineStr">
        <is>
          <t>Gunakan IFERROR untuk menghitung C11/2, dan jika error tampilkan angka 0!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'=IFERROR(C11/2, 0)</t>
        </is>
      </c>
    </row>
    <row r="13">
      <c r="B13" s="18" t="inlineStr">
        <is>
          <t>Cabang Surabaya</t>
        </is>
      </c>
      <c r="C13" s="18" t="n">
        <v>300</v>
      </c>
      <c r="E13" s="19" t="inlineStr">
        <is>
          <t>Hasil Otomatis Excel:</t>
        </is>
      </c>
      <c r="F13" s="22">
        <f>IFERROR(C11/2, 0)</f>
        <v/>
      </c>
    </row>
    <row r="14">
      <c r="B14" s="18" t="inlineStr">
        <is>
          <t>Cabang Medan</t>
        </is>
      </c>
      <c r="C14" s="18" t="n">
        <v>400</v>
      </c>
    </row>
    <row r="16" ht="26" customHeight="1">
      <c r="B16" s="23" t="inlineStr">
        <is>
          <t>3️⃣ 5 PERSOALAN DUNIA NYATA (KETIK RUMUS IFERROR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Data</t>
        </is>
      </c>
      <c r="C19" s="12" t="inlineStr">
        <is>
          <t>Nilai Input</t>
        </is>
      </c>
      <c r="E19" s="25" t="inlineStr">
        <is>
          <t>Persoalan #1: Gunakan IFERROR untuk menghitung C20/2, dan jika error tampilkan angka 0!</t>
        </is>
      </c>
    </row>
    <row r="20">
      <c r="B20" s="18" t="inlineStr">
        <is>
          <t>Cabang Jakarta</t>
        </is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IFERROR(C20/2, 0)</f>
        <v/>
      </c>
      <c r="H21" s="29" t="inlineStr">
        <is>
          <t>Ketik: =IFERROR(C20/2, 0)</t>
        </is>
      </c>
    </row>
    <row r="22">
      <c r="B22" s="18" t="inlineStr">
        <is>
          <t>Cabang Surabaya</t>
        </is>
      </c>
      <c r="C22" s="18" t="n">
        <v>300</v>
      </c>
    </row>
    <row r="23">
      <c r="B23" s="18" t="inlineStr">
        <is>
          <t>Cabang Medan</t>
        </is>
      </c>
      <c r="C23" s="18" t="n">
        <v>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Data</t>
        </is>
      </c>
      <c r="C27" s="12" t="inlineStr">
        <is>
          <t>Nilai Input</t>
        </is>
      </c>
      <c r="E27" s="25" t="inlineStr">
        <is>
          <t>Persoalan #2: Gunakan IFERROR untuk menghitung C28/2, dan jika error tampilkan angka 0!</t>
        </is>
      </c>
    </row>
    <row r="28">
      <c r="B28" s="18" t="inlineStr">
        <is>
          <t>Budi Santoso</t>
        </is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200</v>
      </c>
      <c r="E29" s="26" t="n"/>
      <c r="F29" s="27">
        <f>IF(ISBLANK(E29), "⏳ Ketik rumus di sel kuning E29", IF(E29=G29, "✅ BENAR! LUAR BIASA!", "❌ Belum Tepat, Cek Kunci"))</f>
        <v/>
      </c>
      <c r="G29" s="28">
        <f>IFERROR(C28/2, 0)</f>
        <v/>
      </c>
      <c r="H29" s="29" t="inlineStr">
        <is>
          <t>Ketik: =IFERROR(C28/2, 0)</t>
        </is>
      </c>
    </row>
    <row r="30">
      <c r="B30" s="18" t="inlineStr">
        <is>
          <t>Andi Pratama</t>
        </is>
      </c>
      <c r="C30" s="18" t="n">
        <v>300</v>
      </c>
    </row>
    <row r="31">
      <c r="B31" s="18" t="inlineStr">
        <is>
          <t>Rina Wijaya</t>
        </is>
      </c>
      <c r="C31" s="18" t="n">
        <v>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Data</t>
        </is>
      </c>
      <c r="C35" s="12" t="inlineStr">
        <is>
          <t>Nilai Input</t>
        </is>
      </c>
      <c r="E35" s="25" t="inlineStr">
        <is>
          <t>Persoalan #3: Gunakan IFERROR untuk menghitung C36/2, dan jika error tampilkan angka 0!</t>
        </is>
      </c>
    </row>
    <row r="36">
      <c r="B36" s="18" t="inlineStr">
        <is>
          <t>Gudang Blok A</t>
        </is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200</v>
      </c>
      <c r="E37" s="26" t="n"/>
      <c r="F37" s="27">
        <f>IF(ISBLANK(E37), "⏳ Ketik rumus di sel kuning E37", IF(E37=G37, "✅ BENAR! LUAR BIASA!", "❌ Belum Tepat, Cek Kunci"))</f>
        <v/>
      </c>
      <c r="G37" s="28">
        <f>IFERROR(C36/2, 0)</f>
        <v/>
      </c>
      <c r="H37" s="29" t="inlineStr">
        <is>
          <t>Ketik: =IFERROR(C36/2, 0)</t>
        </is>
      </c>
    </row>
    <row r="38">
      <c r="B38" s="18" t="inlineStr">
        <is>
          <t>Gudang Blok C</t>
        </is>
      </c>
      <c r="C38" s="18" t="n">
        <v>300</v>
      </c>
    </row>
    <row r="39">
      <c r="B39" s="18" t="inlineStr">
        <is>
          <t>Gudang Blok D</t>
        </is>
      </c>
      <c r="C39" s="18" t="n">
        <v>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Data</t>
        </is>
      </c>
      <c r="C43" s="12" t="inlineStr">
        <is>
          <t>Nilai Input</t>
        </is>
      </c>
      <c r="E43" s="25" t="inlineStr">
        <is>
          <t>Persoalan #4: Gunakan IFERROR untuk menghitung C44/2, dan jika error tampilkan angka 0!</t>
        </is>
      </c>
    </row>
    <row r="44">
      <c r="B44" s="18" t="inlineStr">
        <is>
          <t>Toko Elektronik</t>
        </is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200</v>
      </c>
      <c r="E45" s="26" t="n"/>
      <c r="F45" s="27">
        <f>IF(ISBLANK(E45), "⏳ Ketik rumus di sel kuning E45", IF(E45=G45, "✅ BENAR! LUAR BIASA!", "❌ Belum Tepat, Cek Kunci"))</f>
        <v/>
      </c>
      <c r="G45" s="28">
        <f>IFERROR(C44/2, 0)</f>
        <v/>
      </c>
      <c r="H45" s="29" t="inlineStr">
        <is>
          <t>Ketik: =IFERROR(C44/2, 0)</t>
        </is>
      </c>
    </row>
    <row r="46">
      <c r="B46" s="18" t="inlineStr">
        <is>
          <t>Toko Aksesoris</t>
        </is>
      </c>
      <c r="C46" s="18" t="n">
        <v>300</v>
      </c>
    </row>
    <row r="47">
      <c r="B47" s="18" t="inlineStr">
        <is>
          <t>Toko Servis</t>
        </is>
      </c>
      <c r="C47" s="18" t="n">
        <v>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Data</t>
        </is>
      </c>
      <c r="C51" s="12" t="inlineStr">
        <is>
          <t>Nilai Input</t>
        </is>
      </c>
      <c r="E51" s="25" t="inlineStr">
        <is>
          <t>Persoalan #5: Gunakan IFERROR untuk menghitung C52/2, dan jika error tampilkan angka 0!</t>
        </is>
      </c>
    </row>
    <row r="52">
      <c r="B52" s="18" t="inlineStr">
        <is>
          <t>Kelas 10 IPA</t>
        </is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200</v>
      </c>
      <c r="E53" s="26" t="n"/>
      <c r="F53" s="27">
        <f>IF(ISBLANK(E53), "⏳ Ketik rumus di sel kuning E53", IF(E53=G53, "✅ BENAR! LUAR BIASA!", "❌ Belum Tepat, Cek Kunci"))</f>
        <v/>
      </c>
      <c r="G53" s="28">
        <f>IFERROR(C52/2, 0)</f>
        <v/>
      </c>
      <c r="H53" s="29" t="inlineStr">
        <is>
          <t>Ketik: =IFERROR(C52/2, 0)</t>
        </is>
      </c>
    </row>
    <row r="54">
      <c r="B54" s="18" t="inlineStr">
        <is>
          <t>Kelas 12 IPA</t>
        </is>
      </c>
      <c r="C54" s="18" t="n">
        <v>300</v>
      </c>
    </row>
    <row r="55">
      <c r="B55" s="18" t="inlineStr">
        <is>
          <t>Kelas Unggulan</t>
        </is>
      </c>
      <c r="C55" s="18" t="n">
        <v>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#036 — RUMUS EXCEL: IFNA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(IFNA)</t>
        </is>
      </c>
    </row>
    <row r="5" ht="21" customHeight="1">
      <c r="B5" s="12" t="inlineStr">
        <is>
          <t>Nama Rumus Excel</t>
        </is>
      </c>
      <c r="C5" s="13">
        <f>IFNA(...)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IFNA(nilai, nilai_jika_na)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Khusus menangkap error #N/A pada rumus pencarian VLOOKUP/MATCH agar tampil sopan jika kode barang tidak ditemukan.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IFNA)</t>
        </is>
      </c>
    </row>
    <row r="10">
      <c r="B10" s="16" t="inlineStr">
        <is>
          <t>Item Data</t>
        </is>
      </c>
      <c r="C10" s="16" t="inlineStr">
        <is>
          <t>Nilai Input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100</v>
      </c>
      <c r="E11" s="19" t="inlineStr">
        <is>
          <t>Kasus Contoh:</t>
        </is>
      </c>
      <c r="F11" s="20" t="inlineStr">
        <is>
          <t>Gunakan IFNA untuk menghitung C11/2, dan jika error tampilkan angka 0!</t>
        </is>
      </c>
    </row>
    <row r="12">
      <c r="B12" s="18" t="inlineStr">
        <is>
          <t>Cabang Bandung</t>
        </is>
      </c>
      <c r="C12" s="18" t="n">
        <v>200</v>
      </c>
      <c r="E12" s="19" t="inlineStr">
        <is>
          <t>Rumus yang Diketik:</t>
        </is>
      </c>
      <c r="F12" s="21" t="inlineStr">
        <is>
          <t>'=IFNA(C11/2, 0)</t>
        </is>
      </c>
    </row>
    <row r="13">
      <c r="B13" s="18" t="inlineStr">
        <is>
          <t>Cabang Surabaya</t>
        </is>
      </c>
      <c r="C13" s="18" t="n">
        <v>300</v>
      </c>
      <c r="E13" s="19" t="inlineStr">
        <is>
          <t>Hasil Otomatis Excel:</t>
        </is>
      </c>
      <c r="F13" s="22">
        <f>IFNA(C11/2, 0)</f>
        <v/>
      </c>
    </row>
    <row r="14">
      <c r="B14" s="18" t="inlineStr">
        <is>
          <t>Cabang Medan</t>
        </is>
      </c>
      <c r="C14" s="18" t="n">
        <v>400</v>
      </c>
    </row>
    <row r="16" ht="26" customHeight="1">
      <c r="B16" s="23" t="inlineStr">
        <is>
          <t>3️⃣ 5 PERSOALAN DUNIA NYATA (KETIK RUMUS IFNA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 Data</t>
        </is>
      </c>
      <c r="C19" s="12" t="inlineStr">
        <is>
          <t>Nilai Input</t>
        </is>
      </c>
      <c r="E19" s="25" t="inlineStr">
        <is>
          <t>Persoalan #1: Gunakan IFNA untuk menghitung C20/2, dan jika error tampilkan angka 0!</t>
        </is>
      </c>
    </row>
    <row r="20">
      <c r="B20" s="18" t="inlineStr">
        <is>
          <t>Cabang Jakarta</t>
        </is>
      </c>
      <c r="C20" s="18" t="n">
        <v>100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200</v>
      </c>
      <c r="E21" s="26" t="n"/>
      <c r="F21" s="27">
        <f>IF(ISBLANK(E21), "⏳ Ketik rumus di sel kuning E21", IF(E21=G21, "✅ BENAR! LUAR BIASA!", "❌ Belum Tepat, Cek Kunci"))</f>
        <v/>
      </c>
      <c r="G21" s="28">
        <f>IFNA(C20/2, 0)</f>
        <v/>
      </c>
      <c r="H21" s="29" t="inlineStr">
        <is>
          <t>Ketik: =IFNA(C20/2, 0)</t>
        </is>
      </c>
    </row>
    <row r="22">
      <c r="B22" s="18" t="inlineStr">
        <is>
          <t>Cabang Surabaya</t>
        </is>
      </c>
      <c r="C22" s="18" t="n">
        <v>300</v>
      </c>
    </row>
    <row r="23">
      <c r="B23" s="18" t="inlineStr">
        <is>
          <t>Cabang Medan</t>
        </is>
      </c>
      <c r="C23" s="18" t="n">
        <v>400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 Data</t>
        </is>
      </c>
      <c r="C27" s="12" t="inlineStr">
        <is>
          <t>Nilai Input</t>
        </is>
      </c>
      <c r="E27" s="25" t="inlineStr">
        <is>
          <t>Persoalan #2: Gunakan IFNA untuk menghitung C28/2, dan jika error tampilkan angka 0!</t>
        </is>
      </c>
    </row>
    <row r="28">
      <c r="B28" s="18" t="inlineStr">
        <is>
          <t>Budi Santoso</t>
        </is>
      </c>
      <c r="C28" s="18" t="n">
        <v>200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200</v>
      </c>
      <c r="E29" s="26" t="n"/>
      <c r="F29" s="27">
        <f>IF(ISBLANK(E29), "⏳ Ketik rumus di sel kuning E29", IF(E29=G29, "✅ BENAR! LUAR BIASA!", "❌ Belum Tepat, Cek Kunci"))</f>
        <v/>
      </c>
      <c r="G29" s="28">
        <f>IFNA(C28/2, 0)</f>
        <v/>
      </c>
      <c r="H29" s="29" t="inlineStr">
        <is>
          <t>Ketik: =IFNA(C28/2, 0)</t>
        </is>
      </c>
    </row>
    <row r="30">
      <c r="B30" s="18" t="inlineStr">
        <is>
          <t>Andi Pratama</t>
        </is>
      </c>
      <c r="C30" s="18" t="n">
        <v>300</v>
      </c>
    </row>
    <row r="31">
      <c r="B31" s="18" t="inlineStr">
        <is>
          <t>Rina Wijaya</t>
        </is>
      </c>
      <c r="C31" s="18" t="n">
        <v>400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 Data</t>
        </is>
      </c>
      <c r="C35" s="12" t="inlineStr">
        <is>
          <t>Nilai Input</t>
        </is>
      </c>
      <c r="E35" s="25" t="inlineStr">
        <is>
          <t>Persoalan #3: Gunakan IFNA untuk menghitung C36/2, dan jika error tampilkan angka 0!</t>
        </is>
      </c>
    </row>
    <row r="36">
      <c r="B36" s="18" t="inlineStr">
        <is>
          <t>Gudang Blok A</t>
        </is>
      </c>
      <c r="C36" s="18" t="n">
        <v>300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200</v>
      </c>
      <c r="E37" s="26" t="n"/>
      <c r="F37" s="27">
        <f>IF(ISBLANK(E37), "⏳ Ketik rumus di sel kuning E37", IF(E37=G37, "✅ BENAR! LUAR BIASA!", "❌ Belum Tepat, Cek Kunci"))</f>
        <v/>
      </c>
      <c r="G37" s="28">
        <f>IFNA(C36/2, 0)</f>
        <v/>
      </c>
      <c r="H37" s="29" t="inlineStr">
        <is>
          <t>Ketik: =IFNA(C36/2, 0)</t>
        </is>
      </c>
    </row>
    <row r="38">
      <c r="B38" s="18" t="inlineStr">
        <is>
          <t>Gudang Blok C</t>
        </is>
      </c>
      <c r="C38" s="18" t="n">
        <v>300</v>
      </c>
    </row>
    <row r="39">
      <c r="B39" s="18" t="inlineStr">
        <is>
          <t>Gudang Blok D</t>
        </is>
      </c>
      <c r="C39" s="18" t="n">
        <v>400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 Data</t>
        </is>
      </c>
      <c r="C43" s="12" t="inlineStr">
        <is>
          <t>Nilai Input</t>
        </is>
      </c>
      <c r="E43" s="25" t="inlineStr">
        <is>
          <t>Persoalan #4: Gunakan IFNA untuk menghitung C44/2, dan jika error tampilkan angka 0!</t>
        </is>
      </c>
    </row>
    <row r="44">
      <c r="B44" s="18" t="inlineStr">
        <is>
          <t>Toko Elektronik</t>
        </is>
      </c>
      <c r="C44" s="18" t="n">
        <v>400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200</v>
      </c>
      <c r="E45" s="26" t="n"/>
      <c r="F45" s="27">
        <f>IF(ISBLANK(E45), "⏳ Ketik rumus di sel kuning E45", IF(E45=G45, "✅ BENAR! LUAR BIASA!", "❌ Belum Tepat, Cek Kunci"))</f>
        <v/>
      </c>
      <c r="G45" s="28">
        <f>IFNA(C44/2, 0)</f>
        <v/>
      </c>
      <c r="H45" s="29" t="inlineStr">
        <is>
          <t>Ketik: =IFNA(C44/2, 0)</t>
        </is>
      </c>
    </row>
    <row r="46">
      <c r="B46" s="18" t="inlineStr">
        <is>
          <t>Toko Aksesoris</t>
        </is>
      </c>
      <c r="C46" s="18" t="n">
        <v>300</v>
      </c>
    </row>
    <row r="47">
      <c r="B47" s="18" t="inlineStr">
        <is>
          <t>Toko Servis</t>
        </is>
      </c>
      <c r="C47" s="18" t="n">
        <v>400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 Data</t>
        </is>
      </c>
      <c r="C51" s="12" t="inlineStr">
        <is>
          <t>Nilai Input</t>
        </is>
      </c>
      <c r="E51" s="25" t="inlineStr">
        <is>
          <t>Persoalan #5: Gunakan IFNA untuk menghitung C52/2, dan jika error tampilkan angka 0!</t>
        </is>
      </c>
    </row>
    <row r="52">
      <c r="B52" s="18" t="inlineStr">
        <is>
          <t>Kelas 10 IPA</t>
        </is>
      </c>
      <c r="C52" s="18" t="n">
        <v>500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200</v>
      </c>
      <c r="E53" s="26" t="n"/>
      <c r="F53" s="27">
        <f>IF(ISBLANK(E53), "⏳ Ketik rumus di sel kuning E53", IF(E53=G53, "✅ BENAR! LUAR BIASA!", "❌ Belum Tepat, Cek Kunci"))</f>
        <v/>
      </c>
      <c r="G53" s="28">
        <f>IFNA(C52/2, 0)</f>
        <v/>
      </c>
      <c r="H53" s="29" t="inlineStr">
        <is>
          <t>Ketik: =IFNA(C52/2, 0)</t>
        </is>
      </c>
    </row>
    <row r="54">
      <c r="B54" s="18" t="inlineStr">
        <is>
          <t>Kelas 12 IPA</t>
        </is>
      </c>
      <c r="C54" s="18" t="n">
        <v>300</v>
      </c>
    </row>
    <row r="55">
      <c r="B55" s="18" t="inlineStr">
        <is>
          <t>Kelas Unggulan</t>
        </is>
      </c>
      <c r="C55" s="18" t="n">
        <v>400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#037 — RUMUS EXCEL: TRUE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(TRUE)</t>
        </is>
      </c>
    </row>
    <row r="5" ht="21" customHeight="1">
      <c r="B5" s="12" t="inlineStr">
        <is>
          <t>Nama Rumus Excel</t>
        </is>
      </c>
      <c r="C5" s="13">
        <f>TRUE(...)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TRUE()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nilai logika benar (TRUE) untuk pengujian kondisi.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TRUE)</t>
        </is>
      </c>
    </row>
    <row r="10">
      <c r="B10" s="16" t="inlineStr">
        <is>
          <t>Item</t>
        </is>
      </c>
      <c r="C10" s="16" t="inlineStr">
        <is>
          <t>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Ketikkan fungsi logika TRUE() secara langsung di sel kuning!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'=TRUE()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TRUE()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TRUE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</t>
        </is>
      </c>
      <c r="C19" s="12" t="inlineStr">
        <is>
          <t>Nilai</t>
        </is>
      </c>
      <c r="E19" s="25" t="inlineStr">
        <is>
          <t>Persoalan #1: Ketikkan fungsi logika TRUE() secara langsung di sel kuning!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TRUE()</f>
        <v/>
      </c>
      <c r="H21" s="29" t="inlineStr">
        <is>
          <t>Ketik: =TRUE()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</t>
        </is>
      </c>
      <c r="C27" s="12" t="inlineStr">
        <is>
          <t>Nilai</t>
        </is>
      </c>
      <c r="E27" s="25" t="inlineStr">
        <is>
          <t>Persoalan #2: Ketikkan fungsi logika TRUE() secara langsung di sel kuning!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TRUE()</f>
        <v/>
      </c>
      <c r="H29" s="29" t="inlineStr">
        <is>
          <t>Ketik: =TRUE()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</t>
        </is>
      </c>
      <c r="C35" s="12" t="inlineStr">
        <is>
          <t>Nilai</t>
        </is>
      </c>
      <c r="E35" s="25" t="inlineStr">
        <is>
          <t>Persoalan #3: Ketikkan fungsi logika TRUE() secara langsung di sel kuning!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TRUE()</f>
        <v/>
      </c>
      <c r="H37" s="29" t="inlineStr">
        <is>
          <t>Ketik: =TRUE()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</t>
        </is>
      </c>
      <c r="C43" s="12" t="inlineStr">
        <is>
          <t>Nilai</t>
        </is>
      </c>
      <c r="E43" s="25" t="inlineStr">
        <is>
          <t>Persoalan #4: Ketikkan fungsi logika TRUE() secara langsung di sel kuning!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TRUE()</f>
        <v/>
      </c>
      <c r="H45" s="29" t="inlineStr">
        <is>
          <t>Ketik: =TRUE()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</t>
        </is>
      </c>
      <c r="C51" s="12" t="inlineStr">
        <is>
          <t>Nilai</t>
        </is>
      </c>
      <c r="E51" s="25" t="inlineStr">
        <is>
          <t>Persoalan #5: Ketikkan fungsi logika TRUE() secara langsung di sel kuning!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TRUE()</f>
        <v/>
      </c>
      <c r="H53" s="29" t="inlineStr">
        <is>
          <t>Ketik: =TRUE()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H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4" customWidth="1" min="4" max="4"/>
    <col width="28" customWidth="1" min="5" max="5"/>
    <col width="30" customWidth="1" min="6" max="6"/>
    <col width="18" customWidth="1" min="7" max="7"/>
    <col width="34" customWidth="1" min="8" max="8"/>
  </cols>
  <sheetData>
    <row r="1" ht="30" customHeight="1">
      <c r="B1" s="8" t="inlineStr">
        <is>
          <t>📊 #038 — RUMUS EXCEL: FALSE   |   Kategori: 2. Logika &amp; Keputusan</t>
        </is>
      </c>
    </row>
    <row r="2" ht="22" customHeight="1">
      <c r="B2" s="9" t="inlineStr">
        <is>
          <t>Modul Praktik Langsung 1 Sheet 1 Rumus • Dilengkapi Penjelasan Bahasa Bayi, Contoh Aktif, &amp; 5 Persoalan Dunia Nyata</t>
        </is>
      </c>
      <c r="H2" s="10" t="inlineStr">
        <is>
          <t>⬅️ Kembali ke Daftar Isi</t>
        </is>
      </c>
    </row>
    <row r="4" ht="24" customHeight="1">
      <c r="B4" s="11" t="inlineStr">
        <is>
          <t>1️⃣ IDENTITAS RUMUS &amp; FUNGSINYA BUAT APA? (FALSE)</t>
        </is>
      </c>
    </row>
    <row r="5" ht="21" customHeight="1">
      <c r="B5" s="12" t="inlineStr">
        <is>
          <t>Nama Rumus Excel</t>
        </is>
      </c>
      <c r="C5" s="13">
        <f>FALSE(...)</f>
        <v/>
      </c>
      <c r="D5" s="4" t="n"/>
      <c r="E5" s="4" t="n"/>
      <c r="F5" s="4" t="n"/>
      <c r="G5" s="4" t="n"/>
      <c r="H5" s="4" t="n"/>
    </row>
    <row r="6" ht="21" customHeight="1">
      <c r="B6" s="12" t="inlineStr">
        <is>
          <t>Sintaks / Pola Rumus</t>
        </is>
      </c>
      <c r="C6" s="13">
        <f>FALSE()</f>
        <v/>
      </c>
      <c r="D6" s="4" t="n"/>
      <c r="E6" s="4" t="n"/>
      <c r="F6" s="4" t="n"/>
      <c r="G6" s="4" t="n"/>
      <c r="H6" s="4" t="n"/>
    </row>
    <row r="7" ht="26" customHeight="1">
      <c r="B7" s="12" t="inlineStr">
        <is>
          <t>👶 Fungsinya Buat Apa?</t>
        </is>
      </c>
      <c r="C7" s="14" t="inlineStr">
        <is>
          <t>Menghasilkan nilai logika salah (FALSE) untuk pengujian kondisi.</t>
        </is>
      </c>
      <c r="D7" s="4" t="n"/>
      <c r="E7" s="4" t="n"/>
      <c r="F7" s="4" t="n"/>
      <c r="G7" s="4" t="n"/>
      <c r="H7" s="4" t="n"/>
    </row>
    <row r="9" ht="24" customHeight="1">
      <c r="B9" s="15" t="inlineStr">
        <is>
          <t>2️⃣ CONTOH PENGGUNAAN LANGSUNG DI EXCEL (WORKED EXAMPLE — RUMUS FALSE)</t>
        </is>
      </c>
    </row>
    <row r="10">
      <c r="B10" s="16" t="inlineStr">
        <is>
          <t>Item</t>
        </is>
      </c>
      <c r="C10" s="16" t="inlineStr">
        <is>
          <t>Nilai</t>
        </is>
      </c>
      <c r="E10" s="17" t="inlineStr">
        <is>
          <t>💡 CONTOH RUMUS YANG SUDAH TERPASANG AKTIF:</t>
        </is>
      </c>
    </row>
    <row r="11">
      <c r="B11" s="18" t="inlineStr">
        <is>
          <t>Cabang Jakarta</t>
        </is>
      </c>
      <c r="C11" s="18" t="n">
        <v>1250000</v>
      </c>
      <c r="E11" s="19" t="inlineStr">
        <is>
          <t>Kasus Contoh:</t>
        </is>
      </c>
      <c r="F11" s="20" t="inlineStr">
        <is>
          <t>Ketikkan fungsi logika FALSE() secara langsung di sel kuning!</t>
        </is>
      </c>
    </row>
    <row r="12">
      <c r="B12" s="18" t="inlineStr">
        <is>
          <t>Cabang Bandung</t>
        </is>
      </c>
      <c r="C12" s="18" t="n">
        <v>1850000</v>
      </c>
      <c r="E12" s="19" t="inlineStr">
        <is>
          <t>Rumus yang Diketik:</t>
        </is>
      </c>
      <c r="F12" s="21" t="inlineStr">
        <is>
          <t>'=FALSE()</t>
        </is>
      </c>
    </row>
    <row r="13">
      <c r="B13" s="18" t="inlineStr">
        <is>
          <t>Cabang Surabaya</t>
        </is>
      </c>
      <c r="C13" s="18" t="n">
        <v>2100000</v>
      </c>
      <c r="E13" s="19" t="inlineStr">
        <is>
          <t>Hasil Otomatis Excel:</t>
        </is>
      </c>
      <c r="F13" s="22">
        <f>FALSE()</f>
        <v/>
      </c>
    </row>
    <row r="14">
      <c r="B14" s="18" t="inlineStr">
        <is>
          <t>Cabang Medan</t>
        </is>
      </c>
      <c r="C14" s="18" t="n">
        <v>1600000</v>
      </c>
    </row>
    <row r="16" ht="26" customHeight="1">
      <c r="B16" s="23" t="inlineStr">
        <is>
          <t>3️⃣ 5 PERSOALAN DUNIA NYATA (KETIK RUMUS FALSE DI SEL KUNING UNTUK PRAKTEK LANGSUNG!)</t>
        </is>
      </c>
    </row>
    <row r="18" ht="22" customHeight="1">
      <c r="B18" s="24" t="inlineStr">
        <is>
          <t>🎯 SOAL PRAKTEK #1: Kasus Keuangan &amp; Akuntansi Kantor</t>
        </is>
      </c>
    </row>
    <row r="19" ht="28" customHeight="1">
      <c r="B19" s="12" t="inlineStr">
        <is>
          <t>Item</t>
        </is>
      </c>
      <c r="C19" s="12" t="inlineStr">
        <is>
          <t>Nilai</t>
        </is>
      </c>
      <c r="E19" s="25" t="inlineStr">
        <is>
          <t>Persoalan #1: Ketikkan fungsi logika FALSE() secara langsung di sel kuning!</t>
        </is>
      </c>
    </row>
    <row r="20">
      <c r="B20" s="18" t="inlineStr">
        <is>
          <t>Cabang Jakarta</t>
        </is>
      </c>
      <c r="C20" s="18" t="n">
        <v>1250000</v>
      </c>
      <c r="E20" s="12" t="inlineStr">
        <is>
          <t>✏️ KETIK RUMUSMU DI BAWAH:</t>
        </is>
      </c>
      <c r="F20" s="12" t="inlineStr">
        <is>
          <t>📌 STATUS CEK OTOMATIS:</t>
        </is>
      </c>
      <c r="G20" s="12" t="inlineStr">
        <is>
          <t>🎯 TARGET HASIL:</t>
        </is>
      </c>
      <c r="H20" s="12" t="inlineStr">
        <is>
          <t>💡 KUNCI RUMUS (PETUNJUK):</t>
        </is>
      </c>
    </row>
    <row r="21" ht="26" customHeight="1">
      <c r="B21" s="18" t="inlineStr">
        <is>
          <t>Cabang Bandung</t>
        </is>
      </c>
      <c r="C21" s="18" t="n">
        <v>1850000</v>
      </c>
      <c r="E21" s="26" t="n"/>
      <c r="F21" s="27">
        <f>IF(ISBLANK(E21), "⏳ Ketik rumus di sel kuning E21", IF(E21=G21, "✅ BENAR! LUAR BIASA!", "❌ Belum Tepat, Cek Kunci"))</f>
        <v/>
      </c>
      <c r="G21" s="28">
        <f>FALSE()</f>
        <v/>
      </c>
      <c r="H21" s="29" t="inlineStr">
        <is>
          <t>Ketik: =FALSE()</t>
        </is>
      </c>
    </row>
    <row r="22">
      <c r="B22" s="18" t="inlineStr">
        <is>
          <t>Cabang Surabaya</t>
        </is>
      </c>
      <c r="C22" s="18" t="n">
        <v>2100000</v>
      </c>
    </row>
    <row r="23">
      <c r="B23" s="18" t="inlineStr">
        <is>
          <t>Cabang Medan</t>
        </is>
      </c>
      <c r="C23" s="18" t="n">
        <v>1600000</v>
      </c>
    </row>
    <row r="26" ht="22" customHeight="1">
      <c r="B26" s="24" t="inlineStr">
        <is>
          <t>🎯 SOAL PRAKTEK #2: Kasus HRD, Gaji &amp; Lembur Karyawan</t>
        </is>
      </c>
    </row>
    <row r="27" ht="28" customHeight="1">
      <c r="B27" s="12" t="inlineStr">
        <is>
          <t>Item</t>
        </is>
      </c>
      <c r="C27" s="12" t="inlineStr">
        <is>
          <t>Nilai</t>
        </is>
      </c>
      <c r="E27" s="25" t="inlineStr">
        <is>
          <t>Persoalan #2: Ketikkan fungsi logika FALSE() secara langsung di sel kuning!</t>
        </is>
      </c>
    </row>
    <row r="28">
      <c r="B28" s="18" t="inlineStr">
        <is>
          <t>Budi Santoso</t>
        </is>
      </c>
      <c r="C28" s="18" t="n">
        <v>4500000</v>
      </c>
      <c r="E28" s="12" t="inlineStr">
        <is>
          <t>✏️ KETIK RUMUSMU DI BAWAH:</t>
        </is>
      </c>
      <c r="F28" s="12" t="inlineStr">
        <is>
          <t>📌 STATUS CEK OTOMATIS:</t>
        </is>
      </c>
      <c r="G28" s="12" t="inlineStr">
        <is>
          <t>🎯 TARGET HASIL:</t>
        </is>
      </c>
      <c r="H28" s="12" t="inlineStr">
        <is>
          <t>💡 KUNCI RUMUS (PETUNJUK):</t>
        </is>
      </c>
    </row>
    <row r="29" ht="26" customHeight="1">
      <c r="B29" s="18" t="inlineStr">
        <is>
          <t>Siti Aminah</t>
        </is>
      </c>
      <c r="C29" s="18" t="n">
        <v>5200000</v>
      </c>
      <c r="E29" s="26" t="n"/>
      <c r="F29" s="27">
        <f>IF(ISBLANK(E29), "⏳ Ketik rumus di sel kuning E29", IF(E29=G29, "✅ BENAR! LUAR BIASA!", "❌ Belum Tepat, Cek Kunci"))</f>
        <v/>
      </c>
      <c r="G29" s="28">
        <f>FALSE()</f>
        <v/>
      </c>
      <c r="H29" s="29" t="inlineStr">
        <is>
          <t>Ketik: =FALSE()</t>
        </is>
      </c>
    </row>
    <row r="30">
      <c r="B30" s="18" t="inlineStr">
        <is>
          <t>Andi Pratama</t>
        </is>
      </c>
      <c r="C30" s="18" t="n">
        <v>4800000</v>
      </c>
    </row>
    <row r="31">
      <c r="B31" s="18" t="inlineStr">
        <is>
          <t>Rina Wijaya</t>
        </is>
      </c>
      <c r="C31" s="18" t="n">
        <v>6100000</v>
      </c>
    </row>
    <row r="34" ht="22" customHeight="1">
      <c r="B34" s="24" t="inlineStr">
        <is>
          <t>🎯 SOAL PRAKTEK #3: Kasus Logistik &amp; Stok Gudang Utama</t>
        </is>
      </c>
    </row>
    <row r="35" ht="28" customHeight="1">
      <c r="B35" s="12" t="inlineStr">
        <is>
          <t>Item</t>
        </is>
      </c>
      <c r="C35" s="12" t="inlineStr">
        <is>
          <t>Nilai</t>
        </is>
      </c>
      <c r="E35" s="25" t="inlineStr">
        <is>
          <t>Persoalan #3: Ketikkan fungsi logika FALSE() secara langsung di sel kuning!</t>
        </is>
      </c>
    </row>
    <row r="36">
      <c r="B36" s="18" t="inlineStr">
        <is>
          <t>Gudang Blok A</t>
        </is>
      </c>
      <c r="C36" s="18" t="n">
        <v>240</v>
      </c>
      <c r="E36" s="12" t="inlineStr">
        <is>
          <t>✏️ KETIK RUMUSMU DI BAWAH:</t>
        </is>
      </c>
      <c r="F36" s="12" t="inlineStr">
        <is>
          <t>📌 STATUS CEK OTOMATIS:</t>
        </is>
      </c>
      <c r="G36" s="12" t="inlineStr">
        <is>
          <t>🎯 TARGET HASIL:</t>
        </is>
      </c>
      <c r="H36" s="12" t="inlineStr">
        <is>
          <t>💡 KUNCI RUMUS (PETUNJUK):</t>
        </is>
      </c>
    </row>
    <row r="37" ht="26" customHeight="1">
      <c r="B37" s="18" t="inlineStr">
        <is>
          <t>Gudang Blok B</t>
        </is>
      </c>
      <c r="C37" s="18" t="n">
        <v>380</v>
      </c>
      <c r="E37" s="26" t="n"/>
      <c r="F37" s="27">
        <f>IF(ISBLANK(E37), "⏳ Ketik rumus di sel kuning E37", IF(E37=G37, "✅ BENAR! LUAR BIASA!", "❌ Belum Tepat, Cek Kunci"))</f>
        <v/>
      </c>
      <c r="G37" s="28">
        <f>FALSE()</f>
        <v/>
      </c>
      <c r="H37" s="29" t="inlineStr">
        <is>
          <t>Ketik: =FALSE()</t>
        </is>
      </c>
    </row>
    <row r="38">
      <c r="B38" s="18" t="inlineStr">
        <is>
          <t>Gudang Blok C</t>
        </is>
      </c>
      <c r="C38" s="18" t="n">
        <v>195</v>
      </c>
    </row>
    <row r="39">
      <c r="B39" s="18" t="inlineStr">
        <is>
          <t>Gudang Blok D</t>
        </is>
      </c>
      <c r="C39" s="18" t="n">
        <v>425</v>
      </c>
    </row>
    <row r="42" ht="22" customHeight="1">
      <c r="B42" s="24" t="inlineStr">
        <is>
          <t>🎯 SOAL PRAKTEK #4: Kasus Penjualan Retail &amp; Target Toko</t>
        </is>
      </c>
    </row>
    <row r="43" ht="28" customHeight="1">
      <c r="B43" s="12" t="inlineStr">
        <is>
          <t>Item</t>
        </is>
      </c>
      <c r="C43" s="12" t="inlineStr">
        <is>
          <t>Nilai</t>
        </is>
      </c>
      <c r="E43" s="25" t="inlineStr">
        <is>
          <t>Persoalan #4: Ketikkan fungsi logika FALSE() secara langsung di sel kuning!</t>
        </is>
      </c>
    </row>
    <row r="44">
      <c r="B44" s="18" t="inlineStr">
        <is>
          <t>Toko Elektronik</t>
        </is>
      </c>
      <c r="C44" s="18" t="n">
        <v>85</v>
      </c>
      <c r="E44" s="12" t="inlineStr">
        <is>
          <t>✏️ KETIK RUMUSMU DI BAWAH:</t>
        </is>
      </c>
      <c r="F44" s="12" t="inlineStr">
        <is>
          <t>📌 STATUS CEK OTOMATIS:</t>
        </is>
      </c>
      <c r="G44" s="12" t="inlineStr">
        <is>
          <t>🎯 TARGET HASIL:</t>
        </is>
      </c>
      <c r="H44" s="12" t="inlineStr">
        <is>
          <t>💡 KUNCI RUMUS (PETUNJUK):</t>
        </is>
      </c>
    </row>
    <row r="45" ht="26" customHeight="1">
      <c r="B45" s="18" t="inlineStr">
        <is>
          <t>Toko Komputer</t>
        </is>
      </c>
      <c r="C45" s="18" t="n">
        <v>92</v>
      </c>
      <c r="E45" s="26" t="n"/>
      <c r="F45" s="27">
        <f>IF(ISBLANK(E45), "⏳ Ketik rumus di sel kuning E45", IF(E45=G45, "✅ BENAR! LUAR BIASA!", "❌ Belum Tepat, Cek Kunci"))</f>
        <v/>
      </c>
      <c r="G45" s="28">
        <f>FALSE()</f>
        <v/>
      </c>
      <c r="H45" s="29" t="inlineStr">
        <is>
          <t>Ketik: =FALSE()</t>
        </is>
      </c>
    </row>
    <row r="46">
      <c r="B46" s="18" t="inlineStr">
        <is>
          <t>Toko Aksesoris</t>
        </is>
      </c>
      <c r="C46" s="18" t="n">
        <v>78</v>
      </c>
    </row>
    <row r="47">
      <c r="B47" s="18" t="inlineStr">
        <is>
          <t>Toko Servis</t>
        </is>
      </c>
      <c r="C47" s="18" t="n">
        <v>95</v>
      </c>
    </row>
    <row r="50" ht="22" customHeight="1">
      <c r="B50" s="24" t="inlineStr">
        <is>
          <t>🎯 SOAL PRAKTEK #5: Kasus Akademik Sekolah &amp; Layanan Publik</t>
        </is>
      </c>
    </row>
    <row r="51" ht="28" customHeight="1">
      <c r="B51" s="12" t="inlineStr">
        <is>
          <t>Item</t>
        </is>
      </c>
      <c r="C51" s="12" t="inlineStr">
        <is>
          <t>Nilai</t>
        </is>
      </c>
      <c r="E51" s="25" t="inlineStr">
        <is>
          <t>Persoalan #5: Ketikkan fungsi logika FALSE() secara langsung di sel kuning!</t>
        </is>
      </c>
    </row>
    <row r="52">
      <c r="B52" s="18" t="inlineStr">
        <is>
          <t>Kelas 10 IPA</t>
        </is>
      </c>
      <c r="C52" s="18" t="n">
        <v>82</v>
      </c>
      <c r="E52" s="12" t="inlineStr">
        <is>
          <t>✏️ KETIK RUMUSMU DI BAWAH:</t>
        </is>
      </c>
      <c r="F52" s="12" t="inlineStr">
        <is>
          <t>📌 STATUS CEK OTOMATIS:</t>
        </is>
      </c>
      <c r="G52" s="12" t="inlineStr">
        <is>
          <t>🎯 TARGET HASIL:</t>
        </is>
      </c>
      <c r="H52" s="12" t="inlineStr">
        <is>
          <t>💡 KUNCI RUMUS (PETUNJUK):</t>
        </is>
      </c>
    </row>
    <row r="53" ht="26" customHeight="1">
      <c r="B53" s="18" t="inlineStr">
        <is>
          <t>Kelas 11 IPA</t>
        </is>
      </c>
      <c r="C53" s="18" t="n">
        <v>88</v>
      </c>
      <c r="E53" s="26" t="n"/>
      <c r="F53" s="27">
        <f>IF(ISBLANK(E53), "⏳ Ketik rumus di sel kuning E53", IF(E53=G53, "✅ BENAR! LUAR BIASA!", "❌ Belum Tepat, Cek Kunci"))</f>
        <v/>
      </c>
      <c r="G53" s="28">
        <f>FALSE()</f>
        <v/>
      </c>
      <c r="H53" s="29" t="inlineStr">
        <is>
          <t>Ketik: =FALSE()</t>
        </is>
      </c>
    </row>
    <row r="54">
      <c r="B54" s="18" t="inlineStr">
        <is>
          <t>Kelas 12 IPA</t>
        </is>
      </c>
      <c r="C54" s="18" t="n">
        <v>91</v>
      </c>
    </row>
    <row r="55">
      <c r="B55" s="18" t="inlineStr">
        <is>
          <t>Kelas Unggulan</t>
        </is>
      </c>
      <c r="C55" s="18" t="n">
        <v>79</v>
      </c>
    </row>
  </sheetData>
  <mergeCells count="21">
    <mergeCell ref="B2:G2"/>
    <mergeCell ref="B9:H9"/>
    <mergeCell ref="B50:H50"/>
    <mergeCell ref="B26:H26"/>
    <mergeCell ref="B4:H4"/>
    <mergeCell ref="E43:H43"/>
    <mergeCell ref="B16:H16"/>
    <mergeCell ref="C7:H7"/>
    <mergeCell ref="B18:H18"/>
    <mergeCell ref="E35:H35"/>
    <mergeCell ref="E51:H51"/>
    <mergeCell ref="B42:H42"/>
    <mergeCell ref="E19:H19"/>
    <mergeCell ref="E10:H10"/>
    <mergeCell ref="F11:H11"/>
    <mergeCell ref="C6:H6"/>
    <mergeCell ref="B1:H1"/>
    <mergeCell ref="C5:H5"/>
    <mergeCell ref="B34:H34"/>
    <mergeCell ref="F12:H12"/>
    <mergeCell ref="E27:H27"/>
  </mergeCells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2026-10-13T03:18:29Z</dcterms:created>
  <dcterms:modified xmlns:dcterms="http://purl.org/dc/terms/" xmlns:xsi="http://www.w3.org/2001/XMLSchema-instance" xsi:type="dcterms:W3CDTF">2026-10-13T03:18:29Z</dcterms:modified>
</cp:coreProperties>
</file>