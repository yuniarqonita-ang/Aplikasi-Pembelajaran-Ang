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Soal_Interview_Akunting" sheetId="2" state="visible" r:id="rId2"/>
    <sheet xmlns:r="http://schemas.openxmlformats.org/officeDocument/2006/relationships" name="3. Dokumen_Transaksi" sheetId="3" state="visible" r:id="rId3"/>
    <sheet xmlns:r="http://schemas.openxmlformats.org/officeDocument/2006/relationships" name="4. Jurnal_Umum" sheetId="4" state="visible" r:id="rId4"/>
    <sheet xmlns:r="http://schemas.openxmlformats.org/officeDocument/2006/relationships" name="5. Buku_Besar" sheetId="5" state="visible" r:id="rId5"/>
    <sheet xmlns:r="http://schemas.openxmlformats.org/officeDocument/2006/relationships" name="6. Neraca_Saldo" sheetId="6" state="visible" r:id="rId6"/>
    <sheet xmlns:r="http://schemas.openxmlformats.org/officeDocument/2006/relationships" name="7. Jurnal_Penyesuaian" sheetId="7" state="visible" r:id="rId7"/>
    <sheet xmlns:r="http://schemas.openxmlformats.org/officeDocument/2006/relationships" name="8. Kertas_Kerja_10_Kolom" sheetId="8" state="visible" r:id="rId8"/>
    <sheet xmlns:r="http://schemas.openxmlformats.org/officeDocument/2006/relationships" name="9. Laporan_Laba_Rugi" sheetId="9" state="visible" r:id="rId9"/>
    <sheet xmlns:r="http://schemas.openxmlformats.org/officeDocument/2006/relationships" name="10. Laporan_Perubahan_Modal" sheetId="10" state="visible" r:id="rId10"/>
    <sheet xmlns:r="http://schemas.openxmlformats.org/officeDocument/2006/relationships" name="11. Neraca_Keuangan" sheetId="11" state="visible" r:id="rId11"/>
    <sheet xmlns:r="http://schemas.openxmlformats.org/officeDocument/2006/relationships" name="99_KUNCI_JAWAB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75569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B365D"/>
      <sz val="11"/>
    </font>
    <font>
      <name val="Calibri"/>
      <b val="1"/>
      <color rgb="00FFFFFF"/>
      <sz val="10"/>
    </font>
    <font>
      <name val="Calibri"/>
      <b val="1"/>
      <color rgb="001E293B"/>
      <sz val="14"/>
    </font>
    <font>
      <name val="Calibri"/>
      <b val="1"/>
      <color rgb="001B365D"/>
      <sz val="10"/>
    </font>
    <font>
      <name val="Consolas"/>
      <b val="1"/>
      <color rgb="000369A1"/>
      <sz val="9.5"/>
    </font>
    <font>
      <name val="Calibri"/>
      <b val="1"/>
      <color rgb="0015803D"/>
      <sz val="10"/>
    </font>
    <font>
      <name val="Calibri"/>
      <b val="1"/>
      <color rgb="0015803D"/>
      <sz val="11"/>
    </font>
    <font>
      <name val="Calibri"/>
      <b val="1"/>
      <color rgb="000369A1"/>
      <sz val="11"/>
    </font>
    <font>
      <name val="Calibri"/>
      <b val="1"/>
      <color rgb="001B365D"/>
      <sz val="12"/>
    </font>
    <font>
      <name val="Calibri"/>
      <b val="1"/>
      <color rgb="0015803D"/>
      <sz val="12"/>
    </font>
    <font>
      <name val="Calibri"/>
      <b val="1"/>
      <color rgb="001E3A8A"/>
      <sz val="11"/>
    </font>
    <font>
      <name val="Calibri"/>
      <b val="1"/>
      <color rgb="001E3A8A"/>
      <sz val="12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08A"/>
        <bgColor rgb="00FEF08A"/>
      </patternFill>
    </fill>
    <fill>
      <patternFill patternType="solid">
        <fgColor rgb="001E3A8A"/>
        <bgColor rgb="001E3A8A"/>
      </patternFill>
    </fill>
    <fill>
      <patternFill patternType="solid">
        <fgColor rgb="00BAE6FD"/>
        <bgColor rgb="00BAE6F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0" fontId="3" fillId="0" borderId="2" pivotButton="0" quotePrefix="0" xfId="0"/>
    <xf numFmtId="3" fontId="3" fillId="0" borderId="2" pivotButton="0" quotePrefix="0" xfId="0"/>
    <xf numFmtId="0" fontId="10" fillId="4" borderId="2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11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3" fontId="12" fillId="5" borderId="2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0" fillId="0" borderId="0" pivotButton="0" quotePrefix="0" xfId="0"/>
    <xf numFmtId="3" fontId="3" fillId="4" borderId="0" pivotButton="0" quotePrefix="0" xfId="0"/>
    <xf numFmtId="0" fontId="13" fillId="0" borderId="0" pivotButton="0" quotePrefix="0" xfId="0"/>
    <xf numFmtId="3" fontId="0" fillId="0" borderId="0" pivotButton="0" quotePrefix="0" xfId="0"/>
    <xf numFmtId="0" fontId="11" fillId="0" borderId="0" pivotButton="0" quotePrefix="0" xfId="0"/>
    <xf numFmtId="3" fontId="14" fillId="4" borderId="2" pivotButton="0" quotePrefix="0" xfId="0"/>
    <xf numFmtId="3" fontId="3" fillId="0" borderId="0" pivotButton="0" quotePrefix="0" xfId="0"/>
    <xf numFmtId="0" fontId="15" fillId="0" borderId="0" pivotButton="0" quotePrefix="0" xfId="0"/>
    <xf numFmtId="3" fontId="16" fillId="7" borderId="2" pivotButton="0" quotePrefix="0" xfId="0"/>
    <xf numFmtId="0" fontId="11" fillId="4" borderId="0" pivotButton="0" quotePrefix="0" xfId="0"/>
    <xf numFmtId="0" fontId="9" fillId="3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2" customWidth="1" min="2" max="2"/>
    <col width="98" customWidth="1" min="3" max="3"/>
    <col width="25" customWidth="1" min="4" max="4"/>
  </cols>
  <sheetData>
    <row r="1"/>
    <row r="2">
      <c r="B2" s="1" t="inlineStr">
        <is>
          <t>ACCOUNTING WORK SIMULATION EXERCISE (PT MAJU BERSAMA)</t>
        </is>
      </c>
    </row>
    <row r="3">
      <c r="B3" s="2" t="inlineStr">
        <is>
          <t>Simulasi Proyek Nyata Akuntansi Perusahaan &amp; Soal Ujian Tes Kerja Staf Akunting</t>
        </is>
      </c>
    </row>
    <row r="4"/>
    <row r="5">
      <c r="B5" s="3" t="inlineStr">
        <is>
          <t>Nama Perusahaan</t>
        </is>
      </c>
      <c r="C5" s="4" t="inlineStr">
        <is>
          <t>PT MAJU BERSAMA / CV MAJU BERSAMA</t>
        </is>
      </c>
    </row>
    <row r="6">
      <c r="B6" s="3" t="inlineStr">
        <is>
          <t>Bidang Usaha</t>
        </is>
      </c>
      <c r="C6" s="4" t="inlineStr">
        <is>
          <t>Jasa Konsultasi Bisnis &amp; Perdagangan</t>
        </is>
      </c>
    </row>
    <row r="7">
      <c r="B7" s="3" t="inlineStr">
        <is>
          <t>Periode Laporan</t>
        </is>
      </c>
      <c r="C7" s="4" t="inlineStr">
        <is>
          <t>Januari 2025 (Siklus Penuh) &amp; Mei 2024 (Kasus Tes Interview)</t>
        </is>
      </c>
    </row>
    <row r="8">
      <c r="B8" s="3" t="inlineStr">
        <is>
          <t>Standar Pembukuan</t>
        </is>
      </c>
      <c r="C8" s="4" t="inlineStr">
        <is>
          <t>Basis Akrual (Accrual Basis) &amp; PSAK / SAK Indonesia</t>
        </is>
      </c>
    </row>
    <row r="9">
      <c r="B9" s="3" t="inlineStr">
        <is>
          <t>Tarif PPN Berlaku</t>
        </is>
      </c>
      <c r="C9" s="4" t="inlineStr">
        <is>
          <t>11% (PPN Keluaran atas Penjualan &amp; PPN Masukan Pembelian)</t>
        </is>
      </c>
    </row>
    <row r="10">
      <c r="B10" s="3" t="inlineStr">
        <is>
          <t>Metode Depresiasi</t>
        </is>
      </c>
      <c r="C10" s="4" t="inlineStr">
        <is>
          <t>Garis Lurus (Straight Line Method / SLN)</t>
        </is>
      </c>
    </row>
    <row r="11">
      <c r="B11" s="3" t="inlineStr">
        <is>
          <t>Tujuan Pelatihan</t>
        </is>
      </c>
      <c r="C11" s="4" t="inlineStr">
        <is>
          <t>Mempersiapkan staf akunting menghadapi tes kerja interview dan praktik software ERP/Excel nyata</t>
        </is>
      </c>
    </row>
    <row r="12"/>
    <row r="13"/>
    <row r="14">
      <c r="B14" s="5" t="inlineStr">
        <is>
          <t>DAFTAR LEMBAR KERJA DALAM WORKBOOK INI:</t>
        </is>
      </c>
    </row>
    <row r="15">
      <c r="B15" s="6" t="inlineStr">
        <is>
          <t>Nama Sheet</t>
        </is>
      </c>
      <c r="C15" s="6" t="inlineStr">
        <is>
          <t>Keterangan Isi Sheet &amp; Praktik</t>
        </is>
      </c>
    </row>
    <row r="16">
      <c r="B16" s="7" t="inlineStr">
        <is>
          <t>2. Soal_Interview_Akunting</t>
        </is>
      </c>
      <c r="C16" s="8" t="inlineStr">
        <is>
          <t>8 Soal transaksi tes interview kerja akunting (CV Maju Bersama) persis lembar tes kerja</t>
        </is>
      </c>
    </row>
    <row r="17">
      <c r="B17" s="9" t="inlineStr">
        <is>
          <t>3. Dokumen_Transaksi</t>
        </is>
      </c>
      <c r="C17" s="10" t="inlineStr">
        <is>
          <t>Daftar 10 dokumen transaksi riil PT Maju Bersama (Bukti Kas Masuk, Keluar, Faktur Pajak PPN)</t>
        </is>
      </c>
    </row>
    <row r="18">
      <c r="B18" s="7" t="inlineStr">
        <is>
          <t>4. Jurnal_Umum</t>
        </is>
      </c>
      <c r="C18" s="8" t="inlineStr">
        <is>
          <t>Jurnal umum lengkap dengan kolom Debet, Kredit, PPN, dan formula keseimbangan</t>
        </is>
      </c>
    </row>
    <row r="19">
      <c r="B19" s="9" t="inlineStr">
        <is>
          <t>5. Buku_Besar</t>
        </is>
      </c>
      <c r="C19" s="10" t="inlineStr">
        <is>
          <t>Buku besar 4 kolom (T-Account) akun Kas, Piutang, Perlengkapan, Peralatan, Utang, &amp; Modal</t>
        </is>
      </c>
    </row>
    <row r="20">
      <c r="B20" s="7" t="inlineStr">
        <is>
          <t>6. Neraca_Saldo</t>
        </is>
      </c>
      <c r="C20" s="8" t="inlineStr">
        <is>
          <t>Neraca saldo sebelum penyesuaian dengan formula SUM &amp; Cek Balance otomatis</t>
        </is>
      </c>
    </row>
    <row r="21">
      <c r="B21" s="9" t="inlineStr">
        <is>
          <t>7. Jurnal_Penyesuaian</t>
        </is>
      </c>
      <c r="C21" s="10" t="inlineStr">
        <is>
          <t>Jurnal penyesuaian (AJP): Sewa dimuka, depresiasi SLN, bunga akrual, rekonsiliasi bank</t>
        </is>
      </c>
    </row>
    <row r="22">
      <c r="B22" s="7" t="inlineStr">
        <is>
          <t>8. Kertas_Kerja_10_Kolom</t>
        </is>
      </c>
      <c r="C22" s="8" t="inlineStr">
        <is>
          <t>Worksheet / Neraca Lajur 10 Kolom lengkap dari Neraca Saldo sampai Neraca Akhir</t>
        </is>
      </c>
    </row>
    <row r="23">
      <c r="B23" s="9" t="inlineStr">
        <is>
          <t>9. Laporan_Laba_Rugi</t>
        </is>
      </c>
      <c r="C23" s="10" t="inlineStr">
        <is>
          <t>Laporan laba rugi komprehensif (Pendapatan vs Beban Operasional)</t>
        </is>
      </c>
    </row>
    <row r="24">
      <c r="B24" s="7" t="inlineStr">
        <is>
          <t>10. Laporan_Perubahan_Modal</t>
        </is>
      </c>
      <c r="C24" s="8" t="inlineStr">
        <is>
          <t>Laporan perubahan ekuitas pemilik</t>
        </is>
      </c>
    </row>
    <row r="25">
      <c r="B25" s="9" t="inlineStr">
        <is>
          <t>11. Neraca_Keuangan</t>
        </is>
      </c>
      <c r="C25" s="10" t="inlineStr">
        <is>
          <t>Laporan posisi keuangan (Neraca: Aktiva vs Pasiva)</t>
        </is>
      </c>
    </row>
    <row r="26">
      <c r="B26" s="7" t="inlineStr">
        <is>
          <t>99_KUNCI_JAWABAN</t>
        </is>
      </c>
      <c r="C26" s="8" t="inlineStr">
        <is>
          <t>Kunci jawaban resmi, rumus Excel lengkap, dan penjelasan analisis akuntansi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92" customWidth="1" min="2" max="2"/>
    <col width="20" customWidth="1" min="3" max="3"/>
    <col width="16" customWidth="1" min="4" max="4"/>
    <col width="14" customWidth="1" min="5" max="5"/>
    <col width="16" customWidth="1" min="6" max="6"/>
    <col width="48" customWidth="1" min="7" max="7"/>
  </cols>
  <sheetData>
    <row r="1"/>
    <row r="2">
      <c r="B2" s="11" t="inlineStr">
        <is>
          <t>SOAL INTERVIEW - AKUNTING: JURNAL TRANSAKSI SEDERHANA</t>
        </is>
      </c>
    </row>
    <row r="3">
      <c r="B3" s="2" t="inlineStr">
        <is>
          <t>Waktu Pengerjaan: 15 Menit | Dilarang menggunakan kalkulator dan internet | Sistem Akrual</t>
        </is>
      </c>
    </row>
    <row r="4"/>
    <row r="5">
      <c r="B5" s="3" t="inlineStr">
        <is>
          <t>Nama Perusahaan</t>
        </is>
      </c>
      <c r="C5" s="4" t="inlineStr">
        <is>
          <t>: CV Maju Bersama</t>
        </is>
      </c>
    </row>
    <row r="6">
      <c r="B6" s="3" t="inlineStr">
        <is>
          <t>Bidang Usaha</t>
        </is>
      </c>
      <c r="C6" s="4" t="inlineStr">
        <is>
          <t>: Perdagangan</t>
        </is>
      </c>
    </row>
    <row r="7">
      <c r="B7" s="3" t="inlineStr">
        <is>
          <t>Periode</t>
        </is>
      </c>
      <c r="C7" s="4" t="inlineStr">
        <is>
          <t>: Mei 2024</t>
        </is>
      </c>
    </row>
    <row r="8"/>
    <row r="9">
      <c r="B9" s="12" t="inlineStr">
        <is>
          <t>Daftar Transaksi untuk Dijurnal:</t>
        </is>
      </c>
    </row>
    <row r="10">
      <c r="B10" s="4" t="inlineStr">
        <is>
          <t>1. 1 Mei 2024 - Pemilik menyetor uang tunai ke perusahaan sebesar Rp50.000.000.</t>
        </is>
      </c>
    </row>
    <row r="11">
      <c r="B11" s="4" t="inlineStr">
        <is>
          <t>2. 2 Mei 2024 - Perusahaan membeli perlengkapan kantor secara tunai Rp3.500.000.</t>
        </is>
      </c>
    </row>
    <row r="12">
      <c r="B12" s="4" t="inlineStr">
        <is>
          <t>3. 3 Mei 2024 - Perusahaan membeli barang dagangan secara kredit dari PT Sumber Jaya sebesar Rp15.000.000.</t>
        </is>
      </c>
    </row>
    <row r="13">
      <c r="B13" s="4" t="inlineStr">
        <is>
          <t>4. 5 Mei 2024 - Perusahaan menjual barang dagangan secara tunai sebesar Rp8.000.000.</t>
        </is>
      </c>
    </row>
    <row r="14">
      <c r="B14" s="4" t="inlineStr">
        <is>
          <t>5. 7 Mei 2024 - Perusahaan menerima pembayaran dari pelanggan atas penjualan kredit tanggal 5 Mei sebesar Rp8.000.000.</t>
        </is>
      </c>
    </row>
    <row r="15">
      <c r="B15" s="4" t="inlineStr">
        <is>
          <t>6. 10 Mei 2024 - Perusahaan membayar sebagian utang kepada PT Sumber Jaya sebesar Rp5.000.000 secara transfer bank.</t>
        </is>
      </c>
    </row>
    <row r="16">
      <c r="B16" s="4" t="inlineStr">
        <is>
          <t>7. 12 Mei 2024 - Perusahaan membayar beban listrik dan air sebesar Rp750.000 secara tunai.</t>
        </is>
      </c>
    </row>
    <row r="17">
      <c r="B17" s="4" t="inlineStr">
        <is>
          <t>8. 15 Mei 2024 - Perusahaan menarik uang tunai untuk keperluan pribadi pemilik (prive) sebesar Rp2.000.000.</t>
        </is>
      </c>
    </row>
    <row r="18"/>
    <row r="19">
      <c r="B19" s="12" t="inlineStr">
        <is>
          <t>Format Jurnal yang Digunakan (Lembar Pengerjaan Tes Peserta):</t>
        </is>
      </c>
    </row>
    <row r="20">
      <c r="B20" s="13" t="inlineStr">
        <is>
          <t>Tanggal</t>
        </is>
      </c>
      <c r="C20" s="13" t="inlineStr">
        <is>
          <t>Akun Debet</t>
        </is>
      </c>
      <c r="D20" s="13" t="inlineStr">
        <is>
          <t>Debet (Rp)</t>
        </is>
      </c>
      <c r="E20" s="13" t="inlineStr">
        <is>
          <t>Akun Kredit</t>
        </is>
      </c>
      <c r="F20" s="13" t="inlineStr">
        <is>
          <t>Kredit (Rp)</t>
        </is>
      </c>
      <c r="G20" s="13" t="inlineStr">
        <is>
          <t>Cek Baris</t>
        </is>
      </c>
    </row>
    <row r="21">
      <c r="B21" s="14" t="n"/>
      <c r="C21" s="14" t="n"/>
      <c r="D21" s="15" t="n"/>
      <c r="E21" s="14" t="n"/>
      <c r="F21" s="15" t="n"/>
      <c r="G21" s="16">
        <f>IF(D21=F21, "✓ Balance", "Cek")</f>
        <v/>
      </c>
    </row>
    <row r="22">
      <c r="B22" s="14" t="n"/>
      <c r="C22" s="14" t="n"/>
      <c r="D22" s="15" t="n"/>
      <c r="E22" s="14" t="n"/>
      <c r="F22" s="15" t="n"/>
      <c r="G22" s="16">
        <f>IF(D22=F22, "✓ Balance", "Cek")</f>
        <v/>
      </c>
    </row>
    <row r="23">
      <c r="B23" s="14" t="n"/>
      <c r="C23" s="14" t="n"/>
      <c r="D23" s="15" t="n"/>
      <c r="E23" s="14" t="n"/>
      <c r="F23" s="15" t="n"/>
      <c r="G23" s="16">
        <f>IF(D23=F23, "✓ Balance", "Cek")</f>
        <v/>
      </c>
    </row>
    <row r="24">
      <c r="B24" s="14" t="n"/>
      <c r="C24" s="14" t="n"/>
      <c r="D24" s="15" t="n"/>
      <c r="E24" s="14" t="n"/>
      <c r="F24" s="15" t="n"/>
      <c r="G24" s="16">
        <f>IF(D24=F24, "✓ Balance", "Cek")</f>
        <v/>
      </c>
    </row>
    <row r="25">
      <c r="B25" s="14" t="n"/>
      <c r="C25" s="14" t="n"/>
      <c r="D25" s="15" t="n"/>
      <c r="E25" s="14" t="n"/>
      <c r="F25" s="15" t="n"/>
      <c r="G25" s="16">
        <f>IF(D25=F25, "✓ Balance", "Cek")</f>
        <v/>
      </c>
    </row>
    <row r="26">
      <c r="B26" s="14" t="n"/>
      <c r="C26" s="14" t="n"/>
      <c r="D26" s="15" t="n"/>
      <c r="E26" s="14" t="n"/>
      <c r="F26" s="15" t="n"/>
      <c r="G26" s="16">
        <f>IF(D26=F26, "✓ Balance", "Cek")</f>
        <v/>
      </c>
    </row>
    <row r="27">
      <c r="B27" s="14" t="n"/>
      <c r="C27" s="14" t="n"/>
      <c r="D27" s="15" t="n"/>
      <c r="E27" s="14" t="n"/>
      <c r="F27" s="15" t="n"/>
      <c r="G27" s="16">
        <f>IF(D27=F27, "✓ Balance", "Cek")</f>
        <v/>
      </c>
    </row>
    <row r="28">
      <c r="B28" s="14" t="n"/>
      <c r="C28" s="14" t="n"/>
      <c r="D28" s="15" t="n"/>
      <c r="E28" s="14" t="n"/>
      <c r="F28" s="15" t="n"/>
      <c r="G28" s="16">
        <f>IF(D28=F28, "✓ Balance", "Cek")</f>
        <v/>
      </c>
    </row>
    <row r="29">
      <c r="B29" s="17" t="inlineStr">
        <is>
          <t>TOTAL</t>
        </is>
      </c>
      <c r="D29" s="18">
        <f>SUM(D21:D28)</f>
        <v/>
      </c>
      <c r="F29" s="18">
        <f>SUM(F21:F28)</f>
        <v/>
      </c>
      <c r="G29" s="19">
        <f>IF(D29=F29, "✓ BALANCE", "⚠️ TIDAK BALANCE")</f>
        <v/>
      </c>
    </row>
  </sheetData>
  <mergeCells count="8">
    <mergeCell ref="B12:F12"/>
    <mergeCell ref="B16:F16"/>
    <mergeCell ref="B15:F15"/>
    <mergeCell ref="B10:F10"/>
    <mergeCell ref="B11:F11"/>
    <mergeCell ref="B14:F14"/>
    <mergeCell ref="B17:F17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8" customWidth="1" min="2" max="2"/>
    <col width="48" customWidth="1" min="3" max="3"/>
    <col width="15" customWidth="1" min="4" max="4"/>
    <col width="25" customWidth="1" min="5" max="5"/>
    <col width="24" customWidth="1" min="6" max="6"/>
  </cols>
  <sheetData>
    <row r="1"/>
    <row r="2">
      <c r="B2" s="11" t="inlineStr">
        <is>
          <t>PT MAJU BERSAMA - DOKUMEN TRANSAKSI</t>
        </is>
      </c>
    </row>
    <row r="3">
      <c r="B3" s="2" t="inlineStr">
        <is>
          <t>Periode: Januari 2025</t>
        </is>
      </c>
    </row>
    <row r="4"/>
    <row r="5">
      <c r="B5" s="13" t="inlineStr">
        <is>
          <t>No. Bukti</t>
        </is>
      </c>
      <c r="C5" s="13" t="inlineStr">
        <is>
          <t>Keterangan Transaksi</t>
        </is>
      </c>
      <c r="D5" s="13" t="inlineStr">
        <is>
          <t>Jumlah (Rp)</t>
        </is>
      </c>
      <c r="E5" s="13" t="inlineStr">
        <is>
          <t>Jenis Bukti</t>
        </is>
      </c>
      <c r="F5" s="13" t="inlineStr">
        <is>
          <t>Kode Akun Terkait</t>
        </is>
      </c>
    </row>
    <row r="6">
      <c r="B6" s="20" t="inlineStr">
        <is>
          <t>KM-001</t>
        </is>
      </c>
      <c r="C6" s="8" t="inlineStr">
        <is>
          <t>Pemilik menyetor modal awal tunai</t>
        </is>
      </c>
      <c r="D6" s="21" t="n">
        <v>100000000</v>
      </c>
      <c r="E6" s="20" t="inlineStr">
        <is>
          <t>Bukti Kas Masuk</t>
        </is>
      </c>
      <c r="F6" s="20" t="inlineStr">
        <is>
          <t>1-101 / 3-101</t>
        </is>
      </c>
    </row>
    <row r="7">
      <c r="B7" s="22" t="inlineStr">
        <is>
          <t>KM-002</t>
        </is>
      </c>
      <c r="C7" s="10" t="inlineStr">
        <is>
          <t>Diterima pinjaman bank (Kredit Modal Kerja)</t>
        </is>
      </c>
      <c r="D7" s="23" t="n">
        <v>50000000</v>
      </c>
      <c r="E7" s="22" t="inlineStr">
        <is>
          <t>Bukti Kas Masuk</t>
        </is>
      </c>
      <c r="F7" s="22" t="inlineStr">
        <is>
          <t>1-101 / 2-101</t>
        </is>
      </c>
    </row>
    <row r="8">
      <c r="B8" s="20" t="inlineStr">
        <is>
          <t>BK-001</t>
        </is>
      </c>
      <c r="C8" s="8" t="inlineStr">
        <is>
          <t>Dibayar sewa gedung untuk 3 tahun (Jan-Des)</t>
        </is>
      </c>
      <c r="D8" s="21" t="n">
        <v>24000000</v>
      </c>
      <c r="E8" s="20" t="inlineStr">
        <is>
          <t>Bukti Kas Keluar</t>
        </is>
      </c>
      <c r="F8" s="20" t="inlineStr">
        <is>
          <t>1-105 / 1-101</t>
        </is>
      </c>
    </row>
    <row r="9">
      <c r="B9" s="22" t="inlineStr">
        <is>
          <t>BK-002</t>
        </is>
      </c>
      <c r="C9" s="10" t="inlineStr">
        <is>
          <t>Dibeli perlengkapan kantor secara tunai</t>
        </is>
      </c>
      <c r="D9" s="23" t="n">
        <v>6500000</v>
      </c>
      <c r="E9" s="22" t="inlineStr">
        <is>
          <t>Bukti Kas Keluar</t>
        </is>
      </c>
      <c r="F9" s="22" t="inlineStr">
        <is>
          <t>1-104 / 1-101</t>
        </is>
      </c>
    </row>
    <row r="10">
      <c r="B10" s="20" t="inlineStr">
        <is>
          <t>FJ-001</t>
        </is>
      </c>
      <c r="C10" s="8" t="inlineStr">
        <is>
          <t>Dijual jasa konsultasi kepada PT ABC (kredit)</t>
        </is>
      </c>
      <c r="D10" s="21" t="n">
        <v>35000000</v>
      </c>
      <c r="E10" s="20" t="inlineStr">
        <is>
          <t>Faktur Penjualan + PPN</t>
        </is>
      </c>
      <c r="F10" s="20" t="inlineStr">
        <is>
          <t>1-102 / 4-101 / 2-104</t>
        </is>
      </c>
    </row>
    <row r="11">
      <c r="B11" s="22" t="inlineStr">
        <is>
          <t>FJ-002</t>
        </is>
      </c>
      <c r="C11" s="10" t="inlineStr">
        <is>
          <t>Dijual jasa konsultasi kepada CV DEF (kredit)</t>
        </is>
      </c>
      <c r="D11" s="23" t="n">
        <v>8800000</v>
      </c>
      <c r="E11" s="22" t="inlineStr">
        <is>
          <t>Faktur Penjualan + PPN</t>
        </is>
      </c>
      <c r="F11" s="22" t="inlineStr">
        <is>
          <t>1-102 / 4-101 / 2-104</t>
        </is>
      </c>
    </row>
    <row r="12">
      <c r="B12" s="20" t="inlineStr">
        <is>
          <t>FB-001</t>
        </is>
      </c>
      <c r="C12" s="8" t="inlineStr">
        <is>
          <t>Dibeli peralatan kantor dari CV XYZ (kredit)</t>
        </is>
      </c>
      <c r="D12" s="21" t="n">
        <v>13320000</v>
      </c>
      <c r="E12" s="20" t="inlineStr">
        <is>
          <t>Faktur Pembelian + PPN</t>
        </is>
      </c>
      <c r="F12" s="20" t="inlineStr">
        <is>
          <t>1-103 / 1-106 / 2-102</t>
        </is>
      </c>
    </row>
    <row r="13">
      <c r="B13" s="22" t="inlineStr">
        <is>
          <t>KM-003</t>
        </is>
      </c>
      <c r="C13" s="10" t="inlineStr">
        <is>
          <t>Diterima pelunasan piutang dari PT ABC</t>
        </is>
      </c>
      <c r="D13" s="23" t="n">
        <v>15000000</v>
      </c>
      <c r="E13" s="22" t="inlineStr">
        <is>
          <t>Bukti Kas Masuk</t>
        </is>
      </c>
      <c r="F13" s="22" t="inlineStr">
        <is>
          <t>1-101 / 1-102</t>
        </is>
      </c>
    </row>
    <row r="14">
      <c r="B14" s="20" t="inlineStr">
        <is>
          <t>BK-003</t>
        </is>
      </c>
      <c r="C14" s="8" t="inlineStr">
        <is>
          <t>Dibayar gaji karyawan bulan Januari</t>
        </is>
      </c>
      <c r="D14" s="21" t="n">
        <v>6500000</v>
      </c>
      <c r="E14" s="20" t="inlineStr">
        <is>
          <t>Bukti Kas Keluar</t>
        </is>
      </c>
      <c r="F14" s="20" t="inlineStr">
        <is>
          <t>5-101 / 1-101</t>
        </is>
      </c>
    </row>
    <row r="15">
      <c r="B15" s="22" t="inlineStr">
        <is>
          <t>BK-004</t>
        </is>
      </c>
      <c r="C15" s="10" t="inlineStr">
        <is>
          <t>Dibayar biaya listrik dan telepon</t>
        </is>
      </c>
      <c r="D15" s="23" t="n">
        <v>1200000</v>
      </c>
      <c r="E15" s="22" t="inlineStr">
        <is>
          <t>Bukti Kas Keluar</t>
        </is>
      </c>
      <c r="F15" s="22" t="inlineStr">
        <is>
          <t>5-102 / 1-101</t>
        </is>
      </c>
    </row>
    <row r="16">
      <c r="B16" s="17" t="inlineStr">
        <is>
          <t>TOTAL TRANSAKSI</t>
        </is>
      </c>
      <c r="D16" s="18">
        <f>SUM(D6:D15)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12" customWidth="1" min="3" max="3"/>
    <col width="12" customWidth="1" min="4" max="4"/>
    <col width="26" customWidth="1" min="5" max="5"/>
    <col width="12" customWidth="1" min="6" max="6"/>
    <col width="48" customWidth="1" min="7" max="7"/>
    <col width="15" customWidth="1" min="8" max="8"/>
    <col width="28" customWidth="1" min="9" max="9"/>
  </cols>
  <sheetData>
    <row r="1"/>
    <row r="2">
      <c r="B2" s="11" t="inlineStr">
        <is>
          <t>PT MAJU BERSAMA - JURNAL UMUM</t>
        </is>
      </c>
    </row>
    <row r="3">
      <c r="B3" s="2" t="inlineStr">
        <is>
          <t>Periode: Januari 2025</t>
        </is>
      </c>
    </row>
    <row r="4"/>
    <row r="5">
      <c r="B5" s="13" t="inlineStr">
        <is>
          <t>Tgl</t>
        </is>
      </c>
      <c r="C5" s="13" t="inlineStr">
        <is>
          <t>No. Bukti</t>
        </is>
      </c>
      <c r="D5" s="13" t="inlineStr">
        <is>
          <t>Kode Akun</t>
        </is>
      </c>
      <c r="E5" s="13" t="inlineStr">
        <is>
          <t>Nama Akun</t>
        </is>
      </c>
      <c r="F5" s="13" t="inlineStr">
        <is>
          <t>Ref</t>
        </is>
      </c>
      <c r="G5" s="13" t="inlineStr">
        <is>
          <t>Debet (Rp)</t>
        </is>
      </c>
      <c r="H5" s="13" t="inlineStr">
        <is>
          <t>Kredit (Rp)</t>
        </is>
      </c>
      <c r="I5" s="13" t="inlineStr">
        <is>
          <t>Keterangan PPN</t>
        </is>
      </c>
    </row>
    <row r="6">
      <c r="B6" s="22" t="inlineStr">
        <is>
          <t>01/01</t>
        </is>
      </c>
      <c r="C6" s="22" t="inlineStr">
        <is>
          <t>KM-001</t>
        </is>
      </c>
      <c r="D6" s="22" t="inlineStr">
        <is>
          <t>1-101</t>
        </is>
      </c>
      <c r="E6" s="10" t="inlineStr">
        <is>
          <t>Kas</t>
        </is>
      </c>
      <c r="F6" s="22" t="inlineStr">
        <is>
          <t>✓</t>
        </is>
      </c>
      <c r="G6" s="23" t="n">
        <v>100000000</v>
      </c>
      <c r="H6" s="23" t="n">
        <v>0</v>
      </c>
      <c r="I6" s="10" t="inlineStr">
        <is>
          <t>Setoran Modal Awal</t>
        </is>
      </c>
    </row>
    <row r="7">
      <c r="B7" s="22" t="inlineStr">
        <is>
          <t>01/01</t>
        </is>
      </c>
      <c r="C7" s="22" t="inlineStr">
        <is>
          <t>KM-001</t>
        </is>
      </c>
      <c r="D7" s="22" t="inlineStr">
        <is>
          <t>3-101</t>
        </is>
      </c>
      <c r="E7" s="10" t="inlineStr">
        <is>
          <t>Modal Pemilik</t>
        </is>
      </c>
      <c r="F7" s="22" t="inlineStr">
        <is>
          <t>✓</t>
        </is>
      </c>
      <c r="G7" s="23" t="n">
        <v>0</v>
      </c>
      <c r="H7" s="23" t="n">
        <v>100000000</v>
      </c>
      <c r="I7" s="10" t="inlineStr"/>
    </row>
    <row r="8">
      <c r="B8" s="20" t="inlineStr">
        <is>
          <t>02/01</t>
        </is>
      </c>
      <c r="C8" s="20" t="inlineStr">
        <is>
          <t>KM-002</t>
        </is>
      </c>
      <c r="D8" s="20" t="inlineStr">
        <is>
          <t>1-101</t>
        </is>
      </c>
      <c r="E8" s="8" t="inlineStr">
        <is>
          <t>Kas</t>
        </is>
      </c>
      <c r="F8" s="20" t="inlineStr">
        <is>
          <t>✓</t>
        </is>
      </c>
      <c r="G8" s="21" t="n">
        <v>50000000</v>
      </c>
      <c r="H8" s="21" t="n">
        <v>0</v>
      </c>
      <c r="I8" s="8" t="inlineStr">
        <is>
          <t>Pencairan Pinjaman Bank</t>
        </is>
      </c>
    </row>
    <row r="9">
      <c r="B9" s="20" t="inlineStr">
        <is>
          <t>02/01</t>
        </is>
      </c>
      <c r="C9" s="20" t="inlineStr">
        <is>
          <t>KM-002</t>
        </is>
      </c>
      <c r="D9" s="20" t="inlineStr">
        <is>
          <t>2-101</t>
        </is>
      </c>
      <c r="E9" s="8" t="inlineStr">
        <is>
          <t>Utang Bank (KMK)</t>
        </is>
      </c>
      <c r="F9" s="20" t="inlineStr">
        <is>
          <t>✓</t>
        </is>
      </c>
      <c r="G9" s="21" t="n">
        <v>0</v>
      </c>
      <c r="H9" s="21" t="n">
        <v>50000000</v>
      </c>
      <c r="I9" s="8" t="inlineStr"/>
    </row>
    <row r="10">
      <c r="B10" s="22" t="inlineStr">
        <is>
          <t>03/01</t>
        </is>
      </c>
      <c r="C10" s="22" t="inlineStr">
        <is>
          <t>BK-001</t>
        </is>
      </c>
      <c r="D10" s="22" t="inlineStr">
        <is>
          <t>1-105</t>
        </is>
      </c>
      <c r="E10" s="10" t="inlineStr">
        <is>
          <t>Sewa Dibayar Dimuka</t>
        </is>
      </c>
      <c r="F10" s="22" t="inlineStr">
        <is>
          <t>✓</t>
        </is>
      </c>
      <c r="G10" s="23" t="n">
        <v>24000000</v>
      </c>
      <c r="H10" s="23" t="n">
        <v>0</v>
      </c>
      <c r="I10" s="10" t="inlineStr">
        <is>
          <t>Sewa 3 Tahun (36 Bulan)</t>
        </is>
      </c>
    </row>
    <row r="11">
      <c r="B11" s="22" t="inlineStr">
        <is>
          <t>03/01</t>
        </is>
      </c>
      <c r="C11" s="22" t="inlineStr">
        <is>
          <t>BK-001</t>
        </is>
      </c>
      <c r="D11" s="22" t="inlineStr">
        <is>
          <t>1-101</t>
        </is>
      </c>
      <c r="E11" s="10" t="inlineStr">
        <is>
          <t>Kas</t>
        </is>
      </c>
      <c r="F11" s="22" t="inlineStr">
        <is>
          <t>✓</t>
        </is>
      </c>
      <c r="G11" s="23" t="n">
        <v>0</v>
      </c>
      <c r="H11" s="23" t="n">
        <v>24000000</v>
      </c>
      <c r="I11" s="10" t="inlineStr"/>
    </row>
    <row r="12">
      <c r="B12" s="20" t="inlineStr">
        <is>
          <t>05/01</t>
        </is>
      </c>
      <c r="C12" s="20" t="inlineStr">
        <is>
          <t>BK-002</t>
        </is>
      </c>
      <c r="D12" s="20" t="inlineStr">
        <is>
          <t>1-104</t>
        </is>
      </c>
      <c r="E12" s="8" t="inlineStr">
        <is>
          <t>Perlengkapan Kantor</t>
        </is>
      </c>
      <c r="F12" s="20" t="inlineStr">
        <is>
          <t>✓</t>
        </is>
      </c>
      <c r="G12" s="21" t="n">
        <v>6500000</v>
      </c>
      <c r="H12" s="21" t="n">
        <v>0</v>
      </c>
      <c r="I12" s="8" t="inlineStr">
        <is>
          <t>Perlengkapan Tunai</t>
        </is>
      </c>
    </row>
    <row r="13">
      <c r="B13" s="20" t="inlineStr">
        <is>
          <t>05/01</t>
        </is>
      </c>
      <c r="C13" s="20" t="inlineStr">
        <is>
          <t>BK-002</t>
        </is>
      </c>
      <c r="D13" s="20" t="inlineStr">
        <is>
          <t>1-101</t>
        </is>
      </c>
      <c r="E13" s="8" t="inlineStr">
        <is>
          <t>Kas</t>
        </is>
      </c>
      <c r="F13" s="20" t="inlineStr">
        <is>
          <t>✓</t>
        </is>
      </c>
      <c r="G13" s="21" t="n">
        <v>0</v>
      </c>
      <c r="H13" s="21" t="n">
        <v>6500000</v>
      </c>
      <c r="I13" s="8" t="inlineStr"/>
    </row>
    <row r="14">
      <c r="B14" s="22" t="inlineStr">
        <is>
          <t>10/01</t>
        </is>
      </c>
      <c r="C14" s="22" t="inlineStr">
        <is>
          <t>FJ-001</t>
        </is>
      </c>
      <c r="D14" s="22" t="inlineStr">
        <is>
          <t>1-102</t>
        </is>
      </c>
      <c r="E14" s="10" t="inlineStr">
        <is>
          <t>Piutang Usaha (PT ABC)</t>
        </is>
      </c>
      <c r="F14" s="22" t="inlineStr">
        <is>
          <t>✓</t>
        </is>
      </c>
      <c r="G14" s="23" t="n">
        <v>38850000</v>
      </c>
      <c r="H14" s="23" t="n">
        <v>0</v>
      </c>
      <c r="I14" s="10" t="inlineStr">
        <is>
          <t>Termin Kredit 30 Hari</t>
        </is>
      </c>
    </row>
    <row r="15">
      <c r="B15" s="22" t="inlineStr">
        <is>
          <t>10/01</t>
        </is>
      </c>
      <c r="C15" s="22" t="inlineStr">
        <is>
          <t>FJ-001</t>
        </is>
      </c>
      <c r="D15" s="22" t="inlineStr">
        <is>
          <t>4-101</t>
        </is>
      </c>
      <c r="E15" s="10" t="inlineStr">
        <is>
          <t>Pendapatan Jasa</t>
        </is>
      </c>
      <c r="F15" s="22" t="inlineStr">
        <is>
          <t>✓</t>
        </is>
      </c>
      <c r="G15" s="23" t="n">
        <v>0</v>
      </c>
      <c r="H15" s="23" t="n">
        <v>35000000</v>
      </c>
      <c r="I15" s="10" t="inlineStr">
        <is>
          <t>DPP</t>
        </is>
      </c>
    </row>
    <row r="16">
      <c r="B16" s="20" t="inlineStr">
        <is>
          <t>10/01</t>
        </is>
      </c>
      <c r="C16" s="20" t="inlineStr">
        <is>
          <t>FJ-001</t>
        </is>
      </c>
      <c r="D16" s="20" t="inlineStr">
        <is>
          <t>2-104</t>
        </is>
      </c>
      <c r="E16" s="8" t="inlineStr">
        <is>
          <t>PPN Keluaran (11%)</t>
        </is>
      </c>
      <c r="F16" s="20" t="inlineStr">
        <is>
          <t>✓</t>
        </is>
      </c>
      <c r="G16" s="21" t="n">
        <v>0</v>
      </c>
      <c r="H16" s="21" t="n">
        <v>3850000</v>
      </c>
      <c r="I16" s="8">
        <f>G15*11% (PPN 11%)</f>
        <v/>
      </c>
    </row>
    <row r="17">
      <c r="B17" s="20" t="inlineStr">
        <is>
          <t>15/01</t>
        </is>
      </c>
      <c r="C17" s="20" t="inlineStr">
        <is>
          <t>FJ-002</t>
        </is>
      </c>
      <c r="D17" s="20" t="inlineStr">
        <is>
          <t>1-102</t>
        </is>
      </c>
      <c r="E17" s="8" t="inlineStr">
        <is>
          <t>Piutang Usaha (CV DEF)</t>
        </is>
      </c>
      <c r="F17" s="20" t="inlineStr">
        <is>
          <t>✓</t>
        </is>
      </c>
      <c r="G17" s="21" t="n">
        <v>8880000</v>
      </c>
      <c r="H17" s="21" t="n">
        <v>0</v>
      </c>
      <c r="I17" s="8" t="inlineStr">
        <is>
          <t>Termin Kredit 14 Hari</t>
        </is>
      </c>
    </row>
    <row r="18">
      <c r="B18" s="22" t="inlineStr">
        <is>
          <t>15/01</t>
        </is>
      </c>
      <c r="C18" s="22" t="inlineStr">
        <is>
          <t>FJ-002</t>
        </is>
      </c>
      <c r="D18" s="22" t="inlineStr">
        <is>
          <t>4-101</t>
        </is>
      </c>
      <c r="E18" s="10" t="inlineStr">
        <is>
          <t>Pendapatan Jasa</t>
        </is>
      </c>
      <c r="F18" s="22" t="inlineStr">
        <is>
          <t>✓</t>
        </is>
      </c>
      <c r="G18" s="23" t="n">
        <v>0</v>
      </c>
      <c r="H18" s="23" t="n">
        <v>8000000</v>
      </c>
      <c r="I18" s="10" t="inlineStr">
        <is>
          <t>DPP</t>
        </is>
      </c>
    </row>
    <row r="19">
      <c r="B19" s="22" t="inlineStr">
        <is>
          <t>15/01</t>
        </is>
      </c>
      <c r="C19" s="22" t="inlineStr">
        <is>
          <t>FJ-002</t>
        </is>
      </c>
      <c r="D19" s="22" t="inlineStr">
        <is>
          <t>2-104</t>
        </is>
      </c>
      <c r="E19" s="10" t="inlineStr">
        <is>
          <t>PPN Keluaran (11%)</t>
        </is>
      </c>
      <c r="F19" s="22" t="inlineStr">
        <is>
          <t>✓</t>
        </is>
      </c>
      <c r="G19" s="23" t="n">
        <v>0</v>
      </c>
      <c r="H19" s="23" t="n">
        <v>880000</v>
      </c>
      <c r="I19" s="10">
        <f>G18*11% (PPN 11%)</f>
        <v/>
      </c>
    </row>
    <row r="20">
      <c r="B20" s="20" t="inlineStr">
        <is>
          <t>18/01</t>
        </is>
      </c>
      <c r="C20" s="20" t="inlineStr">
        <is>
          <t>FB-001</t>
        </is>
      </c>
      <c r="D20" s="20" t="inlineStr">
        <is>
          <t>1-103</t>
        </is>
      </c>
      <c r="E20" s="8" t="inlineStr">
        <is>
          <t>Peralatan Kantor</t>
        </is>
      </c>
      <c r="F20" s="20" t="inlineStr">
        <is>
          <t>✓</t>
        </is>
      </c>
      <c r="G20" s="21" t="n">
        <v>12000000</v>
      </c>
      <c r="H20" s="21" t="n">
        <v>0</v>
      </c>
      <c r="I20" s="8" t="inlineStr">
        <is>
          <t>Beli Komputer &amp; Printer</t>
        </is>
      </c>
    </row>
    <row r="21">
      <c r="B21" s="20" t="inlineStr">
        <is>
          <t>18/01</t>
        </is>
      </c>
      <c r="C21" s="20" t="inlineStr">
        <is>
          <t>FB-001</t>
        </is>
      </c>
      <c r="D21" s="20" t="inlineStr">
        <is>
          <t>1-106</t>
        </is>
      </c>
      <c r="E21" s="8" t="inlineStr">
        <is>
          <t>PPN Masukan (11%)</t>
        </is>
      </c>
      <c r="F21" s="20" t="inlineStr">
        <is>
          <t>✓</t>
        </is>
      </c>
      <c r="G21" s="21" t="n">
        <v>1320000</v>
      </c>
      <c r="H21" s="21" t="n">
        <v>0</v>
      </c>
      <c r="I21" s="8" t="inlineStr">
        <is>
          <t>Dapat Dikreditkan</t>
        </is>
      </c>
    </row>
    <row r="22">
      <c r="B22" s="22" t="inlineStr">
        <is>
          <t>18/01</t>
        </is>
      </c>
      <c r="C22" s="22" t="inlineStr">
        <is>
          <t>FB-001</t>
        </is>
      </c>
      <c r="D22" s="22" t="inlineStr">
        <is>
          <t>2-102</t>
        </is>
      </c>
      <c r="E22" s="10" t="inlineStr">
        <is>
          <t>Utang Usaha (CV XYZ)</t>
        </is>
      </c>
      <c r="F22" s="22" t="inlineStr">
        <is>
          <t>✓</t>
        </is>
      </c>
      <c r="G22" s="23" t="n">
        <v>0</v>
      </c>
      <c r="H22" s="23" t="n">
        <v>13320000</v>
      </c>
      <c r="I22" s="10" t="inlineStr"/>
    </row>
    <row r="23">
      <c r="B23" s="22" t="inlineStr">
        <is>
          <t>22/01</t>
        </is>
      </c>
      <c r="C23" s="22" t="inlineStr">
        <is>
          <t>KM-003</t>
        </is>
      </c>
      <c r="D23" s="22" t="inlineStr">
        <is>
          <t>1-101</t>
        </is>
      </c>
      <c r="E23" s="10" t="inlineStr">
        <is>
          <t>Kas</t>
        </is>
      </c>
      <c r="F23" s="22" t="inlineStr">
        <is>
          <t>✓</t>
        </is>
      </c>
      <c r="G23" s="23" t="n">
        <v>15000000</v>
      </c>
      <c r="H23" s="23" t="n">
        <v>0</v>
      </c>
      <c r="I23" s="10" t="inlineStr">
        <is>
          <t>Pelunasan Sebagian PT ABC</t>
        </is>
      </c>
    </row>
    <row r="24">
      <c r="B24" s="20" t="inlineStr">
        <is>
          <t>22/01</t>
        </is>
      </c>
      <c r="C24" s="20" t="inlineStr">
        <is>
          <t>KM-003</t>
        </is>
      </c>
      <c r="D24" s="20" t="inlineStr">
        <is>
          <t>1-102</t>
        </is>
      </c>
      <c r="E24" s="8" t="inlineStr">
        <is>
          <t>Piutang Usaha (PT ABC)</t>
        </is>
      </c>
      <c r="F24" s="20" t="inlineStr">
        <is>
          <t>✓</t>
        </is>
      </c>
      <c r="G24" s="21" t="n">
        <v>0</v>
      </c>
      <c r="H24" s="21" t="n">
        <v>15000000</v>
      </c>
      <c r="I24" s="8" t="inlineStr"/>
    </row>
    <row r="25">
      <c r="B25" s="20" t="inlineStr">
        <is>
          <t>28/01</t>
        </is>
      </c>
      <c r="C25" s="20" t="inlineStr">
        <is>
          <t>BK-003</t>
        </is>
      </c>
      <c r="D25" s="20" t="inlineStr">
        <is>
          <t>5-101</t>
        </is>
      </c>
      <c r="E25" s="8" t="inlineStr">
        <is>
          <t>Beban Gaji Karyawan</t>
        </is>
      </c>
      <c r="F25" s="20" t="inlineStr">
        <is>
          <t>✓</t>
        </is>
      </c>
      <c r="G25" s="21" t="n">
        <v>6500000</v>
      </c>
      <c r="H25" s="21" t="n">
        <v>0</v>
      </c>
      <c r="I25" s="8" t="inlineStr">
        <is>
          <t>Gaji Staff Bulan Jan</t>
        </is>
      </c>
    </row>
    <row r="26">
      <c r="B26" s="22" t="inlineStr">
        <is>
          <t>28/01</t>
        </is>
      </c>
      <c r="C26" s="22" t="inlineStr">
        <is>
          <t>BK-003</t>
        </is>
      </c>
      <c r="D26" s="22" t="inlineStr">
        <is>
          <t>1-101</t>
        </is>
      </c>
      <c r="E26" s="10" t="inlineStr">
        <is>
          <t>Kas</t>
        </is>
      </c>
      <c r="F26" s="22" t="inlineStr">
        <is>
          <t>✓</t>
        </is>
      </c>
      <c r="G26" s="23" t="n">
        <v>0</v>
      </c>
      <c r="H26" s="23" t="n">
        <v>6500000</v>
      </c>
      <c r="I26" s="10" t="inlineStr"/>
    </row>
    <row r="27">
      <c r="B27" s="22" t="inlineStr">
        <is>
          <t>30/01</t>
        </is>
      </c>
      <c r="C27" s="22" t="inlineStr">
        <is>
          <t>BK-004</t>
        </is>
      </c>
      <c r="D27" s="22" t="inlineStr">
        <is>
          <t>5-102</t>
        </is>
      </c>
      <c r="E27" s="10" t="inlineStr">
        <is>
          <t>Beban Listrik &amp; Telepon</t>
        </is>
      </c>
      <c r="F27" s="22" t="inlineStr">
        <is>
          <t>✓</t>
        </is>
      </c>
      <c r="G27" s="23" t="n">
        <v>1200000</v>
      </c>
      <c r="H27" s="23" t="n">
        <v>0</v>
      </c>
      <c r="I27" s="10" t="inlineStr">
        <is>
          <t>Beban Kantor</t>
        </is>
      </c>
    </row>
    <row r="28">
      <c r="B28" s="20" t="inlineStr">
        <is>
          <t>30/01</t>
        </is>
      </c>
      <c r="C28" s="20" t="inlineStr">
        <is>
          <t>BK-004</t>
        </is>
      </c>
      <c r="D28" s="20" t="inlineStr">
        <is>
          <t>1-101</t>
        </is>
      </c>
      <c r="E28" s="8" t="inlineStr">
        <is>
          <t>Kas</t>
        </is>
      </c>
      <c r="F28" s="20" t="inlineStr">
        <is>
          <t>✓</t>
        </is>
      </c>
      <c r="G28" s="21" t="n">
        <v>0</v>
      </c>
      <c r="H28" s="21" t="n">
        <v>1200000</v>
      </c>
      <c r="I28" s="8" t="inlineStr"/>
    </row>
    <row r="29">
      <c r="B29" s="17" t="inlineStr">
        <is>
          <t>TOTAL JURNAL UMUM</t>
        </is>
      </c>
      <c r="G29" s="18">
        <f>SUM(G6:G28)</f>
        <v/>
      </c>
      <c r="H29" s="18">
        <f>SUM(H6:H28)</f>
        <v/>
      </c>
    </row>
    <row r="30">
      <c r="B30" s="3" t="inlineStr">
        <is>
          <t>STATUS KESEIMBANGAN (CEK BALANCE)</t>
        </is>
      </c>
      <c r="G30" s="24">
        <f>IF(G29=H29, "✓ BALANCE", "⚠️ TIDAK BALANCE")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8" customWidth="1" min="2" max="2"/>
    <col width="12" customWidth="1" min="3" max="3"/>
    <col width="27" customWidth="1" min="4" max="4"/>
    <col width="12" customWidth="1" min="5" max="5"/>
    <col width="13" customWidth="1" min="6" max="6"/>
    <col width="14" customWidth="1" min="7" max="7"/>
    <col width="22" customWidth="1" min="8" max="8"/>
  </cols>
  <sheetData>
    <row r="1"/>
    <row r="2">
      <c r="B2" s="11" t="inlineStr">
        <is>
          <t>PT MAJU BERSAMA - BUKU BESAR (GENERAL LEDGER)</t>
        </is>
      </c>
    </row>
    <row r="3">
      <c r="B3" s="2" t="inlineStr">
        <is>
          <t>Periode: Januari 2025</t>
        </is>
      </c>
    </row>
    <row r="4"/>
    <row r="5">
      <c r="B5" s="5" t="inlineStr">
        <is>
          <t>Akun: 1-101 Kas</t>
        </is>
      </c>
    </row>
    <row r="6">
      <c r="B6" s="13" t="inlineStr">
        <is>
          <t>Tgl</t>
        </is>
      </c>
      <c r="C6" s="13" t="inlineStr">
        <is>
          <t>No. Bukti</t>
        </is>
      </c>
      <c r="D6" s="13" t="inlineStr">
        <is>
          <t>Keterangan</t>
        </is>
      </c>
      <c r="E6" s="13" t="inlineStr">
        <is>
          <t>Ref</t>
        </is>
      </c>
      <c r="F6" s="13" t="inlineStr">
        <is>
          <t>Debet (Rp)</t>
        </is>
      </c>
      <c r="G6" s="13" t="inlineStr">
        <is>
          <t>Kredit (Rp)</t>
        </is>
      </c>
      <c r="H6" s="13" t="inlineStr">
        <is>
          <t>Saldo Berjalan (Rp)</t>
        </is>
      </c>
    </row>
    <row r="7">
      <c r="B7" s="25" t="inlineStr">
        <is>
          <t>01/01</t>
        </is>
      </c>
      <c r="C7" s="25" t="inlineStr">
        <is>
          <t>KM-001</t>
        </is>
      </c>
      <c r="D7" s="14" t="inlineStr">
        <is>
          <t>Setoran Modal Awal</t>
        </is>
      </c>
      <c r="E7" s="25" t="inlineStr">
        <is>
          <t>JU-1</t>
        </is>
      </c>
      <c r="F7" s="26" t="n">
        <v>100000000</v>
      </c>
      <c r="G7" s="26" t="n">
        <v>0</v>
      </c>
      <c r="H7" s="26">
        <f>F7-G7</f>
        <v/>
      </c>
    </row>
    <row r="8">
      <c r="B8" s="25" t="inlineStr">
        <is>
          <t>02/01</t>
        </is>
      </c>
      <c r="C8" s="25" t="inlineStr">
        <is>
          <t>KM-002</t>
        </is>
      </c>
      <c r="D8" s="14" t="inlineStr">
        <is>
          <t>Pinjaman Bank KMK</t>
        </is>
      </c>
      <c r="E8" s="25" t="inlineStr">
        <is>
          <t>JU-1</t>
        </is>
      </c>
      <c r="F8" s="26" t="n">
        <v>50000000</v>
      </c>
      <c r="G8" s="26" t="n">
        <v>0</v>
      </c>
      <c r="H8" s="26">
        <f>H7+F8-G8</f>
        <v/>
      </c>
    </row>
    <row r="9">
      <c r="B9" s="25" t="inlineStr">
        <is>
          <t>03/01</t>
        </is>
      </c>
      <c r="C9" s="25" t="inlineStr">
        <is>
          <t>BK-001</t>
        </is>
      </c>
      <c r="D9" s="14" t="inlineStr">
        <is>
          <t>Sewa Gedung Dimuka 3 Thn</t>
        </is>
      </c>
      <c r="E9" s="25" t="inlineStr">
        <is>
          <t>JU-1</t>
        </is>
      </c>
      <c r="F9" s="26" t="n">
        <v>0</v>
      </c>
      <c r="G9" s="26" t="n">
        <v>24000000</v>
      </c>
      <c r="H9" s="26">
        <f>H8+F9-G9</f>
        <v/>
      </c>
    </row>
    <row r="10">
      <c r="B10" s="25" t="inlineStr">
        <is>
          <t>05/01</t>
        </is>
      </c>
      <c r="C10" s="25" t="inlineStr">
        <is>
          <t>BK-002</t>
        </is>
      </c>
      <c r="D10" s="14" t="inlineStr">
        <is>
          <t>Beli Perlengkapan Tunai</t>
        </is>
      </c>
      <c r="E10" s="25" t="inlineStr">
        <is>
          <t>JU-1</t>
        </is>
      </c>
      <c r="F10" s="26" t="n">
        <v>0</v>
      </c>
      <c r="G10" s="26" t="n">
        <v>6500000</v>
      </c>
      <c r="H10" s="26">
        <f>H9+F10-G10</f>
        <v/>
      </c>
    </row>
    <row r="11">
      <c r="B11" s="25" t="inlineStr">
        <is>
          <t>22/01</t>
        </is>
      </c>
      <c r="C11" s="25" t="inlineStr">
        <is>
          <t>KM-003</t>
        </is>
      </c>
      <c r="D11" s="14" t="inlineStr">
        <is>
          <t>Pelunasan Piutang PT ABC</t>
        </is>
      </c>
      <c r="E11" s="25" t="inlineStr">
        <is>
          <t>JU-1</t>
        </is>
      </c>
      <c r="F11" s="26" t="n">
        <v>15000000</v>
      </c>
      <c r="G11" s="26" t="n">
        <v>0</v>
      </c>
      <c r="H11" s="26">
        <f>H10+F11-G11</f>
        <v/>
      </c>
    </row>
    <row r="12">
      <c r="B12" s="25" t="inlineStr">
        <is>
          <t>28/01</t>
        </is>
      </c>
      <c r="C12" s="25" t="inlineStr">
        <is>
          <t>BK-003</t>
        </is>
      </c>
      <c r="D12" s="14" t="inlineStr">
        <is>
          <t>Beban Gaji Karyawan</t>
        </is>
      </c>
      <c r="E12" s="25" t="inlineStr">
        <is>
          <t>JU-1</t>
        </is>
      </c>
      <c r="F12" s="26" t="n">
        <v>0</v>
      </c>
      <c r="G12" s="26" t="n">
        <v>6500000</v>
      </c>
      <c r="H12" s="26">
        <f>H11+F12-G12</f>
        <v/>
      </c>
    </row>
    <row r="13">
      <c r="B13" s="25" t="inlineStr">
        <is>
          <t>30/01</t>
        </is>
      </c>
      <c r="C13" s="25" t="inlineStr">
        <is>
          <t>BK-004</t>
        </is>
      </c>
      <c r="D13" s="14" t="inlineStr">
        <is>
          <t>Beban Listrik &amp; Telepon</t>
        </is>
      </c>
      <c r="E13" s="25" t="inlineStr">
        <is>
          <t>JU-1</t>
        </is>
      </c>
      <c r="F13" s="26" t="n">
        <v>0</v>
      </c>
      <c r="G13" s="26" t="n">
        <v>1200000</v>
      </c>
      <c r="H13" s="26">
        <f>H12+F13-G13</f>
        <v/>
      </c>
    </row>
    <row r="14">
      <c r="B14" s="17" t="inlineStr">
        <is>
          <t>SALDO AKHIR KAS (1-101)</t>
        </is>
      </c>
      <c r="H14" s="27">
        <f>H13</f>
        <v/>
      </c>
    </row>
    <row r="15"/>
    <row r="16">
      <c r="B16" s="5" t="inlineStr">
        <is>
          <t>Akun: 1-102 Piutang Usaha</t>
        </is>
      </c>
    </row>
    <row r="17">
      <c r="B17" s="13" t="inlineStr">
        <is>
          <t>Tgl</t>
        </is>
      </c>
      <c r="C17" s="13" t="inlineStr">
        <is>
          <t>No. Bukti</t>
        </is>
      </c>
      <c r="D17" s="13" t="inlineStr">
        <is>
          <t>Keterangan</t>
        </is>
      </c>
      <c r="E17" s="13" t="inlineStr">
        <is>
          <t>Ref</t>
        </is>
      </c>
      <c r="F17" s="13" t="inlineStr">
        <is>
          <t>Debet (Rp)</t>
        </is>
      </c>
      <c r="G17" s="13" t="inlineStr">
        <is>
          <t>Kredit (Rp)</t>
        </is>
      </c>
      <c r="H17" s="13" t="inlineStr">
        <is>
          <t>Saldo Berjalan (Rp)</t>
        </is>
      </c>
    </row>
    <row r="18">
      <c r="B18" s="25" t="inlineStr">
        <is>
          <t>10/01</t>
        </is>
      </c>
      <c r="C18" s="25" t="inlineStr">
        <is>
          <t>FJ-001</t>
        </is>
      </c>
      <c r="D18" s="14" t="inlineStr">
        <is>
          <t>Penjualan Jasa PT ABC</t>
        </is>
      </c>
      <c r="E18" s="25" t="inlineStr">
        <is>
          <t>JU-1</t>
        </is>
      </c>
      <c r="F18" s="26" t="n">
        <v>38850000</v>
      </c>
      <c r="G18" s="26" t="n">
        <v>0</v>
      </c>
      <c r="H18" s="26">
        <f>F18-G18</f>
        <v/>
      </c>
    </row>
    <row r="19">
      <c r="B19" s="25" t="inlineStr">
        <is>
          <t>15/01</t>
        </is>
      </c>
      <c r="C19" s="25" t="inlineStr">
        <is>
          <t>FJ-002</t>
        </is>
      </c>
      <c r="D19" s="14" t="inlineStr">
        <is>
          <t>Penjualan Jasa CV DEF</t>
        </is>
      </c>
      <c r="E19" s="25" t="inlineStr">
        <is>
          <t>JU-1</t>
        </is>
      </c>
      <c r="F19" s="26" t="n">
        <v>8880000</v>
      </c>
      <c r="G19" s="26" t="n">
        <v>0</v>
      </c>
      <c r="H19" s="26">
        <f>H18+F19-G19</f>
        <v/>
      </c>
    </row>
    <row r="20">
      <c r="B20" s="25" t="inlineStr">
        <is>
          <t>22/01</t>
        </is>
      </c>
      <c r="C20" s="25" t="inlineStr">
        <is>
          <t>KM-003</t>
        </is>
      </c>
      <c r="D20" s="14" t="inlineStr">
        <is>
          <t>Pelunasan Piutang PT ABC</t>
        </is>
      </c>
      <c r="E20" s="25" t="inlineStr">
        <is>
          <t>JU-1</t>
        </is>
      </c>
      <c r="F20" s="26" t="n">
        <v>0</v>
      </c>
      <c r="G20" s="26" t="n">
        <v>15000000</v>
      </c>
      <c r="H20" s="26">
        <f>H19+F20-G20</f>
        <v/>
      </c>
    </row>
    <row r="21">
      <c r="B21" s="17" t="inlineStr">
        <is>
          <t>SALDO AKHIR PIUTANG (1-102)</t>
        </is>
      </c>
      <c r="H21" s="27">
        <f>H20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53" customWidth="1" min="2" max="2"/>
    <col width="26" customWidth="1" min="3" max="3"/>
    <col width="48" customWidth="1" min="4" max="4"/>
    <col width="15" customWidth="1" min="5" max="5"/>
    <col width="25" customWidth="1" min="6" max="6"/>
  </cols>
  <sheetData>
    <row r="1"/>
    <row r="2">
      <c r="B2" s="11" t="inlineStr">
        <is>
          <t>PT MAJU BERSAMA - NERACA SALDO SEBELUM PENYESUAIAN</t>
        </is>
      </c>
    </row>
    <row r="3">
      <c r="B3" s="2" t="inlineStr">
        <is>
          <t>Per 31 Januari 2025</t>
        </is>
      </c>
    </row>
    <row r="4"/>
    <row r="5">
      <c r="B5" s="13" t="inlineStr">
        <is>
          <t>Kode Akun</t>
        </is>
      </c>
      <c r="C5" s="13" t="inlineStr">
        <is>
          <t>Nama Akun</t>
        </is>
      </c>
      <c r="D5" s="13" t="inlineStr">
        <is>
          <t>Debet (Rp)</t>
        </is>
      </c>
      <c r="E5" s="13" t="inlineStr">
        <is>
          <t>Kredit (Rp)</t>
        </is>
      </c>
      <c r="F5" s="13" t="inlineStr">
        <is>
          <t>Formula / Sumber Saldo</t>
        </is>
      </c>
    </row>
    <row r="6">
      <c r="B6" s="28" t="inlineStr">
        <is>
          <t>1-101</t>
        </is>
      </c>
      <c r="C6" s="29" t="inlineStr">
        <is>
          <t>Kas</t>
        </is>
      </c>
      <c r="D6" s="30">
        <f>'5. Buku_Besar'!H14</f>
        <v/>
      </c>
      <c r="E6" s="30" t="n">
        <v>0</v>
      </c>
      <c r="F6" s="31" t="inlineStr">
        <is>
          <t>Buku Besar Kas</t>
        </is>
      </c>
    </row>
    <row r="7">
      <c r="B7" s="25" t="inlineStr">
        <is>
          <t>1-102</t>
        </is>
      </c>
      <c r="C7" s="14" t="inlineStr">
        <is>
          <t>Piutang Usaha</t>
        </is>
      </c>
      <c r="D7" s="26">
        <f>'5. Buku_Besar'!H21</f>
        <v/>
      </c>
      <c r="E7" s="26" t="n">
        <v>0</v>
      </c>
      <c r="F7" s="31" t="inlineStr">
        <is>
          <t>Buku Besar Piutang</t>
        </is>
      </c>
    </row>
    <row r="8">
      <c r="B8" s="28" t="inlineStr">
        <is>
          <t>1-103</t>
        </is>
      </c>
      <c r="C8" s="29" t="inlineStr">
        <is>
          <t>Peralatan Kantor</t>
        </is>
      </c>
      <c r="D8" s="30" t="n">
        <v>12000000</v>
      </c>
      <c r="E8" s="30" t="n">
        <v>0</v>
      </c>
      <c r="F8" s="31" t="inlineStr">
        <is>
          <t>Faktur FB-001</t>
        </is>
      </c>
    </row>
    <row r="9">
      <c r="B9" s="25" t="inlineStr">
        <is>
          <t>1-104</t>
        </is>
      </c>
      <c r="C9" s="14" t="inlineStr">
        <is>
          <t>Perlengkapan Kantor</t>
        </is>
      </c>
      <c r="D9" s="26" t="n">
        <v>6500000</v>
      </c>
      <c r="E9" s="26" t="n">
        <v>0</v>
      </c>
      <c r="F9" s="31" t="inlineStr">
        <is>
          <t>Bukti BK-002</t>
        </is>
      </c>
    </row>
    <row r="10">
      <c r="B10" s="28" t="inlineStr">
        <is>
          <t>1-105</t>
        </is>
      </c>
      <c r="C10" s="29" t="inlineStr">
        <is>
          <t>Sewa Dibayar Dimuka</t>
        </is>
      </c>
      <c r="D10" s="30" t="n">
        <v>24000000</v>
      </c>
      <c r="E10" s="30" t="n">
        <v>0</v>
      </c>
      <c r="F10" s="31" t="inlineStr">
        <is>
          <t>Bukti BK-001</t>
        </is>
      </c>
    </row>
    <row r="11">
      <c r="B11" s="25" t="inlineStr">
        <is>
          <t>1-106</t>
        </is>
      </c>
      <c r="C11" s="14" t="inlineStr">
        <is>
          <t>PPN Masukan (11%)</t>
        </is>
      </c>
      <c r="D11" s="26" t="n">
        <v>1320000</v>
      </c>
      <c r="E11" s="26" t="n">
        <v>0</v>
      </c>
      <c r="F11" s="31" t="inlineStr">
        <is>
          <t>Faktur FB-001</t>
        </is>
      </c>
    </row>
    <row r="12">
      <c r="B12" s="28" t="inlineStr">
        <is>
          <t>2-101</t>
        </is>
      </c>
      <c r="C12" s="29" t="inlineStr">
        <is>
          <t>Utang Bank (KMK)</t>
        </is>
      </c>
      <c r="D12" s="30" t="n">
        <v>0</v>
      </c>
      <c r="E12" s="30" t="n">
        <v>50000000</v>
      </c>
      <c r="F12" s="31" t="inlineStr">
        <is>
          <t>Bukti KM-002</t>
        </is>
      </c>
    </row>
    <row r="13">
      <c r="B13" s="25" t="inlineStr">
        <is>
          <t>2-102</t>
        </is>
      </c>
      <c r="C13" s="14" t="inlineStr">
        <is>
          <t>Utang Usaha (CV XYZ)</t>
        </is>
      </c>
      <c r="D13" s="26" t="n">
        <v>0</v>
      </c>
      <c r="E13" s="26" t="n">
        <v>13320000</v>
      </c>
      <c r="F13" s="31" t="inlineStr">
        <is>
          <t>Faktur FB-001</t>
        </is>
      </c>
    </row>
    <row r="14">
      <c r="B14" s="28" t="inlineStr">
        <is>
          <t>2-104</t>
        </is>
      </c>
      <c r="C14" s="29" t="inlineStr">
        <is>
          <t>PPN Keluaran (11%)</t>
        </is>
      </c>
      <c r="D14" s="30" t="n">
        <v>0</v>
      </c>
      <c r="E14" s="30" t="n">
        <v>4730000</v>
      </c>
      <c r="F14" s="31" t="inlineStr">
        <is>
          <t>FJ-001 &amp; FJ-002</t>
        </is>
      </c>
    </row>
    <row r="15">
      <c r="B15" s="25" t="inlineStr">
        <is>
          <t>3-101</t>
        </is>
      </c>
      <c r="C15" s="14" t="inlineStr">
        <is>
          <t>Modal Pemilik</t>
        </is>
      </c>
      <c r="D15" s="26" t="n">
        <v>0</v>
      </c>
      <c r="E15" s="26" t="n">
        <v>100000000</v>
      </c>
      <c r="F15" s="31" t="inlineStr">
        <is>
          <t>Bukti KM-001</t>
        </is>
      </c>
    </row>
    <row r="16">
      <c r="B16" s="28" t="inlineStr">
        <is>
          <t>4-101</t>
        </is>
      </c>
      <c r="C16" s="29" t="inlineStr">
        <is>
          <t>Pendapatan Jasa</t>
        </is>
      </c>
      <c r="D16" s="30" t="n">
        <v>0</v>
      </c>
      <c r="E16" s="30" t="n">
        <v>43000000</v>
      </c>
      <c r="F16" s="31" t="inlineStr">
        <is>
          <t>FJ-001 &amp; FJ-002</t>
        </is>
      </c>
    </row>
    <row r="17">
      <c r="B17" s="25" t="inlineStr">
        <is>
          <t>5-101</t>
        </is>
      </c>
      <c r="C17" s="14" t="inlineStr">
        <is>
          <t>Beban Gaji Karyawan</t>
        </is>
      </c>
      <c r="D17" s="26" t="n">
        <v>6500000</v>
      </c>
      <c r="E17" s="26" t="n">
        <v>0</v>
      </c>
      <c r="F17" s="31" t="inlineStr">
        <is>
          <t>Bukti BK-003</t>
        </is>
      </c>
    </row>
    <row r="18">
      <c r="B18" s="28" t="inlineStr">
        <is>
          <t>5-102</t>
        </is>
      </c>
      <c r="C18" s="29" t="inlineStr">
        <is>
          <t>Beban Listrik &amp; Telepon</t>
        </is>
      </c>
      <c r="D18" s="30" t="n">
        <v>1200000</v>
      </c>
      <c r="E18" s="30" t="n">
        <v>0</v>
      </c>
      <c r="F18" s="31" t="inlineStr">
        <is>
          <t>Bukti BK-004</t>
        </is>
      </c>
    </row>
    <row r="19">
      <c r="B19" s="17" t="inlineStr">
        <is>
          <t>TOTAL NERACA SALDO</t>
        </is>
      </c>
      <c r="D19" s="18">
        <f>SUM(D6:D18)</f>
        <v/>
      </c>
      <c r="E19" s="18">
        <f>SUM(E6:E18)</f>
        <v/>
      </c>
    </row>
    <row r="20">
      <c r="B20" s="3" t="inlineStr">
        <is>
          <t>STATUS KESEIMBANGAN</t>
        </is>
      </c>
      <c r="D20" s="24">
        <f>IF(D19=E19, "✓ BALANCE", "⚠️ TIDAK BALANCE")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9" customWidth="1" min="2" max="2"/>
    <col width="12" customWidth="1" min="3" max="3"/>
    <col width="29" customWidth="1" min="4" max="4"/>
    <col width="66" customWidth="1" min="5" max="5"/>
    <col width="24" customWidth="1" min="6" max="6"/>
    <col width="43" customWidth="1" min="7" max="7"/>
  </cols>
  <sheetData>
    <row r="1"/>
    <row r="2">
      <c r="B2" s="11" t="inlineStr">
        <is>
          <t>PT MAJU BERSAMA - JURNAL PENYESUAIAN</t>
        </is>
      </c>
    </row>
    <row r="3">
      <c r="B3" s="2" t="inlineStr">
        <is>
          <t>per 31 Januari 2025</t>
        </is>
      </c>
    </row>
    <row r="4"/>
    <row r="5">
      <c r="B5" s="13" t="inlineStr">
        <is>
          <t>No. Bukti</t>
        </is>
      </c>
      <c r="C5" s="13" t="inlineStr">
        <is>
          <t>Kode Akun</t>
        </is>
      </c>
      <c r="D5" s="13" t="inlineStr">
        <is>
          <t>Nama Akun</t>
        </is>
      </c>
      <c r="E5" s="13" t="inlineStr">
        <is>
          <t>Debet (Rp)</t>
        </is>
      </c>
      <c r="F5" s="13" t="inlineStr">
        <is>
          <t>Kredit (Rp)</t>
        </is>
      </c>
      <c r="G5" s="13" t="inlineStr">
        <is>
          <t>Catatan / Keterangan Penyesuaian</t>
        </is>
      </c>
    </row>
    <row r="6">
      <c r="B6" s="25" t="inlineStr">
        <is>
          <t>AJP-001</t>
        </is>
      </c>
      <c r="C6" s="25" t="inlineStr">
        <is>
          <t>5-103</t>
        </is>
      </c>
      <c r="D6" s="14" t="inlineStr">
        <is>
          <t>Beban Sewa</t>
        </is>
      </c>
      <c r="E6" s="26">
        <f>24000000/36</f>
        <v/>
      </c>
      <c r="F6" s="26" t="n">
        <v>0</v>
      </c>
      <c r="G6" s="31" t="inlineStr">
        <is>
          <t>Sewa gedung 1 bln (24jt / 36 bln)</t>
        </is>
      </c>
    </row>
    <row r="7">
      <c r="B7" s="25" t="inlineStr">
        <is>
          <t>AJP-001</t>
        </is>
      </c>
      <c r="C7" s="25" t="inlineStr">
        <is>
          <t>1-105</t>
        </is>
      </c>
      <c r="D7" s="14" t="inlineStr">
        <is>
          <t>Sewa Dibayar Dimuka</t>
        </is>
      </c>
      <c r="E7" s="26" t="n">
        <v>0</v>
      </c>
      <c r="F7" s="26">
        <f>24000000/36</f>
        <v/>
      </c>
      <c r="G7" s="31" t="inlineStr"/>
    </row>
    <row r="8">
      <c r="B8" s="28" t="inlineStr">
        <is>
          <t>AJP-002</t>
        </is>
      </c>
      <c r="C8" s="28" t="inlineStr">
        <is>
          <t>5-104</t>
        </is>
      </c>
      <c r="D8" s="29" t="inlineStr">
        <is>
          <t>Beban Perlengkapan</t>
        </is>
      </c>
      <c r="E8" s="30">
        <f>6500000-4000000</f>
        <v/>
      </c>
      <c r="F8" s="30" t="n">
        <v>0</v>
      </c>
      <c r="G8" s="31" t="inlineStr">
        <is>
          <t>Perlengkapan terpakai (6.5jt - sisa 4jt)</t>
        </is>
      </c>
    </row>
    <row r="9">
      <c r="B9" s="28" t="inlineStr">
        <is>
          <t>AJP-002</t>
        </is>
      </c>
      <c r="C9" s="28" t="inlineStr">
        <is>
          <t>1-104</t>
        </is>
      </c>
      <c r="D9" s="29" t="inlineStr">
        <is>
          <t>Perlengkapan Kantor</t>
        </is>
      </c>
      <c r="E9" s="30" t="n">
        <v>0</v>
      </c>
      <c r="F9" s="30">
        <f>6500000-4000000</f>
        <v/>
      </c>
      <c r="G9" s="31" t="inlineStr"/>
    </row>
    <row r="10">
      <c r="B10" s="25" t="inlineStr">
        <is>
          <t>AJP-003</t>
        </is>
      </c>
      <c r="C10" s="25" t="inlineStr">
        <is>
          <t>5-105</t>
        </is>
      </c>
      <c r="D10" s="14" t="inlineStr">
        <is>
          <t>Beban Depresiasi Peralatan</t>
        </is>
      </c>
      <c r="E10" s="26">
        <f>SLN(12000000, 0, 60)</f>
        <v/>
      </c>
      <c r="F10" s="26" t="n">
        <v>0</v>
      </c>
      <c r="G10" s="31" t="inlineStr">
        <is>
          <t>Depresiasi SLN (12jt / 5 th / 12 bln)</t>
        </is>
      </c>
    </row>
    <row r="11">
      <c r="B11" s="25" t="inlineStr">
        <is>
          <t>AJP-003</t>
        </is>
      </c>
      <c r="C11" s="25" t="inlineStr">
        <is>
          <t>1-103.1</t>
        </is>
      </c>
      <c r="D11" s="14" t="inlineStr">
        <is>
          <t>Akum. Depresiasi Peralatan</t>
        </is>
      </c>
      <c r="E11" s="26" t="n">
        <v>0</v>
      </c>
      <c r="F11" s="26">
        <f>SLN(12000000, 0, 60)</f>
        <v/>
      </c>
      <c r="G11" s="31" t="inlineStr"/>
    </row>
    <row r="12">
      <c r="B12" s="28" t="inlineStr">
        <is>
          <t>AJP-004</t>
        </is>
      </c>
      <c r="C12" s="28" t="inlineStr">
        <is>
          <t>5-106</t>
        </is>
      </c>
      <c r="D12" s="29" t="inlineStr">
        <is>
          <t>Beban Bunga Bank</t>
        </is>
      </c>
      <c r="E12" s="30">
        <f>50000000*1%</f>
        <v/>
      </c>
      <c r="F12" s="30" t="n">
        <v>0</v>
      </c>
      <c r="G12" s="31" t="inlineStr">
        <is>
          <t>Bunga pinjaman bank (1% x 50jt)</t>
        </is>
      </c>
    </row>
    <row r="13">
      <c r="B13" s="28" t="inlineStr">
        <is>
          <t>AJP-004</t>
        </is>
      </c>
      <c r="C13" s="28" t="inlineStr">
        <is>
          <t>2-103</t>
        </is>
      </c>
      <c r="D13" s="29" t="inlineStr">
        <is>
          <t>Utang Bunga</t>
        </is>
      </c>
      <c r="E13" s="30" t="n">
        <v>0</v>
      </c>
      <c r="F13" s="30">
        <f>50000000*1%</f>
        <v/>
      </c>
      <c r="G13" s="31" t="inlineStr"/>
    </row>
    <row r="14">
      <c r="B14" s="25" t="inlineStr">
        <is>
          <t>AJP-005</t>
        </is>
      </c>
      <c r="C14" s="25" t="inlineStr">
        <is>
          <t>1-101</t>
        </is>
      </c>
      <c r="D14" s="14" t="inlineStr">
        <is>
          <t>Kas di Bank</t>
        </is>
      </c>
      <c r="E14" s="26" t="n">
        <v>320000</v>
      </c>
      <c r="F14" s="26" t="n">
        <v>0</v>
      </c>
      <c r="G14" s="31" t="inlineStr">
        <is>
          <t>Jasa giro bank rekening koran</t>
        </is>
      </c>
    </row>
    <row r="15">
      <c r="B15" s="25" t="inlineStr">
        <is>
          <t>AJP-005</t>
        </is>
      </c>
      <c r="C15" s="25" t="inlineStr">
        <is>
          <t>4-102</t>
        </is>
      </c>
      <c r="D15" s="14" t="inlineStr">
        <is>
          <t>Pendapatan Jasa Giro Bank</t>
        </is>
      </c>
      <c r="E15" s="26" t="n">
        <v>0</v>
      </c>
      <c r="F15" s="26" t="n">
        <v>320000</v>
      </c>
      <c r="G15" s="31" t="inlineStr"/>
    </row>
    <row r="16">
      <c r="B16" s="28" t="inlineStr">
        <is>
          <t>AJP-006</t>
        </is>
      </c>
      <c r="C16" s="28" t="inlineStr">
        <is>
          <t>5-107</t>
        </is>
      </c>
      <c r="D16" s="29" t="inlineStr">
        <is>
          <t>Beban Administrasi Bank</t>
        </is>
      </c>
      <c r="E16" s="30" t="n">
        <v>25000</v>
      </c>
      <c r="F16" s="30" t="n">
        <v>0</v>
      </c>
      <c r="G16" s="31" t="inlineStr">
        <is>
          <t>Biaya admin bank per rekening koran</t>
        </is>
      </c>
    </row>
    <row r="17">
      <c r="B17" s="28" t="inlineStr">
        <is>
          <t>AJP-006</t>
        </is>
      </c>
      <c r="C17" s="28" t="inlineStr">
        <is>
          <t>1-101</t>
        </is>
      </c>
      <c r="D17" s="29" t="inlineStr">
        <is>
          <t>Kas di Bank</t>
        </is>
      </c>
      <c r="E17" s="30" t="n">
        <v>0</v>
      </c>
      <c r="F17" s="30" t="n">
        <v>25000</v>
      </c>
      <c r="G17" s="31" t="inlineStr"/>
    </row>
    <row r="18">
      <c r="B18" s="25" t="inlineStr">
        <is>
          <t>AJP-007</t>
        </is>
      </c>
      <c r="C18" s="25" t="inlineStr">
        <is>
          <t>5-108</t>
        </is>
      </c>
      <c r="D18" s="14" t="inlineStr">
        <is>
          <t>Beban Kerugian Piutang</t>
        </is>
      </c>
      <c r="E18" s="26">
        <f>32730000*1%</f>
        <v/>
      </c>
      <c r="F18" s="26" t="n">
        <v>0</v>
      </c>
      <c r="G18" s="31" t="inlineStr">
        <is>
          <t>Taksiran cadangan kerugian (1% piutang)</t>
        </is>
      </c>
    </row>
    <row r="19">
      <c r="B19" s="25" t="inlineStr">
        <is>
          <t>AJP-007</t>
        </is>
      </c>
      <c r="C19" s="25" t="inlineStr">
        <is>
          <t>1-102.1</t>
        </is>
      </c>
      <c r="D19" s="14" t="inlineStr">
        <is>
          <t>Cadangan Kerugian Piutang</t>
        </is>
      </c>
      <c r="E19" s="26" t="n">
        <v>0</v>
      </c>
      <c r="F19" s="26">
        <f>32730000*1%</f>
        <v/>
      </c>
      <c r="G19" s="31" t="inlineStr"/>
    </row>
    <row r="20">
      <c r="B20" s="17" t="inlineStr">
        <is>
          <t>TOTAL AJP</t>
        </is>
      </c>
      <c r="E20" s="18">
        <f>SUM(E6:E19)</f>
        <v/>
      </c>
      <c r="F20" s="18">
        <f>SUM(F6:F19)</f>
        <v/>
      </c>
    </row>
    <row r="21">
      <c r="B21" s="3" t="inlineStr">
        <is>
          <t>CEK (Debet - Kredit)</t>
        </is>
      </c>
      <c r="E21" s="24">
        <f>IF(ROUND(E20,0)=ROUND(F20,0), "✓ BALANCE", "⚠️ TIDAK BALANCE")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69" customWidth="1" min="2" max="2"/>
    <col width="29" customWidth="1" min="3" max="3"/>
    <col width="15" customWidth="1" min="4" max="4"/>
    <col width="15" customWidth="1" min="5" max="5"/>
    <col width="15" customWidth="1" min="6" max="6"/>
    <col width="15" customWidth="1" min="7" max="7"/>
    <col width="27" customWidth="1" min="8" max="8"/>
    <col width="27" customWidth="1" min="9" max="9"/>
    <col width="31" customWidth="1" min="10" max="10"/>
    <col width="31" customWidth="1" min="11" max="11"/>
    <col width="31" customWidth="1" min="12" max="12"/>
    <col width="79" customWidth="1" min="13" max="13"/>
  </cols>
  <sheetData>
    <row r="1"/>
    <row r="2">
      <c r="B2" s="11" t="inlineStr">
        <is>
          <t>PT MAJU BERSAMA - KERTAS KERJA / NERACA LAJUR (WORKSHEET 10 KOLOM)</t>
        </is>
      </c>
    </row>
    <row r="3">
      <c r="B3" s="2" t="inlineStr">
        <is>
          <t>Per 31 Januari 2025</t>
        </is>
      </c>
    </row>
    <row r="4"/>
    <row r="5">
      <c r="B5" s="13" t="inlineStr">
        <is>
          <t>Kode</t>
        </is>
      </c>
      <c r="C5" s="13" t="inlineStr">
        <is>
          <t>Nama Akun</t>
        </is>
      </c>
      <c r="D5" s="32" t="inlineStr">
        <is>
          <t>Neraca Saldo</t>
        </is>
      </c>
      <c r="F5" s="32" t="inlineStr">
        <is>
          <t>Penyesuaian (AJP)</t>
        </is>
      </c>
      <c r="H5" s="32" t="inlineStr">
        <is>
          <t>NS Disesuaikan (NSD)</t>
        </is>
      </c>
      <c r="J5" s="32" t="inlineStr">
        <is>
          <t>Laba / Rugi</t>
        </is>
      </c>
      <c r="L5" s="32" t="inlineStr">
        <is>
          <t>Neraca Akhir</t>
        </is>
      </c>
    </row>
    <row r="6">
      <c r="D6" s="33" t="inlineStr">
        <is>
          <t>Debet</t>
        </is>
      </c>
      <c r="E6" s="33" t="inlineStr">
        <is>
          <t>Kredit</t>
        </is>
      </c>
      <c r="F6" s="33" t="inlineStr">
        <is>
          <t>Debet</t>
        </is>
      </c>
      <c r="G6" s="33" t="inlineStr">
        <is>
          <t>Kredit</t>
        </is>
      </c>
      <c r="H6" s="33" t="inlineStr">
        <is>
          <t>Debet</t>
        </is>
      </c>
      <c r="I6" s="33" t="inlineStr">
        <is>
          <t>Kredit</t>
        </is>
      </c>
      <c r="J6" s="33" t="inlineStr">
        <is>
          <t>Debet</t>
        </is>
      </c>
      <c r="K6" s="33" t="inlineStr">
        <is>
          <t>Kredit</t>
        </is>
      </c>
      <c r="L6" s="33" t="inlineStr">
        <is>
          <t>Debet</t>
        </is>
      </c>
      <c r="M6" s="33" t="inlineStr">
        <is>
          <t>Kredit</t>
        </is>
      </c>
    </row>
    <row r="7">
      <c r="B7" s="25" t="inlineStr">
        <is>
          <t>1-101</t>
        </is>
      </c>
      <c r="C7" s="14" t="inlineStr">
        <is>
          <t>Kas</t>
        </is>
      </c>
      <c r="D7" s="26" t="n">
        <v>101800000</v>
      </c>
      <c r="E7" s="26" t="n">
        <v>0</v>
      </c>
      <c r="F7" s="26" t="n">
        <v>320000</v>
      </c>
      <c r="G7" s="26" t="n">
        <v>25000</v>
      </c>
      <c r="H7" s="26">
        <f>MAX(0, D7-E7+F7-G7)</f>
        <v/>
      </c>
      <c r="I7" s="26">
        <f>MAX(0, E7-D7+G7-F7)</f>
        <v/>
      </c>
      <c r="J7" s="26">
        <f>IF(LEFT(B7,1)="5", H7, 0)</f>
        <v/>
      </c>
      <c r="K7" s="26">
        <f>IF(LEFT(B7,1)="4", I7, 0)</f>
        <v/>
      </c>
      <c r="L7" s="26">
        <f>IF(LEFT(B7,1)="1", H7, 0)</f>
        <v/>
      </c>
      <c r="M7" s="26">
        <f>IF(OR(LEFT(B7,1)="2",LEFT(B7,1)="3",B7="1-102.1",B7="1-103.1"), I7, 0)</f>
        <v/>
      </c>
    </row>
    <row r="8">
      <c r="B8" s="25" t="inlineStr">
        <is>
          <t>1-102</t>
        </is>
      </c>
      <c r="C8" s="14" t="inlineStr">
        <is>
          <t>Piutang Usaha</t>
        </is>
      </c>
      <c r="D8" s="30" t="n">
        <v>32730000</v>
      </c>
      <c r="E8" s="30" t="n">
        <v>0</v>
      </c>
      <c r="F8" s="30" t="n">
        <v>0</v>
      </c>
      <c r="G8" s="30" t="n">
        <v>0</v>
      </c>
      <c r="H8" s="30">
        <f>MAX(0, D8-E8+F8-G8)</f>
        <v/>
      </c>
      <c r="I8" s="30">
        <f>MAX(0, E8-D8+G8-F8)</f>
        <v/>
      </c>
      <c r="J8" s="30">
        <f>IF(LEFT(B8,1)="5", H8, 0)</f>
        <v/>
      </c>
      <c r="K8" s="30">
        <f>IF(LEFT(B8,1)="4", I8, 0)</f>
        <v/>
      </c>
      <c r="L8" s="30">
        <f>IF(LEFT(B8,1)="1", H8, 0)</f>
        <v/>
      </c>
      <c r="M8" s="30">
        <f>IF(OR(LEFT(B8,1)="2",LEFT(B8,1)="3",B8="1-102.1",B8="1-103.1"), I8, 0)</f>
        <v/>
      </c>
    </row>
    <row r="9">
      <c r="B9" s="25" t="inlineStr">
        <is>
          <t>1-102.1</t>
        </is>
      </c>
      <c r="C9" s="14" t="inlineStr">
        <is>
          <t>Cadangan Kerugian Piutang</t>
        </is>
      </c>
      <c r="D9" s="26" t="n">
        <v>0</v>
      </c>
      <c r="E9" s="26" t="n">
        <v>0</v>
      </c>
      <c r="F9" s="26" t="n">
        <v>0</v>
      </c>
      <c r="G9" s="26" t="n">
        <v>327300</v>
      </c>
      <c r="H9" s="26">
        <f>MAX(0, D9-E9+F9-G9)</f>
        <v/>
      </c>
      <c r="I9" s="26">
        <f>MAX(0, E9-D9+G9-F9)</f>
        <v/>
      </c>
      <c r="J9" s="26">
        <f>IF(LEFT(B9,1)="5", H9, 0)</f>
        <v/>
      </c>
      <c r="K9" s="26">
        <f>IF(LEFT(B9,1)="4", I9, 0)</f>
        <v/>
      </c>
      <c r="L9" s="26">
        <f>IF(LEFT(B9,1)="1", H9, 0)</f>
        <v/>
      </c>
      <c r="M9" s="26">
        <f>IF(OR(LEFT(B9,1)="2",LEFT(B9,1)="3",B9="1-102.1",B9="1-103.1"), I9, 0)</f>
        <v/>
      </c>
    </row>
    <row r="10">
      <c r="B10" s="25" t="inlineStr">
        <is>
          <t>1-103</t>
        </is>
      </c>
      <c r="C10" s="14" t="inlineStr">
        <is>
          <t>Peralatan Kantor</t>
        </is>
      </c>
      <c r="D10" s="30" t="n">
        <v>12000000</v>
      </c>
      <c r="E10" s="30" t="n">
        <v>0</v>
      </c>
      <c r="F10" s="30" t="n">
        <v>0</v>
      </c>
      <c r="G10" s="30" t="n">
        <v>0</v>
      </c>
      <c r="H10" s="30">
        <f>MAX(0, D10-E10+F10-G10)</f>
        <v/>
      </c>
      <c r="I10" s="30">
        <f>MAX(0, E10-D10+G10-F10)</f>
        <v/>
      </c>
      <c r="J10" s="30">
        <f>IF(LEFT(B10,1)="5", H10, 0)</f>
        <v/>
      </c>
      <c r="K10" s="30">
        <f>IF(LEFT(B10,1)="4", I10, 0)</f>
        <v/>
      </c>
      <c r="L10" s="30">
        <f>IF(LEFT(B10,1)="1", H10, 0)</f>
        <v/>
      </c>
      <c r="M10" s="30">
        <f>IF(OR(LEFT(B10,1)="2",LEFT(B10,1)="3",B10="1-102.1",B10="1-103.1"), I10, 0)</f>
        <v/>
      </c>
    </row>
    <row r="11">
      <c r="B11" s="25" t="inlineStr">
        <is>
          <t>1-103.1</t>
        </is>
      </c>
      <c r="C11" s="14" t="inlineStr">
        <is>
          <t>Akum. Depresiasi Peralatan</t>
        </is>
      </c>
      <c r="D11" s="26" t="n">
        <v>0</v>
      </c>
      <c r="E11" s="26" t="n">
        <v>0</v>
      </c>
      <c r="F11" s="26" t="n">
        <v>0</v>
      </c>
      <c r="G11" s="26" t="n">
        <v>200000</v>
      </c>
      <c r="H11" s="26">
        <f>MAX(0, D11-E11+F11-G11)</f>
        <v/>
      </c>
      <c r="I11" s="26">
        <f>MAX(0, E11-D11+G11-F11)</f>
        <v/>
      </c>
      <c r="J11" s="26">
        <f>IF(LEFT(B11,1)="5", H11, 0)</f>
        <v/>
      </c>
      <c r="K11" s="26">
        <f>IF(LEFT(B11,1)="4", I11, 0)</f>
        <v/>
      </c>
      <c r="L11" s="26">
        <f>IF(LEFT(B11,1)="1", H11, 0)</f>
        <v/>
      </c>
      <c r="M11" s="26">
        <f>IF(OR(LEFT(B11,1)="2",LEFT(B11,1)="3",B11="1-102.1",B11="1-103.1"), I11, 0)</f>
        <v/>
      </c>
    </row>
    <row r="12">
      <c r="B12" s="25" t="inlineStr">
        <is>
          <t>1-104</t>
        </is>
      </c>
      <c r="C12" s="14" t="inlineStr">
        <is>
          <t>Perlengkapan Kantor</t>
        </is>
      </c>
      <c r="D12" s="30" t="n">
        <v>6500000</v>
      </c>
      <c r="E12" s="30" t="n">
        <v>0</v>
      </c>
      <c r="F12" s="30" t="n">
        <v>0</v>
      </c>
      <c r="G12" s="30" t="n">
        <v>2500000</v>
      </c>
      <c r="H12" s="30">
        <f>MAX(0, D12-E12+F12-G12)</f>
        <v/>
      </c>
      <c r="I12" s="30">
        <f>MAX(0, E12-D12+G12-F12)</f>
        <v/>
      </c>
      <c r="J12" s="30">
        <f>IF(LEFT(B12,1)="5", H12, 0)</f>
        <v/>
      </c>
      <c r="K12" s="30">
        <f>IF(LEFT(B12,1)="4", I12, 0)</f>
        <v/>
      </c>
      <c r="L12" s="30">
        <f>IF(LEFT(B12,1)="1", H12, 0)</f>
        <v/>
      </c>
      <c r="M12" s="30">
        <f>IF(OR(LEFT(B12,1)="2",LEFT(B12,1)="3",B12="1-102.1",B12="1-103.1"), I12, 0)</f>
        <v/>
      </c>
    </row>
    <row r="13">
      <c r="B13" s="25" t="inlineStr">
        <is>
          <t>1-105</t>
        </is>
      </c>
      <c r="C13" s="14" t="inlineStr">
        <is>
          <t>Sewa Dibayar Dimuka</t>
        </is>
      </c>
      <c r="D13" s="26" t="n">
        <v>24000000</v>
      </c>
      <c r="E13" s="26" t="n">
        <v>0</v>
      </c>
      <c r="F13" s="26" t="n">
        <v>0</v>
      </c>
      <c r="G13" s="26" t="n">
        <v>666667</v>
      </c>
      <c r="H13" s="26">
        <f>MAX(0, D13-E13+F13-G13)</f>
        <v/>
      </c>
      <c r="I13" s="26">
        <f>MAX(0, E13-D13+G13-F13)</f>
        <v/>
      </c>
      <c r="J13" s="26">
        <f>IF(LEFT(B13,1)="5", H13, 0)</f>
        <v/>
      </c>
      <c r="K13" s="26">
        <f>IF(LEFT(B13,1)="4", I13, 0)</f>
        <v/>
      </c>
      <c r="L13" s="26">
        <f>IF(LEFT(B13,1)="1", H13, 0)</f>
        <v/>
      </c>
      <c r="M13" s="26">
        <f>IF(OR(LEFT(B13,1)="2",LEFT(B13,1)="3",B13="1-102.1",B13="1-103.1"), I13, 0)</f>
        <v/>
      </c>
    </row>
    <row r="14">
      <c r="B14" s="25" t="inlineStr">
        <is>
          <t>1-106</t>
        </is>
      </c>
      <c r="C14" s="14" t="inlineStr">
        <is>
          <t>PPN Masukan (11%)</t>
        </is>
      </c>
      <c r="D14" s="30" t="n">
        <v>1320000</v>
      </c>
      <c r="E14" s="30" t="n">
        <v>0</v>
      </c>
      <c r="F14" s="30" t="n">
        <v>0</v>
      </c>
      <c r="G14" s="30" t="n">
        <v>0</v>
      </c>
      <c r="H14" s="30">
        <f>MAX(0, D14-E14+F14-G14)</f>
        <v/>
      </c>
      <c r="I14" s="30">
        <f>MAX(0, E14-D14+G14-F14)</f>
        <v/>
      </c>
      <c r="J14" s="30">
        <f>IF(LEFT(B14,1)="5", H14, 0)</f>
        <v/>
      </c>
      <c r="K14" s="30">
        <f>IF(LEFT(B14,1)="4", I14, 0)</f>
        <v/>
      </c>
      <c r="L14" s="30">
        <f>IF(LEFT(B14,1)="1", H14, 0)</f>
        <v/>
      </c>
      <c r="M14" s="30">
        <f>IF(OR(LEFT(B14,1)="2",LEFT(B14,1)="3",B14="1-102.1",B14="1-103.1"), I14, 0)</f>
        <v/>
      </c>
    </row>
    <row r="15">
      <c r="B15" s="25" t="inlineStr">
        <is>
          <t>2-101</t>
        </is>
      </c>
      <c r="C15" s="14" t="inlineStr">
        <is>
          <t>Utang Bank (KMK)</t>
        </is>
      </c>
      <c r="D15" s="26" t="n">
        <v>0</v>
      </c>
      <c r="E15" s="26" t="n">
        <v>50000000</v>
      </c>
      <c r="F15" s="26" t="n">
        <v>0</v>
      </c>
      <c r="G15" s="26" t="n">
        <v>0</v>
      </c>
      <c r="H15" s="26">
        <f>MAX(0, D15-E15+F15-G15)</f>
        <v/>
      </c>
      <c r="I15" s="26">
        <f>MAX(0, E15-D15+G15-F15)</f>
        <v/>
      </c>
      <c r="J15" s="26">
        <f>IF(LEFT(B15,1)="5", H15, 0)</f>
        <v/>
      </c>
      <c r="K15" s="26">
        <f>IF(LEFT(B15,1)="4", I15, 0)</f>
        <v/>
      </c>
      <c r="L15" s="26">
        <f>IF(LEFT(B15,1)="1", H15, 0)</f>
        <v/>
      </c>
      <c r="M15" s="26">
        <f>IF(OR(LEFT(B15,1)="2",LEFT(B15,1)="3",B15="1-102.1",B15="1-103.1"), I15, 0)</f>
        <v/>
      </c>
    </row>
    <row r="16">
      <c r="B16" s="25" t="inlineStr">
        <is>
          <t>2-102</t>
        </is>
      </c>
      <c r="C16" s="14" t="inlineStr">
        <is>
          <t>Utang Usaha (CV XYZ)</t>
        </is>
      </c>
      <c r="D16" s="30" t="n">
        <v>0</v>
      </c>
      <c r="E16" s="30" t="n">
        <v>13320000</v>
      </c>
      <c r="F16" s="30" t="n">
        <v>0</v>
      </c>
      <c r="G16" s="30" t="n">
        <v>0</v>
      </c>
      <c r="H16" s="30">
        <f>MAX(0, D16-E16+F16-G16)</f>
        <v/>
      </c>
      <c r="I16" s="30">
        <f>MAX(0, E16-D16+G16-F16)</f>
        <v/>
      </c>
      <c r="J16" s="30">
        <f>IF(LEFT(B16,1)="5", H16, 0)</f>
        <v/>
      </c>
      <c r="K16" s="30">
        <f>IF(LEFT(B16,1)="4", I16, 0)</f>
        <v/>
      </c>
      <c r="L16" s="30">
        <f>IF(LEFT(B16,1)="1", H16, 0)</f>
        <v/>
      </c>
      <c r="M16" s="30">
        <f>IF(OR(LEFT(B16,1)="2",LEFT(B16,1)="3",B16="1-102.1",B16="1-103.1"), I16, 0)</f>
        <v/>
      </c>
    </row>
    <row r="17">
      <c r="B17" s="25" t="inlineStr">
        <is>
          <t>2-103</t>
        </is>
      </c>
      <c r="C17" s="14" t="inlineStr">
        <is>
          <t>Utang Bunga</t>
        </is>
      </c>
      <c r="D17" s="26" t="n">
        <v>0</v>
      </c>
      <c r="E17" s="26" t="n">
        <v>0</v>
      </c>
      <c r="F17" s="26" t="n">
        <v>0</v>
      </c>
      <c r="G17" s="26" t="n">
        <v>500000</v>
      </c>
      <c r="H17" s="26">
        <f>MAX(0, D17-E17+F17-G17)</f>
        <v/>
      </c>
      <c r="I17" s="26">
        <f>MAX(0, E17-D17+G17-F17)</f>
        <v/>
      </c>
      <c r="J17" s="26">
        <f>IF(LEFT(B17,1)="5", H17, 0)</f>
        <v/>
      </c>
      <c r="K17" s="26">
        <f>IF(LEFT(B17,1)="4", I17, 0)</f>
        <v/>
      </c>
      <c r="L17" s="26">
        <f>IF(LEFT(B17,1)="1", H17, 0)</f>
        <v/>
      </c>
      <c r="M17" s="26">
        <f>IF(OR(LEFT(B17,1)="2",LEFT(B17,1)="3",B17="1-102.1",B17="1-103.1"), I17, 0)</f>
        <v/>
      </c>
    </row>
    <row r="18">
      <c r="B18" s="25" t="inlineStr">
        <is>
          <t>2-104</t>
        </is>
      </c>
      <c r="C18" s="14" t="inlineStr">
        <is>
          <t>PPN Keluaran (11%)</t>
        </is>
      </c>
      <c r="D18" s="30" t="n">
        <v>0</v>
      </c>
      <c r="E18" s="30" t="n">
        <v>4730000</v>
      </c>
      <c r="F18" s="30" t="n">
        <v>0</v>
      </c>
      <c r="G18" s="30" t="n">
        <v>0</v>
      </c>
      <c r="H18" s="30">
        <f>MAX(0, D18-E18+F18-G18)</f>
        <v/>
      </c>
      <c r="I18" s="30">
        <f>MAX(0, E18-D18+G18-F18)</f>
        <v/>
      </c>
      <c r="J18" s="30">
        <f>IF(LEFT(B18,1)="5", H18, 0)</f>
        <v/>
      </c>
      <c r="K18" s="30">
        <f>IF(LEFT(B18,1)="4", I18, 0)</f>
        <v/>
      </c>
      <c r="L18" s="30">
        <f>IF(LEFT(B18,1)="1", H18, 0)</f>
        <v/>
      </c>
      <c r="M18" s="30">
        <f>IF(OR(LEFT(B18,1)="2",LEFT(B18,1)="3",B18="1-102.1",B18="1-103.1"), I18, 0)</f>
        <v/>
      </c>
    </row>
    <row r="19">
      <c r="B19" s="25" t="inlineStr">
        <is>
          <t>3-101</t>
        </is>
      </c>
      <c r="C19" s="14" t="inlineStr">
        <is>
          <t>Modal Pemilik</t>
        </is>
      </c>
      <c r="D19" s="26" t="n">
        <v>0</v>
      </c>
      <c r="E19" s="26" t="n">
        <v>100000000</v>
      </c>
      <c r="F19" s="26" t="n">
        <v>0</v>
      </c>
      <c r="G19" s="26" t="n">
        <v>0</v>
      </c>
      <c r="H19" s="26">
        <f>MAX(0, D19-E19+F19-G19)</f>
        <v/>
      </c>
      <c r="I19" s="26">
        <f>MAX(0, E19-D19+G19-F19)</f>
        <v/>
      </c>
      <c r="J19" s="26">
        <f>IF(LEFT(B19,1)="5", H19, 0)</f>
        <v/>
      </c>
      <c r="K19" s="26">
        <f>IF(LEFT(B19,1)="4", I19, 0)</f>
        <v/>
      </c>
      <c r="L19" s="26">
        <f>IF(LEFT(B19,1)="1", H19, 0)</f>
        <v/>
      </c>
      <c r="M19" s="26">
        <f>IF(OR(LEFT(B19,1)="2",LEFT(B19,1)="3",B19="1-102.1",B19="1-103.1"), I19, 0)</f>
        <v/>
      </c>
    </row>
    <row r="20">
      <c r="B20" s="25" t="inlineStr">
        <is>
          <t>4-101</t>
        </is>
      </c>
      <c r="C20" s="14" t="inlineStr">
        <is>
          <t>Pendapatan Jasa</t>
        </is>
      </c>
      <c r="D20" s="30" t="n">
        <v>0</v>
      </c>
      <c r="E20" s="30" t="n">
        <v>43000000</v>
      </c>
      <c r="F20" s="30" t="n">
        <v>0</v>
      </c>
      <c r="G20" s="30" t="n">
        <v>0</v>
      </c>
      <c r="H20" s="30">
        <f>MAX(0, D20-E20+F20-G20)</f>
        <v/>
      </c>
      <c r="I20" s="30">
        <f>MAX(0, E20-D20+G20-F20)</f>
        <v/>
      </c>
      <c r="J20" s="30">
        <f>IF(LEFT(B20,1)="5", H20, 0)</f>
        <v/>
      </c>
      <c r="K20" s="30">
        <f>IF(LEFT(B20,1)="4", I20, 0)</f>
        <v/>
      </c>
      <c r="L20" s="30">
        <f>IF(LEFT(B20,1)="1", H20, 0)</f>
        <v/>
      </c>
      <c r="M20" s="30">
        <f>IF(OR(LEFT(B20,1)="2",LEFT(B20,1)="3",B20="1-102.1",B20="1-103.1"), I20, 0)</f>
        <v/>
      </c>
    </row>
    <row r="21">
      <c r="B21" s="25" t="inlineStr">
        <is>
          <t>4-102</t>
        </is>
      </c>
      <c r="C21" s="14" t="inlineStr">
        <is>
          <t>Pendapatan Jasa Giro</t>
        </is>
      </c>
      <c r="D21" s="26" t="n">
        <v>0</v>
      </c>
      <c r="E21" s="26" t="n">
        <v>0</v>
      </c>
      <c r="F21" s="26" t="n">
        <v>0</v>
      </c>
      <c r="G21" s="26" t="n">
        <v>320000</v>
      </c>
      <c r="H21" s="26">
        <f>MAX(0, D21-E21+F21-G21)</f>
        <v/>
      </c>
      <c r="I21" s="26">
        <f>MAX(0, E21-D21+G21-F21)</f>
        <v/>
      </c>
      <c r="J21" s="26">
        <f>IF(LEFT(B21,1)="5", H21, 0)</f>
        <v/>
      </c>
      <c r="K21" s="26">
        <f>IF(LEFT(B21,1)="4", I21, 0)</f>
        <v/>
      </c>
      <c r="L21" s="26">
        <f>IF(LEFT(B21,1)="1", H21, 0)</f>
        <v/>
      </c>
      <c r="M21" s="26">
        <f>IF(OR(LEFT(B21,1)="2",LEFT(B21,1)="3",B21="1-102.1",B21="1-103.1"), I21, 0)</f>
        <v/>
      </c>
    </row>
    <row r="22">
      <c r="B22" s="25" t="inlineStr">
        <is>
          <t>5-101</t>
        </is>
      </c>
      <c r="C22" s="14" t="inlineStr">
        <is>
          <t>Beban Gaji Karyawan</t>
        </is>
      </c>
      <c r="D22" s="30" t="n">
        <v>6500000</v>
      </c>
      <c r="E22" s="30" t="n">
        <v>0</v>
      </c>
      <c r="F22" s="30" t="n">
        <v>0</v>
      </c>
      <c r="G22" s="30" t="n">
        <v>0</v>
      </c>
      <c r="H22" s="30">
        <f>MAX(0, D22-E22+F22-G22)</f>
        <v/>
      </c>
      <c r="I22" s="30">
        <f>MAX(0, E22-D22+G22-F22)</f>
        <v/>
      </c>
      <c r="J22" s="30">
        <f>IF(LEFT(B22,1)="5", H22, 0)</f>
        <v/>
      </c>
      <c r="K22" s="30">
        <f>IF(LEFT(B22,1)="4", I22, 0)</f>
        <v/>
      </c>
      <c r="L22" s="30">
        <f>IF(LEFT(B22,1)="1", H22, 0)</f>
        <v/>
      </c>
      <c r="M22" s="30">
        <f>IF(OR(LEFT(B22,1)="2",LEFT(B22,1)="3",B22="1-102.1",B22="1-103.1"), I22, 0)</f>
        <v/>
      </c>
    </row>
    <row r="23">
      <c r="B23" s="25" t="inlineStr">
        <is>
          <t>5-102</t>
        </is>
      </c>
      <c r="C23" s="14" t="inlineStr">
        <is>
          <t>Beban Listrik &amp; Telepon</t>
        </is>
      </c>
      <c r="D23" s="26" t="n">
        <v>1200000</v>
      </c>
      <c r="E23" s="26" t="n">
        <v>0</v>
      </c>
      <c r="F23" s="26" t="n">
        <v>0</v>
      </c>
      <c r="G23" s="26" t="n">
        <v>0</v>
      </c>
      <c r="H23" s="26">
        <f>MAX(0, D23-E23+F23-G23)</f>
        <v/>
      </c>
      <c r="I23" s="26">
        <f>MAX(0, E23-D23+G23-F23)</f>
        <v/>
      </c>
      <c r="J23" s="26">
        <f>IF(LEFT(B23,1)="5", H23, 0)</f>
        <v/>
      </c>
      <c r="K23" s="26">
        <f>IF(LEFT(B23,1)="4", I23, 0)</f>
        <v/>
      </c>
      <c r="L23" s="26">
        <f>IF(LEFT(B23,1)="1", H23, 0)</f>
        <v/>
      </c>
      <c r="M23" s="26">
        <f>IF(OR(LEFT(B23,1)="2",LEFT(B23,1)="3",B23="1-102.1",B23="1-103.1"), I23, 0)</f>
        <v/>
      </c>
    </row>
    <row r="24">
      <c r="B24" s="25" t="inlineStr">
        <is>
          <t>5-103</t>
        </is>
      </c>
      <c r="C24" s="14" t="inlineStr">
        <is>
          <t>Beban Sewa Gedung</t>
        </is>
      </c>
      <c r="D24" s="30" t="n">
        <v>0</v>
      </c>
      <c r="E24" s="30" t="n">
        <v>0</v>
      </c>
      <c r="F24" s="30" t="n">
        <v>666667</v>
      </c>
      <c r="G24" s="30" t="n">
        <v>0</v>
      </c>
      <c r="H24" s="30">
        <f>MAX(0, D24-E24+F24-G24)</f>
        <v/>
      </c>
      <c r="I24" s="30">
        <f>MAX(0, E24-D24+G24-F24)</f>
        <v/>
      </c>
      <c r="J24" s="30">
        <f>IF(LEFT(B24,1)="5", H24, 0)</f>
        <v/>
      </c>
      <c r="K24" s="30">
        <f>IF(LEFT(B24,1)="4", I24, 0)</f>
        <v/>
      </c>
      <c r="L24" s="30">
        <f>IF(LEFT(B24,1)="1", H24, 0)</f>
        <v/>
      </c>
      <c r="M24" s="30">
        <f>IF(OR(LEFT(B24,1)="2",LEFT(B24,1)="3",B24="1-102.1",B24="1-103.1"), I24, 0)</f>
        <v/>
      </c>
    </row>
    <row r="25">
      <c r="B25" s="25" t="inlineStr">
        <is>
          <t>5-104</t>
        </is>
      </c>
      <c r="C25" s="14" t="inlineStr">
        <is>
          <t>Beban Perlengkapan</t>
        </is>
      </c>
      <c r="D25" s="26" t="n">
        <v>0</v>
      </c>
      <c r="E25" s="26" t="n">
        <v>0</v>
      </c>
      <c r="F25" s="26" t="n">
        <v>2500000</v>
      </c>
      <c r="G25" s="26" t="n">
        <v>0</v>
      </c>
      <c r="H25" s="26">
        <f>MAX(0, D25-E25+F25-G25)</f>
        <v/>
      </c>
      <c r="I25" s="26">
        <f>MAX(0, E25-D25+G25-F25)</f>
        <v/>
      </c>
      <c r="J25" s="26">
        <f>IF(LEFT(B25,1)="5", H25, 0)</f>
        <v/>
      </c>
      <c r="K25" s="26">
        <f>IF(LEFT(B25,1)="4", I25, 0)</f>
        <v/>
      </c>
      <c r="L25" s="26">
        <f>IF(LEFT(B25,1)="1", H25, 0)</f>
        <v/>
      </c>
      <c r="M25" s="26">
        <f>IF(OR(LEFT(B25,1)="2",LEFT(B25,1)="3",B25="1-102.1",B25="1-103.1"), I25, 0)</f>
        <v/>
      </c>
    </row>
    <row r="26">
      <c r="B26" s="25" t="inlineStr">
        <is>
          <t>5-105</t>
        </is>
      </c>
      <c r="C26" s="14" t="inlineStr">
        <is>
          <t>Beban Depresiasi Peralatan</t>
        </is>
      </c>
      <c r="D26" s="30" t="n">
        <v>0</v>
      </c>
      <c r="E26" s="30" t="n">
        <v>0</v>
      </c>
      <c r="F26" s="30" t="n">
        <v>200000</v>
      </c>
      <c r="G26" s="30" t="n">
        <v>0</v>
      </c>
      <c r="H26" s="30">
        <f>MAX(0, D26-E26+F26-G26)</f>
        <v/>
      </c>
      <c r="I26" s="30">
        <f>MAX(0, E26-D26+G26-F26)</f>
        <v/>
      </c>
      <c r="J26" s="30">
        <f>IF(LEFT(B26,1)="5", H26, 0)</f>
        <v/>
      </c>
      <c r="K26" s="30">
        <f>IF(LEFT(B26,1)="4", I26, 0)</f>
        <v/>
      </c>
      <c r="L26" s="30">
        <f>IF(LEFT(B26,1)="1", H26, 0)</f>
        <v/>
      </c>
      <c r="M26" s="30">
        <f>IF(OR(LEFT(B26,1)="2",LEFT(B26,1)="3",B26="1-102.1",B26="1-103.1"), I26, 0)</f>
        <v/>
      </c>
    </row>
    <row r="27">
      <c r="B27" s="25" t="inlineStr">
        <is>
          <t>5-106</t>
        </is>
      </c>
      <c r="C27" s="14" t="inlineStr">
        <is>
          <t>Beban Bunga Bank</t>
        </is>
      </c>
      <c r="D27" s="26" t="n">
        <v>0</v>
      </c>
      <c r="E27" s="26" t="n">
        <v>0</v>
      </c>
      <c r="F27" s="26" t="n">
        <v>500000</v>
      </c>
      <c r="G27" s="26" t="n">
        <v>0</v>
      </c>
      <c r="H27" s="26">
        <f>MAX(0, D27-E27+F27-G27)</f>
        <v/>
      </c>
      <c r="I27" s="26">
        <f>MAX(0, E27-D27+G27-F27)</f>
        <v/>
      </c>
      <c r="J27" s="26">
        <f>IF(LEFT(B27,1)="5", H27, 0)</f>
        <v/>
      </c>
      <c r="K27" s="26">
        <f>IF(LEFT(B27,1)="4", I27, 0)</f>
        <v/>
      </c>
      <c r="L27" s="26">
        <f>IF(LEFT(B27,1)="1", H27, 0)</f>
        <v/>
      </c>
      <c r="M27" s="26">
        <f>IF(OR(LEFT(B27,1)="2",LEFT(B27,1)="3",B27="1-102.1",B27="1-103.1"), I27, 0)</f>
        <v/>
      </c>
    </row>
    <row r="28">
      <c r="B28" s="25" t="inlineStr">
        <is>
          <t>5-107</t>
        </is>
      </c>
      <c r="C28" s="14" t="inlineStr">
        <is>
          <t>Beban Administrasi Bank</t>
        </is>
      </c>
      <c r="D28" s="30" t="n">
        <v>0</v>
      </c>
      <c r="E28" s="30" t="n">
        <v>0</v>
      </c>
      <c r="F28" s="30" t="n">
        <v>25000</v>
      </c>
      <c r="G28" s="30" t="n">
        <v>0</v>
      </c>
      <c r="H28" s="30">
        <f>MAX(0, D28-E28+F28-G28)</f>
        <v/>
      </c>
      <c r="I28" s="30">
        <f>MAX(0, E28-D28+G28-F28)</f>
        <v/>
      </c>
      <c r="J28" s="30">
        <f>IF(LEFT(B28,1)="5", H28, 0)</f>
        <v/>
      </c>
      <c r="K28" s="30">
        <f>IF(LEFT(B28,1)="4", I28, 0)</f>
        <v/>
      </c>
      <c r="L28" s="30">
        <f>IF(LEFT(B28,1)="1", H28, 0)</f>
        <v/>
      </c>
      <c r="M28" s="30">
        <f>IF(OR(LEFT(B28,1)="2",LEFT(B28,1)="3",B28="1-102.1",B28="1-103.1"), I28, 0)</f>
        <v/>
      </c>
    </row>
    <row r="29">
      <c r="B29" s="25" t="inlineStr">
        <is>
          <t>5-108</t>
        </is>
      </c>
      <c r="C29" s="14" t="inlineStr">
        <is>
          <t>Beban Kerugian Piutang</t>
        </is>
      </c>
      <c r="D29" s="26" t="n">
        <v>0</v>
      </c>
      <c r="E29" s="26" t="n">
        <v>0</v>
      </c>
      <c r="F29" s="26" t="n">
        <v>327300</v>
      </c>
      <c r="G29" s="26" t="n">
        <v>0</v>
      </c>
      <c r="H29" s="26">
        <f>MAX(0, D29-E29+F29-G29)</f>
        <v/>
      </c>
      <c r="I29" s="26">
        <f>MAX(0, E29-D29+G29-F29)</f>
        <v/>
      </c>
      <c r="J29" s="26">
        <f>IF(LEFT(B29,1)="5", H29, 0)</f>
        <v/>
      </c>
      <c r="K29" s="26">
        <f>IF(LEFT(B29,1)="4", I29, 0)</f>
        <v/>
      </c>
      <c r="L29" s="26">
        <f>IF(LEFT(B29,1)="1", H29, 0)</f>
        <v/>
      </c>
      <c r="M29" s="26">
        <f>IF(OR(LEFT(B29,1)="2",LEFT(B29,1)="3",B29="1-102.1",B29="1-103.1"), I29, 0)</f>
        <v/>
      </c>
    </row>
    <row r="30">
      <c r="B30" s="17" t="inlineStr">
        <is>
          <t>TOTAL SIKLUS</t>
        </is>
      </c>
      <c r="D30" s="18">
        <f>SUM(D7:D29)</f>
        <v/>
      </c>
      <c r="E30" s="18">
        <f>SUM(E7:E29)</f>
        <v/>
      </c>
      <c r="F30" s="18">
        <f>SUM(F7:F29)</f>
        <v/>
      </c>
      <c r="G30" s="18">
        <f>SUM(G7:G29)</f>
        <v/>
      </c>
      <c r="H30" s="18">
        <f>SUM(H7:H29)</f>
        <v/>
      </c>
      <c r="I30" s="18">
        <f>SUM(I7:I29)</f>
        <v/>
      </c>
      <c r="J30" s="18">
        <f>SUM(J7:J29)</f>
        <v/>
      </c>
      <c r="K30" s="18">
        <f>SUM(K7:K29)</f>
        <v/>
      </c>
      <c r="L30" s="18">
        <f>SUM(L7:L29)</f>
        <v/>
      </c>
      <c r="M30" s="18">
        <f>SUM(M7:M29)</f>
        <v/>
      </c>
    </row>
    <row r="31">
      <c r="B31" s="34" t="inlineStr">
        <is>
          <t>LABA BERSIH BULAN BERJALAN</t>
        </is>
      </c>
      <c r="J31" s="35">
        <f>K30-J30</f>
        <v/>
      </c>
      <c r="M31" s="35">
        <f>L30-M30</f>
        <v/>
      </c>
    </row>
  </sheetData>
  <mergeCells count="7">
    <mergeCell ref="J5:K5"/>
    <mergeCell ref="F5:G5"/>
    <mergeCell ref="D5:E5"/>
    <mergeCell ref="H5:I5"/>
    <mergeCell ref="L5:M5"/>
    <mergeCell ref="B5:B6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6" customWidth="1" min="2" max="2"/>
    <col width="34" customWidth="1" min="3" max="3"/>
    <col width="16" customWidth="1" min="4" max="4"/>
  </cols>
  <sheetData>
    <row r="1"/>
    <row r="2">
      <c r="B2" s="11" t="inlineStr">
        <is>
          <t>PT MAJU BERSAMA</t>
        </is>
      </c>
    </row>
    <row r="3">
      <c r="B3" s="36" t="inlineStr">
        <is>
          <t>LAPORAN LABA RUGI KOMPREHENSIF</t>
        </is>
      </c>
    </row>
    <row r="4">
      <c r="B4" s="2" t="inlineStr">
        <is>
          <t>Untuk Periode yang Berakhir 31 Januari 2025</t>
        </is>
      </c>
    </row>
    <row r="5"/>
    <row r="6">
      <c r="B6" s="3" t="inlineStr">
        <is>
          <t>I. PENDAPATAN OPERASIONAL</t>
        </is>
      </c>
    </row>
    <row r="7">
      <c r="B7" t="inlineStr">
        <is>
          <t xml:space="preserve">   Pendapatan Jasa Konsultasi</t>
        </is>
      </c>
      <c r="C7" s="37">
        <f>'8. Kertas_Kerja_10_Kolom'!K20</f>
        <v/>
      </c>
    </row>
    <row r="8">
      <c r="B8" t="inlineStr">
        <is>
          <t xml:space="preserve">   Pendapatan Jasa Giro Bank</t>
        </is>
      </c>
      <c r="C8" s="37">
        <f>'8. Kertas_Kerja_10_Kolom'!K21</f>
        <v/>
      </c>
    </row>
    <row r="9">
      <c r="B9" s="3" t="inlineStr">
        <is>
          <t>TOTAL PENDAPATAN</t>
        </is>
      </c>
      <c r="D9" s="18">
        <f>SUM(C7:C8)</f>
        <v/>
      </c>
    </row>
    <row r="10"/>
    <row r="11">
      <c r="B11" s="3" t="inlineStr">
        <is>
          <t>II. BEBAN OPERASIONAL</t>
        </is>
      </c>
    </row>
    <row r="12">
      <c r="B12" t="inlineStr">
        <is>
          <t xml:space="preserve">   Beban Gaji Karyawan</t>
        </is>
      </c>
      <c r="C12" s="37">
        <f>'8. Kertas_Kerja_10_Kolom'!J22</f>
        <v/>
      </c>
    </row>
    <row r="13">
      <c r="B13" t="inlineStr">
        <is>
          <t xml:space="preserve">   Beban Listrik &amp; Telepon</t>
        </is>
      </c>
      <c r="C13" s="37">
        <f>'8. Kertas_Kerja_10_Kolom'!J23</f>
        <v/>
      </c>
    </row>
    <row r="14">
      <c r="B14" t="inlineStr">
        <is>
          <t xml:space="preserve">   Beban Sewa Gedung</t>
        </is>
      </c>
      <c r="C14" s="37">
        <f>'8. Kertas_Kerja_10_Kolom'!J24</f>
        <v/>
      </c>
    </row>
    <row r="15">
      <c r="B15" t="inlineStr">
        <is>
          <t xml:space="preserve">   Beban Perlengkapan Kantor</t>
        </is>
      </c>
      <c r="C15" s="37">
        <f>'8. Kertas_Kerja_10_Kolom'!J25</f>
        <v/>
      </c>
    </row>
    <row r="16">
      <c r="B16" t="inlineStr">
        <is>
          <t xml:space="preserve">   Beban Depresiasi Peralatan</t>
        </is>
      </c>
      <c r="C16" s="37">
        <f>'8. Kertas_Kerja_10_Kolom'!J26</f>
        <v/>
      </c>
    </row>
    <row r="17">
      <c r="B17" t="inlineStr">
        <is>
          <t xml:space="preserve">   Beban Bunga Pinjaman Bank</t>
        </is>
      </c>
      <c r="C17" s="37">
        <f>'8. Kertas_Kerja_10_Kolom'!J27</f>
        <v/>
      </c>
    </row>
    <row r="18">
      <c r="B18" t="inlineStr">
        <is>
          <t xml:space="preserve">   Beban Administrasi Bank</t>
        </is>
      </c>
      <c r="C18" s="37">
        <f>'8. Kertas_Kerja_10_Kolom'!J28</f>
        <v/>
      </c>
    </row>
    <row r="19">
      <c r="B19" t="inlineStr">
        <is>
          <t xml:space="preserve">   Beban Kerugian Piutang</t>
        </is>
      </c>
      <c r="C19" s="37">
        <f>'8. Kertas_Kerja_10_Kolom'!J29</f>
        <v/>
      </c>
    </row>
    <row r="20">
      <c r="B20" s="3" t="inlineStr">
        <is>
          <t>TOTAL BEBAN OPERASIONAL</t>
        </is>
      </c>
      <c r="D20" s="18">
        <f>SUM(C12:C19)</f>
        <v/>
      </c>
    </row>
    <row r="21"/>
    <row r="22">
      <c r="B22" s="38" t="inlineStr">
        <is>
          <t>LABA BERSIH USAHA (NET INCOME)</t>
        </is>
      </c>
      <c r="D22" s="39">
        <f>D9-D20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6" customWidth="1" min="2" max="2"/>
    <col width="12" customWidth="1" min="3" max="3"/>
    <col width="30" customWidth="1" min="4" max="4"/>
  </cols>
  <sheetData>
    <row r="1"/>
    <row r="2">
      <c r="B2" s="11" t="inlineStr">
        <is>
          <t>PT MAJU BERSAMA</t>
        </is>
      </c>
    </row>
    <row r="3">
      <c r="B3" s="36" t="inlineStr">
        <is>
          <t>LAPORAN PERUBAHAN MODAL</t>
        </is>
      </c>
    </row>
    <row r="4">
      <c r="B4" s="2" t="inlineStr">
        <is>
          <t>Untuk Periode yang Berakhir 31 Januari 2025</t>
        </is>
      </c>
    </row>
    <row r="5"/>
    <row r="6">
      <c r="B6" t="inlineStr">
        <is>
          <t>Modal Awal Pemilik (1 Januari 2025)</t>
        </is>
      </c>
      <c r="D6" s="40" t="n">
        <v>100000000</v>
      </c>
    </row>
    <row r="7">
      <c r="B7" t="inlineStr">
        <is>
          <t>Laba Bersih Bulan Januari 2025</t>
        </is>
      </c>
      <c r="D7" s="40">
        <f>'9. Laporan_Laba_Rugi'!D22</f>
        <v/>
      </c>
    </row>
    <row r="8">
      <c r="B8" t="inlineStr">
        <is>
          <t>Penarikan Prive Pemilik</t>
        </is>
      </c>
      <c r="D8" s="40" t="n">
        <v>0</v>
      </c>
    </row>
    <row r="9"/>
    <row r="10">
      <c r="B10" s="38" t="inlineStr">
        <is>
          <t>MODAL AKHIR PEMILIK (31 Januari 2025)</t>
        </is>
      </c>
      <c r="D10" s="39">
        <f>D6+D7-D8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35" customWidth="1" min="3" max="3"/>
    <col width="66" customWidth="1" min="4" max="4"/>
    <col width="12" customWidth="1" min="5" max="5"/>
    <col width="37" customWidth="1" min="6" max="6"/>
    <col width="34" customWidth="1" min="7" max="7"/>
    <col width="37" customWidth="1" min="8" max="8"/>
  </cols>
  <sheetData>
    <row r="1"/>
    <row r="2">
      <c r="B2" s="11" t="inlineStr">
        <is>
          <t>PT MAJU BERSAMA</t>
        </is>
      </c>
    </row>
    <row r="3">
      <c r="B3" s="36" t="inlineStr">
        <is>
          <t>LAPORAN POSISI KEUANGAN (NERACA)</t>
        </is>
      </c>
    </row>
    <row r="4">
      <c r="B4" s="2" t="inlineStr">
        <is>
          <t>Per 31 Januari 2025</t>
        </is>
      </c>
    </row>
    <row r="5"/>
    <row r="6">
      <c r="B6" s="3" t="inlineStr">
        <is>
          <t>ASET LANCAR</t>
        </is>
      </c>
      <c r="F6" s="3" t="inlineStr">
        <is>
          <t>KEWAJIBAN LANCAR</t>
        </is>
      </c>
    </row>
    <row r="7">
      <c r="B7" t="inlineStr">
        <is>
          <t xml:space="preserve">   Kas dan Setara Kas</t>
        </is>
      </c>
      <c r="C7" s="37">
        <f>'8. Kertas_Kerja_10_Kolom'!L7</f>
        <v/>
      </c>
      <c r="F7" t="inlineStr">
        <is>
          <t xml:space="preserve">   Utang Usaha (CV XYZ)</t>
        </is>
      </c>
      <c r="G7" s="37">
        <f>'8. Kertas_Kerja_10_Kolom'!M16</f>
        <v/>
      </c>
    </row>
    <row r="8">
      <c r="B8" t="inlineStr">
        <is>
          <t xml:space="preserve">   Piutang Usaha</t>
        </is>
      </c>
      <c r="C8" s="37">
        <f>'8. Kertas_Kerja_10_Kolom'!L8</f>
        <v/>
      </c>
      <c r="F8" t="inlineStr">
        <is>
          <t xml:space="preserve">   Utang Bunga Akrual</t>
        </is>
      </c>
      <c r="G8" s="37">
        <f>'8. Kertas_Kerja_10_Kolom'!M17</f>
        <v/>
      </c>
    </row>
    <row r="9">
      <c r="B9" t="inlineStr">
        <is>
          <t xml:space="preserve">   Cadangan Kerugian Piutang</t>
        </is>
      </c>
      <c r="C9" s="37">
        <f>-'8. Kertas_Kerja_10_Kolom'!M9</f>
        <v/>
      </c>
      <c r="F9" t="inlineStr">
        <is>
          <t xml:space="preserve">   Utang PPN Keluaran</t>
        </is>
      </c>
      <c r="G9" s="37">
        <f>'8. Kertas_Kerja_10_Kolom'!M18</f>
        <v/>
      </c>
    </row>
    <row r="10">
      <c r="B10" t="inlineStr">
        <is>
          <t xml:space="preserve">   Perlengkapan Kantor</t>
        </is>
      </c>
      <c r="C10" s="37">
        <f>'8. Kertas_Kerja_10_Kolom'!L12</f>
        <v/>
      </c>
      <c r="F10" s="3" t="inlineStr">
        <is>
          <t>TOTAL KEWAJIBAN LANCAR</t>
        </is>
      </c>
      <c r="H10" s="40">
        <f>SUM(G7:G9)</f>
        <v/>
      </c>
    </row>
    <row r="11">
      <c r="B11" t="inlineStr">
        <is>
          <t xml:space="preserve">   Sewa Dibayar Dimuka</t>
        </is>
      </c>
      <c r="C11" s="37">
        <f>'8. Kertas_Kerja_10_Kolom'!L13</f>
        <v/>
      </c>
    </row>
    <row r="12">
      <c r="B12" t="inlineStr">
        <is>
          <t xml:space="preserve">   PPN Masukan</t>
        </is>
      </c>
      <c r="C12" s="37">
        <f>'8. Kertas_Kerja_10_Kolom'!L14</f>
        <v/>
      </c>
      <c r="F12" s="3" t="inlineStr">
        <is>
          <t>KEWAJIBAN JANGKA PANJANG</t>
        </is>
      </c>
    </row>
    <row r="13">
      <c r="B13" s="3" t="inlineStr">
        <is>
          <t>TOTAL ASET LANCAR</t>
        </is>
      </c>
      <c r="D13" s="40">
        <f>SUM(C7:C12)</f>
        <v/>
      </c>
      <c r="F13" t="inlineStr">
        <is>
          <t xml:space="preserve">   Utang Bank (KMK)</t>
        </is>
      </c>
      <c r="H13" s="40">
        <f>'8. Kertas_Kerja_10_Kolom'!M15</f>
        <v/>
      </c>
    </row>
    <row r="14"/>
    <row r="15">
      <c r="B15" s="3" t="inlineStr">
        <is>
          <t>ASET TETAP</t>
        </is>
      </c>
      <c r="F15" s="3" t="inlineStr">
        <is>
          <t>EKUITAS PEMILIK</t>
        </is>
      </c>
    </row>
    <row r="16">
      <c r="B16" t="inlineStr">
        <is>
          <t xml:space="preserve">   Peralatan Kantor</t>
        </is>
      </c>
      <c r="C16" s="37">
        <f>'8. Kertas_Kerja_10_Kolom'!L10</f>
        <v/>
      </c>
      <c r="F16" t="inlineStr">
        <is>
          <t xml:space="preserve">   Modal Akhir Pemilik</t>
        </is>
      </c>
      <c r="H16" s="40">
        <f>'10. Laporan_Perubahan_Modal'!D10</f>
        <v/>
      </c>
    </row>
    <row r="17">
      <c r="B17" t="inlineStr">
        <is>
          <t xml:space="preserve">   Akumulasi Depresiasi Peralatan</t>
        </is>
      </c>
      <c r="C17" s="37">
        <f>-'8. Kertas_Kerja_10_Kolom'!M11</f>
        <v/>
      </c>
    </row>
    <row r="18">
      <c r="B18" s="3" t="inlineStr">
        <is>
          <t>TOTAL ASET TETAP BERSIH</t>
        </is>
      </c>
      <c r="D18" s="40">
        <f>SUM(C16:C17)</f>
        <v/>
      </c>
    </row>
    <row r="19"/>
    <row r="20">
      <c r="B20" s="41" t="inlineStr">
        <is>
          <t>TOTAL ASET (AKTIVA)</t>
        </is>
      </c>
      <c r="D20" s="42">
        <f>D13+D18</f>
        <v/>
      </c>
      <c r="F20" s="41" t="inlineStr">
        <is>
          <t>TOTAL KEWAJIBAN &amp; EKUITAS (PASIVA)</t>
        </is>
      </c>
      <c r="H20" s="42">
        <f>H10+H13+H16</f>
        <v/>
      </c>
    </row>
    <row r="21"/>
    <row r="22">
      <c r="B22" s="3" t="inlineStr">
        <is>
          <t>STATUS NERACA (AKTIVA = PASIVA):</t>
        </is>
      </c>
      <c r="D22" s="43">
        <f>IF(D20=H20, "✓ BALANCE (AKTIVA = PASIVA)", "⚠️ TIDAK BALANCE")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64" customWidth="1" min="2" max="2"/>
    <col width="29" customWidth="1" min="3" max="3"/>
    <col width="48" customWidth="1" min="4" max="4"/>
    <col width="72" customWidth="1" min="5" max="5"/>
    <col width="40" customWidth="1" min="6" max="6"/>
    <col width="76" customWidth="1" min="7" max="7"/>
  </cols>
  <sheetData>
    <row r="1"/>
    <row r="2">
      <c r="B2" s="11" t="inlineStr">
        <is>
          <t>KUNCI JAWABAN RESMI &amp; FORMULA LENGKAP SIMULASI AKUNTANSI</t>
        </is>
      </c>
    </row>
    <row r="3">
      <c r="B3" s="2" t="inlineStr">
        <is>
          <t>Panduan Pendidik, Penguji Tes Kerja, &amp; Kunci Evaluasi Mandiri</t>
        </is>
      </c>
    </row>
    <row r="4"/>
    <row r="5">
      <c r="B5" s="13" t="inlineStr">
        <is>
          <t>No</t>
        </is>
      </c>
      <c r="C5" s="13" t="inlineStr">
        <is>
          <t>Sheet / Kasus</t>
        </is>
      </c>
      <c r="D5" s="13" t="inlineStr">
        <is>
          <t>Pertanyaan / Tugas</t>
        </is>
      </c>
      <c r="E5" s="13" t="inlineStr">
        <is>
          <t>Kunci Jawaban Resmi / Ayat Jurnal</t>
        </is>
      </c>
      <c r="F5" s="13" t="inlineStr">
        <is>
          <t>Rumus Excel yang Digunakan</t>
        </is>
      </c>
      <c r="G5" s="13" t="inlineStr">
        <is>
          <t>Nalar &amp; Logika Akuntansi</t>
        </is>
      </c>
    </row>
    <row r="6">
      <c r="B6" s="20" t="inlineStr">
        <is>
          <t>1</t>
        </is>
      </c>
      <c r="C6" s="8" t="inlineStr">
        <is>
          <t>2. Soal_Interview_Akunting</t>
        </is>
      </c>
      <c r="D6" s="8" t="inlineStr">
        <is>
          <t>1 Mei: Setoran modal tunai 50jt</t>
        </is>
      </c>
      <c r="E6" s="8" t="inlineStr">
        <is>
          <t>Debet: Kas Rp50.000.000 | Kredit: Modal Rp50.000.000</t>
        </is>
      </c>
      <c r="F6" s="44">
        <f>SUM(), =IF()</f>
        <v/>
      </c>
      <c r="G6" s="8" t="inlineStr">
        <is>
          <t>Kas bertambah di Debet, hak pemilik bertambah di Kredit.</t>
        </is>
      </c>
    </row>
    <row r="7">
      <c r="B7" s="22" t="inlineStr">
        <is>
          <t>2</t>
        </is>
      </c>
      <c r="C7" s="10" t="inlineStr">
        <is>
          <t>2. Soal_Interview_Akunting</t>
        </is>
      </c>
      <c r="D7" s="10" t="inlineStr">
        <is>
          <t>2 Mei: Beli perlengkapan tunai 3.5jt</t>
        </is>
      </c>
      <c r="E7" s="10" t="inlineStr">
        <is>
          <t>Debet: Perlengkapan Rp3.500.000 | Kredit: Kas Rp3.500.000</t>
        </is>
      </c>
      <c r="F7" s="45" t="inlineStr">
        <is>
          <t>-</t>
        </is>
      </c>
      <c r="G7" s="10" t="inlineStr">
        <is>
          <t>Aset perlengkapan bertambah, aset kas berkurang secara tunai.</t>
        </is>
      </c>
    </row>
    <row r="8">
      <c r="B8" s="20" t="inlineStr">
        <is>
          <t>3</t>
        </is>
      </c>
      <c r="C8" s="8" t="inlineStr">
        <is>
          <t>2. Soal_Interview_Akunting</t>
        </is>
      </c>
      <c r="D8" s="8" t="inlineStr">
        <is>
          <t>3 Mei: Beli barang kredit PT Sumber Jaya 15jt</t>
        </is>
      </c>
      <c r="E8" s="8" t="inlineStr">
        <is>
          <t>Debet: Pembelian Rp15.000.000 | Kredit: Utang Usaha Rp15.000.000</t>
        </is>
      </c>
      <c r="F8" s="44" t="inlineStr">
        <is>
          <t>-</t>
        </is>
      </c>
      <c r="G8" s="8" t="inlineStr">
        <is>
          <t>Barang dagang masuk, kewajiban utang dagang bertambah.</t>
        </is>
      </c>
    </row>
    <row r="9">
      <c r="B9" s="22" t="inlineStr">
        <is>
          <t>4</t>
        </is>
      </c>
      <c r="C9" s="10" t="inlineStr">
        <is>
          <t>2. Soal_Interview_Akunting</t>
        </is>
      </c>
      <c r="D9" s="10" t="inlineStr">
        <is>
          <t>5 Mei: Jual tunai 8jt</t>
        </is>
      </c>
      <c r="E9" s="10" t="inlineStr">
        <is>
          <t>Debet: Kas Rp8.000.000 | Kredit: Penjualan Rp8.000.000</t>
        </is>
      </c>
      <c r="F9" s="45" t="inlineStr">
        <is>
          <t>-</t>
        </is>
      </c>
      <c r="G9" s="10" t="inlineStr">
        <is>
          <t>Pendapatan diakui di kredit, kas bertambah di debet.</t>
        </is>
      </c>
    </row>
    <row r="10">
      <c r="B10" s="20" t="inlineStr">
        <is>
          <t>5</t>
        </is>
      </c>
      <c r="C10" s="8" t="inlineStr">
        <is>
          <t>2. Soal_Interview_Akunting</t>
        </is>
      </c>
      <c r="D10" s="8" t="inlineStr">
        <is>
          <t>10 Mei: Bayar utang 5jt transfer</t>
        </is>
      </c>
      <c r="E10" s="8" t="inlineStr">
        <is>
          <t>Debet: Utang Usaha Rp5.000.000 | Kredit: Kas di Bank Rp5.000.000</t>
        </is>
      </c>
      <c r="F10" s="44" t="inlineStr">
        <is>
          <t>-</t>
        </is>
      </c>
      <c r="G10" s="8" t="inlineStr">
        <is>
          <t>Utang dilunasi (berkurang di debet), rekening bank berkurang di kredit.</t>
        </is>
      </c>
    </row>
    <row r="11">
      <c r="B11" s="22" t="inlineStr">
        <is>
          <t>6</t>
        </is>
      </c>
      <c r="C11" s="10" t="inlineStr">
        <is>
          <t>2. Soal_Interview_Akunting</t>
        </is>
      </c>
      <c r="D11" s="10" t="inlineStr">
        <is>
          <t>12 Mei: Beban listrik &amp; air 750rb tunai</t>
        </is>
      </c>
      <c r="E11" s="10" t="inlineStr">
        <is>
          <t>Debet: Beban Listrik &amp; Air Rp750.000 | Kredit: Kas Rp750.000</t>
        </is>
      </c>
      <c r="F11" s="45" t="inlineStr">
        <is>
          <t>-</t>
        </is>
      </c>
      <c r="G11" s="10" t="inlineStr">
        <is>
          <t>Beban mengurangi laba di debet, kas berkurang di kredit.</t>
        </is>
      </c>
    </row>
    <row r="12">
      <c r="B12" s="20" t="inlineStr">
        <is>
          <t>7</t>
        </is>
      </c>
      <c r="C12" s="8" t="inlineStr">
        <is>
          <t>2. Soal_Interview_Akunting</t>
        </is>
      </c>
      <c r="D12" s="8" t="inlineStr">
        <is>
          <t>15 Mei: Prive pemilik 2jt</t>
        </is>
      </c>
      <c r="E12" s="8" t="inlineStr">
        <is>
          <t>Debet: Prive Pemilik Rp2.000.000 | Kredit: Kas Rp2.000.000</t>
        </is>
      </c>
      <c r="F12" s="44" t="inlineStr">
        <is>
          <t>-</t>
        </is>
      </c>
      <c r="G12" s="8" t="inlineStr">
        <is>
          <t>Penarikan pribadi pemilik mengurangi ekuitas di debet.</t>
        </is>
      </c>
    </row>
    <row r="13">
      <c r="B13" s="22" t="inlineStr">
        <is>
          <t>8</t>
        </is>
      </c>
      <c r="C13" s="10" t="inlineStr">
        <is>
          <t>4. Jurnal_Umum</t>
        </is>
      </c>
      <c r="D13" s="10" t="inlineStr">
        <is>
          <t>PPN Keluaran 11% Faktur FJ-001 (DPP 35jt)</t>
        </is>
      </c>
      <c r="E13" s="10" t="inlineStr">
        <is>
          <t>PPN = Rp3.850.000, Total Piutang = Rp38.850.000</t>
        </is>
      </c>
      <c r="F13" s="45">
        <f>G15*11%, =SUM(G15:H16)</f>
        <v/>
      </c>
      <c r="G13" s="10" t="inlineStr">
        <is>
          <t>Tarif PPN 11% resmi Indonesia atas penyerahan BKP/JKP.</t>
        </is>
      </c>
    </row>
    <row r="14">
      <c r="B14" s="20" t="inlineStr">
        <is>
          <t>9</t>
        </is>
      </c>
      <c r="C14" s="8" t="inlineStr">
        <is>
          <t>5. Buku_Besar</t>
        </is>
      </c>
      <c r="D14" s="8" t="inlineStr">
        <is>
          <t>Formula Saldo Berjalan Kas (Running Balance)</t>
        </is>
      </c>
      <c r="E14" s="8" t="inlineStr">
        <is>
          <t>Debet menambah saldo, Kredit mengurangi saldo</t>
        </is>
      </c>
      <c r="F14" s="44">
        <f>H6+F7-G7</f>
        <v/>
      </c>
      <c r="G14" s="8" t="inlineStr">
        <is>
          <t>Aktiva bersaldo normal debet: Saldo baru = Saldo lalu + Debet - Kredit.</t>
        </is>
      </c>
    </row>
    <row r="15">
      <c r="B15" s="22" t="inlineStr">
        <is>
          <t>10</t>
        </is>
      </c>
      <c r="C15" s="10" t="inlineStr">
        <is>
          <t>6. Neraca_Saldo</t>
        </is>
      </c>
      <c r="D15" s="10" t="inlineStr">
        <is>
          <t>Keseimbangan Neraca Saldo</t>
        </is>
      </c>
      <c r="E15" s="10" t="inlineStr">
        <is>
          <t>Debet = Rp198.850.000 | Kredit = Rp198.850.000</t>
        </is>
      </c>
      <c r="F15" s="45">
        <f>IF(D19=E19, "✓ BALANCE", "⚠️ TIDAK")</f>
        <v/>
      </c>
      <c r="G15" s="10" t="inlineStr">
        <is>
          <t>Jumlah debet seluruh buku besar wajib persis sama dengan kredit.</t>
        </is>
      </c>
    </row>
    <row r="16">
      <c r="B16" s="20" t="inlineStr">
        <is>
          <t>11</t>
        </is>
      </c>
      <c r="C16" s="8" t="inlineStr">
        <is>
          <t>7. Jurnal_Penyesuaian</t>
        </is>
      </c>
      <c r="D16" s="8" t="inlineStr">
        <is>
          <t>AJP Sewa Gedung Bulanan (36 Bulan)</t>
        </is>
      </c>
      <c r="E16" s="8" t="inlineStr">
        <is>
          <t>Debet: Beban Sewa Rp666.667 | Kredit: Sewa Dimuka Rp666.667</t>
        </is>
      </c>
      <c r="F16" s="44">
        <f>24000000/36</f>
        <v/>
      </c>
      <c r="G16" s="8" t="inlineStr">
        <is>
          <t>Prinsip penandingan (matching principle): Beban diakui per bulan berlalu.</t>
        </is>
      </c>
    </row>
    <row r="17">
      <c r="B17" s="22" t="inlineStr">
        <is>
          <t>12</t>
        </is>
      </c>
      <c r="C17" s="10" t="inlineStr">
        <is>
          <t>7. Jurnal_Penyesuaian</t>
        </is>
      </c>
      <c r="D17" s="10" t="inlineStr">
        <is>
          <t>AJP Depresiasi Garis Lurus Peralatan</t>
        </is>
      </c>
      <c r="E17" s="10" t="inlineStr">
        <is>
          <t>Debet: Beban Depresiasi Rp200.000 | Kredit: Akum Depresiasi Rp200.000</t>
        </is>
      </c>
      <c r="F17" s="45">
        <f>SLN(12000000, 0, 60)</f>
        <v/>
      </c>
      <c r="G17" s="10" t="inlineStr">
        <is>
          <t>Rumus Excel SLN(Cost, Salvage, Life) membagi biaya aset secara merata.</t>
        </is>
      </c>
    </row>
    <row r="18">
      <c r="B18" s="20" t="inlineStr">
        <is>
          <t>13</t>
        </is>
      </c>
      <c r="C18" s="8" t="inlineStr">
        <is>
          <t>7. Jurnal_Penyesuaian</t>
        </is>
      </c>
      <c r="D18" s="8" t="inlineStr">
        <is>
          <t>AJP Bunga Pinjaman Bank Akrual</t>
        </is>
      </c>
      <c r="E18" s="8" t="inlineStr">
        <is>
          <t>Debet: Beban Bunga Rp500.000 | Kredit: Utang Bunga Rp500.000</t>
        </is>
      </c>
      <c r="F18" s="44">
        <f>50000000*1%</f>
        <v/>
      </c>
      <c r="G18" s="8" t="inlineStr">
        <is>
          <t>Bunga yang sudah menjadi kewajiban bulan Januari tetapi belum dibayar.</t>
        </is>
      </c>
    </row>
    <row r="19">
      <c r="B19" s="22" t="inlineStr">
        <is>
          <t>14</t>
        </is>
      </c>
      <c r="C19" s="10" t="inlineStr">
        <is>
          <t>9. Laporan_Laba_Rugi</t>
        </is>
      </c>
      <c r="D19" s="10" t="inlineStr">
        <is>
          <t>Perhitungan Laba Bersih Usaha</t>
        </is>
      </c>
      <c r="E19" s="10" t="inlineStr">
        <is>
          <t>Laba Bersih = Total Pendapatan - Total Beban Operasional</t>
        </is>
      </c>
      <c r="F19" s="45">
        <f>D9-D20</f>
        <v/>
      </c>
      <c r="G19" s="10" t="inlineStr">
        <is>
          <t>Mengukur profitabilitas riil perusahaan selama periode berjalan.</t>
        </is>
      </c>
    </row>
    <row r="20">
      <c r="B20" s="20" t="inlineStr">
        <is>
          <t>15</t>
        </is>
      </c>
      <c r="C20" s="8" t="inlineStr">
        <is>
          <t>11. Neraca_Keuangan</t>
        </is>
      </c>
      <c r="D20" s="8" t="inlineStr">
        <is>
          <t>Persamaan Dasar Akuntansi Neraca</t>
        </is>
      </c>
      <c r="E20" s="8" t="inlineStr">
        <is>
          <t>Aset (Aktiva) = Kewajiban + Ekuitas (Pasiva)</t>
        </is>
      </c>
      <c r="F20" s="44">
        <f>IF(D20=H20, "✓ BALANCE", "⚠️")</f>
        <v/>
      </c>
      <c r="G20" s="8" t="inlineStr">
        <is>
          <t>Prinsip dualitas akuntansi Italia kuno Luca Pacioli yang mutlak seimbang.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2026-10-13T07:33:20Z</dcterms:created>
  <dcterms:modified xmlns:dcterms="http://purl.org/dc/terms/" xmlns:xsi="http://www.w3.org/2001/XMLSchema-instance" xsi:type="dcterms:W3CDTF">2026-10-13T07:33:20Z</dcterms:modified>
</cp:coreProperties>
</file>