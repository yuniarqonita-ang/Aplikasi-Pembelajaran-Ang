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4" fillId="0" borderId="0" applyAlignment="1" pivotButton="0" quotePrefix="0" xfId="0">
      <alignment horizontal="right"/>
    </xf>
    <xf numFmtId="3" fontId="4" fillId="0" borderId="0" pivotButton="0" quotePrefix="0" xfId="0"/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7" customWidth="1" min="4" max="4"/>
    <col width="13" customWidth="1" min="5" max="5"/>
    <col width="17" customWidth="1" min="6" max="6"/>
    <col width="29" customWidth="1" min="7" max="7"/>
    <col width="19" customWidth="1" min="8" max="8"/>
    <col width="13" customWidth="1" min="9" max="9"/>
    <col width="15" customWidth="1" min="10" max="10"/>
    <col width="13" customWidth="1" min="11" max="11"/>
    <col width="19" customWidth="1" min="12" max="12"/>
    <col width="18" customWidth="1" min="13" max="13"/>
  </cols>
  <sheetData>
    <row r="1">
      <c r="A1" s="1" t="inlineStr">
        <is>
          <t>DASHBOARD PENJUALAN HARIAN &amp; REKAP OMZET CABANG</t>
        </is>
      </c>
    </row>
    <row r="2">
      <c r="A2" s="2" t="inlineStr">
        <is>
          <t>PERIODE: KUARTAL 1 2026 • REGIONAL JAWA TENGAH &amp; DIY</t>
        </is>
      </c>
    </row>
    <row r="3"/>
    <row r="4">
      <c r="A4" s="3" t="inlineStr">
        <is>
          <t>No Transaksi</t>
        </is>
      </c>
      <c r="B4" s="3" t="inlineStr">
        <is>
          <t>Tanggal</t>
        </is>
      </c>
      <c r="C4" s="3" t="inlineStr">
        <is>
          <t>ID Sales</t>
        </is>
      </c>
      <c r="D4" s="3" t="inlineStr">
        <is>
          <t>Nama Sales</t>
        </is>
      </c>
      <c r="E4" s="3" t="inlineStr">
        <is>
          <t>Cabang Toko</t>
        </is>
      </c>
      <c r="F4" s="3" t="inlineStr">
        <is>
          <t>Kategori Produk</t>
        </is>
      </c>
      <c r="G4" s="3" t="inlineStr">
        <is>
          <t>Nama Produk</t>
        </is>
      </c>
      <c r="H4" s="3" t="inlineStr">
        <is>
          <t>Harga Satuan (Rp)</t>
        </is>
      </c>
      <c r="I4" s="3" t="inlineStr">
        <is>
          <t>Qty Terjual</t>
        </is>
      </c>
      <c r="J4" s="3" t="inlineStr">
        <is>
          <t>Subtotal (Rp)</t>
        </is>
      </c>
      <c r="K4" s="3" t="inlineStr">
        <is>
          <t>Diskon (%)</t>
        </is>
      </c>
      <c r="L4" s="3" t="inlineStr">
        <is>
          <t>Nilai Diskon (Rp)</t>
        </is>
      </c>
      <c r="M4" s="3" t="inlineStr">
        <is>
          <t>Total Akhir (Rp)</t>
        </is>
      </c>
    </row>
    <row r="5">
      <c r="A5" s="4" t="inlineStr">
        <is>
          <t>TRX-001</t>
        </is>
      </c>
      <c r="B5" s="4" t="inlineStr">
        <is>
          <t>02/01/2026</t>
        </is>
      </c>
      <c r="C5" s="4" t="inlineStr">
        <is>
          <t>SLS-101</t>
        </is>
      </c>
      <c r="D5" s="5" t="inlineStr">
        <is>
          <t>Bagus Wicaksono</t>
        </is>
      </c>
      <c r="E5" s="5" t="inlineStr">
        <is>
          <t>Semarang</t>
        </is>
      </c>
      <c r="F5" s="5" t="inlineStr">
        <is>
          <t>Hardware</t>
        </is>
      </c>
      <c r="G5" s="5" t="inlineStr">
        <is>
          <t>Laptop Core i7 16GB</t>
        </is>
      </c>
      <c r="H5" s="6" t="n">
        <v>12500000</v>
      </c>
      <c r="I5" s="6" t="n">
        <v>3</v>
      </c>
      <c r="J5" s="6">
        <f>H5*I5</f>
        <v/>
      </c>
      <c r="K5" s="7" t="n">
        <v>0.05</v>
      </c>
      <c r="L5" s="6">
        <f>J5*K5</f>
        <v/>
      </c>
      <c r="M5" s="6">
        <f>J5-L5</f>
        <v/>
      </c>
    </row>
    <row r="6">
      <c r="A6" s="4" t="inlineStr">
        <is>
          <t>TRX-002</t>
        </is>
      </c>
      <c r="B6" s="4" t="inlineStr">
        <is>
          <t>03/01/2026</t>
        </is>
      </c>
      <c r="C6" s="4" t="inlineStr">
        <is>
          <t>SLS-102</t>
        </is>
      </c>
      <c r="D6" s="5" t="inlineStr">
        <is>
          <t>Rina Safitri</t>
        </is>
      </c>
      <c r="E6" s="5" t="inlineStr">
        <is>
          <t>Tegal</t>
        </is>
      </c>
      <c r="F6" s="5" t="inlineStr">
        <is>
          <t>Aksesoris</t>
        </is>
      </c>
      <c r="G6" s="5" t="inlineStr">
        <is>
          <t>Keyboard Mekanikal RGB</t>
        </is>
      </c>
      <c r="H6" s="6" t="n">
        <v>850000</v>
      </c>
      <c r="I6" s="6" t="n">
        <v>8</v>
      </c>
      <c r="J6" s="6">
        <f>H6*I6</f>
        <v/>
      </c>
      <c r="K6" s="7" t="n">
        <v>0.1</v>
      </c>
      <c r="L6" s="6">
        <f>J6*K6</f>
        <v/>
      </c>
      <c r="M6" s="6">
        <f>J6-L6</f>
        <v/>
      </c>
    </row>
    <row r="7">
      <c r="A7" s="4" t="inlineStr">
        <is>
          <t>TRX-003</t>
        </is>
      </c>
      <c r="B7" s="4" t="inlineStr">
        <is>
          <t>05/01/2026</t>
        </is>
      </c>
      <c r="C7" s="4" t="inlineStr">
        <is>
          <t>SLS-103</t>
        </is>
      </c>
      <c r="D7" s="5" t="inlineStr">
        <is>
          <t>Dimas Prasetyo</t>
        </is>
      </c>
      <c r="E7" s="5" t="inlineStr">
        <is>
          <t>Solo</t>
        </is>
      </c>
      <c r="F7" s="5" t="inlineStr">
        <is>
          <t>Jaringan</t>
        </is>
      </c>
      <c r="G7" s="5" t="inlineStr">
        <is>
          <t>Router Wi-Fi 6 Gigabit</t>
        </is>
      </c>
      <c r="H7" s="6" t="n">
        <v>1200000</v>
      </c>
      <c r="I7" s="6" t="n">
        <v>5</v>
      </c>
      <c r="J7" s="6">
        <f>H7*I7</f>
        <v/>
      </c>
      <c r="K7" s="7" t="n">
        <v>0</v>
      </c>
      <c r="L7" s="6">
        <f>J7*K7</f>
        <v/>
      </c>
      <c r="M7" s="6">
        <f>J7-L7</f>
        <v/>
      </c>
    </row>
    <row r="8">
      <c r="A8" s="4" t="inlineStr">
        <is>
          <t>TRX-004</t>
        </is>
      </c>
      <c r="B8" s="4" t="inlineStr">
        <is>
          <t>07/01/2026</t>
        </is>
      </c>
      <c r="C8" s="4" t="inlineStr">
        <is>
          <t>SLS-101</t>
        </is>
      </c>
      <c r="D8" s="5" t="inlineStr">
        <is>
          <t>Bagus Wicaksono</t>
        </is>
      </c>
      <c r="E8" s="5" t="inlineStr">
        <is>
          <t>Semarang</t>
        </is>
      </c>
      <c r="F8" s="5" t="inlineStr">
        <is>
          <t>Software</t>
        </is>
      </c>
      <c r="G8" s="5" t="inlineStr">
        <is>
          <t>Lisensi Office Pro 2026</t>
        </is>
      </c>
      <c r="H8" s="6" t="n">
        <v>1850000</v>
      </c>
      <c r="I8" s="6" t="n">
        <v>10</v>
      </c>
      <c r="J8" s="6">
        <f>H8*I8</f>
        <v/>
      </c>
      <c r="K8" s="7" t="n">
        <v>0.15</v>
      </c>
      <c r="L8" s="6">
        <f>J8*K8</f>
        <v/>
      </c>
      <c r="M8" s="6">
        <f>J8-L8</f>
        <v/>
      </c>
    </row>
    <row r="9">
      <c r="A9" s="4" t="inlineStr">
        <is>
          <t>TRX-005</t>
        </is>
      </c>
      <c r="B9" s="4" t="inlineStr">
        <is>
          <t>10/01/2026</t>
        </is>
      </c>
      <c r="C9" s="4" t="inlineStr">
        <is>
          <t>SLS-104</t>
        </is>
      </c>
      <c r="D9" s="5" t="inlineStr">
        <is>
          <t>Eka Kurniawan</t>
        </is>
      </c>
      <c r="E9" s="5" t="inlineStr">
        <is>
          <t>Pekalongan</t>
        </is>
      </c>
      <c r="F9" s="5" t="inlineStr">
        <is>
          <t>Hardware</t>
        </is>
      </c>
      <c r="G9" s="5" t="inlineStr">
        <is>
          <t>Monitor IPS 27 Inch 144Hz</t>
        </is>
      </c>
      <c r="H9" s="6" t="n">
        <v>3200000</v>
      </c>
      <c r="I9" s="6" t="n">
        <v>4</v>
      </c>
      <c r="J9" s="6">
        <f>H9*I9</f>
        <v/>
      </c>
      <c r="K9" s="7" t="n">
        <v>0.05</v>
      </c>
      <c r="L9" s="6">
        <f>J9*K9</f>
        <v/>
      </c>
      <c r="M9" s="6">
        <f>J9-L9</f>
        <v/>
      </c>
    </row>
    <row r="10">
      <c r="A10" s="4" t="inlineStr">
        <is>
          <t>TRX-006</t>
        </is>
      </c>
      <c r="B10" s="4" t="inlineStr">
        <is>
          <t>12/01/2026</t>
        </is>
      </c>
      <c r="C10" s="4" t="inlineStr">
        <is>
          <t>SLS-102</t>
        </is>
      </c>
      <c r="D10" s="5" t="inlineStr">
        <is>
          <t>Rina Safitri</t>
        </is>
      </c>
      <c r="E10" s="5" t="inlineStr">
        <is>
          <t>Tegal</t>
        </is>
      </c>
      <c r="F10" s="5" t="inlineStr">
        <is>
          <t>Hardware</t>
        </is>
      </c>
      <c r="G10" s="5" t="inlineStr">
        <is>
          <t>SSD NVMe Gen4 1TB</t>
        </is>
      </c>
      <c r="H10" s="6" t="n">
        <v>1450000</v>
      </c>
      <c r="I10" s="6" t="n">
        <v>12</v>
      </c>
      <c r="J10" s="6">
        <f>H10*I10</f>
        <v/>
      </c>
      <c r="K10" s="7" t="n">
        <v>0.08</v>
      </c>
      <c r="L10" s="6">
        <f>J10*K10</f>
        <v/>
      </c>
      <c r="M10" s="6">
        <f>J10-L10</f>
        <v/>
      </c>
    </row>
    <row r="11">
      <c r="A11" s="4" t="inlineStr">
        <is>
          <t>TRX-007</t>
        </is>
      </c>
      <c r="B11" s="4" t="inlineStr">
        <is>
          <t>14/01/2026</t>
        </is>
      </c>
      <c r="C11" s="4" t="inlineStr">
        <is>
          <t>SLS-105</t>
        </is>
      </c>
      <c r="D11" s="5" t="inlineStr">
        <is>
          <t>Lia Kartika</t>
        </is>
      </c>
      <c r="E11" s="5" t="inlineStr">
        <is>
          <t>Purwokerto</t>
        </is>
      </c>
      <c r="F11" s="5" t="inlineStr">
        <is>
          <t>Jaringan</t>
        </is>
      </c>
      <c r="G11" s="5" t="inlineStr">
        <is>
          <t>Switch Managed 24 Port</t>
        </is>
      </c>
      <c r="H11" s="6" t="n">
        <v>4500000</v>
      </c>
      <c r="I11" s="6" t="n">
        <v>2</v>
      </c>
      <c r="J11" s="6">
        <f>H11*I11</f>
        <v/>
      </c>
      <c r="K11" s="7" t="n">
        <v>0.05</v>
      </c>
      <c r="L11" s="6">
        <f>J11*K11</f>
        <v/>
      </c>
      <c r="M11" s="6">
        <f>J11-L11</f>
        <v/>
      </c>
    </row>
    <row r="12">
      <c r="A12" s="4" t="inlineStr">
        <is>
          <t>TRX-008</t>
        </is>
      </c>
      <c r="B12" s="4" t="inlineStr">
        <is>
          <t>16/01/2026</t>
        </is>
      </c>
      <c r="C12" s="4" t="inlineStr">
        <is>
          <t>SLS-103</t>
        </is>
      </c>
      <c r="D12" s="5" t="inlineStr">
        <is>
          <t>Dimas Prasetyo</t>
        </is>
      </c>
      <c r="E12" s="5" t="inlineStr">
        <is>
          <t>Solo</t>
        </is>
      </c>
      <c r="F12" s="5" t="inlineStr">
        <is>
          <t>Software</t>
        </is>
      </c>
      <c r="G12" s="5" t="inlineStr">
        <is>
          <t>Antivirus Endpoint Security</t>
        </is>
      </c>
      <c r="H12" s="6" t="n">
        <v>650000</v>
      </c>
      <c r="I12" s="6" t="n">
        <v>20</v>
      </c>
      <c r="J12" s="6">
        <f>H12*I12</f>
        <v/>
      </c>
      <c r="K12" s="7" t="n">
        <v>0.2</v>
      </c>
      <c r="L12" s="6">
        <f>J12*K12</f>
        <v/>
      </c>
      <c r="M12" s="6">
        <f>J12-L12</f>
        <v/>
      </c>
    </row>
    <row r="13">
      <c r="A13" s="4" t="inlineStr">
        <is>
          <t>TRX-009</t>
        </is>
      </c>
      <c r="B13" s="4" t="inlineStr">
        <is>
          <t>18/01/2026</t>
        </is>
      </c>
      <c r="C13" s="4" t="inlineStr">
        <is>
          <t>SLS-104</t>
        </is>
      </c>
      <c r="D13" s="5" t="inlineStr">
        <is>
          <t>Eka Kurniawan</t>
        </is>
      </c>
      <c r="E13" s="5" t="inlineStr">
        <is>
          <t>Pekalongan</t>
        </is>
      </c>
      <c r="F13" s="5" t="inlineStr">
        <is>
          <t>Aksesoris</t>
        </is>
      </c>
      <c r="G13" s="5" t="inlineStr">
        <is>
          <t>Webcam 4K Ultra HD</t>
        </is>
      </c>
      <c r="H13" s="6" t="n">
        <v>1100000</v>
      </c>
      <c r="I13" s="6" t="n">
        <v>6</v>
      </c>
      <c r="J13" s="6">
        <f>H13*I13</f>
        <v/>
      </c>
      <c r="K13" s="7" t="n">
        <v>0</v>
      </c>
      <c r="L13" s="6">
        <f>J13*K13</f>
        <v/>
      </c>
      <c r="M13" s="6">
        <f>J13-L13</f>
        <v/>
      </c>
    </row>
    <row r="14">
      <c r="A14" s="4" t="inlineStr">
        <is>
          <t>TRX-010</t>
        </is>
      </c>
      <c r="B14" s="4" t="inlineStr">
        <is>
          <t>20/01/2026</t>
        </is>
      </c>
      <c r="C14" s="4" t="inlineStr">
        <is>
          <t>SLS-105</t>
        </is>
      </c>
      <c r="D14" s="5" t="inlineStr">
        <is>
          <t>Lia Kartika</t>
        </is>
      </c>
      <c r="E14" s="5" t="inlineStr">
        <is>
          <t>Purwokerto</t>
        </is>
      </c>
      <c r="F14" s="5" t="inlineStr">
        <is>
          <t>Hardware</t>
        </is>
      </c>
      <c r="G14" s="5" t="inlineStr">
        <is>
          <t>PC All-in-One Core i5</t>
        </is>
      </c>
      <c r="H14" s="6" t="n">
        <v>9800000</v>
      </c>
      <c r="I14" s="6" t="n">
        <v>3</v>
      </c>
      <c r="J14" s="6">
        <f>H14*I14</f>
        <v/>
      </c>
      <c r="K14" s="7" t="n">
        <v>0.1</v>
      </c>
      <c r="L14" s="6">
        <f>J14*K14</f>
        <v/>
      </c>
      <c r="M14" s="6">
        <f>J14-L14</f>
        <v/>
      </c>
    </row>
    <row r="15">
      <c r="A15" s="4" t="inlineStr">
        <is>
          <t>TRX-011</t>
        </is>
      </c>
      <c r="B15" s="4" t="inlineStr">
        <is>
          <t>22/01/2026</t>
        </is>
      </c>
      <c r="C15" s="4" t="inlineStr">
        <is>
          <t>SLS-101</t>
        </is>
      </c>
      <c r="D15" s="5" t="inlineStr">
        <is>
          <t>Bagus Wicaksono</t>
        </is>
      </c>
      <c r="E15" s="5" t="inlineStr">
        <is>
          <t>Semarang</t>
        </is>
      </c>
      <c r="F15" s="5" t="inlineStr">
        <is>
          <t>Jaringan</t>
        </is>
      </c>
      <c r="G15" s="5" t="inlineStr">
        <is>
          <t>Access Point Ceiling AC1200</t>
        </is>
      </c>
      <c r="H15" s="6" t="n">
        <v>950000</v>
      </c>
      <c r="I15" s="6" t="n">
        <v>15</v>
      </c>
      <c r="J15" s="6">
        <f>H15*I15</f>
        <v/>
      </c>
      <c r="K15" s="7" t="n">
        <v>0.12</v>
      </c>
      <c r="L15" s="6">
        <f>J15*K15</f>
        <v/>
      </c>
      <c r="M15" s="6">
        <f>J15-L15</f>
        <v/>
      </c>
    </row>
    <row r="16">
      <c r="A16" s="4" t="inlineStr">
        <is>
          <t>TRX-012</t>
        </is>
      </c>
      <c r="B16" s="4" t="inlineStr">
        <is>
          <t>25/01/2026</t>
        </is>
      </c>
      <c r="C16" s="4" t="inlineStr">
        <is>
          <t>SLS-102</t>
        </is>
      </c>
      <c r="D16" s="5" t="inlineStr">
        <is>
          <t>Rina Safitri</t>
        </is>
      </c>
      <c r="E16" s="5" t="inlineStr">
        <is>
          <t>Tegal</t>
        </is>
      </c>
      <c r="F16" s="5" t="inlineStr">
        <is>
          <t>Hardware</t>
        </is>
      </c>
      <c r="G16" s="5" t="inlineStr">
        <is>
          <t>Server Rackmount 1U Xeon</t>
        </is>
      </c>
      <c r="H16" s="6" t="n">
        <v>38000000</v>
      </c>
      <c r="I16" s="6" t="n">
        <v>1</v>
      </c>
      <c r="J16" s="6">
        <f>H16*I16</f>
        <v/>
      </c>
      <c r="K16" s="7" t="n">
        <v>0.05</v>
      </c>
      <c r="L16" s="6">
        <f>J16*K16</f>
        <v/>
      </c>
      <c r="M16" s="6">
        <f>J16-L16</f>
        <v/>
      </c>
    </row>
    <row r="17">
      <c r="G17" s="8" t="inlineStr">
        <is>
          <t>TOTAL OMZET BERSIH:</t>
        </is>
      </c>
      <c r="J17" s="9">
        <f>SUM(J5:J16)</f>
        <v/>
      </c>
      <c r="L17" s="9">
        <f>SUM(L5:L16)</f>
        <v/>
      </c>
      <c r="M17" s="10">
        <f>SUM(M5:M16)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2026-10-14T01:15:40Z</dcterms:created>
  <dcterms:modified xmlns:dcterms="http://purl.org/dc/terms/" xmlns:xsi="http://www.w3.org/2001/XMLSchema-instance" xsi:type="dcterms:W3CDTF">2026-10-14T01:15:40Z</dcterms:modified>
</cp:coreProperties>
</file>