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FTAR_ISI" sheetId="1" state="visible" r:id="rId1"/>
    <sheet xmlns:r="http://schemas.openxmlformats.org/officeDocument/2006/relationships" name="VLOOKUP" sheetId="2" state="visible" r:id="rId2"/>
    <sheet xmlns:r="http://schemas.openxmlformats.org/officeDocument/2006/relationships" name="HLOOKUP" sheetId="3" state="visible" r:id="rId3"/>
    <sheet xmlns:r="http://schemas.openxmlformats.org/officeDocument/2006/relationships" name="INDEX" sheetId="4" state="visible" r:id="rId4"/>
    <sheet xmlns:r="http://schemas.openxmlformats.org/officeDocument/2006/relationships" name="MATCH" sheetId="5" state="visible" r:id="rId5"/>
    <sheet xmlns:r="http://schemas.openxmlformats.org/officeDocument/2006/relationships" name="CHOOSE" sheetId="6" state="visible" r:id="rId6"/>
    <sheet xmlns:r="http://schemas.openxmlformats.org/officeDocument/2006/relationships" name="ROW" sheetId="7" state="visible" r:id="rId7"/>
    <sheet xmlns:r="http://schemas.openxmlformats.org/officeDocument/2006/relationships" name="ROWS" sheetId="8" state="visible" r:id="rId8"/>
    <sheet xmlns:r="http://schemas.openxmlformats.org/officeDocument/2006/relationships" name="COLUMN" sheetId="9" state="visible" r:id="rId9"/>
    <sheet xmlns:r="http://schemas.openxmlformats.org/officeDocument/2006/relationships" name="COLUMNS" sheetId="10" state="visible" r:id="rId10"/>
    <sheet xmlns:r="http://schemas.openxmlformats.org/officeDocument/2006/relationships" name="ADDRESS" sheetId="11" state="visible" r:id="rId11"/>
    <sheet xmlns:r="http://schemas.openxmlformats.org/officeDocument/2006/relationships" name="OFFSET" sheetId="12" state="visible" r:id="rId12"/>
    <sheet xmlns:r="http://schemas.openxmlformats.org/officeDocument/2006/relationships" name="INDIRECT" sheetId="13" state="visible" r:id="rId13"/>
    <sheet xmlns:r="http://schemas.openxmlformats.org/officeDocument/2006/relationships" name="LEFT" sheetId="14" state="visible" r:id="rId14"/>
    <sheet xmlns:r="http://schemas.openxmlformats.org/officeDocument/2006/relationships" name="RIGHT" sheetId="15" state="visible" r:id="rId15"/>
    <sheet xmlns:r="http://schemas.openxmlformats.org/officeDocument/2006/relationships" name="MID" sheetId="16" state="visible" r:id="rId16"/>
    <sheet xmlns:r="http://schemas.openxmlformats.org/officeDocument/2006/relationships" name="LEN" sheetId="17" state="visible" r:id="rId17"/>
    <sheet xmlns:r="http://schemas.openxmlformats.org/officeDocument/2006/relationships" name="TRIM" sheetId="18" state="visible" r:id="rId18"/>
    <sheet xmlns:r="http://schemas.openxmlformats.org/officeDocument/2006/relationships" name="CLEAN" sheetId="19" state="visible" r:id="rId19"/>
    <sheet xmlns:r="http://schemas.openxmlformats.org/officeDocument/2006/relationships" name="UPPER" sheetId="20" state="visible" r:id="rId20"/>
    <sheet xmlns:r="http://schemas.openxmlformats.org/officeDocument/2006/relationships" name="LOWER" sheetId="21" state="visible" r:id="rId21"/>
    <sheet xmlns:r="http://schemas.openxmlformats.org/officeDocument/2006/relationships" name="PROPER" sheetId="22" state="visible" r:id="rId22"/>
    <sheet xmlns:r="http://schemas.openxmlformats.org/officeDocument/2006/relationships" name="CONCATENATE" sheetId="23" state="visible" r:id="rId23"/>
    <sheet xmlns:r="http://schemas.openxmlformats.org/officeDocument/2006/relationships" name="EXACT" sheetId="24" state="visible" r:id="rId24"/>
    <sheet xmlns:r="http://schemas.openxmlformats.org/officeDocument/2006/relationships" name="FIND" sheetId="25" state="visible" r:id="rId25"/>
    <sheet xmlns:r="http://schemas.openxmlformats.org/officeDocument/2006/relationships" name="SEARCH" sheetId="26" state="visible" r:id="rId26"/>
    <sheet xmlns:r="http://schemas.openxmlformats.org/officeDocument/2006/relationships" name="SUBSTITUTE" sheetId="27" state="visible" r:id="rId27"/>
    <sheet xmlns:r="http://schemas.openxmlformats.org/officeDocument/2006/relationships" name="REPLACE" sheetId="28" state="visible" r:id="rId28"/>
    <sheet xmlns:r="http://schemas.openxmlformats.org/officeDocument/2006/relationships" name="REPT" sheetId="29" state="visible" r:id="rId29"/>
    <sheet xmlns:r="http://schemas.openxmlformats.org/officeDocument/2006/relationships" name="VALUE" sheetId="30" state="visible" r:id="rId30"/>
    <sheet xmlns:r="http://schemas.openxmlformats.org/officeDocument/2006/relationships" name="TEXT" sheetId="31" state="visible" r:id="rId31"/>
    <sheet xmlns:r="http://schemas.openxmlformats.org/officeDocument/2006/relationships" name="DATE" sheetId="32" state="visible" r:id="rId32"/>
    <sheet xmlns:r="http://schemas.openxmlformats.org/officeDocument/2006/relationships" name="YEAR" sheetId="33" state="visible" r:id="rId33"/>
    <sheet xmlns:r="http://schemas.openxmlformats.org/officeDocument/2006/relationships" name="MONTH" sheetId="34" state="visible" r:id="rId34"/>
    <sheet xmlns:r="http://schemas.openxmlformats.org/officeDocument/2006/relationships" name="DAY" sheetId="35" state="visible" r:id="rId35"/>
    <sheet xmlns:r="http://schemas.openxmlformats.org/officeDocument/2006/relationships" name="DAYS" sheetId="36" state="visible" r:id="rId36"/>
    <sheet xmlns:r="http://schemas.openxmlformats.org/officeDocument/2006/relationships" name="DATEDIF" sheetId="37" state="visible" r:id="rId37"/>
    <sheet xmlns:r="http://schemas.openxmlformats.org/officeDocument/2006/relationships" name="EDATE" sheetId="38" state="visible" r:id="rId38"/>
    <sheet xmlns:r="http://schemas.openxmlformats.org/officeDocument/2006/relationships" name="EOMONTH" sheetId="39" state="visible" r:id="rId39"/>
    <sheet xmlns:r="http://schemas.openxmlformats.org/officeDocument/2006/relationships" name="NETWORKDAYS" sheetId="40" state="visible" r:id="rId40"/>
    <sheet xmlns:r="http://schemas.openxmlformats.org/officeDocument/2006/relationships" name="WORKDAY" sheetId="41" state="visible" r:id="rId41"/>
    <sheet xmlns:r="http://schemas.openxmlformats.org/officeDocument/2006/relationships" name="WEEKDAY" sheetId="42" state="visible" r:id="rId42"/>
    <sheet xmlns:r="http://schemas.openxmlformats.org/officeDocument/2006/relationships" name="WEEKNUM" sheetId="43" state="visible" r:id="rId43"/>
    <sheet xmlns:r="http://schemas.openxmlformats.org/officeDocument/2006/relationships" name="HOUR" sheetId="44" state="visible" r:id="rId44"/>
    <sheet xmlns:r="http://schemas.openxmlformats.org/officeDocument/2006/relationships" name="MINUTE" sheetId="45" state="visible" r:id="rId45"/>
    <sheet xmlns:r="http://schemas.openxmlformats.org/officeDocument/2006/relationships" name="SECOND" sheetId="46" state="visible" r:id="rId4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FFFFFF"/>
      <sz val="10"/>
    </font>
    <font>
      <name val="Segoe UI"/>
      <b val="1"/>
      <color rgb="0038BDF8"/>
      <sz val="10"/>
      <u val="single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Consolas"/>
      <b val="1"/>
      <color rgb="000369A1"/>
      <sz val="10"/>
    </font>
    <font>
      <name val="Segoe UI"/>
      <color rgb="001E293B"/>
      <sz val="10"/>
    </font>
    <font>
      <name val="Consolas"/>
      <b val="1"/>
      <color rgb="000F172A"/>
      <sz val="11"/>
    </font>
    <font>
      <name val="Segoe UI"/>
      <b val="1"/>
      <color rgb="00065F46"/>
      <sz val="10"/>
    </font>
    <font>
      <name val="Segoe UI"/>
      <b val="1"/>
      <color rgb="002563EB"/>
      <sz val="10"/>
      <u val="single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E0F2FE"/>
        <bgColor rgb="00E0F2FE"/>
      </patternFill>
    </fill>
    <fill>
      <patternFill patternType="solid">
        <fgColor rgb="00F8FAFC"/>
        <bgColor rgb="00F8FAFC"/>
      </patternFill>
    </fill>
    <fill>
      <patternFill patternType="solid">
        <fgColor rgb="00059669"/>
        <bgColor rgb="00059669"/>
      </patternFill>
    </fill>
    <fill>
      <patternFill patternType="solid">
        <fgColor rgb="00DCFCE7"/>
        <bgColor rgb="00DCFCE7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EF08A"/>
        <bgColor rgb="00FEF08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0" borderId="1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4" fillId="2" borderId="0" applyAlignment="1" pivotButton="0" quotePrefix="0" xfId="0">
      <alignment horizontal="center" vertical="center"/>
    </xf>
    <xf numFmtId="0" fontId="5" fillId="3" borderId="0" pivotButton="0" quotePrefix="0" xfId="0"/>
    <xf numFmtId="0" fontId="6" fillId="4" borderId="1" pivotButton="0" quotePrefix="0" xfId="0"/>
    <xf numFmtId="0" fontId="7" fillId="5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5" fillId="6" borderId="0" pivotButton="0" quotePrefix="0" xfId="0"/>
    <xf numFmtId="0" fontId="6" fillId="7" borderId="1" pivotButton="0" quotePrefix="0" xfId="0"/>
    <xf numFmtId="0" fontId="6" fillId="7" borderId="0" pivotButton="0" quotePrefix="0" xfId="0"/>
    <xf numFmtId="0" fontId="8" fillId="0" borderId="1" pivotButton="0" quotePrefix="0" xfId="0"/>
    <xf numFmtId="0" fontId="6" fillId="0" borderId="0" pivotButton="0" quotePrefix="0" xfId="0"/>
    <xf numFmtId="0" fontId="8" fillId="0" borderId="0" applyAlignment="1" pivotButton="0" quotePrefix="0" xfId="0">
      <alignment wrapText="1"/>
    </xf>
    <xf numFmtId="0" fontId="7" fillId="0" borderId="0" pivotButton="0" quotePrefix="0" xfId="0"/>
    <xf numFmtId="0" fontId="9" fillId="7" borderId="1" pivotButton="0" quotePrefix="0" xfId="0"/>
    <xf numFmtId="0" fontId="5" fillId="8" borderId="0" pivotButton="0" quotePrefix="0" xfId="0"/>
    <xf numFmtId="0" fontId="5" fillId="9" borderId="0" pivotButton="0" quotePrefix="0" xfId="0"/>
    <xf numFmtId="0" fontId="6" fillId="0" borderId="0" applyAlignment="1" pivotButton="0" quotePrefix="0" xfId="0">
      <alignment vertical="center" wrapText="1"/>
    </xf>
    <xf numFmtId="0" fontId="9" fillId="10" borderId="2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/>
    </xf>
    <xf numFmtId="164" fontId="8" fillId="0" borderId="1" pivotButton="0" quotePrefix="0" xfId="0"/>
    <xf numFmtId="21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VLOOKUP'!A1" TargetMode="External" Id="rId1"/><Relationship Type="http://schemas.openxmlformats.org/officeDocument/2006/relationships/hyperlink" Target="#'HLOOKUP'!A1" TargetMode="External" Id="rId2"/><Relationship Type="http://schemas.openxmlformats.org/officeDocument/2006/relationships/hyperlink" Target="#'INDEX'!A1" TargetMode="External" Id="rId3"/><Relationship Type="http://schemas.openxmlformats.org/officeDocument/2006/relationships/hyperlink" Target="#'MATCH'!A1" TargetMode="External" Id="rId4"/><Relationship Type="http://schemas.openxmlformats.org/officeDocument/2006/relationships/hyperlink" Target="#'CHOOSE'!A1" TargetMode="External" Id="rId5"/><Relationship Type="http://schemas.openxmlformats.org/officeDocument/2006/relationships/hyperlink" Target="#'ROW'!A1" TargetMode="External" Id="rId6"/><Relationship Type="http://schemas.openxmlformats.org/officeDocument/2006/relationships/hyperlink" Target="#'ROWS'!A1" TargetMode="External" Id="rId7"/><Relationship Type="http://schemas.openxmlformats.org/officeDocument/2006/relationships/hyperlink" Target="#'COLUMN'!A1" TargetMode="External" Id="rId8"/><Relationship Type="http://schemas.openxmlformats.org/officeDocument/2006/relationships/hyperlink" Target="#'COLUMNS'!A1" TargetMode="External" Id="rId9"/><Relationship Type="http://schemas.openxmlformats.org/officeDocument/2006/relationships/hyperlink" Target="#'ADDRESS'!A1" TargetMode="External" Id="rId10"/><Relationship Type="http://schemas.openxmlformats.org/officeDocument/2006/relationships/hyperlink" Target="#'OFFSET'!A1" TargetMode="External" Id="rId11"/><Relationship Type="http://schemas.openxmlformats.org/officeDocument/2006/relationships/hyperlink" Target="#'INDIRECT'!A1" TargetMode="External" Id="rId12"/><Relationship Type="http://schemas.openxmlformats.org/officeDocument/2006/relationships/hyperlink" Target="#'LEFT'!A1" TargetMode="External" Id="rId13"/><Relationship Type="http://schemas.openxmlformats.org/officeDocument/2006/relationships/hyperlink" Target="#'RIGHT'!A1" TargetMode="External" Id="rId14"/><Relationship Type="http://schemas.openxmlformats.org/officeDocument/2006/relationships/hyperlink" Target="#'MID'!A1" TargetMode="External" Id="rId15"/><Relationship Type="http://schemas.openxmlformats.org/officeDocument/2006/relationships/hyperlink" Target="#'LEN'!A1" TargetMode="External" Id="rId16"/><Relationship Type="http://schemas.openxmlformats.org/officeDocument/2006/relationships/hyperlink" Target="#'TRIM'!A1" TargetMode="External" Id="rId17"/><Relationship Type="http://schemas.openxmlformats.org/officeDocument/2006/relationships/hyperlink" Target="#'CLEAN'!A1" TargetMode="External" Id="rId18"/><Relationship Type="http://schemas.openxmlformats.org/officeDocument/2006/relationships/hyperlink" Target="#'UPPER'!A1" TargetMode="External" Id="rId19"/><Relationship Type="http://schemas.openxmlformats.org/officeDocument/2006/relationships/hyperlink" Target="#'LOWER'!A1" TargetMode="External" Id="rId20"/><Relationship Type="http://schemas.openxmlformats.org/officeDocument/2006/relationships/hyperlink" Target="#'PROPER'!A1" TargetMode="External" Id="rId21"/><Relationship Type="http://schemas.openxmlformats.org/officeDocument/2006/relationships/hyperlink" Target="#'CONCATENATE'!A1" TargetMode="External" Id="rId22"/><Relationship Type="http://schemas.openxmlformats.org/officeDocument/2006/relationships/hyperlink" Target="#'EXACT'!A1" TargetMode="External" Id="rId23"/><Relationship Type="http://schemas.openxmlformats.org/officeDocument/2006/relationships/hyperlink" Target="#'FIND'!A1" TargetMode="External" Id="rId24"/><Relationship Type="http://schemas.openxmlformats.org/officeDocument/2006/relationships/hyperlink" Target="#'SEARCH'!A1" TargetMode="External" Id="rId25"/><Relationship Type="http://schemas.openxmlformats.org/officeDocument/2006/relationships/hyperlink" Target="#'SUBSTITUTE'!A1" TargetMode="External" Id="rId26"/><Relationship Type="http://schemas.openxmlformats.org/officeDocument/2006/relationships/hyperlink" Target="#'REPLACE'!A1" TargetMode="External" Id="rId27"/><Relationship Type="http://schemas.openxmlformats.org/officeDocument/2006/relationships/hyperlink" Target="#'REPT'!A1" TargetMode="External" Id="rId28"/><Relationship Type="http://schemas.openxmlformats.org/officeDocument/2006/relationships/hyperlink" Target="#'VALUE'!A1" TargetMode="External" Id="rId29"/><Relationship Type="http://schemas.openxmlformats.org/officeDocument/2006/relationships/hyperlink" Target="#'TEXT'!A1" TargetMode="External" Id="rId30"/><Relationship Type="http://schemas.openxmlformats.org/officeDocument/2006/relationships/hyperlink" Target="#'DATE'!A1" TargetMode="External" Id="rId31"/><Relationship Type="http://schemas.openxmlformats.org/officeDocument/2006/relationships/hyperlink" Target="#'YEAR'!A1" TargetMode="External" Id="rId32"/><Relationship Type="http://schemas.openxmlformats.org/officeDocument/2006/relationships/hyperlink" Target="#'MONTH'!A1" TargetMode="External" Id="rId33"/><Relationship Type="http://schemas.openxmlformats.org/officeDocument/2006/relationships/hyperlink" Target="#'DAY'!A1" TargetMode="External" Id="rId34"/><Relationship Type="http://schemas.openxmlformats.org/officeDocument/2006/relationships/hyperlink" Target="#'DAYS'!A1" TargetMode="External" Id="rId35"/><Relationship Type="http://schemas.openxmlformats.org/officeDocument/2006/relationships/hyperlink" Target="#'DATEDIF'!A1" TargetMode="External" Id="rId36"/><Relationship Type="http://schemas.openxmlformats.org/officeDocument/2006/relationships/hyperlink" Target="#'EDATE'!A1" TargetMode="External" Id="rId37"/><Relationship Type="http://schemas.openxmlformats.org/officeDocument/2006/relationships/hyperlink" Target="#'EOMONTH'!A1" TargetMode="External" Id="rId38"/><Relationship Type="http://schemas.openxmlformats.org/officeDocument/2006/relationships/hyperlink" Target="#'NETWORKDAYS'!A1" TargetMode="External" Id="rId39"/><Relationship Type="http://schemas.openxmlformats.org/officeDocument/2006/relationships/hyperlink" Target="#'WORKDAY'!A1" TargetMode="External" Id="rId40"/><Relationship Type="http://schemas.openxmlformats.org/officeDocument/2006/relationships/hyperlink" Target="#'WEEKDAY'!A1" TargetMode="External" Id="rId41"/><Relationship Type="http://schemas.openxmlformats.org/officeDocument/2006/relationships/hyperlink" Target="#'WEEKNUM'!A1" TargetMode="External" Id="rId42"/><Relationship Type="http://schemas.openxmlformats.org/officeDocument/2006/relationships/hyperlink" Target="#'HOUR'!A1" TargetMode="External" Id="rId43"/><Relationship Type="http://schemas.openxmlformats.org/officeDocument/2006/relationships/hyperlink" Target="#'MINUTE'!A1" TargetMode="External" Id="rId44"/><Relationship Type="http://schemas.openxmlformats.org/officeDocument/2006/relationships/hyperlink" Target="#'SECOND'!A1" TargetMode="External" Id="rId45"/></Relationships>
</file>

<file path=xl/worksheets/_rels/sheet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0" customWidth="1" min="3" max="3"/>
    <col width="36" customWidth="1" min="4" max="4"/>
    <col width="65" customWidth="1" min="5" max="5"/>
    <col width="24" customWidth="1" min="6" max="6"/>
  </cols>
  <sheetData>
    <row r="1" ht="32" customHeight="1">
      <c r="A1" s="1" t="inlineStr">
        <is>
          <t>📚 PAKET 2: RUMUS VLOOKUP, PENGOLAHAN TEKS &amp; TANGGAL HRD (45 SHEET RUMUS &amp; 225 SOAL DUNIA NYATA)</t>
        </is>
      </c>
    </row>
    <row r="2" ht="22" customHeight="1">
      <c r="A2" s="2" t="inlineStr">
        <is>
          <t>Klik nama sheet di kolom 'Link Langsung' atau pilih tab di bawah untuk langsung mempraktekkan 5 Persoalan Dunia Nyata di setiap rumus!</t>
        </is>
      </c>
    </row>
    <row r="4" ht="24" customHeight="1">
      <c r="A4" s="3" t="inlineStr">
        <is>
          <t>No</t>
        </is>
      </c>
      <c r="B4" s="3" t="inlineStr">
        <is>
          <t>Nama Rumus (Sheet)</t>
        </is>
      </c>
      <c r="C4" s="3" t="inlineStr">
        <is>
          <t>Kategori</t>
        </is>
      </c>
      <c r="D4" s="3" t="inlineStr">
        <is>
          <t>Sintaks Penulisan</t>
        </is>
      </c>
      <c r="E4" s="3" t="inlineStr">
        <is>
          <t>Fungsinya Buat Apa (Bahasa Bayi &amp; Dunia Nyata)</t>
        </is>
      </c>
      <c r="F4" s="3" t="inlineStr">
        <is>
          <t>Link Langsung</t>
        </is>
      </c>
    </row>
    <row r="5">
      <c r="A5" s="4" t="n">
        <v>1</v>
      </c>
      <c r="B5" s="5" t="inlineStr">
        <is>
          <t>VLOOKUP</t>
        </is>
      </c>
      <c r="C5" s="4" t="inlineStr">
        <is>
          <t>3. Lookup &amp; Referensi</t>
        </is>
      </c>
      <c r="D5" s="6">
        <f>VLOOKUP(nilai_dicari, tabel_referensi, nomor_kolom, FALSE)</f>
        <v/>
      </c>
      <c r="E5" s="4" t="inlineStr">
        <is>
          <t>Mencari data secara VERTIKAL (dari atas ke bawah) di kolom paling kiri tabel, lalu mengambil data di sebelah kanannya (Misal: ketik NIP, otomatis muncul Nama &amp; Gaji!).</t>
        </is>
      </c>
      <c r="F5" s="7" t="inlineStr">
        <is>
          <t>👉 Buka Sheet VLOOKUP</t>
        </is>
      </c>
    </row>
    <row r="6">
      <c r="A6" s="4" t="n">
        <v>2</v>
      </c>
      <c r="B6" s="5" t="inlineStr">
        <is>
          <t>HLOOKUP</t>
        </is>
      </c>
      <c r="C6" s="4" t="inlineStr">
        <is>
          <t>3. Lookup &amp; Referensi</t>
        </is>
      </c>
      <c r="D6" s="6">
        <f>HLOOKUP(nilai_dicari, tabel_referensi, nomor_baris, FALSE)</f>
        <v/>
      </c>
      <c r="E6" s="4" t="inlineStr">
        <is>
          <t>Mencari data secara HORIZONTAL (menyamping di baris paling atas), lalu mengambil data di baris bawahnya.</t>
        </is>
      </c>
      <c r="F6" s="7" t="inlineStr">
        <is>
          <t>👉 Buka Sheet HLOOKUP</t>
        </is>
      </c>
    </row>
    <row r="7">
      <c r="A7" s="4" t="n">
        <v>3</v>
      </c>
      <c r="B7" s="5" t="inlineStr">
        <is>
          <t>INDEX</t>
        </is>
      </c>
      <c r="C7" s="4" t="inlineStr">
        <is>
          <t>3. Lookup &amp; Referensi</t>
        </is>
      </c>
      <c r="D7" s="6">
        <f>INDEX(range_tabel, nomor_baris, [nomor_kolom])</f>
        <v/>
      </c>
      <c r="E7" s="4" t="inlineStr">
        <is>
          <t>Mengambil isi sel berdasarkan koordinat nomor baris dan nomor kolom seperti menunjuk peta harta karun.</t>
        </is>
      </c>
      <c r="F7" s="7" t="inlineStr">
        <is>
          <t>👉 Buka Sheet INDEX</t>
        </is>
      </c>
    </row>
    <row r="8">
      <c r="A8" s="4" t="n">
        <v>4</v>
      </c>
      <c r="B8" s="5" t="inlineStr">
        <is>
          <t>MATCH</t>
        </is>
      </c>
      <c r="C8" s="4" t="inlineStr">
        <is>
          <t>3. Lookup &amp; Referensi</t>
        </is>
      </c>
      <c r="D8" s="6">
        <f>MATCH(nilai_dicari, range_satu_kolom, 0)</f>
        <v/>
      </c>
      <c r="E8" s="4" t="inlineStr">
        <is>
          <t>Mencari tahu suatu barang berada di urutan BARIS KE BERAPA di dalam daftar.</t>
        </is>
      </c>
      <c r="F8" s="7" t="inlineStr">
        <is>
          <t>👉 Buka Sheet MATCH</t>
        </is>
      </c>
    </row>
    <row r="9">
      <c r="A9" s="4" t="n">
        <v>5</v>
      </c>
      <c r="B9" s="5" t="inlineStr">
        <is>
          <t>CHOOSE</t>
        </is>
      </c>
      <c r="C9" s="4" t="inlineStr">
        <is>
          <t>3. Lookup &amp; Referensi</t>
        </is>
      </c>
      <c r="D9" s="6">
        <f>CHOOSE(nomor_pilihan, nilai1, nilai2, nilai3, ...)</f>
        <v/>
      </c>
      <c r="E9" s="4" t="inlineStr">
        <is>
          <t>Memilih hadiah/item dari daftar berdasarkan nomor urut yang ditunjuk (Jika pilih 1 keluar Emas, 2 Perak, 3 Perunggu).</t>
        </is>
      </c>
      <c r="F9" s="7" t="inlineStr">
        <is>
          <t>👉 Buka Sheet CHOOSE</t>
        </is>
      </c>
    </row>
    <row r="10">
      <c r="A10" s="4" t="n">
        <v>6</v>
      </c>
      <c r="B10" s="5" t="inlineStr">
        <is>
          <t>ROW</t>
        </is>
      </c>
      <c r="C10" s="4" t="inlineStr">
        <is>
          <t>3. Lookup &amp; Referensi</t>
        </is>
      </c>
      <c r="D10" s="6">
        <f>ROW([referensi_sel])</f>
        <v/>
      </c>
      <c r="E10" s="4" t="inlineStr">
        <is>
          <t>Memberitahu nomor baris tempat sel tersebut berada (Misal: =ROW(B15) menghasilkan angka 15).</t>
        </is>
      </c>
      <c r="F10" s="7" t="inlineStr">
        <is>
          <t>👉 Buka Sheet ROW</t>
        </is>
      </c>
    </row>
    <row r="11">
      <c r="A11" s="4" t="n">
        <v>7</v>
      </c>
      <c r="B11" s="5" t="inlineStr">
        <is>
          <t>ROWS</t>
        </is>
      </c>
      <c r="C11" s="4" t="inlineStr">
        <is>
          <t>3. Lookup &amp; Referensi</t>
        </is>
      </c>
      <c r="D11" s="6">
        <f>ROWS(range)</f>
        <v/>
      </c>
      <c r="E11" s="4" t="inlineStr">
        <is>
          <t>Menghitung ada berapa total baris di dalam suatu blok tabel.</t>
        </is>
      </c>
      <c r="F11" s="7" t="inlineStr">
        <is>
          <t>👉 Buka Sheet ROWS</t>
        </is>
      </c>
    </row>
    <row r="12">
      <c r="A12" s="4" t="n">
        <v>8</v>
      </c>
      <c r="B12" s="5" t="inlineStr">
        <is>
          <t>COLUMN</t>
        </is>
      </c>
      <c r="C12" s="4" t="inlineStr">
        <is>
          <t>3. Lookup &amp; Referensi</t>
        </is>
      </c>
      <c r="D12" s="6">
        <f>COLUMN([referensi_sel])</f>
        <v/>
      </c>
      <c r="E12" s="4" t="inlineStr">
        <is>
          <t>Memberitahu nomor urut kolom suatu sel (Kolom A=1, B=2, C=3, dst.).</t>
        </is>
      </c>
      <c r="F12" s="7" t="inlineStr">
        <is>
          <t>👉 Buka Sheet COLUMN</t>
        </is>
      </c>
    </row>
    <row r="13">
      <c r="A13" s="4" t="n">
        <v>9</v>
      </c>
      <c r="B13" s="5" t="inlineStr">
        <is>
          <t>COLUMNS</t>
        </is>
      </c>
      <c r="C13" s="4" t="inlineStr">
        <is>
          <t>3. Lookup &amp; Referensi</t>
        </is>
      </c>
      <c r="D13" s="6">
        <f>COLUMNS(range)</f>
        <v/>
      </c>
      <c r="E13" s="4" t="inlineStr">
        <is>
          <t>Menghitung ada berapa total kolom menyamping di dalam suatu blok tabel.</t>
        </is>
      </c>
      <c r="F13" s="7" t="inlineStr">
        <is>
          <t>👉 Buka Sheet COLUMNS</t>
        </is>
      </c>
    </row>
    <row r="14">
      <c r="A14" s="4" t="n">
        <v>10</v>
      </c>
      <c r="B14" s="5" t="inlineStr">
        <is>
          <t>ADDRESS</t>
        </is>
      </c>
      <c r="C14" s="4" t="inlineStr">
        <is>
          <t>3. Lookup &amp; Referensi</t>
        </is>
      </c>
      <c r="D14" s="6">
        <f>ADDRESS(nomor_baris, nomor_kolom)</f>
        <v/>
      </c>
      <c r="E14" s="4" t="inlineStr">
        <is>
          <t>Membuat teks alamat sel dari nomor baris dan kolom (Misal: baris 5 kolom 2 menjadi '$B$5').</t>
        </is>
      </c>
      <c r="F14" s="7" t="inlineStr">
        <is>
          <t>👉 Buka Sheet ADDRESS</t>
        </is>
      </c>
    </row>
    <row r="15">
      <c r="A15" s="4" t="n">
        <v>11</v>
      </c>
      <c r="B15" s="5" t="inlineStr">
        <is>
          <t>OFFSET</t>
        </is>
      </c>
      <c r="C15" s="4" t="inlineStr">
        <is>
          <t>3. Lookup &amp; Referensi</t>
        </is>
      </c>
      <c r="D15" s="6">
        <f>OFFSET(sel_awal, geser_baris, geser_kolom)</f>
        <v/>
      </c>
      <c r="E15" s="4" t="inlineStr">
        <is>
          <t>Mengambil nilai dari sel lain dengan cara melompat/bergeser sekian baris dan sekian kolom dari titik awal.</t>
        </is>
      </c>
      <c r="F15" s="7" t="inlineStr">
        <is>
          <t>👉 Buka Sheet OFFSET</t>
        </is>
      </c>
    </row>
    <row r="16">
      <c r="A16" s="4" t="n">
        <v>12</v>
      </c>
      <c r="B16" s="5" t="inlineStr">
        <is>
          <t>INDIRECT</t>
        </is>
      </c>
      <c r="C16" s="4" t="inlineStr">
        <is>
          <t>3. Lookup &amp; Referensi</t>
        </is>
      </c>
      <c r="D16" s="6">
        <f>INDIRECT(teks_alamat_sel)</f>
        <v/>
      </c>
      <c r="E16" s="4" t="inlineStr">
        <is>
          <t>Mengubah teks biasa (seperti tulisan 'B10') menjadi referensi sel hidup yang diambil isinya oleh Excel.</t>
        </is>
      </c>
      <c r="F16" s="7" t="inlineStr">
        <is>
          <t>👉 Buka Sheet INDIRECT</t>
        </is>
      </c>
    </row>
    <row r="17">
      <c r="A17" s="4" t="n">
        <v>13</v>
      </c>
      <c r="B17" s="5" t="inlineStr">
        <is>
          <t>LEFT</t>
        </is>
      </c>
      <c r="C17" s="4" t="inlineStr">
        <is>
          <t>4. Pengolahan Teks</t>
        </is>
      </c>
      <c r="D17" s="6">
        <f>LEFT(teks, jumlah_huruf)</f>
        <v/>
      </c>
      <c r="E17" s="4" t="inlineStr">
        <is>
          <t>Memotong dan mengambil sejumlah huruf dari sebelah KIRI (awal) kata. Cocok untuk mengambil kode cabang di awal SKU barang!</t>
        </is>
      </c>
      <c r="F17" s="7" t="inlineStr">
        <is>
          <t>👉 Buka Sheet LEFT</t>
        </is>
      </c>
    </row>
    <row r="18">
      <c r="A18" s="4" t="n">
        <v>14</v>
      </c>
      <c r="B18" s="5" t="inlineStr">
        <is>
          <t>RIGHT</t>
        </is>
      </c>
      <c r="C18" s="4" t="inlineStr">
        <is>
          <t>4. Pengolahan Teks</t>
        </is>
      </c>
      <c r="D18" s="6">
        <f>RIGHT(teks, jumlah_huruf)</f>
        <v/>
      </c>
      <c r="E18" s="4" t="inlineStr">
        <is>
          <t>Memotong dan mengambil sejumlah huruf dari sebelah KANAN (akhir) kata. Cocok untuk mengambil kode tahun di ujung nomor surat!</t>
        </is>
      </c>
      <c r="F18" s="7" t="inlineStr">
        <is>
          <t>👉 Buka Sheet RIGHT</t>
        </is>
      </c>
    </row>
    <row r="19">
      <c r="A19" s="4" t="n">
        <v>15</v>
      </c>
      <c r="B19" s="5" t="inlineStr">
        <is>
          <t>MID</t>
        </is>
      </c>
      <c r="C19" s="4" t="inlineStr">
        <is>
          <t>4. Pengolahan Teks</t>
        </is>
      </c>
      <c r="D19" s="6">
        <f>MID(teks, mulai_huruf_ke, jumlah_huruf)</f>
        <v/>
      </c>
      <c r="E19" s="4" t="inlineStr">
        <is>
          <t>Mengambil huruf dari bagian TENGAH kata (Misal: mengambil kode tanggal lahir dari tengah-tengah 16 digit NIK KTP!).</t>
        </is>
      </c>
      <c r="F19" s="7" t="inlineStr">
        <is>
          <t>👉 Buka Sheet MID</t>
        </is>
      </c>
    </row>
    <row r="20">
      <c r="A20" s="4" t="n">
        <v>16</v>
      </c>
      <c r="B20" s="5" t="inlineStr">
        <is>
          <t>LEN</t>
        </is>
      </c>
      <c r="C20" s="4" t="inlineStr">
        <is>
          <t>4. Pengolahan Teks</t>
        </is>
      </c>
      <c r="D20" s="6">
        <f>LEN(teks)</f>
        <v/>
      </c>
      <c r="E20" s="4" t="inlineStr">
        <is>
          <t>Menghitung jumlah total karakter/huruf (termasuk spasi) di dalam sebuah sel. Penting untuk validasi digit NIK atau Nomor HP!</t>
        </is>
      </c>
      <c r="F20" s="7" t="inlineStr">
        <is>
          <t>👉 Buka Sheet LEN</t>
        </is>
      </c>
    </row>
    <row r="21">
      <c r="A21" s="4" t="n">
        <v>17</v>
      </c>
      <c r="B21" s="5" t="inlineStr">
        <is>
          <t>TRIM</t>
        </is>
      </c>
      <c r="C21" s="4" t="inlineStr">
        <is>
          <t>4. Pengolahan Teks</t>
        </is>
      </c>
      <c r="D21" s="6">
        <f>TRIM(teks)</f>
        <v/>
      </c>
      <c r="E21" s="4" t="inlineStr">
        <is>
          <t>Sapu bersih spasi berlebih! Menghapus spasi ganda yang tidak sengaja terketik di awal, tengah, atau akhir nama.</t>
        </is>
      </c>
      <c r="F21" s="7" t="inlineStr">
        <is>
          <t>👉 Buka Sheet TRIM</t>
        </is>
      </c>
    </row>
    <row r="22">
      <c r="A22" s="4" t="n">
        <v>18</v>
      </c>
      <c r="B22" s="5" t="inlineStr">
        <is>
          <t>CLEAN</t>
        </is>
      </c>
      <c r="C22" s="4" t="inlineStr">
        <is>
          <t>4. Pengolahan Teks</t>
        </is>
      </c>
      <c r="D22" s="6">
        <f>CLEAN(teks)</f>
        <v/>
      </c>
      <c r="E22" s="4" t="inlineStr">
        <is>
          <t>Membersihkan karakter aneh/tak terlihat hasil copy-paste dari web atau sistem lain.</t>
        </is>
      </c>
      <c r="F22" s="7" t="inlineStr">
        <is>
          <t>👉 Buka Sheet CLEAN</t>
        </is>
      </c>
    </row>
    <row r="23">
      <c r="A23" s="4" t="n">
        <v>19</v>
      </c>
      <c r="B23" s="5" t="inlineStr">
        <is>
          <t>UPPER</t>
        </is>
      </c>
      <c r="C23" s="4" t="inlineStr">
        <is>
          <t>4. Pengolahan Teks</t>
        </is>
      </c>
      <c r="D23" s="6">
        <f>UPPER(teks)</f>
        <v/>
      </c>
      <c r="E23" s="4" t="inlineStr">
        <is>
          <t>Mengubah SEMUA huruf menjadi HURUF BESAR (KAPITAL) semua.</t>
        </is>
      </c>
      <c r="F23" s="7" t="inlineStr">
        <is>
          <t>👉 Buka Sheet UPPER</t>
        </is>
      </c>
    </row>
    <row r="24">
      <c r="A24" s="4" t="n">
        <v>20</v>
      </c>
      <c r="B24" s="5" t="inlineStr">
        <is>
          <t>LOWER</t>
        </is>
      </c>
      <c r="C24" s="4" t="inlineStr">
        <is>
          <t>4. Pengolahan Teks</t>
        </is>
      </c>
      <c r="D24" s="6">
        <f>LOWER(teks)</f>
        <v/>
      </c>
      <c r="E24" s="4" t="inlineStr">
        <is>
          <t>Mengubah semua huruf menjadi huruf kecil semua (cocok untuk merapikan alamat email).</t>
        </is>
      </c>
      <c r="F24" s="7" t="inlineStr">
        <is>
          <t>👉 Buka Sheet LOWER</t>
        </is>
      </c>
    </row>
    <row r="25">
      <c r="A25" s="4" t="n">
        <v>21</v>
      </c>
      <c r="B25" s="5" t="inlineStr">
        <is>
          <t>PROPER</t>
        </is>
      </c>
      <c r="C25" s="4" t="inlineStr">
        <is>
          <t>4. Pengolahan Teks</t>
        </is>
      </c>
      <c r="D25" s="6">
        <f>PROPER(teks)</f>
        <v/>
      </c>
      <c r="E25" s="4" t="inlineStr">
        <is>
          <t>Merapikan huruf awal setiap kata menjadi Kapital (Title Case), sangat cocok untuk merapikan daftar Nama Karyawan/Siswa!</t>
        </is>
      </c>
      <c r="F25" s="7" t="inlineStr">
        <is>
          <t>👉 Buka Sheet PROPER</t>
        </is>
      </c>
    </row>
    <row r="26">
      <c r="A26" s="4" t="n">
        <v>22</v>
      </c>
      <c r="B26" s="5" t="inlineStr">
        <is>
          <t>CONCATENATE</t>
        </is>
      </c>
      <c r="C26" s="4" t="inlineStr">
        <is>
          <t>4. Pengolahan Teks</t>
        </is>
      </c>
      <c r="D26" s="6">
        <f>CONCATENATE(teks1, teks2, ...)</f>
        <v/>
      </c>
      <c r="E26" s="4" t="inlineStr">
        <is>
          <t>Menggabungkan beberapa sel teks menjadi satu kalimat utuh (Misal: Nama Depan + Spasi + Nama Belakang).</t>
        </is>
      </c>
      <c r="F26" s="7" t="inlineStr">
        <is>
          <t>👉 Buka Sheet CONCATENATE</t>
        </is>
      </c>
    </row>
    <row r="27">
      <c r="A27" s="4" t="n">
        <v>23</v>
      </c>
      <c r="B27" s="5" t="inlineStr">
        <is>
          <t>EXACT</t>
        </is>
      </c>
      <c r="C27" s="4" t="inlineStr">
        <is>
          <t>4. Pengolahan Teks</t>
        </is>
      </c>
      <c r="D27" s="6">
        <f>EXACT(teks1, teks2)</f>
        <v/>
      </c>
      <c r="E27" s="4" t="inlineStr">
        <is>
          <t>Membandingkan apakah dua teks SAMA PERSIS hingga ke huruf besar-kecilnya (Case-Sensitive).</t>
        </is>
      </c>
      <c r="F27" s="7" t="inlineStr">
        <is>
          <t>👉 Buka Sheet EXACT</t>
        </is>
      </c>
    </row>
    <row r="28">
      <c r="A28" s="4" t="n">
        <v>24</v>
      </c>
      <c r="B28" s="5" t="inlineStr">
        <is>
          <t>FIND</t>
        </is>
      </c>
      <c r="C28" s="4" t="inlineStr">
        <is>
          <t>4. Pengolahan Teks</t>
        </is>
      </c>
      <c r="D28" s="6">
        <f>FIND(huruf_dicari, di_dalam_teks)</f>
        <v/>
      </c>
      <c r="E28" s="4" t="inlineStr">
        <is>
          <t>Mencari posisi urutan karakter tertentu di dalam teks (membedakan huruf besar dan kecil).</t>
        </is>
      </c>
      <c r="F28" s="7" t="inlineStr">
        <is>
          <t>👉 Buka Sheet FIND</t>
        </is>
      </c>
    </row>
    <row r="29">
      <c r="A29" s="4" t="n">
        <v>25</v>
      </c>
      <c r="B29" s="5" t="inlineStr">
        <is>
          <t>SEARCH</t>
        </is>
      </c>
      <c r="C29" s="4" t="inlineStr">
        <is>
          <t>4. Pengolahan Teks</t>
        </is>
      </c>
      <c r="D29" s="6">
        <f>SEARCH(huruf_dicari, di_dalam_teks)</f>
        <v/>
      </c>
      <c r="E29" s="4" t="inlineStr">
        <is>
          <t>Mencari posisi urutan karakter di dalam teks tanpa mempermasalahkan huruf besar/kecil.</t>
        </is>
      </c>
      <c r="F29" s="7" t="inlineStr">
        <is>
          <t>👉 Buka Sheet SEARCH</t>
        </is>
      </c>
    </row>
    <row r="30">
      <c r="A30" s="4" t="n">
        <v>26</v>
      </c>
      <c r="B30" s="5" t="inlineStr">
        <is>
          <t>SUBSTITUTE</t>
        </is>
      </c>
      <c r="C30" s="4" t="inlineStr">
        <is>
          <t>4. Pengolahan Teks</t>
        </is>
      </c>
      <c r="D30" s="6">
        <f>SUBSTITUTE(teks, teks_lama, teks_baru)</f>
        <v/>
      </c>
      <c r="E30" s="4" t="inlineStr">
        <is>
          <t>Mengganti kata/simbol tertentu dengan kata/simbol baru secara otomatis (Misal: ganti tanda '-' menjadi '/').</t>
        </is>
      </c>
      <c r="F30" s="7" t="inlineStr">
        <is>
          <t>👉 Buka Sheet SUBSTITUTE</t>
        </is>
      </c>
    </row>
    <row r="31">
      <c r="A31" s="4" t="n">
        <v>27</v>
      </c>
      <c r="B31" s="5" t="inlineStr">
        <is>
          <t>REPLACE</t>
        </is>
      </c>
      <c r="C31" s="4" t="inlineStr">
        <is>
          <t>4. Pengolahan Teks</t>
        </is>
      </c>
      <c r="D31" s="6">
        <f>REPLACE(teks_lama, mulai_ke, jumlah_diganti, teks_baru)</f>
        <v/>
      </c>
      <c r="E31" s="4" t="inlineStr">
        <is>
          <t>Mengganti sebagian karakter berdasarkan posisi urutannya (Misal: menyensor 4 angka tengah nomor kartu).</t>
        </is>
      </c>
      <c r="F31" s="7" t="inlineStr">
        <is>
          <t>👉 Buka Sheet REPLACE</t>
        </is>
      </c>
    </row>
    <row r="32">
      <c r="A32" s="4" t="n">
        <v>28</v>
      </c>
      <c r="B32" s="5" t="inlineStr">
        <is>
          <t>REPT</t>
        </is>
      </c>
      <c r="C32" s="4" t="inlineStr">
        <is>
          <t>4. Pengolahan Teks</t>
        </is>
      </c>
      <c r="D32" s="6">
        <f>REPT(teks, jumlah_ulang)</f>
        <v/>
      </c>
      <c r="E32" s="4" t="inlineStr">
        <is>
          <t>Mengulang teks atau simbol berkali-kali (Sering dipakai membuat grafik bintang '⭐⭐⭐⭐⭐' langsung di dalam sel!).</t>
        </is>
      </c>
      <c r="F32" s="7" t="inlineStr">
        <is>
          <t>👉 Buka Sheet REPT</t>
        </is>
      </c>
    </row>
    <row r="33">
      <c r="A33" s="4" t="n">
        <v>29</v>
      </c>
      <c r="B33" s="5" t="inlineStr">
        <is>
          <t>VALUE</t>
        </is>
      </c>
      <c r="C33" s="4" t="inlineStr">
        <is>
          <t>4. Pengolahan Teks</t>
        </is>
      </c>
      <c r="D33" s="6">
        <f>VALUE(teks_angka)</f>
        <v/>
      </c>
      <c r="E33" s="4" t="inlineStr">
        <is>
          <t>Mengubah angka yang berformat Teks (biasanya hasil impor sistem) menjadi Angka Murni agar bisa dijumlahkan.</t>
        </is>
      </c>
      <c r="F33" s="7" t="inlineStr">
        <is>
          <t>👉 Buka Sheet VALUE</t>
        </is>
      </c>
    </row>
    <row r="34">
      <c r="A34" s="4" t="n">
        <v>30</v>
      </c>
      <c r="B34" s="5" t="inlineStr">
        <is>
          <t>TEXT</t>
        </is>
      </c>
      <c r="C34" s="4" t="inlineStr">
        <is>
          <t>4. Pengolahan Teks</t>
        </is>
      </c>
      <c r="D34" s="6">
        <f>TEXT(nilai, format_teks)</f>
        <v/>
      </c>
      <c r="E34" s="4" t="inlineStr">
        <is>
          <t>Mengubah angka atau tanggal menjadi teks dengan format tampilan cantik seperti 'Rp 1.500.000' atau 'Senin, 12 Okt'.</t>
        </is>
      </c>
      <c r="F34" s="7" t="inlineStr">
        <is>
          <t>👉 Buka Sheet TEXT</t>
        </is>
      </c>
    </row>
    <row r="35">
      <c r="A35" s="4" t="n">
        <v>31</v>
      </c>
      <c r="B35" s="5" t="inlineStr">
        <is>
          <t>DATE</t>
        </is>
      </c>
      <c r="C35" s="4" t="inlineStr">
        <is>
          <t>5. Tanggal &amp; Waktu HRD</t>
        </is>
      </c>
      <c r="D35" s="6">
        <f>DATE(tahun, bulan, tanggal)</f>
        <v/>
      </c>
      <c r="E35" s="4" t="inlineStr">
        <is>
          <t>Merakit angka Tahun, Bulan, dan Tanggal yang terpisah menjadi satu Tanggal Resmi Excel.</t>
        </is>
      </c>
      <c r="F35" s="7" t="inlineStr">
        <is>
          <t>👉 Buka Sheet DATE</t>
        </is>
      </c>
    </row>
    <row r="36">
      <c r="A36" s="4" t="n">
        <v>32</v>
      </c>
      <c r="B36" s="5" t="inlineStr">
        <is>
          <t>YEAR</t>
        </is>
      </c>
      <c r="C36" s="4" t="inlineStr">
        <is>
          <t>5. Tanggal &amp; Waktu HRD</t>
        </is>
      </c>
      <c r="D36" s="6">
        <f>YEAR(tanggal)</f>
        <v/>
      </c>
      <c r="E36" s="4" t="inlineStr">
        <is>
          <t>Mengambil angka TAHUN saja (misal 2026) dari sebuah sel tanggal.</t>
        </is>
      </c>
      <c r="F36" s="7" t="inlineStr">
        <is>
          <t>👉 Buka Sheet YEAR</t>
        </is>
      </c>
    </row>
    <row r="37">
      <c r="A37" s="4" t="n">
        <v>33</v>
      </c>
      <c r="B37" s="5" t="inlineStr">
        <is>
          <t>MONTH</t>
        </is>
      </c>
      <c r="C37" s="4" t="inlineStr">
        <is>
          <t>5. Tanggal &amp; Waktu HRD</t>
        </is>
      </c>
      <c r="D37" s="6">
        <f>MONTH(tanggal)</f>
        <v/>
      </c>
      <c r="E37" s="4" t="inlineStr">
        <is>
          <t>Mengambil angka BULAN saja (1 sampai 12) dari sebuah sel tanggal.</t>
        </is>
      </c>
      <c r="F37" s="7" t="inlineStr">
        <is>
          <t>👉 Buka Sheet MONTH</t>
        </is>
      </c>
    </row>
    <row r="38">
      <c r="A38" s="4" t="n">
        <v>34</v>
      </c>
      <c r="B38" s="5" t="inlineStr">
        <is>
          <t>DAY</t>
        </is>
      </c>
      <c r="C38" s="4" t="inlineStr">
        <is>
          <t>5. Tanggal &amp; Waktu HRD</t>
        </is>
      </c>
      <c r="D38" s="6">
        <f>DAY(tanggal)</f>
        <v/>
      </c>
      <c r="E38" s="4" t="inlineStr">
        <is>
          <t>Mengambil angka HARI/TANGGAL saja (1 sampai 31) dari sebuah sel tanggal.</t>
        </is>
      </c>
      <c r="F38" s="7" t="inlineStr">
        <is>
          <t>👉 Buka Sheet DAY</t>
        </is>
      </c>
    </row>
    <row r="39">
      <c r="A39" s="4" t="n">
        <v>35</v>
      </c>
      <c r="B39" s="5" t="inlineStr">
        <is>
          <t>DAYS</t>
        </is>
      </c>
      <c r="C39" s="4" t="inlineStr">
        <is>
          <t>5. Tanggal &amp; Waktu HRD</t>
        </is>
      </c>
      <c r="D39" s="6">
        <f>DAYS(tanggal_akhir, tanggal_awal)</f>
        <v/>
      </c>
      <c r="E39" s="4" t="inlineStr">
        <is>
          <t>Menghitung jumlah selisih hari antara dua tanggal (Misal: lama hari pinjam buku atau jatuh tempo invoice).</t>
        </is>
      </c>
      <c r="F39" s="7" t="inlineStr">
        <is>
          <t>👉 Buka Sheet DAYS</t>
        </is>
      </c>
    </row>
    <row r="40">
      <c r="A40" s="4" t="n">
        <v>36</v>
      </c>
      <c r="B40" s="5" t="inlineStr">
        <is>
          <t>DATEDIF</t>
        </is>
      </c>
      <c r="C40" s="4" t="inlineStr">
        <is>
          <t>5. Tanggal &amp; Waktu HRD</t>
        </is>
      </c>
      <c r="D40" s="6">
        <f>DATEDIF(tgl_awal, tgl_akhir, "Y")</f>
        <v/>
      </c>
      <c r="E40" s="4" t="inlineStr">
        <is>
          <t>Rumus rahasia HRD untuk menghitung Umur Karyawan atau Masa Kerja dalam Tahun ('Y'), Bulan ('M'), atau Hari ('D').</t>
        </is>
      </c>
      <c r="F40" s="7" t="inlineStr">
        <is>
          <t>👉 Buka Sheet DATEDIF</t>
        </is>
      </c>
    </row>
    <row r="41">
      <c r="A41" s="4" t="n">
        <v>37</v>
      </c>
      <c r="B41" s="5" t="inlineStr">
        <is>
          <t>EDATE</t>
        </is>
      </c>
      <c r="C41" s="4" t="inlineStr">
        <is>
          <t>5. Tanggal &amp; Waktu HRD</t>
        </is>
      </c>
      <c r="D41" s="6">
        <f>EDATE(tanggal_awal, jumlah_bulan)</f>
        <v/>
      </c>
      <c r="E41" s="4" t="inlineStr">
        <is>
          <t>Mencari tanggal jatuh tempo persis sekian bulan ke depan atau ke belakang (Misal: masa habis kontrak 6 bulan lagi).</t>
        </is>
      </c>
      <c r="F41" s="7" t="inlineStr">
        <is>
          <t>👉 Buka Sheet EDATE</t>
        </is>
      </c>
    </row>
    <row r="42">
      <c r="A42" s="4" t="n">
        <v>38</v>
      </c>
      <c r="B42" s="5" t="inlineStr">
        <is>
          <t>EOMONTH</t>
        </is>
      </c>
      <c r="C42" s="4" t="inlineStr">
        <is>
          <t>5. Tanggal &amp; Waktu HRD</t>
        </is>
      </c>
      <c r="D42" s="6">
        <f>EOMONTH(tanggal_awal, jumlah_bulan)</f>
        <v/>
      </c>
      <c r="E42" s="4" t="inlineStr">
        <is>
          <t>Mencari tanggal AKHIR BULAN (End of Month) untuk tutup buku akuntansi atau tanggal gajian akhir bulan.</t>
        </is>
      </c>
      <c r="F42" s="7" t="inlineStr">
        <is>
          <t>👉 Buka Sheet EOMONTH</t>
        </is>
      </c>
    </row>
    <row r="43">
      <c r="A43" s="4" t="n">
        <v>39</v>
      </c>
      <c r="B43" s="5" t="inlineStr">
        <is>
          <t>NETWORKDAYS</t>
        </is>
      </c>
      <c r="C43" s="4" t="inlineStr">
        <is>
          <t>5. Tanggal &amp; Waktu HRD</t>
        </is>
      </c>
      <c r="D43" s="6">
        <f>NETWORKDAYS(tgl_awal, tgl_akhir)</f>
        <v/>
      </c>
      <c r="E43" s="4" t="inlineStr">
        <is>
          <t>Menghitung jumlah HARI KERJA EFEKTIF (otomatis memotong hari Sabtu dan Minggu!). Sangat krusial untuk absensi &amp; gaji.</t>
        </is>
      </c>
      <c r="F43" s="7" t="inlineStr">
        <is>
          <t>👉 Buka Sheet NETWORKDAYS</t>
        </is>
      </c>
    </row>
    <row r="44">
      <c r="A44" s="4" t="n">
        <v>40</v>
      </c>
      <c r="B44" s="5" t="inlineStr">
        <is>
          <t>WORKDAY</t>
        </is>
      </c>
      <c r="C44" s="4" t="inlineStr">
        <is>
          <t>5. Tanggal &amp; Waktu HRD</t>
        </is>
      </c>
      <c r="D44" s="6">
        <f>WORKDAY(tgl_awal, jumlah_hari_kerja)</f>
        <v/>
      </c>
      <c r="E44" s="4" t="inlineStr">
        <is>
          <t>Menentukan tanggal selesai proyek jika dikerjakan selama N hari kerja (otomatis melompati Sabtu-Minggu).</t>
        </is>
      </c>
      <c r="F44" s="7" t="inlineStr">
        <is>
          <t>👉 Buka Sheet WORKDAY</t>
        </is>
      </c>
    </row>
    <row r="45">
      <c r="A45" s="4" t="n">
        <v>41</v>
      </c>
      <c r="B45" s="5" t="inlineStr">
        <is>
          <t>WEEKDAY</t>
        </is>
      </c>
      <c r="C45" s="4" t="inlineStr">
        <is>
          <t>5. Tanggal &amp; Waktu HRD</t>
        </is>
      </c>
      <c r="D45" s="6">
        <f>WEEKDAY(tanggal)</f>
        <v/>
      </c>
      <c r="E45" s="4" t="inlineStr">
        <is>
          <t>Mengecek hari ke berapa dalam seminggu (1=Minggu s/d 7=Sabtu) untuk menentukan tarif lembur akhir pekan.</t>
        </is>
      </c>
      <c r="F45" s="7" t="inlineStr">
        <is>
          <t>👉 Buka Sheet WEEKDAY</t>
        </is>
      </c>
    </row>
    <row r="46">
      <c r="A46" s="4" t="n">
        <v>42</v>
      </c>
      <c r="B46" s="5" t="inlineStr">
        <is>
          <t>WEEKNUM</t>
        </is>
      </c>
      <c r="C46" s="4" t="inlineStr">
        <is>
          <t>5. Tanggal &amp; Waktu HRD</t>
        </is>
      </c>
      <c r="D46" s="6">
        <f>WEEKNUM(tanggal)</f>
        <v/>
      </c>
      <c r="E46" s="4" t="inlineStr">
        <is>
          <t>Mengecek tanggal tersebut jatuh pada minggu ke berapa dalam 1 tahun (Minggu ke-1 s/d ke-52).</t>
        </is>
      </c>
      <c r="F46" s="7" t="inlineStr">
        <is>
          <t>👉 Buka Sheet WEEKNUM</t>
        </is>
      </c>
    </row>
    <row r="47">
      <c r="A47" s="4" t="n">
        <v>43</v>
      </c>
      <c r="B47" s="5" t="inlineStr">
        <is>
          <t>HOUR</t>
        </is>
      </c>
      <c r="C47" s="4" t="inlineStr">
        <is>
          <t>5. Tanggal &amp; Waktu HRD</t>
        </is>
      </c>
      <c r="D47" s="6">
        <f>HOUR(waktu)</f>
        <v/>
      </c>
      <c r="E47" s="4" t="inlineStr">
        <is>
          <t>Mengambil angka JAM (0–23) dari data waktu absensi finger-print.</t>
        </is>
      </c>
      <c r="F47" s="7" t="inlineStr">
        <is>
          <t>👉 Buka Sheet HOUR</t>
        </is>
      </c>
    </row>
    <row r="48">
      <c r="A48" s="4" t="n">
        <v>44</v>
      </c>
      <c r="B48" s="5" t="inlineStr">
        <is>
          <t>MINUTE</t>
        </is>
      </c>
      <c r="C48" s="4" t="inlineStr">
        <is>
          <t>5. Tanggal &amp; Waktu HRD</t>
        </is>
      </c>
      <c r="D48" s="6">
        <f>MINUTE(waktu)</f>
        <v/>
      </c>
      <c r="E48" s="4" t="inlineStr">
        <is>
          <t>Mengambil angka MENIT (0–59) dari data waktu untuk menghitung keterlambatan masuk kantor.</t>
        </is>
      </c>
      <c r="F48" s="7" t="inlineStr">
        <is>
          <t>👉 Buka Sheet MINUTE</t>
        </is>
      </c>
    </row>
    <row r="49">
      <c r="A49" s="4" t="n">
        <v>45</v>
      </c>
      <c r="B49" s="5" t="inlineStr">
        <is>
          <t>SECOND</t>
        </is>
      </c>
      <c r="C49" s="4" t="inlineStr">
        <is>
          <t>5. Tanggal &amp; Waktu HRD</t>
        </is>
      </c>
      <c r="D49" s="6">
        <f>SECOND(waktu)</f>
        <v/>
      </c>
      <c r="E49" s="4" t="inlineStr">
        <is>
          <t>Mengambil angka DETIK (0–59) dari catatan waktu.</t>
        </is>
      </c>
      <c r="F49" s="7" t="inlineStr">
        <is>
          <t>👉 Buka Sheet SECOND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#001 — RUMUS EXCEL: VLOOKUP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(VLOOKUP)</t>
        </is>
      </c>
    </row>
    <row r="5" ht="21" customHeight="1">
      <c r="B5" s="12" t="inlineStr">
        <is>
          <t>Nama Rumus Excel</t>
        </is>
      </c>
      <c r="C5" s="13">
        <f>VLOOKUP(...)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VLOOKUP(nilai_dicari, tabel_referensi, nomor_kolom, FALSE)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data secara VERTIKAL (dari atas ke bawah) di kolom paling kiri tabel, lalu mengambil data di sebelah kanannya (Misal: ketik NIP, otomatis muncul Nama &amp; Gaji!).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VLOOKUP)</t>
        </is>
      </c>
    </row>
    <row r="10">
      <c r="B10" s="16" t="inlineStr">
        <is>
          <t>Kode Barang (Kol 1)</t>
        </is>
      </c>
      <c r="C10" s="16" t="inlineStr">
        <is>
          <t>Harga Barang (Kol 2)</t>
        </is>
      </c>
      <c r="E10" s="17" t="inlineStr">
        <is>
          <t>💡 CONTOH RUMUS YANG SUDAH TERPASANG AKTIF:</t>
        </is>
      </c>
    </row>
    <row r="11">
      <c r="B11" s="18" t="inlineStr">
        <is>
          <t>K01</t>
        </is>
      </c>
      <c r="C11" s="18" t="n">
        <v>1250000</v>
      </c>
      <c r="E11" s="19" t="inlineStr">
        <is>
          <t>Kasus Contoh:</t>
        </is>
      </c>
      <c r="F11" s="20" t="inlineStr">
        <is>
          <t>Gunakan VLOOKUP untuk mencari kode "K01" pada tabel B11:C14, ambil kolom ke-2, dengan FALSE (exact match)!</t>
        </is>
      </c>
    </row>
    <row r="12">
      <c r="B12" s="18" t="inlineStr">
        <is>
          <t>K02</t>
        </is>
      </c>
      <c r="C12" s="18" t="n">
        <v>1850000</v>
      </c>
      <c r="E12" s="19" t="inlineStr">
        <is>
          <t>Rumus yang Diketik:</t>
        </is>
      </c>
      <c r="F12" s="21" t="inlineStr">
        <is>
          <t>'=VLOOKUP("K01", B11:C14, 2, FALSE)</t>
        </is>
      </c>
    </row>
    <row r="13">
      <c r="B13" s="18" t="inlineStr">
        <is>
          <t>K03</t>
        </is>
      </c>
      <c r="C13" s="18" t="n">
        <v>2100000</v>
      </c>
      <c r="E13" s="19" t="inlineStr">
        <is>
          <t>Hasil Otomatis Excel:</t>
        </is>
      </c>
      <c r="F13" s="22">
        <f>VLOOKUP("K01", B11:C14, 2, FALSE)</f>
        <v/>
      </c>
    </row>
    <row r="14">
      <c r="B14" s="18" t="inlineStr">
        <is>
          <t>K04</t>
        </is>
      </c>
      <c r="C14" s="18" t="n">
        <v>1600000</v>
      </c>
    </row>
    <row r="16" ht="26" customHeight="1">
      <c r="B16" s="23" t="inlineStr">
        <is>
          <t>3️⃣ 5 PERSOALAN DUNIA NYATA (KETIK RUMUS VLOOKUP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Kode Barang (Kol 1)</t>
        </is>
      </c>
      <c r="C19" s="12" t="inlineStr">
        <is>
          <t>Harga Barang (Kol 2)</t>
        </is>
      </c>
      <c r="E19" s="25" t="inlineStr">
        <is>
          <t>Persoalan #1: Gunakan VLOOKUP untuk mencari kode "K01" pada tabel B20:C23, ambil kolom ke-2, dengan FALSE (exact match)!</t>
        </is>
      </c>
    </row>
    <row r="20">
      <c r="B20" s="18" t="inlineStr">
        <is>
          <t>K01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K02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VLOOKUP("K01", B20:C23, 2, FALSE)</f>
        <v/>
      </c>
      <c r="H21" s="29" t="inlineStr">
        <is>
          <t>Ketik: =VLOOKUP("K01", B20:C23, 2, FALSE)</t>
        </is>
      </c>
    </row>
    <row r="22">
      <c r="B22" s="18" t="inlineStr">
        <is>
          <t>K03</t>
        </is>
      </c>
      <c r="C22" s="18" t="n">
        <v>2100000</v>
      </c>
    </row>
    <row r="23">
      <c r="B23" s="18" t="inlineStr">
        <is>
          <t>K04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Kode Barang (Kol 1)</t>
        </is>
      </c>
      <c r="C27" s="12" t="inlineStr">
        <is>
          <t>Harga Barang (Kol 2)</t>
        </is>
      </c>
      <c r="E27" s="25" t="inlineStr">
        <is>
          <t>Persoalan #2: Gunakan VLOOKUP untuk mencari kode "K02" pada tabel B28:C31, ambil kolom ke-2, dengan FALSE (exact match)!</t>
        </is>
      </c>
    </row>
    <row r="28">
      <c r="B28" s="18" t="inlineStr">
        <is>
          <t>K01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K02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VLOOKUP("K02", B28:C31, 2, FALSE)</f>
        <v/>
      </c>
      <c r="H29" s="29" t="inlineStr">
        <is>
          <t>Ketik: =VLOOKUP("K02", B28:C31, 2, FALSE)</t>
        </is>
      </c>
    </row>
    <row r="30">
      <c r="B30" s="18" t="inlineStr">
        <is>
          <t>K03</t>
        </is>
      </c>
      <c r="C30" s="18" t="n">
        <v>4800000</v>
      </c>
    </row>
    <row r="31">
      <c r="B31" s="18" t="inlineStr">
        <is>
          <t>K04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Kode Barang (Kol 1)</t>
        </is>
      </c>
      <c r="C35" s="12" t="inlineStr">
        <is>
          <t>Harga Barang (Kol 2)</t>
        </is>
      </c>
      <c r="E35" s="25" t="inlineStr">
        <is>
          <t>Persoalan #3: Gunakan VLOOKUP untuk mencari kode "K03" pada tabel B36:C39, ambil kolom ke-2, dengan FALSE (exact match)!</t>
        </is>
      </c>
    </row>
    <row r="36">
      <c r="B36" s="18" t="inlineStr">
        <is>
          <t>K01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K02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VLOOKUP("K03", B36:C39, 2, FALSE)</f>
        <v/>
      </c>
      <c r="H37" s="29" t="inlineStr">
        <is>
          <t>Ketik: =VLOOKUP("K03", B36:C39, 2, FALSE)</t>
        </is>
      </c>
    </row>
    <row r="38">
      <c r="B38" s="18" t="inlineStr">
        <is>
          <t>K03</t>
        </is>
      </c>
      <c r="C38" s="18" t="n">
        <v>195</v>
      </c>
    </row>
    <row r="39">
      <c r="B39" s="18" t="inlineStr">
        <is>
          <t>K04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Kode Barang (Kol 1)</t>
        </is>
      </c>
      <c r="C43" s="12" t="inlineStr">
        <is>
          <t>Harga Barang (Kol 2)</t>
        </is>
      </c>
      <c r="E43" s="25" t="inlineStr">
        <is>
          <t>Persoalan #4: Gunakan VLOOKUP untuk mencari kode "K04" pada tabel B44:C47, ambil kolom ke-2, dengan FALSE (exact match)!</t>
        </is>
      </c>
    </row>
    <row r="44">
      <c r="B44" s="18" t="inlineStr">
        <is>
          <t>K01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K02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VLOOKUP("K04", B44:C47, 2, FALSE)</f>
        <v/>
      </c>
      <c r="H45" s="29" t="inlineStr">
        <is>
          <t>Ketik: =VLOOKUP("K04", B44:C47, 2, FALSE)</t>
        </is>
      </c>
    </row>
    <row r="46">
      <c r="B46" s="18" t="inlineStr">
        <is>
          <t>K03</t>
        </is>
      </c>
      <c r="C46" s="18" t="n">
        <v>78</v>
      </c>
    </row>
    <row r="47">
      <c r="B47" s="18" t="inlineStr">
        <is>
          <t>K04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Kode Barang (Kol 1)</t>
        </is>
      </c>
      <c r="C51" s="12" t="inlineStr">
        <is>
          <t>Harga Barang (Kol 2)</t>
        </is>
      </c>
      <c r="E51" s="25" t="inlineStr">
        <is>
          <t>Persoalan #5: Gunakan VLOOKUP untuk mencari kode "K01" pada tabel B52:C55, ambil kolom ke-2, dengan FALSE (exact match)!</t>
        </is>
      </c>
    </row>
    <row r="52">
      <c r="B52" s="18" t="inlineStr">
        <is>
          <t>K01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K02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VLOOKUP("K01", B52:C55, 2, FALSE)</f>
        <v/>
      </c>
      <c r="H53" s="29" t="inlineStr">
        <is>
          <t>Ketik: =VLOOKUP("K01", B52:C55, 2, FALSE)</t>
        </is>
      </c>
    </row>
    <row r="54">
      <c r="B54" s="18" t="inlineStr">
        <is>
          <t>K03</t>
        </is>
      </c>
      <c r="C54" s="18" t="n">
        <v>91</v>
      </c>
    </row>
    <row r="55">
      <c r="B55" s="18" t="inlineStr">
        <is>
          <t>K04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#002 — RUMUS EXCEL: HLOOKUP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(HLOOKUP)</t>
        </is>
      </c>
    </row>
    <row r="5" ht="21" customHeight="1">
      <c r="B5" s="12" t="inlineStr">
        <is>
          <t>Nama Rumus Excel</t>
        </is>
      </c>
      <c r="C5" s="13">
        <f>HLOOKUP(...)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HLOOKUP(nilai_dicari, tabel_referensi, nomor_baris, FALSE)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data secara HORIZONTAL (menyamping di baris paling atas), lalu mengambil data di baris bawahnya.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HLOOKUP)</t>
        </is>
      </c>
    </row>
    <row r="10">
      <c r="B10" s="16" t="inlineStr">
        <is>
          <t>Baris Data</t>
        </is>
      </c>
      <c r="C10" s="16" t="inlineStr">
        <is>
          <t>Nilai Tabel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HLOOKUP untuk mencari nilai C11 pada blok C11:C14 dan mengambil baris ke-2!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'=HLOOKUP(C11, C11:C14, 2, FALSE)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HLOOKUP(C11, C11:C14, 2, FALSE)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HLOOKUP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Baris Data</t>
        </is>
      </c>
      <c r="C19" s="12" t="inlineStr">
        <is>
          <t>Nilai Tabel</t>
        </is>
      </c>
      <c r="E19" s="25" t="inlineStr">
        <is>
          <t>Persoalan #1: Gunakan HLOOKUP untuk mencari nilai C20 pada blok C20:C23 dan mengambil baris ke-2!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HLOOKUP(C20, C20:C23, 2, FALSE)</f>
        <v/>
      </c>
      <c r="H21" s="29" t="inlineStr">
        <is>
          <t>Ketik: =HLOOKUP(C20, C20:C23, 2, FALSE)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Baris Data</t>
        </is>
      </c>
      <c r="C27" s="12" t="inlineStr">
        <is>
          <t>Nilai Tabel</t>
        </is>
      </c>
      <c r="E27" s="25" t="inlineStr">
        <is>
          <t>Persoalan #2: Gunakan HLOOKUP untuk mencari nilai C28 pada blok C28:C31 dan mengambil baris ke-2!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HLOOKUP(C28, C28:C31, 2, FALSE)</f>
        <v/>
      </c>
      <c r="H29" s="29" t="inlineStr">
        <is>
          <t>Ketik: =HLOOKUP(C28, C28:C31, 2, FALSE)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Baris Data</t>
        </is>
      </c>
      <c r="C35" s="12" t="inlineStr">
        <is>
          <t>Nilai Tabel</t>
        </is>
      </c>
      <c r="E35" s="25" t="inlineStr">
        <is>
          <t>Persoalan #3: Gunakan HLOOKUP untuk mencari nilai C36 pada blok C36:C39 dan mengambil baris ke-2!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HLOOKUP(C36, C36:C39, 2, FALSE)</f>
        <v/>
      </c>
      <c r="H37" s="29" t="inlineStr">
        <is>
          <t>Ketik: =HLOOKUP(C36, C36:C39, 2, FALSE)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Baris Data</t>
        </is>
      </c>
      <c r="C43" s="12" t="inlineStr">
        <is>
          <t>Nilai Tabel</t>
        </is>
      </c>
      <c r="E43" s="25" t="inlineStr">
        <is>
          <t>Persoalan #4: Gunakan HLOOKUP untuk mencari nilai C44 pada blok C44:C47 dan mengambil baris ke-2!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HLOOKUP(C44, C44:C47, 2, FALSE)</f>
        <v/>
      </c>
      <c r="H45" s="29" t="inlineStr">
        <is>
          <t>Ketik: =HLOOKUP(C44, C44:C47, 2, FALSE)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Baris Data</t>
        </is>
      </c>
      <c r="C51" s="12" t="inlineStr">
        <is>
          <t>Nilai Tabel</t>
        </is>
      </c>
      <c r="E51" s="25" t="inlineStr">
        <is>
          <t>Persoalan #5: Gunakan HLOOKUP untuk mencari nilai C52 pada blok C52:C55 dan mengambil baris ke-2!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HLOOKUP(C52, C52:C55, 2, FALSE)</f>
        <v/>
      </c>
      <c r="H53" s="29" t="inlineStr">
        <is>
          <t>Ketik: =HLOOKUP(C52, C52:C55, 2, FALSE)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#003 — RUMUS EXCEL: INDEX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(INDEX)</t>
        </is>
      </c>
    </row>
    <row r="5" ht="21" customHeight="1">
      <c r="B5" s="12" t="inlineStr">
        <is>
          <t>Nama Rumus Excel</t>
        </is>
      </c>
      <c r="C5" s="13">
        <f>INDEX(...)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INDEX(range_tabel, nomor_baris, [nomor_kolom])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isi sel berdasarkan koordinat nomor baris dan nomor kolom seperti menunjuk peta harta karun.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INDEX)</t>
        </is>
      </c>
    </row>
    <row r="10">
      <c r="B10" s="16" t="inlineStr">
        <is>
          <t>Nama Item</t>
        </is>
      </c>
      <c r="C10" s="16" t="inlineStr">
        <is>
          <t>Data Nilai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INDEX untuk mengambil data urutan baris ke-1 dari rentang C11:C14!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'=INDEX(C11:C14, 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INDEX(C11:C14, 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INDEX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Item</t>
        </is>
      </c>
      <c r="C19" s="12" t="inlineStr">
        <is>
          <t>Data Nilai</t>
        </is>
      </c>
      <c r="E19" s="25" t="inlineStr">
        <is>
          <t>Persoalan #1: Gunakan rumus INDEX untuk mengambil data urutan baris ke-1 dari rentang C20:C23!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INDEX(C20:C23, 1)</f>
        <v/>
      </c>
      <c r="H21" s="29" t="inlineStr">
        <is>
          <t>Ketik: =INDEX(C20:C23, 1)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Item</t>
        </is>
      </c>
      <c r="C27" s="12" t="inlineStr">
        <is>
          <t>Data Nilai</t>
        </is>
      </c>
      <c r="E27" s="25" t="inlineStr">
        <is>
          <t>Persoalan #2: Gunakan rumus INDEX untuk mengambil data urutan baris ke-2 dari rentang C28:C31!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INDEX(C28:C31, 2)</f>
        <v/>
      </c>
      <c r="H29" s="29" t="inlineStr">
        <is>
          <t>Ketik: =INDEX(C28:C31, 2)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Item</t>
        </is>
      </c>
      <c r="C35" s="12" t="inlineStr">
        <is>
          <t>Data Nilai</t>
        </is>
      </c>
      <c r="E35" s="25" t="inlineStr">
        <is>
          <t>Persoalan #3: Gunakan rumus INDEX untuk mengambil data urutan baris ke-3 dari rentang C36:C39!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INDEX(C36:C39, 3)</f>
        <v/>
      </c>
      <c r="H37" s="29" t="inlineStr">
        <is>
          <t>Ketik: =INDEX(C36:C39, 3)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Item</t>
        </is>
      </c>
      <c r="C43" s="12" t="inlineStr">
        <is>
          <t>Data Nilai</t>
        </is>
      </c>
      <c r="E43" s="25" t="inlineStr">
        <is>
          <t>Persoalan #4: Gunakan rumus INDEX untuk mengambil data urutan baris ke-4 dari rentang C44:C47!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INDEX(C44:C47, 4)</f>
        <v/>
      </c>
      <c r="H45" s="29" t="inlineStr">
        <is>
          <t>Ketik: =INDEX(C44:C47, 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Item</t>
        </is>
      </c>
      <c r="C51" s="12" t="inlineStr">
        <is>
          <t>Data Nilai</t>
        </is>
      </c>
      <c r="E51" s="25" t="inlineStr">
        <is>
          <t>Persoalan #5: Gunakan rumus INDEX untuk mengambil data urutan baris ke-1 dari rentang C52:C55!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INDEX(C52:C55, 1)</f>
        <v/>
      </c>
      <c r="H53" s="29" t="inlineStr">
        <is>
          <t>Ketik: =INDEX(C52:C55, 1)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#004 — RUMUS EXCEL: MATCH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(MATCH)</t>
        </is>
      </c>
    </row>
    <row r="5" ht="21" customHeight="1">
      <c r="B5" s="12" t="inlineStr">
        <is>
          <t>Nama Rumus Excel</t>
        </is>
      </c>
      <c r="C5" s="13">
        <f>MATCH(...)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MATCH(nilai_dicari, range_satu_kolom, 0)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tahu suatu barang berada di urutan BARIS KE BERAPA di dalam daftar.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MATCH)</t>
        </is>
      </c>
    </row>
    <row r="10">
      <c r="B10" s="16" t="inlineStr">
        <is>
          <t>Daftar Nama</t>
        </is>
      </c>
      <c r="C10" s="16" t="inlineStr">
        <is>
          <t>Skor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MATCH untuk mencari posisi baris dari "Cabang Jakarta" di dalam rentang B11:B14 (tipe 0)!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'=MATCH("Cabang Jakarta", B11:B14, 0)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MATCH("Cabang Jakarta", B11:B14, 0)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MATCH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Daftar Nama</t>
        </is>
      </c>
      <c r="C19" s="12" t="inlineStr">
        <is>
          <t>Skor</t>
        </is>
      </c>
      <c r="E19" s="25" t="inlineStr">
        <is>
          <t>Persoalan #1: Gunakan rumus MATCH untuk mencari posisi baris dari "Cabang Jakarta" di dalam rentang B20:B23 (tipe 0)!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MATCH("Cabang Jakarta", B20:B23, 0)</f>
        <v/>
      </c>
      <c r="H21" s="29" t="inlineStr">
        <is>
          <t>Ketik: =MATCH("Cabang Jakarta", B20:B23, 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Daftar Nama</t>
        </is>
      </c>
      <c r="C27" s="12" t="inlineStr">
        <is>
          <t>Skor</t>
        </is>
      </c>
      <c r="E27" s="25" t="inlineStr">
        <is>
          <t>Persoalan #2: Gunakan rumus MATCH untuk mencari posisi baris dari "Siti Aminah" di dalam rentang B28:B31 (tipe 0)!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MATCH("Siti Aminah", B28:B31, 0)</f>
        <v/>
      </c>
      <c r="H29" s="29" t="inlineStr">
        <is>
          <t>Ketik: =MATCH("Siti Aminah", B28:B31, 0)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Daftar Nama</t>
        </is>
      </c>
      <c r="C35" s="12" t="inlineStr">
        <is>
          <t>Skor</t>
        </is>
      </c>
      <c r="E35" s="25" t="inlineStr">
        <is>
          <t>Persoalan #3: Gunakan rumus MATCH untuk mencari posisi baris dari "Gudang Blok C" di dalam rentang B36:B39 (tipe 0)!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MATCH("Gudang Blok C", B36:B39, 0)</f>
        <v/>
      </c>
      <c r="H37" s="29" t="inlineStr">
        <is>
          <t>Ketik: =MATCH("Gudang Blok C", B36:B39, 0)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Daftar Nama</t>
        </is>
      </c>
      <c r="C43" s="12" t="inlineStr">
        <is>
          <t>Skor</t>
        </is>
      </c>
      <c r="E43" s="25" t="inlineStr">
        <is>
          <t>Persoalan #4: Gunakan rumus MATCH untuk mencari posisi baris dari "Toko Servis" di dalam rentang B44:B47 (tipe 0)!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MATCH("Toko Servis", B44:B47, 0)</f>
        <v/>
      </c>
      <c r="H45" s="29" t="inlineStr">
        <is>
          <t>Ketik: =MATCH("Toko Servis", B44:B47, 0)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Daftar Nama</t>
        </is>
      </c>
      <c r="C51" s="12" t="inlineStr">
        <is>
          <t>Skor</t>
        </is>
      </c>
      <c r="E51" s="25" t="inlineStr">
        <is>
          <t>Persoalan #5: Gunakan rumus MATCH untuk mencari posisi baris dari "Kelas 10 IPA" di dalam rentang B52:B55 (tipe 0)!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MATCH("Kelas 10 IPA", B52:B55, 0)</f>
        <v/>
      </c>
      <c r="H53" s="29" t="inlineStr">
        <is>
          <t>Ketik: =MATCH("Kelas 10 IPA", B52:B55, 0)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#005 — RUMUS EXCEL: CHOOSE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(CHOOSE)</t>
        </is>
      </c>
    </row>
    <row r="5" ht="21" customHeight="1">
      <c r="B5" s="12" t="inlineStr">
        <is>
          <t>Nama Rumus Excel</t>
        </is>
      </c>
      <c r="C5" s="13">
        <f>CHOOSE(...)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CHOOSE(nomor_pilihan, nilai1, nilai2, nilai3, 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Memilih hadiah/item dari daftar berdasarkan nomor urut yang ditunjuk (Jika pilih 1 keluar Emas, 2 Perak, 3 Perunggu).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CHOOSE)</t>
        </is>
      </c>
    </row>
    <row r="10">
      <c r="B10" s="16" t="inlineStr">
        <is>
          <t>Opsi Paket</t>
        </is>
      </c>
      <c r="C10" s="16" t="inlineStr">
        <is>
          <t>Nilai Paket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CHOOSE untuk memilih pilihan ke-1 dari daftar sel C11, C12, C13!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'=CHOOSE(1, C11, C12, C13)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CHOOSE(1, C11, C12, C13)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CHOOSE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Opsi Paket</t>
        </is>
      </c>
      <c r="C19" s="12" t="inlineStr">
        <is>
          <t>Nilai Paket</t>
        </is>
      </c>
      <c r="E19" s="25" t="inlineStr">
        <is>
          <t>Persoalan #1: Gunakan CHOOSE untuk memilih pilihan ke-1 dari daftar sel C20, C21, C22!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CHOOSE(1, C20, C21, C22)</f>
        <v/>
      </c>
      <c r="H21" s="29" t="inlineStr">
        <is>
          <t>Ketik: =CHOOSE(1, C20, C21, C22)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Opsi Paket</t>
        </is>
      </c>
      <c r="C27" s="12" t="inlineStr">
        <is>
          <t>Nilai Paket</t>
        </is>
      </c>
      <c r="E27" s="25" t="inlineStr">
        <is>
          <t>Persoalan #2: Gunakan CHOOSE untuk memilih pilihan ke-2 dari daftar sel C28, C29, C30!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CHOOSE(2, C28, C29, C30)</f>
        <v/>
      </c>
      <c r="H29" s="29" t="inlineStr">
        <is>
          <t>Ketik: =CHOOSE(2, C28, C29, C30)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Opsi Paket</t>
        </is>
      </c>
      <c r="C35" s="12" t="inlineStr">
        <is>
          <t>Nilai Paket</t>
        </is>
      </c>
      <c r="E35" s="25" t="inlineStr">
        <is>
          <t>Persoalan #3: Gunakan CHOOSE untuk memilih pilihan ke-3 dari daftar sel C36, C37, C38!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CHOOSE(3, C36, C37, C38)</f>
        <v/>
      </c>
      <c r="H37" s="29" t="inlineStr">
        <is>
          <t>Ketik: =CHOOSE(3, C36, C37, C38)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Opsi Paket</t>
        </is>
      </c>
      <c r="C43" s="12" t="inlineStr">
        <is>
          <t>Nilai Paket</t>
        </is>
      </c>
      <c r="E43" s="25" t="inlineStr">
        <is>
          <t>Persoalan #4: Gunakan CHOOSE untuk memilih pilihan ke-1 dari daftar sel C44, C45, C46!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CHOOSE(1, C44, C45, C46)</f>
        <v/>
      </c>
      <c r="H45" s="29" t="inlineStr">
        <is>
          <t>Ketik: =CHOOSE(1, C44, C45, C46)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Opsi Paket</t>
        </is>
      </c>
      <c r="C51" s="12" t="inlineStr">
        <is>
          <t>Nilai Paket</t>
        </is>
      </c>
      <c r="E51" s="25" t="inlineStr">
        <is>
          <t>Persoalan #5: Gunakan CHOOSE untuk memilih pilihan ke-2 dari daftar sel C52, C53, C54!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CHOOSE(2, C52, C53, C54)</f>
        <v/>
      </c>
      <c r="H53" s="29" t="inlineStr">
        <is>
          <t>Ketik: =CHOOSE(2, C52, C53, C54)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#006 — RUMUS EXCEL: ROW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(ROW)</t>
        </is>
      </c>
    </row>
    <row r="5" ht="21" customHeight="1">
      <c r="B5" s="12" t="inlineStr">
        <is>
          <t>Nama Rumus Excel</t>
        </is>
      </c>
      <c r="C5" s="13">
        <f>ROW(...)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ROW([referensi_sel])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Memberitahu nomor baris tempat sel tersebut berada (Misal: =ROW(B15) menghasilkan angka 15).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ROW)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ROW untuk mengecek nomor baris/kolom dari sel C11!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'=ROW(C11)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ROW(C11)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ROW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rumus ROW untuk mengecek nomor baris/kolom dari sel C20!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ROW(C20)</f>
        <v/>
      </c>
      <c r="H21" s="29" t="inlineStr">
        <is>
          <t>Ketik: =ROW(C20)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rumus ROW untuk mengecek nomor baris/kolom dari sel C28!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ROW(C28)</f>
        <v/>
      </c>
      <c r="H29" s="29" t="inlineStr">
        <is>
          <t>Ketik: =ROW(C28)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rumus ROW untuk mengecek nomor baris/kolom dari sel C36!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ROW(C36)</f>
        <v/>
      </c>
      <c r="H37" s="29" t="inlineStr">
        <is>
          <t>Ketik: =ROW(C36)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rumus ROW untuk mengecek nomor baris/kolom dari sel C44!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ROW(C44)</f>
        <v/>
      </c>
      <c r="H45" s="29" t="inlineStr">
        <is>
          <t>Ketik: =ROW(C44)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rumus ROW untuk mengecek nomor baris/kolom dari sel C52!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ROW(C52)</f>
        <v/>
      </c>
      <c r="H53" s="29" t="inlineStr">
        <is>
          <t>Ketik: =ROW(C52)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#007 — RUMUS EXCEL: ROWS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(ROWS)</t>
        </is>
      </c>
    </row>
    <row r="5" ht="21" customHeight="1">
      <c r="B5" s="12" t="inlineStr">
        <is>
          <t>Nama Rumus Excel</t>
        </is>
      </c>
      <c r="C5" s="13">
        <f>ROWS(...)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ROWS(range)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ada berapa total baris di dalam suatu blok tabel.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ROWS)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ROWS untuk menghitung jumlah baris/kolom pada tabel B11:C14!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'=ROWS(B11:C14)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ROWS(B11:C14)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ROWS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rumus ROWS untuk menghitung jumlah baris/kolom pada tabel B20:C23!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ROWS(B20:C23)</f>
        <v/>
      </c>
      <c r="H21" s="29" t="inlineStr">
        <is>
          <t>Ketik: =ROWS(B20:C23)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rumus ROWS untuk menghitung jumlah baris/kolom pada tabel B28:C31!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ROWS(B28:C31)</f>
        <v/>
      </c>
      <c r="H29" s="29" t="inlineStr">
        <is>
          <t>Ketik: =ROWS(B28:C31)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rumus ROWS untuk menghitung jumlah baris/kolom pada tabel B36:C39!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ROWS(B36:C39)</f>
        <v/>
      </c>
      <c r="H37" s="29" t="inlineStr">
        <is>
          <t>Ketik: =ROWS(B36:C39)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rumus ROWS untuk menghitung jumlah baris/kolom pada tabel B44:C47!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ROWS(B44:C47)</f>
        <v/>
      </c>
      <c r="H45" s="29" t="inlineStr">
        <is>
          <t>Ketik: =ROWS(B44:C47)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rumus ROWS untuk menghitung jumlah baris/kolom pada tabel B52:C55!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ROWS(B52:C55)</f>
        <v/>
      </c>
      <c r="H53" s="29" t="inlineStr">
        <is>
          <t>Ketik: =ROWS(B52:C55)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#008 — RUMUS EXCEL: COLUMN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(COLUMN)</t>
        </is>
      </c>
    </row>
    <row r="5" ht="21" customHeight="1">
      <c r="B5" s="12" t="inlineStr">
        <is>
          <t>Nama Rumus Excel</t>
        </is>
      </c>
      <c r="C5" s="13">
        <f>COLUMN(...)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COLUMN([referensi_sel])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Memberitahu nomor urut kolom suatu sel (Kolom A=1, B=2, C=3, dst.).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COLUMN)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COLUMN untuk mengecek nomor baris/kolom dari sel C11!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'=COLUMN(C11)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COLUMN(C11)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COLUMN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rumus COLUMN untuk mengecek nomor baris/kolom dari sel C20!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COLUMN(C20)</f>
        <v/>
      </c>
      <c r="H21" s="29" t="inlineStr">
        <is>
          <t>Ketik: =COLUMN(C20)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rumus COLUMN untuk mengecek nomor baris/kolom dari sel C28!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COLUMN(C28)</f>
        <v/>
      </c>
      <c r="H29" s="29" t="inlineStr">
        <is>
          <t>Ketik: =COLUMN(C28)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rumus COLUMN untuk mengecek nomor baris/kolom dari sel C36!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COLUMN(C36)</f>
        <v/>
      </c>
      <c r="H37" s="29" t="inlineStr">
        <is>
          <t>Ketik: =COLUMN(C36)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rumus COLUMN untuk mengecek nomor baris/kolom dari sel C44!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COLUMN(C44)</f>
        <v/>
      </c>
      <c r="H45" s="29" t="inlineStr">
        <is>
          <t>Ketik: =COLUMN(C44)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rumus COLUMN untuk mengecek nomor baris/kolom dari sel C52!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COLUMN(C52)</f>
        <v/>
      </c>
      <c r="H53" s="29" t="inlineStr">
        <is>
          <t>Ketik: =COLUMN(C52)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#009 — RUMUS EXCEL: COLUMNS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(COLUMNS)</t>
        </is>
      </c>
    </row>
    <row r="5" ht="21" customHeight="1">
      <c r="B5" s="12" t="inlineStr">
        <is>
          <t>Nama Rumus Excel</t>
        </is>
      </c>
      <c r="C5" s="13">
        <f>COLUMNS(...)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COLUMNS(range)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ada berapa total kolom menyamping di dalam suatu blok tabel.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COLUMNS)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COLUMNS untuk menghitung jumlah baris/kolom pada tabel B11:C14!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'=COLUMNS(B11:C14)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COLUMNS(B11:C14)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COLUMNS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rumus COLUMNS untuk menghitung jumlah baris/kolom pada tabel B20:C23!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COLUMNS(B20:C23)</f>
        <v/>
      </c>
      <c r="H21" s="29" t="inlineStr">
        <is>
          <t>Ketik: =COLUMNS(B20:C23)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rumus COLUMNS untuk menghitung jumlah baris/kolom pada tabel B28:C31!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COLUMNS(B28:C31)</f>
        <v/>
      </c>
      <c r="H29" s="29" t="inlineStr">
        <is>
          <t>Ketik: =COLUMNS(B28:C31)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rumus COLUMNS untuk menghitung jumlah baris/kolom pada tabel B36:C39!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COLUMNS(B36:C39)</f>
        <v/>
      </c>
      <c r="H37" s="29" t="inlineStr">
        <is>
          <t>Ketik: =COLUMNS(B36:C39)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rumus COLUMNS untuk menghitung jumlah baris/kolom pada tabel B44:C47!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COLUMNS(B44:C47)</f>
        <v/>
      </c>
      <c r="H45" s="29" t="inlineStr">
        <is>
          <t>Ketik: =COLUMNS(B44:C47)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rumus COLUMNS untuk menghitung jumlah baris/kolom pada tabel B52:C55!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COLUMNS(B52:C55)</f>
        <v/>
      </c>
      <c r="H53" s="29" t="inlineStr">
        <is>
          <t>Ketik: =COLUMNS(B52:C55)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#010 — RUMUS EXCEL: ADDRESS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(ADDRESS)</t>
        </is>
      </c>
    </row>
    <row r="5" ht="21" customHeight="1">
      <c r="B5" s="12" t="inlineStr">
        <is>
          <t>Nama Rumus Excel</t>
        </is>
      </c>
      <c r="C5" s="13">
        <f>ADDRESS(...)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ADDRESS(nomor_baris, nomor_kolom)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Membuat teks alamat sel dari nomor baris dan kolom (Misal: baris 5 kolom 2 menjadi '$B$5').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ADDRESS)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ADDRESS untuk membuat alamat sel pada baris 11 dan kolom 3!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'=ADDRESS(11, 3)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ADDRESS(11, 3)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ADDRESS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rumus ADDRESS untuk membuat alamat sel pada baris 20 dan kolom 3!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ADDRESS(20, 3)</f>
        <v/>
      </c>
      <c r="H21" s="29" t="inlineStr">
        <is>
          <t>Ketik: =ADDRESS(20, 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rumus ADDRESS untuk membuat alamat sel pada baris 28 dan kolom 3!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ADDRESS(28, 3)</f>
        <v/>
      </c>
      <c r="H29" s="29" t="inlineStr">
        <is>
          <t>Ketik: =ADDRESS(28, 3)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rumus ADDRESS untuk membuat alamat sel pada baris 36 dan kolom 3!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ADDRESS(36, 3)</f>
        <v/>
      </c>
      <c r="H37" s="29" t="inlineStr">
        <is>
          <t>Ketik: =ADDRESS(36, 3)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rumus ADDRESS untuk membuat alamat sel pada baris 44 dan kolom 3!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ADDRESS(44, 3)</f>
        <v/>
      </c>
      <c r="H45" s="29" t="inlineStr">
        <is>
          <t>Ketik: =ADDRESS(44, 3)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rumus ADDRESS untuk membuat alamat sel pada baris 52 dan kolom 3!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ADDRESS(52, 3)</f>
        <v/>
      </c>
      <c r="H53" s="29" t="inlineStr">
        <is>
          <t>Ketik: =ADDRESS(52, 3)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#011 — RUMUS EXCEL: OFFSET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(OFFSET)</t>
        </is>
      </c>
    </row>
    <row r="5" ht="21" customHeight="1">
      <c r="B5" s="12" t="inlineStr">
        <is>
          <t>Nama Rumus Excel</t>
        </is>
      </c>
      <c r="C5" s="13">
        <f>OFFSET(...)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OFFSET(sel_awal, geser_baris, geser_kolom)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nilai dari sel lain dengan cara melompat/bergeser sekian baris dan sekian kolom dari titik awal.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OFFSET)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OFFSET dari sel awal C11, bergeser 1 baris ke bawah dan 0 kolom ke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'=OFFSET(C11, 1, 0)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OFFSET(C11, 1, 0)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OFFSET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OFFSET dari sel awal C20, bergeser 1 baris ke bawah dan 0 kolom ke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OFFSET(C20, 1, 0)</f>
        <v/>
      </c>
      <c r="H21" s="29" t="inlineStr">
        <is>
          <t>Ketik: =OFFSET(C20, 1, 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OFFSET dari sel awal C28, bergeser 1 baris ke bawah dan 0 kolom ke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OFFSET(C28, 1, 0)</f>
        <v/>
      </c>
      <c r="H29" s="29" t="inlineStr">
        <is>
          <t>Ketik: =OFFSET(C28, 1, 0)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OFFSET dari sel awal C36, bergeser 1 baris ke bawah dan 0 kolom ke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OFFSET(C36, 1, 0)</f>
        <v/>
      </c>
      <c r="H37" s="29" t="inlineStr">
        <is>
          <t>Ketik: =OFFSET(C36, 1, 0)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OFFSET dari sel awal C44, bergeser 1 baris ke bawah dan 0 kolom ke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OFFSET(C44, 1, 0)</f>
        <v/>
      </c>
      <c r="H45" s="29" t="inlineStr">
        <is>
          <t>Ketik: =OFFSET(C44, 1, 0)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OFFSET dari sel awal C52, bergeser 1 baris ke bawah dan 0 kolom ke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OFFSET(C52, 1, 0)</f>
        <v/>
      </c>
      <c r="H53" s="29" t="inlineStr">
        <is>
          <t>Ketik: =OFFSET(C52, 1, 0)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#012 — RUMUS EXCEL: INDIRECT   |   Kategori: 3. Lookup &amp; Referensi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(INDIRECT)</t>
        </is>
      </c>
    </row>
    <row r="5" ht="21" customHeight="1">
      <c r="B5" s="12" t="inlineStr">
        <is>
          <t>Nama Rumus Excel</t>
        </is>
      </c>
      <c r="C5" s="13">
        <f>INDIRECT(...)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INDIRECT(teks_alamat_sel)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teks biasa (seperti tulisan 'B10') menjadi referensi sel hidup yang diambil isinya oleh Excel.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INDIRECT)</t>
        </is>
      </c>
    </row>
    <row r="10">
      <c r="B10" s="16" t="inlineStr">
        <is>
          <t>Label</t>
        </is>
      </c>
      <c r="C10" s="16" t="inlineStr">
        <is>
          <t>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INDIRECT untuk mengambil isi sel dari teks alamat "C11"!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'=INDIRECT("C11")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INDIRECT("C11")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INDIRECT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Label</t>
        </is>
      </c>
      <c r="C19" s="12" t="inlineStr">
        <is>
          <t>Data</t>
        </is>
      </c>
      <c r="E19" s="25" t="inlineStr">
        <is>
          <t>Persoalan #1: Gunakan INDIRECT untuk mengambil isi sel dari teks alamat "C20"!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INDIRECT("C20")</f>
        <v/>
      </c>
      <c r="H21" s="29" t="inlineStr">
        <is>
          <t>Ketik: =INDIRECT("C20")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Label</t>
        </is>
      </c>
      <c r="C27" s="12" t="inlineStr">
        <is>
          <t>Data</t>
        </is>
      </c>
      <c r="E27" s="25" t="inlineStr">
        <is>
          <t>Persoalan #2: Gunakan INDIRECT untuk mengambil isi sel dari teks alamat "C28"!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INDIRECT("C28")</f>
        <v/>
      </c>
      <c r="H29" s="29" t="inlineStr">
        <is>
          <t>Ketik: =INDIRECT("C28")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Label</t>
        </is>
      </c>
      <c r="C35" s="12" t="inlineStr">
        <is>
          <t>Data</t>
        </is>
      </c>
      <c r="E35" s="25" t="inlineStr">
        <is>
          <t>Persoalan #3: Gunakan INDIRECT untuk mengambil isi sel dari teks alamat "C36"!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INDIRECT("C36")</f>
        <v/>
      </c>
      <c r="H37" s="29" t="inlineStr">
        <is>
          <t>Ketik: =INDIRECT("C36")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Label</t>
        </is>
      </c>
      <c r="C43" s="12" t="inlineStr">
        <is>
          <t>Data</t>
        </is>
      </c>
      <c r="E43" s="25" t="inlineStr">
        <is>
          <t>Persoalan #4: Gunakan INDIRECT untuk mengambil isi sel dari teks alamat "C44"!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INDIRECT("C44")</f>
        <v/>
      </c>
      <c r="H45" s="29" t="inlineStr">
        <is>
          <t>Ketik: =INDIRECT("C44")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Label</t>
        </is>
      </c>
      <c r="C51" s="12" t="inlineStr">
        <is>
          <t>Data</t>
        </is>
      </c>
      <c r="E51" s="25" t="inlineStr">
        <is>
          <t>Persoalan #5: Gunakan INDIRECT untuk mengambil isi sel dari teks alamat "C52"!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INDIRECT("C52")</f>
        <v/>
      </c>
      <c r="H53" s="29" t="inlineStr">
        <is>
          <t>Ketik: =INDIRECT("C52")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#013 — RUMUS EXCEL: LEFT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(LEFT)</t>
        </is>
      </c>
    </row>
    <row r="5" ht="21" customHeight="1">
      <c r="B5" s="12" t="inlineStr">
        <is>
          <t>Nama Rumus Excel</t>
        </is>
      </c>
      <c r="C5" s="13">
        <f>LEFT(...)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LEFT(teks, jumlah_huruf)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Memotong dan mengambil sejumlah huruf dari sebelah KIRI (awal) kata. Cocok untuk mengambil kode cabang di awal SKU barang!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LEFT)</t>
        </is>
      </c>
    </row>
    <row r="10">
      <c r="B10" s="16" t="inlineStr">
        <is>
          <t>Nama Gudang</t>
        </is>
      </c>
      <c r="C10" s="16" t="inlineStr">
        <is>
          <t>Kode SKU Barang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JKT-100-A</t>
        </is>
      </c>
      <c r="E11" s="19" t="inlineStr">
        <is>
          <t>Kasus Contoh:</t>
        </is>
      </c>
      <c r="F11" s="20" t="inlineStr">
        <is>
          <t>Gunakan rumus LEFT untuk mengambil 3 karakter dari sel C11 ("JKT-100-A")!</t>
        </is>
      </c>
    </row>
    <row r="12">
      <c r="B12" s="18" t="inlineStr">
        <is>
          <t>Cabang Bandung</t>
        </is>
      </c>
      <c r="C12" s="18" t="inlineStr">
        <is>
          <t>BDG-205-B</t>
        </is>
      </c>
      <c r="E12" s="19" t="inlineStr">
        <is>
          <t>Rumus yang Diketik:</t>
        </is>
      </c>
      <c r="F12" s="21" t="inlineStr">
        <is>
          <t>'=LEFT(C11, 3)</t>
        </is>
      </c>
    </row>
    <row r="13">
      <c r="B13" s="18" t="inlineStr">
        <is>
          <t>Cabang Surabaya</t>
        </is>
      </c>
      <c r="C13" s="18" t="inlineStr">
        <is>
          <t>SBY-310-C</t>
        </is>
      </c>
      <c r="E13" s="19" t="inlineStr">
        <is>
          <t>Hasil Otomatis Excel:</t>
        </is>
      </c>
      <c r="F13" s="22">
        <f>LEFT(C11, 3)</f>
        <v/>
      </c>
    </row>
    <row r="14">
      <c r="B14" s="18" t="inlineStr">
        <is>
          <t>Cabang Medan</t>
        </is>
      </c>
      <c r="C14" s="18" t="inlineStr">
        <is>
          <t>MDN-415-D</t>
        </is>
      </c>
    </row>
    <row r="16" ht="26" customHeight="1">
      <c r="B16" s="23" t="inlineStr">
        <is>
          <t>3️⃣ 5 PERSOALAN DUNIA NYATA (KETIK RUMUS LEFT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Gudang</t>
        </is>
      </c>
      <c r="C19" s="12" t="inlineStr">
        <is>
          <t>Kode SKU Barang</t>
        </is>
      </c>
      <c r="E19" s="25" t="inlineStr">
        <is>
          <t>Persoalan #1: Gunakan rumus LEFT untuk mengambil 3 karakter dari sel C20 ("JKT-100-A")!</t>
        </is>
      </c>
    </row>
    <row r="20">
      <c r="B20" s="18" t="inlineStr">
        <is>
          <t>Cabang Jakarta</t>
        </is>
      </c>
      <c r="C20" s="18" t="inlineStr">
        <is>
          <t>JKT-100-A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BDG-205-B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LEFT(C20, 3)</f>
        <v/>
      </c>
      <c r="H21" s="29" t="inlineStr">
        <is>
          <t>Ketik: =LEFT(C20, 3)</t>
        </is>
      </c>
    </row>
    <row r="22">
      <c r="B22" s="18" t="inlineStr">
        <is>
          <t>Cabang Surabaya</t>
        </is>
      </c>
      <c r="C22" s="18" t="inlineStr">
        <is>
          <t>SBY-310-C</t>
        </is>
      </c>
    </row>
    <row r="23">
      <c r="B23" s="18" t="inlineStr">
        <is>
          <t>Cabang Medan</t>
        </is>
      </c>
      <c r="C23" s="18" t="inlineStr">
        <is>
          <t>MDN-415-D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Gudang</t>
        </is>
      </c>
      <c r="C27" s="12" t="inlineStr">
        <is>
          <t>Kode SKU Barang</t>
        </is>
      </c>
      <c r="E27" s="25" t="inlineStr">
        <is>
          <t>Persoalan #2: Gunakan rumus LEFT untuk mengambil 3 karakter dari sel C28 ("JKT-101-A")!</t>
        </is>
      </c>
    </row>
    <row r="28">
      <c r="B28" s="18" t="inlineStr">
        <is>
          <t>Budi Santoso</t>
        </is>
      </c>
      <c r="C28" s="18" t="inlineStr">
        <is>
          <t>JKT-101-A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BDG-205-B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LEFT(C28, 3)</f>
        <v/>
      </c>
      <c r="H29" s="29" t="inlineStr">
        <is>
          <t>Ketik: =LEFT(C28, 3)</t>
        </is>
      </c>
    </row>
    <row r="30">
      <c r="B30" s="18" t="inlineStr">
        <is>
          <t>Andi Pratama</t>
        </is>
      </c>
      <c r="C30" s="18" t="inlineStr">
        <is>
          <t>SBY-310-C</t>
        </is>
      </c>
    </row>
    <row r="31">
      <c r="B31" s="18" t="inlineStr">
        <is>
          <t>Rina Wijaya</t>
        </is>
      </c>
      <c r="C31" s="18" t="inlineStr">
        <is>
          <t>MDN-415-D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Gudang</t>
        </is>
      </c>
      <c r="C35" s="12" t="inlineStr">
        <is>
          <t>Kode SKU Barang</t>
        </is>
      </c>
      <c r="E35" s="25" t="inlineStr">
        <is>
          <t>Persoalan #3: Gunakan rumus LEFT untuk mengambil 3 karakter dari sel C36 ("JKT-102-A")!</t>
        </is>
      </c>
    </row>
    <row r="36">
      <c r="B36" s="18" t="inlineStr">
        <is>
          <t>Gudang Blok A</t>
        </is>
      </c>
      <c r="C36" s="18" t="inlineStr">
        <is>
          <t>JKT-102-A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BDG-205-B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LEFT(C36, 3)</f>
        <v/>
      </c>
      <c r="H37" s="29" t="inlineStr">
        <is>
          <t>Ketik: =LEFT(C36, 3)</t>
        </is>
      </c>
    </row>
    <row r="38">
      <c r="B38" s="18" t="inlineStr">
        <is>
          <t>Gudang Blok C</t>
        </is>
      </c>
      <c r="C38" s="18" t="inlineStr">
        <is>
          <t>SBY-310-C</t>
        </is>
      </c>
    </row>
    <row r="39">
      <c r="B39" s="18" t="inlineStr">
        <is>
          <t>Gudang Blok D</t>
        </is>
      </c>
      <c r="C39" s="18" t="inlineStr">
        <is>
          <t>MDN-415-D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Gudang</t>
        </is>
      </c>
      <c r="C43" s="12" t="inlineStr">
        <is>
          <t>Kode SKU Barang</t>
        </is>
      </c>
      <c r="E43" s="25" t="inlineStr">
        <is>
          <t>Persoalan #4: Gunakan rumus LEFT untuk mengambil 3 karakter dari sel C44 ("JKT-103-A")!</t>
        </is>
      </c>
    </row>
    <row r="44">
      <c r="B44" s="18" t="inlineStr">
        <is>
          <t>Toko Elektronik</t>
        </is>
      </c>
      <c r="C44" s="18" t="inlineStr">
        <is>
          <t>JKT-103-A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BDG-205-B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LEFT(C44, 3)</f>
        <v/>
      </c>
      <c r="H45" s="29" t="inlineStr">
        <is>
          <t>Ketik: =LEFT(C44, 3)</t>
        </is>
      </c>
    </row>
    <row r="46">
      <c r="B46" s="18" t="inlineStr">
        <is>
          <t>Toko Aksesoris</t>
        </is>
      </c>
      <c r="C46" s="18" t="inlineStr">
        <is>
          <t>SBY-310-C</t>
        </is>
      </c>
    </row>
    <row r="47">
      <c r="B47" s="18" t="inlineStr">
        <is>
          <t>Toko Servis</t>
        </is>
      </c>
      <c r="C47" s="18" t="inlineStr">
        <is>
          <t>MDN-415-D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Gudang</t>
        </is>
      </c>
      <c r="C51" s="12" t="inlineStr">
        <is>
          <t>Kode SKU Barang</t>
        </is>
      </c>
      <c r="E51" s="25" t="inlineStr">
        <is>
          <t>Persoalan #5: Gunakan rumus LEFT untuk mengambil 3 karakter dari sel C52 ("JKT-104-A")!</t>
        </is>
      </c>
    </row>
    <row r="52">
      <c r="B52" s="18" t="inlineStr">
        <is>
          <t>Kelas 10 IPA</t>
        </is>
      </c>
      <c r="C52" s="18" t="inlineStr">
        <is>
          <t>JKT-104-A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BDG-205-B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LEFT(C52, 3)</f>
        <v/>
      </c>
      <c r="H53" s="29" t="inlineStr">
        <is>
          <t>Ketik: =LEFT(C52, 3)</t>
        </is>
      </c>
    </row>
    <row r="54">
      <c r="B54" s="18" t="inlineStr">
        <is>
          <t>Kelas 12 IPA</t>
        </is>
      </c>
      <c r="C54" s="18" t="inlineStr">
        <is>
          <t>SBY-310-C</t>
        </is>
      </c>
    </row>
    <row r="55">
      <c r="B55" s="18" t="inlineStr">
        <is>
          <t>Kelas Unggulan</t>
        </is>
      </c>
      <c r="C55" s="18" t="inlineStr">
        <is>
          <t>MDN-415-D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#014 — RUMUS EXCEL: RIGHT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(RIGHT)</t>
        </is>
      </c>
    </row>
    <row r="5" ht="21" customHeight="1">
      <c r="B5" s="12" t="inlineStr">
        <is>
          <t>Nama Rumus Excel</t>
        </is>
      </c>
      <c r="C5" s="13">
        <f>RIGHT(...)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RIGHT(teks, jumlah_huruf)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Memotong dan mengambil sejumlah huruf dari sebelah KANAN (akhir) kata. Cocok untuk mengambil kode tahun di ujung nomor surat!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RIGHT)</t>
        </is>
      </c>
    </row>
    <row r="10">
      <c r="B10" s="16" t="inlineStr">
        <is>
          <t>Nama Gudang</t>
        </is>
      </c>
      <c r="C10" s="16" t="inlineStr">
        <is>
          <t>Kode SKU Barang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JKT-100-A</t>
        </is>
      </c>
      <c r="E11" s="19" t="inlineStr">
        <is>
          <t>Kasus Contoh:</t>
        </is>
      </c>
      <c r="F11" s="20" t="inlineStr">
        <is>
          <t>Gunakan rumus RIGHT untuk mengambil 3 karakter dari sel C11 ("JKT-100-A")!</t>
        </is>
      </c>
    </row>
    <row r="12">
      <c r="B12" s="18" t="inlineStr">
        <is>
          <t>Cabang Bandung</t>
        </is>
      </c>
      <c r="C12" s="18" t="inlineStr">
        <is>
          <t>BDG-205-B</t>
        </is>
      </c>
      <c r="E12" s="19" t="inlineStr">
        <is>
          <t>Rumus yang Diketik:</t>
        </is>
      </c>
      <c r="F12" s="21" t="inlineStr">
        <is>
          <t>'=RIGHT(C11, 3)</t>
        </is>
      </c>
    </row>
    <row r="13">
      <c r="B13" s="18" t="inlineStr">
        <is>
          <t>Cabang Surabaya</t>
        </is>
      </c>
      <c r="C13" s="18" t="inlineStr">
        <is>
          <t>SBY-310-C</t>
        </is>
      </c>
      <c r="E13" s="19" t="inlineStr">
        <is>
          <t>Hasil Otomatis Excel:</t>
        </is>
      </c>
      <c r="F13" s="22">
        <f>RIGHT(C11, 3)</f>
        <v/>
      </c>
    </row>
    <row r="14">
      <c r="B14" s="18" t="inlineStr">
        <is>
          <t>Cabang Medan</t>
        </is>
      </c>
      <c r="C14" s="18" t="inlineStr">
        <is>
          <t>MDN-415-D</t>
        </is>
      </c>
    </row>
    <row r="16" ht="26" customHeight="1">
      <c r="B16" s="23" t="inlineStr">
        <is>
          <t>3️⃣ 5 PERSOALAN DUNIA NYATA (KETIK RUMUS RIGHT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Gudang</t>
        </is>
      </c>
      <c r="C19" s="12" t="inlineStr">
        <is>
          <t>Kode SKU Barang</t>
        </is>
      </c>
      <c r="E19" s="25" t="inlineStr">
        <is>
          <t>Persoalan #1: Gunakan rumus RIGHT untuk mengambil 3 karakter dari sel C20 ("JKT-100-A")!</t>
        </is>
      </c>
    </row>
    <row r="20">
      <c r="B20" s="18" t="inlineStr">
        <is>
          <t>Cabang Jakarta</t>
        </is>
      </c>
      <c r="C20" s="18" t="inlineStr">
        <is>
          <t>JKT-100-A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BDG-205-B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RIGHT(C20, 3)</f>
        <v/>
      </c>
      <c r="H21" s="29" t="inlineStr">
        <is>
          <t>Ketik: =RIGHT(C20, 3)</t>
        </is>
      </c>
    </row>
    <row r="22">
      <c r="B22" s="18" t="inlineStr">
        <is>
          <t>Cabang Surabaya</t>
        </is>
      </c>
      <c r="C22" s="18" t="inlineStr">
        <is>
          <t>SBY-310-C</t>
        </is>
      </c>
    </row>
    <row r="23">
      <c r="B23" s="18" t="inlineStr">
        <is>
          <t>Cabang Medan</t>
        </is>
      </c>
      <c r="C23" s="18" t="inlineStr">
        <is>
          <t>MDN-415-D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Gudang</t>
        </is>
      </c>
      <c r="C27" s="12" t="inlineStr">
        <is>
          <t>Kode SKU Barang</t>
        </is>
      </c>
      <c r="E27" s="25" t="inlineStr">
        <is>
          <t>Persoalan #2: Gunakan rumus RIGHT untuk mengambil 3 karakter dari sel C28 ("JKT-101-A")!</t>
        </is>
      </c>
    </row>
    <row r="28">
      <c r="B28" s="18" t="inlineStr">
        <is>
          <t>Budi Santoso</t>
        </is>
      </c>
      <c r="C28" s="18" t="inlineStr">
        <is>
          <t>JKT-101-A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BDG-205-B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RIGHT(C28, 3)</f>
        <v/>
      </c>
      <c r="H29" s="29" t="inlineStr">
        <is>
          <t>Ketik: =RIGHT(C28, 3)</t>
        </is>
      </c>
    </row>
    <row r="30">
      <c r="B30" s="18" t="inlineStr">
        <is>
          <t>Andi Pratama</t>
        </is>
      </c>
      <c r="C30" s="18" t="inlineStr">
        <is>
          <t>SBY-310-C</t>
        </is>
      </c>
    </row>
    <row r="31">
      <c r="B31" s="18" t="inlineStr">
        <is>
          <t>Rina Wijaya</t>
        </is>
      </c>
      <c r="C31" s="18" t="inlineStr">
        <is>
          <t>MDN-415-D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Gudang</t>
        </is>
      </c>
      <c r="C35" s="12" t="inlineStr">
        <is>
          <t>Kode SKU Barang</t>
        </is>
      </c>
      <c r="E35" s="25" t="inlineStr">
        <is>
          <t>Persoalan #3: Gunakan rumus RIGHT untuk mengambil 3 karakter dari sel C36 ("JKT-102-A")!</t>
        </is>
      </c>
    </row>
    <row r="36">
      <c r="B36" s="18" t="inlineStr">
        <is>
          <t>Gudang Blok A</t>
        </is>
      </c>
      <c r="C36" s="18" t="inlineStr">
        <is>
          <t>JKT-102-A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BDG-205-B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RIGHT(C36, 3)</f>
        <v/>
      </c>
      <c r="H37" s="29" t="inlineStr">
        <is>
          <t>Ketik: =RIGHT(C36, 3)</t>
        </is>
      </c>
    </row>
    <row r="38">
      <c r="B38" s="18" t="inlineStr">
        <is>
          <t>Gudang Blok C</t>
        </is>
      </c>
      <c r="C38" s="18" t="inlineStr">
        <is>
          <t>SBY-310-C</t>
        </is>
      </c>
    </row>
    <row r="39">
      <c r="B39" s="18" t="inlineStr">
        <is>
          <t>Gudang Blok D</t>
        </is>
      </c>
      <c r="C39" s="18" t="inlineStr">
        <is>
          <t>MDN-415-D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Gudang</t>
        </is>
      </c>
      <c r="C43" s="12" t="inlineStr">
        <is>
          <t>Kode SKU Barang</t>
        </is>
      </c>
      <c r="E43" s="25" t="inlineStr">
        <is>
          <t>Persoalan #4: Gunakan rumus RIGHT untuk mengambil 3 karakter dari sel C44 ("JKT-103-A")!</t>
        </is>
      </c>
    </row>
    <row r="44">
      <c r="B44" s="18" t="inlineStr">
        <is>
          <t>Toko Elektronik</t>
        </is>
      </c>
      <c r="C44" s="18" t="inlineStr">
        <is>
          <t>JKT-103-A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BDG-205-B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RIGHT(C44, 3)</f>
        <v/>
      </c>
      <c r="H45" s="29" t="inlineStr">
        <is>
          <t>Ketik: =RIGHT(C44, 3)</t>
        </is>
      </c>
    </row>
    <row r="46">
      <c r="B46" s="18" t="inlineStr">
        <is>
          <t>Toko Aksesoris</t>
        </is>
      </c>
      <c r="C46" s="18" t="inlineStr">
        <is>
          <t>SBY-310-C</t>
        </is>
      </c>
    </row>
    <row r="47">
      <c r="B47" s="18" t="inlineStr">
        <is>
          <t>Toko Servis</t>
        </is>
      </c>
      <c r="C47" s="18" t="inlineStr">
        <is>
          <t>MDN-415-D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Gudang</t>
        </is>
      </c>
      <c r="C51" s="12" t="inlineStr">
        <is>
          <t>Kode SKU Barang</t>
        </is>
      </c>
      <c r="E51" s="25" t="inlineStr">
        <is>
          <t>Persoalan #5: Gunakan rumus RIGHT untuk mengambil 3 karakter dari sel C52 ("JKT-104-A")!</t>
        </is>
      </c>
    </row>
    <row r="52">
      <c r="B52" s="18" t="inlineStr">
        <is>
          <t>Kelas 10 IPA</t>
        </is>
      </c>
      <c r="C52" s="18" t="inlineStr">
        <is>
          <t>JKT-104-A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BDG-205-B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RIGHT(C52, 3)</f>
        <v/>
      </c>
      <c r="H53" s="29" t="inlineStr">
        <is>
          <t>Ketik: =RIGHT(C52, 3)</t>
        </is>
      </c>
    </row>
    <row r="54">
      <c r="B54" s="18" t="inlineStr">
        <is>
          <t>Kelas 12 IPA</t>
        </is>
      </c>
      <c r="C54" s="18" t="inlineStr">
        <is>
          <t>SBY-310-C</t>
        </is>
      </c>
    </row>
    <row r="55">
      <c r="B55" s="18" t="inlineStr">
        <is>
          <t>Kelas Unggulan</t>
        </is>
      </c>
      <c r="C55" s="18" t="inlineStr">
        <is>
          <t>MDN-415-D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#015 — RUMUS EXCEL: MID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(MID)</t>
        </is>
      </c>
    </row>
    <row r="5" ht="21" customHeight="1">
      <c r="B5" s="12" t="inlineStr">
        <is>
          <t>Nama Rumus Excel</t>
        </is>
      </c>
      <c r="C5" s="13">
        <f>MID(...)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MID(teks, mulai_huruf_ke, jumlah_huruf)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huruf dari bagian TENGAH kata (Misal: mengambil kode tanggal lahir dari tengah-tengah 16 digit NIK KTP!).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MID)</t>
        </is>
      </c>
    </row>
    <row r="10">
      <c r="B10" s="16" t="inlineStr">
        <is>
          <t>Transaksi</t>
        </is>
      </c>
      <c r="C10" s="16" t="inlineStr">
        <is>
          <t>Nomor Invoice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INV-2026-01</t>
        </is>
      </c>
      <c r="E11" s="19" t="inlineStr">
        <is>
          <t>Kasus Contoh:</t>
        </is>
      </c>
      <c r="F11" s="20" t="inlineStr">
        <is>
          <t>Gunakan rumus MID pada sel C11 ("INV-2026-01") mulai karakter ke-5 sebanyak 4 karakter (untuk mengambil tahun)!</t>
        </is>
      </c>
    </row>
    <row r="12">
      <c r="B12" s="18" t="inlineStr">
        <is>
          <t>Cabang Bandung</t>
        </is>
      </c>
      <c r="C12" s="18" t="inlineStr">
        <is>
          <t>INV-2025-09</t>
        </is>
      </c>
      <c r="E12" s="19" t="inlineStr">
        <is>
          <t>Rumus yang Diketik:</t>
        </is>
      </c>
      <c r="F12" s="21" t="inlineStr">
        <is>
          <t>'=MID(C11, 5, 4)</t>
        </is>
      </c>
    </row>
    <row r="13">
      <c r="B13" s="18" t="inlineStr">
        <is>
          <t>Cabang Surabaya</t>
        </is>
      </c>
      <c r="C13" s="18" t="inlineStr">
        <is>
          <t>INV-2024-11</t>
        </is>
      </c>
      <c r="E13" s="19" t="inlineStr">
        <is>
          <t>Hasil Otomatis Excel:</t>
        </is>
      </c>
      <c r="F13" s="22">
        <f>MID(C11, 5, 4)</f>
        <v/>
      </c>
    </row>
    <row r="14">
      <c r="B14" s="18" t="inlineStr">
        <is>
          <t>Cabang Medan</t>
        </is>
      </c>
      <c r="C14" s="18" t="inlineStr">
        <is>
          <t>INV-2026-12</t>
        </is>
      </c>
    </row>
    <row r="16" ht="26" customHeight="1">
      <c r="B16" s="23" t="inlineStr">
        <is>
          <t>3️⃣ 5 PERSOALAN DUNIA NYATA (KETIK RUMUS MID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Transaksi</t>
        </is>
      </c>
      <c r="C19" s="12" t="inlineStr">
        <is>
          <t>Nomor Invoice</t>
        </is>
      </c>
      <c r="E19" s="25" t="inlineStr">
        <is>
          <t>Persoalan #1: Gunakan rumus MID pada sel C20 ("INV-2026-01") mulai karakter ke-5 sebanyak 4 karakter (untuk mengambil tahun)!</t>
        </is>
      </c>
    </row>
    <row r="20">
      <c r="B20" s="18" t="inlineStr">
        <is>
          <t>Cabang Jakarta</t>
        </is>
      </c>
      <c r="C20" s="18" t="inlineStr">
        <is>
          <t>INV-2026-01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INV-2025-09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MID(C20, 5, 4)</f>
        <v/>
      </c>
      <c r="H21" s="29" t="inlineStr">
        <is>
          <t>Ketik: =MID(C20, 5, 4)</t>
        </is>
      </c>
    </row>
    <row r="22">
      <c r="B22" s="18" t="inlineStr">
        <is>
          <t>Cabang Surabaya</t>
        </is>
      </c>
      <c r="C22" s="18" t="inlineStr">
        <is>
          <t>INV-2024-11</t>
        </is>
      </c>
    </row>
    <row r="23">
      <c r="B23" s="18" t="inlineStr">
        <is>
          <t>Cabang Medan</t>
        </is>
      </c>
      <c r="C23" s="18" t="inlineStr">
        <is>
          <t>INV-2026-12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Transaksi</t>
        </is>
      </c>
      <c r="C27" s="12" t="inlineStr">
        <is>
          <t>Nomor Invoice</t>
        </is>
      </c>
      <c r="E27" s="25" t="inlineStr">
        <is>
          <t>Persoalan #2: Gunakan rumus MID pada sel C28 ("INV-2026-02") mulai karakter ke-5 sebanyak 4 karakter (untuk mengambil tahun)!</t>
        </is>
      </c>
    </row>
    <row r="28">
      <c r="B28" s="18" t="inlineStr">
        <is>
          <t>Budi Santoso</t>
        </is>
      </c>
      <c r="C28" s="18" t="inlineStr">
        <is>
          <t>INV-2026-02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INV-2025-09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MID(C28, 5, 4)</f>
        <v/>
      </c>
      <c r="H29" s="29" t="inlineStr">
        <is>
          <t>Ketik: =MID(C28, 5, 4)</t>
        </is>
      </c>
    </row>
    <row r="30">
      <c r="B30" s="18" t="inlineStr">
        <is>
          <t>Andi Pratama</t>
        </is>
      </c>
      <c r="C30" s="18" t="inlineStr">
        <is>
          <t>INV-2024-11</t>
        </is>
      </c>
    </row>
    <row r="31">
      <c r="B31" s="18" t="inlineStr">
        <is>
          <t>Rina Wijaya</t>
        </is>
      </c>
      <c r="C31" s="18" t="inlineStr">
        <is>
          <t>INV-2026-12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Transaksi</t>
        </is>
      </c>
      <c r="C35" s="12" t="inlineStr">
        <is>
          <t>Nomor Invoice</t>
        </is>
      </c>
      <c r="E35" s="25" t="inlineStr">
        <is>
          <t>Persoalan #3: Gunakan rumus MID pada sel C36 ("INV-2026-03") mulai karakter ke-5 sebanyak 4 karakter (untuk mengambil tahun)!</t>
        </is>
      </c>
    </row>
    <row r="36">
      <c r="B36" s="18" t="inlineStr">
        <is>
          <t>Gudang Blok A</t>
        </is>
      </c>
      <c r="C36" s="18" t="inlineStr">
        <is>
          <t>INV-2026-03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INV-2025-09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MID(C36, 5, 4)</f>
        <v/>
      </c>
      <c r="H37" s="29" t="inlineStr">
        <is>
          <t>Ketik: =MID(C36, 5, 4)</t>
        </is>
      </c>
    </row>
    <row r="38">
      <c r="B38" s="18" t="inlineStr">
        <is>
          <t>Gudang Blok C</t>
        </is>
      </c>
      <c r="C38" s="18" t="inlineStr">
        <is>
          <t>INV-2024-11</t>
        </is>
      </c>
    </row>
    <row r="39">
      <c r="B39" s="18" t="inlineStr">
        <is>
          <t>Gudang Blok D</t>
        </is>
      </c>
      <c r="C39" s="18" t="inlineStr">
        <is>
          <t>INV-2026-12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Transaksi</t>
        </is>
      </c>
      <c r="C43" s="12" t="inlineStr">
        <is>
          <t>Nomor Invoice</t>
        </is>
      </c>
      <c r="E43" s="25" t="inlineStr">
        <is>
          <t>Persoalan #4: Gunakan rumus MID pada sel C44 ("INV-2026-04") mulai karakter ke-5 sebanyak 4 karakter (untuk mengambil tahun)!</t>
        </is>
      </c>
    </row>
    <row r="44">
      <c r="B44" s="18" t="inlineStr">
        <is>
          <t>Toko Elektronik</t>
        </is>
      </c>
      <c r="C44" s="18" t="inlineStr">
        <is>
          <t>INV-2026-04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INV-2025-09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MID(C44, 5, 4)</f>
        <v/>
      </c>
      <c r="H45" s="29" t="inlineStr">
        <is>
          <t>Ketik: =MID(C44, 5, 4)</t>
        </is>
      </c>
    </row>
    <row r="46">
      <c r="B46" s="18" t="inlineStr">
        <is>
          <t>Toko Aksesoris</t>
        </is>
      </c>
      <c r="C46" s="18" t="inlineStr">
        <is>
          <t>INV-2024-11</t>
        </is>
      </c>
    </row>
    <row r="47">
      <c r="B47" s="18" t="inlineStr">
        <is>
          <t>Toko Servis</t>
        </is>
      </c>
      <c r="C47" s="18" t="inlineStr">
        <is>
          <t>INV-2026-12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Transaksi</t>
        </is>
      </c>
      <c r="C51" s="12" t="inlineStr">
        <is>
          <t>Nomor Invoice</t>
        </is>
      </c>
      <c r="E51" s="25" t="inlineStr">
        <is>
          <t>Persoalan #5: Gunakan rumus MID pada sel C52 ("INV-2026-05") mulai karakter ke-5 sebanyak 4 karakter (untuk mengambil tahun)!</t>
        </is>
      </c>
    </row>
    <row r="52">
      <c r="B52" s="18" t="inlineStr">
        <is>
          <t>Kelas 10 IPA</t>
        </is>
      </c>
      <c r="C52" s="18" t="inlineStr">
        <is>
          <t>INV-2026-05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INV-2025-09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MID(C52, 5, 4)</f>
        <v/>
      </c>
      <c r="H53" s="29" t="inlineStr">
        <is>
          <t>Ketik: =MID(C52, 5, 4)</t>
        </is>
      </c>
    </row>
    <row r="54">
      <c r="B54" s="18" t="inlineStr">
        <is>
          <t>Kelas 12 IPA</t>
        </is>
      </c>
      <c r="C54" s="18" t="inlineStr">
        <is>
          <t>INV-2024-11</t>
        </is>
      </c>
    </row>
    <row r="55">
      <c r="B55" s="18" t="inlineStr">
        <is>
          <t>Kelas Unggulan</t>
        </is>
      </c>
      <c r="C55" s="18" t="inlineStr">
        <is>
          <t>INV-2026-12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#016 — RUMUS EXCEL: LEN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(LEN)</t>
        </is>
      </c>
    </row>
    <row r="5" ht="21" customHeight="1">
      <c r="B5" s="12" t="inlineStr">
        <is>
          <t>Nama Rumus Excel</t>
        </is>
      </c>
      <c r="C5" s="13">
        <f>LEN(...)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LEN(teks)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jumlah total karakter/huruf (termasuk spasi) di dalam sebuah sel. Penting untuk validasi digit NIK atau Nomor HP!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LEN)</t>
        </is>
      </c>
    </row>
    <row r="10">
      <c r="B10" s="16" t="inlineStr">
        <is>
          <t>Data Asal</t>
        </is>
      </c>
      <c r="C10" s="16" t="inlineStr">
        <is>
          <t>Teks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budi santoso</t>
        </is>
      </c>
      <c r="E11" s="19" t="inlineStr">
        <is>
          <t>Kasus Contoh:</t>
        </is>
      </c>
      <c r="F11" s="20" t="inlineStr">
        <is>
          <t>Terapkan rumus teks LEN pada teks di sel C11 ("budi santoso")!</t>
        </is>
      </c>
    </row>
    <row r="12">
      <c r="B12" s="18" t="inlineStr">
        <is>
          <t>Cabang Bandung</t>
        </is>
      </c>
      <c r="C12" s="18" t="inlineStr">
        <is>
          <t>jakarta pusat</t>
        </is>
      </c>
      <c r="E12" s="19" t="inlineStr">
        <is>
          <t>Rumus yang Diketik:</t>
        </is>
      </c>
      <c r="F12" s="21" t="inlineStr">
        <is>
          <t>'=LEN(C11)</t>
        </is>
      </c>
    </row>
    <row r="13">
      <c r="B13" s="18" t="inlineStr">
        <is>
          <t>Cabang Surabaya</t>
        </is>
      </c>
      <c r="C13" s="18" t="inlineStr">
        <is>
          <t>surabaya timur</t>
        </is>
      </c>
      <c r="E13" s="19" t="inlineStr">
        <is>
          <t>Hasil Otomatis Excel:</t>
        </is>
      </c>
      <c r="F13" s="22">
        <f>LEN(C11)</f>
        <v/>
      </c>
    </row>
    <row r="14">
      <c r="B14" s="18" t="inlineStr">
        <is>
          <t>Cabang Medan</t>
        </is>
      </c>
      <c r="C14" s="18" t="inlineStr">
        <is>
          <t>medan kota</t>
        </is>
      </c>
    </row>
    <row r="16" ht="26" customHeight="1">
      <c r="B16" s="23" t="inlineStr">
        <is>
          <t>3️⃣ 5 PERSOALAN DUNIA NYATA (KETIK RUMUS LEN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Asal</t>
        </is>
      </c>
      <c r="C19" s="12" t="inlineStr">
        <is>
          <t>Teks Input</t>
        </is>
      </c>
      <c r="E19" s="25" t="inlineStr">
        <is>
          <t>Persoalan #1: Terapkan rumus teks LEN pada teks di sel C20 ("budi santoso")!</t>
        </is>
      </c>
    </row>
    <row r="20">
      <c r="B20" s="18" t="inlineStr">
        <is>
          <t>Cabang Jakarta</t>
        </is>
      </c>
      <c r="C20" s="18" t="inlineStr">
        <is>
          <t>budi santoso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jakarta pusat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LEN(C20)</f>
        <v/>
      </c>
      <c r="H21" s="29" t="inlineStr">
        <is>
          <t>Ketik: =LEN(C20)</t>
        </is>
      </c>
    </row>
    <row r="22">
      <c r="B22" s="18" t="inlineStr">
        <is>
          <t>Cabang Surabaya</t>
        </is>
      </c>
      <c r="C22" s="18" t="inlineStr">
        <is>
          <t>surabaya timur</t>
        </is>
      </c>
    </row>
    <row r="23">
      <c r="B23" s="18" t="inlineStr">
        <is>
          <t>Cabang Medan</t>
        </is>
      </c>
      <c r="C23" s="18" t="inlineStr">
        <is>
          <t>medan kota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Asal</t>
        </is>
      </c>
      <c r="C27" s="12" t="inlineStr">
        <is>
          <t>Teks Input</t>
        </is>
      </c>
      <c r="E27" s="25" t="inlineStr">
        <is>
          <t>Persoalan #2: Terapkan rumus teks LEN pada teks di sel C28 ("siti aminah")!</t>
        </is>
      </c>
    </row>
    <row r="28">
      <c r="B28" s="18" t="inlineStr">
        <is>
          <t>Budi Santoso</t>
        </is>
      </c>
      <c r="C28" s="18" t="inlineStr">
        <is>
          <t>siti aminah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jakarta pusat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LEN(C28)</f>
        <v/>
      </c>
      <c r="H29" s="29" t="inlineStr">
        <is>
          <t>Ketik: =LEN(C28)</t>
        </is>
      </c>
    </row>
    <row r="30">
      <c r="B30" s="18" t="inlineStr">
        <is>
          <t>Andi Pratama</t>
        </is>
      </c>
      <c r="C30" s="18" t="inlineStr">
        <is>
          <t>surabaya timur</t>
        </is>
      </c>
    </row>
    <row r="31">
      <c r="B31" s="18" t="inlineStr">
        <is>
          <t>Rina Wijaya</t>
        </is>
      </c>
      <c r="C31" s="18" t="inlineStr">
        <is>
          <t>medan kota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Asal</t>
        </is>
      </c>
      <c r="C35" s="12" t="inlineStr">
        <is>
          <t>Teks Input</t>
        </is>
      </c>
      <c r="E35" s="25" t="inlineStr">
        <is>
          <t>Persoalan #3: Terapkan rumus teks LEN pada teks di sel C36 ("andi pratama")!</t>
        </is>
      </c>
    </row>
    <row r="36">
      <c r="B36" s="18" t="inlineStr">
        <is>
          <t>Gudang Blok A</t>
        </is>
      </c>
      <c r="C36" s="18" t="inlineStr">
        <is>
          <t>andi pratama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jakarta pusat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LEN(C36)</f>
        <v/>
      </c>
      <c r="H37" s="29" t="inlineStr">
        <is>
          <t>Ketik: =LEN(C36)</t>
        </is>
      </c>
    </row>
    <row r="38">
      <c r="B38" s="18" t="inlineStr">
        <is>
          <t>Gudang Blok C</t>
        </is>
      </c>
      <c r="C38" s="18" t="inlineStr">
        <is>
          <t>surabaya timur</t>
        </is>
      </c>
    </row>
    <row r="39">
      <c r="B39" s="18" t="inlineStr">
        <is>
          <t>Gudang Blok D</t>
        </is>
      </c>
      <c r="C39" s="18" t="inlineStr">
        <is>
          <t>medan kota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Asal</t>
        </is>
      </c>
      <c r="C43" s="12" t="inlineStr">
        <is>
          <t>Teks Input</t>
        </is>
      </c>
      <c r="E43" s="25" t="inlineStr">
        <is>
          <t>Persoalan #4: Terapkan rumus teks LEN pada teks di sel C44 ("rina wijaya")!</t>
        </is>
      </c>
    </row>
    <row r="44">
      <c r="B44" s="18" t="inlineStr">
        <is>
          <t>Toko Elektronik</t>
        </is>
      </c>
      <c r="C44" s="18" t="inlineStr">
        <is>
          <t>rina wijaya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jakarta pusat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LEN(C44)</f>
        <v/>
      </c>
      <c r="H45" s="29" t="inlineStr">
        <is>
          <t>Ketik: =LEN(C44)</t>
        </is>
      </c>
    </row>
    <row r="46">
      <c r="B46" s="18" t="inlineStr">
        <is>
          <t>Toko Aksesoris</t>
        </is>
      </c>
      <c r="C46" s="18" t="inlineStr">
        <is>
          <t>surabaya timur</t>
        </is>
      </c>
    </row>
    <row r="47">
      <c r="B47" s="18" t="inlineStr">
        <is>
          <t>Toko Servis</t>
        </is>
      </c>
      <c r="C47" s="18" t="inlineStr">
        <is>
          <t>medan kota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Asal</t>
        </is>
      </c>
      <c r="C51" s="12" t="inlineStr">
        <is>
          <t>Teks Input</t>
        </is>
      </c>
      <c r="E51" s="25" t="inlineStr">
        <is>
          <t>Persoalan #5: Terapkan rumus teks LEN pada teks di sel C52 ("budi santoso")!</t>
        </is>
      </c>
    </row>
    <row r="52">
      <c r="B52" s="18" t="inlineStr">
        <is>
          <t>Kelas 10 IPA</t>
        </is>
      </c>
      <c r="C52" s="18" t="inlineStr">
        <is>
          <t>budi santoso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jakarta pusat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LEN(C52)</f>
        <v/>
      </c>
      <c r="H53" s="29" t="inlineStr">
        <is>
          <t>Ketik: =LEN(C52)</t>
        </is>
      </c>
    </row>
    <row r="54">
      <c r="B54" s="18" t="inlineStr">
        <is>
          <t>Kelas 12 IPA</t>
        </is>
      </c>
      <c r="C54" s="18" t="inlineStr">
        <is>
          <t>surabaya timur</t>
        </is>
      </c>
    </row>
    <row r="55">
      <c r="B55" s="18" t="inlineStr">
        <is>
          <t>Kelas Unggulan</t>
        </is>
      </c>
      <c r="C55" s="18" t="inlineStr">
        <is>
          <t>medan kota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#017 — RUMUS EXCEL: TRIM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(TRIM)</t>
        </is>
      </c>
    </row>
    <row r="5" ht="21" customHeight="1">
      <c r="B5" s="12" t="inlineStr">
        <is>
          <t>Nama Rumus Excel</t>
        </is>
      </c>
      <c r="C5" s="13">
        <f>TRIM(...)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TRIM(teks)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Sapu bersih spasi berlebih! Menghapus spasi ganda yang tidak sengaja terketik di awal, tengah, atau akhir nama.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TRIM)</t>
        </is>
      </c>
    </row>
    <row r="10">
      <c r="B10" s="16" t="inlineStr">
        <is>
          <t>Data Kotor</t>
        </is>
      </c>
      <c r="C10" s="16" t="inlineStr">
        <is>
          <t>Teks Berantakan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 xml:space="preserve">  Budi   Santoso  </t>
        </is>
      </c>
      <c r="E11" s="19" t="inlineStr">
        <is>
          <t>Kasus Contoh:</t>
        </is>
      </c>
      <c r="F11" s="20" t="inlineStr">
        <is>
          <t>Bersihkan spasi berlebih pada teks di sel C11 menggunakan rumus TRIM!</t>
        </is>
      </c>
    </row>
    <row r="12">
      <c r="B12" s="18" t="inlineStr">
        <is>
          <t>Cabang Bandung</t>
        </is>
      </c>
      <c r="C12" s="18" t="inlineStr">
        <is>
          <t xml:space="preserve">  Siti  Aminah </t>
        </is>
      </c>
      <c r="E12" s="19" t="inlineStr">
        <is>
          <t>Rumus yang Diketik:</t>
        </is>
      </c>
      <c r="F12" s="21" t="inlineStr">
        <is>
          <t>'=TRIM(C11)</t>
        </is>
      </c>
    </row>
    <row r="13">
      <c r="B13" s="18" t="inlineStr">
        <is>
          <t>Cabang Surabaya</t>
        </is>
      </c>
      <c r="C13" s="18" t="inlineStr">
        <is>
          <t xml:space="preserve"> Andi   Pratama </t>
        </is>
      </c>
      <c r="E13" s="19" t="inlineStr">
        <is>
          <t>Hasil Otomatis Excel:</t>
        </is>
      </c>
      <c r="F13" s="22">
        <f>TRIM(C11)</f>
        <v/>
      </c>
    </row>
    <row r="14">
      <c r="B14" s="18" t="inlineStr">
        <is>
          <t>Cabang Medan</t>
        </is>
      </c>
      <c r="C14" s="18" t="inlineStr">
        <is>
          <t xml:space="preserve"> Rina  Wijaya </t>
        </is>
      </c>
    </row>
    <row r="16" ht="26" customHeight="1">
      <c r="B16" s="23" t="inlineStr">
        <is>
          <t>3️⃣ 5 PERSOALAN DUNIA NYATA (KETIK RUMUS TRIM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Kotor</t>
        </is>
      </c>
      <c r="C19" s="12" t="inlineStr">
        <is>
          <t>Teks Berantakan</t>
        </is>
      </c>
      <c r="E19" s="25" t="inlineStr">
        <is>
          <t>Persoalan #1: Bersihkan spasi berlebih pada teks di sel C20 menggunakan rumus TRIM!</t>
        </is>
      </c>
    </row>
    <row r="20">
      <c r="B20" s="18" t="inlineStr">
        <is>
          <t>Cabang Jakarta</t>
        </is>
      </c>
      <c r="C20" s="18" t="inlineStr">
        <is>
          <t xml:space="preserve">  Budi   Santoso  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 xml:space="preserve">  Siti  Aminah 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TRIM(C20)</f>
        <v/>
      </c>
      <c r="H21" s="29" t="inlineStr">
        <is>
          <t>Ketik: =TRIM(C20)</t>
        </is>
      </c>
    </row>
    <row r="22">
      <c r="B22" s="18" t="inlineStr">
        <is>
          <t>Cabang Surabaya</t>
        </is>
      </c>
      <c r="C22" s="18" t="inlineStr">
        <is>
          <t xml:space="preserve"> Andi   Pratama </t>
        </is>
      </c>
    </row>
    <row r="23">
      <c r="B23" s="18" t="inlineStr">
        <is>
          <t>Cabang Medan</t>
        </is>
      </c>
      <c r="C23" s="18" t="inlineStr">
        <is>
          <t xml:space="preserve"> Rina  Wijaya 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Kotor</t>
        </is>
      </c>
      <c r="C27" s="12" t="inlineStr">
        <is>
          <t>Teks Berantakan</t>
        </is>
      </c>
      <c r="E27" s="25" t="inlineStr">
        <is>
          <t>Persoalan #2: Bersihkan spasi berlebih pada teks di sel C28 menggunakan rumus TRIM!</t>
        </is>
      </c>
    </row>
    <row r="28">
      <c r="B28" s="18" t="inlineStr">
        <is>
          <t>Budi Santoso</t>
        </is>
      </c>
      <c r="C28" s="18" t="inlineStr">
        <is>
          <t xml:space="preserve">  Budi   Santoso  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 xml:space="preserve">  Siti  Aminah 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TRIM(C28)</f>
        <v/>
      </c>
      <c r="H29" s="29" t="inlineStr">
        <is>
          <t>Ketik: =TRIM(C28)</t>
        </is>
      </c>
    </row>
    <row r="30">
      <c r="B30" s="18" t="inlineStr">
        <is>
          <t>Andi Pratama</t>
        </is>
      </c>
      <c r="C30" s="18" t="inlineStr">
        <is>
          <t xml:space="preserve"> Andi   Pratama </t>
        </is>
      </c>
    </row>
    <row r="31">
      <c r="B31" s="18" t="inlineStr">
        <is>
          <t>Rina Wijaya</t>
        </is>
      </c>
      <c r="C31" s="18" t="inlineStr">
        <is>
          <t xml:space="preserve"> Rina  Wijaya 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Kotor</t>
        </is>
      </c>
      <c r="C35" s="12" t="inlineStr">
        <is>
          <t>Teks Berantakan</t>
        </is>
      </c>
      <c r="E35" s="25" t="inlineStr">
        <is>
          <t>Persoalan #3: Bersihkan spasi berlebih pada teks di sel C36 menggunakan rumus TRIM!</t>
        </is>
      </c>
    </row>
    <row r="36">
      <c r="B36" s="18" t="inlineStr">
        <is>
          <t>Gudang Blok A</t>
        </is>
      </c>
      <c r="C36" s="18" t="inlineStr">
        <is>
          <t xml:space="preserve">  Budi   Santoso  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 xml:space="preserve">  Siti  Aminah 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TRIM(C36)</f>
        <v/>
      </c>
      <c r="H37" s="29" t="inlineStr">
        <is>
          <t>Ketik: =TRIM(C36)</t>
        </is>
      </c>
    </row>
    <row r="38">
      <c r="B38" s="18" t="inlineStr">
        <is>
          <t>Gudang Blok C</t>
        </is>
      </c>
      <c r="C38" s="18" t="inlineStr">
        <is>
          <t xml:space="preserve"> Andi   Pratama </t>
        </is>
      </c>
    </row>
    <row r="39">
      <c r="B39" s="18" t="inlineStr">
        <is>
          <t>Gudang Blok D</t>
        </is>
      </c>
      <c r="C39" s="18" t="inlineStr">
        <is>
          <t xml:space="preserve"> Rina  Wijaya 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Kotor</t>
        </is>
      </c>
      <c r="C43" s="12" t="inlineStr">
        <is>
          <t>Teks Berantakan</t>
        </is>
      </c>
      <c r="E43" s="25" t="inlineStr">
        <is>
          <t>Persoalan #4: Bersihkan spasi berlebih pada teks di sel C44 menggunakan rumus TRIM!</t>
        </is>
      </c>
    </row>
    <row r="44">
      <c r="B44" s="18" t="inlineStr">
        <is>
          <t>Toko Elektronik</t>
        </is>
      </c>
      <c r="C44" s="18" t="inlineStr">
        <is>
          <t xml:space="preserve">  Budi   Santoso  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 xml:space="preserve">  Siti  Aminah 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TRIM(C44)</f>
        <v/>
      </c>
      <c r="H45" s="29" t="inlineStr">
        <is>
          <t>Ketik: =TRIM(C44)</t>
        </is>
      </c>
    </row>
    <row r="46">
      <c r="B46" s="18" t="inlineStr">
        <is>
          <t>Toko Aksesoris</t>
        </is>
      </c>
      <c r="C46" s="18" t="inlineStr">
        <is>
          <t xml:space="preserve"> Andi   Pratama </t>
        </is>
      </c>
    </row>
    <row r="47">
      <c r="B47" s="18" t="inlineStr">
        <is>
          <t>Toko Servis</t>
        </is>
      </c>
      <c r="C47" s="18" t="inlineStr">
        <is>
          <t xml:space="preserve"> Rina  Wijaya 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Kotor</t>
        </is>
      </c>
      <c r="C51" s="12" t="inlineStr">
        <is>
          <t>Teks Berantakan</t>
        </is>
      </c>
      <c r="E51" s="25" t="inlineStr">
        <is>
          <t>Persoalan #5: Bersihkan spasi berlebih pada teks di sel C52 menggunakan rumus TRIM!</t>
        </is>
      </c>
    </row>
    <row r="52">
      <c r="B52" s="18" t="inlineStr">
        <is>
          <t>Kelas 10 IPA</t>
        </is>
      </c>
      <c r="C52" s="18" t="inlineStr">
        <is>
          <t xml:space="preserve">  Budi   Santoso  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 xml:space="preserve">  Siti  Aminah 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TRIM(C52)</f>
        <v/>
      </c>
      <c r="H53" s="29" t="inlineStr">
        <is>
          <t>Ketik: =TRIM(C52)</t>
        </is>
      </c>
    </row>
    <row r="54">
      <c r="B54" s="18" t="inlineStr">
        <is>
          <t>Kelas 12 IPA</t>
        </is>
      </c>
      <c r="C54" s="18" t="inlineStr">
        <is>
          <t xml:space="preserve"> Andi   Pratama </t>
        </is>
      </c>
    </row>
    <row r="55">
      <c r="B55" s="18" t="inlineStr">
        <is>
          <t>Kelas Unggulan</t>
        </is>
      </c>
      <c r="C55" s="18" t="inlineStr">
        <is>
          <t xml:space="preserve"> Rina  Wijaya 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#018 — RUMUS EXCEL: CLEAN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(CLEAN)</t>
        </is>
      </c>
    </row>
    <row r="5" ht="21" customHeight="1">
      <c r="B5" s="12" t="inlineStr">
        <is>
          <t>Nama Rumus Excel</t>
        </is>
      </c>
      <c r="C5" s="13">
        <f>CLEAN(...)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CLEAN(teks)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Membersihkan karakter aneh/tak terlihat hasil copy-paste dari web atau sistem lain.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CLEAN)</t>
        </is>
      </c>
    </row>
    <row r="10">
      <c r="B10" s="16" t="inlineStr">
        <is>
          <t>Data Asal</t>
        </is>
      </c>
      <c r="C10" s="16" t="inlineStr">
        <is>
          <t>Teks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budi santoso</t>
        </is>
      </c>
      <c r="E11" s="19" t="inlineStr">
        <is>
          <t>Kasus Contoh:</t>
        </is>
      </c>
      <c r="F11" s="20" t="inlineStr">
        <is>
          <t>Terapkan rumus teks CLEAN pada teks di sel C11 ("budi santoso")!</t>
        </is>
      </c>
    </row>
    <row r="12">
      <c r="B12" s="18" t="inlineStr">
        <is>
          <t>Cabang Bandung</t>
        </is>
      </c>
      <c r="C12" s="18" t="inlineStr">
        <is>
          <t>jakarta pusat</t>
        </is>
      </c>
      <c r="E12" s="19" t="inlineStr">
        <is>
          <t>Rumus yang Diketik:</t>
        </is>
      </c>
      <c r="F12" s="21" t="inlineStr">
        <is>
          <t>'=CLEAN(C11)</t>
        </is>
      </c>
    </row>
    <row r="13">
      <c r="B13" s="18" t="inlineStr">
        <is>
          <t>Cabang Surabaya</t>
        </is>
      </c>
      <c r="C13" s="18" t="inlineStr">
        <is>
          <t>surabaya timur</t>
        </is>
      </c>
      <c r="E13" s="19" t="inlineStr">
        <is>
          <t>Hasil Otomatis Excel:</t>
        </is>
      </c>
      <c r="F13" s="22">
        <f>CLEAN(C11)</f>
        <v/>
      </c>
    </row>
    <row r="14">
      <c r="B14" s="18" t="inlineStr">
        <is>
          <t>Cabang Medan</t>
        </is>
      </c>
      <c r="C14" s="18" t="inlineStr">
        <is>
          <t>medan kota</t>
        </is>
      </c>
    </row>
    <row r="16" ht="26" customHeight="1">
      <c r="B16" s="23" t="inlineStr">
        <is>
          <t>3️⃣ 5 PERSOALAN DUNIA NYATA (KETIK RUMUS CLEAN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Asal</t>
        </is>
      </c>
      <c r="C19" s="12" t="inlineStr">
        <is>
          <t>Teks Input</t>
        </is>
      </c>
      <c r="E19" s="25" t="inlineStr">
        <is>
          <t>Persoalan #1: Terapkan rumus teks CLEAN pada teks di sel C20 ("budi santoso")!</t>
        </is>
      </c>
    </row>
    <row r="20">
      <c r="B20" s="18" t="inlineStr">
        <is>
          <t>Cabang Jakarta</t>
        </is>
      </c>
      <c r="C20" s="18" t="inlineStr">
        <is>
          <t>budi santoso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jakarta pusat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CLEAN(C20)</f>
        <v/>
      </c>
      <c r="H21" s="29" t="inlineStr">
        <is>
          <t>Ketik: =CLEAN(C20)</t>
        </is>
      </c>
    </row>
    <row r="22">
      <c r="B22" s="18" t="inlineStr">
        <is>
          <t>Cabang Surabaya</t>
        </is>
      </c>
      <c r="C22" s="18" t="inlineStr">
        <is>
          <t>surabaya timur</t>
        </is>
      </c>
    </row>
    <row r="23">
      <c r="B23" s="18" t="inlineStr">
        <is>
          <t>Cabang Medan</t>
        </is>
      </c>
      <c r="C23" s="18" t="inlineStr">
        <is>
          <t>medan kota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Asal</t>
        </is>
      </c>
      <c r="C27" s="12" t="inlineStr">
        <is>
          <t>Teks Input</t>
        </is>
      </c>
      <c r="E27" s="25" t="inlineStr">
        <is>
          <t>Persoalan #2: Terapkan rumus teks CLEAN pada teks di sel C28 ("siti aminah")!</t>
        </is>
      </c>
    </row>
    <row r="28">
      <c r="B28" s="18" t="inlineStr">
        <is>
          <t>Budi Santoso</t>
        </is>
      </c>
      <c r="C28" s="18" t="inlineStr">
        <is>
          <t>siti aminah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jakarta pusat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CLEAN(C28)</f>
        <v/>
      </c>
      <c r="H29" s="29" t="inlineStr">
        <is>
          <t>Ketik: =CLEAN(C28)</t>
        </is>
      </c>
    </row>
    <row r="30">
      <c r="B30" s="18" t="inlineStr">
        <is>
          <t>Andi Pratama</t>
        </is>
      </c>
      <c r="C30" s="18" t="inlineStr">
        <is>
          <t>surabaya timur</t>
        </is>
      </c>
    </row>
    <row r="31">
      <c r="B31" s="18" t="inlineStr">
        <is>
          <t>Rina Wijaya</t>
        </is>
      </c>
      <c r="C31" s="18" t="inlineStr">
        <is>
          <t>medan kota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Asal</t>
        </is>
      </c>
      <c r="C35" s="12" t="inlineStr">
        <is>
          <t>Teks Input</t>
        </is>
      </c>
      <c r="E35" s="25" t="inlineStr">
        <is>
          <t>Persoalan #3: Terapkan rumus teks CLEAN pada teks di sel C36 ("andi pratama")!</t>
        </is>
      </c>
    </row>
    <row r="36">
      <c r="B36" s="18" t="inlineStr">
        <is>
          <t>Gudang Blok A</t>
        </is>
      </c>
      <c r="C36" s="18" t="inlineStr">
        <is>
          <t>andi pratama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jakarta pusat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CLEAN(C36)</f>
        <v/>
      </c>
      <c r="H37" s="29" t="inlineStr">
        <is>
          <t>Ketik: =CLEAN(C36)</t>
        </is>
      </c>
    </row>
    <row r="38">
      <c r="B38" s="18" t="inlineStr">
        <is>
          <t>Gudang Blok C</t>
        </is>
      </c>
      <c r="C38" s="18" t="inlineStr">
        <is>
          <t>surabaya timur</t>
        </is>
      </c>
    </row>
    <row r="39">
      <c r="B39" s="18" t="inlineStr">
        <is>
          <t>Gudang Blok D</t>
        </is>
      </c>
      <c r="C39" s="18" t="inlineStr">
        <is>
          <t>medan kota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Asal</t>
        </is>
      </c>
      <c r="C43" s="12" t="inlineStr">
        <is>
          <t>Teks Input</t>
        </is>
      </c>
      <c r="E43" s="25" t="inlineStr">
        <is>
          <t>Persoalan #4: Terapkan rumus teks CLEAN pada teks di sel C44 ("rina wijaya")!</t>
        </is>
      </c>
    </row>
    <row r="44">
      <c r="B44" s="18" t="inlineStr">
        <is>
          <t>Toko Elektronik</t>
        </is>
      </c>
      <c r="C44" s="18" t="inlineStr">
        <is>
          <t>rina wijaya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jakarta pusat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CLEAN(C44)</f>
        <v/>
      </c>
      <c r="H45" s="29" t="inlineStr">
        <is>
          <t>Ketik: =CLEAN(C44)</t>
        </is>
      </c>
    </row>
    <row r="46">
      <c r="B46" s="18" t="inlineStr">
        <is>
          <t>Toko Aksesoris</t>
        </is>
      </c>
      <c r="C46" s="18" t="inlineStr">
        <is>
          <t>surabaya timur</t>
        </is>
      </c>
    </row>
    <row r="47">
      <c r="B47" s="18" t="inlineStr">
        <is>
          <t>Toko Servis</t>
        </is>
      </c>
      <c r="C47" s="18" t="inlineStr">
        <is>
          <t>medan kota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Asal</t>
        </is>
      </c>
      <c r="C51" s="12" t="inlineStr">
        <is>
          <t>Teks Input</t>
        </is>
      </c>
      <c r="E51" s="25" t="inlineStr">
        <is>
          <t>Persoalan #5: Terapkan rumus teks CLEAN pada teks di sel C52 ("budi santoso")!</t>
        </is>
      </c>
    </row>
    <row r="52">
      <c r="B52" s="18" t="inlineStr">
        <is>
          <t>Kelas 10 IPA</t>
        </is>
      </c>
      <c r="C52" s="18" t="inlineStr">
        <is>
          <t>budi santoso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jakarta pusat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CLEAN(C52)</f>
        <v/>
      </c>
      <c r="H53" s="29" t="inlineStr">
        <is>
          <t>Ketik: =CLEAN(C52)</t>
        </is>
      </c>
    </row>
    <row r="54">
      <c r="B54" s="18" t="inlineStr">
        <is>
          <t>Kelas 12 IPA</t>
        </is>
      </c>
      <c r="C54" s="18" t="inlineStr">
        <is>
          <t>surabaya timur</t>
        </is>
      </c>
    </row>
    <row r="55">
      <c r="B55" s="18" t="inlineStr">
        <is>
          <t>Kelas Unggulan</t>
        </is>
      </c>
      <c r="C55" s="18" t="inlineStr">
        <is>
          <t>medan kota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#019 — RUMUS EXCEL: UPPER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(UPPER)</t>
        </is>
      </c>
    </row>
    <row r="5" ht="21" customHeight="1">
      <c r="B5" s="12" t="inlineStr">
        <is>
          <t>Nama Rumus Excel</t>
        </is>
      </c>
      <c r="C5" s="13">
        <f>UPPER(...)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UPPER(teks)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SEMUA huruf menjadi HURUF BESAR (KAPITAL) semua.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UPPER)</t>
        </is>
      </c>
    </row>
    <row r="10">
      <c r="B10" s="16" t="inlineStr">
        <is>
          <t>Data Asal</t>
        </is>
      </c>
      <c r="C10" s="16" t="inlineStr">
        <is>
          <t>Teks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budi santoso</t>
        </is>
      </c>
      <c r="E11" s="19" t="inlineStr">
        <is>
          <t>Kasus Contoh:</t>
        </is>
      </c>
      <c r="F11" s="20" t="inlineStr">
        <is>
          <t>Terapkan rumus teks UPPER pada teks di sel C11 ("budi santoso")!</t>
        </is>
      </c>
    </row>
    <row r="12">
      <c r="B12" s="18" t="inlineStr">
        <is>
          <t>Cabang Bandung</t>
        </is>
      </c>
      <c r="C12" s="18" t="inlineStr">
        <is>
          <t>jakarta pusat</t>
        </is>
      </c>
      <c r="E12" s="19" t="inlineStr">
        <is>
          <t>Rumus yang Diketik:</t>
        </is>
      </c>
      <c r="F12" s="21" t="inlineStr">
        <is>
          <t>'=UPPER(C11)</t>
        </is>
      </c>
    </row>
    <row r="13">
      <c r="B13" s="18" t="inlineStr">
        <is>
          <t>Cabang Surabaya</t>
        </is>
      </c>
      <c r="C13" s="18" t="inlineStr">
        <is>
          <t>surabaya timur</t>
        </is>
      </c>
      <c r="E13" s="19" t="inlineStr">
        <is>
          <t>Hasil Otomatis Excel:</t>
        </is>
      </c>
      <c r="F13" s="22">
        <f>UPPER(C11)</f>
        <v/>
      </c>
    </row>
    <row r="14">
      <c r="B14" s="18" t="inlineStr">
        <is>
          <t>Cabang Medan</t>
        </is>
      </c>
      <c r="C14" s="18" t="inlineStr">
        <is>
          <t>medan kota</t>
        </is>
      </c>
    </row>
    <row r="16" ht="26" customHeight="1">
      <c r="B16" s="23" t="inlineStr">
        <is>
          <t>3️⃣ 5 PERSOALAN DUNIA NYATA (KETIK RUMUS UPPER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Asal</t>
        </is>
      </c>
      <c r="C19" s="12" t="inlineStr">
        <is>
          <t>Teks Input</t>
        </is>
      </c>
      <c r="E19" s="25" t="inlineStr">
        <is>
          <t>Persoalan #1: Terapkan rumus teks UPPER pada teks di sel C20 ("budi santoso")!</t>
        </is>
      </c>
    </row>
    <row r="20">
      <c r="B20" s="18" t="inlineStr">
        <is>
          <t>Cabang Jakarta</t>
        </is>
      </c>
      <c r="C20" s="18" t="inlineStr">
        <is>
          <t>budi santoso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jakarta pusat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UPPER(C20)</f>
        <v/>
      </c>
      <c r="H21" s="29" t="inlineStr">
        <is>
          <t>Ketik: =UPPER(C20)</t>
        </is>
      </c>
    </row>
    <row r="22">
      <c r="B22" s="18" t="inlineStr">
        <is>
          <t>Cabang Surabaya</t>
        </is>
      </c>
      <c r="C22" s="18" t="inlineStr">
        <is>
          <t>surabaya timur</t>
        </is>
      </c>
    </row>
    <row r="23">
      <c r="B23" s="18" t="inlineStr">
        <is>
          <t>Cabang Medan</t>
        </is>
      </c>
      <c r="C23" s="18" t="inlineStr">
        <is>
          <t>medan kota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Asal</t>
        </is>
      </c>
      <c r="C27" s="12" t="inlineStr">
        <is>
          <t>Teks Input</t>
        </is>
      </c>
      <c r="E27" s="25" t="inlineStr">
        <is>
          <t>Persoalan #2: Terapkan rumus teks UPPER pada teks di sel C28 ("siti aminah")!</t>
        </is>
      </c>
    </row>
    <row r="28">
      <c r="B28" s="18" t="inlineStr">
        <is>
          <t>Budi Santoso</t>
        </is>
      </c>
      <c r="C28" s="18" t="inlineStr">
        <is>
          <t>siti aminah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jakarta pusat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UPPER(C28)</f>
        <v/>
      </c>
      <c r="H29" s="29" t="inlineStr">
        <is>
          <t>Ketik: =UPPER(C28)</t>
        </is>
      </c>
    </row>
    <row r="30">
      <c r="B30" s="18" t="inlineStr">
        <is>
          <t>Andi Pratama</t>
        </is>
      </c>
      <c r="C30" s="18" t="inlineStr">
        <is>
          <t>surabaya timur</t>
        </is>
      </c>
    </row>
    <row r="31">
      <c r="B31" s="18" t="inlineStr">
        <is>
          <t>Rina Wijaya</t>
        </is>
      </c>
      <c r="C31" s="18" t="inlineStr">
        <is>
          <t>medan kota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Asal</t>
        </is>
      </c>
      <c r="C35" s="12" t="inlineStr">
        <is>
          <t>Teks Input</t>
        </is>
      </c>
      <c r="E35" s="25" t="inlineStr">
        <is>
          <t>Persoalan #3: Terapkan rumus teks UPPER pada teks di sel C36 ("andi pratama")!</t>
        </is>
      </c>
    </row>
    <row r="36">
      <c r="B36" s="18" t="inlineStr">
        <is>
          <t>Gudang Blok A</t>
        </is>
      </c>
      <c r="C36" s="18" t="inlineStr">
        <is>
          <t>andi pratama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jakarta pusat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UPPER(C36)</f>
        <v/>
      </c>
      <c r="H37" s="29" t="inlineStr">
        <is>
          <t>Ketik: =UPPER(C36)</t>
        </is>
      </c>
    </row>
    <row r="38">
      <c r="B38" s="18" t="inlineStr">
        <is>
          <t>Gudang Blok C</t>
        </is>
      </c>
      <c r="C38" s="18" t="inlineStr">
        <is>
          <t>surabaya timur</t>
        </is>
      </c>
    </row>
    <row r="39">
      <c r="B39" s="18" t="inlineStr">
        <is>
          <t>Gudang Blok D</t>
        </is>
      </c>
      <c r="C39" s="18" t="inlineStr">
        <is>
          <t>medan kota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Asal</t>
        </is>
      </c>
      <c r="C43" s="12" t="inlineStr">
        <is>
          <t>Teks Input</t>
        </is>
      </c>
      <c r="E43" s="25" t="inlineStr">
        <is>
          <t>Persoalan #4: Terapkan rumus teks UPPER pada teks di sel C44 ("rina wijaya")!</t>
        </is>
      </c>
    </row>
    <row r="44">
      <c r="B44" s="18" t="inlineStr">
        <is>
          <t>Toko Elektronik</t>
        </is>
      </c>
      <c r="C44" s="18" t="inlineStr">
        <is>
          <t>rina wijaya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jakarta pusat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UPPER(C44)</f>
        <v/>
      </c>
      <c r="H45" s="29" t="inlineStr">
        <is>
          <t>Ketik: =UPPER(C44)</t>
        </is>
      </c>
    </row>
    <row r="46">
      <c r="B46" s="18" t="inlineStr">
        <is>
          <t>Toko Aksesoris</t>
        </is>
      </c>
      <c r="C46" s="18" t="inlineStr">
        <is>
          <t>surabaya timur</t>
        </is>
      </c>
    </row>
    <row r="47">
      <c r="B47" s="18" t="inlineStr">
        <is>
          <t>Toko Servis</t>
        </is>
      </c>
      <c r="C47" s="18" t="inlineStr">
        <is>
          <t>medan kota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Asal</t>
        </is>
      </c>
      <c r="C51" s="12" t="inlineStr">
        <is>
          <t>Teks Input</t>
        </is>
      </c>
      <c r="E51" s="25" t="inlineStr">
        <is>
          <t>Persoalan #5: Terapkan rumus teks UPPER pada teks di sel C52 ("budi santoso")!</t>
        </is>
      </c>
    </row>
    <row r="52">
      <c r="B52" s="18" t="inlineStr">
        <is>
          <t>Kelas 10 IPA</t>
        </is>
      </c>
      <c r="C52" s="18" t="inlineStr">
        <is>
          <t>budi santoso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jakarta pusat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UPPER(C52)</f>
        <v/>
      </c>
      <c r="H53" s="29" t="inlineStr">
        <is>
          <t>Ketik: =UPPER(C52)</t>
        </is>
      </c>
    </row>
    <row r="54">
      <c r="B54" s="18" t="inlineStr">
        <is>
          <t>Kelas 12 IPA</t>
        </is>
      </c>
      <c r="C54" s="18" t="inlineStr">
        <is>
          <t>surabaya timur</t>
        </is>
      </c>
    </row>
    <row r="55">
      <c r="B55" s="18" t="inlineStr">
        <is>
          <t>Kelas Unggulan</t>
        </is>
      </c>
      <c r="C55" s="18" t="inlineStr">
        <is>
          <t>medan kota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#020 — RUMUS EXCEL: LOWER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(LOWER)</t>
        </is>
      </c>
    </row>
    <row r="5" ht="21" customHeight="1">
      <c r="B5" s="12" t="inlineStr">
        <is>
          <t>Nama Rumus Excel</t>
        </is>
      </c>
      <c r="C5" s="13">
        <f>LOWER(...)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LOWER(teks)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semua huruf menjadi huruf kecil semua (cocok untuk merapikan alamat email).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LOWER)</t>
        </is>
      </c>
    </row>
    <row r="10">
      <c r="B10" s="16" t="inlineStr">
        <is>
          <t>Data Asal</t>
        </is>
      </c>
      <c r="C10" s="16" t="inlineStr">
        <is>
          <t>Teks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budi santoso</t>
        </is>
      </c>
      <c r="E11" s="19" t="inlineStr">
        <is>
          <t>Kasus Contoh:</t>
        </is>
      </c>
      <c r="F11" s="20" t="inlineStr">
        <is>
          <t>Terapkan rumus teks LOWER pada teks di sel C11 ("budi santoso")!</t>
        </is>
      </c>
    </row>
    <row r="12">
      <c r="B12" s="18" t="inlineStr">
        <is>
          <t>Cabang Bandung</t>
        </is>
      </c>
      <c r="C12" s="18" t="inlineStr">
        <is>
          <t>jakarta pusat</t>
        </is>
      </c>
      <c r="E12" s="19" t="inlineStr">
        <is>
          <t>Rumus yang Diketik:</t>
        </is>
      </c>
      <c r="F12" s="21" t="inlineStr">
        <is>
          <t>'=LOWER(C11)</t>
        </is>
      </c>
    </row>
    <row r="13">
      <c r="B13" s="18" t="inlineStr">
        <is>
          <t>Cabang Surabaya</t>
        </is>
      </c>
      <c r="C13" s="18" t="inlineStr">
        <is>
          <t>surabaya timur</t>
        </is>
      </c>
      <c r="E13" s="19" t="inlineStr">
        <is>
          <t>Hasil Otomatis Excel:</t>
        </is>
      </c>
      <c r="F13" s="22">
        <f>LOWER(C11)</f>
        <v/>
      </c>
    </row>
    <row r="14">
      <c r="B14" s="18" t="inlineStr">
        <is>
          <t>Cabang Medan</t>
        </is>
      </c>
      <c r="C14" s="18" t="inlineStr">
        <is>
          <t>medan kota</t>
        </is>
      </c>
    </row>
    <row r="16" ht="26" customHeight="1">
      <c r="B16" s="23" t="inlineStr">
        <is>
          <t>3️⃣ 5 PERSOALAN DUNIA NYATA (KETIK RUMUS LOWER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Asal</t>
        </is>
      </c>
      <c r="C19" s="12" t="inlineStr">
        <is>
          <t>Teks Input</t>
        </is>
      </c>
      <c r="E19" s="25" t="inlineStr">
        <is>
          <t>Persoalan #1: Terapkan rumus teks LOWER pada teks di sel C20 ("budi santoso")!</t>
        </is>
      </c>
    </row>
    <row r="20">
      <c r="B20" s="18" t="inlineStr">
        <is>
          <t>Cabang Jakarta</t>
        </is>
      </c>
      <c r="C20" s="18" t="inlineStr">
        <is>
          <t>budi santoso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jakarta pusat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LOWER(C20)</f>
        <v/>
      </c>
      <c r="H21" s="29" t="inlineStr">
        <is>
          <t>Ketik: =LOWER(C20)</t>
        </is>
      </c>
    </row>
    <row r="22">
      <c r="B22" s="18" t="inlineStr">
        <is>
          <t>Cabang Surabaya</t>
        </is>
      </c>
      <c r="C22" s="18" t="inlineStr">
        <is>
          <t>surabaya timur</t>
        </is>
      </c>
    </row>
    <row r="23">
      <c r="B23" s="18" t="inlineStr">
        <is>
          <t>Cabang Medan</t>
        </is>
      </c>
      <c r="C23" s="18" t="inlineStr">
        <is>
          <t>medan kota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Asal</t>
        </is>
      </c>
      <c r="C27" s="12" t="inlineStr">
        <is>
          <t>Teks Input</t>
        </is>
      </c>
      <c r="E27" s="25" t="inlineStr">
        <is>
          <t>Persoalan #2: Terapkan rumus teks LOWER pada teks di sel C28 ("siti aminah")!</t>
        </is>
      </c>
    </row>
    <row r="28">
      <c r="B28" s="18" t="inlineStr">
        <is>
          <t>Budi Santoso</t>
        </is>
      </c>
      <c r="C28" s="18" t="inlineStr">
        <is>
          <t>siti aminah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jakarta pusat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LOWER(C28)</f>
        <v/>
      </c>
      <c r="H29" s="29" t="inlineStr">
        <is>
          <t>Ketik: =LOWER(C28)</t>
        </is>
      </c>
    </row>
    <row r="30">
      <c r="B30" s="18" t="inlineStr">
        <is>
          <t>Andi Pratama</t>
        </is>
      </c>
      <c r="C30" s="18" t="inlineStr">
        <is>
          <t>surabaya timur</t>
        </is>
      </c>
    </row>
    <row r="31">
      <c r="B31" s="18" t="inlineStr">
        <is>
          <t>Rina Wijaya</t>
        </is>
      </c>
      <c r="C31" s="18" t="inlineStr">
        <is>
          <t>medan kota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Asal</t>
        </is>
      </c>
      <c r="C35" s="12" t="inlineStr">
        <is>
          <t>Teks Input</t>
        </is>
      </c>
      <c r="E35" s="25" t="inlineStr">
        <is>
          <t>Persoalan #3: Terapkan rumus teks LOWER pada teks di sel C36 ("andi pratama")!</t>
        </is>
      </c>
    </row>
    <row r="36">
      <c r="B36" s="18" t="inlineStr">
        <is>
          <t>Gudang Blok A</t>
        </is>
      </c>
      <c r="C36" s="18" t="inlineStr">
        <is>
          <t>andi pratama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jakarta pusat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LOWER(C36)</f>
        <v/>
      </c>
      <c r="H37" s="29" t="inlineStr">
        <is>
          <t>Ketik: =LOWER(C36)</t>
        </is>
      </c>
    </row>
    <row r="38">
      <c r="B38" s="18" t="inlineStr">
        <is>
          <t>Gudang Blok C</t>
        </is>
      </c>
      <c r="C38" s="18" t="inlineStr">
        <is>
          <t>surabaya timur</t>
        </is>
      </c>
    </row>
    <row r="39">
      <c r="B39" s="18" t="inlineStr">
        <is>
          <t>Gudang Blok D</t>
        </is>
      </c>
      <c r="C39" s="18" t="inlineStr">
        <is>
          <t>medan kota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Asal</t>
        </is>
      </c>
      <c r="C43" s="12" t="inlineStr">
        <is>
          <t>Teks Input</t>
        </is>
      </c>
      <c r="E43" s="25" t="inlineStr">
        <is>
          <t>Persoalan #4: Terapkan rumus teks LOWER pada teks di sel C44 ("rina wijaya")!</t>
        </is>
      </c>
    </row>
    <row r="44">
      <c r="B44" s="18" t="inlineStr">
        <is>
          <t>Toko Elektronik</t>
        </is>
      </c>
      <c r="C44" s="18" t="inlineStr">
        <is>
          <t>rina wijaya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jakarta pusat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LOWER(C44)</f>
        <v/>
      </c>
      <c r="H45" s="29" t="inlineStr">
        <is>
          <t>Ketik: =LOWER(C44)</t>
        </is>
      </c>
    </row>
    <row r="46">
      <c r="B46" s="18" t="inlineStr">
        <is>
          <t>Toko Aksesoris</t>
        </is>
      </c>
      <c r="C46" s="18" t="inlineStr">
        <is>
          <t>surabaya timur</t>
        </is>
      </c>
    </row>
    <row r="47">
      <c r="B47" s="18" t="inlineStr">
        <is>
          <t>Toko Servis</t>
        </is>
      </c>
      <c r="C47" s="18" t="inlineStr">
        <is>
          <t>medan kota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Asal</t>
        </is>
      </c>
      <c r="C51" s="12" t="inlineStr">
        <is>
          <t>Teks Input</t>
        </is>
      </c>
      <c r="E51" s="25" t="inlineStr">
        <is>
          <t>Persoalan #5: Terapkan rumus teks LOWER pada teks di sel C52 ("budi santoso")!</t>
        </is>
      </c>
    </row>
    <row r="52">
      <c r="B52" s="18" t="inlineStr">
        <is>
          <t>Kelas 10 IPA</t>
        </is>
      </c>
      <c r="C52" s="18" t="inlineStr">
        <is>
          <t>budi santoso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jakarta pusat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LOWER(C52)</f>
        <v/>
      </c>
      <c r="H53" s="29" t="inlineStr">
        <is>
          <t>Ketik: =LOWER(C52)</t>
        </is>
      </c>
    </row>
    <row r="54">
      <c r="B54" s="18" t="inlineStr">
        <is>
          <t>Kelas 12 IPA</t>
        </is>
      </c>
      <c r="C54" s="18" t="inlineStr">
        <is>
          <t>surabaya timur</t>
        </is>
      </c>
    </row>
    <row r="55">
      <c r="B55" s="18" t="inlineStr">
        <is>
          <t>Kelas Unggulan</t>
        </is>
      </c>
      <c r="C55" s="18" t="inlineStr">
        <is>
          <t>medan kota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#021 — RUMUS EXCEL: PROPER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(PROPER)</t>
        </is>
      </c>
    </row>
    <row r="5" ht="21" customHeight="1">
      <c r="B5" s="12" t="inlineStr">
        <is>
          <t>Nama Rumus Excel</t>
        </is>
      </c>
      <c r="C5" s="13">
        <f>PROPER(...)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PROPER(teks)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Merapikan huruf awal setiap kata menjadi Kapital (Title Case), sangat cocok untuk merapikan daftar Nama Karyawan/Siswa!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PROPER)</t>
        </is>
      </c>
    </row>
    <row r="10">
      <c r="B10" s="16" t="inlineStr">
        <is>
          <t>Data Asal</t>
        </is>
      </c>
      <c r="C10" s="16" t="inlineStr">
        <is>
          <t>Teks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budi santoso</t>
        </is>
      </c>
      <c r="E11" s="19" t="inlineStr">
        <is>
          <t>Kasus Contoh:</t>
        </is>
      </c>
      <c r="F11" s="20" t="inlineStr">
        <is>
          <t>Terapkan rumus teks PROPER pada teks di sel C11 ("budi santoso")!</t>
        </is>
      </c>
    </row>
    <row r="12">
      <c r="B12" s="18" t="inlineStr">
        <is>
          <t>Cabang Bandung</t>
        </is>
      </c>
      <c r="C12" s="18" t="inlineStr">
        <is>
          <t>jakarta pusat</t>
        </is>
      </c>
      <c r="E12" s="19" t="inlineStr">
        <is>
          <t>Rumus yang Diketik:</t>
        </is>
      </c>
      <c r="F12" s="21" t="inlineStr">
        <is>
          <t>'=PROPER(C11)</t>
        </is>
      </c>
    </row>
    <row r="13">
      <c r="B13" s="18" t="inlineStr">
        <is>
          <t>Cabang Surabaya</t>
        </is>
      </c>
      <c r="C13" s="18" t="inlineStr">
        <is>
          <t>surabaya timur</t>
        </is>
      </c>
      <c r="E13" s="19" t="inlineStr">
        <is>
          <t>Hasil Otomatis Excel:</t>
        </is>
      </c>
      <c r="F13" s="22">
        <f>PROPER(C11)</f>
        <v/>
      </c>
    </row>
    <row r="14">
      <c r="B14" s="18" t="inlineStr">
        <is>
          <t>Cabang Medan</t>
        </is>
      </c>
      <c r="C14" s="18" t="inlineStr">
        <is>
          <t>medan kota</t>
        </is>
      </c>
    </row>
    <row r="16" ht="26" customHeight="1">
      <c r="B16" s="23" t="inlineStr">
        <is>
          <t>3️⃣ 5 PERSOALAN DUNIA NYATA (KETIK RUMUS PROPER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Data Asal</t>
        </is>
      </c>
      <c r="C19" s="12" t="inlineStr">
        <is>
          <t>Teks Input</t>
        </is>
      </c>
      <c r="E19" s="25" t="inlineStr">
        <is>
          <t>Persoalan #1: Terapkan rumus teks PROPER pada teks di sel C20 ("budi santoso")!</t>
        </is>
      </c>
    </row>
    <row r="20">
      <c r="B20" s="18" t="inlineStr">
        <is>
          <t>Cabang Jakarta</t>
        </is>
      </c>
      <c r="C20" s="18" t="inlineStr">
        <is>
          <t>budi santoso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jakarta pusat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PROPER(C20)</f>
        <v/>
      </c>
      <c r="H21" s="29" t="inlineStr">
        <is>
          <t>Ketik: =PROPER(C20)</t>
        </is>
      </c>
    </row>
    <row r="22">
      <c r="B22" s="18" t="inlineStr">
        <is>
          <t>Cabang Surabaya</t>
        </is>
      </c>
      <c r="C22" s="18" t="inlineStr">
        <is>
          <t>surabaya timur</t>
        </is>
      </c>
    </row>
    <row r="23">
      <c r="B23" s="18" t="inlineStr">
        <is>
          <t>Cabang Medan</t>
        </is>
      </c>
      <c r="C23" s="18" t="inlineStr">
        <is>
          <t>medan kota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Data Asal</t>
        </is>
      </c>
      <c r="C27" s="12" t="inlineStr">
        <is>
          <t>Teks Input</t>
        </is>
      </c>
      <c r="E27" s="25" t="inlineStr">
        <is>
          <t>Persoalan #2: Terapkan rumus teks PROPER pada teks di sel C28 ("siti aminah")!</t>
        </is>
      </c>
    </row>
    <row r="28">
      <c r="B28" s="18" t="inlineStr">
        <is>
          <t>Budi Santoso</t>
        </is>
      </c>
      <c r="C28" s="18" t="inlineStr">
        <is>
          <t>siti aminah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jakarta pusat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PROPER(C28)</f>
        <v/>
      </c>
      <c r="H29" s="29" t="inlineStr">
        <is>
          <t>Ketik: =PROPER(C28)</t>
        </is>
      </c>
    </row>
    <row r="30">
      <c r="B30" s="18" t="inlineStr">
        <is>
          <t>Andi Pratama</t>
        </is>
      </c>
      <c r="C30" s="18" t="inlineStr">
        <is>
          <t>surabaya timur</t>
        </is>
      </c>
    </row>
    <row r="31">
      <c r="B31" s="18" t="inlineStr">
        <is>
          <t>Rina Wijaya</t>
        </is>
      </c>
      <c r="C31" s="18" t="inlineStr">
        <is>
          <t>medan kota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Data Asal</t>
        </is>
      </c>
      <c r="C35" s="12" t="inlineStr">
        <is>
          <t>Teks Input</t>
        </is>
      </c>
      <c r="E35" s="25" t="inlineStr">
        <is>
          <t>Persoalan #3: Terapkan rumus teks PROPER pada teks di sel C36 ("andi pratama")!</t>
        </is>
      </c>
    </row>
    <row r="36">
      <c r="B36" s="18" t="inlineStr">
        <is>
          <t>Gudang Blok A</t>
        </is>
      </c>
      <c r="C36" s="18" t="inlineStr">
        <is>
          <t>andi pratama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jakarta pusat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PROPER(C36)</f>
        <v/>
      </c>
      <c r="H37" s="29" t="inlineStr">
        <is>
          <t>Ketik: =PROPER(C36)</t>
        </is>
      </c>
    </row>
    <row r="38">
      <c r="B38" s="18" t="inlineStr">
        <is>
          <t>Gudang Blok C</t>
        </is>
      </c>
      <c r="C38" s="18" t="inlineStr">
        <is>
          <t>surabaya timur</t>
        </is>
      </c>
    </row>
    <row r="39">
      <c r="B39" s="18" t="inlineStr">
        <is>
          <t>Gudang Blok D</t>
        </is>
      </c>
      <c r="C39" s="18" t="inlineStr">
        <is>
          <t>medan kota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Data Asal</t>
        </is>
      </c>
      <c r="C43" s="12" t="inlineStr">
        <is>
          <t>Teks Input</t>
        </is>
      </c>
      <c r="E43" s="25" t="inlineStr">
        <is>
          <t>Persoalan #4: Terapkan rumus teks PROPER pada teks di sel C44 ("rina wijaya")!</t>
        </is>
      </c>
    </row>
    <row r="44">
      <c r="B44" s="18" t="inlineStr">
        <is>
          <t>Toko Elektronik</t>
        </is>
      </c>
      <c r="C44" s="18" t="inlineStr">
        <is>
          <t>rina wijaya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jakarta pusat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PROPER(C44)</f>
        <v/>
      </c>
      <c r="H45" s="29" t="inlineStr">
        <is>
          <t>Ketik: =PROPER(C44)</t>
        </is>
      </c>
    </row>
    <row r="46">
      <c r="B46" s="18" t="inlineStr">
        <is>
          <t>Toko Aksesoris</t>
        </is>
      </c>
      <c r="C46" s="18" t="inlineStr">
        <is>
          <t>surabaya timur</t>
        </is>
      </c>
    </row>
    <row r="47">
      <c r="B47" s="18" t="inlineStr">
        <is>
          <t>Toko Servis</t>
        </is>
      </c>
      <c r="C47" s="18" t="inlineStr">
        <is>
          <t>medan kota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Data Asal</t>
        </is>
      </c>
      <c r="C51" s="12" t="inlineStr">
        <is>
          <t>Teks Input</t>
        </is>
      </c>
      <c r="E51" s="25" t="inlineStr">
        <is>
          <t>Persoalan #5: Terapkan rumus teks PROPER pada teks di sel C52 ("budi santoso")!</t>
        </is>
      </c>
    </row>
    <row r="52">
      <c r="B52" s="18" t="inlineStr">
        <is>
          <t>Kelas 10 IPA</t>
        </is>
      </c>
      <c r="C52" s="18" t="inlineStr">
        <is>
          <t>budi santoso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jakarta pusat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PROPER(C52)</f>
        <v/>
      </c>
      <c r="H53" s="29" t="inlineStr">
        <is>
          <t>Ketik: =PROPER(C52)</t>
        </is>
      </c>
    </row>
    <row r="54">
      <c r="B54" s="18" t="inlineStr">
        <is>
          <t>Kelas 12 IPA</t>
        </is>
      </c>
      <c r="C54" s="18" t="inlineStr">
        <is>
          <t>surabaya timur</t>
        </is>
      </c>
    </row>
    <row r="55">
      <c r="B55" s="18" t="inlineStr">
        <is>
          <t>Kelas Unggulan</t>
        </is>
      </c>
      <c r="C55" s="18" t="inlineStr">
        <is>
          <t>medan kota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#022 — RUMUS EXCEL: CONCATENATE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(CONCATENATE)</t>
        </is>
      </c>
    </row>
    <row r="5" ht="21" customHeight="1">
      <c r="B5" s="12" t="inlineStr">
        <is>
          <t>Nama Rumus Excel</t>
        </is>
      </c>
      <c r="C5" s="13">
        <f>CONCATENATE(...)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CONCATENATE(teks1, teks2, 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Menggabungkan beberapa sel teks menjadi satu kalimat utuh (Misal: Nama Depan + Spasi + Nama Belakang).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CONCATENATE)</t>
        </is>
      </c>
    </row>
    <row r="10">
      <c r="B10" s="16" t="inlineStr">
        <is>
          <t>Teks Pertama (B)</t>
        </is>
      </c>
      <c r="C10" s="16" t="inlineStr">
        <is>
          <t>Teks Kedua (C)</t>
        </is>
      </c>
      <c r="E10" s="17" t="inlineStr">
        <is>
          <t>💡 CONTOH RUMUS YANG SUDAH TERPASANG AKTIF:</t>
        </is>
      </c>
    </row>
    <row r="11">
      <c r="B11" s="18" t="inlineStr">
        <is>
          <t>Budi</t>
        </is>
      </c>
      <c r="C11" s="18" t="inlineStr">
        <is>
          <t>Budi</t>
        </is>
      </c>
      <c r="E11" s="19" t="inlineStr">
        <is>
          <t>Kasus Contoh:</t>
        </is>
      </c>
      <c r="F11" s="20" t="inlineStr">
        <is>
          <t>Gabungkan teks di B11, tanda " - ", dan teks di C11 menggunakan CONCATENATE!</t>
        </is>
      </c>
    </row>
    <row r="12">
      <c r="B12" s="18" t="inlineStr">
        <is>
          <t>Siti</t>
        </is>
      </c>
      <c r="C12" s="18" t="inlineStr">
        <is>
          <t>Aminah</t>
        </is>
      </c>
      <c r="E12" s="19" t="inlineStr">
        <is>
          <t>Rumus yang Diketik:</t>
        </is>
      </c>
      <c r="F12" s="21" t="inlineStr">
        <is>
          <t>'=CONCATENATE(B11, " - ", C11)</t>
        </is>
      </c>
    </row>
    <row r="13">
      <c r="B13" s="18" t="inlineStr">
        <is>
          <t>Andi</t>
        </is>
      </c>
      <c r="C13" s="18" t="inlineStr">
        <is>
          <t>Pratama</t>
        </is>
      </c>
      <c r="E13" s="19" t="inlineStr">
        <is>
          <t>Hasil Otomatis Excel:</t>
        </is>
      </c>
      <c r="F13" s="22">
        <f>CONCATENATE(B11, " - ", C11)</f>
        <v/>
      </c>
    </row>
    <row r="14">
      <c r="B14" s="18" t="inlineStr">
        <is>
          <t>Rina</t>
        </is>
      </c>
      <c r="C14" s="18" t="inlineStr">
        <is>
          <t>Wijaya</t>
        </is>
      </c>
    </row>
    <row r="16" ht="26" customHeight="1">
      <c r="B16" s="23" t="inlineStr">
        <is>
          <t>3️⃣ 5 PERSOALAN DUNIA NYATA (KETIK RUMUS CONCATENATE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Teks Pertama (B)</t>
        </is>
      </c>
      <c r="C19" s="12" t="inlineStr">
        <is>
          <t>Teks Kedua (C)</t>
        </is>
      </c>
      <c r="E19" s="25" t="inlineStr">
        <is>
          <t>Persoalan #1: Gabungkan teks di B20, tanda " - ", dan teks di C20 menggunakan CONCATENATE!</t>
        </is>
      </c>
    </row>
    <row r="20">
      <c r="B20" s="18" t="inlineStr">
        <is>
          <t>Budi</t>
        </is>
      </c>
      <c r="C20" s="18" t="inlineStr">
        <is>
          <t>Budi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Siti</t>
        </is>
      </c>
      <c r="C21" s="18" t="inlineStr">
        <is>
          <t>Aminah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CONCATENATE(B20, " - ", C20)</f>
        <v/>
      </c>
      <c r="H21" s="29" t="inlineStr">
        <is>
          <t>Ketik: =CONCATENATE(B20, " - ", C20)</t>
        </is>
      </c>
    </row>
    <row r="22">
      <c r="B22" s="18" t="inlineStr">
        <is>
          <t>Andi</t>
        </is>
      </c>
      <c r="C22" s="18" t="inlineStr">
        <is>
          <t>Pratama</t>
        </is>
      </c>
    </row>
    <row r="23">
      <c r="B23" s="18" t="inlineStr">
        <is>
          <t>Rina</t>
        </is>
      </c>
      <c r="C23" s="18" t="inlineStr">
        <is>
          <t>Wijaya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Teks Pertama (B)</t>
        </is>
      </c>
      <c r="C27" s="12" t="inlineStr">
        <is>
          <t>Teks Kedua (C)</t>
        </is>
      </c>
      <c r="E27" s="25" t="inlineStr">
        <is>
          <t>Persoalan #2: Gabungkan teks di B28, tanda " - ", dan teks di C28 menggunakan CONCATENATE!</t>
        </is>
      </c>
    </row>
    <row r="28">
      <c r="B28" s="18" t="inlineStr">
        <is>
          <t>Budi</t>
        </is>
      </c>
      <c r="C28" s="18" t="inlineStr">
        <is>
          <t>Budi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</t>
        </is>
      </c>
      <c r="C29" s="18" t="inlineStr">
        <is>
          <t>Aminah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CONCATENATE(B28, " - ", C28)</f>
        <v/>
      </c>
      <c r="H29" s="29" t="inlineStr">
        <is>
          <t>Ketik: =CONCATENATE(B28, " - ", C28)</t>
        </is>
      </c>
    </row>
    <row r="30">
      <c r="B30" s="18" t="inlineStr">
        <is>
          <t>Andi</t>
        </is>
      </c>
      <c r="C30" s="18" t="inlineStr">
        <is>
          <t>Pratama</t>
        </is>
      </c>
    </row>
    <row r="31">
      <c r="B31" s="18" t="inlineStr">
        <is>
          <t>Rina</t>
        </is>
      </c>
      <c r="C31" s="18" t="inlineStr">
        <is>
          <t>Wijaya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Teks Pertama (B)</t>
        </is>
      </c>
      <c r="C35" s="12" t="inlineStr">
        <is>
          <t>Teks Kedua (C)</t>
        </is>
      </c>
      <c r="E35" s="25" t="inlineStr">
        <is>
          <t>Persoalan #3: Gabungkan teks di B36, tanda " - ", dan teks di C36 menggunakan CONCATENATE!</t>
        </is>
      </c>
    </row>
    <row r="36">
      <c r="B36" s="18" t="inlineStr">
        <is>
          <t>Budi</t>
        </is>
      </c>
      <c r="C36" s="18" t="inlineStr">
        <is>
          <t>Budi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Siti</t>
        </is>
      </c>
      <c r="C37" s="18" t="inlineStr">
        <is>
          <t>Aminah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CONCATENATE(B36, " - ", C36)</f>
        <v/>
      </c>
      <c r="H37" s="29" t="inlineStr">
        <is>
          <t>Ketik: =CONCATENATE(B36, " - ", C36)</t>
        </is>
      </c>
    </row>
    <row r="38">
      <c r="B38" s="18" t="inlineStr">
        <is>
          <t>Andi</t>
        </is>
      </c>
      <c r="C38" s="18" t="inlineStr">
        <is>
          <t>Pratama</t>
        </is>
      </c>
    </row>
    <row r="39">
      <c r="B39" s="18" t="inlineStr">
        <is>
          <t>Rina</t>
        </is>
      </c>
      <c r="C39" s="18" t="inlineStr">
        <is>
          <t>Wijaya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Teks Pertama (B)</t>
        </is>
      </c>
      <c r="C43" s="12" t="inlineStr">
        <is>
          <t>Teks Kedua (C)</t>
        </is>
      </c>
      <c r="E43" s="25" t="inlineStr">
        <is>
          <t>Persoalan #4: Gabungkan teks di B44, tanda " - ", dan teks di C44 menggunakan CONCATENATE!</t>
        </is>
      </c>
    </row>
    <row r="44">
      <c r="B44" s="18" t="inlineStr">
        <is>
          <t>Budi</t>
        </is>
      </c>
      <c r="C44" s="18" t="inlineStr">
        <is>
          <t>Budi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Siti</t>
        </is>
      </c>
      <c r="C45" s="18" t="inlineStr">
        <is>
          <t>Aminah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CONCATENATE(B44, " - ", C44)</f>
        <v/>
      </c>
      <c r="H45" s="29" t="inlineStr">
        <is>
          <t>Ketik: =CONCATENATE(B44, " - ", C44)</t>
        </is>
      </c>
    </row>
    <row r="46">
      <c r="B46" s="18" t="inlineStr">
        <is>
          <t>Andi</t>
        </is>
      </c>
      <c r="C46" s="18" t="inlineStr">
        <is>
          <t>Pratama</t>
        </is>
      </c>
    </row>
    <row r="47">
      <c r="B47" s="18" t="inlineStr">
        <is>
          <t>Rina</t>
        </is>
      </c>
      <c r="C47" s="18" t="inlineStr">
        <is>
          <t>Wijaya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Teks Pertama (B)</t>
        </is>
      </c>
      <c r="C51" s="12" t="inlineStr">
        <is>
          <t>Teks Kedua (C)</t>
        </is>
      </c>
      <c r="E51" s="25" t="inlineStr">
        <is>
          <t>Persoalan #5: Gabungkan teks di B52, tanda " - ", dan teks di C52 menggunakan CONCATENATE!</t>
        </is>
      </c>
    </row>
    <row r="52">
      <c r="B52" s="18" t="inlineStr">
        <is>
          <t>Budi</t>
        </is>
      </c>
      <c r="C52" s="18" t="inlineStr">
        <is>
          <t>Budi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Siti</t>
        </is>
      </c>
      <c r="C53" s="18" t="inlineStr">
        <is>
          <t>Aminah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CONCATENATE(B52, " - ", C52)</f>
        <v/>
      </c>
      <c r="H53" s="29" t="inlineStr">
        <is>
          <t>Ketik: =CONCATENATE(B52, " - ", C52)</t>
        </is>
      </c>
    </row>
    <row r="54">
      <c r="B54" s="18" t="inlineStr">
        <is>
          <t>Andi</t>
        </is>
      </c>
      <c r="C54" s="18" t="inlineStr">
        <is>
          <t>Pratama</t>
        </is>
      </c>
    </row>
    <row r="55">
      <c r="B55" s="18" t="inlineStr">
        <is>
          <t>Rina</t>
        </is>
      </c>
      <c r="C55" s="18" t="inlineStr">
        <is>
          <t>Wijaya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#023 — RUMUS EXCEL: EXACT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(EXACT)</t>
        </is>
      </c>
    </row>
    <row r="5" ht="21" customHeight="1">
      <c r="B5" s="12" t="inlineStr">
        <is>
          <t>Nama Rumus Excel</t>
        </is>
      </c>
      <c r="C5" s="13">
        <f>EXACT(...)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EXACT(teks1, teks2)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Membandingkan apakah dua teks SAMA PERSIS hingga ke huruf besar-kecilnya (Case-Sensitive).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EXACT)</t>
        </is>
      </c>
    </row>
    <row r="10">
      <c r="B10" s="16" t="inlineStr">
        <is>
          <t>Teks Pertama (B)</t>
        </is>
      </c>
      <c r="C10" s="16" t="inlineStr">
        <is>
          <t>Teks Kedua (C)</t>
        </is>
      </c>
      <c r="E10" s="17" t="inlineStr">
        <is>
          <t>💡 CONTOH RUMUS YANG SUDAH TERPASANG AKTIF:</t>
        </is>
      </c>
    </row>
    <row r="11">
      <c r="B11" s="18" t="inlineStr">
        <is>
          <t>Budi</t>
        </is>
      </c>
      <c r="C11" s="18" t="inlineStr">
        <is>
          <t>Budi</t>
        </is>
      </c>
      <c r="E11" s="19" t="inlineStr">
        <is>
          <t>Kasus Contoh:</t>
        </is>
      </c>
      <c r="F11" s="20" t="inlineStr">
        <is>
          <t>Bandingkan apakah teks di B11 dan C11 sama persis menggunakan rumus EXACT!</t>
        </is>
      </c>
    </row>
    <row r="12">
      <c r="B12" s="18" t="inlineStr">
        <is>
          <t>Siti</t>
        </is>
      </c>
      <c r="C12" s="18" t="inlineStr">
        <is>
          <t>Aminah</t>
        </is>
      </c>
      <c r="E12" s="19" t="inlineStr">
        <is>
          <t>Rumus yang Diketik:</t>
        </is>
      </c>
      <c r="F12" s="21" t="inlineStr">
        <is>
          <t>'=EXACT(B11, C11)</t>
        </is>
      </c>
    </row>
    <row r="13">
      <c r="B13" s="18" t="inlineStr">
        <is>
          <t>Andi</t>
        </is>
      </c>
      <c r="C13" s="18" t="inlineStr">
        <is>
          <t>Pratama</t>
        </is>
      </c>
      <c r="E13" s="19" t="inlineStr">
        <is>
          <t>Hasil Otomatis Excel:</t>
        </is>
      </c>
      <c r="F13" s="22">
        <f>EXACT(B11, C11)</f>
        <v/>
      </c>
    </row>
    <row r="14">
      <c r="B14" s="18" t="inlineStr">
        <is>
          <t>Rina</t>
        </is>
      </c>
      <c r="C14" s="18" t="inlineStr">
        <is>
          <t>Wijaya</t>
        </is>
      </c>
    </row>
    <row r="16" ht="26" customHeight="1">
      <c r="B16" s="23" t="inlineStr">
        <is>
          <t>3️⃣ 5 PERSOALAN DUNIA NYATA (KETIK RUMUS EXACT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Teks Pertama (B)</t>
        </is>
      </c>
      <c r="C19" s="12" t="inlineStr">
        <is>
          <t>Teks Kedua (C)</t>
        </is>
      </c>
      <c r="E19" s="25" t="inlineStr">
        <is>
          <t>Persoalan #1: Bandingkan apakah teks di B20 dan C20 sama persis menggunakan rumus EXACT!</t>
        </is>
      </c>
    </row>
    <row r="20">
      <c r="B20" s="18" t="inlineStr">
        <is>
          <t>Budi</t>
        </is>
      </c>
      <c r="C20" s="18" t="inlineStr">
        <is>
          <t>Budi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Siti</t>
        </is>
      </c>
      <c r="C21" s="18" t="inlineStr">
        <is>
          <t>Aminah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EXACT(B20, C20)</f>
        <v/>
      </c>
      <c r="H21" s="29" t="inlineStr">
        <is>
          <t>Ketik: =EXACT(B20, C20)</t>
        </is>
      </c>
    </row>
    <row r="22">
      <c r="B22" s="18" t="inlineStr">
        <is>
          <t>Andi</t>
        </is>
      </c>
      <c r="C22" s="18" t="inlineStr">
        <is>
          <t>Pratama</t>
        </is>
      </c>
    </row>
    <row r="23">
      <c r="B23" s="18" t="inlineStr">
        <is>
          <t>Rina</t>
        </is>
      </c>
      <c r="C23" s="18" t="inlineStr">
        <is>
          <t>Wijaya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Teks Pertama (B)</t>
        </is>
      </c>
      <c r="C27" s="12" t="inlineStr">
        <is>
          <t>Teks Kedua (C)</t>
        </is>
      </c>
      <c r="E27" s="25" t="inlineStr">
        <is>
          <t>Persoalan #2: Bandingkan apakah teks di B28 dan C28 sama persis menggunakan rumus EXACT!</t>
        </is>
      </c>
    </row>
    <row r="28">
      <c r="B28" s="18" t="inlineStr">
        <is>
          <t>Budi</t>
        </is>
      </c>
      <c r="C28" s="18" t="inlineStr">
        <is>
          <t>Budi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</t>
        </is>
      </c>
      <c r="C29" s="18" t="inlineStr">
        <is>
          <t>Aminah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EXACT(B28, C28)</f>
        <v/>
      </c>
      <c r="H29" s="29" t="inlineStr">
        <is>
          <t>Ketik: =EXACT(B28, C28)</t>
        </is>
      </c>
    </row>
    <row r="30">
      <c r="B30" s="18" t="inlineStr">
        <is>
          <t>Andi</t>
        </is>
      </c>
      <c r="C30" s="18" t="inlineStr">
        <is>
          <t>Pratama</t>
        </is>
      </c>
    </row>
    <row r="31">
      <c r="B31" s="18" t="inlineStr">
        <is>
          <t>Rina</t>
        </is>
      </c>
      <c r="C31" s="18" t="inlineStr">
        <is>
          <t>Wijaya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Teks Pertama (B)</t>
        </is>
      </c>
      <c r="C35" s="12" t="inlineStr">
        <is>
          <t>Teks Kedua (C)</t>
        </is>
      </c>
      <c r="E35" s="25" t="inlineStr">
        <is>
          <t>Persoalan #3: Bandingkan apakah teks di B36 dan C36 sama persis menggunakan rumus EXACT!</t>
        </is>
      </c>
    </row>
    <row r="36">
      <c r="B36" s="18" t="inlineStr">
        <is>
          <t>Budi</t>
        </is>
      </c>
      <c r="C36" s="18" t="inlineStr">
        <is>
          <t>Budi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Siti</t>
        </is>
      </c>
      <c r="C37" s="18" t="inlineStr">
        <is>
          <t>Aminah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EXACT(B36, C36)</f>
        <v/>
      </c>
      <c r="H37" s="29" t="inlineStr">
        <is>
          <t>Ketik: =EXACT(B36, C36)</t>
        </is>
      </c>
    </row>
    <row r="38">
      <c r="B38" s="18" t="inlineStr">
        <is>
          <t>Andi</t>
        </is>
      </c>
      <c r="C38" s="18" t="inlineStr">
        <is>
          <t>Pratama</t>
        </is>
      </c>
    </row>
    <row r="39">
      <c r="B39" s="18" t="inlineStr">
        <is>
          <t>Rina</t>
        </is>
      </c>
      <c r="C39" s="18" t="inlineStr">
        <is>
          <t>Wijaya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Teks Pertama (B)</t>
        </is>
      </c>
      <c r="C43" s="12" t="inlineStr">
        <is>
          <t>Teks Kedua (C)</t>
        </is>
      </c>
      <c r="E43" s="25" t="inlineStr">
        <is>
          <t>Persoalan #4: Bandingkan apakah teks di B44 dan C44 sama persis menggunakan rumus EXACT!</t>
        </is>
      </c>
    </row>
    <row r="44">
      <c r="B44" s="18" t="inlineStr">
        <is>
          <t>Budi</t>
        </is>
      </c>
      <c r="C44" s="18" t="inlineStr">
        <is>
          <t>Budi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Siti</t>
        </is>
      </c>
      <c r="C45" s="18" t="inlineStr">
        <is>
          <t>Aminah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EXACT(B44, C44)</f>
        <v/>
      </c>
      <c r="H45" s="29" t="inlineStr">
        <is>
          <t>Ketik: =EXACT(B44, C44)</t>
        </is>
      </c>
    </row>
    <row r="46">
      <c r="B46" s="18" t="inlineStr">
        <is>
          <t>Andi</t>
        </is>
      </c>
      <c r="C46" s="18" t="inlineStr">
        <is>
          <t>Pratama</t>
        </is>
      </c>
    </row>
    <row r="47">
      <c r="B47" s="18" t="inlineStr">
        <is>
          <t>Rina</t>
        </is>
      </c>
      <c r="C47" s="18" t="inlineStr">
        <is>
          <t>Wijaya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Teks Pertama (B)</t>
        </is>
      </c>
      <c r="C51" s="12" t="inlineStr">
        <is>
          <t>Teks Kedua (C)</t>
        </is>
      </c>
      <c r="E51" s="25" t="inlineStr">
        <is>
          <t>Persoalan #5: Bandingkan apakah teks di B52 dan C52 sama persis menggunakan rumus EXACT!</t>
        </is>
      </c>
    </row>
    <row r="52">
      <c r="B52" s="18" t="inlineStr">
        <is>
          <t>Budi</t>
        </is>
      </c>
      <c r="C52" s="18" t="inlineStr">
        <is>
          <t>Budi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Siti</t>
        </is>
      </c>
      <c r="C53" s="18" t="inlineStr">
        <is>
          <t>Aminah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EXACT(B52, C52)</f>
        <v/>
      </c>
      <c r="H53" s="29" t="inlineStr">
        <is>
          <t>Ketik: =EXACT(B52, C52)</t>
        </is>
      </c>
    </row>
    <row r="54">
      <c r="B54" s="18" t="inlineStr">
        <is>
          <t>Andi</t>
        </is>
      </c>
      <c r="C54" s="18" t="inlineStr">
        <is>
          <t>Pratama</t>
        </is>
      </c>
    </row>
    <row r="55">
      <c r="B55" s="18" t="inlineStr">
        <is>
          <t>Rina</t>
        </is>
      </c>
      <c r="C55" s="18" t="inlineStr">
        <is>
          <t>Wijaya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#024 — RUMUS EXCEL: FIND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(FIND)</t>
        </is>
      </c>
    </row>
    <row r="5" ht="21" customHeight="1">
      <c r="B5" s="12" t="inlineStr">
        <is>
          <t>Nama Rumus Excel</t>
        </is>
      </c>
      <c r="C5" s="13">
        <f>FIND(...)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FIND(huruf_dicari, di_dalam_teks)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posisi urutan karakter tertentu di dalam teks (membedakan huruf besar dan kecil).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FIND)</t>
        </is>
      </c>
    </row>
    <row r="10">
      <c r="B10" s="16" t="inlineStr">
        <is>
          <t>Cabang</t>
        </is>
      </c>
      <c r="C10" s="16" t="inlineStr">
        <is>
          <t>Kode Nomor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JKT-001</t>
        </is>
      </c>
      <c r="E11" s="19" t="inlineStr">
        <is>
          <t>Kasus Contoh:</t>
        </is>
      </c>
      <c r="F11" s="20" t="inlineStr">
        <is>
          <t>Cari posisi karakter "-" di dalam sel C11 menggunakan rumus FIND!</t>
        </is>
      </c>
    </row>
    <row r="12">
      <c r="B12" s="18" t="inlineStr">
        <is>
          <t>Cabang Bandung</t>
        </is>
      </c>
      <c r="C12" s="18" t="inlineStr">
        <is>
          <t>BDG-002</t>
        </is>
      </c>
      <c r="E12" s="19" t="inlineStr">
        <is>
          <t>Rumus yang Diketik:</t>
        </is>
      </c>
      <c r="F12" s="21" t="inlineStr">
        <is>
          <t>'=FIND("-", C11)</t>
        </is>
      </c>
    </row>
    <row r="13">
      <c r="B13" s="18" t="inlineStr">
        <is>
          <t>Cabang Surabaya</t>
        </is>
      </c>
      <c r="C13" s="18" t="inlineStr">
        <is>
          <t>SBY-003</t>
        </is>
      </c>
      <c r="E13" s="19" t="inlineStr">
        <is>
          <t>Hasil Otomatis Excel:</t>
        </is>
      </c>
      <c r="F13" s="22">
        <f>FIND("-", C11)</f>
        <v/>
      </c>
    </row>
    <row r="14">
      <c r="B14" s="18" t="inlineStr">
        <is>
          <t>Cabang Medan</t>
        </is>
      </c>
      <c r="C14" s="18" t="inlineStr">
        <is>
          <t>MDN-004</t>
        </is>
      </c>
    </row>
    <row r="16" ht="26" customHeight="1">
      <c r="B16" s="23" t="inlineStr">
        <is>
          <t>3️⃣ 5 PERSOALAN DUNIA NYATA (KETIK RUMUS FIND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Cabang</t>
        </is>
      </c>
      <c r="C19" s="12" t="inlineStr">
        <is>
          <t>Kode Nomor</t>
        </is>
      </c>
      <c r="E19" s="25" t="inlineStr">
        <is>
          <t>Persoalan #1: Cari posisi karakter "-" di dalam sel C20 menggunakan rumus FIND!</t>
        </is>
      </c>
    </row>
    <row r="20">
      <c r="B20" s="18" t="inlineStr">
        <is>
          <t>Cabang Jakarta</t>
        </is>
      </c>
      <c r="C20" s="18" t="inlineStr">
        <is>
          <t>JKT-001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BDG-002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FIND("-", C20)</f>
        <v/>
      </c>
      <c r="H21" s="29" t="inlineStr">
        <is>
          <t>Ketik: =FIND("-", C20)</t>
        </is>
      </c>
    </row>
    <row r="22">
      <c r="B22" s="18" t="inlineStr">
        <is>
          <t>Cabang Surabaya</t>
        </is>
      </c>
      <c r="C22" s="18" t="inlineStr">
        <is>
          <t>SBY-003</t>
        </is>
      </c>
    </row>
    <row r="23">
      <c r="B23" s="18" t="inlineStr">
        <is>
          <t>Cabang Medan</t>
        </is>
      </c>
      <c r="C23" s="18" t="inlineStr">
        <is>
          <t>MDN-004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Cabang</t>
        </is>
      </c>
      <c r="C27" s="12" t="inlineStr">
        <is>
          <t>Kode Nomor</t>
        </is>
      </c>
      <c r="E27" s="25" t="inlineStr">
        <is>
          <t>Persoalan #2: Cari posisi karakter "-" di dalam sel C28 menggunakan rumus FIND!</t>
        </is>
      </c>
    </row>
    <row r="28">
      <c r="B28" s="18" t="inlineStr">
        <is>
          <t>Budi Santoso</t>
        </is>
      </c>
      <c r="C28" s="18" t="inlineStr">
        <is>
          <t>JKT-001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BDG-002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FIND("-", C28)</f>
        <v/>
      </c>
      <c r="H29" s="29" t="inlineStr">
        <is>
          <t>Ketik: =FIND("-", C28)</t>
        </is>
      </c>
    </row>
    <row r="30">
      <c r="B30" s="18" t="inlineStr">
        <is>
          <t>Andi Pratama</t>
        </is>
      </c>
      <c r="C30" s="18" t="inlineStr">
        <is>
          <t>SBY-003</t>
        </is>
      </c>
    </row>
    <row r="31">
      <c r="B31" s="18" t="inlineStr">
        <is>
          <t>Rina Wijaya</t>
        </is>
      </c>
      <c r="C31" s="18" t="inlineStr">
        <is>
          <t>MDN-004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Cabang</t>
        </is>
      </c>
      <c r="C35" s="12" t="inlineStr">
        <is>
          <t>Kode Nomor</t>
        </is>
      </c>
      <c r="E35" s="25" t="inlineStr">
        <is>
          <t>Persoalan #3: Cari posisi karakter "-" di dalam sel C36 menggunakan rumus FIND!</t>
        </is>
      </c>
    </row>
    <row r="36">
      <c r="B36" s="18" t="inlineStr">
        <is>
          <t>Gudang Blok A</t>
        </is>
      </c>
      <c r="C36" s="18" t="inlineStr">
        <is>
          <t>JKT-001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BDG-002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FIND("-", C36)</f>
        <v/>
      </c>
      <c r="H37" s="29" t="inlineStr">
        <is>
          <t>Ketik: =FIND("-", C36)</t>
        </is>
      </c>
    </row>
    <row r="38">
      <c r="B38" s="18" t="inlineStr">
        <is>
          <t>Gudang Blok C</t>
        </is>
      </c>
      <c r="C38" s="18" t="inlineStr">
        <is>
          <t>SBY-003</t>
        </is>
      </c>
    </row>
    <row r="39">
      <c r="B39" s="18" t="inlineStr">
        <is>
          <t>Gudang Blok D</t>
        </is>
      </c>
      <c r="C39" s="18" t="inlineStr">
        <is>
          <t>MDN-004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Cabang</t>
        </is>
      </c>
      <c r="C43" s="12" t="inlineStr">
        <is>
          <t>Kode Nomor</t>
        </is>
      </c>
      <c r="E43" s="25" t="inlineStr">
        <is>
          <t>Persoalan #4: Cari posisi karakter "-" di dalam sel C44 menggunakan rumus FIND!</t>
        </is>
      </c>
    </row>
    <row r="44">
      <c r="B44" s="18" t="inlineStr">
        <is>
          <t>Toko Elektronik</t>
        </is>
      </c>
      <c r="C44" s="18" t="inlineStr">
        <is>
          <t>JKT-001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BDG-002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FIND("-", C44)</f>
        <v/>
      </c>
      <c r="H45" s="29" t="inlineStr">
        <is>
          <t>Ketik: =FIND("-", C44)</t>
        </is>
      </c>
    </row>
    <row r="46">
      <c r="B46" s="18" t="inlineStr">
        <is>
          <t>Toko Aksesoris</t>
        </is>
      </c>
      <c r="C46" s="18" t="inlineStr">
        <is>
          <t>SBY-003</t>
        </is>
      </c>
    </row>
    <row r="47">
      <c r="B47" s="18" t="inlineStr">
        <is>
          <t>Toko Servis</t>
        </is>
      </c>
      <c r="C47" s="18" t="inlineStr">
        <is>
          <t>MDN-004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Cabang</t>
        </is>
      </c>
      <c r="C51" s="12" t="inlineStr">
        <is>
          <t>Kode Nomor</t>
        </is>
      </c>
      <c r="E51" s="25" t="inlineStr">
        <is>
          <t>Persoalan #5: Cari posisi karakter "-" di dalam sel C52 menggunakan rumus FIND!</t>
        </is>
      </c>
    </row>
    <row r="52">
      <c r="B52" s="18" t="inlineStr">
        <is>
          <t>Kelas 10 IPA</t>
        </is>
      </c>
      <c r="C52" s="18" t="inlineStr">
        <is>
          <t>JKT-001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BDG-002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FIND("-", C52)</f>
        <v/>
      </c>
      <c r="H53" s="29" t="inlineStr">
        <is>
          <t>Ketik: =FIND("-", C52)</t>
        </is>
      </c>
    </row>
    <row r="54">
      <c r="B54" s="18" t="inlineStr">
        <is>
          <t>Kelas 12 IPA</t>
        </is>
      </c>
      <c r="C54" s="18" t="inlineStr">
        <is>
          <t>SBY-003</t>
        </is>
      </c>
    </row>
    <row r="55">
      <c r="B55" s="18" t="inlineStr">
        <is>
          <t>Kelas Unggulan</t>
        </is>
      </c>
      <c r="C55" s="18" t="inlineStr">
        <is>
          <t>MDN-004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#025 — RUMUS EXCEL: SEARCH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(SEARCH)</t>
        </is>
      </c>
    </row>
    <row r="5" ht="21" customHeight="1">
      <c r="B5" s="12" t="inlineStr">
        <is>
          <t>Nama Rumus Excel</t>
        </is>
      </c>
      <c r="C5" s="13">
        <f>SEARCH(...)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SEARCH(huruf_dicari, di_dalam_teks)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posisi urutan karakter di dalam teks tanpa mempermasalahkan huruf besar/kecil.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SEARCH)</t>
        </is>
      </c>
    </row>
    <row r="10">
      <c r="B10" s="16" t="inlineStr">
        <is>
          <t>Cabang</t>
        </is>
      </c>
      <c r="C10" s="16" t="inlineStr">
        <is>
          <t>Kode Nomor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JKT-001</t>
        </is>
      </c>
      <c r="E11" s="19" t="inlineStr">
        <is>
          <t>Kasus Contoh:</t>
        </is>
      </c>
      <c r="F11" s="20" t="inlineStr">
        <is>
          <t>Cari posisi karakter "-" di dalam sel C11 menggunakan rumus SEARCH!</t>
        </is>
      </c>
    </row>
    <row r="12">
      <c r="B12" s="18" t="inlineStr">
        <is>
          <t>Cabang Bandung</t>
        </is>
      </c>
      <c r="C12" s="18" t="inlineStr">
        <is>
          <t>BDG-002</t>
        </is>
      </c>
      <c r="E12" s="19" t="inlineStr">
        <is>
          <t>Rumus yang Diketik:</t>
        </is>
      </c>
      <c r="F12" s="21" t="inlineStr">
        <is>
          <t>'=SEARCH("-", C11)</t>
        </is>
      </c>
    </row>
    <row r="13">
      <c r="B13" s="18" t="inlineStr">
        <is>
          <t>Cabang Surabaya</t>
        </is>
      </c>
      <c r="C13" s="18" t="inlineStr">
        <is>
          <t>SBY-003</t>
        </is>
      </c>
      <c r="E13" s="19" t="inlineStr">
        <is>
          <t>Hasil Otomatis Excel:</t>
        </is>
      </c>
      <c r="F13" s="22">
        <f>SEARCH("-", C11)</f>
        <v/>
      </c>
    </row>
    <row r="14">
      <c r="B14" s="18" t="inlineStr">
        <is>
          <t>Cabang Medan</t>
        </is>
      </c>
      <c r="C14" s="18" t="inlineStr">
        <is>
          <t>MDN-004</t>
        </is>
      </c>
    </row>
    <row r="16" ht="26" customHeight="1">
      <c r="B16" s="23" t="inlineStr">
        <is>
          <t>3️⃣ 5 PERSOALAN DUNIA NYATA (KETIK RUMUS SEARCH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Cabang</t>
        </is>
      </c>
      <c r="C19" s="12" t="inlineStr">
        <is>
          <t>Kode Nomor</t>
        </is>
      </c>
      <c r="E19" s="25" t="inlineStr">
        <is>
          <t>Persoalan #1: Cari posisi karakter "-" di dalam sel C20 menggunakan rumus SEARCH!</t>
        </is>
      </c>
    </row>
    <row r="20">
      <c r="B20" s="18" t="inlineStr">
        <is>
          <t>Cabang Jakarta</t>
        </is>
      </c>
      <c r="C20" s="18" t="inlineStr">
        <is>
          <t>JKT-001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BDG-002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SEARCH("-", C20)</f>
        <v/>
      </c>
      <c r="H21" s="29" t="inlineStr">
        <is>
          <t>Ketik: =SEARCH("-", C20)</t>
        </is>
      </c>
    </row>
    <row r="22">
      <c r="B22" s="18" t="inlineStr">
        <is>
          <t>Cabang Surabaya</t>
        </is>
      </c>
      <c r="C22" s="18" t="inlineStr">
        <is>
          <t>SBY-003</t>
        </is>
      </c>
    </row>
    <row r="23">
      <c r="B23" s="18" t="inlineStr">
        <is>
          <t>Cabang Medan</t>
        </is>
      </c>
      <c r="C23" s="18" t="inlineStr">
        <is>
          <t>MDN-004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Cabang</t>
        </is>
      </c>
      <c r="C27" s="12" t="inlineStr">
        <is>
          <t>Kode Nomor</t>
        </is>
      </c>
      <c r="E27" s="25" t="inlineStr">
        <is>
          <t>Persoalan #2: Cari posisi karakter "-" di dalam sel C28 menggunakan rumus SEARCH!</t>
        </is>
      </c>
    </row>
    <row r="28">
      <c r="B28" s="18" t="inlineStr">
        <is>
          <t>Budi Santoso</t>
        </is>
      </c>
      <c r="C28" s="18" t="inlineStr">
        <is>
          <t>JKT-001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BDG-002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SEARCH("-", C28)</f>
        <v/>
      </c>
      <c r="H29" s="29" t="inlineStr">
        <is>
          <t>Ketik: =SEARCH("-", C28)</t>
        </is>
      </c>
    </row>
    <row r="30">
      <c r="B30" s="18" t="inlineStr">
        <is>
          <t>Andi Pratama</t>
        </is>
      </c>
      <c r="C30" s="18" t="inlineStr">
        <is>
          <t>SBY-003</t>
        </is>
      </c>
    </row>
    <row r="31">
      <c r="B31" s="18" t="inlineStr">
        <is>
          <t>Rina Wijaya</t>
        </is>
      </c>
      <c r="C31" s="18" t="inlineStr">
        <is>
          <t>MDN-004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Cabang</t>
        </is>
      </c>
      <c r="C35" s="12" t="inlineStr">
        <is>
          <t>Kode Nomor</t>
        </is>
      </c>
      <c r="E35" s="25" t="inlineStr">
        <is>
          <t>Persoalan #3: Cari posisi karakter "-" di dalam sel C36 menggunakan rumus SEARCH!</t>
        </is>
      </c>
    </row>
    <row r="36">
      <c r="B36" s="18" t="inlineStr">
        <is>
          <t>Gudang Blok A</t>
        </is>
      </c>
      <c r="C36" s="18" t="inlineStr">
        <is>
          <t>JKT-001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BDG-002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SEARCH("-", C36)</f>
        <v/>
      </c>
      <c r="H37" s="29" t="inlineStr">
        <is>
          <t>Ketik: =SEARCH("-", C36)</t>
        </is>
      </c>
    </row>
    <row r="38">
      <c r="B38" s="18" t="inlineStr">
        <is>
          <t>Gudang Blok C</t>
        </is>
      </c>
      <c r="C38" s="18" t="inlineStr">
        <is>
          <t>SBY-003</t>
        </is>
      </c>
    </row>
    <row r="39">
      <c r="B39" s="18" t="inlineStr">
        <is>
          <t>Gudang Blok D</t>
        </is>
      </c>
      <c r="C39" s="18" t="inlineStr">
        <is>
          <t>MDN-004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Cabang</t>
        </is>
      </c>
      <c r="C43" s="12" t="inlineStr">
        <is>
          <t>Kode Nomor</t>
        </is>
      </c>
      <c r="E43" s="25" t="inlineStr">
        <is>
          <t>Persoalan #4: Cari posisi karakter "-" di dalam sel C44 menggunakan rumus SEARCH!</t>
        </is>
      </c>
    </row>
    <row r="44">
      <c r="B44" s="18" t="inlineStr">
        <is>
          <t>Toko Elektronik</t>
        </is>
      </c>
      <c r="C44" s="18" t="inlineStr">
        <is>
          <t>JKT-001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BDG-002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SEARCH("-", C44)</f>
        <v/>
      </c>
      <c r="H45" s="29" t="inlineStr">
        <is>
          <t>Ketik: =SEARCH("-", C44)</t>
        </is>
      </c>
    </row>
    <row r="46">
      <c r="B46" s="18" t="inlineStr">
        <is>
          <t>Toko Aksesoris</t>
        </is>
      </c>
      <c r="C46" s="18" t="inlineStr">
        <is>
          <t>SBY-003</t>
        </is>
      </c>
    </row>
    <row r="47">
      <c r="B47" s="18" t="inlineStr">
        <is>
          <t>Toko Servis</t>
        </is>
      </c>
      <c r="C47" s="18" t="inlineStr">
        <is>
          <t>MDN-004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Cabang</t>
        </is>
      </c>
      <c r="C51" s="12" t="inlineStr">
        <is>
          <t>Kode Nomor</t>
        </is>
      </c>
      <c r="E51" s="25" t="inlineStr">
        <is>
          <t>Persoalan #5: Cari posisi karakter "-" di dalam sel C52 menggunakan rumus SEARCH!</t>
        </is>
      </c>
    </row>
    <row r="52">
      <c r="B52" s="18" t="inlineStr">
        <is>
          <t>Kelas 10 IPA</t>
        </is>
      </c>
      <c r="C52" s="18" t="inlineStr">
        <is>
          <t>JKT-001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BDG-002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SEARCH("-", C52)</f>
        <v/>
      </c>
      <c r="H53" s="29" t="inlineStr">
        <is>
          <t>Ketik: =SEARCH("-", C52)</t>
        </is>
      </c>
    </row>
    <row r="54">
      <c r="B54" s="18" t="inlineStr">
        <is>
          <t>Kelas 12 IPA</t>
        </is>
      </c>
      <c r="C54" s="18" t="inlineStr">
        <is>
          <t>SBY-003</t>
        </is>
      </c>
    </row>
    <row r="55">
      <c r="B55" s="18" t="inlineStr">
        <is>
          <t>Kelas Unggulan</t>
        </is>
      </c>
      <c r="C55" s="18" t="inlineStr">
        <is>
          <t>MDN-004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#026 — RUMUS EXCEL: SUBSTITUTE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(SUBSTITUTE)</t>
        </is>
      </c>
    </row>
    <row r="5" ht="21" customHeight="1">
      <c r="B5" s="12" t="inlineStr">
        <is>
          <t>Nama Rumus Excel</t>
        </is>
      </c>
      <c r="C5" s="13">
        <f>SUBSTITUTE(...)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SUBSTITUTE(teks, teks_lama, teks_baru)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Mengganti kata/simbol tertentu dengan kata/simbol baru secara otomatis (Misal: ganti tanda '-' menjadi '/').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SUBSTITUTE)</t>
        </is>
      </c>
    </row>
    <row r="10">
      <c r="B10" s="16" t="inlineStr">
        <is>
          <t>Dokumen</t>
        </is>
      </c>
      <c r="C10" s="16" t="inlineStr">
        <is>
          <t>Tanggal Teks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2026-10-12</t>
        </is>
      </c>
      <c r="E11" s="19" t="inlineStr">
        <is>
          <t>Kasus Contoh:</t>
        </is>
      </c>
      <c r="F11" s="20" t="inlineStr">
        <is>
          <t>Ganti semua tanda "-" menjadi "/" pada sel C11 menggunakan rumus SUBSTITUTE!</t>
        </is>
      </c>
    </row>
    <row r="12">
      <c r="B12" s="18" t="inlineStr">
        <is>
          <t>Cabang Bandung</t>
        </is>
      </c>
      <c r="C12" s="18" t="inlineStr">
        <is>
          <t>2026-11-01</t>
        </is>
      </c>
      <c r="E12" s="19" t="inlineStr">
        <is>
          <t>Rumus yang Diketik:</t>
        </is>
      </c>
      <c r="F12" s="21" t="inlineStr">
        <is>
          <t>'=SUBSTITUTE(C11, "-", "/")</t>
        </is>
      </c>
    </row>
    <row r="13">
      <c r="B13" s="18" t="inlineStr">
        <is>
          <t>Cabang Surabaya</t>
        </is>
      </c>
      <c r="C13" s="18" t="inlineStr">
        <is>
          <t>2026-12-15</t>
        </is>
      </c>
      <c r="E13" s="19" t="inlineStr">
        <is>
          <t>Hasil Otomatis Excel:</t>
        </is>
      </c>
      <c r="F13" s="22">
        <f>SUBSTITUTE(C11, "-", "/")</f>
        <v/>
      </c>
    </row>
    <row r="14">
      <c r="B14" s="18" t="inlineStr">
        <is>
          <t>Cabang Medan</t>
        </is>
      </c>
      <c r="C14" s="18" t="inlineStr">
        <is>
          <t>2026-08-17</t>
        </is>
      </c>
    </row>
    <row r="16" ht="26" customHeight="1">
      <c r="B16" s="23" t="inlineStr">
        <is>
          <t>3️⃣ 5 PERSOALAN DUNIA NYATA (KETIK RUMUS SUBSTITUTE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Dokumen</t>
        </is>
      </c>
      <c r="C19" s="12" t="inlineStr">
        <is>
          <t>Tanggal Teks</t>
        </is>
      </c>
      <c r="E19" s="25" t="inlineStr">
        <is>
          <t>Persoalan #1: Ganti semua tanda "-" menjadi "/" pada sel C20 menggunakan rumus SUBSTITUTE!</t>
        </is>
      </c>
    </row>
    <row r="20">
      <c r="B20" s="18" t="inlineStr">
        <is>
          <t>Cabang Jakarta</t>
        </is>
      </c>
      <c r="C20" s="18" t="inlineStr">
        <is>
          <t>2026-10-12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2026-11-01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SUBSTITUTE(C20, "-", "/")</f>
        <v/>
      </c>
      <c r="H21" s="29" t="inlineStr">
        <is>
          <t>Ketik: =SUBSTITUTE(C20, "-", "/")</t>
        </is>
      </c>
    </row>
    <row r="22">
      <c r="B22" s="18" t="inlineStr">
        <is>
          <t>Cabang Surabaya</t>
        </is>
      </c>
      <c r="C22" s="18" t="inlineStr">
        <is>
          <t>2026-12-15</t>
        </is>
      </c>
    </row>
    <row r="23">
      <c r="B23" s="18" t="inlineStr">
        <is>
          <t>Cabang Medan</t>
        </is>
      </c>
      <c r="C23" s="18" t="inlineStr">
        <is>
          <t>2026-08-17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Dokumen</t>
        </is>
      </c>
      <c r="C27" s="12" t="inlineStr">
        <is>
          <t>Tanggal Teks</t>
        </is>
      </c>
      <c r="E27" s="25" t="inlineStr">
        <is>
          <t>Persoalan #2: Ganti semua tanda "-" menjadi "/" pada sel C28 menggunakan rumus SUBSTITUTE!</t>
        </is>
      </c>
    </row>
    <row r="28">
      <c r="B28" s="18" t="inlineStr">
        <is>
          <t>Budi Santoso</t>
        </is>
      </c>
      <c r="C28" s="18" t="inlineStr">
        <is>
          <t>2026-10-12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2026-11-01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SUBSTITUTE(C28, "-", "/")</f>
        <v/>
      </c>
      <c r="H29" s="29" t="inlineStr">
        <is>
          <t>Ketik: =SUBSTITUTE(C28, "-", "/")</t>
        </is>
      </c>
    </row>
    <row r="30">
      <c r="B30" s="18" t="inlineStr">
        <is>
          <t>Andi Pratama</t>
        </is>
      </c>
      <c r="C30" s="18" t="inlineStr">
        <is>
          <t>2026-12-15</t>
        </is>
      </c>
    </row>
    <row r="31">
      <c r="B31" s="18" t="inlineStr">
        <is>
          <t>Rina Wijaya</t>
        </is>
      </c>
      <c r="C31" s="18" t="inlineStr">
        <is>
          <t>2026-08-17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Dokumen</t>
        </is>
      </c>
      <c r="C35" s="12" t="inlineStr">
        <is>
          <t>Tanggal Teks</t>
        </is>
      </c>
      <c r="E35" s="25" t="inlineStr">
        <is>
          <t>Persoalan #3: Ganti semua tanda "-" menjadi "/" pada sel C36 menggunakan rumus SUBSTITUTE!</t>
        </is>
      </c>
    </row>
    <row r="36">
      <c r="B36" s="18" t="inlineStr">
        <is>
          <t>Gudang Blok A</t>
        </is>
      </c>
      <c r="C36" s="18" t="inlineStr">
        <is>
          <t>2026-10-12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2026-11-01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SUBSTITUTE(C36, "-", "/")</f>
        <v/>
      </c>
      <c r="H37" s="29" t="inlineStr">
        <is>
          <t>Ketik: =SUBSTITUTE(C36, "-", "/")</t>
        </is>
      </c>
    </row>
    <row r="38">
      <c r="B38" s="18" t="inlineStr">
        <is>
          <t>Gudang Blok C</t>
        </is>
      </c>
      <c r="C38" s="18" t="inlineStr">
        <is>
          <t>2026-12-15</t>
        </is>
      </c>
    </row>
    <row r="39">
      <c r="B39" s="18" t="inlineStr">
        <is>
          <t>Gudang Blok D</t>
        </is>
      </c>
      <c r="C39" s="18" t="inlineStr">
        <is>
          <t>2026-08-17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Dokumen</t>
        </is>
      </c>
      <c r="C43" s="12" t="inlineStr">
        <is>
          <t>Tanggal Teks</t>
        </is>
      </c>
      <c r="E43" s="25" t="inlineStr">
        <is>
          <t>Persoalan #4: Ganti semua tanda "-" menjadi "/" pada sel C44 menggunakan rumus SUBSTITUTE!</t>
        </is>
      </c>
    </row>
    <row r="44">
      <c r="B44" s="18" t="inlineStr">
        <is>
          <t>Toko Elektronik</t>
        </is>
      </c>
      <c r="C44" s="18" t="inlineStr">
        <is>
          <t>2026-10-12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2026-11-01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SUBSTITUTE(C44, "-", "/")</f>
        <v/>
      </c>
      <c r="H45" s="29" t="inlineStr">
        <is>
          <t>Ketik: =SUBSTITUTE(C44, "-", "/")</t>
        </is>
      </c>
    </row>
    <row r="46">
      <c r="B46" s="18" t="inlineStr">
        <is>
          <t>Toko Aksesoris</t>
        </is>
      </c>
      <c r="C46" s="18" t="inlineStr">
        <is>
          <t>2026-12-15</t>
        </is>
      </c>
    </row>
    <row r="47">
      <c r="B47" s="18" t="inlineStr">
        <is>
          <t>Toko Servis</t>
        </is>
      </c>
      <c r="C47" s="18" t="inlineStr">
        <is>
          <t>2026-08-17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Dokumen</t>
        </is>
      </c>
      <c r="C51" s="12" t="inlineStr">
        <is>
          <t>Tanggal Teks</t>
        </is>
      </c>
      <c r="E51" s="25" t="inlineStr">
        <is>
          <t>Persoalan #5: Ganti semua tanda "-" menjadi "/" pada sel C52 menggunakan rumus SUBSTITUTE!</t>
        </is>
      </c>
    </row>
    <row r="52">
      <c r="B52" s="18" t="inlineStr">
        <is>
          <t>Kelas 10 IPA</t>
        </is>
      </c>
      <c r="C52" s="18" t="inlineStr">
        <is>
          <t>2026-10-12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2026-11-01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SUBSTITUTE(C52, "-", "/")</f>
        <v/>
      </c>
      <c r="H53" s="29" t="inlineStr">
        <is>
          <t>Ketik: =SUBSTITUTE(C52, "-", "/")</t>
        </is>
      </c>
    </row>
    <row r="54">
      <c r="B54" s="18" t="inlineStr">
        <is>
          <t>Kelas 12 IPA</t>
        </is>
      </c>
      <c r="C54" s="18" t="inlineStr">
        <is>
          <t>2026-12-15</t>
        </is>
      </c>
    </row>
    <row r="55">
      <c r="B55" s="18" t="inlineStr">
        <is>
          <t>Kelas Unggulan</t>
        </is>
      </c>
      <c r="C55" s="18" t="inlineStr">
        <is>
          <t>2026-08-17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#027 — RUMUS EXCEL: REPLACE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(REPLACE)</t>
        </is>
      </c>
    </row>
    <row r="5" ht="21" customHeight="1">
      <c r="B5" s="12" t="inlineStr">
        <is>
          <t>Nama Rumus Excel</t>
        </is>
      </c>
      <c r="C5" s="13">
        <f>REPLACE(...)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REPLACE(teks_lama, mulai_ke, jumlah_diganti, teks_baru)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Mengganti sebagian karakter berdasarkan posisi urutannya (Misal: menyensor 4 angka tengah nomor kartu).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REPLACE)</t>
        </is>
      </c>
    </row>
    <row r="10">
      <c r="B10" s="16" t="inlineStr">
        <is>
          <t>Wilayah</t>
        </is>
      </c>
      <c r="C10" s="16" t="inlineStr">
        <is>
          <t>Kode Lama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ID-12345</t>
        </is>
      </c>
      <c r="E11" s="19" t="inlineStr">
        <is>
          <t>Kasus Contoh:</t>
        </is>
      </c>
      <c r="F11" s="20" t="inlineStr">
        <is>
          <t>Ganti 2 huruf pertama mulai posisi ke-1 pada C11 menjadi "INA" memakai rumus REPLACE!</t>
        </is>
      </c>
    </row>
    <row r="12">
      <c r="B12" s="18" t="inlineStr">
        <is>
          <t>Cabang Bandung</t>
        </is>
      </c>
      <c r="C12" s="18" t="inlineStr">
        <is>
          <t>ID-67890</t>
        </is>
      </c>
      <c r="E12" s="19" t="inlineStr">
        <is>
          <t>Rumus yang Diketik:</t>
        </is>
      </c>
      <c r="F12" s="21" t="inlineStr">
        <is>
          <t>'=REPLACE(C11, 1, 2, "INA")</t>
        </is>
      </c>
    </row>
    <row r="13">
      <c r="B13" s="18" t="inlineStr">
        <is>
          <t>Cabang Surabaya</t>
        </is>
      </c>
      <c r="C13" s="18" t="inlineStr">
        <is>
          <t>ID-54321</t>
        </is>
      </c>
      <c r="E13" s="19" t="inlineStr">
        <is>
          <t>Hasil Otomatis Excel:</t>
        </is>
      </c>
      <c r="F13" s="22">
        <f>REPLACE(C11, 1, 2, "INA")</f>
        <v/>
      </c>
    </row>
    <row r="14">
      <c r="B14" s="18" t="inlineStr">
        <is>
          <t>Cabang Medan</t>
        </is>
      </c>
      <c r="C14" s="18" t="inlineStr">
        <is>
          <t>ID-98765</t>
        </is>
      </c>
    </row>
    <row r="16" ht="26" customHeight="1">
      <c r="B16" s="23" t="inlineStr">
        <is>
          <t>3️⃣ 5 PERSOALAN DUNIA NYATA (KETIK RUMUS REPLACE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Wilayah</t>
        </is>
      </c>
      <c r="C19" s="12" t="inlineStr">
        <is>
          <t>Kode Lama</t>
        </is>
      </c>
      <c r="E19" s="25" t="inlineStr">
        <is>
          <t>Persoalan #1: Ganti 2 huruf pertama mulai posisi ke-1 pada C20 menjadi "INA" memakai rumus REPLACE!</t>
        </is>
      </c>
    </row>
    <row r="20">
      <c r="B20" s="18" t="inlineStr">
        <is>
          <t>Cabang Jakarta</t>
        </is>
      </c>
      <c r="C20" s="18" t="inlineStr">
        <is>
          <t>ID-12345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ID-67890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REPLACE(C20, 1, 2, "INA")</f>
        <v/>
      </c>
      <c r="H21" s="29" t="inlineStr">
        <is>
          <t>Ketik: =REPLACE(C20, 1, 2, "INA")</t>
        </is>
      </c>
    </row>
    <row r="22">
      <c r="B22" s="18" t="inlineStr">
        <is>
          <t>Cabang Surabaya</t>
        </is>
      </c>
      <c r="C22" s="18" t="inlineStr">
        <is>
          <t>ID-54321</t>
        </is>
      </c>
    </row>
    <row r="23">
      <c r="B23" s="18" t="inlineStr">
        <is>
          <t>Cabang Medan</t>
        </is>
      </c>
      <c r="C23" s="18" t="inlineStr">
        <is>
          <t>ID-98765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Wilayah</t>
        </is>
      </c>
      <c r="C27" s="12" t="inlineStr">
        <is>
          <t>Kode Lama</t>
        </is>
      </c>
      <c r="E27" s="25" t="inlineStr">
        <is>
          <t>Persoalan #2: Ganti 2 huruf pertama mulai posisi ke-1 pada C28 menjadi "INA" memakai rumus REPLACE!</t>
        </is>
      </c>
    </row>
    <row r="28">
      <c r="B28" s="18" t="inlineStr">
        <is>
          <t>Budi Santoso</t>
        </is>
      </c>
      <c r="C28" s="18" t="inlineStr">
        <is>
          <t>ID-12345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ID-67890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REPLACE(C28, 1, 2, "INA")</f>
        <v/>
      </c>
      <c r="H29" s="29" t="inlineStr">
        <is>
          <t>Ketik: =REPLACE(C28, 1, 2, "INA")</t>
        </is>
      </c>
    </row>
    <row r="30">
      <c r="B30" s="18" t="inlineStr">
        <is>
          <t>Andi Pratama</t>
        </is>
      </c>
      <c r="C30" s="18" t="inlineStr">
        <is>
          <t>ID-54321</t>
        </is>
      </c>
    </row>
    <row r="31">
      <c r="B31" s="18" t="inlineStr">
        <is>
          <t>Rina Wijaya</t>
        </is>
      </c>
      <c r="C31" s="18" t="inlineStr">
        <is>
          <t>ID-98765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Wilayah</t>
        </is>
      </c>
      <c r="C35" s="12" t="inlineStr">
        <is>
          <t>Kode Lama</t>
        </is>
      </c>
      <c r="E35" s="25" t="inlineStr">
        <is>
          <t>Persoalan #3: Ganti 2 huruf pertama mulai posisi ke-1 pada C36 menjadi "INA" memakai rumus REPLACE!</t>
        </is>
      </c>
    </row>
    <row r="36">
      <c r="B36" s="18" t="inlineStr">
        <is>
          <t>Gudang Blok A</t>
        </is>
      </c>
      <c r="C36" s="18" t="inlineStr">
        <is>
          <t>ID-12345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ID-67890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REPLACE(C36, 1, 2, "INA")</f>
        <v/>
      </c>
      <c r="H37" s="29" t="inlineStr">
        <is>
          <t>Ketik: =REPLACE(C36, 1, 2, "INA")</t>
        </is>
      </c>
    </row>
    <row r="38">
      <c r="B38" s="18" t="inlineStr">
        <is>
          <t>Gudang Blok C</t>
        </is>
      </c>
      <c r="C38" s="18" t="inlineStr">
        <is>
          <t>ID-54321</t>
        </is>
      </c>
    </row>
    <row r="39">
      <c r="B39" s="18" t="inlineStr">
        <is>
          <t>Gudang Blok D</t>
        </is>
      </c>
      <c r="C39" s="18" t="inlineStr">
        <is>
          <t>ID-98765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Wilayah</t>
        </is>
      </c>
      <c r="C43" s="12" t="inlineStr">
        <is>
          <t>Kode Lama</t>
        </is>
      </c>
      <c r="E43" s="25" t="inlineStr">
        <is>
          <t>Persoalan #4: Ganti 2 huruf pertama mulai posisi ke-1 pada C44 menjadi "INA" memakai rumus REPLACE!</t>
        </is>
      </c>
    </row>
    <row r="44">
      <c r="B44" s="18" t="inlineStr">
        <is>
          <t>Toko Elektronik</t>
        </is>
      </c>
      <c r="C44" s="18" t="inlineStr">
        <is>
          <t>ID-12345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ID-67890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REPLACE(C44, 1, 2, "INA")</f>
        <v/>
      </c>
      <c r="H45" s="29" t="inlineStr">
        <is>
          <t>Ketik: =REPLACE(C44, 1, 2, "INA")</t>
        </is>
      </c>
    </row>
    <row r="46">
      <c r="B46" s="18" t="inlineStr">
        <is>
          <t>Toko Aksesoris</t>
        </is>
      </c>
      <c r="C46" s="18" t="inlineStr">
        <is>
          <t>ID-54321</t>
        </is>
      </c>
    </row>
    <row r="47">
      <c r="B47" s="18" t="inlineStr">
        <is>
          <t>Toko Servis</t>
        </is>
      </c>
      <c r="C47" s="18" t="inlineStr">
        <is>
          <t>ID-98765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Wilayah</t>
        </is>
      </c>
      <c r="C51" s="12" t="inlineStr">
        <is>
          <t>Kode Lama</t>
        </is>
      </c>
      <c r="E51" s="25" t="inlineStr">
        <is>
          <t>Persoalan #5: Ganti 2 huruf pertama mulai posisi ke-1 pada C52 menjadi "INA" memakai rumus REPLACE!</t>
        </is>
      </c>
    </row>
    <row r="52">
      <c r="B52" s="18" t="inlineStr">
        <is>
          <t>Kelas 10 IPA</t>
        </is>
      </c>
      <c r="C52" s="18" t="inlineStr">
        <is>
          <t>ID-12345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ID-67890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REPLACE(C52, 1, 2, "INA")</f>
        <v/>
      </c>
      <c r="H53" s="29" t="inlineStr">
        <is>
          <t>Ketik: =REPLACE(C52, 1, 2, "INA")</t>
        </is>
      </c>
    </row>
    <row r="54">
      <c r="B54" s="18" t="inlineStr">
        <is>
          <t>Kelas 12 IPA</t>
        </is>
      </c>
      <c r="C54" s="18" t="inlineStr">
        <is>
          <t>ID-54321</t>
        </is>
      </c>
    </row>
    <row r="55">
      <c r="B55" s="18" t="inlineStr">
        <is>
          <t>Kelas Unggulan</t>
        </is>
      </c>
      <c r="C55" s="18" t="inlineStr">
        <is>
          <t>ID-98765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#028 — RUMUS EXCEL: REPT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(REPT)</t>
        </is>
      </c>
    </row>
    <row r="5" ht="21" customHeight="1">
      <c r="B5" s="12" t="inlineStr">
        <is>
          <t>Nama Rumus Excel</t>
        </is>
      </c>
      <c r="C5" s="13">
        <f>REPT(...)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REPT(teks, jumlah_ulang)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Mengulang teks atau simbol berkali-kali (Sering dipakai membuat grafik bintang '⭐⭐⭐⭐⭐' langsung di dalam sel!).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REPT)</t>
        </is>
      </c>
    </row>
    <row r="10">
      <c r="B10" s="16" t="inlineStr">
        <is>
          <t>Karyawan</t>
        </is>
      </c>
      <c r="C10" s="16" t="inlineStr">
        <is>
          <t>Rating Bintang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3</v>
      </c>
      <c r="E11" s="19" t="inlineStr">
        <is>
          <t>Kasus Contoh:</t>
        </is>
      </c>
      <c r="F11" s="20" t="inlineStr">
        <is>
          <t>Ulang karakter bintang "*" sebanyak angka di sel C11 (3) menggunakan rumus REPT!</t>
        </is>
      </c>
    </row>
    <row r="12">
      <c r="B12" s="18" t="inlineStr">
        <is>
          <t>Cabang Bandung</t>
        </is>
      </c>
      <c r="C12" s="18" t="n">
        <v>4</v>
      </c>
      <c r="E12" s="19" t="inlineStr">
        <is>
          <t>Rumus yang Diketik:</t>
        </is>
      </c>
      <c r="F12" s="21" t="inlineStr">
        <is>
          <t>'=REPT("*", C11)</t>
        </is>
      </c>
    </row>
    <row r="13">
      <c r="B13" s="18" t="inlineStr">
        <is>
          <t>Cabang Surabaya</t>
        </is>
      </c>
      <c r="C13" s="18" t="n">
        <v>5</v>
      </c>
      <c r="E13" s="19" t="inlineStr">
        <is>
          <t>Hasil Otomatis Excel:</t>
        </is>
      </c>
      <c r="F13" s="22">
        <f>REPT("*", C11)</f>
        <v/>
      </c>
    </row>
    <row r="14">
      <c r="B14" s="18" t="inlineStr">
        <is>
          <t>Cabang Medan</t>
        </is>
      </c>
      <c r="C14" s="18" t="n">
        <v>2</v>
      </c>
    </row>
    <row r="16" ht="26" customHeight="1">
      <c r="B16" s="23" t="inlineStr">
        <is>
          <t>3️⃣ 5 PERSOALAN DUNIA NYATA (KETIK RUMUS REPT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Karyawan</t>
        </is>
      </c>
      <c r="C19" s="12" t="inlineStr">
        <is>
          <t>Rating Bintang</t>
        </is>
      </c>
      <c r="E19" s="25" t="inlineStr">
        <is>
          <t>Persoalan #1: Ulang karakter bintang "*" sebanyak angka di sel C20 (3) menggunakan rumus REPT!</t>
        </is>
      </c>
    </row>
    <row r="20">
      <c r="B20" s="18" t="inlineStr">
        <is>
          <t>Cabang Jakarta</t>
        </is>
      </c>
      <c r="C20" s="18" t="n">
        <v>3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4</v>
      </c>
      <c r="E21" s="26" t="n"/>
      <c r="F21" s="27">
        <f>IF(ISBLANK(E21), "⏳ Ketik rumus di sel kuning E21", IF(E21=G21, "✅ BENAR! LUAR BIASA!", "❌ Belum Tepat, Cek Kunci"))</f>
        <v/>
      </c>
      <c r="G21" s="28">
        <f>REPT("*", C20)</f>
        <v/>
      </c>
      <c r="H21" s="29" t="inlineStr">
        <is>
          <t>Ketik: =REPT("*", C20)</t>
        </is>
      </c>
    </row>
    <row r="22">
      <c r="B22" s="18" t="inlineStr">
        <is>
          <t>Cabang Surabaya</t>
        </is>
      </c>
      <c r="C22" s="18" t="n">
        <v>5</v>
      </c>
    </row>
    <row r="23">
      <c r="B23" s="18" t="inlineStr">
        <is>
          <t>Cabang Medan</t>
        </is>
      </c>
      <c r="C23" s="18" t="n">
        <v>2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Karyawan</t>
        </is>
      </c>
      <c r="C27" s="12" t="inlineStr">
        <is>
          <t>Rating Bintang</t>
        </is>
      </c>
      <c r="E27" s="25" t="inlineStr">
        <is>
          <t>Persoalan #2: Ulang karakter bintang "*" sebanyak angka di sel C28 (4) menggunakan rumus REPT!</t>
        </is>
      </c>
    </row>
    <row r="28">
      <c r="B28" s="18" t="inlineStr">
        <is>
          <t>Budi Santoso</t>
        </is>
      </c>
      <c r="C28" s="18" t="n">
        <v>4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4</v>
      </c>
      <c r="E29" s="26" t="n"/>
      <c r="F29" s="27">
        <f>IF(ISBLANK(E29), "⏳ Ketik rumus di sel kuning E29", IF(E29=G29, "✅ BENAR! LUAR BIASA!", "❌ Belum Tepat, Cek Kunci"))</f>
        <v/>
      </c>
      <c r="G29" s="28">
        <f>REPT("*", C28)</f>
        <v/>
      </c>
      <c r="H29" s="29" t="inlineStr">
        <is>
          <t>Ketik: =REPT("*", C28)</t>
        </is>
      </c>
    </row>
    <row r="30">
      <c r="B30" s="18" t="inlineStr">
        <is>
          <t>Andi Pratama</t>
        </is>
      </c>
      <c r="C30" s="18" t="n">
        <v>5</v>
      </c>
    </row>
    <row r="31">
      <c r="B31" s="18" t="inlineStr">
        <is>
          <t>Rina Wijaya</t>
        </is>
      </c>
      <c r="C31" s="18" t="n">
        <v>2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Karyawan</t>
        </is>
      </c>
      <c r="C35" s="12" t="inlineStr">
        <is>
          <t>Rating Bintang</t>
        </is>
      </c>
      <c r="E35" s="25" t="inlineStr">
        <is>
          <t>Persoalan #3: Ulang karakter bintang "*" sebanyak angka di sel C36 (5) menggunakan rumus REPT!</t>
        </is>
      </c>
    </row>
    <row r="36">
      <c r="B36" s="18" t="inlineStr">
        <is>
          <t>Gudang Blok A</t>
        </is>
      </c>
      <c r="C36" s="18" t="n">
        <v>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4</v>
      </c>
      <c r="E37" s="26" t="n"/>
      <c r="F37" s="27">
        <f>IF(ISBLANK(E37), "⏳ Ketik rumus di sel kuning E37", IF(E37=G37, "✅ BENAR! LUAR BIASA!", "❌ Belum Tepat, Cek Kunci"))</f>
        <v/>
      </c>
      <c r="G37" s="28">
        <f>REPT("*", C36)</f>
        <v/>
      </c>
      <c r="H37" s="29" t="inlineStr">
        <is>
          <t>Ketik: =REPT("*", C36)</t>
        </is>
      </c>
    </row>
    <row r="38">
      <c r="B38" s="18" t="inlineStr">
        <is>
          <t>Gudang Blok C</t>
        </is>
      </c>
      <c r="C38" s="18" t="n">
        <v>5</v>
      </c>
    </row>
    <row r="39">
      <c r="B39" s="18" t="inlineStr">
        <is>
          <t>Gudang Blok D</t>
        </is>
      </c>
      <c r="C39" s="18" t="n">
        <v>2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Karyawan</t>
        </is>
      </c>
      <c r="C43" s="12" t="inlineStr">
        <is>
          <t>Rating Bintang</t>
        </is>
      </c>
      <c r="E43" s="25" t="inlineStr">
        <is>
          <t>Persoalan #4: Ulang karakter bintang "*" sebanyak angka di sel C44 (3) menggunakan rumus REPT!</t>
        </is>
      </c>
    </row>
    <row r="44">
      <c r="B44" s="18" t="inlineStr">
        <is>
          <t>Toko Elektronik</t>
        </is>
      </c>
      <c r="C44" s="18" t="n">
        <v>3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4</v>
      </c>
      <c r="E45" s="26" t="n"/>
      <c r="F45" s="27">
        <f>IF(ISBLANK(E45), "⏳ Ketik rumus di sel kuning E45", IF(E45=G45, "✅ BENAR! LUAR BIASA!", "❌ Belum Tepat, Cek Kunci"))</f>
        <v/>
      </c>
      <c r="G45" s="28">
        <f>REPT("*", C44)</f>
        <v/>
      </c>
      <c r="H45" s="29" t="inlineStr">
        <is>
          <t>Ketik: =REPT("*", C44)</t>
        </is>
      </c>
    </row>
    <row r="46">
      <c r="B46" s="18" t="inlineStr">
        <is>
          <t>Toko Aksesoris</t>
        </is>
      </c>
      <c r="C46" s="18" t="n">
        <v>5</v>
      </c>
    </row>
    <row r="47">
      <c r="B47" s="18" t="inlineStr">
        <is>
          <t>Toko Servis</t>
        </is>
      </c>
      <c r="C47" s="18" t="n">
        <v>2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Karyawan</t>
        </is>
      </c>
      <c r="C51" s="12" t="inlineStr">
        <is>
          <t>Rating Bintang</t>
        </is>
      </c>
      <c r="E51" s="25" t="inlineStr">
        <is>
          <t>Persoalan #5: Ulang karakter bintang "*" sebanyak angka di sel C52 (4) menggunakan rumus REPT!</t>
        </is>
      </c>
    </row>
    <row r="52">
      <c r="B52" s="18" t="inlineStr">
        <is>
          <t>Kelas 10 IPA</t>
        </is>
      </c>
      <c r="C52" s="18" t="n">
        <v>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4</v>
      </c>
      <c r="E53" s="26" t="n"/>
      <c r="F53" s="27">
        <f>IF(ISBLANK(E53), "⏳ Ketik rumus di sel kuning E53", IF(E53=G53, "✅ BENAR! LUAR BIASA!", "❌ Belum Tepat, Cek Kunci"))</f>
        <v/>
      </c>
      <c r="G53" s="28">
        <f>REPT("*", C52)</f>
        <v/>
      </c>
      <c r="H53" s="29" t="inlineStr">
        <is>
          <t>Ketik: =REPT("*", C52)</t>
        </is>
      </c>
    </row>
    <row r="54">
      <c r="B54" s="18" t="inlineStr">
        <is>
          <t>Kelas 12 IPA</t>
        </is>
      </c>
      <c r="C54" s="18" t="n">
        <v>5</v>
      </c>
    </row>
    <row r="55">
      <c r="B55" s="18" t="inlineStr">
        <is>
          <t>Kelas Unggulan</t>
        </is>
      </c>
      <c r="C55" s="18" t="n">
        <v>2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#029 — RUMUS EXCEL: VALUE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(VALUE)</t>
        </is>
      </c>
    </row>
    <row r="5" ht="21" customHeight="1">
      <c r="B5" s="12" t="inlineStr">
        <is>
          <t>Nama Rumus Excel</t>
        </is>
      </c>
      <c r="C5" s="13">
        <f>VALUE(...)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VALUE(teks_angka)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angka yang berformat Teks (biasanya hasil impor sistem) menjadi Angka Murni agar bisa dijumlahkan.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VALUE)</t>
        </is>
      </c>
    </row>
    <row r="10">
      <c r="B10" s="16" t="inlineStr">
        <is>
          <t>Item</t>
        </is>
      </c>
      <c r="C10" s="16" t="inlineStr">
        <is>
          <t>Teks Angka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inlineStr">
        <is>
          <t>1500</t>
        </is>
      </c>
      <c r="E11" s="19" t="inlineStr">
        <is>
          <t>Kasus Contoh:</t>
        </is>
      </c>
      <c r="F11" s="20" t="inlineStr">
        <is>
          <t>Ubah teks angka di sel C11 menjadi angka murni menggunakan rumus VALUE!</t>
        </is>
      </c>
    </row>
    <row r="12">
      <c r="B12" s="18" t="inlineStr">
        <is>
          <t>Cabang Bandung</t>
        </is>
      </c>
      <c r="C12" s="18" t="inlineStr">
        <is>
          <t>2500</t>
        </is>
      </c>
      <c r="E12" s="19" t="inlineStr">
        <is>
          <t>Rumus yang Diketik:</t>
        </is>
      </c>
      <c r="F12" s="21" t="inlineStr">
        <is>
          <t>'=VALUE(C11)</t>
        </is>
      </c>
    </row>
    <row r="13">
      <c r="B13" s="18" t="inlineStr">
        <is>
          <t>Cabang Surabaya</t>
        </is>
      </c>
      <c r="C13" s="18" t="inlineStr">
        <is>
          <t>3500</t>
        </is>
      </c>
      <c r="E13" s="19" t="inlineStr">
        <is>
          <t>Hasil Otomatis Excel:</t>
        </is>
      </c>
      <c r="F13" s="22">
        <f>VALUE(C11)</f>
        <v/>
      </c>
    </row>
    <row r="14">
      <c r="B14" s="18" t="inlineStr">
        <is>
          <t>Cabang Medan</t>
        </is>
      </c>
      <c r="C14" s="18" t="inlineStr">
        <is>
          <t>4500</t>
        </is>
      </c>
    </row>
    <row r="16" ht="26" customHeight="1">
      <c r="B16" s="23" t="inlineStr">
        <is>
          <t>3️⃣ 5 PERSOALAN DUNIA NYATA (KETIK RUMUS VALUE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Item</t>
        </is>
      </c>
      <c r="C19" s="12" t="inlineStr">
        <is>
          <t>Teks Angka</t>
        </is>
      </c>
      <c r="E19" s="25" t="inlineStr">
        <is>
          <t>Persoalan #1: Ubah teks angka di sel C20 menjadi angka murni menggunakan rumus VALUE!</t>
        </is>
      </c>
    </row>
    <row r="20">
      <c r="B20" s="18" t="inlineStr">
        <is>
          <t>Cabang Jakarta</t>
        </is>
      </c>
      <c r="C20" s="18" t="inlineStr">
        <is>
          <t>1500</t>
        </is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>
        <is>
          <t>2500</t>
        </is>
      </c>
      <c r="E21" s="26" t="n"/>
      <c r="F21" s="27">
        <f>IF(ISBLANK(E21), "⏳ Ketik rumus di sel kuning E21", IF(E21=G21, "✅ BENAR! LUAR BIASA!", "❌ Belum Tepat, Cek Kunci"))</f>
        <v/>
      </c>
      <c r="G21" s="28">
        <f>VALUE(C20)</f>
        <v/>
      </c>
      <c r="H21" s="29" t="inlineStr">
        <is>
          <t>Ketik: =VALUE(C20)</t>
        </is>
      </c>
    </row>
    <row r="22">
      <c r="B22" s="18" t="inlineStr">
        <is>
          <t>Cabang Surabaya</t>
        </is>
      </c>
      <c r="C22" s="18" t="inlineStr">
        <is>
          <t>3500</t>
        </is>
      </c>
    </row>
    <row r="23">
      <c r="B23" s="18" t="inlineStr">
        <is>
          <t>Cabang Medan</t>
        </is>
      </c>
      <c r="C23" s="18" t="inlineStr">
        <is>
          <t>4500</t>
        </is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Item</t>
        </is>
      </c>
      <c r="C27" s="12" t="inlineStr">
        <is>
          <t>Teks Angka</t>
        </is>
      </c>
      <c r="E27" s="25" t="inlineStr">
        <is>
          <t>Persoalan #2: Ubah teks angka di sel C28 menjadi angka murni menggunakan rumus VALUE!</t>
        </is>
      </c>
    </row>
    <row r="28">
      <c r="B28" s="18" t="inlineStr">
        <is>
          <t>Budi Santoso</t>
        </is>
      </c>
      <c r="C28" s="18" t="inlineStr">
        <is>
          <t>1750</t>
        </is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>
        <is>
          <t>2500</t>
        </is>
      </c>
      <c r="E29" s="26" t="n"/>
      <c r="F29" s="27">
        <f>IF(ISBLANK(E29), "⏳ Ketik rumus di sel kuning E29", IF(E29=G29, "✅ BENAR! LUAR BIASA!", "❌ Belum Tepat, Cek Kunci"))</f>
        <v/>
      </c>
      <c r="G29" s="28">
        <f>VALUE(C28)</f>
        <v/>
      </c>
      <c r="H29" s="29" t="inlineStr">
        <is>
          <t>Ketik: =VALUE(C28)</t>
        </is>
      </c>
    </row>
    <row r="30">
      <c r="B30" s="18" t="inlineStr">
        <is>
          <t>Andi Pratama</t>
        </is>
      </c>
      <c r="C30" s="18" t="inlineStr">
        <is>
          <t>3500</t>
        </is>
      </c>
    </row>
    <row r="31">
      <c r="B31" s="18" t="inlineStr">
        <is>
          <t>Rina Wijaya</t>
        </is>
      </c>
      <c r="C31" s="18" t="inlineStr">
        <is>
          <t>4500</t>
        </is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Item</t>
        </is>
      </c>
      <c r="C35" s="12" t="inlineStr">
        <is>
          <t>Teks Angka</t>
        </is>
      </c>
      <c r="E35" s="25" t="inlineStr">
        <is>
          <t>Persoalan #3: Ubah teks angka di sel C36 menjadi angka murni menggunakan rumus VALUE!</t>
        </is>
      </c>
    </row>
    <row r="36">
      <c r="B36" s="18" t="inlineStr">
        <is>
          <t>Gudang Blok A</t>
        </is>
      </c>
      <c r="C36" s="18" t="inlineStr">
        <is>
          <t>2000</t>
        </is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>
        <is>
          <t>2500</t>
        </is>
      </c>
      <c r="E37" s="26" t="n"/>
      <c r="F37" s="27">
        <f>IF(ISBLANK(E37), "⏳ Ketik rumus di sel kuning E37", IF(E37=G37, "✅ BENAR! LUAR BIASA!", "❌ Belum Tepat, Cek Kunci"))</f>
        <v/>
      </c>
      <c r="G37" s="28">
        <f>VALUE(C36)</f>
        <v/>
      </c>
      <c r="H37" s="29" t="inlineStr">
        <is>
          <t>Ketik: =VALUE(C36)</t>
        </is>
      </c>
    </row>
    <row r="38">
      <c r="B38" s="18" t="inlineStr">
        <is>
          <t>Gudang Blok C</t>
        </is>
      </c>
      <c r="C38" s="18" t="inlineStr">
        <is>
          <t>3500</t>
        </is>
      </c>
    </row>
    <row r="39">
      <c r="B39" s="18" t="inlineStr">
        <is>
          <t>Gudang Blok D</t>
        </is>
      </c>
      <c r="C39" s="18" t="inlineStr">
        <is>
          <t>4500</t>
        </is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Item</t>
        </is>
      </c>
      <c r="C43" s="12" t="inlineStr">
        <is>
          <t>Teks Angka</t>
        </is>
      </c>
      <c r="E43" s="25" t="inlineStr">
        <is>
          <t>Persoalan #4: Ubah teks angka di sel C44 menjadi angka murni menggunakan rumus VALUE!</t>
        </is>
      </c>
    </row>
    <row r="44">
      <c r="B44" s="18" t="inlineStr">
        <is>
          <t>Toko Elektronik</t>
        </is>
      </c>
      <c r="C44" s="18" t="inlineStr">
        <is>
          <t>2250</t>
        </is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>
        <is>
          <t>2500</t>
        </is>
      </c>
      <c r="E45" s="26" t="n"/>
      <c r="F45" s="27">
        <f>IF(ISBLANK(E45), "⏳ Ketik rumus di sel kuning E45", IF(E45=G45, "✅ BENAR! LUAR BIASA!", "❌ Belum Tepat, Cek Kunci"))</f>
        <v/>
      </c>
      <c r="G45" s="28">
        <f>VALUE(C44)</f>
        <v/>
      </c>
      <c r="H45" s="29" t="inlineStr">
        <is>
          <t>Ketik: =VALUE(C44)</t>
        </is>
      </c>
    </row>
    <row r="46">
      <c r="B46" s="18" t="inlineStr">
        <is>
          <t>Toko Aksesoris</t>
        </is>
      </c>
      <c r="C46" s="18" t="inlineStr">
        <is>
          <t>3500</t>
        </is>
      </c>
    </row>
    <row r="47">
      <c r="B47" s="18" t="inlineStr">
        <is>
          <t>Toko Servis</t>
        </is>
      </c>
      <c r="C47" s="18" t="inlineStr">
        <is>
          <t>4500</t>
        </is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Item</t>
        </is>
      </c>
      <c r="C51" s="12" t="inlineStr">
        <is>
          <t>Teks Angka</t>
        </is>
      </c>
      <c r="E51" s="25" t="inlineStr">
        <is>
          <t>Persoalan #5: Ubah teks angka di sel C52 menjadi angka murni menggunakan rumus VALUE!</t>
        </is>
      </c>
    </row>
    <row r="52">
      <c r="B52" s="18" t="inlineStr">
        <is>
          <t>Kelas 10 IPA</t>
        </is>
      </c>
      <c r="C52" s="18" t="inlineStr">
        <is>
          <t>2500</t>
        </is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>
        <is>
          <t>2500</t>
        </is>
      </c>
      <c r="E53" s="26" t="n"/>
      <c r="F53" s="27">
        <f>IF(ISBLANK(E53), "⏳ Ketik rumus di sel kuning E53", IF(E53=G53, "✅ BENAR! LUAR BIASA!", "❌ Belum Tepat, Cek Kunci"))</f>
        <v/>
      </c>
      <c r="G53" s="28">
        <f>VALUE(C52)</f>
        <v/>
      </c>
      <c r="H53" s="29" t="inlineStr">
        <is>
          <t>Ketik: =VALUE(C52)</t>
        </is>
      </c>
    </row>
    <row r="54">
      <c r="B54" s="18" t="inlineStr">
        <is>
          <t>Kelas 12 IPA</t>
        </is>
      </c>
      <c r="C54" s="18" t="inlineStr">
        <is>
          <t>3500</t>
        </is>
      </c>
    </row>
    <row r="55">
      <c r="B55" s="18" t="inlineStr">
        <is>
          <t>Kelas Unggulan</t>
        </is>
      </c>
      <c r="C55" s="18" t="inlineStr">
        <is>
          <t>4500</t>
        </is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#030 — RUMUS EXCEL: TEXT   |   Kategori: 4. Pengolahan Teks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(TEXT)</t>
        </is>
      </c>
    </row>
    <row r="5" ht="21" customHeight="1">
      <c r="B5" s="12" t="inlineStr">
        <is>
          <t>Nama Rumus Excel</t>
        </is>
      </c>
      <c r="C5" s="13">
        <f>TEXT(...)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TEXT(nilai, format_teks)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angka atau tanggal menjadi teks dengan format tampilan cantik seperti 'Rp 1.500.000' atau 'Senin, 12 Okt'.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TEXT)</t>
        </is>
      </c>
    </row>
    <row r="10">
      <c r="B10" s="16" t="inlineStr">
        <is>
          <t>Pegawai</t>
        </is>
      </c>
      <c r="C10" s="16" t="inlineStr">
        <is>
          <t>Gaji Pokok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1500000</v>
      </c>
      <c r="E11" s="19" t="inlineStr">
        <is>
          <t>Kasus Contoh:</t>
        </is>
      </c>
      <c r="F11" s="20" t="inlineStr">
        <is>
          <t>Format angka di sel C11 menjadi teks ribuan "#,##0" menggunakan rumus TEXT!</t>
        </is>
      </c>
    </row>
    <row r="12">
      <c r="B12" s="18" t="inlineStr">
        <is>
          <t>Cabang Bandung</t>
        </is>
      </c>
      <c r="C12" s="18" t="n">
        <v>2500000</v>
      </c>
      <c r="E12" s="19" t="inlineStr">
        <is>
          <t>Rumus yang Diketik:</t>
        </is>
      </c>
      <c r="F12" s="21" t="inlineStr">
        <is>
          <t>'=TEXT(C11, "#,##0")</t>
        </is>
      </c>
    </row>
    <row r="13">
      <c r="B13" s="18" t="inlineStr">
        <is>
          <t>Cabang Surabaya</t>
        </is>
      </c>
      <c r="C13" s="18" t="n">
        <v>3200000</v>
      </c>
      <c r="E13" s="19" t="inlineStr">
        <is>
          <t>Hasil Otomatis Excel:</t>
        </is>
      </c>
      <c r="F13" s="22">
        <f>TEXT(C11, "#,##0")</f>
        <v/>
      </c>
    </row>
    <row r="14">
      <c r="B14" s="18" t="inlineStr">
        <is>
          <t>Cabang Medan</t>
        </is>
      </c>
      <c r="C14" s="18" t="n">
        <v>4100000</v>
      </c>
    </row>
    <row r="16" ht="26" customHeight="1">
      <c r="B16" s="23" t="inlineStr">
        <is>
          <t>3️⃣ 5 PERSOALAN DUNIA NYATA (KETIK RUMUS TEXT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Pegawai</t>
        </is>
      </c>
      <c r="C19" s="12" t="inlineStr">
        <is>
          <t>Gaji Pokok</t>
        </is>
      </c>
      <c r="E19" s="25" t="inlineStr">
        <is>
          <t>Persoalan #1: Format angka di sel C20 menjadi teks ribuan "#,##0" menggunakan rumus TEXT!</t>
        </is>
      </c>
    </row>
    <row r="20">
      <c r="B20" s="18" t="inlineStr">
        <is>
          <t>Cabang Jakarta</t>
        </is>
      </c>
      <c r="C20" s="18" t="n">
        <v>1500000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2500000</v>
      </c>
      <c r="E21" s="26" t="n"/>
      <c r="F21" s="27">
        <f>IF(ISBLANK(E21), "⏳ Ketik rumus di sel kuning E21", IF(E21=G21, "✅ BENAR! LUAR BIASA!", "❌ Belum Tepat, Cek Kunci"))</f>
        <v/>
      </c>
      <c r="G21" s="28">
        <f>TEXT(C20, "#,##0")</f>
        <v/>
      </c>
      <c r="H21" s="29" t="inlineStr">
        <is>
          <t>Ketik: =TEXT(C20, "#,##0")</t>
        </is>
      </c>
    </row>
    <row r="22">
      <c r="B22" s="18" t="inlineStr">
        <is>
          <t>Cabang Surabaya</t>
        </is>
      </c>
      <c r="C22" s="18" t="n">
        <v>3200000</v>
      </c>
    </row>
    <row r="23">
      <c r="B23" s="18" t="inlineStr">
        <is>
          <t>Cabang Medan</t>
        </is>
      </c>
      <c r="C23" s="18" t="n">
        <v>4100000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Pegawai</t>
        </is>
      </c>
      <c r="C27" s="12" t="inlineStr">
        <is>
          <t>Gaji Pokok</t>
        </is>
      </c>
      <c r="E27" s="25" t="inlineStr">
        <is>
          <t>Persoalan #2: Format angka di sel C28 menjadi teks ribuan "#,##0" menggunakan rumus TEXT!</t>
        </is>
      </c>
    </row>
    <row r="28">
      <c r="B28" s="18" t="inlineStr">
        <is>
          <t>Budi Santoso</t>
        </is>
      </c>
      <c r="C28" s="18" t="n">
        <v>1600000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2500000</v>
      </c>
      <c r="E29" s="26" t="n"/>
      <c r="F29" s="27">
        <f>IF(ISBLANK(E29), "⏳ Ketik rumus di sel kuning E29", IF(E29=G29, "✅ BENAR! LUAR BIASA!", "❌ Belum Tepat, Cek Kunci"))</f>
        <v/>
      </c>
      <c r="G29" s="28">
        <f>TEXT(C28, "#,##0")</f>
        <v/>
      </c>
      <c r="H29" s="29" t="inlineStr">
        <is>
          <t>Ketik: =TEXT(C28, "#,##0")</t>
        </is>
      </c>
    </row>
    <row r="30">
      <c r="B30" s="18" t="inlineStr">
        <is>
          <t>Andi Pratama</t>
        </is>
      </c>
      <c r="C30" s="18" t="n">
        <v>3200000</v>
      </c>
    </row>
    <row r="31">
      <c r="B31" s="18" t="inlineStr">
        <is>
          <t>Rina Wijaya</t>
        </is>
      </c>
      <c r="C31" s="18" t="n">
        <v>4100000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Pegawai</t>
        </is>
      </c>
      <c r="C35" s="12" t="inlineStr">
        <is>
          <t>Gaji Pokok</t>
        </is>
      </c>
      <c r="E35" s="25" t="inlineStr">
        <is>
          <t>Persoalan #3: Format angka di sel C36 menjadi teks ribuan "#,##0" menggunakan rumus TEXT!</t>
        </is>
      </c>
    </row>
    <row r="36">
      <c r="B36" s="18" t="inlineStr">
        <is>
          <t>Gudang Blok A</t>
        </is>
      </c>
      <c r="C36" s="18" t="n">
        <v>1700000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2500000</v>
      </c>
      <c r="E37" s="26" t="n"/>
      <c r="F37" s="27">
        <f>IF(ISBLANK(E37), "⏳ Ketik rumus di sel kuning E37", IF(E37=G37, "✅ BENAR! LUAR BIASA!", "❌ Belum Tepat, Cek Kunci"))</f>
        <v/>
      </c>
      <c r="G37" s="28">
        <f>TEXT(C36, "#,##0")</f>
        <v/>
      </c>
      <c r="H37" s="29" t="inlineStr">
        <is>
          <t>Ketik: =TEXT(C36, "#,##0")</t>
        </is>
      </c>
    </row>
    <row r="38">
      <c r="B38" s="18" t="inlineStr">
        <is>
          <t>Gudang Blok C</t>
        </is>
      </c>
      <c r="C38" s="18" t="n">
        <v>3200000</v>
      </c>
    </row>
    <row r="39">
      <c r="B39" s="18" t="inlineStr">
        <is>
          <t>Gudang Blok D</t>
        </is>
      </c>
      <c r="C39" s="18" t="n">
        <v>4100000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Pegawai</t>
        </is>
      </c>
      <c r="C43" s="12" t="inlineStr">
        <is>
          <t>Gaji Pokok</t>
        </is>
      </c>
      <c r="E43" s="25" t="inlineStr">
        <is>
          <t>Persoalan #4: Format angka di sel C44 menjadi teks ribuan "#,##0" menggunakan rumus TEXT!</t>
        </is>
      </c>
    </row>
    <row r="44">
      <c r="B44" s="18" t="inlineStr">
        <is>
          <t>Toko Elektronik</t>
        </is>
      </c>
      <c r="C44" s="18" t="n">
        <v>1800000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2500000</v>
      </c>
      <c r="E45" s="26" t="n"/>
      <c r="F45" s="27">
        <f>IF(ISBLANK(E45), "⏳ Ketik rumus di sel kuning E45", IF(E45=G45, "✅ BENAR! LUAR BIASA!", "❌ Belum Tepat, Cek Kunci"))</f>
        <v/>
      </c>
      <c r="G45" s="28">
        <f>TEXT(C44, "#,##0")</f>
        <v/>
      </c>
      <c r="H45" s="29" t="inlineStr">
        <is>
          <t>Ketik: =TEXT(C44, "#,##0")</t>
        </is>
      </c>
    </row>
    <row r="46">
      <c r="B46" s="18" t="inlineStr">
        <is>
          <t>Toko Aksesoris</t>
        </is>
      </c>
      <c r="C46" s="18" t="n">
        <v>3200000</v>
      </c>
    </row>
    <row r="47">
      <c r="B47" s="18" t="inlineStr">
        <is>
          <t>Toko Servis</t>
        </is>
      </c>
      <c r="C47" s="18" t="n">
        <v>4100000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Pegawai</t>
        </is>
      </c>
      <c r="C51" s="12" t="inlineStr">
        <is>
          <t>Gaji Pokok</t>
        </is>
      </c>
      <c r="E51" s="25" t="inlineStr">
        <is>
          <t>Persoalan #5: Format angka di sel C52 menjadi teks ribuan "#,##0" menggunakan rumus TEXT!</t>
        </is>
      </c>
    </row>
    <row r="52">
      <c r="B52" s="18" t="inlineStr">
        <is>
          <t>Kelas 10 IPA</t>
        </is>
      </c>
      <c r="C52" s="18" t="n">
        <v>1900000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2500000</v>
      </c>
      <c r="E53" s="26" t="n"/>
      <c r="F53" s="27">
        <f>IF(ISBLANK(E53), "⏳ Ketik rumus di sel kuning E53", IF(E53=G53, "✅ BENAR! LUAR BIASA!", "❌ Belum Tepat, Cek Kunci"))</f>
        <v/>
      </c>
      <c r="G53" s="28">
        <f>TEXT(C52, "#,##0")</f>
        <v/>
      </c>
      <c r="H53" s="29" t="inlineStr">
        <is>
          <t>Ketik: =TEXT(C52, "#,##0")</t>
        </is>
      </c>
    </row>
    <row r="54">
      <c r="B54" s="18" t="inlineStr">
        <is>
          <t>Kelas 12 IPA</t>
        </is>
      </c>
      <c r="C54" s="18" t="n">
        <v>3200000</v>
      </c>
    </row>
    <row r="55">
      <c r="B55" s="18" t="inlineStr">
        <is>
          <t>Kelas Unggulan</t>
        </is>
      </c>
      <c r="C55" s="18" t="n">
        <v>4100000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#031 — RUMUS EXCEL: DATE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(DATE)</t>
        </is>
      </c>
    </row>
    <row r="5" ht="21" customHeight="1">
      <c r="B5" s="12" t="inlineStr">
        <is>
          <t>Nama Rumus Excel</t>
        </is>
      </c>
      <c r="C5" s="13">
        <f>DATE(...)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DATE(tahun, bulan, 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Merakit angka Tahun, Bulan, dan Tanggal yang terpisah menjadi satu Tanggal Resmi Excel.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DATE)</t>
        </is>
      </c>
    </row>
    <row r="10">
      <c r="B10" s="16" t="inlineStr">
        <is>
          <t>Tahun (B)</t>
        </is>
      </c>
      <c r="C10" s="16" t="inlineStr">
        <is>
          <t>Bulan (C)</t>
        </is>
      </c>
      <c r="E10" s="17" t="inlineStr">
        <is>
          <t>💡 CONTOH RUMUS YANG SUDAH TERPASANG AKTIF:</t>
        </is>
      </c>
    </row>
    <row r="11">
      <c r="B11" s="18" t="n">
        <v>2026</v>
      </c>
      <c r="C11" s="18" t="n">
        <v>1</v>
      </c>
      <c r="E11" s="19" t="inlineStr">
        <is>
          <t>Kasus Contoh:</t>
        </is>
      </c>
      <c r="F11" s="20" t="inlineStr">
        <is>
          <t>Rakit tanggal resmi dari Tahun di B11, Bulan di C11, dan Tanggal 15 menggunakan rumus DATE!</t>
        </is>
      </c>
    </row>
    <row r="12">
      <c r="B12" s="18" t="n">
        <v>2025</v>
      </c>
      <c r="C12" s="18" t="n">
        <v>6</v>
      </c>
      <c r="E12" s="19" t="inlineStr">
        <is>
          <t>Rumus yang Diketik:</t>
        </is>
      </c>
      <c r="F12" s="21" t="inlineStr">
        <is>
          <t>'=DATE(B11, C11, 15)</t>
        </is>
      </c>
    </row>
    <row r="13">
      <c r="B13" s="18" t="n">
        <v>2024</v>
      </c>
      <c r="C13" s="18" t="n">
        <v>8</v>
      </c>
      <c r="E13" s="19" t="inlineStr">
        <is>
          <t>Hasil Otomatis Excel:</t>
        </is>
      </c>
      <c r="F13" s="22">
        <f>DATE(B11, C11, 15)</f>
        <v/>
      </c>
    </row>
    <row r="14">
      <c r="B14" s="18" t="n">
        <v>2023</v>
      </c>
      <c r="C14" s="18" t="n">
        <v>12</v>
      </c>
    </row>
    <row r="16" ht="26" customHeight="1">
      <c r="B16" s="23" t="inlineStr">
        <is>
          <t>3️⃣ 5 PERSOALAN DUNIA NYATA (KETIK RUMUS DATE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Tahun (B)</t>
        </is>
      </c>
      <c r="C19" s="12" t="inlineStr">
        <is>
          <t>Bulan (C)</t>
        </is>
      </c>
      <c r="E19" s="25" t="inlineStr">
        <is>
          <t>Persoalan #1: Rakit tanggal resmi dari Tahun di B20, Bulan di C20, dan Tanggal 15 menggunakan rumus DATE!</t>
        </is>
      </c>
    </row>
    <row r="20">
      <c r="B20" s="18" t="n">
        <v>2026</v>
      </c>
      <c r="C20" s="18" t="n">
        <v>1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2025</v>
      </c>
      <c r="C21" s="18" t="n">
        <v>6</v>
      </c>
      <c r="E21" s="26" t="n"/>
      <c r="F21" s="27">
        <f>IF(ISBLANK(E21), "⏳ Ketik rumus di sel kuning E21", IF(E21=G21, "✅ BENAR! LUAR BIASA!", "❌ Belum Tepat, Cek Kunci"))</f>
        <v/>
      </c>
      <c r="G21" s="28">
        <f>DATE(B20, C20, 15)</f>
        <v/>
      </c>
      <c r="H21" s="29" t="inlineStr">
        <is>
          <t>Ketik: =DATE(B20, C20, 15)</t>
        </is>
      </c>
    </row>
    <row r="22">
      <c r="B22" s="18" t="n">
        <v>2024</v>
      </c>
      <c r="C22" s="18" t="n">
        <v>8</v>
      </c>
    </row>
    <row r="23">
      <c r="B23" s="18" t="n">
        <v>2023</v>
      </c>
      <c r="C23" s="18" t="n">
        <v>12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Tahun (B)</t>
        </is>
      </c>
      <c r="C27" s="12" t="inlineStr">
        <is>
          <t>Bulan (C)</t>
        </is>
      </c>
      <c r="E27" s="25" t="inlineStr">
        <is>
          <t>Persoalan #2: Rakit tanggal resmi dari Tahun di B28, Bulan di C28, dan Tanggal 15 menggunakan rumus DATE!</t>
        </is>
      </c>
    </row>
    <row r="28">
      <c r="B28" s="18" t="n">
        <v>2026</v>
      </c>
      <c r="C28" s="18" t="n">
        <v>2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2025</v>
      </c>
      <c r="C29" s="18" t="n">
        <v>6</v>
      </c>
      <c r="E29" s="26" t="n"/>
      <c r="F29" s="27">
        <f>IF(ISBLANK(E29), "⏳ Ketik rumus di sel kuning E29", IF(E29=G29, "✅ BENAR! LUAR BIASA!", "❌ Belum Tepat, Cek Kunci"))</f>
        <v/>
      </c>
      <c r="G29" s="28">
        <f>DATE(B28, C28, 15)</f>
        <v/>
      </c>
      <c r="H29" s="29" t="inlineStr">
        <is>
          <t>Ketik: =DATE(B28, C28, 15)</t>
        </is>
      </c>
    </row>
    <row r="30">
      <c r="B30" s="18" t="n">
        <v>2024</v>
      </c>
      <c r="C30" s="18" t="n">
        <v>8</v>
      </c>
    </row>
    <row r="31">
      <c r="B31" s="18" t="n">
        <v>2023</v>
      </c>
      <c r="C31" s="18" t="n">
        <v>12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Tahun (B)</t>
        </is>
      </c>
      <c r="C35" s="12" t="inlineStr">
        <is>
          <t>Bulan (C)</t>
        </is>
      </c>
      <c r="E35" s="25" t="inlineStr">
        <is>
          <t>Persoalan #3: Rakit tanggal resmi dari Tahun di B36, Bulan di C36, dan Tanggal 15 menggunakan rumus DATE!</t>
        </is>
      </c>
    </row>
    <row r="36">
      <c r="B36" s="18" t="n">
        <v>2026</v>
      </c>
      <c r="C36" s="18" t="n">
        <v>3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2025</v>
      </c>
      <c r="C37" s="18" t="n">
        <v>6</v>
      </c>
      <c r="E37" s="26" t="n"/>
      <c r="F37" s="27">
        <f>IF(ISBLANK(E37), "⏳ Ketik rumus di sel kuning E37", IF(E37=G37, "✅ BENAR! LUAR BIASA!", "❌ Belum Tepat, Cek Kunci"))</f>
        <v/>
      </c>
      <c r="G37" s="28">
        <f>DATE(B36, C36, 15)</f>
        <v/>
      </c>
      <c r="H37" s="29" t="inlineStr">
        <is>
          <t>Ketik: =DATE(B36, C36, 15)</t>
        </is>
      </c>
    </row>
    <row r="38">
      <c r="B38" s="18" t="n">
        <v>2024</v>
      </c>
      <c r="C38" s="18" t="n">
        <v>8</v>
      </c>
    </row>
    <row r="39">
      <c r="B39" s="18" t="n">
        <v>2023</v>
      </c>
      <c r="C39" s="18" t="n">
        <v>12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Tahun (B)</t>
        </is>
      </c>
      <c r="C43" s="12" t="inlineStr">
        <is>
          <t>Bulan (C)</t>
        </is>
      </c>
      <c r="E43" s="25" t="inlineStr">
        <is>
          <t>Persoalan #4: Rakit tanggal resmi dari Tahun di B44, Bulan di C44, dan Tanggal 15 menggunakan rumus DATE!</t>
        </is>
      </c>
    </row>
    <row r="44">
      <c r="B44" s="18" t="n">
        <v>2026</v>
      </c>
      <c r="C44" s="18" t="n">
        <v>4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2025</v>
      </c>
      <c r="C45" s="18" t="n">
        <v>6</v>
      </c>
      <c r="E45" s="26" t="n"/>
      <c r="F45" s="27">
        <f>IF(ISBLANK(E45), "⏳ Ketik rumus di sel kuning E45", IF(E45=G45, "✅ BENAR! LUAR BIASA!", "❌ Belum Tepat, Cek Kunci"))</f>
        <v/>
      </c>
      <c r="G45" s="28">
        <f>DATE(B44, C44, 15)</f>
        <v/>
      </c>
      <c r="H45" s="29" t="inlineStr">
        <is>
          <t>Ketik: =DATE(B44, C44, 15)</t>
        </is>
      </c>
    </row>
    <row r="46">
      <c r="B46" s="18" t="n">
        <v>2024</v>
      </c>
      <c r="C46" s="18" t="n">
        <v>8</v>
      </c>
    </row>
    <row r="47">
      <c r="B47" s="18" t="n">
        <v>2023</v>
      </c>
      <c r="C47" s="18" t="n">
        <v>12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Tahun (B)</t>
        </is>
      </c>
      <c r="C51" s="12" t="inlineStr">
        <is>
          <t>Bulan (C)</t>
        </is>
      </c>
      <c r="E51" s="25" t="inlineStr">
        <is>
          <t>Persoalan #5: Rakit tanggal resmi dari Tahun di B52, Bulan di C52, dan Tanggal 15 menggunakan rumus DATE!</t>
        </is>
      </c>
    </row>
    <row r="52">
      <c r="B52" s="18" t="n">
        <v>2026</v>
      </c>
      <c r="C52" s="18" t="n">
        <v>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2025</v>
      </c>
      <c r="C53" s="18" t="n">
        <v>6</v>
      </c>
      <c r="E53" s="26" t="n"/>
      <c r="F53" s="27">
        <f>IF(ISBLANK(E53), "⏳ Ketik rumus di sel kuning E53", IF(E53=G53, "✅ BENAR! LUAR BIASA!", "❌ Belum Tepat, Cek Kunci"))</f>
        <v/>
      </c>
      <c r="G53" s="28">
        <f>DATE(B52, C52, 15)</f>
        <v/>
      </c>
      <c r="H53" s="29" t="inlineStr">
        <is>
          <t>Ketik: =DATE(B52, C52, 15)</t>
        </is>
      </c>
    </row>
    <row r="54">
      <c r="B54" s="18" t="n">
        <v>2024</v>
      </c>
      <c r="C54" s="18" t="n">
        <v>8</v>
      </c>
    </row>
    <row r="55">
      <c r="B55" s="18" t="n">
        <v>2023</v>
      </c>
      <c r="C55" s="18" t="n">
        <v>12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#032 — RUMUS EXCEL: YEAR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(YEAR)</t>
        </is>
      </c>
    </row>
    <row r="5" ht="21" customHeight="1">
      <c r="B5" s="12" t="inlineStr">
        <is>
          <t>Nama Rumus Excel</t>
        </is>
      </c>
      <c r="C5" s="13">
        <f>YEAR(...)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YEAR(tanggal)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TAHUN saja (misal 2026) dari sebuah sel tanggal.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YEAR)</t>
        </is>
      </c>
    </row>
    <row r="10">
      <c r="B10" s="16" t="inlineStr">
        <is>
          <t>Agenda Kantor</t>
        </is>
      </c>
      <c r="C10" s="16" t="inlineStr">
        <is>
          <t>Tanggal Kegiatan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Ekstrak komponen YEAR dari tanggal di sel C11 menggunakan rumus YEAR!</t>
        </is>
      </c>
    </row>
    <row r="12">
      <c r="B12" s="18" t="inlineStr">
        <is>
          <t>Cabang Bandung</t>
        </is>
      </c>
      <c r="C12" s="30" t="n">
        <v>46193</v>
      </c>
      <c r="E12" s="19" t="inlineStr">
        <is>
          <t>Rumus yang Diketik:</t>
        </is>
      </c>
      <c r="F12" s="21" t="inlineStr">
        <is>
          <t>'=YEAR(C11)</t>
        </is>
      </c>
    </row>
    <row r="13">
      <c r="B13" s="18" t="inlineStr">
        <is>
          <t>Cabang Surabaya</t>
        </is>
      </c>
      <c r="C13" s="30" t="n">
        <v>46251</v>
      </c>
      <c r="E13" s="19" t="inlineStr">
        <is>
          <t>Hasil Otomatis Excel:</t>
        </is>
      </c>
      <c r="F13" s="22">
        <f>YEAR(C11)</f>
        <v/>
      </c>
    </row>
    <row r="14">
      <c r="B14" s="18" t="inlineStr">
        <is>
          <t>Cabang Medan</t>
        </is>
      </c>
      <c r="C14" s="30" t="n">
        <v>46381</v>
      </c>
    </row>
    <row r="16" ht="26" customHeight="1">
      <c r="B16" s="23" t="inlineStr">
        <is>
          <t>3️⃣ 5 PERSOALAN DUNIA NYATA (KETIK RUMUS YEAR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Agenda Kantor</t>
        </is>
      </c>
      <c r="C19" s="12" t="inlineStr">
        <is>
          <t>Tanggal Kegiatan</t>
        </is>
      </c>
      <c r="E19" s="25" t="inlineStr">
        <is>
          <t>Persoalan #1: Ekstrak komponen YEAR dari tanggal di sel C20 menggunakan rumus YEAR!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46193</v>
      </c>
      <c r="E21" s="26" t="n"/>
      <c r="F21" s="27">
        <f>IF(ISBLANK(E21), "⏳ Ketik rumus di sel kuning E21", IF(E21=G21, "✅ BENAR! LUAR BIASA!", "❌ Belum Tepat, Cek Kunci"))</f>
        <v/>
      </c>
      <c r="G21" s="28">
        <f>YEAR(C20)</f>
        <v/>
      </c>
      <c r="H21" s="29" t="inlineStr">
        <is>
          <t>Ketik: =YEAR(C20)</t>
        </is>
      </c>
    </row>
    <row r="22">
      <c r="B22" s="18" t="inlineStr">
        <is>
          <t>Cabang Surabaya</t>
        </is>
      </c>
      <c r="C22" s="30" t="n">
        <v>46251</v>
      </c>
    </row>
    <row r="23">
      <c r="B23" s="18" t="inlineStr">
        <is>
          <t>Cabang Medan</t>
        </is>
      </c>
      <c r="C23" s="30" t="n">
        <v>46381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Agenda Kantor</t>
        </is>
      </c>
      <c r="C27" s="12" t="inlineStr">
        <is>
          <t>Tanggal Kegiatan</t>
        </is>
      </c>
      <c r="E27" s="25" t="inlineStr">
        <is>
          <t>Persoalan #2: Ekstrak komponen YEAR dari tanggal di sel C28 menggunakan rumus YEAR!</t>
        </is>
      </c>
    </row>
    <row r="28">
      <c r="B28" s="18" t="inlineStr">
        <is>
          <t>Budi Santoso</t>
        </is>
      </c>
      <c r="C28" s="30" t="n">
        <v>46068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46193</v>
      </c>
      <c r="E29" s="26" t="n"/>
      <c r="F29" s="27">
        <f>IF(ISBLANK(E29), "⏳ Ketik rumus di sel kuning E29", IF(E29=G29, "✅ BENAR! LUAR BIASA!", "❌ Belum Tepat, Cek Kunci"))</f>
        <v/>
      </c>
      <c r="G29" s="28">
        <f>YEAR(C28)</f>
        <v/>
      </c>
      <c r="H29" s="29" t="inlineStr">
        <is>
          <t>Ketik: =YEAR(C28)</t>
        </is>
      </c>
    </row>
    <row r="30">
      <c r="B30" s="18" t="inlineStr">
        <is>
          <t>Andi Pratama</t>
        </is>
      </c>
      <c r="C30" s="30" t="n">
        <v>46251</v>
      </c>
    </row>
    <row r="31">
      <c r="B31" s="18" t="inlineStr">
        <is>
          <t>Rina Wijaya</t>
        </is>
      </c>
      <c r="C31" s="30" t="n">
        <v>46381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Agenda Kantor</t>
        </is>
      </c>
      <c r="C35" s="12" t="inlineStr">
        <is>
          <t>Tanggal Kegiatan</t>
        </is>
      </c>
      <c r="E35" s="25" t="inlineStr">
        <is>
          <t>Persoalan #3: Ekstrak komponen YEAR dari tanggal di sel C36 menggunakan rumus YEAR!</t>
        </is>
      </c>
    </row>
    <row r="36">
      <c r="B36" s="18" t="inlineStr">
        <is>
          <t>Gudang Blok A</t>
        </is>
      </c>
      <c r="C36" s="30" t="n">
        <v>46096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46193</v>
      </c>
      <c r="E37" s="26" t="n"/>
      <c r="F37" s="27">
        <f>IF(ISBLANK(E37), "⏳ Ketik rumus di sel kuning E37", IF(E37=G37, "✅ BENAR! LUAR BIASA!", "❌ Belum Tepat, Cek Kunci"))</f>
        <v/>
      </c>
      <c r="G37" s="28">
        <f>YEAR(C36)</f>
        <v/>
      </c>
      <c r="H37" s="29" t="inlineStr">
        <is>
          <t>Ketik: =YEAR(C36)</t>
        </is>
      </c>
    </row>
    <row r="38">
      <c r="B38" s="18" t="inlineStr">
        <is>
          <t>Gudang Blok C</t>
        </is>
      </c>
      <c r="C38" s="30" t="n">
        <v>46251</v>
      </c>
    </row>
    <row r="39">
      <c r="B39" s="18" t="inlineStr">
        <is>
          <t>Gudang Blok D</t>
        </is>
      </c>
      <c r="C39" s="30" t="n">
        <v>46381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Agenda Kantor</t>
        </is>
      </c>
      <c r="C43" s="12" t="inlineStr">
        <is>
          <t>Tanggal Kegiatan</t>
        </is>
      </c>
      <c r="E43" s="25" t="inlineStr">
        <is>
          <t>Persoalan #4: Ekstrak komponen YEAR dari tanggal di sel C44 menggunakan rumus YEAR!</t>
        </is>
      </c>
    </row>
    <row r="44">
      <c r="B44" s="18" t="inlineStr">
        <is>
          <t>Toko Elektronik</t>
        </is>
      </c>
      <c r="C44" s="30" t="n">
        <v>46127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46193</v>
      </c>
      <c r="E45" s="26" t="n"/>
      <c r="F45" s="27">
        <f>IF(ISBLANK(E45), "⏳ Ketik rumus di sel kuning E45", IF(E45=G45, "✅ BENAR! LUAR BIASA!", "❌ Belum Tepat, Cek Kunci"))</f>
        <v/>
      </c>
      <c r="G45" s="28">
        <f>YEAR(C44)</f>
        <v/>
      </c>
      <c r="H45" s="29" t="inlineStr">
        <is>
          <t>Ketik: =YEAR(C44)</t>
        </is>
      </c>
    </row>
    <row r="46">
      <c r="B46" s="18" t="inlineStr">
        <is>
          <t>Toko Aksesoris</t>
        </is>
      </c>
      <c r="C46" s="30" t="n">
        <v>46251</v>
      </c>
    </row>
    <row r="47">
      <c r="B47" s="18" t="inlineStr">
        <is>
          <t>Toko Servis</t>
        </is>
      </c>
      <c r="C47" s="30" t="n">
        <v>46381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Agenda Kantor</t>
        </is>
      </c>
      <c r="C51" s="12" t="inlineStr">
        <is>
          <t>Tanggal Kegiatan</t>
        </is>
      </c>
      <c r="E51" s="25" t="inlineStr">
        <is>
          <t>Persoalan #5: Ekstrak komponen YEAR dari tanggal di sel C52 menggunakan rumus YEAR!</t>
        </is>
      </c>
    </row>
    <row r="52">
      <c r="B52" s="18" t="inlineStr">
        <is>
          <t>Kelas 10 IPA</t>
        </is>
      </c>
      <c r="C52" s="30" t="n">
        <v>46157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46193</v>
      </c>
      <c r="E53" s="26" t="n"/>
      <c r="F53" s="27">
        <f>IF(ISBLANK(E53), "⏳ Ketik rumus di sel kuning E53", IF(E53=G53, "✅ BENAR! LUAR BIASA!", "❌ Belum Tepat, Cek Kunci"))</f>
        <v/>
      </c>
      <c r="G53" s="28">
        <f>YEAR(C52)</f>
        <v/>
      </c>
      <c r="H53" s="29" t="inlineStr">
        <is>
          <t>Ketik: =YEAR(C52)</t>
        </is>
      </c>
    </row>
    <row r="54">
      <c r="B54" s="18" t="inlineStr">
        <is>
          <t>Kelas 12 IPA</t>
        </is>
      </c>
      <c r="C54" s="30" t="n">
        <v>46251</v>
      </c>
    </row>
    <row r="55">
      <c r="B55" s="18" t="inlineStr">
        <is>
          <t>Kelas Unggulan</t>
        </is>
      </c>
      <c r="C55" s="30" t="n">
        <v>46381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#033 — RUMUS EXCEL: MONTH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(MONTH)</t>
        </is>
      </c>
    </row>
    <row r="5" ht="21" customHeight="1">
      <c r="B5" s="12" t="inlineStr">
        <is>
          <t>Nama Rumus Excel</t>
        </is>
      </c>
      <c r="C5" s="13">
        <f>MONTH(...)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MONTH(tanggal)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BULAN saja (1 sampai 12) dari sebuah sel tanggal.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MONTH)</t>
        </is>
      </c>
    </row>
    <row r="10">
      <c r="B10" s="16" t="inlineStr">
        <is>
          <t>Agenda Kantor</t>
        </is>
      </c>
      <c r="C10" s="16" t="inlineStr">
        <is>
          <t>Tanggal Kegiatan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Ekstrak komponen MONTH dari tanggal di sel C11 menggunakan rumus MONTH!</t>
        </is>
      </c>
    </row>
    <row r="12">
      <c r="B12" s="18" t="inlineStr">
        <is>
          <t>Cabang Bandung</t>
        </is>
      </c>
      <c r="C12" s="30" t="n">
        <v>46193</v>
      </c>
      <c r="E12" s="19" t="inlineStr">
        <is>
          <t>Rumus yang Diketik:</t>
        </is>
      </c>
      <c r="F12" s="21" t="inlineStr">
        <is>
          <t>'=MONTH(C11)</t>
        </is>
      </c>
    </row>
    <row r="13">
      <c r="B13" s="18" t="inlineStr">
        <is>
          <t>Cabang Surabaya</t>
        </is>
      </c>
      <c r="C13" s="30" t="n">
        <v>46251</v>
      </c>
      <c r="E13" s="19" t="inlineStr">
        <is>
          <t>Hasil Otomatis Excel:</t>
        </is>
      </c>
      <c r="F13" s="22">
        <f>MONTH(C11)</f>
        <v/>
      </c>
    </row>
    <row r="14">
      <c r="B14" s="18" t="inlineStr">
        <is>
          <t>Cabang Medan</t>
        </is>
      </c>
      <c r="C14" s="30" t="n">
        <v>46381</v>
      </c>
    </row>
    <row r="16" ht="26" customHeight="1">
      <c r="B16" s="23" t="inlineStr">
        <is>
          <t>3️⃣ 5 PERSOALAN DUNIA NYATA (KETIK RUMUS MONTH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Agenda Kantor</t>
        </is>
      </c>
      <c r="C19" s="12" t="inlineStr">
        <is>
          <t>Tanggal Kegiatan</t>
        </is>
      </c>
      <c r="E19" s="25" t="inlineStr">
        <is>
          <t>Persoalan #1: Ekstrak komponen MONTH dari tanggal di sel C20 menggunakan rumus MONTH!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46193</v>
      </c>
      <c r="E21" s="26" t="n"/>
      <c r="F21" s="27">
        <f>IF(ISBLANK(E21), "⏳ Ketik rumus di sel kuning E21", IF(E21=G21, "✅ BENAR! LUAR BIASA!", "❌ Belum Tepat, Cek Kunci"))</f>
        <v/>
      </c>
      <c r="G21" s="28">
        <f>MONTH(C20)</f>
        <v/>
      </c>
      <c r="H21" s="29" t="inlineStr">
        <is>
          <t>Ketik: =MONTH(C20)</t>
        </is>
      </c>
    </row>
    <row r="22">
      <c r="B22" s="18" t="inlineStr">
        <is>
          <t>Cabang Surabaya</t>
        </is>
      </c>
      <c r="C22" s="30" t="n">
        <v>46251</v>
      </c>
    </row>
    <row r="23">
      <c r="B23" s="18" t="inlineStr">
        <is>
          <t>Cabang Medan</t>
        </is>
      </c>
      <c r="C23" s="30" t="n">
        <v>46381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Agenda Kantor</t>
        </is>
      </c>
      <c r="C27" s="12" t="inlineStr">
        <is>
          <t>Tanggal Kegiatan</t>
        </is>
      </c>
      <c r="E27" s="25" t="inlineStr">
        <is>
          <t>Persoalan #2: Ekstrak komponen MONTH dari tanggal di sel C28 menggunakan rumus MONTH!</t>
        </is>
      </c>
    </row>
    <row r="28">
      <c r="B28" s="18" t="inlineStr">
        <is>
          <t>Budi Santoso</t>
        </is>
      </c>
      <c r="C28" s="30" t="n">
        <v>46068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46193</v>
      </c>
      <c r="E29" s="26" t="n"/>
      <c r="F29" s="27">
        <f>IF(ISBLANK(E29), "⏳ Ketik rumus di sel kuning E29", IF(E29=G29, "✅ BENAR! LUAR BIASA!", "❌ Belum Tepat, Cek Kunci"))</f>
        <v/>
      </c>
      <c r="G29" s="28">
        <f>MONTH(C28)</f>
        <v/>
      </c>
      <c r="H29" s="29" t="inlineStr">
        <is>
          <t>Ketik: =MONTH(C28)</t>
        </is>
      </c>
    </row>
    <row r="30">
      <c r="B30" s="18" t="inlineStr">
        <is>
          <t>Andi Pratama</t>
        </is>
      </c>
      <c r="C30" s="30" t="n">
        <v>46251</v>
      </c>
    </row>
    <row r="31">
      <c r="B31" s="18" t="inlineStr">
        <is>
          <t>Rina Wijaya</t>
        </is>
      </c>
      <c r="C31" s="30" t="n">
        <v>46381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Agenda Kantor</t>
        </is>
      </c>
      <c r="C35" s="12" t="inlineStr">
        <is>
          <t>Tanggal Kegiatan</t>
        </is>
      </c>
      <c r="E35" s="25" t="inlineStr">
        <is>
          <t>Persoalan #3: Ekstrak komponen MONTH dari tanggal di sel C36 menggunakan rumus MONTH!</t>
        </is>
      </c>
    </row>
    <row r="36">
      <c r="B36" s="18" t="inlineStr">
        <is>
          <t>Gudang Blok A</t>
        </is>
      </c>
      <c r="C36" s="30" t="n">
        <v>46096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46193</v>
      </c>
      <c r="E37" s="26" t="n"/>
      <c r="F37" s="27">
        <f>IF(ISBLANK(E37), "⏳ Ketik rumus di sel kuning E37", IF(E37=G37, "✅ BENAR! LUAR BIASA!", "❌ Belum Tepat, Cek Kunci"))</f>
        <v/>
      </c>
      <c r="G37" s="28">
        <f>MONTH(C36)</f>
        <v/>
      </c>
      <c r="H37" s="29" t="inlineStr">
        <is>
          <t>Ketik: =MONTH(C36)</t>
        </is>
      </c>
    </row>
    <row r="38">
      <c r="B38" s="18" t="inlineStr">
        <is>
          <t>Gudang Blok C</t>
        </is>
      </c>
      <c r="C38" s="30" t="n">
        <v>46251</v>
      </c>
    </row>
    <row r="39">
      <c r="B39" s="18" t="inlineStr">
        <is>
          <t>Gudang Blok D</t>
        </is>
      </c>
      <c r="C39" s="30" t="n">
        <v>46381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Agenda Kantor</t>
        </is>
      </c>
      <c r="C43" s="12" t="inlineStr">
        <is>
          <t>Tanggal Kegiatan</t>
        </is>
      </c>
      <c r="E43" s="25" t="inlineStr">
        <is>
          <t>Persoalan #4: Ekstrak komponen MONTH dari tanggal di sel C44 menggunakan rumus MONTH!</t>
        </is>
      </c>
    </row>
    <row r="44">
      <c r="B44" s="18" t="inlineStr">
        <is>
          <t>Toko Elektronik</t>
        </is>
      </c>
      <c r="C44" s="30" t="n">
        <v>46127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46193</v>
      </c>
      <c r="E45" s="26" t="n"/>
      <c r="F45" s="27">
        <f>IF(ISBLANK(E45), "⏳ Ketik rumus di sel kuning E45", IF(E45=G45, "✅ BENAR! LUAR BIASA!", "❌ Belum Tepat, Cek Kunci"))</f>
        <v/>
      </c>
      <c r="G45" s="28">
        <f>MONTH(C44)</f>
        <v/>
      </c>
      <c r="H45" s="29" t="inlineStr">
        <is>
          <t>Ketik: =MONTH(C44)</t>
        </is>
      </c>
    </row>
    <row r="46">
      <c r="B46" s="18" t="inlineStr">
        <is>
          <t>Toko Aksesoris</t>
        </is>
      </c>
      <c r="C46" s="30" t="n">
        <v>46251</v>
      </c>
    </row>
    <row r="47">
      <c r="B47" s="18" t="inlineStr">
        <is>
          <t>Toko Servis</t>
        </is>
      </c>
      <c r="C47" s="30" t="n">
        <v>46381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Agenda Kantor</t>
        </is>
      </c>
      <c r="C51" s="12" t="inlineStr">
        <is>
          <t>Tanggal Kegiatan</t>
        </is>
      </c>
      <c r="E51" s="25" t="inlineStr">
        <is>
          <t>Persoalan #5: Ekstrak komponen MONTH dari tanggal di sel C52 menggunakan rumus MONTH!</t>
        </is>
      </c>
    </row>
    <row r="52">
      <c r="B52" s="18" t="inlineStr">
        <is>
          <t>Kelas 10 IPA</t>
        </is>
      </c>
      <c r="C52" s="30" t="n">
        <v>46157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46193</v>
      </c>
      <c r="E53" s="26" t="n"/>
      <c r="F53" s="27">
        <f>IF(ISBLANK(E53), "⏳ Ketik rumus di sel kuning E53", IF(E53=G53, "✅ BENAR! LUAR BIASA!", "❌ Belum Tepat, Cek Kunci"))</f>
        <v/>
      </c>
      <c r="G53" s="28">
        <f>MONTH(C52)</f>
        <v/>
      </c>
      <c r="H53" s="29" t="inlineStr">
        <is>
          <t>Ketik: =MONTH(C52)</t>
        </is>
      </c>
    </row>
    <row r="54">
      <c r="B54" s="18" t="inlineStr">
        <is>
          <t>Kelas 12 IPA</t>
        </is>
      </c>
      <c r="C54" s="30" t="n">
        <v>46251</v>
      </c>
    </row>
    <row r="55">
      <c r="B55" s="18" t="inlineStr">
        <is>
          <t>Kelas Unggulan</t>
        </is>
      </c>
      <c r="C55" s="30" t="n">
        <v>46381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#034 — RUMUS EXCEL: DAY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(DAY)</t>
        </is>
      </c>
    </row>
    <row r="5" ht="21" customHeight="1">
      <c r="B5" s="12" t="inlineStr">
        <is>
          <t>Nama Rumus Excel</t>
        </is>
      </c>
      <c r="C5" s="13">
        <f>DAY(...)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DAY(tanggal)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HARI/TANGGAL saja (1 sampai 31) dari sebuah sel tanggal.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DAY)</t>
        </is>
      </c>
    </row>
    <row r="10">
      <c r="B10" s="16" t="inlineStr">
        <is>
          <t>Agenda Kantor</t>
        </is>
      </c>
      <c r="C10" s="16" t="inlineStr">
        <is>
          <t>Tanggal Kegiatan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Ekstrak komponen DAY dari tanggal di sel C11 menggunakan rumus DAY!</t>
        </is>
      </c>
    </row>
    <row r="12">
      <c r="B12" s="18" t="inlineStr">
        <is>
          <t>Cabang Bandung</t>
        </is>
      </c>
      <c r="C12" s="30" t="n">
        <v>46193</v>
      </c>
      <c r="E12" s="19" t="inlineStr">
        <is>
          <t>Rumus yang Diketik:</t>
        </is>
      </c>
      <c r="F12" s="21" t="inlineStr">
        <is>
          <t>'=DAY(C11)</t>
        </is>
      </c>
    </row>
    <row r="13">
      <c r="B13" s="18" t="inlineStr">
        <is>
          <t>Cabang Surabaya</t>
        </is>
      </c>
      <c r="C13" s="30" t="n">
        <v>46251</v>
      </c>
      <c r="E13" s="19" t="inlineStr">
        <is>
          <t>Hasil Otomatis Excel:</t>
        </is>
      </c>
      <c r="F13" s="22">
        <f>DAY(C11)</f>
        <v/>
      </c>
    </row>
    <row r="14">
      <c r="B14" s="18" t="inlineStr">
        <is>
          <t>Cabang Medan</t>
        </is>
      </c>
      <c r="C14" s="30" t="n">
        <v>46381</v>
      </c>
    </row>
    <row r="16" ht="26" customHeight="1">
      <c r="B16" s="23" t="inlineStr">
        <is>
          <t>3️⃣ 5 PERSOALAN DUNIA NYATA (KETIK RUMUS DAY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Agenda Kantor</t>
        </is>
      </c>
      <c r="C19" s="12" t="inlineStr">
        <is>
          <t>Tanggal Kegiatan</t>
        </is>
      </c>
      <c r="E19" s="25" t="inlineStr">
        <is>
          <t>Persoalan #1: Ekstrak komponen DAY dari tanggal di sel C20 menggunakan rumus DAY!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46193</v>
      </c>
      <c r="E21" s="26" t="n"/>
      <c r="F21" s="27">
        <f>IF(ISBLANK(E21), "⏳ Ketik rumus di sel kuning E21", IF(E21=G21, "✅ BENAR! LUAR BIASA!", "❌ Belum Tepat, Cek Kunci"))</f>
        <v/>
      </c>
      <c r="G21" s="28">
        <f>DAY(C20)</f>
        <v/>
      </c>
      <c r="H21" s="29" t="inlineStr">
        <is>
          <t>Ketik: =DAY(C20)</t>
        </is>
      </c>
    </row>
    <row r="22">
      <c r="B22" s="18" t="inlineStr">
        <is>
          <t>Cabang Surabaya</t>
        </is>
      </c>
      <c r="C22" s="30" t="n">
        <v>46251</v>
      </c>
    </row>
    <row r="23">
      <c r="B23" s="18" t="inlineStr">
        <is>
          <t>Cabang Medan</t>
        </is>
      </c>
      <c r="C23" s="30" t="n">
        <v>46381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Agenda Kantor</t>
        </is>
      </c>
      <c r="C27" s="12" t="inlineStr">
        <is>
          <t>Tanggal Kegiatan</t>
        </is>
      </c>
      <c r="E27" s="25" t="inlineStr">
        <is>
          <t>Persoalan #2: Ekstrak komponen DAY dari tanggal di sel C28 menggunakan rumus DAY!</t>
        </is>
      </c>
    </row>
    <row r="28">
      <c r="B28" s="18" t="inlineStr">
        <is>
          <t>Budi Santoso</t>
        </is>
      </c>
      <c r="C28" s="30" t="n">
        <v>46068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46193</v>
      </c>
      <c r="E29" s="26" t="n"/>
      <c r="F29" s="27">
        <f>IF(ISBLANK(E29), "⏳ Ketik rumus di sel kuning E29", IF(E29=G29, "✅ BENAR! LUAR BIASA!", "❌ Belum Tepat, Cek Kunci"))</f>
        <v/>
      </c>
      <c r="G29" s="28">
        <f>DAY(C28)</f>
        <v/>
      </c>
      <c r="H29" s="29" t="inlineStr">
        <is>
          <t>Ketik: =DAY(C28)</t>
        </is>
      </c>
    </row>
    <row r="30">
      <c r="B30" s="18" t="inlineStr">
        <is>
          <t>Andi Pratama</t>
        </is>
      </c>
      <c r="C30" s="30" t="n">
        <v>46251</v>
      </c>
    </row>
    <row r="31">
      <c r="B31" s="18" t="inlineStr">
        <is>
          <t>Rina Wijaya</t>
        </is>
      </c>
      <c r="C31" s="30" t="n">
        <v>46381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Agenda Kantor</t>
        </is>
      </c>
      <c r="C35" s="12" t="inlineStr">
        <is>
          <t>Tanggal Kegiatan</t>
        </is>
      </c>
      <c r="E35" s="25" t="inlineStr">
        <is>
          <t>Persoalan #3: Ekstrak komponen DAY dari tanggal di sel C36 menggunakan rumus DAY!</t>
        </is>
      </c>
    </row>
    <row r="36">
      <c r="B36" s="18" t="inlineStr">
        <is>
          <t>Gudang Blok A</t>
        </is>
      </c>
      <c r="C36" s="30" t="n">
        <v>46096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46193</v>
      </c>
      <c r="E37" s="26" t="n"/>
      <c r="F37" s="27">
        <f>IF(ISBLANK(E37), "⏳ Ketik rumus di sel kuning E37", IF(E37=G37, "✅ BENAR! LUAR BIASA!", "❌ Belum Tepat, Cek Kunci"))</f>
        <v/>
      </c>
      <c r="G37" s="28">
        <f>DAY(C36)</f>
        <v/>
      </c>
      <c r="H37" s="29" t="inlineStr">
        <is>
          <t>Ketik: =DAY(C36)</t>
        </is>
      </c>
    </row>
    <row r="38">
      <c r="B38" s="18" t="inlineStr">
        <is>
          <t>Gudang Blok C</t>
        </is>
      </c>
      <c r="C38" s="30" t="n">
        <v>46251</v>
      </c>
    </row>
    <row r="39">
      <c r="B39" s="18" t="inlineStr">
        <is>
          <t>Gudang Blok D</t>
        </is>
      </c>
      <c r="C39" s="30" t="n">
        <v>46381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Agenda Kantor</t>
        </is>
      </c>
      <c r="C43" s="12" t="inlineStr">
        <is>
          <t>Tanggal Kegiatan</t>
        </is>
      </c>
      <c r="E43" s="25" t="inlineStr">
        <is>
          <t>Persoalan #4: Ekstrak komponen DAY dari tanggal di sel C44 menggunakan rumus DAY!</t>
        </is>
      </c>
    </row>
    <row r="44">
      <c r="B44" s="18" t="inlineStr">
        <is>
          <t>Toko Elektronik</t>
        </is>
      </c>
      <c r="C44" s="30" t="n">
        <v>46127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46193</v>
      </c>
      <c r="E45" s="26" t="n"/>
      <c r="F45" s="27">
        <f>IF(ISBLANK(E45), "⏳ Ketik rumus di sel kuning E45", IF(E45=G45, "✅ BENAR! LUAR BIASA!", "❌ Belum Tepat, Cek Kunci"))</f>
        <v/>
      </c>
      <c r="G45" s="28">
        <f>DAY(C44)</f>
        <v/>
      </c>
      <c r="H45" s="29" t="inlineStr">
        <is>
          <t>Ketik: =DAY(C44)</t>
        </is>
      </c>
    </row>
    <row r="46">
      <c r="B46" s="18" t="inlineStr">
        <is>
          <t>Toko Aksesoris</t>
        </is>
      </c>
      <c r="C46" s="30" t="n">
        <v>46251</v>
      </c>
    </row>
    <row r="47">
      <c r="B47" s="18" t="inlineStr">
        <is>
          <t>Toko Servis</t>
        </is>
      </c>
      <c r="C47" s="30" t="n">
        <v>46381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Agenda Kantor</t>
        </is>
      </c>
      <c r="C51" s="12" t="inlineStr">
        <is>
          <t>Tanggal Kegiatan</t>
        </is>
      </c>
      <c r="E51" s="25" t="inlineStr">
        <is>
          <t>Persoalan #5: Ekstrak komponen DAY dari tanggal di sel C52 menggunakan rumus DAY!</t>
        </is>
      </c>
    </row>
    <row r="52">
      <c r="B52" s="18" t="inlineStr">
        <is>
          <t>Kelas 10 IPA</t>
        </is>
      </c>
      <c r="C52" s="30" t="n">
        <v>46157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46193</v>
      </c>
      <c r="E53" s="26" t="n"/>
      <c r="F53" s="27">
        <f>IF(ISBLANK(E53), "⏳ Ketik rumus di sel kuning E53", IF(E53=G53, "✅ BENAR! LUAR BIASA!", "❌ Belum Tepat, Cek Kunci"))</f>
        <v/>
      </c>
      <c r="G53" s="28">
        <f>DAY(C52)</f>
        <v/>
      </c>
      <c r="H53" s="29" t="inlineStr">
        <is>
          <t>Ketik: =DAY(C52)</t>
        </is>
      </c>
    </row>
    <row r="54">
      <c r="B54" s="18" t="inlineStr">
        <is>
          <t>Kelas 12 IPA</t>
        </is>
      </c>
      <c r="C54" s="30" t="n">
        <v>46251</v>
      </c>
    </row>
    <row r="55">
      <c r="B55" s="18" t="inlineStr">
        <is>
          <t>Kelas Unggulan</t>
        </is>
      </c>
      <c r="C55" s="30" t="n">
        <v>46381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#035 — RUMUS EXCEL: DAYS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(DAYS)</t>
        </is>
      </c>
    </row>
    <row r="5" ht="21" customHeight="1">
      <c r="B5" s="12" t="inlineStr">
        <is>
          <t>Nama Rumus Excel</t>
        </is>
      </c>
      <c r="C5" s="13">
        <f>DAYS(...)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DAYS(tanggal_akhir, tanggal_awal)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jumlah selisih hari antara dua tanggal (Misal: lama hari pinjam buku atau jatuh tempo invoice).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DAYS)</t>
        </is>
      </c>
    </row>
    <row r="10">
      <c r="B10" s="16" t="inlineStr">
        <is>
          <t>Tanggal Awal (B)</t>
        </is>
      </c>
      <c r="C10" s="16" t="inlineStr">
        <is>
          <t>Tanggal Akhir (C)</t>
        </is>
      </c>
      <c r="E10" s="17" t="inlineStr">
        <is>
          <t>💡 CONTOH RUMUS YANG SUDAH TERPASANG AKTIF:</t>
        </is>
      </c>
    </row>
    <row r="11">
      <c r="B11" s="30" t="n">
        <v>46032</v>
      </c>
      <c r="C11" s="30" t="n">
        <v>46078</v>
      </c>
      <c r="E11" s="19" t="inlineStr">
        <is>
          <t>Kasus Contoh:</t>
        </is>
      </c>
      <c r="F11" s="20" t="inlineStr">
        <is>
          <t>Hitung selisih hari antara Tanggal Akhir (C11) dan Tanggal Awal (B11) memakai DAYS!</t>
        </is>
      </c>
    </row>
    <row r="12">
      <c r="B12" s="30" t="n">
        <v>46054</v>
      </c>
      <c r="C12" s="30" t="n">
        <v>46096</v>
      </c>
      <c r="E12" s="19" t="inlineStr">
        <is>
          <t>Rumus yang Diketik:</t>
        </is>
      </c>
      <c r="F12" s="21" t="inlineStr">
        <is>
          <t>'=DAYS(C11, B11)</t>
        </is>
      </c>
    </row>
    <row r="13">
      <c r="B13" s="30" t="n">
        <v>46113</v>
      </c>
      <c r="C13" s="30" t="n">
        <v>46162</v>
      </c>
      <c r="E13" s="19" t="inlineStr">
        <is>
          <t>Hasil Otomatis Excel:</t>
        </is>
      </c>
      <c r="F13" s="22">
        <f>DAYS(C11, B11)</f>
        <v/>
      </c>
    </row>
    <row r="14">
      <c r="B14" s="30" t="n">
        <v>46174</v>
      </c>
      <c r="C14" s="30" t="n">
        <v>46244</v>
      </c>
    </row>
    <row r="16" ht="26" customHeight="1">
      <c r="B16" s="23" t="inlineStr">
        <is>
          <t>3️⃣ 5 PERSOALAN DUNIA NYATA (KETIK RUMUS DAYS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Tanggal Awal (B)</t>
        </is>
      </c>
      <c r="C19" s="12" t="inlineStr">
        <is>
          <t>Tanggal Akhir (C)</t>
        </is>
      </c>
      <c r="E19" s="25" t="inlineStr">
        <is>
          <t>Persoalan #1: Hitung selisih hari antara Tanggal Akhir (C20) dan Tanggal Awal (B20) memakai DAYS!</t>
        </is>
      </c>
    </row>
    <row r="20">
      <c r="B20" s="30" t="n">
        <v>46032</v>
      </c>
      <c r="C20" s="30" t="n">
        <v>46078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30" t="n">
        <v>46054</v>
      </c>
      <c r="C21" s="30" t="n">
        <v>46096</v>
      </c>
      <c r="E21" s="26" t="n"/>
      <c r="F21" s="27">
        <f>IF(ISBLANK(E21), "⏳ Ketik rumus di sel kuning E21", IF(E21=G21, "✅ BENAR! LUAR BIASA!", "❌ Belum Tepat, Cek Kunci"))</f>
        <v/>
      </c>
      <c r="G21" s="28">
        <f>DAYS(C20, B20)</f>
        <v/>
      </c>
      <c r="H21" s="29" t="inlineStr">
        <is>
          <t>Ketik: =DAYS(C20, B20)</t>
        </is>
      </c>
    </row>
    <row r="22">
      <c r="B22" s="30" t="n">
        <v>46113</v>
      </c>
      <c r="C22" s="30" t="n">
        <v>46162</v>
      </c>
    </row>
    <row r="23">
      <c r="B23" s="30" t="n">
        <v>46174</v>
      </c>
      <c r="C23" s="30" t="n">
        <v>46244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Tanggal Awal (B)</t>
        </is>
      </c>
      <c r="C27" s="12" t="inlineStr">
        <is>
          <t>Tanggal Akhir (C)</t>
        </is>
      </c>
      <c r="E27" s="25" t="inlineStr">
        <is>
          <t>Persoalan #2: Hitung selisih hari antara Tanggal Akhir (C28) dan Tanggal Awal (B28) memakai DAYS!</t>
        </is>
      </c>
    </row>
    <row r="28">
      <c r="B28" s="30" t="n">
        <v>46032</v>
      </c>
      <c r="C28" s="30" t="n">
        <v>46106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30" t="n">
        <v>46054</v>
      </c>
      <c r="C29" s="30" t="n">
        <v>46096</v>
      </c>
      <c r="E29" s="26" t="n"/>
      <c r="F29" s="27">
        <f>IF(ISBLANK(E29), "⏳ Ketik rumus di sel kuning E29", IF(E29=G29, "✅ BENAR! LUAR BIASA!", "❌ Belum Tepat, Cek Kunci"))</f>
        <v/>
      </c>
      <c r="G29" s="28">
        <f>DAYS(C28, B28)</f>
        <v/>
      </c>
      <c r="H29" s="29" t="inlineStr">
        <is>
          <t>Ketik: =DAYS(C28, B28)</t>
        </is>
      </c>
    </row>
    <row r="30">
      <c r="B30" s="30" t="n">
        <v>46113</v>
      </c>
      <c r="C30" s="30" t="n">
        <v>46162</v>
      </c>
    </row>
    <row r="31">
      <c r="B31" s="30" t="n">
        <v>46174</v>
      </c>
      <c r="C31" s="30" t="n">
        <v>46244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Tanggal Awal (B)</t>
        </is>
      </c>
      <c r="C35" s="12" t="inlineStr">
        <is>
          <t>Tanggal Akhir (C)</t>
        </is>
      </c>
      <c r="E35" s="25" t="inlineStr">
        <is>
          <t>Persoalan #3: Hitung selisih hari antara Tanggal Akhir (C36) dan Tanggal Awal (B36) memakai DAYS!</t>
        </is>
      </c>
    </row>
    <row r="36">
      <c r="B36" s="30" t="n">
        <v>46032</v>
      </c>
      <c r="C36" s="30" t="n">
        <v>46137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30" t="n">
        <v>46054</v>
      </c>
      <c r="C37" s="30" t="n">
        <v>46096</v>
      </c>
      <c r="E37" s="26" t="n"/>
      <c r="F37" s="27">
        <f>IF(ISBLANK(E37), "⏳ Ketik rumus di sel kuning E37", IF(E37=G37, "✅ BENAR! LUAR BIASA!", "❌ Belum Tepat, Cek Kunci"))</f>
        <v/>
      </c>
      <c r="G37" s="28">
        <f>DAYS(C36, B36)</f>
        <v/>
      </c>
      <c r="H37" s="29" t="inlineStr">
        <is>
          <t>Ketik: =DAYS(C36, B36)</t>
        </is>
      </c>
    </row>
    <row r="38">
      <c r="B38" s="30" t="n">
        <v>46113</v>
      </c>
      <c r="C38" s="30" t="n">
        <v>46162</v>
      </c>
    </row>
    <row r="39">
      <c r="B39" s="30" t="n">
        <v>46174</v>
      </c>
      <c r="C39" s="30" t="n">
        <v>46244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Tanggal Awal (B)</t>
        </is>
      </c>
      <c r="C43" s="12" t="inlineStr">
        <is>
          <t>Tanggal Akhir (C)</t>
        </is>
      </c>
      <c r="E43" s="25" t="inlineStr">
        <is>
          <t>Persoalan #4: Hitung selisih hari antara Tanggal Akhir (C44) dan Tanggal Awal (B44) memakai DAYS!</t>
        </is>
      </c>
    </row>
    <row r="44">
      <c r="B44" s="30" t="n">
        <v>46032</v>
      </c>
      <c r="C44" s="30" t="n">
        <v>46167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30" t="n">
        <v>46054</v>
      </c>
      <c r="C45" s="30" t="n">
        <v>46096</v>
      </c>
      <c r="E45" s="26" t="n"/>
      <c r="F45" s="27">
        <f>IF(ISBLANK(E45), "⏳ Ketik rumus di sel kuning E45", IF(E45=G45, "✅ BENAR! LUAR BIASA!", "❌ Belum Tepat, Cek Kunci"))</f>
        <v/>
      </c>
      <c r="G45" s="28">
        <f>DAYS(C44, B44)</f>
        <v/>
      </c>
      <c r="H45" s="29" t="inlineStr">
        <is>
          <t>Ketik: =DAYS(C44, B44)</t>
        </is>
      </c>
    </row>
    <row r="46">
      <c r="B46" s="30" t="n">
        <v>46113</v>
      </c>
      <c r="C46" s="30" t="n">
        <v>46162</v>
      </c>
    </row>
    <row r="47">
      <c r="B47" s="30" t="n">
        <v>46174</v>
      </c>
      <c r="C47" s="30" t="n">
        <v>46244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Tanggal Awal (B)</t>
        </is>
      </c>
      <c r="C51" s="12" t="inlineStr">
        <is>
          <t>Tanggal Akhir (C)</t>
        </is>
      </c>
      <c r="E51" s="25" t="inlineStr">
        <is>
          <t>Persoalan #5: Hitung selisih hari antara Tanggal Akhir (C52) dan Tanggal Awal (B52) memakai DAYS!</t>
        </is>
      </c>
    </row>
    <row r="52">
      <c r="B52" s="30" t="n">
        <v>46032</v>
      </c>
      <c r="C52" s="30" t="n">
        <v>46198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30" t="n">
        <v>46054</v>
      </c>
      <c r="C53" s="30" t="n">
        <v>46096</v>
      </c>
      <c r="E53" s="26" t="n"/>
      <c r="F53" s="27">
        <f>IF(ISBLANK(E53), "⏳ Ketik rumus di sel kuning E53", IF(E53=G53, "✅ BENAR! LUAR BIASA!", "❌ Belum Tepat, Cek Kunci"))</f>
        <v/>
      </c>
      <c r="G53" s="28">
        <f>DAYS(C52, B52)</f>
        <v/>
      </c>
      <c r="H53" s="29" t="inlineStr">
        <is>
          <t>Ketik: =DAYS(C52, B52)</t>
        </is>
      </c>
    </row>
    <row r="54">
      <c r="B54" s="30" t="n">
        <v>46113</v>
      </c>
      <c r="C54" s="30" t="n">
        <v>46162</v>
      </c>
    </row>
    <row r="55">
      <c r="B55" s="30" t="n">
        <v>46174</v>
      </c>
      <c r="C55" s="30" t="n">
        <v>46244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#036 — RUMUS EXCEL: DATEDIF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(DATEDIF)</t>
        </is>
      </c>
    </row>
    <row r="5" ht="21" customHeight="1">
      <c r="B5" s="12" t="inlineStr">
        <is>
          <t>Nama Rumus Excel</t>
        </is>
      </c>
      <c r="C5" s="13">
        <f>DATEDIF(...)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DATEDIF(tgl_awal, tgl_akhir, "Y")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Rumus rahasia HRD untuk menghitung Umur Karyawan atau Masa Kerja dalam Tahun ('Y'), Bulan ('M'), atau Hari ('D').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DATEDIF)</t>
        </is>
      </c>
    </row>
    <row r="10">
      <c r="B10" s="16" t="inlineStr">
        <is>
          <t>Tanggal Awal (B)</t>
        </is>
      </c>
      <c r="C10" s="16" t="inlineStr">
        <is>
          <t>Tanggal Akhir (C)</t>
        </is>
      </c>
      <c r="E10" s="17" t="inlineStr">
        <is>
          <t>💡 CONTOH RUMUS YANG SUDAH TERPASANG AKTIF:</t>
        </is>
      </c>
    </row>
    <row r="11">
      <c r="B11" s="30" t="n">
        <v>46032</v>
      </c>
      <c r="C11" s="30" t="n">
        <v>46078</v>
      </c>
      <c r="E11" s="19" t="inlineStr">
        <is>
          <t>Kasus Contoh:</t>
        </is>
      </c>
      <c r="F11" s="20" t="inlineStr">
        <is>
          <t>Hitung selisih hari ("D") dari Tanggal Awal B11 ke Tanggal Akhir C11 memakai DATEDIF!</t>
        </is>
      </c>
    </row>
    <row r="12">
      <c r="B12" s="30" t="n">
        <v>46054</v>
      </c>
      <c r="C12" s="30" t="n">
        <v>46096</v>
      </c>
      <c r="E12" s="19" t="inlineStr">
        <is>
          <t>Rumus yang Diketik:</t>
        </is>
      </c>
      <c r="F12" s="21" t="inlineStr">
        <is>
          <t>'=DATEDIF(B11, C11, "D")</t>
        </is>
      </c>
    </row>
    <row r="13">
      <c r="B13" s="30" t="n">
        <v>46113</v>
      </c>
      <c r="C13" s="30" t="n">
        <v>46162</v>
      </c>
      <c r="E13" s="19" t="inlineStr">
        <is>
          <t>Hasil Otomatis Excel:</t>
        </is>
      </c>
      <c r="F13" s="22">
        <f>DATEDIF(B11, C11, "D")</f>
        <v/>
      </c>
    </row>
    <row r="14">
      <c r="B14" s="30" t="n">
        <v>46174</v>
      </c>
      <c r="C14" s="30" t="n">
        <v>46244</v>
      </c>
    </row>
    <row r="16" ht="26" customHeight="1">
      <c r="B16" s="23" t="inlineStr">
        <is>
          <t>3️⃣ 5 PERSOALAN DUNIA NYATA (KETIK RUMUS DATEDIF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Tanggal Awal (B)</t>
        </is>
      </c>
      <c r="C19" s="12" t="inlineStr">
        <is>
          <t>Tanggal Akhir (C)</t>
        </is>
      </c>
      <c r="E19" s="25" t="inlineStr">
        <is>
          <t>Persoalan #1: Hitung selisih hari ("D") dari Tanggal Awal B20 ke Tanggal Akhir C20 memakai DATEDIF!</t>
        </is>
      </c>
    </row>
    <row r="20">
      <c r="B20" s="30" t="n">
        <v>46032</v>
      </c>
      <c r="C20" s="30" t="n">
        <v>46078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30" t="n">
        <v>46054</v>
      </c>
      <c r="C21" s="30" t="n">
        <v>46096</v>
      </c>
      <c r="E21" s="26" t="n"/>
      <c r="F21" s="27">
        <f>IF(ISBLANK(E21), "⏳ Ketik rumus di sel kuning E21", IF(E21=G21, "✅ BENAR! LUAR BIASA!", "❌ Belum Tepat, Cek Kunci"))</f>
        <v/>
      </c>
      <c r="G21" s="28">
        <f>DATEDIF(B20, C20, "D")</f>
        <v/>
      </c>
      <c r="H21" s="29" t="inlineStr">
        <is>
          <t>Ketik: =DATEDIF(B20, C20, "D")</t>
        </is>
      </c>
    </row>
    <row r="22">
      <c r="B22" s="30" t="n">
        <v>46113</v>
      </c>
      <c r="C22" s="30" t="n">
        <v>46162</v>
      </c>
    </row>
    <row r="23">
      <c r="B23" s="30" t="n">
        <v>46174</v>
      </c>
      <c r="C23" s="30" t="n">
        <v>46244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Tanggal Awal (B)</t>
        </is>
      </c>
      <c r="C27" s="12" t="inlineStr">
        <is>
          <t>Tanggal Akhir (C)</t>
        </is>
      </c>
      <c r="E27" s="25" t="inlineStr">
        <is>
          <t>Persoalan #2: Hitung selisih hari ("D") dari Tanggal Awal B28 ke Tanggal Akhir C28 memakai DATEDIF!</t>
        </is>
      </c>
    </row>
    <row r="28">
      <c r="B28" s="30" t="n">
        <v>46032</v>
      </c>
      <c r="C28" s="30" t="n">
        <v>46106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30" t="n">
        <v>46054</v>
      </c>
      <c r="C29" s="30" t="n">
        <v>46096</v>
      </c>
      <c r="E29" s="26" t="n"/>
      <c r="F29" s="27">
        <f>IF(ISBLANK(E29), "⏳ Ketik rumus di sel kuning E29", IF(E29=G29, "✅ BENAR! LUAR BIASA!", "❌ Belum Tepat, Cek Kunci"))</f>
        <v/>
      </c>
      <c r="G29" s="28">
        <f>DATEDIF(B28, C28, "D")</f>
        <v/>
      </c>
      <c r="H29" s="29" t="inlineStr">
        <is>
          <t>Ketik: =DATEDIF(B28, C28, "D")</t>
        </is>
      </c>
    </row>
    <row r="30">
      <c r="B30" s="30" t="n">
        <v>46113</v>
      </c>
      <c r="C30" s="30" t="n">
        <v>46162</v>
      </c>
    </row>
    <row r="31">
      <c r="B31" s="30" t="n">
        <v>46174</v>
      </c>
      <c r="C31" s="30" t="n">
        <v>46244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Tanggal Awal (B)</t>
        </is>
      </c>
      <c r="C35" s="12" t="inlineStr">
        <is>
          <t>Tanggal Akhir (C)</t>
        </is>
      </c>
      <c r="E35" s="25" t="inlineStr">
        <is>
          <t>Persoalan #3: Hitung selisih hari ("D") dari Tanggal Awal B36 ke Tanggal Akhir C36 memakai DATEDIF!</t>
        </is>
      </c>
    </row>
    <row r="36">
      <c r="B36" s="30" t="n">
        <v>46032</v>
      </c>
      <c r="C36" s="30" t="n">
        <v>46137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30" t="n">
        <v>46054</v>
      </c>
      <c r="C37" s="30" t="n">
        <v>46096</v>
      </c>
      <c r="E37" s="26" t="n"/>
      <c r="F37" s="27">
        <f>IF(ISBLANK(E37), "⏳ Ketik rumus di sel kuning E37", IF(E37=G37, "✅ BENAR! LUAR BIASA!", "❌ Belum Tepat, Cek Kunci"))</f>
        <v/>
      </c>
      <c r="G37" s="28">
        <f>DATEDIF(B36, C36, "D")</f>
        <v/>
      </c>
      <c r="H37" s="29" t="inlineStr">
        <is>
          <t>Ketik: =DATEDIF(B36, C36, "D")</t>
        </is>
      </c>
    </row>
    <row r="38">
      <c r="B38" s="30" t="n">
        <v>46113</v>
      </c>
      <c r="C38" s="30" t="n">
        <v>46162</v>
      </c>
    </row>
    <row r="39">
      <c r="B39" s="30" t="n">
        <v>46174</v>
      </c>
      <c r="C39" s="30" t="n">
        <v>46244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Tanggal Awal (B)</t>
        </is>
      </c>
      <c r="C43" s="12" t="inlineStr">
        <is>
          <t>Tanggal Akhir (C)</t>
        </is>
      </c>
      <c r="E43" s="25" t="inlineStr">
        <is>
          <t>Persoalan #4: Hitung selisih hari ("D") dari Tanggal Awal B44 ke Tanggal Akhir C44 memakai DATEDIF!</t>
        </is>
      </c>
    </row>
    <row r="44">
      <c r="B44" s="30" t="n">
        <v>46032</v>
      </c>
      <c r="C44" s="30" t="n">
        <v>46167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30" t="n">
        <v>46054</v>
      </c>
      <c r="C45" s="30" t="n">
        <v>46096</v>
      </c>
      <c r="E45" s="26" t="n"/>
      <c r="F45" s="27">
        <f>IF(ISBLANK(E45), "⏳ Ketik rumus di sel kuning E45", IF(E45=G45, "✅ BENAR! LUAR BIASA!", "❌ Belum Tepat, Cek Kunci"))</f>
        <v/>
      </c>
      <c r="G45" s="28">
        <f>DATEDIF(B44, C44, "D")</f>
        <v/>
      </c>
      <c r="H45" s="29" t="inlineStr">
        <is>
          <t>Ketik: =DATEDIF(B44, C44, "D")</t>
        </is>
      </c>
    </row>
    <row r="46">
      <c r="B46" s="30" t="n">
        <v>46113</v>
      </c>
      <c r="C46" s="30" t="n">
        <v>46162</v>
      </c>
    </row>
    <row r="47">
      <c r="B47" s="30" t="n">
        <v>46174</v>
      </c>
      <c r="C47" s="30" t="n">
        <v>46244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Tanggal Awal (B)</t>
        </is>
      </c>
      <c r="C51" s="12" t="inlineStr">
        <is>
          <t>Tanggal Akhir (C)</t>
        </is>
      </c>
      <c r="E51" s="25" t="inlineStr">
        <is>
          <t>Persoalan #5: Hitung selisih hari ("D") dari Tanggal Awal B52 ke Tanggal Akhir C52 memakai DATEDIF!</t>
        </is>
      </c>
    </row>
    <row r="52">
      <c r="B52" s="30" t="n">
        <v>46032</v>
      </c>
      <c r="C52" s="30" t="n">
        <v>46198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30" t="n">
        <v>46054</v>
      </c>
      <c r="C53" s="30" t="n">
        <v>46096</v>
      </c>
      <c r="E53" s="26" t="n"/>
      <c r="F53" s="27">
        <f>IF(ISBLANK(E53), "⏳ Ketik rumus di sel kuning E53", IF(E53=G53, "✅ BENAR! LUAR BIASA!", "❌ Belum Tepat, Cek Kunci"))</f>
        <v/>
      </c>
      <c r="G53" s="28">
        <f>DATEDIF(B52, C52, "D")</f>
        <v/>
      </c>
      <c r="H53" s="29" t="inlineStr">
        <is>
          <t>Ketik: =DATEDIF(B52, C52, "D")</t>
        </is>
      </c>
    </row>
    <row r="54">
      <c r="B54" s="30" t="n">
        <v>46113</v>
      </c>
      <c r="C54" s="30" t="n">
        <v>46162</v>
      </c>
    </row>
    <row r="55">
      <c r="B55" s="30" t="n">
        <v>46174</v>
      </c>
      <c r="C55" s="30" t="n">
        <v>46244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#037 — RUMUS EXCEL: EDATE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(EDATE)</t>
        </is>
      </c>
    </row>
    <row r="5" ht="21" customHeight="1">
      <c r="B5" s="12" t="inlineStr">
        <is>
          <t>Nama Rumus Excel</t>
        </is>
      </c>
      <c r="C5" s="13">
        <f>EDATE(...)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EDATE(tanggal_awal, jumlah_bulan)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tanggal jatuh tempo persis sekian bulan ke depan atau ke belakang (Misal: masa habis kontrak 6 bulan lagi).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EDATE)</t>
        </is>
      </c>
    </row>
    <row r="10">
      <c r="B10" s="16" t="inlineStr">
        <is>
          <t>Kontrak Proyek</t>
        </is>
      </c>
      <c r="C10" s="16" t="inlineStr">
        <is>
          <t>Tanggal Mulai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Gunakan rumus EDATE dari tanggal awal di C11 dengan penambahan 3 periode!</t>
        </is>
      </c>
    </row>
    <row r="12">
      <c r="B12" s="18" t="inlineStr">
        <is>
          <t>Cabang Bandung</t>
        </is>
      </c>
      <c r="C12" s="30" t="n">
        <v>46091</v>
      </c>
      <c r="E12" s="19" t="inlineStr">
        <is>
          <t>Rumus yang Diketik:</t>
        </is>
      </c>
      <c r="F12" s="21" t="inlineStr">
        <is>
          <t>'=EDATE(C11, 3)</t>
        </is>
      </c>
    </row>
    <row r="13">
      <c r="B13" s="18" t="inlineStr">
        <is>
          <t>Cabang Surabaya</t>
        </is>
      </c>
      <c r="C13" s="30" t="n">
        <v>46162</v>
      </c>
      <c r="E13" s="19" t="inlineStr">
        <is>
          <t>Hasil Otomatis Excel:</t>
        </is>
      </c>
      <c r="F13" s="22">
        <f>EDATE(C11, 3)</f>
        <v/>
      </c>
    </row>
    <row r="14">
      <c r="B14" s="18" t="inlineStr">
        <is>
          <t>Cabang Medan</t>
        </is>
      </c>
      <c r="C14" s="30" t="n">
        <v>46208</v>
      </c>
    </row>
    <row r="16" ht="26" customHeight="1">
      <c r="B16" s="23" t="inlineStr">
        <is>
          <t>3️⃣ 5 PERSOALAN DUNIA NYATA (KETIK RUMUS EDATE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Kontrak Proyek</t>
        </is>
      </c>
      <c r="C19" s="12" t="inlineStr">
        <is>
          <t>Tanggal Mulai</t>
        </is>
      </c>
      <c r="E19" s="25" t="inlineStr">
        <is>
          <t>Persoalan #1: Gunakan rumus EDATE dari tanggal awal di C20 dengan penambahan 3 periode!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46091</v>
      </c>
      <c r="E21" s="26" t="n"/>
      <c r="F21" s="27">
        <f>IF(ISBLANK(E21), "⏳ Ketik rumus di sel kuning E21", IF(E21=G21, "✅ BENAR! LUAR BIASA!", "❌ Belum Tepat, Cek Kunci"))</f>
        <v/>
      </c>
      <c r="G21" s="28">
        <f>EDATE(C20, 3)</f>
        <v/>
      </c>
      <c r="H21" s="29" t="inlineStr">
        <is>
          <t>Ketik: =EDATE(C20, 3)</t>
        </is>
      </c>
    </row>
    <row r="22">
      <c r="B22" s="18" t="inlineStr">
        <is>
          <t>Cabang Surabaya</t>
        </is>
      </c>
      <c r="C22" s="30" t="n">
        <v>46162</v>
      </c>
    </row>
    <row r="23">
      <c r="B23" s="18" t="inlineStr">
        <is>
          <t>Cabang Medan</t>
        </is>
      </c>
      <c r="C23" s="30" t="n">
        <v>46208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Kontrak Proyek</t>
        </is>
      </c>
      <c r="C27" s="12" t="inlineStr">
        <is>
          <t>Tanggal Mulai</t>
        </is>
      </c>
      <c r="E27" s="25" t="inlineStr">
        <is>
          <t>Persoalan #2: Gunakan rumus EDATE dari tanggal awal di C28 dengan penambahan 4 periode!</t>
        </is>
      </c>
    </row>
    <row r="28">
      <c r="B28" s="18" t="inlineStr">
        <is>
          <t>Budi Santoso</t>
        </is>
      </c>
      <c r="C28" s="30" t="n">
        <v>46037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46091</v>
      </c>
      <c r="E29" s="26" t="n"/>
      <c r="F29" s="27">
        <f>IF(ISBLANK(E29), "⏳ Ketik rumus di sel kuning E29", IF(E29=G29, "✅ BENAR! LUAR BIASA!", "❌ Belum Tepat, Cek Kunci"))</f>
        <v/>
      </c>
      <c r="G29" s="28">
        <f>EDATE(C28, 4)</f>
        <v/>
      </c>
      <c r="H29" s="29" t="inlineStr">
        <is>
          <t>Ketik: =EDATE(C28, 4)</t>
        </is>
      </c>
    </row>
    <row r="30">
      <c r="B30" s="18" t="inlineStr">
        <is>
          <t>Andi Pratama</t>
        </is>
      </c>
      <c r="C30" s="30" t="n">
        <v>46162</v>
      </c>
    </row>
    <row r="31">
      <c r="B31" s="18" t="inlineStr">
        <is>
          <t>Rina Wijaya</t>
        </is>
      </c>
      <c r="C31" s="30" t="n">
        <v>46208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Kontrak Proyek</t>
        </is>
      </c>
      <c r="C35" s="12" t="inlineStr">
        <is>
          <t>Tanggal Mulai</t>
        </is>
      </c>
      <c r="E35" s="25" t="inlineStr">
        <is>
          <t>Persoalan #3: Gunakan rumus EDATE dari tanggal awal di C36 dengan penambahan 5 periode!</t>
        </is>
      </c>
    </row>
    <row r="36">
      <c r="B36" s="18" t="inlineStr">
        <is>
          <t>Gudang Blok A</t>
        </is>
      </c>
      <c r="C36" s="30" t="n">
        <v>46037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46091</v>
      </c>
      <c r="E37" s="26" t="n"/>
      <c r="F37" s="27">
        <f>IF(ISBLANK(E37), "⏳ Ketik rumus di sel kuning E37", IF(E37=G37, "✅ BENAR! LUAR BIASA!", "❌ Belum Tepat, Cek Kunci"))</f>
        <v/>
      </c>
      <c r="G37" s="28">
        <f>EDATE(C36, 5)</f>
        <v/>
      </c>
      <c r="H37" s="29" t="inlineStr">
        <is>
          <t>Ketik: =EDATE(C36, 5)</t>
        </is>
      </c>
    </row>
    <row r="38">
      <c r="B38" s="18" t="inlineStr">
        <is>
          <t>Gudang Blok C</t>
        </is>
      </c>
      <c r="C38" s="30" t="n">
        <v>46162</v>
      </c>
    </row>
    <row r="39">
      <c r="B39" s="18" t="inlineStr">
        <is>
          <t>Gudang Blok D</t>
        </is>
      </c>
      <c r="C39" s="30" t="n">
        <v>46208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Kontrak Proyek</t>
        </is>
      </c>
      <c r="C43" s="12" t="inlineStr">
        <is>
          <t>Tanggal Mulai</t>
        </is>
      </c>
      <c r="E43" s="25" t="inlineStr">
        <is>
          <t>Persoalan #4: Gunakan rumus EDATE dari tanggal awal di C44 dengan penambahan 6 periode!</t>
        </is>
      </c>
    </row>
    <row r="44">
      <c r="B44" s="18" t="inlineStr">
        <is>
          <t>Toko Elektronik</t>
        </is>
      </c>
      <c r="C44" s="30" t="n">
        <v>46037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46091</v>
      </c>
      <c r="E45" s="26" t="n"/>
      <c r="F45" s="27">
        <f>IF(ISBLANK(E45), "⏳ Ketik rumus di sel kuning E45", IF(E45=G45, "✅ BENAR! LUAR BIASA!", "❌ Belum Tepat, Cek Kunci"))</f>
        <v/>
      </c>
      <c r="G45" s="28">
        <f>EDATE(C44, 6)</f>
        <v/>
      </c>
      <c r="H45" s="29" t="inlineStr">
        <is>
          <t>Ketik: =EDATE(C44, 6)</t>
        </is>
      </c>
    </row>
    <row r="46">
      <c r="B46" s="18" t="inlineStr">
        <is>
          <t>Toko Aksesoris</t>
        </is>
      </c>
      <c r="C46" s="30" t="n">
        <v>46162</v>
      </c>
    </row>
    <row r="47">
      <c r="B47" s="18" t="inlineStr">
        <is>
          <t>Toko Servis</t>
        </is>
      </c>
      <c r="C47" s="30" t="n">
        <v>46208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Kontrak Proyek</t>
        </is>
      </c>
      <c r="C51" s="12" t="inlineStr">
        <is>
          <t>Tanggal Mulai</t>
        </is>
      </c>
      <c r="E51" s="25" t="inlineStr">
        <is>
          <t>Persoalan #5: Gunakan rumus EDATE dari tanggal awal di C52 dengan penambahan 7 periode!</t>
        </is>
      </c>
    </row>
    <row r="52">
      <c r="B52" s="18" t="inlineStr">
        <is>
          <t>Kelas 10 IPA</t>
        </is>
      </c>
      <c r="C52" s="30" t="n">
        <v>46037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46091</v>
      </c>
      <c r="E53" s="26" t="n"/>
      <c r="F53" s="27">
        <f>IF(ISBLANK(E53), "⏳ Ketik rumus di sel kuning E53", IF(E53=G53, "✅ BENAR! LUAR BIASA!", "❌ Belum Tepat, Cek Kunci"))</f>
        <v/>
      </c>
      <c r="G53" s="28">
        <f>EDATE(C52, 7)</f>
        <v/>
      </c>
      <c r="H53" s="29" t="inlineStr">
        <is>
          <t>Ketik: =EDATE(C52, 7)</t>
        </is>
      </c>
    </row>
    <row r="54">
      <c r="B54" s="18" t="inlineStr">
        <is>
          <t>Kelas 12 IPA</t>
        </is>
      </c>
      <c r="C54" s="30" t="n">
        <v>46162</v>
      </c>
    </row>
    <row r="55">
      <c r="B55" s="18" t="inlineStr">
        <is>
          <t>Kelas Unggulan</t>
        </is>
      </c>
      <c r="C55" s="30" t="n">
        <v>46208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#038 — RUMUS EXCEL: EOMONTH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(EOMONTH)</t>
        </is>
      </c>
    </row>
    <row r="5" ht="21" customHeight="1">
      <c r="B5" s="12" t="inlineStr">
        <is>
          <t>Nama Rumus Excel</t>
        </is>
      </c>
      <c r="C5" s="13">
        <f>EOMONTH(...)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EOMONTH(tanggal_awal, jumlah_bulan)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tanggal AKHIR BULAN (End of Month) untuk tutup buku akuntansi atau tanggal gajian akhir bulan.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EOMONTH)</t>
        </is>
      </c>
    </row>
    <row r="10">
      <c r="B10" s="16" t="inlineStr">
        <is>
          <t>Kontrak Proyek</t>
        </is>
      </c>
      <c r="C10" s="16" t="inlineStr">
        <is>
          <t>Tanggal Mulai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Gunakan rumus EOMONTH dari tanggal awal di C11 dengan penambahan 3 periode!</t>
        </is>
      </c>
    </row>
    <row r="12">
      <c r="B12" s="18" t="inlineStr">
        <is>
          <t>Cabang Bandung</t>
        </is>
      </c>
      <c r="C12" s="30" t="n">
        <v>46091</v>
      </c>
      <c r="E12" s="19" t="inlineStr">
        <is>
          <t>Rumus yang Diketik:</t>
        </is>
      </c>
      <c r="F12" s="21" t="inlineStr">
        <is>
          <t>'=EOMONTH(C11, 3)</t>
        </is>
      </c>
    </row>
    <row r="13">
      <c r="B13" s="18" t="inlineStr">
        <is>
          <t>Cabang Surabaya</t>
        </is>
      </c>
      <c r="C13" s="30" t="n">
        <v>46162</v>
      </c>
      <c r="E13" s="19" t="inlineStr">
        <is>
          <t>Hasil Otomatis Excel:</t>
        </is>
      </c>
      <c r="F13" s="22">
        <f>EOMONTH(C11, 3)</f>
        <v/>
      </c>
    </row>
    <row r="14">
      <c r="B14" s="18" t="inlineStr">
        <is>
          <t>Cabang Medan</t>
        </is>
      </c>
      <c r="C14" s="30" t="n">
        <v>46208</v>
      </c>
    </row>
    <row r="16" ht="26" customHeight="1">
      <c r="B16" s="23" t="inlineStr">
        <is>
          <t>3️⃣ 5 PERSOALAN DUNIA NYATA (KETIK RUMUS EOMONTH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Kontrak Proyek</t>
        </is>
      </c>
      <c r="C19" s="12" t="inlineStr">
        <is>
          <t>Tanggal Mulai</t>
        </is>
      </c>
      <c r="E19" s="25" t="inlineStr">
        <is>
          <t>Persoalan #1: Gunakan rumus EOMONTH dari tanggal awal di C20 dengan penambahan 3 periode!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46091</v>
      </c>
      <c r="E21" s="26" t="n"/>
      <c r="F21" s="27">
        <f>IF(ISBLANK(E21), "⏳ Ketik rumus di sel kuning E21", IF(E21=G21, "✅ BENAR! LUAR BIASA!", "❌ Belum Tepat, Cek Kunci"))</f>
        <v/>
      </c>
      <c r="G21" s="28">
        <f>EOMONTH(C20, 3)</f>
        <v/>
      </c>
      <c r="H21" s="29" t="inlineStr">
        <is>
          <t>Ketik: =EOMONTH(C20, 3)</t>
        </is>
      </c>
    </row>
    <row r="22">
      <c r="B22" s="18" t="inlineStr">
        <is>
          <t>Cabang Surabaya</t>
        </is>
      </c>
      <c r="C22" s="30" t="n">
        <v>46162</v>
      </c>
    </row>
    <row r="23">
      <c r="B23" s="18" t="inlineStr">
        <is>
          <t>Cabang Medan</t>
        </is>
      </c>
      <c r="C23" s="30" t="n">
        <v>46208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Kontrak Proyek</t>
        </is>
      </c>
      <c r="C27" s="12" t="inlineStr">
        <is>
          <t>Tanggal Mulai</t>
        </is>
      </c>
      <c r="E27" s="25" t="inlineStr">
        <is>
          <t>Persoalan #2: Gunakan rumus EOMONTH dari tanggal awal di C28 dengan penambahan 4 periode!</t>
        </is>
      </c>
    </row>
    <row r="28">
      <c r="B28" s="18" t="inlineStr">
        <is>
          <t>Budi Santoso</t>
        </is>
      </c>
      <c r="C28" s="30" t="n">
        <v>46037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46091</v>
      </c>
      <c r="E29" s="26" t="n"/>
      <c r="F29" s="27">
        <f>IF(ISBLANK(E29), "⏳ Ketik rumus di sel kuning E29", IF(E29=G29, "✅ BENAR! LUAR BIASA!", "❌ Belum Tepat, Cek Kunci"))</f>
        <v/>
      </c>
      <c r="G29" s="28">
        <f>EOMONTH(C28, 4)</f>
        <v/>
      </c>
      <c r="H29" s="29" t="inlineStr">
        <is>
          <t>Ketik: =EOMONTH(C28, 4)</t>
        </is>
      </c>
    </row>
    <row r="30">
      <c r="B30" s="18" t="inlineStr">
        <is>
          <t>Andi Pratama</t>
        </is>
      </c>
      <c r="C30" s="30" t="n">
        <v>46162</v>
      </c>
    </row>
    <row r="31">
      <c r="B31" s="18" t="inlineStr">
        <is>
          <t>Rina Wijaya</t>
        </is>
      </c>
      <c r="C31" s="30" t="n">
        <v>46208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Kontrak Proyek</t>
        </is>
      </c>
      <c r="C35" s="12" t="inlineStr">
        <is>
          <t>Tanggal Mulai</t>
        </is>
      </c>
      <c r="E35" s="25" t="inlineStr">
        <is>
          <t>Persoalan #3: Gunakan rumus EOMONTH dari tanggal awal di C36 dengan penambahan 5 periode!</t>
        </is>
      </c>
    </row>
    <row r="36">
      <c r="B36" s="18" t="inlineStr">
        <is>
          <t>Gudang Blok A</t>
        </is>
      </c>
      <c r="C36" s="30" t="n">
        <v>46037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46091</v>
      </c>
      <c r="E37" s="26" t="n"/>
      <c r="F37" s="27">
        <f>IF(ISBLANK(E37), "⏳ Ketik rumus di sel kuning E37", IF(E37=G37, "✅ BENAR! LUAR BIASA!", "❌ Belum Tepat, Cek Kunci"))</f>
        <v/>
      </c>
      <c r="G37" s="28">
        <f>EOMONTH(C36, 5)</f>
        <v/>
      </c>
      <c r="H37" s="29" t="inlineStr">
        <is>
          <t>Ketik: =EOMONTH(C36, 5)</t>
        </is>
      </c>
    </row>
    <row r="38">
      <c r="B38" s="18" t="inlineStr">
        <is>
          <t>Gudang Blok C</t>
        </is>
      </c>
      <c r="C38" s="30" t="n">
        <v>46162</v>
      </c>
    </row>
    <row r="39">
      <c r="B39" s="18" t="inlineStr">
        <is>
          <t>Gudang Blok D</t>
        </is>
      </c>
      <c r="C39" s="30" t="n">
        <v>46208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Kontrak Proyek</t>
        </is>
      </c>
      <c r="C43" s="12" t="inlineStr">
        <is>
          <t>Tanggal Mulai</t>
        </is>
      </c>
      <c r="E43" s="25" t="inlineStr">
        <is>
          <t>Persoalan #4: Gunakan rumus EOMONTH dari tanggal awal di C44 dengan penambahan 6 periode!</t>
        </is>
      </c>
    </row>
    <row r="44">
      <c r="B44" s="18" t="inlineStr">
        <is>
          <t>Toko Elektronik</t>
        </is>
      </c>
      <c r="C44" s="30" t="n">
        <v>46037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46091</v>
      </c>
      <c r="E45" s="26" t="n"/>
      <c r="F45" s="27">
        <f>IF(ISBLANK(E45), "⏳ Ketik rumus di sel kuning E45", IF(E45=G45, "✅ BENAR! LUAR BIASA!", "❌ Belum Tepat, Cek Kunci"))</f>
        <v/>
      </c>
      <c r="G45" s="28">
        <f>EOMONTH(C44, 6)</f>
        <v/>
      </c>
      <c r="H45" s="29" t="inlineStr">
        <is>
          <t>Ketik: =EOMONTH(C44, 6)</t>
        </is>
      </c>
    </row>
    <row r="46">
      <c r="B46" s="18" t="inlineStr">
        <is>
          <t>Toko Aksesoris</t>
        </is>
      </c>
      <c r="C46" s="30" t="n">
        <v>46162</v>
      </c>
    </row>
    <row r="47">
      <c r="B47" s="18" t="inlineStr">
        <is>
          <t>Toko Servis</t>
        </is>
      </c>
      <c r="C47" s="30" t="n">
        <v>46208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Kontrak Proyek</t>
        </is>
      </c>
      <c r="C51" s="12" t="inlineStr">
        <is>
          <t>Tanggal Mulai</t>
        </is>
      </c>
      <c r="E51" s="25" t="inlineStr">
        <is>
          <t>Persoalan #5: Gunakan rumus EOMONTH dari tanggal awal di C52 dengan penambahan 7 periode!</t>
        </is>
      </c>
    </row>
    <row r="52">
      <c r="B52" s="18" t="inlineStr">
        <is>
          <t>Kelas 10 IPA</t>
        </is>
      </c>
      <c r="C52" s="30" t="n">
        <v>46037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46091</v>
      </c>
      <c r="E53" s="26" t="n"/>
      <c r="F53" s="27">
        <f>IF(ISBLANK(E53), "⏳ Ketik rumus di sel kuning E53", IF(E53=G53, "✅ BENAR! LUAR BIASA!", "❌ Belum Tepat, Cek Kunci"))</f>
        <v/>
      </c>
      <c r="G53" s="28">
        <f>EOMONTH(C52, 7)</f>
        <v/>
      </c>
      <c r="H53" s="29" t="inlineStr">
        <is>
          <t>Ketik: =EOMONTH(C52, 7)</t>
        </is>
      </c>
    </row>
    <row r="54">
      <c r="B54" s="18" t="inlineStr">
        <is>
          <t>Kelas 12 IPA</t>
        </is>
      </c>
      <c r="C54" s="30" t="n">
        <v>46162</v>
      </c>
    </row>
    <row r="55">
      <c r="B55" s="18" t="inlineStr">
        <is>
          <t>Kelas Unggulan</t>
        </is>
      </c>
      <c r="C55" s="30" t="n">
        <v>46208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#039 — RUMUS EXCEL: NETWORKDAYS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(NETWORKDAYS)</t>
        </is>
      </c>
    </row>
    <row r="5" ht="21" customHeight="1">
      <c r="B5" s="12" t="inlineStr">
        <is>
          <t>Nama Rumus Excel</t>
        </is>
      </c>
      <c r="C5" s="13">
        <f>NETWORKDAYS(...)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NETWORKDAYS(tgl_awal, tgl_akhir)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jumlah HARI KERJA EFEKTIF (otomatis memotong hari Sabtu dan Minggu!). Sangat krusial untuk absensi &amp; gaji.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NETWORKDAYS)</t>
        </is>
      </c>
    </row>
    <row r="10">
      <c r="B10" s="16" t="inlineStr">
        <is>
          <t>Tanggal Awal (B)</t>
        </is>
      </c>
      <c r="C10" s="16" t="inlineStr">
        <is>
          <t>Tanggal Akhir (C)</t>
        </is>
      </c>
      <c r="E10" s="17" t="inlineStr">
        <is>
          <t>💡 CONTOH RUMUS YANG SUDAH TERPASANG AKTIF:</t>
        </is>
      </c>
    </row>
    <row r="11">
      <c r="B11" s="30" t="n">
        <v>46032</v>
      </c>
      <c r="C11" s="30" t="n">
        <v>46078</v>
      </c>
      <c r="E11" s="19" t="inlineStr">
        <is>
          <t>Kasus Contoh:</t>
        </is>
      </c>
      <c r="F11" s="20" t="inlineStr">
        <is>
          <t>Hitung jumlah hari kerja efektif dari Tanggal Awal B11 sampai C11 memakai NETWORKDAYS!</t>
        </is>
      </c>
    </row>
    <row r="12">
      <c r="B12" s="30" t="n">
        <v>46054</v>
      </c>
      <c r="C12" s="30" t="n">
        <v>46096</v>
      </c>
      <c r="E12" s="19" t="inlineStr">
        <is>
          <t>Rumus yang Diketik:</t>
        </is>
      </c>
      <c r="F12" s="21" t="inlineStr">
        <is>
          <t>'=NETWORKDAYS(B11, C11)</t>
        </is>
      </c>
    </row>
    <row r="13">
      <c r="B13" s="30" t="n">
        <v>46113</v>
      </c>
      <c r="C13" s="30" t="n">
        <v>46162</v>
      </c>
      <c r="E13" s="19" t="inlineStr">
        <is>
          <t>Hasil Otomatis Excel:</t>
        </is>
      </c>
      <c r="F13" s="22">
        <f>NETWORKDAYS(B11, C11)</f>
        <v/>
      </c>
    </row>
    <row r="14">
      <c r="B14" s="30" t="n">
        <v>46174</v>
      </c>
      <c r="C14" s="30" t="n">
        <v>46244</v>
      </c>
    </row>
    <row r="16" ht="26" customHeight="1">
      <c r="B16" s="23" t="inlineStr">
        <is>
          <t>3️⃣ 5 PERSOALAN DUNIA NYATA (KETIK RUMUS NETWORKDAYS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Tanggal Awal (B)</t>
        </is>
      </c>
      <c r="C19" s="12" t="inlineStr">
        <is>
          <t>Tanggal Akhir (C)</t>
        </is>
      </c>
      <c r="E19" s="25" t="inlineStr">
        <is>
          <t>Persoalan #1: Hitung jumlah hari kerja efektif dari Tanggal Awal B20 sampai C20 memakai NETWORKDAYS!</t>
        </is>
      </c>
    </row>
    <row r="20">
      <c r="B20" s="30" t="n">
        <v>46032</v>
      </c>
      <c r="C20" s="30" t="n">
        <v>46078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30" t="n">
        <v>46054</v>
      </c>
      <c r="C21" s="30" t="n">
        <v>46096</v>
      </c>
      <c r="E21" s="26" t="n"/>
      <c r="F21" s="27">
        <f>IF(ISBLANK(E21), "⏳ Ketik rumus di sel kuning E21", IF(E21=G21, "✅ BENAR! LUAR BIASA!", "❌ Belum Tepat, Cek Kunci"))</f>
        <v/>
      </c>
      <c r="G21" s="28">
        <f>NETWORKDAYS(B20, C20)</f>
        <v/>
      </c>
      <c r="H21" s="29" t="inlineStr">
        <is>
          <t>Ketik: =NETWORKDAYS(B20, C20)</t>
        </is>
      </c>
    </row>
    <row r="22">
      <c r="B22" s="30" t="n">
        <v>46113</v>
      </c>
      <c r="C22" s="30" t="n">
        <v>46162</v>
      </c>
    </row>
    <row r="23">
      <c r="B23" s="30" t="n">
        <v>46174</v>
      </c>
      <c r="C23" s="30" t="n">
        <v>46244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Tanggal Awal (B)</t>
        </is>
      </c>
      <c r="C27" s="12" t="inlineStr">
        <is>
          <t>Tanggal Akhir (C)</t>
        </is>
      </c>
      <c r="E27" s="25" t="inlineStr">
        <is>
          <t>Persoalan #2: Hitung jumlah hari kerja efektif dari Tanggal Awal B28 sampai C28 memakai NETWORKDAYS!</t>
        </is>
      </c>
    </row>
    <row r="28">
      <c r="B28" s="30" t="n">
        <v>46032</v>
      </c>
      <c r="C28" s="30" t="n">
        <v>46106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30" t="n">
        <v>46054</v>
      </c>
      <c r="C29" s="30" t="n">
        <v>46096</v>
      </c>
      <c r="E29" s="26" t="n"/>
      <c r="F29" s="27">
        <f>IF(ISBLANK(E29), "⏳ Ketik rumus di sel kuning E29", IF(E29=G29, "✅ BENAR! LUAR BIASA!", "❌ Belum Tepat, Cek Kunci"))</f>
        <v/>
      </c>
      <c r="G29" s="28">
        <f>NETWORKDAYS(B28, C28)</f>
        <v/>
      </c>
      <c r="H29" s="29" t="inlineStr">
        <is>
          <t>Ketik: =NETWORKDAYS(B28, C28)</t>
        </is>
      </c>
    </row>
    <row r="30">
      <c r="B30" s="30" t="n">
        <v>46113</v>
      </c>
      <c r="C30" s="30" t="n">
        <v>46162</v>
      </c>
    </row>
    <row r="31">
      <c r="B31" s="30" t="n">
        <v>46174</v>
      </c>
      <c r="C31" s="30" t="n">
        <v>46244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Tanggal Awal (B)</t>
        </is>
      </c>
      <c r="C35" s="12" t="inlineStr">
        <is>
          <t>Tanggal Akhir (C)</t>
        </is>
      </c>
      <c r="E35" s="25" t="inlineStr">
        <is>
          <t>Persoalan #3: Hitung jumlah hari kerja efektif dari Tanggal Awal B36 sampai C36 memakai NETWORKDAYS!</t>
        </is>
      </c>
    </row>
    <row r="36">
      <c r="B36" s="30" t="n">
        <v>46032</v>
      </c>
      <c r="C36" s="30" t="n">
        <v>46137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30" t="n">
        <v>46054</v>
      </c>
      <c r="C37" s="30" t="n">
        <v>46096</v>
      </c>
      <c r="E37" s="26" t="n"/>
      <c r="F37" s="27">
        <f>IF(ISBLANK(E37), "⏳ Ketik rumus di sel kuning E37", IF(E37=G37, "✅ BENAR! LUAR BIASA!", "❌ Belum Tepat, Cek Kunci"))</f>
        <v/>
      </c>
      <c r="G37" s="28">
        <f>NETWORKDAYS(B36, C36)</f>
        <v/>
      </c>
      <c r="H37" s="29" t="inlineStr">
        <is>
          <t>Ketik: =NETWORKDAYS(B36, C36)</t>
        </is>
      </c>
    </row>
    <row r="38">
      <c r="B38" s="30" t="n">
        <v>46113</v>
      </c>
      <c r="C38" s="30" t="n">
        <v>46162</v>
      </c>
    </row>
    <row r="39">
      <c r="B39" s="30" t="n">
        <v>46174</v>
      </c>
      <c r="C39" s="30" t="n">
        <v>46244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Tanggal Awal (B)</t>
        </is>
      </c>
      <c r="C43" s="12" t="inlineStr">
        <is>
          <t>Tanggal Akhir (C)</t>
        </is>
      </c>
      <c r="E43" s="25" t="inlineStr">
        <is>
          <t>Persoalan #4: Hitung jumlah hari kerja efektif dari Tanggal Awal B44 sampai C44 memakai NETWORKDAYS!</t>
        </is>
      </c>
    </row>
    <row r="44">
      <c r="B44" s="30" t="n">
        <v>46032</v>
      </c>
      <c r="C44" s="30" t="n">
        <v>46167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30" t="n">
        <v>46054</v>
      </c>
      <c r="C45" s="30" t="n">
        <v>46096</v>
      </c>
      <c r="E45" s="26" t="n"/>
      <c r="F45" s="27">
        <f>IF(ISBLANK(E45), "⏳ Ketik rumus di sel kuning E45", IF(E45=G45, "✅ BENAR! LUAR BIASA!", "❌ Belum Tepat, Cek Kunci"))</f>
        <v/>
      </c>
      <c r="G45" s="28">
        <f>NETWORKDAYS(B44, C44)</f>
        <v/>
      </c>
      <c r="H45" s="29" t="inlineStr">
        <is>
          <t>Ketik: =NETWORKDAYS(B44, C44)</t>
        </is>
      </c>
    </row>
    <row r="46">
      <c r="B46" s="30" t="n">
        <v>46113</v>
      </c>
      <c r="C46" s="30" t="n">
        <v>46162</v>
      </c>
    </row>
    <row r="47">
      <c r="B47" s="30" t="n">
        <v>46174</v>
      </c>
      <c r="C47" s="30" t="n">
        <v>46244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Tanggal Awal (B)</t>
        </is>
      </c>
      <c r="C51" s="12" t="inlineStr">
        <is>
          <t>Tanggal Akhir (C)</t>
        </is>
      </c>
      <c r="E51" s="25" t="inlineStr">
        <is>
          <t>Persoalan #5: Hitung jumlah hari kerja efektif dari Tanggal Awal B52 sampai C52 memakai NETWORKDAYS!</t>
        </is>
      </c>
    </row>
    <row r="52">
      <c r="B52" s="30" t="n">
        <v>46032</v>
      </c>
      <c r="C52" s="30" t="n">
        <v>46198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30" t="n">
        <v>46054</v>
      </c>
      <c r="C53" s="30" t="n">
        <v>46096</v>
      </c>
      <c r="E53" s="26" t="n"/>
      <c r="F53" s="27">
        <f>IF(ISBLANK(E53), "⏳ Ketik rumus di sel kuning E53", IF(E53=G53, "✅ BENAR! LUAR BIASA!", "❌ Belum Tepat, Cek Kunci"))</f>
        <v/>
      </c>
      <c r="G53" s="28">
        <f>NETWORKDAYS(B52, C52)</f>
        <v/>
      </c>
      <c r="H53" s="29" t="inlineStr">
        <is>
          <t>Ketik: =NETWORKDAYS(B52, C52)</t>
        </is>
      </c>
    </row>
    <row r="54">
      <c r="B54" s="30" t="n">
        <v>46113</v>
      </c>
      <c r="C54" s="30" t="n">
        <v>46162</v>
      </c>
    </row>
    <row r="55">
      <c r="B55" s="30" t="n">
        <v>46174</v>
      </c>
      <c r="C55" s="30" t="n">
        <v>46244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#040 — RUMUS EXCEL: WORKDAY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(WORKDAY)</t>
        </is>
      </c>
    </row>
    <row r="5" ht="21" customHeight="1">
      <c r="B5" s="12" t="inlineStr">
        <is>
          <t>Nama Rumus Excel</t>
        </is>
      </c>
      <c r="C5" s="13">
        <f>WORKDAY(...)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WORKDAY(tgl_awal, jumlah_hari_kerja)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Menentukan tanggal selesai proyek jika dikerjakan selama N hari kerja (otomatis melompati Sabtu-Minggu).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WORKDAY)</t>
        </is>
      </c>
    </row>
    <row r="10">
      <c r="B10" s="16" t="inlineStr">
        <is>
          <t>Kontrak Proyek</t>
        </is>
      </c>
      <c r="C10" s="16" t="inlineStr">
        <is>
          <t>Tanggal Mulai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Gunakan rumus WORKDAY dari tanggal awal di C11 dengan penambahan 3 periode!</t>
        </is>
      </c>
    </row>
    <row r="12">
      <c r="B12" s="18" t="inlineStr">
        <is>
          <t>Cabang Bandung</t>
        </is>
      </c>
      <c r="C12" s="30" t="n">
        <v>46091</v>
      </c>
      <c r="E12" s="19" t="inlineStr">
        <is>
          <t>Rumus yang Diketik:</t>
        </is>
      </c>
      <c r="F12" s="21" t="inlineStr">
        <is>
          <t>'=WORKDAY(C11, 3)</t>
        </is>
      </c>
    </row>
    <row r="13">
      <c r="B13" s="18" t="inlineStr">
        <is>
          <t>Cabang Surabaya</t>
        </is>
      </c>
      <c r="C13" s="30" t="n">
        <v>46162</v>
      </c>
      <c r="E13" s="19" t="inlineStr">
        <is>
          <t>Hasil Otomatis Excel:</t>
        </is>
      </c>
      <c r="F13" s="22">
        <f>WORKDAY(C11, 3)</f>
        <v/>
      </c>
    </row>
    <row r="14">
      <c r="B14" s="18" t="inlineStr">
        <is>
          <t>Cabang Medan</t>
        </is>
      </c>
      <c r="C14" s="30" t="n">
        <v>46208</v>
      </c>
    </row>
    <row r="16" ht="26" customHeight="1">
      <c r="B16" s="23" t="inlineStr">
        <is>
          <t>3️⃣ 5 PERSOALAN DUNIA NYATA (KETIK RUMUS WORKDAY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Kontrak Proyek</t>
        </is>
      </c>
      <c r="C19" s="12" t="inlineStr">
        <is>
          <t>Tanggal Mulai</t>
        </is>
      </c>
      <c r="E19" s="25" t="inlineStr">
        <is>
          <t>Persoalan #1: Gunakan rumus WORKDAY dari tanggal awal di C20 dengan penambahan 3 periode!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46091</v>
      </c>
      <c r="E21" s="26" t="n"/>
      <c r="F21" s="27">
        <f>IF(ISBLANK(E21), "⏳ Ketik rumus di sel kuning E21", IF(E21=G21, "✅ BENAR! LUAR BIASA!", "❌ Belum Tepat, Cek Kunci"))</f>
        <v/>
      </c>
      <c r="G21" s="28">
        <f>WORKDAY(C20, 3)</f>
        <v/>
      </c>
      <c r="H21" s="29" t="inlineStr">
        <is>
          <t>Ketik: =WORKDAY(C20, 3)</t>
        </is>
      </c>
    </row>
    <row r="22">
      <c r="B22" s="18" t="inlineStr">
        <is>
          <t>Cabang Surabaya</t>
        </is>
      </c>
      <c r="C22" s="30" t="n">
        <v>46162</v>
      </c>
    </row>
    <row r="23">
      <c r="B23" s="18" t="inlineStr">
        <is>
          <t>Cabang Medan</t>
        </is>
      </c>
      <c r="C23" s="30" t="n">
        <v>46208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Kontrak Proyek</t>
        </is>
      </c>
      <c r="C27" s="12" t="inlineStr">
        <is>
          <t>Tanggal Mulai</t>
        </is>
      </c>
      <c r="E27" s="25" t="inlineStr">
        <is>
          <t>Persoalan #2: Gunakan rumus WORKDAY dari tanggal awal di C28 dengan penambahan 4 periode!</t>
        </is>
      </c>
    </row>
    <row r="28">
      <c r="B28" s="18" t="inlineStr">
        <is>
          <t>Budi Santoso</t>
        </is>
      </c>
      <c r="C28" s="30" t="n">
        <v>46037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46091</v>
      </c>
      <c r="E29" s="26" t="n"/>
      <c r="F29" s="27">
        <f>IF(ISBLANK(E29), "⏳ Ketik rumus di sel kuning E29", IF(E29=G29, "✅ BENAR! LUAR BIASA!", "❌ Belum Tepat, Cek Kunci"))</f>
        <v/>
      </c>
      <c r="G29" s="28">
        <f>WORKDAY(C28, 4)</f>
        <v/>
      </c>
      <c r="H29" s="29" t="inlineStr">
        <is>
          <t>Ketik: =WORKDAY(C28, 4)</t>
        </is>
      </c>
    </row>
    <row r="30">
      <c r="B30" s="18" t="inlineStr">
        <is>
          <t>Andi Pratama</t>
        </is>
      </c>
      <c r="C30" s="30" t="n">
        <v>46162</v>
      </c>
    </row>
    <row r="31">
      <c r="B31" s="18" t="inlineStr">
        <is>
          <t>Rina Wijaya</t>
        </is>
      </c>
      <c r="C31" s="30" t="n">
        <v>46208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Kontrak Proyek</t>
        </is>
      </c>
      <c r="C35" s="12" t="inlineStr">
        <is>
          <t>Tanggal Mulai</t>
        </is>
      </c>
      <c r="E35" s="25" t="inlineStr">
        <is>
          <t>Persoalan #3: Gunakan rumus WORKDAY dari tanggal awal di C36 dengan penambahan 5 periode!</t>
        </is>
      </c>
    </row>
    <row r="36">
      <c r="B36" s="18" t="inlineStr">
        <is>
          <t>Gudang Blok A</t>
        </is>
      </c>
      <c r="C36" s="30" t="n">
        <v>46037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46091</v>
      </c>
      <c r="E37" s="26" t="n"/>
      <c r="F37" s="27">
        <f>IF(ISBLANK(E37), "⏳ Ketik rumus di sel kuning E37", IF(E37=G37, "✅ BENAR! LUAR BIASA!", "❌ Belum Tepat, Cek Kunci"))</f>
        <v/>
      </c>
      <c r="G37" s="28">
        <f>WORKDAY(C36, 5)</f>
        <v/>
      </c>
      <c r="H37" s="29" t="inlineStr">
        <is>
          <t>Ketik: =WORKDAY(C36, 5)</t>
        </is>
      </c>
    </row>
    <row r="38">
      <c r="B38" s="18" t="inlineStr">
        <is>
          <t>Gudang Blok C</t>
        </is>
      </c>
      <c r="C38" s="30" t="n">
        <v>46162</v>
      </c>
    </row>
    <row r="39">
      <c r="B39" s="18" t="inlineStr">
        <is>
          <t>Gudang Blok D</t>
        </is>
      </c>
      <c r="C39" s="30" t="n">
        <v>46208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Kontrak Proyek</t>
        </is>
      </c>
      <c r="C43" s="12" t="inlineStr">
        <is>
          <t>Tanggal Mulai</t>
        </is>
      </c>
      <c r="E43" s="25" t="inlineStr">
        <is>
          <t>Persoalan #4: Gunakan rumus WORKDAY dari tanggal awal di C44 dengan penambahan 6 periode!</t>
        </is>
      </c>
    </row>
    <row r="44">
      <c r="B44" s="18" t="inlineStr">
        <is>
          <t>Toko Elektronik</t>
        </is>
      </c>
      <c r="C44" s="30" t="n">
        <v>46037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46091</v>
      </c>
      <c r="E45" s="26" t="n"/>
      <c r="F45" s="27">
        <f>IF(ISBLANK(E45), "⏳ Ketik rumus di sel kuning E45", IF(E45=G45, "✅ BENAR! LUAR BIASA!", "❌ Belum Tepat, Cek Kunci"))</f>
        <v/>
      </c>
      <c r="G45" s="28">
        <f>WORKDAY(C44, 6)</f>
        <v/>
      </c>
      <c r="H45" s="29" t="inlineStr">
        <is>
          <t>Ketik: =WORKDAY(C44, 6)</t>
        </is>
      </c>
    </row>
    <row r="46">
      <c r="B46" s="18" t="inlineStr">
        <is>
          <t>Toko Aksesoris</t>
        </is>
      </c>
      <c r="C46" s="30" t="n">
        <v>46162</v>
      </c>
    </row>
    <row r="47">
      <c r="B47" s="18" t="inlineStr">
        <is>
          <t>Toko Servis</t>
        </is>
      </c>
      <c r="C47" s="30" t="n">
        <v>46208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Kontrak Proyek</t>
        </is>
      </c>
      <c r="C51" s="12" t="inlineStr">
        <is>
          <t>Tanggal Mulai</t>
        </is>
      </c>
      <c r="E51" s="25" t="inlineStr">
        <is>
          <t>Persoalan #5: Gunakan rumus WORKDAY dari tanggal awal di C52 dengan penambahan 7 periode!</t>
        </is>
      </c>
    </row>
    <row r="52">
      <c r="B52" s="18" t="inlineStr">
        <is>
          <t>Kelas 10 IPA</t>
        </is>
      </c>
      <c r="C52" s="30" t="n">
        <v>46037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46091</v>
      </c>
      <c r="E53" s="26" t="n"/>
      <c r="F53" s="27">
        <f>IF(ISBLANK(E53), "⏳ Ketik rumus di sel kuning E53", IF(E53=G53, "✅ BENAR! LUAR BIASA!", "❌ Belum Tepat, Cek Kunci"))</f>
        <v/>
      </c>
      <c r="G53" s="28">
        <f>WORKDAY(C52, 7)</f>
        <v/>
      </c>
      <c r="H53" s="29" t="inlineStr">
        <is>
          <t>Ketik: =WORKDAY(C52, 7)</t>
        </is>
      </c>
    </row>
    <row r="54">
      <c r="B54" s="18" t="inlineStr">
        <is>
          <t>Kelas 12 IPA</t>
        </is>
      </c>
      <c r="C54" s="30" t="n">
        <v>46162</v>
      </c>
    </row>
    <row r="55">
      <c r="B55" s="18" t="inlineStr">
        <is>
          <t>Kelas Unggulan</t>
        </is>
      </c>
      <c r="C55" s="30" t="n">
        <v>46208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#041 — RUMUS EXCEL: WEEKDAY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(WEEKDAY)</t>
        </is>
      </c>
    </row>
    <row r="5" ht="21" customHeight="1">
      <c r="B5" s="12" t="inlineStr">
        <is>
          <t>Nama Rumus Excel</t>
        </is>
      </c>
      <c r="C5" s="13">
        <f>WEEKDAY(...)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WEEKDAY(tanggal)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hari ke berapa dalam seminggu (1=Minggu s/d 7=Sabtu) untuk menentukan tarif lembur akhir pekan.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WEEKDAY)</t>
        </is>
      </c>
    </row>
    <row r="10">
      <c r="B10" s="16" t="inlineStr">
        <is>
          <t>Agenda Kantor</t>
        </is>
      </c>
      <c r="C10" s="16" t="inlineStr">
        <is>
          <t>Tanggal Kegiatan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Ekstrak komponen WEEKDAY dari tanggal di sel C11 menggunakan rumus WEEKDAY!</t>
        </is>
      </c>
    </row>
    <row r="12">
      <c r="B12" s="18" t="inlineStr">
        <is>
          <t>Cabang Bandung</t>
        </is>
      </c>
      <c r="C12" s="30" t="n">
        <v>46193</v>
      </c>
      <c r="E12" s="19" t="inlineStr">
        <is>
          <t>Rumus yang Diketik:</t>
        </is>
      </c>
      <c r="F12" s="21" t="inlineStr">
        <is>
          <t>'=WEEKDAY(C11)</t>
        </is>
      </c>
    </row>
    <row r="13">
      <c r="B13" s="18" t="inlineStr">
        <is>
          <t>Cabang Surabaya</t>
        </is>
      </c>
      <c r="C13" s="30" t="n">
        <v>46251</v>
      </c>
      <c r="E13" s="19" t="inlineStr">
        <is>
          <t>Hasil Otomatis Excel:</t>
        </is>
      </c>
      <c r="F13" s="22">
        <f>WEEKDAY(C11)</f>
        <v/>
      </c>
    </row>
    <row r="14">
      <c r="B14" s="18" t="inlineStr">
        <is>
          <t>Cabang Medan</t>
        </is>
      </c>
      <c r="C14" s="30" t="n">
        <v>46381</v>
      </c>
    </row>
    <row r="16" ht="26" customHeight="1">
      <c r="B16" s="23" t="inlineStr">
        <is>
          <t>3️⃣ 5 PERSOALAN DUNIA NYATA (KETIK RUMUS WEEKDAY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Agenda Kantor</t>
        </is>
      </c>
      <c r="C19" s="12" t="inlineStr">
        <is>
          <t>Tanggal Kegiatan</t>
        </is>
      </c>
      <c r="E19" s="25" t="inlineStr">
        <is>
          <t>Persoalan #1: Ekstrak komponen WEEKDAY dari tanggal di sel C20 menggunakan rumus WEEKDAY!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46193</v>
      </c>
      <c r="E21" s="26" t="n"/>
      <c r="F21" s="27">
        <f>IF(ISBLANK(E21), "⏳ Ketik rumus di sel kuning E21", IF(E21=G21, "✅ BENAR! LUAR BIASA!", "❌ Belum Tepat, Cek Kunci"))</f>
        <v/>
      </c>
      <c r="G21" s="28">
        <f>WEEKDAY(C20)</f>
        <v/>
      </c>
      <c r="H21" s="29" t="inlineStr">
        <is>
          <t>Ketik: =WEEKDAY(C20)</t>
        </is>
      </c>
    </row>
    <row r="22">
      <c r="B22" s="18" t="inlineStr">
        <is>
          <t>Cabang Surabaya</t>
        </is>
      </c>
      <c r="C22" s="30" t="n">
        <v>46251</v>
      </c>
    </row>
    <row r="23">
      <c r="B23" s="18" t="inlineStr">
        <is>
          <t>Cabang Medan</t>
        </is>
      </c>
      <c r="C23" s="30" t="n">
        <v>46381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Agenda Kantor</t>
        </is>
      </c>
      <c r="C27" s="12" t="inlineStr">
        <is>
          <t>Tanggal Kegiatan</t>
        </is>
      </c>
      <c r="E27" s="25" t="inlineStr">
        <is>
          <t>Persoalan #2: Ekstrak komponen WEEKDAY dari tanggal di sel C28 menggunakan rumus WEEKDAY!</t>
        </is>
      </c>
    </row>
    <row r="28">
      <c r="B28" s="18" t="inlineStr">
        <is>
          <t>Budi Santoso</t>
        </is>
      </c>
      <c r="C28" s="30" t="n">
        <v>46068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46193</v>
      </c>
      <c r="E29" s="26" t="n"/>
      <c r="F29" s="27">
        <f>IF(ISBLANK(E29), "⏳ Ketik rumus di sel kuning E29", IF(E29=G29, "✅ BENAR! LUAR BIASA!", "❌ Belum Tepat, Cek Kunci"))</f>
        <v/>
      </c>
      <c r="G29" s="28">
        <f>WEEKDAY(C28)</f>
        <v/>
      </c>
      <c r="H29" s="29" t="inlineStr">
        <is>
          <t>Ketik: =WEEKDAY(C28)</t>
        </is>
      </c>
    </row>
    <row r="30">
      <c r="B30" s="18" t="inlineStr">
        <is>
          <t>Andi Pratama</t>
        </is>
      </c>
      <c r="C30" s="30" t="n">
        <v>46251</v>
      </c>
    </row>
    <row r="31">
      <c r="B31" s="18" t="inlineStr">
        <is>
          <t>Rina Wijaya</t>
        </is>
      </c>
      <c r="C31" s="30" t="n">
        <v>46381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Agenda Kantor</t>
        </is>
      </c>
      <c r="C35" s="12" t="inlineStr">
        <is>
          <t>Tanggal Kegiatan</t>
        </is>
      </c>
      <c r="E35" s="25" t="inlineStr">
        <is>
          <t>Persoalan #3: Ekstrak komponen WEEKDAY dari tanggal di sel C36 menggunakan rumus WEEKDAY!</t>
        </is>
      </c>
    </row>
    <row r="36">
      <c r="B36" s="18" t="inlineStr">
        <is>
          <t>Gudang Blok A</t>
        </is>
      </c>
      <c r="C36" s="30" t="n">
        <v>46096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46193</v>
      </c>
      <c r="E37" s="26" t="n"/>
      <c r="F37" s="27">
        <f>IF(ISBLANK(E37), "⏳ Ketik rumus di sel kuning E37", IF(E37=G37, "✅ BENAR! LUAR BIASA!", "❌ Belum Tepat, Cek Kunci"))</f>
        <v/>
      </c>
      <c r="G37" s="28">
        <f>WEEKDAY(C36)</f>
        <v/>
      </c>
      <c r="H37" s="29" t="inlineStr">
        <is>
          <t>Ketik: =WEEKDAY(C36)</t>
        </is>
      </c>
    </row>
    <row r="38">
      <c r="B38" s="18" t="inlineStr">
        <is>
          <t>Gudang Blok C</t>
        </is>
      </c>
      <c r="C38" s="30" t="n">
        <v>46251</v>
      </c>
    </row>
    <row r="39">
      <c r="B39" s="18" t="inlineStr">
        <is>
          <t>Gudang Blok D</t>
        </is>
      </c>
      <c r="C39" s="30" t="n">
        <v>46381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Agenda Kantor</t>
        </is>
      </c>
      <c r="C43" s="12" t="inlineStr">
        <is>
          <t>Tanggal Kegiatan</t>
        </is>
      </c>
      <c r="E43" s="25" t="inlineStr">
        <is>
          <t>Persoalan #4: Ekstrak komponen WEEKDAY dari tanggal di sel C44 menggunakan rumus WEEKDAY!</t>
        </is>
      </c>
    </row>
    <row r="44">
      <c r="B44" s="18" t="inlineStr">
        <is>
          <t>Toko Elektronik</t>
        </is>
      </c>
      <c r="C44" s="30" t="n">
        <v>46127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46193</v>
      </c>
      <c r="E45" s="26" t="n"/>
      <c r="F45" s="27">
        <f>IF(ISBLANK(E45), "⏳ Ketik rumus di sel kuning E45", IF(E45=G45, "✅ BENAR! LUAR BIASA!", "❌ Belum Tepat, Cek Kunci"))</f>
        <v/>
      </c>
      <c r="G45" s="28">
        <f>WEEKDAY(C44)</f>
        <v/>
      </c>
      <c r="H45" s="29" t="inlineStr">
        <is>
          <t>Ketik: =WEEKDAY(C44)</t>
        </is>
      </c>
    </row>
    <row r="46">
      <c r="B46" s="18" t="inlineStr">
        <is>
          <t>Toko Aksesoris</t>
        </is>
      </c>
      <c r="C46" s="30" t="n">
        <v>46251</v>
      </c>
    </row>
    <row r="47">
      <c r="B47" s="18" t="inlineStr">
        <is>
          <t>Toko Servis</t>
        </is>
      </c>
      <c r="C47" s="30" t="n">
        <v>46381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Agenda Kantor</t>
        </is>
      </c>
      <c r="C51" s="12" t="inlineStr">
        <is>
          <t>Tanggal Kegiatan</t>
        </is>
      </c>
      <c r="E51" s="25" t="inlineStr">
        <is>
          <t>Persoalan #5: Ekstrak komponen WEEKDAY dari tanggal di sel C52 menggunakan rumus WEEKDAY!</t>
        </is>
      </c>
    </row>
    <row r="52">
      <c r="B52" s="18" t="inlineStr">
        <is>
          <t>Kelas 10 IPA</t>
        </is>
      </c>
      <c r="C52" s="30" t="n">
        <v>46157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46193</v>
      </c>
      <c r="E53" s="26" t="n"/>
      <c r="F53" s="27">
        <f>IF(ISBLANK(E53), "⏳ Ketik rumus di sel kuning E53", IF(E53=G53, "✅ BENAR! LUAR BIASA!", "❌ Belum Tepat, Cek Kunci"))</f>
        <v/>
      </c>
      <c r="G53" s="28">
        <f>WEEKDAY(C52)</f>
        <v/>
      </c>
      <c r="H53" s="29" t="inlineStr">
        <is>
          <t>Ketik: =WEEKDAY(C52)</t>
        </is>
      </c>
    </row>
    <row r="54">
      <c r="B54" s="18" t="inlineStr">
        <is>
          <t>Kelas 12 IPA</t>
        </is>
      </c>
      <c r="C54" s="30" t="n">
        <v>46251</v>
      </c>
    </row>
    <row r="55">
      <c r="B55" s="18" t="inlineStr">
        <is>
          <t>Kelas Unggulan</t>
        </is>
      </c>
      <c r="C55" s="30" t="n">
        <v>46381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#042 — RUMUS EXCEL: WEEKNUM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(WEEKNUM)</t>
        </is>
      </c>
    </row>
    <row r="5" ht="21" customHeight="1">
      <c r="B5" s="12" t="inlineStr">
        <is>
          <t>Nama Rumus Excel</t>
        </is>
      </c>
      <c r="C5" s="13">
        <f>WEEKNUM(...)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WEEKNUM(tanggal)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tanggal tersebut jatuh pada minggu ke berapa dalam 1 tahun (Minggu ke-1 s/d ke-52).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WEEKNUM)</t>
        </is>
      </c>
    </row>
    <row r="10">
      <c r="B10" s="16" t="inlineStr">
        <is>
          <t>Agenda Kantor</t>
        </is>
      </c>
      <c r="C10" s="16" t="inlineStr">
        <is>
          <t>Tanggal Kegiatan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0" t="n">
        <v>46037</v>
      </c>
      <c r="E11" s="19" t="inlineStr">
        <is>
          <t>Kasus Contoh:</t>
        </is>
      </c>
      <c r="F11" s="20" t="inlineStr">
        <is>
          <t>Ekstrak komponen WEEKNUM dari tanggal di sel C11 menggunakan rumus WEEKNUM!</t>
        </is>
      </c>
    </row>
    <row r="12">
      <c r="B12" s="18" t="inlineStr">
        <is>
          <t>Cabang Bandung</t>
        </is>
      </c>
      <c r="C12" s="30" t="n">
        <v>46193</v>
      </c>
      <c r="E12" s="19" t="inlineStr">
        <is>
          <t>Rumus yang Diketik:</t>
        </is>
      </c>
      <c r="F12" s="21" t="inlineStr">
        <is>
          <t>'=WEEKNUM(C11)</t>
        </is>
      </c>
    </row>
    <row r="13">
      <c r="B13" s="18" t="inlineStr">
        <is>
          <t>Cabang Surabaya</t>
        </is>
      </c>
      <c r="C13" s="30" t="n">
        <v>46251</v>
      </c>
      <c r="E13" s="19" t="inlineStr">
        <is>
          <t>Hasil Otomatis Excel:</t>
        </is>
      </c>
      <c r="F13" s="22">
        <f>WEEKNUM(C11)</f>
        <v/>
      </c>
    </row>
    <row r="14">
      <c r="B14" s="18" t="inlineStr">
        <is>
          <t>Cabang Medan</t>
        </is>
      </c>
      <c r="C14" s="30" t="n">
        <v>46381</v>
      </c>
    </row>
    <row r="16" ht="26" customHeight="1">
      <c r="B16" s="23" t="inlineStr">
        <is>
          <t>3️⃣ 5 PERSOALAN DUNIA NYATA (KETIK RUMUS WEEKNUM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Agenda Kantor</t>
        </is>
      </c>
      <c r="C19" s="12" t="inlineStr">
        <is>
          <t>Tanggal Kegiatan</t>
        </is>
      </c>
      <c r="E19" s="25" t="inlineStr">
        <is>
          <t>Persoalan #1: Ekstrak komponen WEEKNUM dari tanggal di sel C20 menggunakan rumus WEEKNUM!</t>
        </is>
      </c>
    </row>
    <row r="20">
      <c r="B20" s="18" t="inlineStr">
        <is>
          <t>Cabang Jakarta</t>
        </is>
      </c>
      <c r="C20" s="30" t="n">
        <v>46037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0" t="n">
        <v>46193</v>
      </c>
      <c r="E21" s="26" t="n"/>
      <c r="F21" s="27">
        <f>IF(ISBLANK(E21), "⏳ Ketik rumus di sel kuning E21", IF(E21=G21, "✅ BENAR! LUAR BIASA!", "❌ Belum Tepat, Cek Kunci"))</f>
        <v/>
      </c>
      <c r="G21" s="28">
        <f>WEEKNUM(C20)</f>
        <v/>
      </c>
      <c r="H21" s="29" t="inlineStr">
        <is>
          <t>Ketik: =WEEKNUM(C20)</t>
        </is>
      </c>
    </row>
    <row r="22">
      <c r="B22" s="18" t="inlineStr">
        <is>
          <t>Cabang Surabaya</t>
        </is>
      </c>
      <c r="C22" s="30" t="n">
        <v>46251</v>
      </c>
    </row>
    <row r="23">
      <c r="B23" s="18" t="inlineStr">
        <is>
          <t>Cabang Medan</t>
        </is>
      </c>
      <c r="C23" s="30" t="n">
        <v>46381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Agenda Kantor</t>
        </is>
      </c>
      <c r="C27" s="12" t="inlineStr">
        <is>
          <t>Tanggal Kegiatan</t>
        </is>
      </c>
      <c r="E27" s="25" t="inlineStr">
        <is>
          <t>Persoalan #2: Ekstrak komponen WEEKNUM dari tanggal di sel C28 menggunakan rumus WEEKNUM!</t>
        </is>
      </c>
    </row>
    <row r="28">
      <c r="B28" s="18" t="inlineStr">
        <is>
          <t>Budi Santoso</t>
        </is>
      </c>
      <c r="C28" s="30" t="n">
        <v>46068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0" t="n">
        <v>46193</v>
      </c>
      <c r="E29" s="26" t="n"/>
      <c r="F29" s="27">
        <f>IF(ISBLANK(E29), "⏳ Ketik rumus di sel kuning E29", IF(E29=G29, "✅ BENAR! LUAR BIASA!", "❌ Belum Tepat, Cek Kunci"))</f>
        <v/>
      </c>
      <c r="G29" s="28">
        <f>WEEKNUM(C28)</f>
        <v/>
      </c>
      <c r="H29" s="29" t="inlineStr">
        <is>
          <t>Ketik: =WEEKNUM(C28)</t>
        </is>
      </c>
    </row>
    <row r="30">
      <c r="B30" s="18" t="inlineStr">
        <is>
          <t>Andi Pratama</t>
        </is>
      </c>
      <c r="C30" s="30" t="n">
        <v>46251</v>
      </c>
    </row>
    <row r="31">
      <c r="B31" s="18" t="inlineStr">
        <is>
          <t>Rina Wijaya</t>
        </is>
      </c>
      <c r="C31" s="30" t="n">
        <v>46381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Agenda Kantor</t>
        </is>
      </c>
      <c r="C35" s="12" t="inlineStr">
        <is>
          <t>Tanggal Kegiatan</t>
        </is>
      </c>
      <c r="E35" s="25" t="inlineStr">
        <is>
          <t>Persoalan #3: Ekstrak komponen WEEKNUM dari tanggal di sel C36 menggunakan rumus WEEKNUM!</t>
        </is>
      </c>
    </row>
    <row r="36">
      <c r="B36" s="18" t="inlineStr">
        <is>
          <t>Gudang Blok A</t>
        </is>
      </c>
      <c r="C36" s="30" t="n">
        <v>46096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0" t="n">
        <v>46193</v>
      </c>
      <c r="E37" s="26" t="n"/>
      <c r="F37" s="27">
        <f>IF(ISBLANK(E37), "⏳ Ketik rumus di sel kuning E37", IF(E37=G37, "✅ BENAR! LUAR BIASA!", "❌ Belum Tepat, Cek Kunci"))</f>
        <v/>
      </c>
      <c r="G37" s="28">
        <f>WEEKNUM(C36)</f>
        <v/>
      </c>
      <c r="H37" s="29" t="inlineStr">
        <is>
          <t>Ketik: =WEEKNUM(C36)</t>
        </is>
      </c>
    </row>
    <row r="38">
      <c r="B38" s="18" t="inlineStr">
        <is>
          <t>Gudang Blok C</t>
        </is>
      </c>
      <c r="C38" s="30" t="n">
        <v>46251</v>
      </c>
    </row>
    <row r="39">
      <c r="B39" s="18" t="inlineStr">
        <is>
          <t>Gudang Blok D</t>
        </is>
      </c>
      <c r="C39" s="30" t="n">
        <v>46381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Agenda Kantor</t>
        </is>
      </c>
      <c r="C43" s="12" t="inlineStr">
        <is>
          <t>Tanggal Kegiatan</t>
        </is>
      </c>
      <c r="E43" s="25" t="inlineStr">
        <is>
          <t>Persoalan #4: Ekstrak komponen WEEKNUM dari tanggal di sel C44 menggunakan rumus WEEKNUM!</t>
        </is>
      </c>
    </row>
    <row r="44">
      <c r="B44" s="18" t="inlineStr">
        <is>
          <t>Toko Elektronik</t>
        </is>
      </c>
      <c r="C44" s="30" t="n">
        <v>46127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0" t="n">
        <v>46193</v>
      </c>
      <c r="E45" s="26" t="n"/>
      <c r="F45" s="27">
        <f>IF(ISBLANK(E45), "⏳ Ketik rumus di sel kuning E45", IF(E45=G45, "✅ BENAR! LUAR BIASA!", "❌ Belum Tepat, Cek Kunci"))</f>
        <v/>
      </c>
      <c r="G45" s="28">
        <f>WEEKNUM(C44)</f>
        <v/>
      </c>
      <c r="H45" s="29" t="inlineStr">
        <is>
          <t>Ketik: =WEEKNUM(C44)</t>
        </is>
      </c>
    </row>
    <row r="46">
      <c r="B46" s="18" t="inlineStr">
        <is>
          <t>Toko Aksesoris</t>
        </is>
      </c>
      <c r="C46" s="30" t="n">
        <v>46251</v>
      </c>
    </row>
    <row r="47">
      <c r="B47" s="18" t="inlineStr">
        <is>
          <t>Toko Servis</t>
        </is>
      </c>
      <c r="C47" s="30" t="n">
        <v>46381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Agenda Kantor</t>
        </is>
      </c>
      <c r="C51" s="12" t="inlineStr">
        <is>
          <t>Tanggal Kegiatan</t>
        </is>
      </c>
      <c r="E51" s="25" t="inlineStr">
        <is>
          <t>Persoalan #5: Ekstrak komponen WEEKNUM dari tanggal di sel C52 menggunakan rumus WEEKNUM!</t>
        </is>
      </c>
    </row>
    <row r="52">
      <c r="B52" s="18" t="inlineStr">
        <is>
          <t>Kelas 10 IPA</t>
        </is>
      </c>
      <c r="C52" s="30" t="n">
        <v>46157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0" t="n">
        <v>46193</v>
      </c>
      <c r="E53" s="26" t="n"/>
      <c r="F53" s="27">
        <f>IF(ISBLANK(E53), "⏳ Ketik rumus di sel kuning E53", IF(E53=G53, "✅ BENAR! LUAR BIASA!", "❌ Belum Tepat, Cek Kunci"))</f>
        <v/>
      </c>
      <c r="G53" s="28">
        <f>WEEKNUM(C52)</f>
        <v/>
      </c>
      <c r="H53" s="29" t="inlineStr">
        <is>
          <t>Ketik: =WEEKNUM(C52)</t>
        </is>
      </c>
    </row>
    <row r="54">
      <c r="B54" s="18" t="inlineStr">
        <is>
          <t>Kelas 12 IPA</t>
        </is>
      </c>
      <c r="C54" s="30" t="n">
        <v>46251</v>
      </c>
    </row>
    <row r="55">
      <c r="B55" s="18" t="inlineStr">
        <is>
          <t>Kelas Unggulan</t>
        </is>
      </c>
      <c r="C55" s="30" t="n">
        <v>46381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#043 — RUMUS EXCEL: HOUR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(HOUR)</t>
        </is>
      </c>
    </row>
    <row r="5" ht="21" customHeight="1">
      <c r="B5" s="12" t="inlineStr">
        <is>
          <t>Nama Rumus Excel</t>
        </is>
      </c>
      <c r="C5" s="13">
        <f>HOUR(...)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HOUR(waktu)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JAM (0–23) dari data waktu absensi finger-print.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HOUR)</t>
        </is>
      </c>
    </row>
    <row r="10">
      <c r="B10" s="16" t="inlineStr">
        <is>
          <t>Nama Pegawai</t>
        </is>
      </c>
      <c r="C10" s="16" t="inlineStr">
        <is>
          <t>Waktu Absensi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1" t="n">
        <v>0.3440972222222222</v>
      </c>
      <c r="E11" s="19" t="inlineStr">
        <is>
          <t>Kasus Contoh:</t>
        </is>
      </c>
      <c r="F11" s="20" t="inlineStr">
        <is>
          <t>Ambil nilai HOUR dari jam absensi di sel C11 menggunakan rumus HOUR!</t>
        </is>
      </c>
    </row>
    <row r="12">
      <c r="B12" s="18" t="inlineStr">
        <is>
          <t>Cabang Bandung</t>
        </is>
      </c>
      <c r="C12" s="31" t="n">
        <v>0.4063657407407407</v>
      </c>
      <c r="E12" s="19" t="inlineStr">
        <is>
          <t>Rumus yang Diketik:</t>
        </is>
      </c>
      <c r="F12" s="21" t="inlineStr">
        <is>
          <t>'=HOUR(C11)</t>
        </is>
      </c>
    </row>
    <row r="13">
      <c r="B13" s="18" t="inlineStr">
        <is>
          <t>Cabang Surabaya</t>
        </is>
      </c>
      <c r="C13" s="31" t="n">
        <v>0.5560763888888889</v>
      </c>
      <c r="E13" s="19" t="inlineStr">
        <is>
          <t>Hasil Otomatis Excel:</t>
        </is>
      </c>
      <c r="F13" s="22">
        <f>HOUR(C11)</f>
        <v/>
      </c>
    </row>
    <row r="14">
      <c r="B14" s="18" t="inlineStr">
        <is>
          <t>Cabang Medan</t>
        </is>
      </c>
      <c r="C14" s="31" t="n">
        <v>0.7118055555555556</v>
      </c>
    </row>
    <row r="16" ht="26" customHeight="1">
      <c r="B16" s="23" t="inlineStr">
        <is>
          <t>3️⃣ 5 PERSOALAN DUNIA NYATA (KETIK RUMUS HOUR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Pegawai</t>
        </is>
      </c>
      <c r="C19" s="12" t="inlineStr">
        <is>
          <t>Waktu Absensi</t>
        </is>
      </c>
      <c r="E19" s="25" t="inlineStr">
        <is>
          <t>Persoalan #1: Ambil nilai HOUR dari jam absensi di sel C20 menggunakan rumus HOUR!</t>
        </is>
      </c>
    </row>
    <row r="20">
      <c r="B20" s="18" t="inlineStr">
        <is>
          <t>Cabang Jakarta</t>
        </is>
      </c>
      <c r="C20" s="31" t="n">
        <v>0.3440972222222222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1" t="n">
        <v>0.4063657407407407</v>
      </c>
      <c r="E21" s="26" t="n"/>
      <c r="F21" s="27">
        <f>IF(ISBLANK(E21), "⏳ Ketik rumus di sel kuning E21", IF(E21=G21, "✅ BENAR! LUAR BIASA!", "❌ Belum Tepat, Cek Kunci"))</f>
        <v/>
      </c>
      <c r="G21" s="28">
        <f>HOUR(C20)</f>
        <v/>
      </c>
      <c r="H21" s="29" t="inlineStr">
        <is>
          <t>Ketik: =HOUR(C20)</t>
        </is>
      </c>
    </row>
    <row r="22">
      <c r="B22" s="18" t="inlineStr">
        <is>
          <t>Cabang Surabaya</t>
        </is>
      </c>
      <c r="C22" s="31" t="n">
        <v>0.5560763888888889</v>
      </c>
    </row>
    <row r="23">
      <c r="B23" s="18" t="inlineStr">
        <is>
          <t>Cabang Medan</t>
        </is>
      </c>
      <c r="C23" s="31" t="n">
        <v>0.7118055555555556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Pegawai</t>
        </is>
      </c>
      <c r="C27" s="12" t="inlineStr">
        <is>
          <t>Waktu Absensi</t>
        </is>
      </c>
      <c r="E27" s="25" t="inlineStr">
        <is>
          <t>Persoalan #2: Ambil nilai HOUR dari jam absensi di sel C28 menggunakan rumus HOUR!</t>
        </is>
      </c>
    </row>
    <row r="28">
      <c r="B28" s="18" t="inlineStr">
        <is>
          <t>Budi Santoso</t>
        </is>
      </c>
      <c r="C28" s="31" t="n">
        <v>0.3892361111111111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1" t="n">
        <v>0.4063657407407407</v>
      </c>
      <c r="E29" s="26" t="n"/>
      <c r="F29" s="27">
        <f>IF(ISBLANK(E29), "⏳ Ketik rumus di sel kuning E29", IF(E29=G29, "✅ BENAR! LUAR BIASA!", "❌ Belum Tepat, Cek Kunci"))</f>
        <v/>
      </c>
      <c r="G29" s="28">
        <f>HOUR(C28)</f>
        <v/>
      </c>
      <c r="H29" s="29" t="inlineStr">
        <is>
          <t>Ketik: =HOUR(C28)</t>
        </is>
      </c>
    </row>
    <row r="30">
      <c r="B30" s="18" t="inlineStr">
        <is>
          <t>Andi Pratama</t>
        </is>
      </c>
      <c r="C30" s="31" t="n">
        <v>0.5560763888888889</v>
      </c>
    </row>
    <row r="31">
      <c r="B31" s="18" t="inlineStr">
        <is>
          <t>Rina Wijaya</t>
        </is>
      </c>
      <c r="C31" s="31" t="n">
        <v>0.7118055555555556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Pegawai</t>
        </is>
      </c>
      <c r="C35" s="12" t="inlineStr">
        <is>
          <t>Waktu Absensi</t>
        </is>
      </c>
      <c r="E35" s="25" t="inlineStr">
        <is>
          <t>Persoalan #3: Ambil nilai HOUR dari jam absensi di sel C36 menggunakan rumus HOUR!</t>
        </is>
      </c>
    </row>
    <row r="36">
      <c r="B36" s="18" t="inlineStr">
        <is>
          <t>Gudang Blok A</t>
        </is>
      </c>
      <c r="C36" s="31" t="n">
        <v>0.434375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1" t="n">
        <v>0.4063657407407407</v>
      </c>
      <c r="E37" s="26" t="n"/>
      <c r="F37" s="27">
        <f>IF(ISBLANK(E37), "⏳ Ketik rumus di sel kuning E37", IF(E37=G37, "✅ BENAR! LUAR BIASA!", "❌ Belum Tepat, Cek Kunci"))</f>
        <v/>
      </c>
      <c r="G37" s="28">
        <f>HOUR(C36)</f>
        <v/>
      </c>
      <c r="H37" s="29" t="inlineStr">
        <is>
          <t>Ketik: =HOUR(C36)</t>
        </is>
      </c>
    </row>
    <row r="38">
      <c r="B38" s="18" t="inlineStr">
        <is>
          <t>Gudang Blok C</t>
        </is>
      </c>
      <c r="C38" s="31" t="n">
        <v>0.5560763888888889</v>
      </c>
    </row>
    <row r="39">
      <c r="B39" s="18" t="inlineStr">
        <is>
          <t>Gudang Blok D</t>
        </is>
      </c>
      <c r="C39" s="31" t="n">
        <v>0.7118055555555556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Pegawai</t>
        </is>
      </c>
      <c r="C43" s="12" t="inlineStr">
        <is>
          <t>Waktu Absensi</t>
        </is>
      </c>
      <c r="E43" s="25" t="inlineStr">
        <is>
          <t>Persoalan #4: Ambil nilai HOUR dari jam absensi di sel C44 menggunakan rumus HOUR!</t>
        </is>
      </c>
    </row>
    <row r="44">
      <c r="B44" s="18" t="inlineStr">
        <is>
          <t>Toko Elektronik</t>
        </is>
      </c>
      <c r="C44" s="31" t="n">
        <v>0.4795138888888889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1" t="n">
        <v>0.4063657407407407</v>
      </c>
      <c r="E45" s="26" t="n"/>
      <c r="F45" s="27">
        <f>IF(ISBLANK(E45), "⏳ Ketik rumus di sel kuning E45", IF(E45=G45, "✅ BENAR! LUAR BIASA!", "❌ Belum Tepat, Cek Kunci"))</f>
        <v/>
      </c>
      <c r="G45" s="28">
        <f>HOUR(C44)</f>
        <v/>
      </c>
      <c r="H45" s="29" t="inlineStr">
        <is>
          <t>Ketik: =HOUR(C44)</t>
        </is>
      </c>
    </row>
    <row r="46">
      <c r="B46" s="18" t="inlineStr">
        <is>
          <t>Toko Aksesoris</t>
        </is>
      </c>
      <c r="C46" s="31" t="n">
        <v>0.5560763888888889</v>
      </c>
    </row>
    <row r="47">
      <c r="B47" s="18" t="inlineStr">
        <is>
          <t>Toko Servis</t>
        </is>
      </c>
      <c r="C47" s="31" t="n">
        <v>0.7118055555555556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Pegawai</t>
        </is>
      </c>
      <c r="C51" s="12" t="inlineStr">
        <is>
          <t>Waktu Absensi</t>
        </is>
      </c>
      <c r="E51" s="25" t="inlineStr">
        <is>
          <t>Persoalan #5: Ambil nilai HOUR dari jam absensi di sel C52 menggunakan rumus HOUR!</t>
        </is>
      </c>
    </row>
    <row r="52">
      <c r="B52" s="18" t="inlineStr">
        <is>
          <t>Kelas 10 IPA</t>
        </is>
      </c>
      <c r="C52" s="31" t="n">
        <v>0.5246527777777777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1" t="n">
        <v>0.4063657407407407</v>
      </c>
      <c r="E53" s="26" t="n"/>
      <c r="F53" s="27">
        <f>IF(ISBLANK(E53), "⏳ Ketik rumus di sel kuning E53", IF(E53=G53, "✅ BENAR! LUAR BIASA!", "❌ Belum Tepat, Cek Kunci"))</f>
        <v/>
      </c>
      <c r="G53" s="28">
        <f>HOUR(C52)</f>
        <v/>
      </c>
      <c r="H53" s="29" t="inlineStr">
        <is>
          <t>Ketik: =HOUR(C52)</t>
        </is>
      </c>
    </row>
    <row r="54">
      <c r="B54" s="18" t="inlineStr">
        <is>
          <t>Kelas 12 IPA</t>
        </is>
      </c>
      <c r="C54" s="31" t="n">
        <v>0.5560763888888889</v>
      </c>
    </row>
    <row r="55">
      <c r="B55" s="18" t="inlineStr">
        <is>
          <t>Kelas Unggulan</t>
        </is>
      </c>
      <c r="C55" s="31" t="n">
        <v>0.7118055555555556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#044 — RUMUS EXCEL: MINUTE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(MINUTE)</t>
        </is>
      </c>
    </row>
    <row r="5" ht="21" customHeight="1">
      <c r="B5" s="12" t="inlineStr">
        <is>
          <t>Nama Rumus Excel</t>
        </is>
      </c>
      <c r="C5" s="13">
        <f>MINUTE(...)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MINUTE(waktu)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MENIT (0–59) dari data waktu untuk menghitung keterlambatan masuk kantor.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MINUTE)</t>
        </is>
      </c>
    </row>
    <row r="10">
      <c r="B10" s="16" t="inlineStr">
        <is>
          <t>Nama Pegawai</t>
        </is>
      </c>
      <c r="C10" s="16" t="inlineStr">
        <is>
          <t>Waktu Absensi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1" t="n">
        <v>0.3440972222222222</v>
      </c>
      <c r="E11" s="19" t="inlineStr">
        <is>
          <t>Kasus Contoh:</t>
        </is>
      </c>
      <c r="F11" s="20" t="inlineStr">
        <is>
          <t>Ambil nilai MINUTE dari jam absensi di sel C11 menggunakan rumus MINUTE!</t>
        </is>
      </c>
    </row>
    <row r="12">
      <c r="B12" s="18" t="inlineStr">
        <is>
          <t>Cabang Bandung</t>
        </is>
      </c>
      <c r="C12" s="31" t="n">
        <v>0.4063657407407407</v>
      </c>
      <c r="E12" s="19" t="inlineStr">
        <is>
          <t>Rumus yang Diketik:</t>
        </is>
      </c>
      <c r="F12" s="21" t="inlineStr">
        <is>
          <t>'=MINUTE(C11)</t>
        </is>
      </c>
    </row>
    <row r="13">
      <c r="B13" s="18" t="inlineStr">
        <is>
          <t>Cabang Surabaya</t>
        </is>
      </c>
      <c r="C13" s="31" t="n">
        <v>0.5560763888888889</v>
      </c>
      <c r="E13" s="19" t="inlineStr">
        <is>
          <t>Hasil Otomatis Excel:</t>
        </is>
      </c>
      <c r="F13" s="22">
        <f>MINUTE(C11)</f>
        <v/>
      </c>
    </row>
    <row r="14">
      <c r="B14" s="18" t="inlineStr">
        <is>
          <t>Cabang Medan</t>
        </is>
      </c>
      <c r="C14" s="31" t="n">
        <v>0.7118055555555556</v>
      </c>
    </row>
    <row r="16" ht="26" customHeight="1">
      <c r="B16" s="23" t="inlineStr">
        <is>
          <t>3️⃣ 5 PERSOALAN DUNIA NYATA (KETIK RUMUS MINUTE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Pegawai</t>
        </is>
      </c>
      <c r="C19" s="12" t="inlineStr">
        <is>
          <t>Waktu Absensi</t>
        </is>
      </c>
      <c r="E19" s="25" t="inlineStr">
        <is>
          <t>Persoalan #1: Ambil nilai MINUTE dari jam absensi di sel C20 menggunakan rumus MINUTE!</t>
        </is>
      </c>
    </row>
    <row r="20">
      <c r="B20" s="18" t="inlineStr">
        <is>
          <t>Cabang Jakarta</t>
        </is>
      </c>
      <c r="C20" s="31" t="n">
        <v>0.3440972222222222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1" t="n">
        <v>0.4063657407407407</v>
      </c>
      <c r="E21" s="26" t="n"/>
      <c r="F21" s="27">
        <f>IF(ISBLANK(E21), "⏳ Ketik rumus di sel kuning E21", IF(E21=G21, "✅ BENAR! LUAR BIASA!", "❌ Belum Tepat, Cek Kunci"))</f>
        <v/>
      </c>
      <c r="G21" s="28">
        <f>MINUTE(C20)</f>
        <v/>
      </c>
      <c r="H21" s="29" t="inlineStr">
        <is>
          <t>Ketik: =MINUTE(C20)</t>
        </is>
      </c>
    </row>
    <row r="22">
      <c r="B22" s="18" t="inlineStr">
        <is>
          <t>Cabang Surabaya</t>
        </is>
      </c>
      <c r="C22" s="31" t="n">
        <v>0.5560763888888889</v>
      </c>
    </row>
    <row r="23">
      <c r="B23" s="18" t="inlineStr">
        <is>
          <t>Cabang Medan</t>
        </is>
      </c>
      <c r="C23" s="31" t="n">
        <v>0.7118055555555556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Pegawai</t>
        </is>
      </c>
      <c r="C27" s="12" t="inlineStr">
        <is>
          <t>Waktu Absensi</t>
        </is>
      </c>
      <c r="E27" s="25" t="inlineStr">
        <is>
          <t>Persoalan #2: Ambil nilai MINUTE dari jam absensi di sel C28 menggunakan rumus MINUTE!</t>
        </is>
      </c>
    </row>
    <row r="28">
      <c r="B28" s="18" t="inlineStr">
        <is>
          <t>Budi Santoso</t>
        </is>
      </c>
      <c r="C28" s="31" t="n">
        <v>0.3892361111111111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1" t="n">
        <v>0.4063657407407407</v>
      </c>
      <c r="E29" s="26" t="n"/>
      <c r="F29" s="27">
        <f>IF(ISBLANK(E29), "⏳ Ketik rumus di sel kuning E29", IF(E29=G29, "✅ BENAR! LUAR BIASA!", "❌ Belum Tepat, Cek Kunci"))</f>
        <v/>
      </c>
      <c r="G29" s="28">
        <f>MINUTE(C28)</f>
        <v/>
      </c>
      <c r="H29" s="29" t="inlineStr">
        <is>
          <t>Ketik: =MINUTE(C28)</t>
        </is>
      </c>
    </row>
    <row r="30">
      <c r="B30" s="18" t="inlineStr">
        <is>
          <t>Andi Pratama</t>
        </is>
      </c>
      <c r="C30" s="31" t="n">
        <v>0.5560763888888889</v>
      </c>
    </row>
    <row r="31">
      <c r="B31" s="18" t="inlineStr">
        <is>
          <t>Rina Wijaya</t>
        </is>
      </c>
      <c r="C31" s="31" t="n">
        <v>0.7118055555555556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Pegawai</t>
        </is>
      </c>
      <c r="C35" s="12" t="inlineStr">
        <is>
          <t>Waktu Absensi</t>
        </is>
      </c>
      <c r="E35" s="25" t="inlineStr">
        <is>
          <t>Persoalan #3: Ambil nilai MINUTE dari jam absensi di sel C36 menggunakan rumus MINUTE!</t>
        </is>
      </c>
    </row>
    <row r="36">
      <c r="B36" s="18" t="inlineStr">
        <is>
          <t>Gudang Blok A</t>
        </is>
      </c>
      <c r="C36" s="31" t="n">
        <v>0.434375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1" t="n">
        <v>0.4063657407407407</v>
      </c>
      <c r="E37" s="26" t="n"/>
      <c r="F37" s="27">
        <f>IF(ISBLANK(E37), "⏳ Ketik rumus di sel kuning E37", IF(E37=G37, "✅ BENAR! LUAR BIASA!", "❌ Belum Tepat, Cek Kunci"))</f>
        <v/>
      </c>
      <c r="G37" s="28">
        <f>MINUTE(C36)</f>
        <v/>
      </c>
      <c r="H37" s="29" t="inlineStr">
        <is>
          <t>Ketik: =MINUTE(C36)</t>
        </is>
      </c>
    </row>
    <row r="38">
      <c r="B38" s="18" t="inlineStr">
        <is>
          <t>Gudang Blok C</t>
        </is>
      </c>
      <c r="C38" s="31" t="n">
        <v>0.5560763888888889</v>
      </c>
    </row>
    <row r="39">
      <c r="B39" s="18" t="inlineStr">
        <is>
          <t>Gudang Blok D</t>
        </is>
      </c>
      <c r="C39" s="31" t="n">
        <v>0.7118055555555556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Pegawai</t>
        </is>
      </c>
      <c r="C43" s="12" t="inlineStr">
        <is>
          <t>Waktu Absensi</t>
        </is>
      </c>
      <c r="E43" s="25" t="inlineStr">
        <is>
          <t>Persoalan #4: Ambil nilai MINUTE dari jam absensi di sel C44 menggunakan rumus MINUTE!</t>
        </is>
      </c>
    </row>
    <row r="44">
      <c r="B44" s="18" t="inlineStr">
        <is>
          <t>Toko Elektronik</t>
        </is>
      </c>
      <c r="C44" s="31" t="n">
        <v>0.4795138888888889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1" t="n">
        <v>0.4063657407407407</v>
      </c>
      <c r="E45" s="26" t="n"/>
      <c r="F45" s="27">
        <f>IF(ISBLANK(E45), "⏳ Ketik rumus di sel kuning E45", IF(E45=G45, "✅ BENAR! LUAR BIASA!", "❌ Belum Tepat, Cek Kunci"))</f>
        <v/>
      </c>
      <c r="G45" s="28">
        <f>MINUTE(C44)</f>
        <v/>
      </c>
      <c r="H45" s="29" t="inlineStr">
        <is>
          <t>Ketik: =MINUTE(C44)</t>
        </is>
      </c>
    </row>
    <row r="46">
      <c r="B46" s="18" t="inlineStr">
        <is>
          <t>Toko Aksesoris</t>
        </is>
      </c>
      <c r="C46" s="31" t="n">
        <v>0.5560763888888889</v>
      </c>
    </row>
    <row r="47">
      <c r="B47" s="18" t="inlineStr">
        <is>
          <t>Toko Servis</t>
        </is>
      </c>
      <c r="C47" s="31" t="n">
        <v>0.7118055555555556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Pegawai</t>
        </is>
      </c>
      <c r="C51" s="12" t="inlineStr">
        <is>
          <t>Waktu Absensi</t>
        </is>
      </c>
      <c r="E51" s="25" t="inlineStr">
        <is>
          <t>Persoalan #5: Ambil nilai MINUTE dari jam absensi di sel C52 menggunakan rumus MINUTE!</t>
        </is>
      </c>
    </row>
    <row r="52">
      <c r="B52" s="18" t="inlineStr">
        <is>
          <t>Kelas 10 IPA</t>
        </is>
      </c>
      <c r="C52" s="31" t="n">
        <v>0.5246527777777777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1" t="n">
        <v>0.4063657407407407</v>
      </c>
      <c r="E53" s="26" t="n"/>
      <c r="F53" s="27">
        <f>IF(ISBLANK(E53), "⏳ Ketik rumus di sel kuning E53", IF(E53=G53, "✅ BENAR! LUAR BIASA!", "❌ Belum Tepat, Cek Kunci"))</f>
        <v/>
      </c>
      <c r="G53" s="28">
        <f>MINUTE(C52)</f>
        <v/>
      </c>
      <c r="H53" s="29" t="inlineStr">
        <is>
          <t>Ketik: =MINUTE(C52)</t>
        </is>
      </c>
    </row>
    <row r="54">
      <c r="B54" s="18" t="inlineStr">
        <is>
          <t>Kelas 12 IPA</t>
        </is>
      </c>
      <c r="C54" s="31" t="n">
        <v>0.5560763888888889</v>
      </c>
    </row>
    <row r="55">
      <c r="B55" s="18" t="inlineStr">
        <is>
          <t>Kelas Unggulan</t>
        </is>
      </c>
      <c r="C55" s="31" t="n">
        <v>0.7118055555555556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#045 — RUMUS EXCEL: SECOND   |   Kategori: 5. Tanggal &amp; Waktu HRD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(SECOND)</t>
        </is>
      </c>
    </row>
    <row r="5" ht="21" customHeight="1">
      <c r="B5" s="12" t="inlineStr">
        <is>
          <t>Nama Rumus Excel</t>
        </is>
      </c>
      <c r="C5" s="13">
        <f>SECOND(...)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SECOND(waktu)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Mengambil angka DETIK (0–59) dari catatan waktu.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SECOND)</t>
        </is>
      </c>
    </row>
    <row r="10">
      <c r="B10" s="16" t="inlineStr">
        <is>
          <t>Nama Pegawai</t>
        </is>
      </c>
      <c r="C10" s="16" t="inlineStr">
        <is>
          <t>Waktu Absensi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31" t="n">
        <v>0.3440972222222222</v>
      </c>
      <c r="E11" s="19" t="inlineStr">
        <is>
          <t>Kasus Contoh:</t>
        </is>
      </c>
      <c r="F11" s="20" t="inlineStr">
        <is>
          <t>Ambil nilai SECOND dari jam absensi di sel C11 menggunakan rumus SECOND!</t>
        </is>
      </c>
    </row>
    <row r="12">
      <c r="B12" s="18" t="inlineStr">
        <is>
          <t>Cabang Bandung</t>
        </is>
      </c>
      <c r="C12" s="31" t="n">
        <v>0.4063657407407407</v>
      </c>
      <c r="E12" s="19" t="inlineStr">
        <is>
          <t>Rumus yang Diketik:</t>
        </is>
      </c>
      <c r="F12" s="21" t="inlineStr">
        <is>
          <t>'=SECOND(C11)</t>
        </is>
      </c>
    </row>
    <row r="13">
      <c r="B13" s="18" t="inlineStr">
        <is>
          <t>Cabang Surabaya</t>
        </is>
      </c>
      <c r="C13" s="31" t="n">
        <v>0.5560763888888889</v>
      </c>
      <c r="E13" s="19" t="inlineStr">
        <is>
          <t>Hasil Otomatis Excel:</t>
        </is>
      </c>
      <c r="F13" s="22">
        <f>SECOND(C11)</f>
        <v/>
      </c>
    </row>
    <row r="14">
      <c r="B14" s="18" t="inlineStr">
        <is>
          <t>Cabang Medan</t>
        </is>
      </c>
      <c r="C14" s="31" t="n">
        <v>0.7118055555555556</v>
      </c>
    </row>
    <row r="16" ht="26" customHeight="1">
      <c r="B16" s="23" t="inlineStr">
        <is>
          <t>3️⃣ 5 PERSOALAN DUNIA NYATA (KETIK RUMUS SECOND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Pegawai</t>
        </is>
      </c>
      <c r="C19" s="12" t="inlineStr">
        <is>
          <t>Waktu Absensi</t>
        </is>
      </c>
      <c r="E19" s="25" t="inlineStr">
        <is>
          <t>Persoalan #1: Ambil nilai SECOND dari jam absensi di sel C20 menggunakan rumus SECOND!</t>
        </is>
      </c>
    </row>
    <row r="20">
      <c r="B20" s="18" t="inlineStr">
        <is>
          <t>Cabang Jakarta</t>
        </is>
      </c>
      <c r="C20" s="31" t="n">
        <v>0.3440972222222222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31" t="n">
        <v>0.4063657407407407</v>
      </c>
      <c r="E21" s="26" t="n"/>
      <c r="F21" s="27">
        <f>IF(ISBLANK(E21), "⏳ Ketik rumus di sel kuning E21", IF(E21=G21, "✅ BENAR! LUAR BIASA!", "❌ Belum Tepat, Cek Kunci"))</f>
        <v/>
      </c>
      <c r="G21" s="28">
        <f>SECOND(C20)</f>
        <v/>
      </c>
      <c r="H21" s="29" t="inlineStr">
        <is>
          <t>Ketik: =SECOND(C20)</t>
        </is>
      </c>
    </row>
    <row r="22">
      <c r="B22" s="18" t="inlineStr">
        <is>
          <t>Cabang Surabaya</t>
        </is>
      </c>
      <c r="C22" s="31" t="n">
        <v>0.5560763888888889</v>
      </c>
    </row>
    <row r="23">
      <c r="B23" s="18" t="inlineStr">
        <is>
          <t>Cabang Medan</t>
        </is>
      </c>
      <c r="C23" s="31" t="n">
        <v>0.7118055555555556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Pegawai</t>
        </is>
      </c>
      <c r="C27" s="12" t="inlineStr">
        <is>
          <t>Waktu Absensi</t>
        </is>
      </c>
      <c r="E27" s="25" t="inlineStr">
        <is>
          <t>Persoalan #2: Ambil nilai SECOND dari jam absensi di sel C28 menggunakan rumus SECOND!</t>
        </is>
      </c>
    </row>
    <row r="28">
      <c r="B28" s="18" t="inlineStr">
        <is>
          <t>Budi Santoso</t>
        </is>
      </c>
      <c r="C28" s="31" t="n">
        <v>0.3892361111111111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31" t="n">
        <v>0.4063657407407407</v>
      </c>
      <c r="E29" s="26" t="n"/>
      <c r="F29" s="27">
        <f>IF(ISBLANK(E29), "⏳ Ketik rumus di sel kuning E29", IF(E29=G29, "✅ BENAR! LUAR BIASA!", "❌ Belum Tepat, Cek Kunci"))</f>
        <v/>
      </c>
      <c r="G29" s="28">
        <f>SECOND(C28)</f>
        <v/>
      </c>
      <c r="H29" s="29" t="inlineStr">
        <is>
          <t>Ketik: =SECOND(C28)</t>
        </is>
      </c>
    </row>
    <row r="30">
      <c r="B30" s="18" t="inlineStr">
        <is>
          <t>Andi Pratama</t>
        </is>
      </c>
      <c r="C30" s="31" t="n">
        <v>0.5560763888888889</v>
      </c>
    </row>
    <row r="31">
      <c r="B31" s="18" t="inlineStr">
        <is>
          <t>Rina Wijaya</t>
        </is>
      </c>
      <c r="C31" s="31" t="n">
        <v>0.7118055555555556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Pegawai</t>
        </is>
      </c>
      <c r="C35" s="12" t="inlineStr">
        <is>
          <t>Waktu Absensi</t>
        </is>
      </c>
      <c r="E35" s="25" t="inlineStr">
        <is>
          <t>Persoalan #3: Ambil nilai SECOND dari jam absensi di sel C36 menggunakan rumus SECOND!</t>
        </is>
      </c>
    </row>
    <row r="36">
      <c r="B36" s="18" t="inlineStr">
        <is>
          <t>Gudang Blok A</t>
        </is>
      </c>
      <c r="C36" s="31" t="n">
        <v>0.434375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31" t="n">
        <v>0.4063657407407407</v>
      </c>
      <c r="E37" s="26" t="n"/>
      <c r="F37" s="27">
        <f>IF(ISBLANK(E37), "⏳ Ketik rumus di sel kuning E37", IF(E37=G37, "✅ BENAR! LUAR BIASA!", "❌ Belum Tepat, Cek Kunci"))</f>
        <v/>
      </c>
      <c r="G37" s="28">
        <f>SECOND(C36)</f>
        <v/>
      </c>
      <c r="H37" s="29" t="inlineStr">
        <is>
          <t>Ketik: =SECOND(C36)</t>
        </is>
      </c>
    </row>
    <row r="38">
      <c r="B38" s="18" t="inlineStr">
        <is>
          <t>Gudang Blok C</t>
        </is>
      </c>
      <c r="C38" s="31" t="n">
        <v>0.5560763888888889</v>
      </c>
    </row>
    <row r="39">
      <c r="B39" s="18" t="inlineStr">
        <is>
          <t>Gudang Blok D</t>
        </is>
      </c>
      <c r="C39" s="31" t="n">
        <v>0.7118055555555556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Pegawai</t>
        </is>
      </c>
      <c r="C43" s="12" t="inlineStr">
        <is>
          <t>Waktu Absensi</t>
        </is>
      </c>
      <c r="E43" s="25" t="inlineStr">
        <is>
          <t>Persoalan #4: Ambil nilai SECOND dari jam absensi di sel C44 menggunakan rumus SECOND!</t>
        </is>
      </c>
    </row>
    <row r="44">
      <c r="B44" s="18" t="inlineStr">
        <is>
          <t>Toko Elektronik</t>
        </is>
      </c>
      <c r="C44" s="31" t="n">
        <v>0.4795138888888889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31" t="n">
        <v>0.4063657407407407</v>
      </c>
      <c r="E45" s="26" t="n"/>
      <c r="F45" s="27">
        <f>IF(ISBLANK(E45), "⏳ Ketik rumus di sel kuning E45", IF(E45=G45, "✅ BENAR! LUAR BIASA!", "❌ Belum Tepat, Cek Kunci"))</f>
        <v/>
      </c>
      <c r="G45" s="28">
        <f>SECOND(C44)</f>
        <v/>
      </c>
      <c r="H45" s="29" t="inlineStr">
        <is>
          <t>Ketik: =SECOND(C44)</t>
        </is>
      </c>
    </row>
    <row r="46">
      <c r="B46" s="18" t="inlineStr">
        <is>
          <t>Toko Aksesoris</t>
        </is>
      </c>
      <c r="C46" s="31" t="n">
        <v>0.5560763888888889</v>
      </c>
    </row>
    <row r="47">
      <c r="B47" s="18" t="inlineStr">
        <is>
          <t>Toko Servis</t>
        </is>
      </c>
      <c r="C47" s="31" t="n">
        <v>0.7118055555555556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Pegawai</t>
        </is>
      </c>
      <c r="C51" s="12" t="inlineStr">
        <is>
          <t>Waktu Absensi</t>
        </is>
      </c>
      <c r="E51" s="25" t="inlineStr">
        <is>
          <t>Persoalan #5: Ambil nilai SECOND dari jam absensi di sel C52 menggunakan rumus SECOND!</t>
        </is>
      </c>
    </row>
    <row r="52">
      <c r="B52" s="18" t="inlineStr">
        <is>
          <t>Kelas 10 IPA</t>
        </is>
      </c>
      <c r="C52" s="31" t="n">
        <v>0.5246527777777777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31" t="n">
        <v>0.4063657407407407</v>
      </c>
      <c r="E53" s="26" t="n"/>
      <c r="F53" s="27">
        <f>IF(ISBLANK(E53), "⏳ Ketik rumus di sel kuning E53", IF(E53=G53, "✅ BENAR! LUAR BIASA!", "❌ Belum Tepat, Cek Kunci"))</f>
        <v/>
      </c>
      <c r="G53" s="28">
        <f>SECOND(C52)</f>
        <v/>
      </c>
      <c r="H53" s="29" t="inlineStr">
        <is>
          <t>Ketik: =SECOND(C52)</t>
        </is>
      </c>
    </row>
    <row r="54">
      <c r="B54" s="18" t="inlineStr">
        <is>
          <t>Kelas 12 IPA</t>
        </is>
      </c>
      <c r="C54" s="31" t="n">
        <v>0.5560763888888889</v>
      </c>
    </row>
    <row r="55">
      <c r="B55" s="18" t="inlineStr">
        <is>
          <t>Kelas Unggulan</t>
        </is>
      </c>
      <c r="C55" s="31" t="n">
        <v>0.7118055555555556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2026-10-13T03:18:30Z</dcterms:created>
  <dcterms:modified xmlns:dcterms="http://purl.org/dc/terms/" xmlns:xsi="http://www.w3.org/2001/XMLSchema-instance" xsi:type="dcterms:W3CDTF">2026-10-13T03:18:30Z</dcterms:modified>
</cp:coreProperties>
</file>