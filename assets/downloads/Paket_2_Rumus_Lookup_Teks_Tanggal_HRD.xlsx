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FTAR_ISI" sheetId="1" state="visible" r:id="rId1"/>
    <sheet xmlns:r="http://schemas.openxmlformats.org/officeDocument/2006/relationships" name="VLOOKUP" sheetId="2" state="visible" r:id="rId2"/>
    <sheet xmlns:r="http://schemas.openxmlformats.org/officeDocument/2006/relationships" name="HLOOKUP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MATCH" sheetId="5" state="visible" r:id="rId5"/>
    <sheet xmlns:r="http://schemas.openxmlformats.org/officeDocument/2006/relationships" name="CHOOSE" sheetId="6" state="visible" r:id="rId6"/>
    <sheet xmlns:r="http://schemas.openxmlformats.org/officeDocument/2006/relationships" name="ROW" sheetId="7" state="visible" r:id="rId7"/>
    <sheet xmlns:r="http://schemas.openxmlformats.org/officeDocument/2006/relationships" name="COLUMN" sheetId="8" state="visible" r:id="rId8"/>
    <sheet xmlns:r="http://schemas.openxmlformats.org/officeDocument/2006/relationships" name="ROWS" sheetId="9" state="visible" r:id="rId9"/>
    <sheet xmlns:r="http://schemas.openxmlformats.org/officeDocument/2006/relationships" name="COLUMNS" sheetId="10" state="visible" r:id="rId10"/>
    <sheet xmlns:r="http://schemas.openxmlformats.org/officeDocument/2006/relationships" name="ADDRESS" sheetId="11" state="visible" r:id="rId11"/>
    <sheet xmlns:r="http://schemas.openxmlformats.org/officeDocument/2006/relationships" name="OFFSET" sheetId="12" state="visible" r:id="rId12"/>
    <sheet xmlns:r="http://schemas.openxmlformats.org/officeDocument/2006/relationships" name="INDIRECT" sheetId="13" state="visible" r:id="rId13"/>
    <sheet xmlns:r="http://schemas.openxmlformats.org/officeDocument/2006/relationships" name="LEFT" sheetId="14" state="visible" r:id="rId14"/>
    <sheet xmlns:r="http://schemas.openxmlformats.org/officeDocument/2006/relationships" name="RIGHT" sheetId="15" state="visible" r:id="rId15"/>
    <sheet xmlns:r="http://schemas.openxmlformats.org/officeDocument/2006/relationships" name="MID" sheetId="16" state="visible" r:id="rId16"/>
    <sheet xmlns:r="http://schemas.openxmlformats.org/officeDocument/2006/relationships" name="LEN" sheetId="17" state="visible" r:id="rId17"/>
    <sheet xmlns:r="http://schemas.openxmlformats.org/officeDocument/2006/relationships" name="TRIM" sheetId="18" state="visible" r:id="rId18"/>
    <sheet xmlns:r="http://schemas.openxmlformats.org/officeDocument/2006/relationships" name="CLEAN" sheetId="19" state="visible" r:id="rId19"/>
    <sheet xmlns:r="http://schemas.openxmlformats.org/officeDocument/2006/relationships" name="UPPER" sheetId="20" state="visible" r:id="rId20"/>
    <sheet xmlns:r="http://schemas.openxmlformats.org/officeDocument/2006/relationships" name="LOWER" sheetId="21" state="visible" r:id="rId21"/>
    <sheet xmlns:r="http://schemas.openxmlformats.org/officeDocument/2006/relationships" name="PROPER" sheetId="22" state="visible" r:id="rId22"/>
    <sheet xmlns:r="http://schemas.openxmlformats.org/officeDocument/2006/relationships" name="CONCATENATE" sheetId="23" state="visible" r:id="rId23"/>
    <sheet xmlns:r="http://schemas.openxmlformats.org/officeDocument/2006/relationships" name="EXACT" sheetId="24" state="visible" r:id="rId24"/>
    <sheet xmlns:r="http://schemas.openxmlformats.org/officeDocument/2006/relationships" name="FIND" sheetId="25" state="visible" r:id="rId25"/>
    <sheet xmlns:r="http://schemas.openxmlformats.org/officeDocument/2006/relationships" name="SEARCH" sheetId="26" state="visible" r:id="rId26"/>
    <sheet xmlns:r="http://schemas.openxmlformats.org/officeDocument/2006/relationships" name="SUBSTITUTE" sheetId="27" state="visible" r:id="rId27"/>
    <sheet xmlns:r="http://schemas.openxmlformats.org/officeDocument/2006/relationships" name="REPLACE" sheetId="28" state="visible" r:id="rId28"/>
    <sheet xmlns:r="http://schemas.openxmlformats.org/officeDocument/2006/relationships" name="REPT" sheetId="29" state="visible" r:id="rId29"/>
    <sheet xmlns:r="http://schemas.openxmlformats.org/officeDocument/2006/relationships" name="VALUE" sheetId="30" state="visible" r:id="rId30"/>
    <sheet xmlns:r="http://schemas.openxmlformats.org/officeDocument/2006/relationships" name="TEXT" sheetId="31" state="visible" r:id="rId31"/>
    <sheet xmlns:r="http://schemas.openxmlformats.org/officeDocument/2006/relationships" name="DATE" sheetId="32" state="visible" r:id="rId32"/>
    <sheet xmlns:r="http://schemas.openxmlformats.org/officeDocument/2006/relationships" name="YEAR" sheetId="33" state="visible" r:id="rId33"/>
    <sheet xmlns:r="http://schemas.openxmlformats.org/officeDocument/2006/relationships" name="MONTH" sheetId="34" state="visible" r:id="rId34"/>
    <sheet xmlns:r="http://schemas.openxmlformats.org/officeDocument/2006/relationships" name="DAY" sheetId="35" state="visible" r:id="rId35"/>
    <sheet xmlns:r="http://schemas.openxmlformats.org/officeDocument/2006/relationships" name="DAYS" sheetId="36" state="visible" r:id="rId36"/>
    <sheet xmlns:r="http://schemas.openxmlformats.org/officeDocument/2006/relationships" name="DATEDIF" sheetId="37" state="visible" r:id="rId37"/>
    <sheet xmlns:r="http://schemas.openxmlformats.org/officeDocument/2006/relationships" name="EDATE" sheetId="38" state="visible" r:id="rId38"/>
    <sheet xmlns:r="http://schemas.openxmlformats.org/officeDocument/2006/relationships" name="EOMONTH" sheetId="39" state="visible" r:id="rId39"/>
    <sheet xmlns:r="http://schemas.openxmlformats.org/officeDocument/2006/relationships" name="NETWORKDAYS" sheetId="40" state="visible" r:id="rId40"/>
    <sheet xmlns:r="http://schemas.openxmlformats.org/officeDocument/2006/relationships" name="WORKDAY" sheetId="41" state="visible" r:id="rId41"/>
    <sheet xmlns:r="http://schemas.openxmlformats.org/officeDocument/2006/relationships" name="WEEKDAY" sheetId="42" state="visible" r:id="rId42"/>
    <sheet xmlns:r="http://schemas.openxmlformats.org/officeDocument/2006/relationships" name="WEEKNUM" sheetId="43" state="visible" r:id="rId43"/>
    <sheet xmlns:r="http://schemas.openxmlformats.org/officeDocument/2006/relationships" name="HOUR" sheetId="44" state="visible" r:id="rId44"/>
    <sheet xmlns:r="http://schemas.openxmlformats.org/officeDocument/2006/relationships" name="MINUTE" sheetId="45" state="visible" r:id="rId45"/>
    <sheet xmlns:r="http://schemas.openxmlformats.org/officeDocument/2006/relationships" name="SECOND" sheetId="46" state="visible" r:id="rId46"/>
    <sheet xmlns:r="http://schemas.openxmlformats.org/officeDocument/2006/relationships" name="99_KUNCI_JAWABAN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DE047"/>
      <sz val="10"/>
      <u val="single"/>
    </font>
    <font>
      <name val="Segoe UI"/>
      <b val="1"/>
      <color rgb="00FFFFFF"/>
      <sz val="10"/>
    </font>
    <font>
      <name val="Segoe UI"/>
      <b val="1"/>
      <color rgb="0038BDF8"/>
      <sz val="10"/>
      <u val="single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Consolas"/>
      <b val="1"/>
      <color rgb="000369A1"/>
      <sz val="10"/>
    </font>
    <font>
      <name val="Segoe UI"/>
      <color rgb="001E293B"/>
      <sz val="10"/>
    </font>
    <font>
      <name val="Consolas"/>
      <b val="1"/>
      <color rgb="000F172A"/>
      <sz val="11"/>
    </font>
    <font>
      <name val="Segoe UI"/>
      <b val="1"/>
      <i val="1"/>
      <color rgb="007C2D12"/>
      <sz val="9"/>
    </font>
    <font>
      <name val="Segoe UI"/>
      <b val="1"/>
      <color rgb="00065F46"/>
      <sz val="10"/>
    </font>
    <font>
      <name val="Segoe UI"/>
      <b val="1"/>
      <color rgb="002563EB"/>
      <sz val="10"/>
      <u val="single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7C3AED"/>
        <bgColor rgb="007C3AED"/>
      </patternFill>
    </fill>
    <fill>
      <patternFill patternType="solid">
        <fgColor rgb="00FEF3C7"/>
        <bgColor rgb="00FEF3C7"/>
      </patternFill>
    </fill>
    <fill>
      <patternFill patternType="solid">
        <fgColor rgb="00D97706"/>
        <bgColor rgb="00D97706"/>
      </patternFill>
    </fill>
    <fill>
      <patternFill patternType="solid">
        <fgColor rgb="00FEF08A"/>
        <bgColor rgb="00FEF0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13" fillId="0" borderId="1" pivotButton="0" quotePrefix="0" xfId="0"/>
    <xf numFmtId="0" fontId="7" fillId="9" borderId="1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5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7" fillId="4" borderId="1" pivotButton="0" quotePrefix="0" xfId="0"/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6" fillId="6" borderId="0" pivotButton="0" quotePrefix="0" xfId="0"/>
    <xf numFmtId="0" fontId="7" fillId="7" borderId="1" pivotButton="0" quotePrefix="0" xfId="0"/>
    <xf numFmtId="0" fontId="9" fillId="0" borderId="1" pivotButton="0" quotePrefix="0" xfId="0"/>
    <xf numFmtId="0" fontId="7" fillId="5" borderId="1" pivotButton="0" quotePrefix="0" xfId="0"/>
    <xf numFmtId="0" fontId="9" fillId="0" borderId="1" applyAlignment="1" pivotButton="0" quotePrefix="0" xfId="0">
      <alignment vertical="center" wrapText="1"/>
    </xf>
    <xf numFmtId="0" fontId="8" fillId="7" borderId="1" pivotButton="0" quotePrefix="0" xfId="0"/>
    <xf numFmtId="0" fontId="10" fillId="7" borderId="1" applyAlignment="1" pivotButton="0" quotePrefix="0" xfId="0">
      <alignment horizontal="left" vertical="center"/>
    </xf>
    <xf numFmtId="0" fontId="6" fillId="8" borderId="0" pivotButton="0" quotePrefix="0" xfId="0"/>
    <xf numFmtId="0" fontId="11" fillId="9" borderId="0" pivotButton="0" quotePrefix="0" xfId="0"/>
    <xf numFmtId="0" fontId="6" fillId="10" borderId="0" pivotButton="0" quotePrefix="0" xfId="0"/>
    <xf numFmtId="0" fontId="7" fillId="0" borderId="0" applyAlignment="1" pivotButton="0" quotePrefix="0" xfId="0">
      <alignment vertical="center" wrapText="1"/>
    </xf>
    <xf numFmtId="0" fontId="10" fillId="11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4" fontId="9" fillId="0" borderId="1" pivotButton="0" quotePrefix="0" xfId="0"/>
    <xf numFmtId="21" fontId="9" fillId="0" borderId="1" pivotButton="0" quotePrefix="0" xfId="0"/>
    <xf numFmtId="0" fontId="4" fillId="6" borderId="1" pivotButton="0" quotePrefix="0" xfId="0"/>
    <xf numFmtId="0" fontId="8" fillId="0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99_KUNCI_JAWABAN'!A1" TargetMode="External" Id="rId1"/><Relationship Type="http://schemas.openxmlformats.org/officeDocument/2006/relationships/hyperlink" Target="#'VLOOKUP'!A1" TargetMode="External" Id="rId2"/><Relationship Type="http://schemas.openxmlformats.org/officeDocument/2006/relationships/hyperlink" Target="#'HLOOKUP'!A1" TargetMode="External" Id="rId3"/><Relationship Type="http://schemas.openxmlformats.org/officeDocument/2006/relationships/hyperlink" Target="#'INDEX'!A1" TargetMode="External" Id="rId4"/><Relationship Type="http://schemas.openxmlformats.org/officeDocument/2006/relationships/hyperlink" Target="#'MATCH'!A1" TargetMode="External" Id="rId5"/><Relationship Type="http://schemas.openxmlformats.org/officeDocument/2006/relationships/hyperlink" Target="#'CHOOSE'!A1" TargetMode="External" Id="rId6"/><Relationship Type="http://schemas.openxmlformats.org/officeDocument/2006/relationships/hyperlink" Target="#'ROW'!A1" TargetMode="External" Id="rId7"/><Relationship Type="http://schemas.openxmlformats.org/officeDocument/2006/relationships/hyperlink" Target="#'COLUMN'!A1" TargetMode="External" Id="rId8"/><Relationship Type="http://schemas.openxmlformats.org/officeDocument/2006/relationships/hyperlink" Target="#'ROWS'!A1" TargetMode="External" Id="rId9"/><Relationship Type="http://schemas.openxmlformats.org/officeDocument/2006/relationships/hyperlink" Target="#'COLUMNS'!A1" TargetMode="External" Id="rId10"/><Relationship Type="http://schemas.openxmlformats.org/officeDocument/2006/relationships/hyperlink" Target="#'ADDRESS'!A1" TargetMode="External" Id="rId11"/><Relationship Type="http://schemas.openxmlformats.org/officeDocument/2006/relationships/hyperlink" Target="#'OFFSET'!A1" TargetMode="External" Id="rId12"/><Relationship Type="http://schemas.openxmlformats.org/officeDocument/2006/relationships/hyperlink" Target="#'INDIRECT'!A1" TargetMode="External" Id="rId13"/><Relationship Type="http://schemas.openxmlformats.org/officeDocument/2006/relationships/hyperlink" Target="#'LEFT'!A1" TargetMode="External" Id="rId14"/><Relationship Type="http://schemas.openxmlformats.org/officeDocument/2006/relationships/hyperlink" Target="#'RIGHT'!A1" TargetMode="External" Id="rId15"/><Relationship Type="http://schemas.openxmlformats.org/officeDocument/2006/relationships/hyperlink" Target="#'MID'!A1" TargetMode="External" Id="rId16"/><Relationship Type="http://schemas.openxmlformats.org/officeDocument/2006/relationships/hyperlink" Target="#'LEN'!A1" TargetMode="External" Id="rId17"/><Relationship Type="http://schemas.openxmlformats.org/officeDocument/2006/relationships/hyperlink" Target="#'TRIM'!A1" TargetMode="External" Id="rId18"/><Relationship Type="http://schemas.openxmlformats.org/officeDocument/2006/relationships/hyperlink" Target="#'CLEAN'!A1" TargetMode="External" Id="rId19"/><Relationship Type="http://schemas.openxmlformats.org/officeDocument/2006/relationships/hyperlink" Target="#'UPPER'!A1" TargetMode="External" Id="rId20"/><Relationship Type="http://schemas.openxmlformats.org/officeDocument/2006/relationships/hyperlink" Target="#'LOWER'!A1" TargetMode="External" Id="rId21"/><Relationship Type="http://schemas.openxmlformats.org/officeDocument/2006/relationships/hyperlink" Target="#'PROPER'!A1" TargetMode="External" Id="rId22"/><Relationship Type="http://schemas.openxmlformats.org/officeDocument/2006/relationships/hyperlink" Target="#'CONCATENATE'!A1" TargetMode="External" Id="rId23"/><Relationship Type="http://schemas.openxmlformats.org/officeDocument/2006/relationships/hyperlink" Target="#'EXACT'!A1" TargetMode="External" Id="rId24"/><Relationship Type="http://schemas.openxmlformats.org/officeDocument/2006/relationships/hyperlink" Target="#'FIND'!A1" TargetMode="External" Id="rId25"/><Relationship Type="http://schemas.openxmlformats.org/officeDocument/2006/relationships/hyperlink" Target="#'SEARCH'!A1" TargetMode="External" Id="rId26"/><Relationship Type="http://schemas.openxmlformats.org/officeDocument/2006/relationships/hyperlink" Target="#'SUBSTITUTE'!A1" TargetMode="External" Id="rId27"/><Relationship Type="http://schemas.openxmlformats.org/officeDocument/2006/relationships/hyperlink" Target="#'REPLACE'!A1" TargetMode="External" Id="rId28"/><Relationship Type="http://schemas.openxmlformats.org/officeDocument/2006/relationships/hyperlink" Target="#'REPT'!A1" TargetMode="External" Id="rId29"/><Relationship Type="http://schemas.openxmlformats.org/officeDocument/2006/relationships/hyperlink" Target="#'VALUE'!A1" TargetMode="External" Id="rId30"/><Relationship Type="http://schemas.openxmlformats.org/officeDocument/2006/relationships/hyperlink" Target="#'TEXT'!A1" TargetMode="External" Id="rId31"/><Relationship Type="http://schemas.openxmlformats.org/officeDocument/2006/relationships/hyperlink" Target="#'DATE'!A1" TargetMode="External" Id="rId32"/><Relationship Type="http://schemas.openxmlformats.org/officeDocument/2006/relationships/hyperlink" Target="#'YEAR'!A1" TargetMode="External" Id="rId33"/><Relationship Type="http://schemas.openxmlformats.org/officeDocument/2006/relationships/hyperlink" Target="#'MONTH'!A1" TargetMode="External" Id="rId34"/><Relationship Type="http://schemas.openxmlformats.org/officeDocument/2006/relationships/hyperlink" Target="#'DAY'!A1" TargetMode="External" Id="rId35"/><Relationship Type="http://schemas.openxmlformats.org/officeDocument/2006/relationships/hyperlink" Target="#'DAYS'!A1" TargetMode="External" Id="rId36"/><Relationship Type="http://schemas.openxmlformats.org/officeDocument/2006/relationships/hyperlink" Target="#'DATEDIF'!A1" TargetMode="External" Id="rId37"/><Relationship Type="http://schemas.openxmlformats.org/officeDocument/2006/relationships/hyperlink" Target="#'EDATE'!A1" TargetMode="External" Id="rId38"/><Relationship Type="http://schemas.openxmlformats.org/officeDocument/2006/relationships/hyperlink" Target="#'EOMONTH'!A1" TargetMode="External" Id="rId39"/><Relationship Type="http://schemas.openxmlformats.org/officeDocument/2006/relationships/hyperlink" Target="#'NETWORKDAYS'!A1" TargetMode="External" Id="rId40"/><Relationship Type="http://schemas.openxmlformats.org/officeDocument/2006/relationships/hyperlink" Target="#'WORKDAY'!A1" TargetMode="External" Id="rId41"/><Relationship Type="http://schemas.openxmlformats.org/officeDocument/2006/relationships/hyperlink" Target="#'WEEKDAY'!A1" TargetMode="External" Id="rId42"/><Relationship Type="http://schemas.openxmlformats.org/officeDocument/2006/relationships/hyperlink" Target="#'WEEKNUM'!A1" TargetMode="External" Id="rId43"/><Relationship Type="http://schemas.openxmlformats.org/officeDocument/2006/relationships/hyperlink" Target="#'HOUR'!A1" TargetMode="External" Id="rId44"/><Relationship Type="http://schemas.openxmlformats.org/officeDocument/2006/relationships/hyperlink" Target="#'MINUTE'!A1" TargetMode="External" Id="rId45"/><Relationship Type="http://schemas.openxmlformats.org/officeDocument/2006/relationships/hyperlink" Target="#'SECOND'!A1" TargetMode="External" Id="rId46"/><Relationship Type="http://schemas.openxmlformats.org/officeDocument/2006/relationships/hyperlink" Target="#'99_KUNCI_JAWABAN'!A1" TargetMode="External" Id="rId47"/></Relationships>
</file>

<file path=xl/worksheets/_rels/sheet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VLOOKUP'!E22" TargetMode="External" Id="rId2"/><Relationship Type="http://schemas.openxmlformats.org/officeDocument/2006/relationships/hyperlink" Target="#'VLOOKUP'!E30" TargetMode="External" Id="rId3"/><Relationship Type="http://schemas.openxmlformats.org/officeDocument/2006/relationships/hyperlink" Target="#'VLOOKUP'!E38" TargetMode="External" Id="rId4"/><Relationship Type="http://schemas.openxmlformats.org/officeDocument/2006/relationships/hyperlink" Target="#'VLOOKUP'!E46" TargetMode="External" Id="rId5"/><Relationship Type="http://schemas.openxmlformats.org/officeDocument/2006/relationships/hyperlink" Target="#'VLOOKUP'!E54" TargetMode="External" Id="rId6"/><Relationship Type="http://schemas.openxmlformats.org/officeDocument/2006/relationships/hyperlink" Target="#'HLOOKUP'!E22" TargetMode="External" Id="rId7"/><Relationship Type="http://schemas.openxmlformats.org/officeDocument/2006/relationships/hyperlink" Target="#'HLOOKUP'!E30" TargetMode="External" Id="rId8"/><Relationship Type="http://schemas.openxmlformats.org/officeDocument/2006/relationships/hyperlink" Target="#'HLOOKUP'!E38" TargetMode="External" Id="rId9"/><Relationship Type="http://schemas.openxmlformats.org/officeDocument/2006/relationships/hyperlink" Target="#'HLOOKUP'!E46" TargetMode="External" Id="rId10"/><Relationship Type="http://schemas.openxmlformats.org/officeDocument/2006/relationships/hyperlink" Target="#'HLOOKUP'!E54" TargetMode="External" Id="rId11"/><Relationship Type="http://schemas.openxmlformats.org/officeDocument/2006/relationships/hyperlink" Target="#'INDEX'!E22" TargetMode="External" Id="rId12"/><Relationship Type="http://schemas.openxmlformats.org/officeDocument/2006/relationships/hyperlink" Target="#'INDEX'!E30" TargetMode="External" Id="rId13"/><Relationship Type="http://schemas.openxmlformats.org/officeDocument/2006/relationships/hyperlink" Target="#'INDEX'!E38" TargetMode="External" Id="rId14"/><Relationship Type="http://schemas.openxmlformats.org/officeDocument/2006/relationships/hyperlink" Target="#'INDEX'!E46" TargetMode="External" Id="rId15"/><Relationship Type="http://schemas.openxmlformats.org/officeDocument/2006/relationships/hyperlink" Target="#'INDEX'!E54" TargetMode="External" Id="rId16"/><Relationship Type="http://schemas.openxmlformats.org/officeDocument/2006/relationships/hyperlink" Target="#'MATCH'!E22" TargetMode="External" Id="rId17"/><Relationship Type="http://schemas.openxmlformats.org/officeDocument/2006/relationships/hyperlink" Target="#'MATCH'!E30" TargetMode="External" Id="rId18"/><Relationship Type="http://schemas.openxmlformats.org/officeDocument/2006/relationships/hyperlink" Target="#'MATCH'!E38" TargetMode="External" Id="rId19"/><Relationship Type="http://schemas.openxmlformats.org/officeDocument/2006/relationships/hyperlink" Target="#'MATCH'!E46" TargetMode="External" Id="rId20"/><Relationship Type="http://schemas.openxmlformats.org/officeDocument/2006/relationships/hyperlink" Target="#'MATCH'!E54" TargetMode="External" Id="rId21"/><Relationship Type="http://schemas.openxmlformats.org/officeDocument/2006/relationships/hyperlink" Target="#'CHOOSE'!E22" TargetMode="External" Id="rId22"/><Relationship Type="http://schemas.openxmlformats.org/officeDocument/2006/relationships/hyperlink" Target="#'CHOOSE'!E30" TargetMode="External" Id="rId23"/><Relationship Type="http://schemas.openxmlformats.org/officeDocument/2006/relationships/hyperlink" Target="#'CHOOSE'!E38" TargetMode="External" Id="rId24"/><Relationship Type="http://schemas.openxmlformats.org/officeDocument/2006/relationships/hyperlink" Target="#'CHOOSE'!E46" TargetMode="External" Id="rId25"/><Relationship Type="http://schemas.openxmlformats.org/officeDocument/2006/relationships/hyperlink" Target="#'CHOOSE'!E54" TargetMode="External" Id="rId26"/><Relationship Type="http://schemas.openxmlformats.org/officeDocument/2006/relationships/hyperlink" Target="#'ROW'!E22" TargetMode="External" Id="rId27"/><Relationship Type="http://schemas.openxmlformats.org/officeDocument/2006/relationships/hyperlink" Target="#'ROW'!E30" TargetMode="External" Id="rId28"/><Relationship Type="http://schemas.openxmlformats.org/officeDocument/2006/relationships/hyperlink" Target="#'ROW'!E38" TargetMode="External" Id="rId29"/><Relationship Type="http://schemas.openxmlformats.org/officeDocument/2006/relationships/hyperlink" Target="#'ROW'!E46" TargetMode="External" Id="rId30"/><Relationship Type="http://schemas.openxmlformats.org/officeDocument/2006/relationships/hyperlink" Target="#'ROW'!E54" TargetMode="External" Id="rId31"/><Relationship Type="http://schemas.openxmlformats.org/officeDocument/2006/relationships/hyperlink" Target="#'COLUMN'!E22" TargetMode="External" Id="rId32"/><Relationship Type="http://schemas.openxmlformats.org/officeDocument/2006/relationships/hyperlink" Target="#'COLUMN'!E30" TargetMode="External" Id="rId33"/><Relationship Type="http://schemas.openxmlformats.org/officeDocument/2006/relationships/hyperlink" Target="#'COLUMN'!E38" TargetMode="External" Id="rId34"/><Relationship Type="http://schemas.openxmlformats.org/officeDocument/2006/relationships/hyperlink" Target="#'COLUMN'!E46" TargetMode="External" Id="rId35"/><Relationship Type="http://schemas.openxmlformats.org/officeDocument/2006/relationships/hyperlink" Target="#'COLUMN'!E54" TargetMode="External" Id="rId36"/><Relationship Type="http://schemas.openxmlformats.org/officeDocument/2006/relationships/hyperlink" Target="#'ROWS'!E22" TargetMode="External" Id="rId37"/><Relationship Type="http://schemas.openxmlformats.org/officeDocument/2006/relationships/hyperlink" Target="#'ROWS'!E30" TargetMode="External" Id="rId38"/><Relationship Type="http://schemas.openxmlformats.org/officeDocument/2006/relationships/hyperlink" Target="#'ROWS'!E38" TargetMode="External" Id="rId39"/><Relationship Type="http://schemas.openxmlformats.org/officeDocument/2006/relationships/hyperlink" Target="#'ROWS'!E46" TargetMode="External" Id="rId40"/><Relationship Type="http://schemas.openxmlformats.org/officeDocument/2006/relationships/hyperlink" Target="#'ROWS'!E54" TargetMode="External" Id="rId41"/><Relationship Type="http://schemas.openxmlformats.org/officeDocument/2006/relationships/hyperlink" Target="#'COLUMNS'!E22" TargetMode="External" Id="rId42"/><Relationship Type="http://schemas.openxmlformats.org/officeDocument/2006/relationships/hyperlink" Target="#'COLUMNS'!E30" TargetMode="External" Id="rId43"/><Relationship Type="http://schemas.openxmlformats.org/officeDocument/2006/relationships/hyperlink" Target="#'COLUMNS'!E38" TargetMode="External" Id="rId44"/><Relationship Type="http://schemas.openxmlformats.org/officeDocument/2006/relationships/hyperlink" Target="#'COLUMNS'!E46" TargetMode="External" Id="rId45"/><Relationship Type="http://schemas.openxmlformats.org/officeDocument/2006/relationships/hyperlink" Target="#'COLUMNS'!E54" TargetMode="External" Id="rId46"/><Relationship Type="http://schemas.openxmlformats.org/officeDocument/2006/relationships/hyperlink" Target="#'ADDRESS'!E22" TargetMode="External" Id="rId47"/><Relationship Type="http://schemas.openxmlformats.org/officeDocument/2006/relationships/hyperlink" Target="#'ADDRESS'!E30" TargetMode="External" Id="rId48"/><Relationship Type="http://schemas.openxmlformats.org/officeDocument/2006/relationships/hyperlink" Target="#'ADDRESS'!E38" TargetMode="External" Id="rId49"/><Relationship Type="http://schemas.openxmlformats.org/officeDocument/2006/relationships/hyperlink" Target="#'ADDRESS'!E46" TargetMode="External" Id="rId50"/><Relationship Type="http://schemas.openxmlformats.org/officeDocument/2006/relationships/hyperlink" Target="#'ADDRESS'!E54" TargetMode="External" Id="rId51"/><Relationship Type="http://schemas.openxmlformats.org/officeDocument/2006/relationships/hyperlink" Target="#'OFFSET'!E22" TargetMode="External" Id="rId52"/><Relationship Type="http://schemas.openxmlformats.org/officeDocument/2006/relationships/hyperlink" Target="#'OFFSET'!E30" TargetMode="External" Id="rId53"/><Relationship Type="http://schemas.openxmlformats.org/officeDocument/2006/relationships/hyperlink" Target="#'OFFSET'!E38" TargetMode="External" Id="rId54"/><Relationship Type="http://schemas.openxmlformats.org/officeDocument/2006/relationships/hyperlink" Target="#'OFFSET'!E46" TargetMode="External" Id="rId55"/><Relationship Type="http://schemas.openxmlformats.org/officeDocument/2006/relationships/hyperlink" Target="#'OFFSET'!E54" TargetMode="External" Id="rId56"/><Relationship Type="http://schemas.openxmlformats.org/officeDocument/2006/relationships/hyperlink" Target="#'INDIRECT'!E22" TargetMode="External" Id="rId57"/><Relationship Type="http://schemas.openxmlformats.org/officeDocument/2006/relationships/hyperlink" Target="#'INDIRECT'!E30" TargetMode="External" Id="rId58"/><Relationship Type="http://schemas.openxmlformats.org/officeDocument/2006/relationships/hyperlink" Target="#'INDIRECT'!E38" TargetMode="External" Id="rId59"/><Relationship Type="http://schemas.openxmlformats.org/officeDocument/2006/relationships/hyperlink" Target="#'INDIRECT'!E46" TargetMode="External" Id="rId60"/><Relationship Type="http://schemas.openxmlformats.org/officeDocument/2006/relationships/hyperlink" Target="#'INDIRECT'!E54" TargetMode="External" Id="rId61"/><Relationship Type="http://schemas.openxmlformats.org/officeDocument/2006/relationships/hyperlink" Target="#'LEFT'!E22" TargetMode="External" Id="rId62"/><Relationship Type="http://schemas.openxmlformats.org/officeDocument/2006/relationships/hyperlink" Target="#'LEFT'!E30" TargetMode="External" Id="rId63"/><Relationship Type="http://schemas.openxmlformats.org/officeDocument/2006/relationships/hyperlink" Target="#'LEFT'!E38" TargetMode="External" Id="rId64"/><Relationship Type="http://schemas.openxmlformats.org/officeDocument/2006/relationships/hyperlink" Target="#'LEFT'!E46" TargetMode="External" Id="rId65"/><Relationship Type="http://schemas.openxmlformats.org/officeDocument/2006/relationships/hyperlink" Target="#'LEFT'!E54" TargetMode="External" Id="rId66"/><Relationship Type="http://schemas.openxmlformats.org/officeDocument/2006/relationships/hyperlink" Target="#'RIGHT'!E22" TargetMode="External" Id="rId67"/><Relationship Type="http://schemas.openxmlformats.org/officeDocument/2006/relationships/hyperlink" Target="#'RIGHT'!E30" TargetMode="External" Id="rId68"/><Relationship Type="http://schemas.openxmlformats.org/officeDocument/2006/relationships/hyperlink" Target="#'RIGHT'!E38" TargetMode="External" Id="rId69"/><Relationship Type="http://schemas.openxmlformats.org/officeDocument/2006/relationships/hyperlink" Target="#'RIGHT'!E46" TargetMode="External" Id="rId70"/><Relationship Type="http://schemas.openxmlformats.org/officeDocument/2006/relationships/hyperlink" Target="#'RIGHT'!E54" TargetMode="External" Id="rId71"/><Relationship Type="http://schemas.openxmlformats.org/officeDocument/2006/relationships/hyperlink" Target="#'MID'!E22" TargetMode="External" Id="rId72"/><Relationship Type="http://schemas.openxmlformats.org/officeDocument/2006/relationships/hyperlink" Target="#'MID'!E30" TargetMode="External" Id="rId73"/><Relationship Type="http://schemas.openxmlformats.org/officeDocument/2006/relationships/hyperlink" Target="#'MID'!E38" TargetMode="External" Id="rId74"/><Relationship Type="http://schemas.openxmlformats.org/officeDocument/2006/relationships/hyperlink" Target="#'MID'!E46" TargetMode="External" Id="rId75"/><Relationship Type="http://schemas.openxmlformats.org/officeDocument/2006/relationships/hyperlink" Target="#'MID'!E54" TargetMode="External" Id="rId76"/><Relationship Type="http://schemas.openxmlformats.org/officeDocument/2006/relationships/hyperlink" Target="#'LEN'!E22" TargetMode="External" Id="rId77"/><Relationship Type="http://schemas.openxmlformats.org/officeDocument/2006/relationships/hyperlink" Target="#'LEN'!E30" TargetMode="External" Id="rId78"/><Relationship Type="http://schemas.openxmlformats.org/officeDocument/2006/relationships/hyperlink" Target="#'LEN'!E38" TargetMode="External" Id="rId79"/><Relationship Type="http://schemas.openxmlformats.org/officeDocument/2006/relationships/hyperlink" Target="#'LEN'!E46" TargetMode="External" Id="rId80"/><Relationship Type="http://schemas.openxmlformats.org/officeDocument/2006/relationships/hyperlink" Target="#'LEN'!E54" TargetMode="External" Id="rId81"/><Relationship Type="http://schemas.openxmlformats.org/officeDocument/2006/relationships/hyperlink" Target="#'TRIM'!E22" TargetMode="External" Id="rId82"/><Relationship Type="http://schemas.openxmlformats.org/officeDocument/2006/relationships/hyperlink" Target="#'TRIM'!E30" TargetMode="External" Id="rId83"/><Relationship Type="http://schemas.openxmlformats.org/officeDocument/2006/relationships/hyperlink" Target="#'TRIM'!E38" TargetMode="External" Id="rId84"/><Relationship Type="http://schemas.openxmlformats.org/officeDocument/2006/relationships/hyperlink" Target="#'TRIM'!E46" TargetMode="External" Id="rId85"/><Relationship Type="http://schemas.openxmlformats.org/officeDocument/2006/relationships/hyperlink" Target="#'TRIM'!E54" TargetMode="External" Id="rId86"/><Relationship Type="http://schemas.openxmlformats.org/officeDocument/2006/relationships/hyperlink" Target="#'CLEAN'!E22" TargetMode="External" Id="rId87"/><Relationship Type="http://schemas.openxmlformats.org/officeDocument/2006/relationships/hyperlink" Target="#'CLEAN'!E30" TargetMode="External" Id="rId88"/><Relationship Type="http://schemas.openxmlformats.org/officeDocument/2006/relationships/hyperlink" Target="#'CLEAN'!E38" TargetMode="External" Id="rId89"/><Relationship Type="http://schemas.openxmlformats.org/officeDocument/2006/relationships/hyperlink" Target="#'CLEAN'!E46" TargetMode="External" Id="rId90"/><Relationship Type="http://schemas.openxmlformats.org/officeDocument/2006/relationships/hyperlink" Target="#'CLEAN'!E54" TargetMode="External" Id="rId91"/><Relationship Type="http://schemas.openxmlformats.org/officeDocument/2006/relationships/hyperlink" Target="#'UPPER'!E22" TargetMode="External" Id="rId92"/><Relationship Type="http://schemas.openxmlformats.org/officeDocument/2006/relationships/hyperlink" Target="#'UPPER'!E30" TargetMode="External" Id="rId93"/><Relationship Type="http://schemas.openxmlformats.org/officeDocument/2006/relationships/hyperlink" Target="#'UPPER'!E38" TargetMode="External" Id="rId94"/><Relationship Type="http://schemas.openxmlformats.org/officeDocument/2006/relationships/hyperlink" Target="#'UPPER'!E46" TargetMode="External" Id="rId95"/><Relationship Type="http://schemas.openxmlformats.org/officeDocument/2006/relationships/hyperlink" Target="#'UPPER'!E54" TargetMode="External" Id="rId96"/><Relationship Type="http://schemas.openxmlformats.org/officeDocument/2006/relationships/hyperlink" Target="#'LOWER'!E22" TargetMode="External" Id="rId97"/><Relationship Type="http://schemas.openxmlformats.org/officeDocument/2006/relationships/hyperlink" Target="#'LOWER'!E30" TargetMode="External" Id="rId98"/><Relationship Type="http://schemas.openxmlformats.org/officeDocument/2006/relationships/hyperlink" Target="#'LOWER'!E38" TargetMode="External" Id="rId99"/><Relationship Type="http://schemas.openxmlformats.org/officeDocument/2006/relationships/hyperlink" Target="#'LOWER'!E46" TargetMode="External" Id="rId100"/><Relationship Type="http://schemas.openxmlformats.org/officeDocument/2006/relationships/hyperlink" Target="#'LOWER'!E54" TargetMode="External" Id="rId101"/><Relationship Type="http://schemas.openxmlformats.org/officeDocument/2006/relationships/hyperlink" Target="#'PROPER'!E22" TargetMode="External" Id="rId102"/><Relationship Type="http://schemas.openxmlformats.org/officeDocument/2006/relationships/hyperlink" Target="#'PROPER'!E30" TargetMode="External" Id="rId103"/><Relationship Type="http://schemas.openxmlformats.org/officeDocument/2006/relationships/hyperlink" Target="#'PROPER'!E38" TargetMode="External" Id="rId104"/><Relationship Type="http://schemas.openxmlformats.org/officeDocument/2006/relationships/hyperlink" Target="#'PROPER'!E46" TargetMode="External" Id="rId105"/><Relationship Type="http://schemas.openxmlformats.org/officeDocument/2006/relationships/hyperlink" Target="#'PROPER'!E54" TargetMode="External" Id="rId106"/><Relationship Type="http://schemas.openxmlformats.org/officeDocument/2006/relationships/hyperlink" Target="#'CONCATENATE'!E22" TargetMode="External" Id="rId107"/><Relationship Type="http://schemas.openxmlformats.org/officeDocument/2006/relationships/hyperlink" Target="#'CONCATENATE'!E30" TargetMode="External" Id="rId108"/><Relationship Type="http://schemas.openxmlformats.org/officeDocument/2006/relationships/hyperlink" Target="#'CONCATENATE'!E38" TargetMode="External" Id="rId109"/><Relationship Type="http://schemas.openxmlformats.org/officeDocument/2006/relationships/hyperlink" Target="#'CONCATENATE'!E46" TargetMode="External" Id="rId110"/><Relationship Type="http://schemas.openxmlformats.org/officeDocument/2006/relationships/hyperlink" Target="#'CONCATENATE'!E54" TargetMode="External" Id="rId111"/><Relationship Type="http://schemas.openxmlformats.org/officeDocument/2006/relationships/hyperlink" Target="#'EXACT'!E22" TargetMode="External" Id="rId112"/><Relationship Type="http://schemas.openxmlformats.org/officeDocument/2006/relationships/hyperlink" Target="#'EXACT'!E30" TargetMode="External" Id="rId113"/><Relationship Type="http://schemas.openxmlformats.org/officeDocument/2006/relationships/hyperlink" Target="#'EXACT'!E38" TargetMode="External" Id="rId114"/><Relationship Type="http://schemas.openxmlformats.org/officeDocument/2006/relationships/hyperlink" Target="#'EXACT'!E46" TargetMode="External" Id="rId115"/><Relationship Type="http://schemas.openxmlformats.org/officeDocument/2006/relationships/hyperlink" Target="#'EXACT'!E54" TargetMode="External" Id="rId116"/><Relationship Type="http://schemas.openxmlformats.org/officeDocument/2006/relationships/hyperlink" Target="#'FIND'!E22" TargetMode="External" Id="rId117"/><Relationship Type="http://schemas.openxmlformats.org/officeDocument/2006/relationships/hyperlink" Target="#'FIND'!E30" TargetMode="External" Id="rId118"/><Relationship Type="http://schemas.openxmlformats.org/officeDocument/2006/relationships/hyperlink" Target="#'FIND'!E38" TargetMode="External" Id="rId119"/><Relationship Type="http://schemas.openxmlformats.org/officeDocument/2006/relationships/hyperlink" Target="#'FIND'!E46" TargetMode="External" Id="rId120"/><Relationship Type="http://schemas.openxmlformats.org/officeDocument/2006/relationships/hyperlink" Target="#'FIND'!E54" TargetMode="External" Id="rId121"/><Relationship Type="http://schemas.openxmlformats.org/officeDocument/2006/relationships/hyperlink" Target="#'SEARCH'!E22" TargetMode="External" Id="rId122"/><Relationship Type="http://schemas.openxmlformats.org/officeDocument/2006/relationships/hyperlink" Target="#'SEARCH'!E30" TargetMode="External" Id="rId123"/><Relationship Type="http://schemas.openxmlformats.org/officeDocument/2006/relationships/hyperlink" Target="#'SEARCH'!E38" TargetMode="External" Id="rId124"/><Relationship Type="http://schemas.openxmlformats.org/officeDocument/2006/relationships/hyperlink" Target="#'SEARCH'!E46" TargetMode="External" Id="rId125"/><Relationship Type="http://schemas.openxmlformats.org/officeDocument/2006/relationships/hyperlink" Target="#'SEARCH'!E54" TargetMode="External" Id="rId126"/><Relationship Type="http://schemas.openxmlformats.org/officeDocument/2006/relationships/hyperlink" Target="#'SUBSTITUTE'!E22" TargetMode="External" Id="rId127"/><Relationship Type="http://schemas.openxmlformats.org/officeDocument/2006/relationships/hyperlink" Target="#'SUBSTITUTE'!E30" TargetMode="External" Id="rId128"/><Relationship Type="http://schemas.openxmlformats.org/officeDocument/2006/relationships/hyperlink" Target="#'SUBSTITUTE'!E38" TargetMode="External" Id="rId129"/><Relationship Type="http://schemas.openxmlformats.org/officeDocument/2006/relationships/hyperlink" Target="#'SUBSTITUTE'!E46" TargetMode="External" Id="rId130"/><Relationship Type="http://schemas.openxmlformats.org/officeDocument/2006/relationships/hyperlink" Target="#'SUBSTITUTE'!E54" TargetMode="External" Id="rId131"/><Relationship Type="http://schemas.openxmlformats.org/officeDocument/2006/relationships/hyperlink" Target="#'REPLACE'!E22" TargetMode="External" Id="rId132"/><Relationship Type="http://schemas.openxmlformats.org/officeDocument/2006/relationships/hyperlink" Target="#'REPLACE'!E30" TargetMode="External" Id="rId133"/><Relationship Type="http://schemas.openxmlformats.org/officeDocument/2006/relationships/hyperlink" Target="#'REPLACE'!E38" TargetMode="External" Id="rId134"/><Relationship Type="http://schemas.openxmlformats.org/officeDocument/2006/relationships/hyperlink" Target="#'REPLACE'!E46" TargetMode="External" Id="rId135"/><Relationship Type="http://schemas.openxmlformats.org/officeDocument/2006/relationships/hyperlink" Target="#'REPLACE'!E54" TargetMode="External" Id="rId136"/><Relationship Type="http://schemas.openxmlformats.org/officeDocument/2006/relationships/hyperlink" Target="#'REPT'!E22" TargetMode="External" Id="rId137"/><Relationship Type="http://schemas.openxmlformats.org/officeDocument/2006/relationships/hyperlink" Target="#'REPT'!E30" TargetMode="External" Id="rId138"/><Relationship Type="http://schemas.openxmlformats.org/officeDocument/2006/relationships/hyperlink" Target="#'REPT'!E38" TargetMode="External" Id="rId139"/><Relationship Type="http://schemas.openxmlformats.org/officeDocument/2006/relationships/hyperlink" Target="#'REPT'!E46" TargetMode="External" Id="rId140"/><Relationship Type="http://schemas.openxmlformats.org/officeDocument/2006/relationships/hyperlink" Target="#'REPT'!E54" TargetMode="External" Id="rId141"/><Relationship Type="http://schemas.openxmlformats.org/officeDocument/2006/relationships/hyperlink" Target="#'VALUE'!E22" TargetMode="External" Id="rId142"/><Relationship Type="http://schemas.openxmlformats.org/officeDocument/2006/relationships/hyperlink" Target="#'VALUE'!E30" TargetMode="External" Id="rId143"/><Relationship Type="http://schemas.openxmlformats.org/officeDocument/2006/relationships/hyperlink" Target="#'VALUE'!E38" TargetMode="External" Id="rId144"/><Relationship Type="http://schemas.openxmlformats.org/officeDocument/2006/relationships/hyperlink" Target="#'VALUE'!E46" TargetMode="External" Id="rId145"/><Relationship Type="http://schemas.openxmlformats.org/officeDocument/2006/relationships/hyperlink" Target="#'VALUE'!E54" TargetMode="External" Id="rId146"/><Relationship Type="http://schemas.openxmlformats.org/officeDocument/2006/relationships/hyperlink" Target="#'TEXT'!E22" TargetMode="External" Id="rId147"/><Relationship Type="http://schemas.openxmlformats.org/officeDocument/2006/relationships/hyperlink" Target="#'TEXT'!E30" TargetMode="External" Id="rId148"/><Relationship Type="http://schemas.openxmlformats.org/officeDocument/2006/relationships/hyperlink" Target="#'TEXT'!E38" TargetMode="External" Id="rId149"/><Relationship Type="http://schemas.openxmlformats.org/officeDocument/2006/relationships/hyperlink" Target="#'TEXT'!E46" TargetMode="External" Id="rId150"/><Relationship Type="http://schemas.openxmlformats.org/officeDocument/2006/relationships/hyperlink" Target="#'TEXT'!E54" TargetMode="External" Id="rId151"/><Relationship Type="http://schemas.openxmlformats.org/officeDocument/2006/relationships/hyperlink" Target="#'DATE'!E22" TargetMode="External" Id="rId152"/><Relationship Type="http://schemas.openxmlformats.org/officeDocument/2006/relationships/hyperlink" Target="#'DATE'!E30" TargetMode="External" Id="rId153"/><Relationship Type="http://schemas.openxmlformats.org/officeDocument/2006/relationships/hyperlink" Target="#'DATE'!E38" TargetMode="External" Id="rId154"/><Relationship Type="http://schemas.openxmlformats.org/officeDocument/2006/relationships/hyperlink" Target="#'DATE'!E46" TargetMode="External" Id="rId155"/><Relationship Type="http://schemas.openxmlformats.org/officeDocument/2006/relationships/hyperlink" Target="#'DATE'!E54" TargetMode="External" Id="rId156"/><Relationship Type="http://schemas.openxmlformats.org/officeDocument/2006/relationships/hyperlink" Target="#'YEAR'!E22" TargetMode="External" Id="rId157"/><Relationship Type="http://schemas.openxmlformats.org/officeDocument/2006/relationships/hyperlink" Target="#'YEAR'!E30" TargetMode="External" Id="rId158"/><Relationship Type="http://schemas.openxmlformats.org/officeDocument/2006/relationships/hyperlink" Target="#'YEAR'!E38" TargetMode="External" Id="rId159"/><Relationship Type="http://schemas.openxmlformats.org/officeDocument/2006/relationships/hyperlink" Target="#'YEAR'!E46" TargetMode="External" Id="rId160"/><Relationship Type="http://schemas.openxmlformats.org/officeDocument/2006/relationships/hyperlink" Target="#'YEAR'!E54" TargetMode="External" Id="rId161"/><Relationship Type="http://schemas.openxmlformats.org/officeDocument/2006/relationships/hyperlink" Target="#'MONTH'!E22" TargetMode="External" Id="rId162"/><Relationship Type="http://schemas.openxmlformats.org/officeDocument/2006/relationships/hyperlink" Target="#'MONTH'!E30" TargetMode="External" Id="rId163"/><Relationship Type="http://schemas.openxmlformats.org/officeDocument/2006/relationships/hyperlink" Target="#'MONTH'!E38" TargetMode="External" Id="rId164"/><Relationship Type="http://schemas.openxmlformats.org/officeDocument/2006/relationships/hyperlink" Target="#'MONTH'!E46" TargetMode="External" Id="rId165"/><Relationship Type="http://schemas.openxmlformats.org/officeDocument/2006/relationships/hyperlink" Target="#'MONTH'!E54" TargetMode="External" Id="rId166"/><Relationship Type="http://schemas.openxmlformats.org/officeDocument/2006/relationships/hyperlink" Target="#'DAY'!E22" TargetMode="External" Id="rId167"/><Relationship Type="http://schemas.openxmlformats.org/officeDocument/2006/relationships/hyperlink" Target="#'DAY'!E30" TargetMode="External" Id="rId168"/><Relationship Type="http://schemas.openxmlformats.org/officeDocument/2006/relationships/hyperlink" Target="#'DAY'!E38" TargetMode="External" Id="rId169"/><Relationship Type="http://schemas.openxmlformats.org/officeDocument/2006/relationships/hyperlink" Target="#'DAY'!E46" TargetMode="External" Id="rId170"/><Relationship Type="http://schemas.openxmlformats.org/officeDocument/2006/relationships/hyperlink" Target="#'DAY'!E54" TargetMode="External" Id="rId171"/><Relationship Type="http://schemas.openxmlformats.org/officeDocument/2006/relationships/hyperlink" Target="#'DAYS'!E22" TargetMode="External" Id="rId172"/><Relationship Type="http://schemas.openxmlformats.org/officeDocument/2006/relationships/hyperlink" Target="#'DAYS'!E30" TargetMode="External" Id="rId173"/><Relationship Type="http://schemas.openxmlformats.org/officeDocument/2006/relationships/hyperlink" Target="#'DAYS'!E38" TargetMode="External" Id="rId174"/><Relationship Type="http://schemas.openxmlformats.org/officeDocument/2006/relationships/hyperlink" Target="#'DAYS'!E46" TargetMode="External" Id="rId175"/><Relationship Type="http://schemas.openxmlformats.org/officeDocument/2006/relationships/hyperlink" Target="#'DAYS'!E54" TargetMode="External" Id="rId176"/><Relationship Type="http://schemas.openxmlformats.org/officeDocument/2006/relationships/hyperlink" Target="#'DATEDIF'!E22" TargetMode="External" Id="rId177"/><Relationship Type="http://schemas.openxmlformats.org/officeDocument/2006/relationships/hyperlink" Target="#'DATEDIF'!E30" TargetMode="External" Id="rId178"/><Relationship Type="http://schemas.openxmlformats.org/officeDocument/2006/relationships/hyperlink" Target="#'DATEDIF'!E38" TargetMode="External" Id="rId179"/><Relationship Type="http://schemas.openxmlformats.org/officeDocument/2006/relationships/hyperlink" Target="#'DATEDIF'!E46" TargetMode="External" Id="rId180"/><Relationship Type="http://schemas.openxmlformats.org/officeDocument/2006/relationships/hyperlink" Target="#'DATEDIF'!E54" TargetMode="External" Id="rId181"/><Relationship Type="http://schemas.openxmlformats.org/officeDocument/2006/relationships/hyperlink" Target="#'EDATE'!E22" TargetMode="External" Id="rId182"/><Relationship Type="http://schemas.openxmlformats.org/officeDocument/2006/relationships/hyperlink" Target="#'EDATE'!E30" TargetMode="External" Id="rId183"/><Relationship Type="http://schemas.openxmlformats.org/officeDocument/2006/relationships/hyperlink" Target="#'EDATE'!E38" TargetMode="External" Id="rId184"/><Relationship Type="http://schemas.openxmlformats.org/officeDocument/2006/relationships/hyperlink" Target="#'EDATE'!E46" TargetMode="External" Id="rId185"/><Relationship Type="http://schemas.openxmlformats.org/officeDocument/2006/relationships/hyperlink" Target="#'EDATE'!E54" TargetMode="External" Id="rId186"/><Relationship Type="http://schemas.openxmlformats.org/officeDocument/2006/relationships/hyperlink" Target="#'EOMONTH'!E22" TargetMode="External" Id="rId187"/><Relationship Type="http://schemas.openxmlformats.org/officeDocument/2006/relationships/hyperlink" Target="#'EOMONTH'!E30" TargetMode="External" Id="rId188"/><Relationship Type="http://schemas.openxmlformats.org/officeDocument/2006/relationships/hyperlink" Target="#'EOMONTH'!E38" TargetMode="External" Id="rId189"/><Relationship Type="http://schemas.openxmlformats.org/officeDocument/2006/relationships/hyperlink" Target="#'EOMONTH'!E46" TargetMode="External" Id="rId190"/><Relationship Type="http://schemas.openxmlformats.org/officeDocument/2006/relationships/hyperlink" Target="#'EOMONTH'!E54" TargetMode="External" Id="rId191"/><Relationship Type="http://schemas.openxmlformats.org/officeDocument/2006/relationships/hyperlink" Target="#'NETWORKDAYS'!E22" TargetMode="External" Id="rId192"/><Relationship Type="http://schemas.openxmlformats.org/officeDocument/2006/relationships/hyperlink" Target="#'NETWORKDAYS'!E30" TargetMode="External" Id="rId193"/><Relationship Type="http://schemas.openxmlformats.org/officeDocument/2006/relationships/hyperlink" Target="#'NETWORKDAYS'!E38" TargetMode="External" Id="rId194"/><Relationship Type="http://schemas.openxmlformats.org/officeDocument/2006/relationships/hyperlink" Target="#'NETWORKDAYS'!E46" TargetMode="External" Id="rId195"/><Relationship Type="http://schemas.openxmlformats.org/officeDocument/2006/relationships/hyperlink" Target="#'NETWORKDAYS'!E54" TargetMode="External" Id="rId196"/><Relationship Type="http://schemas.openxmlformats.org/officeDocument/2006/relationships/hyperlink" Target="#'WORKDAY'!E22" TargetMode="External" Id="rId197"/><Relationship Type="http://schemas.openxmlformats.org/officeDocument/2006/relationships/hyperlink" Target="#'WORKDAY'!E30" TargetMode="External" Id="rId198"/><Relationship Type="http://schemas.openxmlformats.org/officeDocument/2006/relationships/hyperlink" Target="#'WORKDAY'!E38" TargetMode="External" Id="rId199"/><Relationship Type="http://schemas.openxmlformats.org/officeDocument/2006/relationships/hyperlink" Target="#'WORKDAY'!E46" TargetMode="External" Id="rId200"/><Relationship Type="http://schemas.openxmlformats.org/officeDocument/2006/relationships/hyperlink" Target="#'WORKDAY'!E54" TargetMode="External" Id="rId201"/><Relationship Type="http://schemas.openxmlformats.org/officeDocument/2006/relationships/hyperlink" Target="#'WEEKDAY'!E22" TargetMode="External" Id="rId202"/><Relationship Type="http://schemas.openxmlformats.org/officeDocument/2006/relationships/hyperlink" Target="#'WEEKDAY'!E30" TargetMode="External" Id="rId203"/><Relationship Type="http://schemas.openxmlformats.org/officeDocument/2006/relationships/hyperlink" Target="#'WEEKDAY'!E38" TargetMode="External" Id="rId204"/><Relationship Type="http://schemas.openxmlformats.org/officeDocument/2006/relationships/hyperlink" Target="#'WEEKDAY'!E46" TargetMode="External" Id="rId205"/><Relationship Type="http://schemas.openxmlformats.org/officeDocument/2006/relationships/hyperlink" Target="#'WEEKDAY'!E54" TargetMode="External" Id="rId206"/><Relationship Type="http://schemas.openxmlformats.org/officeDocument/2006/relationships/hyperlink" Target="#'WEEKNUM'!E22" TargetMode="External" Id="rId207"/><Relationship Type="http://schemas.openxmlformats.org/officeDocument/2006/relationships/hyperlink" Target="#'WEEKNUM'!E30" TargetMode="External" Id="rId208"/><Relationship Type="http://schemas.openxmlformats.org/officeDocument/2006/relationships/hyperlink" Target="#'WEEKNUM'!E38" TargetMode="External" Id="rId209"/><Relationship Type="http://schemas.openxmlformats.org/officeDocument/2006/relationships/hyperlink" Target="#'WEEKNUM'!E46" TargetMode="External" Id="rId210"/><Relationship Type="http://schemas.openxmlformats.org/officeDocument/2006/relationships/hyperlink" Target="#'WEEKNUM'!E54" TargetMode="External" Id="rId211"/><Relationship Type="http://schemas.openxmlformats.org/officeDocument/2006/relationships/hyperlink" Target="#'HOUR'!E22" TargetMode="External" Id="rId212"/><Relationship Type="http://schemas.openxmlformats.org/officeDocument/2006/relationships/hyperlink" Target="#'HOUR'!E30" TargetMode="External" Id="rId213"/><Relationship Type="http://schemas.openxmlformats.org/officeDocument/2006/relationships/hyperlink" Target="#'HOUR'!E38" TargetMode="External" Id="rId214"/><Relationship Type="http://schemas.openxmlformats.org/officeDocument/2006/relationships/hyperlink" Target="#'HOUR'!E46" TargetMode="External" Id="rId215"/><Relationship Type="http://schemas.openxmlformats.org/officeDocument/2006/relationships/hyperlink" Target="#'HOUR'!E54" TargetMode="External" Id="rId216"/><Relationship Type="http://schemas.openxmlformats.org/officeDocument/2006/relationships/hyperlink" Target="#'MINUTE'!E22" TargetMode="External" Id="rId217"/><Relationship Type="http://schemas.openxmlformats.org/officeDocument/2006/relationships/hyperlink" Target="#'MINUTE'!E30" TargetMode="External" Id="rId218"/><Relationship Type="http://schemas.openxmlformats.org/officeDocument/2006/relationships/hyperlink" Target="#'MINUTE'!E38" TargetMode="External" Id="rId219"/><Relationship Type="http://schemas.openxmlformats.org/officeDocument/2006/relationships/hyperlink" Target="#'MINUTE'!E46" TargetMode="External" Id="rId220"/><Relationship Type="http://schemas.openxmlformats.org/officeDocument/2006/relationships/hyperlink" Target="#'MINUTE'!E54" TargetMode="External" Id="rId221"/><Relationship Type="http://schemas.openxmlformats.org/officeDocument/2006/relationships/hyperlink" Target="#'SECOND'!E22" TargetMode="External" Id="rId222"/><Relationship Type="http://schemas.openxmlformats.org/officeDocument/2006/relationships/hyperlink" Target="#'SECOND'!E30" TargetMode="External" Id="rId223"/><Relationship Type="http://schemas.openxmlformats.org/officeDocument/2006/relationships/hyperlink" Target="#'SECOND'!E38" TargetMode="External" Id="rId224"/><Relationship Type="http://schemas.openxmlformats.org/officeDocument/2006/relationships/hyperlink" Target="#'SECOND'!E46" TargetMode="External" Id="rId225"/><Relationship Type="http://schemas.openxmlformats.org/officeDocument/2006/relationships/hyperlink" Target="#'SECOND'!E54" TargetMode="External" Id="rId2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36" customWidth="1" min="4" max="4"/>
    <col width="65" customWidth="1" min="5" max="5"/>
    <col width="28" customWidth="1" min="6" max="6"/>
  </cols>
  <sheetData>
    <row r="1" ht="32" customHeight="1">
      <c r="A1" s="1" t="inlineStr">
        <is>
          <t>📚 PAKET 2: RUMUS VLOOKUP, PENGOLAHAN TEKS &amp; TANGGAL HRD (45 SHEET RUMUS • 1 CONTOH + 5 SOAL TES PER RUMUS)</t>
        </is>
      </c>
    </row>
    <row r="2" ht="22" customHeight="1">
      <c r="A2" s="2" t="inlineStr">
        <is>
          <t>Setiap Sheet berisi: 1 Contoh Soal + Jawaban Benar, lalu 5 Soal Tes Tanpa Kunci. Kunci Jawaban Lengkap ada di Sheet Paling Terakhir (99_KUNCI_JAWABAN)!</t>
        </is>
      </c>
      <c r="F2" s="3" t="inlineStr">
        <is>
          <t>🔑 Buka 99_KUNCI_JAWABAN</t>
        </is>
      </c>
    </row>
    <row r="4" ht="24" customHeight="1">
      <c r="A4" s="4" t="inlineStr">
        <is>
          <t>No</t>
        </is>
      </c>
      <c r="B4" s="4" t="inlineStr">
        <is>
          <t>Nama Rumus (Sheet)</t>
        </is>
      </c>
      <c r="C4" s="4" t="inlineStr">
        <is>
          <t>Kategori</t>
        </is>
      </c>
      <c r="D4" s="4" t="inlineStr">
        <is>
          <t>Sintaks Umum</t>
        </is>
      </c>
      <c r="E4" s="4" t="inlineStr">
        <is>
          <t>Fungsinya Buat Apa (Bahasa Bayi &amp; Dunia Nyata)</t>
        </is>
      </c>
      <c r="F4" s="4" t="inlineStr">
        <is>
          <t>Link Buka Sheet</t>
        </is>
      </c>
    </row>
    <row r="5">
      <c r="A5" s="5" t="n">
        <v>1</v>
      </c>
      <c r="B5" s="6" t="inlineStr">
        <is>
          <t>VLOOKUP</t>
        </is>
      </c>
      <c r="C5" s="5" t="inlineStr">
        <is>
          <t>3. Lookup &amp; Referensi</t>
        </is>
      </c>
      <c r="D5" s="7">
        <f>VLOOKUP(nilai_dicari, tabel_referensi, nomor_kolom, FALSE)</f>
        <v/>
      </c>
      <c r="E5" s="5" t="inlineStr">
        <is>
          <t>Mesin kasir pencari data vertikal! Mencari kode di kolom paling kiri tabel, lalu mengambil informasi pasangannya di kolom sebelah kanan.</t>
        </is>
      </c>
      <c r="F5" s="8" t="inlineStr">
        <is>
          <t>👉 Buka Sheet VLOOKUP</t>
        </is>
      </c>
    </row>
    <row r="6">
      <c r="A6" s="5" t="n">
        <v>2</v>
      </c>
      <c r="B6" s="6" t="inlineStr">
        <is>
          <t>HLOOKUP</t>
        </is>
      </c>
      <c r="C6" s="5" t="inlineStr">
        <is>
          <t>3. Lookup &amp; Referensi</t>
        </is>
      </c>
      <c r="D6" s="7">
        <f>HLOOKUP(nilai_dicari, tabel_horizontal, nomor_baris, FALSE)</f>
        <v/>
      </c>
      <c r="E6" s="5" t="inlineStr">
        <is>
          <t>Sama seperti VLOOKUP tetapi mencari data secara MENDATAR (Horizontal) di baris paling atas lalu turun ke baris di bawahnya.</t>
        </is>
      </c>
      <c r="F6" s="8" t="inlineStr">
        <is>
          <t>👉 Buka Sheet HLOOKUP</t>
        </is>
      </c>
    </row>
    <row r="7">
      <c r="A7" s="5" t="n">
        <v>3</v>
      </c>
      <c r="B7" s="6" t="inlineStr">
        <is>
          <t>INDEX</t>
        </is>
      </c>
      <c r="C7" s="5" t="inlineStr">
        <is>
          <t>3. Lookup &amp; Referensi</t>
        </is>
      </c>
      <c r="D7" s="7">
        <f>INDEX(range_data, nomor_baris, [nomor_kolom])</f>
        <v/>
      </c>
      <c r="E7" s="5" t="inlineStr">
        <is>
          <t>Mengambil isi sel pada koordinat urutan baris dan kolom tertentu di dalam suatu blok tabel (seperti menunjuk kursi bioskop Baris 3!).</t>
        </is>
      </c>
      <c r="F7" s="8" t="inlineStr">
        <is>
          <t>👉 Buka Sheet INDEX</t>
        </is>
      </c>
    </row>
    <row r="8">
      <c r="A8" s="5" t="n">
        <v>4</v>
      </c>
      <c r="B8" s="6" t="inlineStr">
        <is>
          <t>MATCH</t>
        </is>
      </c>
      <c r="C8" s="5" t="inlineStr">
        <is>
          <t>3. Lookup &amp; Referensi</t>
        </is>
      </c>
      <c r="D8" s="7">
        <f>MATCH(nilai_dicari, range_satu_kolom, 0)</f>
        <v/>
      </c>
      <c r="E8" s="5" t="inlineStr">
        <is>
          <t>Mencari tahu suatu data berada di URUTAN BARIS KE BERAPA di dalam sebuah daftar (menghasilkan nomor urut posisi 1, 2, 3...).</t>
        </is>
      </c>
      <c r="F8" s="8" t="inlineStr">
        <is>
          <t>👉 Buka Sheet MATCH</t>
        </is>
      </c>
    </row>
    <row r="9">
      <c r="A9" s="5" t="n">
        <v>5</v>
      </c>
      <c r="B9" s="6" t="inlineStr">
        <is>
          <t>CHOOSE</t>
        </is>
      </c>
      <c r="C9" s="5" t="inlineStr">
        <is>
          <t>3. Lookup &amp; Referensi</t>
        </is>
      </c>
      <c r="D9" s="7">
        <f>CHOOSE(nomor_pilihan, nilai1, nilai2, nilai3, ...)</f>
        <v/>
      </c>
      <c r="E9" s="5" t="inlineStr">
        <is>
          <t>Memilih satu item dari daftar berdasarkan nomor urut tombol (1 = pilih nilai pertama, 2 = pilih nilai kedua, dst).</t>
        </is>
      </c>
      <c r="F9" s="8" t="inlineStr">
        <is>
          <t>👉 Buka Sheet CHOOSE</t>
        </is>
      </c>
    </row>
    <row r="10">
      <c r="A10" s="5" t="n">
        <v>6</v>
      </c>
      <c r="B10" s="6" t="inlineStr">
        <is>
          <t>ROW</t>
        </is>
      </c>
      <c r="C10" s="5" t="inlineStr">
        <is>
          <t>3. Lookup &amp; Referensi</t>
        </is>
      </c>
      <c r="D10" s="7">
        <f>ROW([referensi_sel])</f>
        <v/>
      </c>
      <c r="E10" s="5" t="inlineStr">
        <is>
          <t>Memberitahu nomor baris tempat sebuah sel berada (misal ROW(C19) menghasilkan angka 19).</t>
        </is>
      </c>
      <c r="F10" s="8" t="inlineStr">
        <is>
          <t>👉 Buka Sheet ROW</t>
        </is>
      </c>
    </row>
    <row r="11">
      <c r="A11" s="5" t="n">
        <v>7</v>
      </c>
      <c r="B11" s="6" t="inlineStr">
        <is>
          <t>COLUMN</t>
        </is>
      </c>
      <c r="C11" s="5" t="inlineStr">
        <is>
          <t>3. Lookup &amp; Referensi</t>
        </is>
      </c>
      <c r="D11" s="7">
        <f>COLUMN([referensi_sel])</f>
        <v/>
      </c>
      <c r="E11" s="5" t="inlineStr">
        <is>
          <t>Memberitahu nomor urut kolom sebuah sel (Kolom A = 1, Kolom B = 2, Kolom C = 3, dst).</t>
        </is>
      </c>
      <c r="F11" s="8" t="inlineStr">
        <is>
          <t>👉 Buka Sheet COLUMN</t>
        </is>
      </c>
    </row>
    <row r="12">
      <c r="A12" s="5" t="n">
        <v>8</v>
      </c>
      <c r="B12" s="6" t="inlineStr">
        <is>
          <t>ROWS</t>
        </is>
      </c>
      <c r="C12" s="5" t="inlineStr">
        <is>
          <t>3. Lookup &amp; Referensi</t>
        </is>
      </c>
      <c r="D12" s="7">
        <f>ROWS(range_tabel)</f>
        <v/>
      </c>
      <c r="E12" s="5" t="inlineStr">
        <is>
          <t>Menghitung ada berapa total baris di dalam suatu blok tabel.</t>
        </is>
      </c>
      <c r="F12" s="8" t="inlineStr">
        <is>
          <t>👉 Buka Sheet ROWS</t>
        </is>
      </c>
    </row>
    <row r="13">
      <c r="A13" s="5" t="n">
        <v>9</v>
      </c>
      <c r="B13" s="6" t="inlineStr">
        <is>
          <t>COLUMNS</t>
        </is>
      </c>
      <c r="C13" s="5" t="inlineStr">
        <is>
          <t>3. Lookup &amp; Referensi</t>
        </is>
      </c>
      <c r="D13" s="7">
        <f>COLUMNS(range_tabel)</f>
        <v/>
      </c>
      <c r="E13" s="5" t="inlineStr">
        <is>
          <t>Menghitung ada berapa total kolom menyamping di dalam suatu blok tabel.</t>
        </is>
      </c>
      <c r="F13" s="8" t="inlineStr">
        <is>
          <t>👉 Buka Sheet COLUMNS</t>
        </is>
      </c>
    </row>
    <row r="14">
      <c r="A14" s="5" t="n">
        <v>10</v>
      </c>
      <c r="B14" s="6" t="inlineStr">
        <is>
          <t>ADDRESS</t>
        </is>
      </c>
      <c r="C14" s="5" t="inlineStr">
        <is>
          <t>3. Lookup &amp; Referensi</t>
        </is>
      </c>
      <c r="D14" s="7">
        <f>ADDRESS(nomor_baris, nomor_kolom)</f>
        <v/>
      </c>
      <c r="E14" s="5" t="inlineStr">
        <is>
          <t>Merakit teks alamat koordinat sel (seperti $C$19) dari angka nomor baris dan nomor kolom.</t>
        </is>
      </c>
      <c r="F14" s="8" t="inlineStr">
        <is>
          <t>👉 Buka Sheet ADDRESS</t>
        </is>
      </c>
    </row>
    <row r="15">
      <c r="A15" s="5" t="n">
        <v>11</v>
      </c>
      <c r="B15" s="6" t="inlineStr">
        <is>
          <t>OFFSET</t>
        </is>
      </c>
      <c r="C15" s="5" t="inlineStr">
        <is>
          <t>3. Lookup &amp; Referensi</t>
        </is>
      </c>
      <c r="D15" s="7">
        <f>OFFSET(sel_awal, geser_baris, geser_kolom)</f>
        <v/>
      </c>
      <c r="E15" s="5" t="inlineStr">
        <is>
          <t>Mengambil data dari sel lain dengan cara melangkah/bergeser sejumlah baris ke bawah dan kolom ke samping dari titik awal.</t>
        </is>
      </c>
      <c r="F15" s="8" t="inlineStr">
        <is>
          <t>👉 Buka Sheet OFFSET</t>
        </is>
      </c>
    </row>
    <row r="16">
      <c r="A16" s="5" t="n">
        <v>12</v>
      </c>
      <c r="B16" s="6" t="inlineStr">
        <is>
          <t>INDIRECT</t>
        </is>
      </c>
      <c r="C16" s="5" t="inlineStr">
        <is>
          <t>3. Lookup &amp; Referensi</t>
        </is>
      </c>
      <c r="D16" s="7">
        <f>INDIRECT(teks_alamat_sel)</f>
        <v/>
      </c>
      <c r="E16" s="5" t="inlineStr">
        <is>
          <t>Mengubah tulisan teks biasa yang berisi alamat sel menjadi rujukan sel hidup yang diambil nilainya!</t>
        </is>
      </c>
      <c r="F16" s="8" t="inlineStr">
        <is>
          <t>👉 Buka Sheet INDIRECT</t>
        </is>
      </c>
    </row>
    <row r="17">
      <c r="A17" s="5" t="n">
        <v>13</v>
      </c>
      <c r="B17" s="6" t="inlineStr">
        <is>
          <t>LEFT</t>
        </is>
      </c>
      <c r="C17" s="5" t="inlineStr">
        <is>
          <t>4. Pengolahan Teks</t>
        </is>
      </c>
      <c r="D17" s="7">
        <f>LEFT(teks, jumlah_karakter)</f>
        <v/>
      </c>
      <c r="E17" s="5" t="inlineStr">
        <is>
          <t>Memotong dan mengambil sejumlah huruf dari sebelah KIRI (awal kata/kode barang).</t>
        </is>
      </c>
      <c r="F17" s="8" t="inlineStr">
        <is>
          <t>👉 Buka Sheet LEFT</t>
        </is>
      </c>
    </row>
    <row r="18">
      <c r="A18" s="5" t="n">
        <v>14</v>
      </c>
      <c r="B18" s="6" t="inlineStr">
        <is>
          <t>RIGHT</t>
        </is>
      </c>
      <c r="C18" s="5" t="inlineStr">
        <is>
          <t>4. Pengolahan Teks</t>
        </is>
      </c>
      <c r="D18" s="7">
        <f>RIGHT(teks, jumlah_karakter)</f>
        <v/>
      </c>
      <c r="E18" s="5" t="inlineStr">
        <is>
          <t>Memotong dan mengambil sejumlah huruf dari sebelah KANAN (ujung belakang kata/kode barang).</t>
        </is>
      </c>
      <c r="F18" s="8" t="inlineStr">
        <is>
          <t>👉 Buka Sheet RIGHT</t>
        </is>
      </c>
    </row>
    <row r="19">
      <c r="A19" s="5" t="n">
        <v>15</v>
      </c>
      <c r="B19" s="6" t="inlineStr">
        <is>
          <t>MID</t>
        </is>
      </c>
      <c r="C19" s="5" t="inlineStr">
        <is>
          <t>4. Pengolahan Teks</t>
        </is>
      </c>
      <c r="D19" s="7">
        <f>MID(teks, posisi_mulai, jumlah_karakter)</f>
        <v/>
      </c>
      <c r="E19" s="5" t="inlineStr">
        <is>
          <t>Mengambil huruf dari bagian TENGAH teks, dimulai dari urutan huruf tertentu sebanyak beberapa karakter.</t>
        </is>
      </c>
      <c r="F19" s="8" t="inlineStr">
        <is>
          <t>👉 Buka Sheet MID</t>
        </is>
      </c>
    </row>
    <row r="20">
      <c r="A20" s="5" t="n">
        <v>16</v>
      </c>
      <c r="B20" s="6" t="inlineStr">
        <is>
          <t>LEN</t>
        </is>
      </c>
      <c r="C20" s="5" t="inlineStr">
        <is>
          <t>4. Pengolahan Teks</t>
        </is>
      </c>
      <c r="D20" s="7">
        <f>LEN(teks)</f>
        <v/>
      </c>
      <c r="E20" s="5" t="inlineStr">
        <is>
          <t>Menghitung total panjang karakter (jumlah huruf, angka, dan spasi) di dalam sebuah sel. Wajib untuk validasi panjang NIK 16 digit!</t>
        </is>
      </c>
      <c r="F20" s="8" t="inlineStr">
        <is>
          <t>👉 Buka Sheet LEN</t>
        </is>
      </c>
    </row>
    <row r="21">
      <c r="A21" s="5" t="n">
        <v>17</v>
      </c>
      <c r="B21" s="6" t="inlineStr">
        <is>
          <t>TRIM</t>
        </is>
      </c>
      <c r="C21" s="5" t="inlineStr">
        <is>
          <t>4. Pengolahan Teks</t>
        </is>
      </c>
      <c r="D21" s="7">
        <f>TRIM(teks)</f>
        <v/>
      </c>
      <c r="E21" s="5" t="inlineStr">
        <is>
          <t>Sapu pembersih spasi! Menghapus spasi ganda yang berantakan di awal, tengah, atau akhir kalimat sehingga rapi.</t>
        </is>
      </c>
      <c r="F21" s="8" t="inlineStr">
        <is>
          <t>👉 Buka Sheet TRIM</t>
        </is>
      </c>
    </row>
    <row r="22">
      <c r="A22" s="5" t="n">
        <v>18</v>
      </c>
      <c r="B22" s="6" t="inlineStr">
        <is>
          <t>CLEAN</t>
        </is>
      </c>
      <c r="C22" s="5" t="inlineStr">
        <is>
          <t>4. Pengolahan Teks</t>
        </is>
      </c>
      <c r="D22" s="7">
        <f>CLEAN(teks)</f>
        <v/>
      </c>
      <c r="E22" s="5" t="inlineStr">
        <is>
          <t>Membersihkan karakter aneh tak terlihat (non-printable characters) hasil copy-paste dari web atau sistem database.</t>
        </is>
      </c>
      <c r="F22" s="8" t="inlineStr">
        <is>
          <t>👉 Buka Sheet CLEAN</t>
        </is>
      </c>
    </row>
    <row r="23">
      <c r="A23" s="5" t="n">
        <v>19</v>
      </c>
      <c r="B23" s="6" t="inlineStr">
        <is>
          <t>UPPER</t>
        </is>
      </c>
      <c r="C23" s="5" t="inlineStr">
        <is>
          <t>4. Pengolahan Teks</t>
        </is>
      </c>
      <c r="D23" s="7">
        <f>UPPER(teks)</f>
        <v/>
      </c>
      <c r="E23" s="5" t="inlineStr">
        <is>
          <t>Mengubah seluruh huruf di dalam sel menjadi HURUF BESAR (KAPITAL) semua.</t>
        </is>
      </c>
      <c r="F23" s="8" t="inlineStr">
        <is>
          <t>👉 Buka Sheet UPPER</t>
        </is>
      </c>
    </row>
    <row r="24">
      <c r="A24" s="5" t="n">
        <v>20</v>
      </c>
      <c r="B24" s="6" t="inlineStr">
        <is>
          <t>LOWER</t>
        </is>
      </c>
      <c r="C24" s="5" t="inlineStr">
        <is>
          <t>4. Pengolahan Teks</t>
        </is>
      </c>
      <c r="D24" s="7">
        <f>LOWER(teks)</f>
        <v/>
      </c>
      <c r="E24" s="5" t="inlineStr">
        <is>
          <t>Mengubah seluruh huruf di dalam sel menjadi huruf kecil semua (cocok untuk merapikan alamat email).</t>
        </is>
      </c>
      <c r="F24" s="8" t="inlineStr">
        <is>
          <t>👉 Buka Sheet LOWER</t>
        </is>
      </c>
    </row>
    <row r="25">
      <c r="A25" s="5" t="n">
        <v>21</v>
      </c>
      <c r="B25" s="6" t="inlineStr">
        <is>
          <t>PROPER</t>
        </is>
      </c>
      <c r="C25" s="5" t="inlineStr">
        <is>
          <t>4. Pengolahan Teks</t>
        </is>
      </c>
      <c r="D25" s="7">
        <f>PROPER(teks)</f>
        <v/>
      </c>
      <c r="E25" s="5" t="inlineStr">
        <is>
          <t>Mengubah huruf pertama di setiap awal kata menjadi Huruf Besar (Title Case), sangat cocok untuk merapikan daftar Nama Lengkap!</t>
        </is>
      </c>
      <c r="F25" s="8" t="inlineStr">
        <is>
          <t>👉 Buka Sheet PROPER</t>
        </is>
      </c>
    </row>
    <row r="26">
      <c r="A26" s="5" t="n">
        <v>22</v>
      </c>
      <c r="B26" s="6" t="inlineStr">
        <is>
          <t>CONCATENATE</t>
        </is>
      </c>
      <c r="C26" s="5" t="inlineStr">
        <is>
          <t>4. Pengolahan Teks</t>
        </is>
      </c>
      <c r="D26" s="7">
        <f>CONCATENATE(teks1, teks2, ...)</f>
        <v/>
      </c>
      <c r="E26" s="5" t="inlineStr">
        <is>
          <t>Lem perekat teks! Menggabungkan isi dari beberapa sel terpisah (misal Nama Depan dan Nama Belakang) menjadi satu kalimat utuh.</t>
        </is>
      </c>
      <c r="F26" s="8" t="inlineStr">
        <is>
          <t>👉 Buka Sheet CONCATENATE</t>
        </is>
      </c>
    </row>
    <row r="27">
      <c r="A27" s="5" t="n">
        <v>23</v>
      </c>
      <c r="B27" s="6" t="inlineStr">
        <is>
          <t>EXACT</t>
        </is>
      </c>
      <c r="C27" s="5" t="inlineStr">
        <is>
          <t>4. Pengolahan Teks</t>
        </is>
      </c>
      <c r="D27" s="7">
        <f>EXACT(teks1, teks2)</f>
        <v/>
      </c>
      <c r="E27" s="5" t="inlineStr">
        <is>
          <t>Detektor kembar identik! Membandingkan apakah dua teks sama persis sampai ke huruf besar-kecilnya (Case-Sensitive).</t>
        </is>
      </c>
      <c r="F27" s="8" t="inlineStr">
        <is>
          <t>👉 Buka Sheet EXACT</t>
        </is>
      </c>
    </row>
    <row r="28">
      <c r="A28" s="5" t="n">
        <v>24</v>
      </c>
      <c r="B28" s="6" t="inlineStr">
        <is>
          <t>FIND</t>
        </is>
      </c>
      <c r="C28" s="5" t="inlineStr">
        <is>
          <t>4. Pengolahan Teks</t>
        </is>
      </c>
      <c r="D28" s="7">
        <f>FIND(teks_dicari, di_dalam_teks)</f>
        <v/>
      </c>
      <c r="E28" s="5" t="inlineStr">
        <is>
          <t>Mencari tahu suatu huruf atau simbol berada pada urutan karakter ke berapa (membedakan huruf besar dan kecil).</t>
        </is>
      </c>
      <c r="F28" s="8" t="inlineStr">
        <is>
          <t>👉 Buka Sheet FIND</t>
        </is>
      </c>
    </row>
    <row r="29">
      <c r="A29" s="5" t="n">
        <v>25</v>
      </c>
      <c r="B29" s="6" t="inlineStr">
        <is>
          <t>SEARCH</t>
        </is>
      </c>
      <c r="C29" s="5" t="inlineStr">
        <is>
          <t>4. Pengolahan Teks</t>
        </is>
      </c>
      <c r="D29" s="7">
        <f>SEARCH(teks_dicari, di_dalam_teks)</f>
        <v/>
      </c>
      <c r="E29" s="5" t="inlineStr">
        <is>
          <t>Sama seperti FIND (mencari posisi urutan huruf), tetapi TIDAK membedakan huruf besar maupun kecil!</t>
        </is>
      </c>
      <c r="F29" s="8" t="inlineStr">
        <is>
          <t>👉 Buka Sheet SEARCH</t>
        </is>
      </c>
    </row>
    <row r="30">
      <c r="A30" s="5" t="n">
        <v>26</v>
      </c>
      <c r="B30" s="6" t="inlineStr">
        <is>
          <t>SUBSTITUTE</t>
        </is>
      </c>
      <c r="C30" s="5" t="inlineStr">
        <is>
          <t>4. Pengolahan Teks</t>
        </is>
      </c>
      <c r="D30" s="7">
        <f>SUBSTITUTE(teks, teks_lama, teks_baru)</f>
        <v/>
      </c>
      <c r="E30" s="5" t="inlineStr">
        <is>
          <t>Mengganti kata atau simbol tertentu di dalam sel dengan kata/simbol baru secara otomatis (misal ganti tanda '-' menjadi '/').</t>
        </is>
      </c>
      <c r="F30" s="8" t="inlineStr">
        <is>
          <t>👉 Buka Sheet SUBSTITUTE</t>
        </is>
      </c>
    </row>
    <row r="31">
      <c r="A31" s="5" t="n">
        <v>27</v>
      </c>
      <c r="B31" s="6" t="inlineStr">
        <is>
          <t>REPLACE</t>
        </is>
      </c>
      <c r="C31" s="5" t="inlineStr">
        <is>
          <t>4. Pengolahan Teks</t>
        </is>
      </c>
      <c r="D31" s="7">
        <f>REPLACE(teks_lama, posisi_mulai, jumlah_diganti, teks_baru)</f>
        <v/>
      </c>
      <c r="E31" s="5" t="inlineStr">
        <is>
          <t>Mengganti sebagian isi teks berdasarkan posisi nomor urut karakter dan panjang huruf yang ingin ditimpa.</t>
        </is>
      </c>
      <c r="F31" s="8" t="inlineStr">
        <is>
          <t>👉 Buka Sheet REPLACE</t>
        </is>
      </c>
    </row>
    <row r="32">
      <c r="A32" s="5" t="n">
        <v>28</v>
      </c>
      <c r="B32" s="6" t="inlineStr">
        <is>
          <t>REPT</t>
        </is>
      </c>
      <c r="C32" s="5" t="inlineStr">
        <is>
          <t>4. Pengolahan Teks</t>
        </is>
      </c>
      <c r="D32" s="7">
        <f>REPT(teks, jumlah_ulang)</f>
        <v/>
      </c>
      <c r="E32" s="5" t="inlineStr">
        <is>
          <t>Mengulang teks atau simbol berkali-kali (sering dipakai membuat grafik bintang ⭐⭐⭐⭐⭐ langsung di dalam sel Excel!).</t>
        </is>
      </c>
      <c r="F32" s="8" t="inlineStr">
        <is>
          <t>👉 Buka Sheet REPT</t>
        </is>
      </c>
    </row>
    <row r="33">
      <c r="A33" s="5" t="n">
        <v>29</v>
      </c>
      <c r="B33" s="6" t="inlineStr">
        <is>
          <t>VALUE</t>
        </is>
      </c>
      <c r="C33" s="5" t="inlineStr">
        <is>
          <t>4. Pengolahan Teks</t>
        </is>
      </c>
      <c r="D33" s="7">
        <f>VALUE(teks_angka)</f>
        <v/>
      </c>
      <c r="E33" s="5" t="inlineStr">
        <is>
          <t>Mengubah angka yang berstatus 'Teks' (biasanya rata kiri dan tidak bisa di-SUM) kembali menjadi Angka Murni yang bisa dihitung!</t>
        </is>
      </c>
      <c r="F33" s="8" t="inlineStr">
        <is>
          <t>👉 Buka Sheet VALUE</t>
        </is>
      </c>
    </row>
    <row r="34">
      <c r="A34" s="5" t="n">
        <v>30</v>
      </c>
      <c r="B34" s="6" t="inlineStr">
        <is>
          <t>TEXT</t>
        </is>
      </c>
      <c r="C34" s="5" t="inlineStr">
        <is>
          <t>4. Pengolahan Teks</t>
        </is>
      </c>
      <c r="D34" s="7">
        <f>TEXT(nilai, format_tampilan)</f>
        <v/>
      </c>
      <c r="E34" s="5" t="inlineStr">
        <is>
          <t>Mengubah angka atau tanggal menjadi teks dengan format tampilan cantik sesuai keinginan (misal "#,##0").</t>
        </is>
      </c>
      <c r="F34" s="8" t="inlineStr">
        <is>
          <t>👉 Buka Sheet TEXT</t>
        </is>
      </c>
    </row>
    <row r="35">
      <c r="A35" s="5" t="n">
        <v>31</v>
      </c>
      <c r="B35" s="6" t="inlineStr">
        <is>
          <t>DATE</t>
        </is>
      </c>
      <c r="C35" s="5" t="inlineStr">
        <is>
          <t>5. Tanggal &amp; Waktu HRD</t>
        </is>
      </c>
      <c r="D35" s="7">
        <f>DATE(tahun, bulan, tanggal)</f>
        <v/>
      </c>
      <c r="E35" s="5" t="inlineStr">
        <is>
          <t>Merakit 3 angka terpisah (Tahun, Bulan, Hari) menjadi satu Tanggal Resmi Excel yang valid!</t>
        </is>
      </c>
      <c r="F35" s="8" t="inlineStr">
        <is>
          <t>👉 Buka Sheet DATE</t>
        </is>
      </c>
    </row>
    <row r="36">
      <c r="A36" s="5" t="n">
        <v>32</v>
      </c>
      <c r="B36" s="6" t="inlineStr">
        <is>
          <t>YEAR</t>
        </is>
      </c>
      <c r="C36" s="5" t="inlineStr">
        <is>
          <t>5. Tanggal &amp; Waktu HRD</t>
        </is>
      </c>
      <c r="D36" s="7">
        <f>YEAR(tanggal)</f>
        <v/>
      </c>
      <c r="E36" s="5" t="inlineStr">
        <is>
          <t>Mengambil angka TAHUN (4 digit, misal 2026) dari sebuah sel tanggal.</t>
        </is>
      </c>
      <c r="F36" s="8" t="inlineStr">
        <is>
          <t>👉 Buka Sheet YEAR</t>
        </is>
      </c>
    </row>
    <row r="37">
      <c r="A37" s="5" t="n">
        <v>33</v>
      </c>
      <c r="B37" s="6" t="inlineStr">
        <is>
          <t>MONTH</t>
        </is>
      </c>
      <c r="C37" s="5" t="inlineStr">
        <is>
          <t>5. Tanggal &amp; Waktu HRD</t>
        </is>
      </c>
      <c r="D37" s="7">
        <f>MONTH(tanggal)</f>
        <v/>
      </c>
      <c r="E37" s="5" t="inlineStr">
        <is>
          <t>Mengambil angka BULAN (1 sampai 12) dari sebuah sel tanggal.</t>
        </is>
      </c>
      <c r="F37" s="8" t="inlineStr">
        <is>
          <t>👉 Buka Sheet MONTH</t>
        </is>
      </c>
    </row>
    <row r="38">
      <c r="A38" s="5" t="n">
        <v>34</v>
      </c>
      <c r="B38" s="6" t="inlineStr">
        <is>
          <t>DAY</t>
        </is>
      </c>
      <c r="C38" s="5" t="inlineStr">
        <is>
          <t>5. Tanggal &amp; Waktu HRD</t>
        </is>
      </c>
      <c r="D38" s="7">
        <f>DAY(tanggal)</f>
        <v/>
      </c>
      <c r="E38" s="5" t="inlineStr">
        <is>
          <t>Mengambil angka HARI/TANGGAL (1 sampai 31) dari sebuah sel tanggal.</t>
        </is>
      </c>
      <c r="F38" s="8" t="inlineStr">
        <is>
          <t>👉 Buka Sheet DAY</t>
        </is>
      </c>
    </row>
    <row r="39">
      <c r="A39" s="5" t="n">
        <v>35</v>
      </c>
      <c r="B39" s="6" t="inlineStr">
        <is>
          <t>DAYS</t>
        </is>
      </c>
      <c r="C39" s="5" t="inlineStr">
        <is>
          <t>5. Tanggal &amp; Waktu HRD</t>
        </is>
      </c>
      <c r="D39" s="7">
        <f>DAYS(tanggal_akhir, tanggal_awal)</f>
        <v/>
      </c>
      <c r="E39" s="5" t="inlineStr">
        <is>
          <t>Menghitung jumlah hari selisih antara Tanggal Akhir dan Tanggal Awal (misal lama keterlambatan proyek).</t>
        </is>
      </c>
      <c r="F39" s="8" t="inlineStr">
        <is>
          <t>👉 Buka Sheet DAYS</t>
        </is>
      </c>
    </row>
    <row r="40">
      <c r="A40" s="5" t="n">
        <v>36</v>
      </c>
      <c r="B40" s="6" t="inlineStr">
        <is>
          <t>DATEDIF</t>
        </is>
      </c>
      <c r="C40" s="5" t="inlineStr">
        <is>
          <t>5. Tanggal &amp; Waktu HRD</t>
        </is>
      </c>
      <c r="D40" s="7">
        <f>DATEDIF(tanggal_awal, tanggal_akhir, satuan)</f>
        <v/>
      </c>
      <c r="E40" s="5" t="inlineStr">
        <is>
          <t>Rumus legendaris HRD untuk menghitung Umur atau Masa Kerja karyawan dalam Tahun ("Y"), Bulan ("M"), atau Hari ("D").</t>
        </is>
      </c>
      <c r="F40" s="8" t="inlineStr">
        <is>
          <t>👉 Buka Sheet DATEDIF</t>
        </is>
      </c>
    </row>
    <row r="41">
      <c r="A41" s="5" t="n">
        <v>37</v>
      </c>
      <c r="B41" s="6" t="inlineStr">
        <is>
          <t>EDATE</t>
        </is>
      </c>
      <c r="C41" s="5" t="inlineStr">
        <is>
          <t>5. Tanggal &amp; Waktu HRD</t>
        </is>
      </c>
      <c r="D41" s="7">
        <f>EDATE(tanggal_awal, jumlah_bulan)</f>
        <v/>
      </c>
      <c r="E41" s="5" t="inlineStr">
        <is>
          <t>Mencari tanggal jatuh tempo yang berjarak sekian bulan persis dari tanggal awal (misal masa kontrak 3 bulan ke depan).</t>
        </is>
      </c>
      <c r="F41" s="8" t="inlineStr">
        <is>
          <t>👉 Buka Sheet EDATE</t>
        </is>
      </c>
    </row>
    <row r="42">
      <c r="A42" s="5" t="n">
        <v>38</v>
      </c>
      <c r="B42" s="6" t="inlineStr">
        <is>
          <t>EOMONTH</t>
        </is>
      </c>
      <c r="C42" s="5" t="inlineStr">
        <is>
          <t>5. Tanggal &amp; Waktu HRD</t>
        </is>
      </c>
      <c r="D42" s="7">
        <f>EOMONTH(tanggal_awal, jumlah_bulan)</f>
        <v/>
      </c>
      <c r="E42" s="5" t="inlineStr">
        <is>
          <t>Mencari tanggal TERAKHIR di suatu bulan (End of Month) — wajib untuk jadwal gajian akhir bulan atau tutup buku akuntansi!</t>
        </is>
      </c>
      <c r="F42" s="8" t="inlineStr">
        <is>
          <t>👉 Buka Sheet EOMONTH</t>
        </is>
      </c>
    </row>
    <row r="43">
      <c r="A43" s="5" t="n">
        <v>39</v>
      </c>
      <c r="B43" s="6" t="inlineStr">
        <is>
          <t>NETWORKDAYS</t>
        </is>
      </c>
      <c r="C43" s="5" t="inlineStr">
        <is>
          <t>5. Tanggal &amp; Waktu HRD</t>
        </is>
      </c>
      <c r="D43" s="7">
        <f>NETWORKDAYS(tanggal_awal, tanggal_akhir)</f>
        <v/>
      </c>
      <c r="E43" s="5" t="inlineStr">
        <is>
          <t>Menghitung jumlah HARI KERJA EFEKTIF (Senin–Jumat) dan otomatis memotong hari libur Sabtu &amp; Minggu!</t>
        </is>
      </c>
      <c r="F43" s="8" t="inlineStr">
        <is>
          <t>👉 Buka Sheet NETWORKDAYS</t>
        </is>
      </c>
    </row>
    <row r="44">
      <c r="A44" s="5" t="n">
        <v>40</v>
      </c>
      <c r="B44" s="6" t="inlineStr">
        <is>
          <t>WORKDAY</t>
        </is>
      </c>
      <c r="C44" s="5" t="inlineStr">
        <is>
          <t>5. Tanggal &amp; Waktu HRD</t>
        </is>
      </c>
      <c r="D44" s="7">
        <f>WORKDAY(tanggal_awal, jumlah_hari_kerja)</f>
        <v/>
      </c>
      <c r="E44" s="5" t="inlineStr">
        <is>
          <t>Mencari tahu tanggal berapa proyek selesai jika dikerjakan selama N hari kerja efektif (tidak termasuk Sabtu &amp; Minggu).</t>
        </is>
      </c>
      <c r="F44" s="8" t="inlineStr">
        <is>
          <t>👉 Buka Sheet WORKDAY</t>
        </is>
      </c>
    </row>
    <row r="45">
      <c r="A45" s="5" t="n">
        <v>41</v>
      </c>
      <c r="B45" s="6" t="inlineStr">
        <is>
          <t>WEEKDAY</t>
        </is>
      </c>
      <c r="C45" s="5" t="inlineStr">
        <is>
          <t>5. Tanggal &amp; Waktu HRD</t>
        </is>
      </c>
      <c r="D45" s="7">
        <f>WEEKDAY(tanggal)</f>
        <v/>
      </c>
      <c r="E45" s="5" t="inlineStr">
        <is>
          <t>Menghasilkan angka hari dalam seminggu (1 = Minggu, 2 = Senin, ..., 7 = Sabtu) untuk mengecek apakah transaksi jatuh di akhir pekan.</t>
        </is>
      </c>
      <c r="F45" s="8" t="inlineStr">
        <is>
          <t>👉 Buka Sheet WEEKDAY</t>
        </is>
      </c>
    </row>
    <row r="46">
      <c r="A46" s="5" t="n">
        <v>42</v>
      </c>
      <c r="B46" s="6" t="inlineStr">
        <is>
          <t>WEEKNUM</t>
        </is>
      </c>
      <c r="C46" s="5" t="inlineStr">
        <is>
          <t>5. Tanggal &amp; Waktu HRD</t>
        </is>
      </c>
      <c r="D46" s="7">
        <f>WEEKNUM(tanggal)</f>
        <v/>
      </c>
      <c r="E46" s="5" t="inlineStr">
        <is>
          <t>Memberitahu tanggal tersebut berada pada Minggu ke-berapa di dalam kalender tahun berjalan (Minggu 1 s/d 52).</t>
        </is>
      </c>
      <c r="F46" s="8" t="inlineStr">
        <is>
          <t>👉 Buka Sheet WEEKNUM</t>
        </is>
      </c>
    </row>
    <row r="47">
      <c r="A47" s="5" t="n">
        <v>43</v>
      </c>
      <c r="B47" s="6" t="inlineStr">
        <is>
          <t>HOUR</t>
        </is>
      </c>
      <c r="C47" s="5" t="inlineStr">
        <is>
          <t>5. Tanggal &amp; Waktu HRD</t>
        </is>
      </c>
      <c r="D47" s="7">
        <f>HOUR(waktu)</f>
        <v/>
      </c>
      <c r="E47" s="5" t="inlineStr">
        <is>
          <t>Mengambil angka JAM (0 sampai 23) dari data waktu absensi masuk/pulang.</t>
        </is>
      </c>
      <c r="F47" s="8" t="inlineStr">
        <is>
          <t>👉 Buka Sheet HOUR</t>
        </is>
      </c>
    </row>
    <row r="48">
      <c r="A48" s="5" t="n">
        <v>44</v>
      </c>
      <c r="B48" s="6" t="inlineStr">
        <is>
          <t>MINUTE</t>
        </is>
      </c>
      <c r="C48" s="5" t="inlineStr">
        <is>
          <t>5. Tanggal &amp; Waktu HRD</t>
        </is>
      </c>
      <c r="D48" s="7">
        <f>MINUTE(waktu)</f>
        <v/>
      </c>
      <c r="E48" s="5" t="inlineStr">
        <is>
          <t>Mengambil angka MENIT (0 sampai 59) dari data waktu absensi untuk menghitung menit keterlambatan.</t>
        </is>
      </c>
      <c r="F48" s="8" t="inlineStr">
        <is>
          <t>👉 Buka Sheet MINUTE</t>
        </is>
      </c>
    </row>
    <row r="49">
      <c r="A49" s="5" t="n">
        <v>45</v>
      </c>
      <c r="B49" s="6" t="inlineStr">
        <is>
          <t>SECOND</t>
        </is>
      </c>
      <c r="C49" s="5" t="inlineStr">
        <is>
          <t>5. Tanggal &amp; Waktu HRD</t>
        </is>
      </c>
      <c r="D49" s="7">
        <f>SECOND(waktu)</f>
        <v/>
      </c>
      <c r="E49" s="5" t="inlineStr">
        <is>
          <t>Mengambil angka DETIK (0 sampai 59) dari catatan waktu.</t>
        </is>
      </c>
      <c r="F49" s="8" t="inlineStr">
        <is>
          <t>👉 Buka Sheet SECOND</t>
        </is>
      </c>
    </row>
    <row r="50">
      <c r="A50" s="5" t="inlineStr">
        <is>
          <t>🔑</t>
        </is>
      </c>
      <c r="B50" s="9" t="inlineStr">
        <is>
          <t>99_KUNCI_JAWABAN</t>
        </is>
      </c>
      <c r="C50" s="5" t="inlineStr">
        <is>
          <t>Kunci Jawaban Seluruh Soal Tes</t>
        </is>
      </c>
      <c r="D50" s="7" t="inlineStr">
        <is>
          <t>225 Kunci Soal Tes</t>
        </is>
      </c>
      <c r="E50" s="5" t="inlineStr">
        <is>
          <t>Berisi Kunci Rumus &amp; Hasil Jawaban Benar untuk seluruh 5 Soal Tes di setiap sheet rumus.</t>
        </is>
      </c>
      <c r="F50" s="8" t="inlineStr">
        <is>
          <t>🔑 Buka Sheet Kunci Jawaban</t>
        </is>
      </c>
    </row>
  </sheetData>
  <mergeCells count="2">
    <mergeCell ref="A2:E2"/>
    <mergeCell ref="A1:F1"/>
  </mergeCells>
  <hyperlinks>
    <hyperlink xmlns:r="http://schemas.openxmlformats.org/officeDocument/2006/relationships" ref="F2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#001 — RUMUS EXCEL: VLOOKUP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(VLOOKUP)</t>
        </is>
      </c>
    </row>
    <row r="5" ht="21" customHeight="1">
      <c r="B5" s="14" t="inlineStr">
        <is>
          <t>Nama Rumus Excel</t>
        </is>
      </c>
      <c r="C5" s="15">
        <f>VLOOKUP(...)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VLOOKUP(nilai_dicari, tabel_referensi, nomor_kolom, FALSE)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Mesin kasir pencari data vertikal! Mencari kode di kolom paling kiri tabel, lalu mengambil informasi pasangannya di kolom sebelah kanan.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VLOOKUP DI SINI)</t>
        </is>
      </c>
    </row>
    <row r="10">
      <c r="B10" s="18" t="inlineStr">
        <is>
          <t>Kode Barang (Kol 1)</t>
        </is>
      </c>
      <c r="C10" s="18" t="inlineStr">
        <is>
          <t>Harga Barang (Kol 2)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K01</t>
        </is>
      </c>
      <c r="C11" s="19" t="n">
        <v>500000</v>
      </c>
      <c r="E11" s="20" t="inlineStr">
        <is>
          <t>Contoh Soal:</t>
        </is>
      </c>
      <c r="F11" s="21" t="inlineStr">
        <is>
          <t>Cari harga untuk kode "K02" pada tabel referensi B11:C14 (ambil kolom ke-2 dengan pencocokan eksak FALSE) menggunakan fungsi VLOOKUP!</t>
        </is>
      </c>
      <c r="G11" s="5" t="n"/>
    </row>
    <row r="12">
      <c r="B12" s="19" t="inlineStr">
        <is>
          <t>K02</t>
        </is>
      </c>
      <c r="C12" s="19" t="n">
        <v>750000</v>
      </c>
      <c r="E12" s="20" t="inlineStr">
        <is>
          <t>Contoh Rumus Benar:</t>
        </is>
      </c>
      <c r="F12" s="22" t="inlineStr">
        <is>
          <t>'=VLOOKUP("K02", B11:C14, 2, FALSE)</t>
        </is>
      </c>
      <c r="G12" s="5" t="n"/>
    </row>
    <row r="13">
      <c r="B13" s="19" t="inlineStr">
        <is>
          <t>K03</t>
        </is>
      </c>
      <c r="C13" s="19" t="n">
        <v>600000</v>
      </c>
      <c r="E13" s="20" t="inlineStr">
        <is>
          <t>Contoh Hasil Benar:</t>
        </is>
      </c>
      <c r="F13" s="23">
        <f>VLOOKUP("K02", B11:C14, 2, FALSE)</f>
        <v/>
      </c>
      <c r="G13" s="5" t="n"/>
    </row>
    <row r="14">
      <c r="B14" s="19" t="inlineStr">
        <is>
          <t>K04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Kode Barang (Kol 1)</t>
        </is>
      </c>
      <c r="C20" s="14" t="inlineStr">
        <is>
          <t>Harga Barang (Kol 2)</t>
        </is>
      </c>
      <c r="E20" s="27" t="inlineStr">
        <is>
          <t>Persoalan Tes #1: Cari harga untuk kode "K01" pada tabel referensi B21:C24 (ambil kolom ke-2 dengan pencocokan eksak FALSE) menggunakan fungsi VLOOKUP!</t>
        </is>
      </c>
    </row>
    <row r="21">
      <c r="B21" s="19" t="inlineStr">
        <is>
          <t>K01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K02</t>
        </is>
      </c>
      <c r="C22" s="19" t="n">
        <v>1850000</v>
      </c>
      <c r="E22" s="28" t="n"/>
      <c r="F22" s="29">
        <f>IF(ISBLANK(E22), "⏳ Belum Diisi (Ketik Rumus di Sel Kuning E22)", IF(E22='99_KUNCI_JAWABAN'!F5, "✅ BENAR! JAWABAN TES TEPAT!", "❌ Belum Tepat (Cek Sheet Akhir: 99_KUNCI_JAWABAN)"))</f>
        <v/>
      </c>
      <c r="G22" s="5" t="n"/>
    </row>
    <row r="23">
      <c r="B23" s="19" t="inlineStr">
        <is>
          <t>K03</t>
        </is>
      </c>
      <c r="C23" s="19" t="n">
        <v>2100000</v>
      </c>
    </row>
    <row r="24">
      <c r="B24" s="19" t="inlineStr">
        <is>
          <t>K04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Kode Barang (Kol 1)</t>
        </is>
      </c>
      <c r="C28" s="14" t="inlineStr">
        <is>
          <t>Harga Barang (Kol 2)</t>
        </is>
      </c>
      <c r="E28" s="27" t="inlineStr">
        <is>
          <t>Persoalan Tes #2: Cari harga untuk kode "K02" pada tabel referensi B29:C32 (ambil kolom ke-2 dengan pencocokan eksak FALSE) menggunakan fungsi VLOOKUP!</t>
        </is>
      </c>
    </row>
    <row r="29">
      <c r="B29" s="19" t="inlineStr">
        <is>
          <t>K01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K02</t>
        </is>
      </c>
      <c r="C30" s="19" t="n">
        <v>5200000</v>
      </c>
      <c r="E30" s="28" t="n"/>
      <c r="F30" s="29">
        <f>IF(ISBLANK(E30), "⏳ Belum Diisi (Ketik Rumus di Sel Kuning E30)", IF(E30='99_KUNCI_JAWABAN'!F6, "✅ BENAR! JAWABAN TES TEPAT!", "❌ Belum Tepat (Cek Sheet Akhir: 99_KUNCI_JAWABAN)"))</f>
        <v/>
      </c>
      <c r="G30" s="5" t="n"/>
    </row>
    <row r="31">
      <c r="B31" s="19" t="inlineStr">
        <is>
          <t>K03</t>
        </is>
      </c>
      <c r="C31" s="19" t="n">
        <v>4800000</v>
      </c>
    </row>
    <row r="32">
      <c r="B32" s="19" t="inlineStr">
        <is>
          <t>K04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Kode Barang (Kol 1)</t>
        </is>
      </c>
      <c r="C36" s="14" t="inlineStr">
        <is>
          <t>Harga Barang (Kol 2)</t>
        </is>
      </c>
      <c r="E36" s="27" t="inlineStr">
        <is>
          <t>Persoalan Tes #3: Cari harga untuk kode "K03" pada tabel referensi B37:C40 (ambil kolom ke-2 dengan pencocokan eksak FALSE) menggunakan fungsi VLOOKUP!</t>
        </is>
      </c>
    </row>
    <row r="37">
      <c r="B37" s="19" t="inlineStr">
        <is>
          <t>K01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K02</t>
        </is>
      </c>
      <c r="C38" s="19" t="n">
        <v>380</v>
      </c>
      <c r="E38" s="28" t="n"/>
      <c r="F38" s="29">
        <f>IF(ISBLANK(E38), "⏳ Belum Diisi (Ketik Rumus di Sel Kuning E38)", IF(E38='99_KUNCI_JAWABAN'!F7, "✅ BENAR! JAWABAN TES TEPAT!", "❌ Belum Tepat (Cek Sheet Akhir: 99_KUNCI_JAWABAN)"))</f>
        <v/>
      </c>
      <c r="G38" s="5" t="n"/>
    </row>
    <row r="39">
      <c r="B39" s="19" t="inlineStr">
        <is>
          <t>K03</t>
        </is>
      </c>
      <c r="C39" s="19" t="n">
        <v>195</v>
      </c>
    </row>
    <row r="40">
      <c r="B40" s="19" t="inlineStr">
        <is>
          <t>K04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Kode Barang (Kol 1)</t>
        </is>
      </c>
      <c r="C44" s="14" t="inlineStr">
        <is>
          <t>Harga Barang (Kol 2)</t>
        </is>
      </c>
      <c r="E44" s="27" t="inlineStr">
        <is>
          <t>Persoalan Tes #4: Cari harga untuk kode "K04" pada tabel referensi B45:C48 (ambil kolom ke-2 dengan pencocokan eksak FALSE) menggunakan fungsi VLOOKUP!</t>
        </is>
      </c>
    </row>
    <row r="45">
      <c r="B45" s="19" t="inlineStr">
        <is>
          <t>K01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K02</t>
        </is>
      </c>
      <c r="C46" s="19" t="n">
        <v>92</v>
      </c>
      <c r="E46" s="28" t="n"/>
      <c r="F46" s="29">
        <f>IF(ISBLANK(E46), "⏳ Belum Diisi (Ketik Rumus di Sel Kuning E46)", IF(E46='99_KUNCI_JAWABAN'!F8, "✅ BENAR! JAWABAN TES TEPAT!", "❌ Belum Tepat (Cek Sheet Akhir: 99_KUNCI_JAWABAN)"))</f>
        <v/>
      </c>
      <c r="G46" s="5" t="n"/>
    </row>
    <row r="47">
      <c r="B47" s="19" t="inlineStr">
        <is>
          <t>K03</t>
        </is>
      </c>
      <c r="C47" s="19" t="n">
        <v>78</v>
      </c>
    </row>
    <row r="48">
      <c r="B48" s="19" t="inlineStr">
        <is>
          <t>K04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Kode Barang (Kol 1)</t>
        </is>
      </c>
      <c r="C52" s="14" t="inlineStr">
        <is>
          <t>Harga Barang (Kol 2)</t>
        </is>
      </c>
      <c r="E52" s="27" t="inlineStr">
        <is>
          <t>Persoalan Tes #5: Cari harga untuk kode "K01" pada tabel referensi B53:C56 (ambil kolom ke-2 dengan pencocokan eksak FALSE) menggunakan fungsi VLOOKUP!</t>
        </is>
      </c>
    </row>
    <row r="53">
      <c r="B53" s="19" t="inlineStr">
        <is>
          <t>K01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K02</t>
        </is>
      </c>
      <c r="C54" s="19" t="n">
        <v>88</v>
      </c>
      <c r="E54" s="28" t="n"/>
      <c r="F54" s="29">
        <f>IF(ISBLANK(E54), "⏳ Belum Diisi (Ketik Rumus di Sel Kuning E54)", IF(E54='99_KUNCI_JAWABAN'!F9, "✅ BENAR! JAWABAN TES TEPAT!", "❌ Belum Tepat (Cek Sheet Akhir: 99_KUNCI_JAWABAN)"))</f>
        <v/>
      </c>
      <c r="G54" s="5" t="n"/>
    </row>
    <row r="55">
      <c r="B55" s="19" t="inlineStr">
        <is>
          <t>K03</t>
        </is>
      </c>
      <c r="C55" s="19" t="n">
        <v>91</v>
      </c>
    </row>
    <row r="56">
      <c r="B56" s="19" t="inlineStr">
        <is>
          <t>K04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#002 — RUMUS EXCEL: HLOOKUP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(HLOOKUP)</t>
        </is>
      </c>
    </row>
    <row r="5" ht="21" customHeight="1">
      <c r="B5" s="14" t="inlineStr">
        <is>
          <t>Nama Rumus Excel</t>
        </is>
      </c>
      <c r="C5" s="15">
        <f>HLOOKUP(...)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HLOOKUP(nilai_dicari, tabel_horizontal, nomor_baris, FALSE)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Sama seperti VLOOKUP tetapi mencari data secara MENDATAR (Horizontal) di baris paling atas lalu turun ke baris di bawahnya.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HLOOKUP DI SINI)</t>
        </is>
      </c>
    </row>
    <row r="10">
      <c r="B10" s="18" t="inlineStr">
        <is>
          <t>Baris Data</t>
        </is>
      </c>
      <c r="C10" s="18" t="inlineStr">
        <is>
          <t>Nilai Tabel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Cari nilai sel C11 pada blok C11:C14 lalu ambil baris ke-2 secara eksak (FALSE) menggunakan fungsi HLOOKUP!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'=HLOOKUP(C11, C11:C14, 2, FALSE)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HLOOKUP(C11, C11:C14, 2, FALSE)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Baris Data</t>
        </is>
      </c>
      <c r="C20" s="14" t="inlineStr">
        <is>
          <t>Nilai Tabel</t>
        </is>
      </c>
      <c r="E20" s="27" t="inlineStr">
        <is>
          <t>Persoalan Tes #1: Cari nilai sel C21 pada blok C21:C24 lalu ambil baris ke-2 secara eksak (FALSE) menggunakan fungsi HLOOKUP!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Baris Data</t>
        </is>
      </c>
      <c r="C28" s="14" t="inlineStr">
        <is>
          <t>Nilai Tabel</t>
        </is>
      </c>
      <c r="E28" s="27" t="inlineStr">
        <is>
          <t>Persoalan Tes #2: Cari nilai sel C29 pada blok C29:C32 lalu ambil baris ke-2 secara eksak (FALSE) menggunakan fungsi HLOOKUP!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Baris Data</t>
        </is>
      </c>
      <c r="C36" s="14" t="inlineStr">
        <is>
          <t>Nilai Tabel</t>
        </is>
      </c>
      <c r="E36" s="27" t="inlineStr">
        <is>
          <t>Persoalan Tes #3: Cari nilai sel C37 pada blok C37:C40 lalu ambil baris ke-2 secara eksak (FALSE) menggunakan fungsi HLOOKUP!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Baris Data</t>
        </is>
      </c>
      <c r="C44" s="14" t="inlineStr">
        <is>
          <t>Nilai Tabel</t>
        </is>
      </c>
      <c r="E44" s="27" t="inlineStr">
        <is>
          <t>Persoalan Tes #4: Cari nilai sel C45 pada blok C45:C48 lalu ambil baris ke-2 secara eksak (FALSE) menggunakan fungsi HLOOKUP!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Baris Data</t>
        </is>
      </c>
      <c r="C52" s="14" t="inlineStr">
        <is>
          <t>Nilai Tabel</t>
        </is>
      </c>
      <c r="E52" s="27" t="inlineStr">
        <is>
          <t>Persoalan Tes #5: Cari nilai sel C53 pada blok C53:C56 lalu ambil baris ke-2 secara eksak (FALSE) menggunakan fungsi HLOOKUP!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#003 — RUMUS EXCEL: INDEX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(INDEX)</t>
        </is>
      </c>
    </row>
    <row r="5" ht="21" customHeight="1">
      <c r="B5" s="14" t="inlineStr">
        <is>
          <t>Nama Rumus Excel</t>
        </is>
      </c>
      <c r="C5" s="15">
        <f>INDEX(...)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INDEX(range_data, nomor_baris, [nomor_kolom])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Mengambil isi sel pada koordinat urutan baris dan kolom tertentu di dalam suatu blok tabel (seperti menunjuk kursi bioskop Baris 3!).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INDEX DI SINI)</t>
        </is>
      </c>
    </row>
    <row r="10">
      <c r="B10" s="18" t="inlineStr">
        <is>
          <t>Nama Item</t>
        </is>
      </c>
      <c r="C10" s="18" t="inlineStr">
        <is>
          <t>Data Nilai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Ambil data yang berada pada urutan baris ke-2 dari rentang C11:C14 menggunakan fungsi INDEX!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'=INDEX(C11:C14, 2)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INDEX(C11:C14, 2)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Item</t>
        </is>
      </c>
      <c r="C20" s="14" t="inlineStr">
        <is>
          <t>Data Nilai</t>
        </is>
      </c>
      <c r="E20" s="27" t="inlineStr">
        <is>
          <t>Persoalan Tes #1: Ambil data yang berada pada urutan baris ke-1 dari rentang C21:C24 menggunakan fungsi INDEX!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Item</t>
        </is>
      </c>
      <c r="C28" s="14" t="inlineStr">
        <is>
          <t>Data Nilai</t>
        </is>
      </c>
      <c r="E28" s="27" t="inlineStr">
        <is>
          <t>Persoalan Tes #2: Ambil data yang berada pada urutan baris ke-2 dari rentang C29:C32 menggunakan fungsi INDEX!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Item</t>
        </is>
      </c>
      <c r="C36" s="14" t="inlineStr">
        <is>
          <t>Data Nilai</t>
        </is>
      </c>
      <c r="E36" s="27" t="inlineStr">
        <is>
          <t>Persoalan Tes #3: Ambil data yang berada pada urutan baris ke-3 dari rentang C37:C40 menggunakan fungsi INDEX!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Item</t>
        </is>
      </c>
      <c r="C44" s="14" t="inlineStr">
        <is>
          <t>Data Nilai</t>
        </is>
      </c>
      <c r="E44" s="27" t="inlineStr">
        <is>
          <t>Persoalan Tes #4: Ambil data yang berada pada urutan baris ke-4 dari rentang C45:C48 menggunakan fungsi INDEX!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Item</t>
        </is>
      </c>
      <c r="C52" s="14" t="inlineStr">
        <is>
          <t>Data Nilai</t>
        </is>
      </c>
      <c r="E52" s="27" t="inlineStr">
        <is>
          <t>Persoalan Tes #5: Ambil data yang berada pada urutan baris ke-1 dari rentang C53:C56 menggunakan fungsi INDEX!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#004 — RUMUS EXCEL: MATCH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(MATCH)</t>
        </is>
      </c>
    </row>
    <row r="5" ht="21" customHeight="1">
      <c r="B5" s="14" t="inlineStr">
        <is>
          <t>Nama Rumus Excel</t>
        </is>
      </c>
      <c r="C5" s="15">
        <f>MATCH(...)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MATCH(nilai_dicari, range_satu_kolom, 0)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tahu suatu data berada di URUTAN BARIS KE BERAPA di dalam sebuah daftar (menghasilkan nomor urut posisi 1, 2, 3...).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MATCH DI SINI)</t>
        </is>
      </c>
    </row>
    <row r="10">
      <c r="B10" s="18" t="inlineStr">
        <is>
          <t>Daftar Nama</t>
        </is>
      </c>
      <c r="C10" s="18" t="inlineStr">
        <is>
          <t>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Temukan nomor urut baris dari teks "Simulasi Unit B" di dalam rentang B11:B14 (tipe pencocokan eksak 0) menggunakan fungsi MATCH!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'=MATCH("Simulasi Unit B", B11:B14, 0)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MATCH("Simulasi Unit B", B11:B14, 0)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Daftar Nama</t>
        </is>
      </c>
      <c r="C20" s="14" t="inlineStr">
        <is>
          <t>Skor</t>
        </is>
      </c>
      <c r="E20" s="27" t="inlineStr">
        <is>
          <t>Persoalan Tes #1: Temukan nomor urut baris dari teks "Cabang Jakarta" di dalam rentang B21:B24 (tipe pencocokan eksak 0) menggunakan fungsi MATCH!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Daftar Nama</t>
        </is>
      </c>
      <c r="C28" s="14" t="inlineStr">
        <is>
          <t>Skor</t>
        </is>
      </c>
      <c r="E28" s="27" t="inlineStr">
        <is>
          <t>Persoalan Tes #2: Temukan nomor urut baris dari teks "Siti Aminah" di dalam rentang B29:B32 (tipe pencocokan eksak 0) menggunakan fungsi MATCH!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Daftar Nama</t>
        </is>
      </c>
      <c r="C36" s="14" t="inlineStr">
        <is>
          <t>Skor</t>
        </is>
      </c>
      <c r="E36" s="27" t="inlineStr">
        <is>
          <t>Persoalan Tes #3: Temukan nomor urut baris dari teks "Gudang Blok C" di dalam rentang B37:B40 (tipe pencocokan eksak 0) menggunakan fungsi MATCH!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Daftar Nama</t>
        </is>
      </c>
      <c r="C44" s="14" t="inlineStr">
        <is>
          <t>Skor</t>
        </is>
      </c>
      <c r="E44" s="27" t="inlineStr">
        <is>
          <t>Persoalan Tes #4: Temukan nomor urut baris dari teks "Toko Servis" di dalam rentang B45:B48 (tipe pencocokan eksak 0) menggunakan fungsi MATCH!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Daftar Nama</t>
        </is>
      </c>
      <c r="C52" s="14" t="inlineStr">
        <is>
          <t>Skor</t>
        </is>
      </c>
      <c r="E52" s="27" t="inlineStr">
        <is>
          <t>Persoalan Tes #5: Temukan nomor urut baris dari teks "Kelas 10 IPA" di dalam rentang B53:B56 (tipe pencocokan eksak 0) menggunakan fungsi MATCH!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#005 — RUMUS EXCEL: CHOOSE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(CHOOSE)</t>
        </is>
      </c>
    </row>
    <row r="5" ht="21" customHeight="1">
      <c r="B5" s="14" t="inlineStr">
        <is>
          <t>Nama Rumus Excel</t>
        </is>
      </c>
      <c r="C5" s="15">
        <f>CHOOSE(...)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CHOOSE(nomor_pilihan, nilai1, nilai2, nilai3, ...)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Memilih satu item dari daftar berdasarkan nomor urut tombol (1 = pilih nilai pertama, 2 = pilih nilai kedua, dst).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CHOOSE DI SINI)</t>
        </is>
      </c>
    </row>
    <row r="10">
      <c r="B10" s="18" t="inlineStr">
        <is>
          <t>Opsi Paket</t>
        </is>
      </c>
      <c r="C10" s="18" t="inlineStr">
        <is>
          <t>Nilai Paket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Pilih opsi urutan ke-3 dari tiga kandidat sel berurutan C11, C12, dan C13 menggunakan fungsi CHOOSE!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'=CHOOSE(3, C11, C12, C13)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CHOOSE(3, C11, C12, C13)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Opsi Paket</t>
        </is>
      </c>
      <c r="C20" s="14" t="inlineStr">
        <is>
          <t>Nilai Paket</t>
        </is>
      </c>
      <c r="E20" s="27" t="inlineStr">
        <is>
          <t>Persoalan Tes #1: Pilih opsi urutan ke-1 dari tiga kandidat sel berurutan C21, C22, dan C23 menggunakan fungsi CHOOSE!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Opsi Paket</t>
        </is>
      </c>
      <c r="C28" s="14" t="inlineStr">
        <is>
          <t>Nilai Paket</t>
        </is>
      </c>
      <c r="E28" s="27" t="inlineStr">
        <is>
          <t>Persoalan Tes #2: Pilih opsi urutan ke-2 dari tiga kandidat sel berurutan C29, C30, dan C31 menggunakan fungsi CHOOSE!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Opsi Paket</t>
        </is>
      </c>
      <c r="C36" s="14" t="inlineStr">
        <is>
          <t>Nilai Paket</t>
        </is>
      </c>
      <c r="E36" s="27" t="inlineStr">
        <is>
          <t>Persoalan Tes #3: Pilih opsi urutan ke-3 dari tiga kandidat sel berurutan C37, C38, dan C39 menggunakan fungsi CHOOSE!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Opsi Paket</t>
        </is>
      </c>
      <c r="C44" s="14" t="inlineStr">
        <is>
          <t>Nilai Paket</t>
        </is>
      </c>
      <c r="E44" s="27" t="inlineStr">
        <is>
          <t>Persoalan Tes #4: Pilih opsi urutan ke-1 dari tiga kandidat sel berurutan C45, C46, dan C47 menggunakan fungsi CHOOSE!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Opsi Paket</t>
        </is>
      </c>
      <c r="C52" s="14" t="inlineStr">
        <is>
          <t>Nilai Paket</t>
        </is>
      </c>
      <c r="E52" s="27" t="inlineStr">
        <is>
          <t>Persoalan Tes #5: Pilih opsi urutan ke-2 dari tiga kandidat sel berurutan C53, C54, dan C55 menggunakan fungsi CHOOSE!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#006 — RUMUS EXCEL: ROW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(ROW)</t>
        </is>
      </c>
    </row>
    <row r="5" ht="21" customHeight="1">
      <c r="B5" s="14" t="inlineStr">
        <is>
          <t>Nama Rumus Excel</t>
        </is>
      </c>
      <c r="C5" s="15">
        <f>ROW(...)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ROW([referensi_sel])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Memberitahu nomor baris tempat sebuah sel berada (misal ROW(C19) menghasilkan angka 19).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ROW DI SINI)</t>
        </is>
      </c>
    </row>
    <row r="10">
      <c r="B10" s="18" t="inlineStr">
        <is>
          <t>Label</t>
        </is>
      </c>
      <c r="C10" s="18" t="inlineStr">
        <is>
          <t>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nomor urut posisi sel C11 menggunakan fungsi referensi ROW!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'=ROW(C11)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ROW(C11)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Label</t>
        </is>
      </c>
      <c r="C20" s="14" t="inlineStr">
        <is>
          <t>Data</t>
        </is>
      </c>
      <c r="E20" s="27" t="inlineStr">
        <is>
          <t>Persoalan Tes #1: Periksa nomor urut posisi sel C21 menggunakan fungsi referensi ROW!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Label</t>
        </is>
      </c>
      <c r="C28" s="14" t="inlineStr">
        <is>
          <t>Data</t>
        </is>
      </c>
      <c r="E28" s="27" t="inlineStr">
        <is>
          <t>Persoalan Tes #2: Periksa nomor urut posisi sel C29 menggunakan fungsi referensi ROW!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Label</t>
        </is>
      </c>
      <c r="C36" s="14" t="inlineStr">
        <is>
          <t>Data</t>
        </is>
      </c>
      <c r="E36" s="27" t="inlineStr">
        <is>
          <t>Persoalan Tes #3: Periksa nomor urut posisi sel C37 menggunakan fungsi referensi ROW!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Label</t>
        </is>
      </c>
      <c r="C44" s="14" t="inlineStr">
        <is>
          <t>Data</t>
        </is>
      </c>
      <c r="E44" s="27" t="inlineStr">
        <is>
          <t>Persoalan Tes #4: Periksa nomor urut posisi sel C45 menggunakan fungsi referensi ROW!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Label</t>
        </is>
      </c>
      <c r="C52" s="14" t="inlineStr">
        <is>
          <t>Data</t>
        </is>
      </c>
      <c r="E52" s="27" t="inlineStr">
        <is>
          <t>Persoalan Tes #5: Periksa nomor urut posisi sel C53 menggunakan fungsi referensi ROW!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#007 — RUMUS EXCEL: COLUMN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(COLUMN)</t>
        </is>
      </c>
    </row>
    <row r="5" ht="21" customHeight="1">
      <c r="B5" s="14" t="inlineStr">
        <is>
          <t>Nama Rumus Excel</t>
        </is>
      </c>
      <c r="C5" s="15">
        <f>COLUMN(...)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COLUMN([referensi_sel])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Memberitahu nomor urut kolom sebuah sel (Kolom A = 1, Kolom B = 2, Kolom C = 3, dst).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COLUMN DI SINI)</t>
        </is>
      </c>
    </row>
    <row r="10">
      <c r="B10" s="18" t="inlineStr">
        <is>
          <t>Label</t>
        </is>
      </c>
      <c r="C10" s="18" t="inlineStr">
        <is>
          <t>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Periksa nomor urut posisi sel C11 menggunakan fungsi referensi COLUMN!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'=COLUMN(C11)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COLUMN(C11)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Label</t>
        </is>
      </c>
      <c r="C20" s="14" t="inlineStr">
        <is>
          <t>Data</t>
        </is>
      </c>
      <c r="E20" s="27" t="inlineStr">
        <is>
          <t>Persoalan Tes #1: Periksa nomor urut posisi sel C21 menggunakan fungsi referensi COLUMN!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Label</t>
        </is>
      </c>
      <c r="C28" s="14" t="inlineStr">
        <is>
          <t>Data</t>
        </is>
      </c>
      <c r="E28" s="27" t="inlineStr">
        <is>
          <t>Persoalan Tes #2: Periksa nomor urut posisi sel C29 menggunakan fungsi referensi COLUMN!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Label</t>
        </is>
      </c>
      <c r="C36" s="14" t="inlineStr">
        <is>
          <t>Data</t>
        </is>
      </c>
      <c r="E36" s="27" t="inlineStr">
        <is>
          <t>Persoalan Tes #3: Periksa nomor urut posisi sel C37 menggunakan fungsi referensi COLUMN!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Label</t>
        </is>
      </c>
      <c r="C44" s="14" t="inlineStr">
        <is>
          <t>Data</t>
        </is>
      </c>
      <c r="E44" s="27" t="inlineStr">
        <is>
          <t>Persoalan Tes #4: Periksa nomor urut posisi sel C45 menggunakan fungsi referensi COLUMN!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Label</t>
        </is>
      </c>
      <c r="C52" s="14" t="inlineStr">
        <is>
          <t>Data</t>
        </is>
      </c>
      <c r="E52" s="27" t="inlineStr">
        <is>
          <t>Persoalan Tes #5: Periksa nomor urut posisi sel C53 menggunakan fungsi referensi COLUMN!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#008 — RUMUS EXCEL: ROWS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(ROWS)</t>
        </is>
      </c>
    </row>
    <row r="5" ht="21" customHeight="1">
      <c r="B5" s="14" t="inlineStr">
        <is>
          <t>Nama Rumus Excel</t>
        </is>
      </c>
      <c r="C5" s="15">
        <f>ROWS(...)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ROWS(range_tabel)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ada berapa total baris di dalam suatu blok tabel.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ROWS DI SINI)</t>
        </is>
      </c>
    </row>
    <row r="10">
      <c r="B10" s="18" t="inlineStr">
        <is>
          <t>Label</t>
        </is>
      </c>
      <c r="C10" s="18" t="inlineStr">
        <is>
          <t>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jumlah dimensi blok tabel B11:C14 menggunakan fungsi ROWS!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'=ROWS(B11:C14)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ROWS(B11:C14)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Label</t>
        </is>
      </c>
      <c r="C20" s="14" t="inlineStr">
        <is>
          <t>Data</t>
        </is>
      </c>
      <c r="E20" s="27" t="inlineStr">
        <is>
          <t>Persoalan Tes #1: Hitung jumlah dimensi blok tabel B21:C24 menggunakan fungsi ROWS!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Label</t>
        </is>
      </c>
      <c r="C28" s="14" t="inlineStr">
        <is>
          <t>Data</t>
        </is>
      </c>
      <c r="E28" s="27" t="inlineStr">
        <is>
          <t>Persoalan Tes #2: Hitung jumlah dimensi blok tabel B29:C32 menggunakan fungsi ROWS!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Label</t>
        </is>
      </c>
      <c r="C36" s="14" t="inlineStr">
        <is>
          <t>Data</t>
        </is>
      </c>
      <c r="E36" s="27" t="inlineStr">
        <is>
          <t>Persoalan Tes #3: Hitung jumlah dimensi blok tabel B37:C40 menggunakan fungsi ROWS!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Label</t>
        </is>
      </c>
      <c r="C44" s="14" t="inlineStr">
        <is>
          <t>Data</t>
        </is>
      </c>
      <c r="E44" s="27" t="inlineStr">
        <is>
          <t>Persoalan Tes #4: Hitung jumlah dimensi blok tabel B45:C48 menggunakan fungsi ROWS!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Label</t>
        </is>
      </c>
      <c r="C52" s="14" t="inlineStr">
        <is>
          <t>Data</t>
        </is>
      </c>
      <c r="E52" s="27" t="inlineStr">
        <is>
          <t>Persoalan Tes #5: Hitung jumlah dimensi blok tabel B53:C56 menggunakan fungsi ROWS!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#009 — RUMUS EXCEL: COLUMNS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(COLUMNS)</t>
        </is>
      </c>
    </row>
    <row r="5" ht="21" customHeight="1">
      <c r="B5" s="14" t="inlineStr">
        <is>
          <t>Nama Rumus Excel</t>
        </is>
      </c>
      <c r="C5" s="15">
        <f>COLUMNS(...)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COLUMNS(range_tabel)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ada berapa total kolom menyamping di dalam suatu blok tabel.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COLUMNS DI SINI)</t>
        </is>
      </c>
    </row>
    <row r="10">
      <c r="B10" s="18" t="inlineStr">
        <is>
          <t>Label</t>
        </is>
      </c>
      <c r="C10" s="18" t="inlineStr">
        <is>
          <t>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jumlah dimensi blok tabel B11:C14 menggunakan fungsi COLUMNS!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'=COLUMNS(B11:C14)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COLUMNS(B11:C14)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Label</t>
        </is>
      </c>
      <c r="C20" s="14" t="inlineStr">
        <is>
          <t>Data</t>
        </is>
      </c>
      <c r="E20" s="27" t="inlineStr">
        <is>
          <t>Persoalan Tes #1: Hitung jumlah dimensi blok tabel B21:C24 menggunakan fungsi COLUMNS!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Label</t>
        </is>
      </c>
      <c r="C28" s="14" t="inlineStr">
        <is>
          <t>Data</t>
        </is>
      </c>
      <c r="E28" s="27" t="inlineStr">
        <is>
          <t>Persoalan Tes #2: Hitung jumlah dimensi blok tabel B29:C32 menggunakan fungsi COLUMNS!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Label</t>
        </is>
      </c>
      <c r="C36" s="14" t="inlineStr">
        <is>
          <t>Data</t>
        </is>
      </c>
      <c r="E36" s="27" t="inlineStr">
        <is>
          <t>Persoalan Tes #3: Hitung jumlah dimensi blok tabel B37:C40 menggunakan fungsi COLUMNS!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Label</t>
        </is>
      </c>
      <c r="C44" s="14" t="inlineStr">
        <is>
          <t>Data</t>
        </is>
      </c>
      <c r="E44" s="27" t="inlineStr">
        <is>
          <t>Persoalan Tes #4: Hitung jumlah dimensi blok tabel B45:C48 menggunakan fungsi COLUMNS!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Label</t>
        </is>
      </c>
      <c r="C52" s="14" t="inlineStr">
        <is>
          <t>Data</t>
        </is>
      </c>
      <c r="E52" s="27" t="inlineStr">
        <is>
          <t>Persoalan Tes #5: Hitung jumlah dimensi blok tabel B53:C56 menggunakan fungsi COLUMNS!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#010 — RUMUS EXCEL: ADDRESS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(ADDRESS)</t>
        </is>
      </c>
    </row>
    <row r="5" ht="21" customHeight="1">
      <c r="B5" s="14" t="inlineStr">
        <is>
          <t>Nama Rumus Excel</t>
        </is>
      </c>
      <c r="C5" s="15">
        <f>ADDRESS(...)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ADDRESS(nomor_baris, nomor_kolom)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Merakit teks alamat koordinat sel (seperti $C$19) dari angka nomor baris dan nomor kolom.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ADDRESS DI SINI)</t>
        </is>
      </c>
    </row>
    <row r="10">
      <c r="B10" s="18" t="inlineStr">
        <is>
          <t>Label</t>
        </is>
      </c>
      <c r="C10" s="18" t="inlineStr">
        <is>
          <t>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Bentuk teks alamat koordinat sel untuk nomor baris 11 dan nomor kolom 3 menggunakan fungsi ADDRESS!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'=ADDRESS(11, 3)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ADDRESS(11, 3)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Label</t>
        </is>
      </c>
      <c r="C20" s="14" t="inlineStr">
        <is>
          <t>Data</t>
        </is>
      </c>
      <c r="E20" s="27" t="inlineStr">
        <is>
          <t>Persoalan Tes #1: Bentuk teks alamat koordinat sel untuk nomor baris 21 dan nomor kolom 3 menggunakan fungsi ADDRESS!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Label</t>
        </is>
      </c>
      <c r="C28" s="14" t="inlineStr">
        <is>
          <t>Data</t>
        </is>
      </c>
      <c r="E28" s="27" t="inlineStr">
        <is>
          <t>Persoalan Tes #2: Bentuk teks alamat koordinat sel untuk nomor baris 29 dan nomor kolom 3 menggunakan fungsi ADDRESS!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IF(E30='99_KUNCI_JAWABAN'!F51,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Label</t>
        </is>
      </c>
      <c r="C36" s="14" t="inlineStr">
        <is>
          <t>Data</t>
        </is>
      </c>
      <c r="E36" s="27" t="inlineStr">
        <is>
          <t>Persoalan Tes #3: Bentuk teks alamat koordinat sel untuk nomor baris 37 dan nomor kolom 3 menggunakan fungsi ADDRESS!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IF(E38='99_KUNCI_JAWABAN'!F52,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Label</t>
        </is>
      </c>
      <c r="C44" s="14" t="inlineStr">
        <is>
          <t>Data</t>
        </is>
      </c>
      <c r="E44" s="27" t="inlineStr">
        <is>
          <t>Persoalan Tes #4: Bentuk teks alamat koordinat sel untuk nomor baris 45 dan nomor kolom 3 menggunakan fungsi ADDRESS!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IF(E46='99_KUNCI_JAWABAN'!F53,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Label</t>
        </is>
      </c>
      <c r="C52" s="14" t="inlineStr">
        <is>
          <t>Data</t>
        </is>
      </c>
      <c r="E52" s="27" t="inlineStr">
        <is>
          <t>Persoalan Tes #5: Bentuk teks alamat koordinat sel untuk nomor baris 53 dan nomor kolom 3 menggunakan fungsi ADDRESS!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IF(E54='99_KUNCI_JAWABAN'!F54,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#011 — RUMUS EXCEL: OFFSET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(OFFSET)</t>
        </is>
      </c>
    </row>
    <row r="5" ht="21" customHeight="1">
      <c r="B5" s="14" t="inlineStr">
        <is>
          <t>Nama Rumus Excel</t>
        </is>
      </c>
      <c r="C5" s="15">
        <f>OFFSET(...)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OFFSET(sel_awal, geser_baris, geser_kolom)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Mengambil data dari sel lain dengan cara melangkah/bergeser sejumlah baris ke bawah dan kolom ke samping dari titik awal.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OFFSET DI SINI)</t>
        </is>
      </c>
    </row>
    <row r="10">
      <c r="B10" s="18" t="inlineStr">
        <is>
          <t>Label</t>
        </is>
      </c>
      <c r="C10" s="18" t="inlineStr">
        <is>
          <t>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Ambil nilai sel yang bergeser 1 baris ke bawah dan 0 kolom ke samping dari titik awal C11 menggunakan fungsi OFFSET!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'=OFFSET(C11, 1, 0)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OFFSET(C11, 1, 0)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Label</t>
        </is>
      </c>
      <c r="C20" s="14" t="inlineStr">
        <is>
          <t>Data</t>
        </is>
      </c>
      <c r="E20" s="27" t="inlineStr">
        <is>
          <t>Persoalan Tes #1: Ambil nilai sel yang bergeser 1 baris ke bawah dan 0 kolom ke samping dari titik awal C21 menggunakan fungsi OFFSET!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Label</t>
        </is>
      </c>
      <c r="C28" s="14" t="inlineStr">
        <is>
          <t>Data</t>
        </is>
      </c>
      <c r="E28" s="27" t="inlineStr">
        <is>
          <t>Persoalan Tes #2: Ambil nilai sel yang bergeser 1 baris ke bawah dan 0 kolom ke samping dari titik awal C29 menggunakan fungsi OFFSET!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IF(E30='99_KUNCI_JAWABAN'!F56,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Label</t>
        </is>
      </c>
      <c r="C36" s="14" t="inlineStr">
        <is>
          <t>Data</t>
        </is>
      </c>
      <c r="E36" s="27" t="inlineStr">
        <is>
          <t>Persoalan Tes #3: Ambil nilai sel yang bergeser 1 baris ke bawah dan 0 kolom ke samping dari titik awal C37 menggunakan fungsi OFFSET!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IF(E38='99_KUNCI_JAWABAN'!F57,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Label</t>
        </is>
      </c>
      <c r="C44" s="14" t="inlineStr">
        <is>
          <t>Data</t>
        </is>
      </c>
      <c r="E44" s="27" t="inlineStr">
        <is>
          <t>Persoalan Tes #4: Ambil nilai sel yang bergeser 1 baris ke bawah dan 0 kolom ke samping dari titik awal C45 menggunakan fungsi OFFSET!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IF(E46='99_KUNCI_JAWABAN'!F58,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Label</t>
        </is>
      </c>
      <c r="C52" s="14" t="inlineStr">
        <is>
          <t>Data</t>
        </is>
      </c>
      <c r="E52" s="27" t="inlineStr">
        <is>
          <t>Persoalan Tes #5: Ambil nilai sel yang bergeser 1 baris ke bawah dan 0 kolom ke samping dari titik awal C53 menggunakan fungsi OFFSET!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IF(E54='99_KUNCI_JAWABAN'!F59,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#012 — RUMUS EXCEL: INDIRECT   |   Kategori: 3. Lookup &amp; Referensi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(INDIRECT)</t>
        </is>
      </c>
    </row>
    <row r="5" ht="21" customHeight="1">
      <c r="B5" s="14" t="inlineStr">
        <is>
          <t>Nama Rumus Excel</t>
        </is>
      </c>
      <c r="C5" s="15">
        <f>INDIRECT(...)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INDIRECT(teks_alamat_sel)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Mengubah tulisan teks biasa yang berisi alamat sel menjadi rujukan sel hidup yang diambil nilainya!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INDIRECT DI SINI)</t>
        </is>
      </c>
    </row>
    <row r="10">
      <c r="B10" s="18" t="inlineStr">
        <is>
          <t>Label</t>
        </is>
      </c>
      <c r="C10" s="18" t="inlineStr">
        <is>
          <t>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Ambil isi sel berdasarkan teks alamat "C11" menggunakan fungsi INDIRECT!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'=INDIRECT("C11")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INDIRECT("C11")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Label</t>
        </is>
      </c>
      <c r="C20" s="14" t="inlineStr">
        <is>
          <t>Data</t>
        </is>
      </c>
      <c r="E20" s="27" t="inlineStr">
        <is>
          <t>Persoalan Tes #1: Ambil isi sel berdasarkan teks alamat "C21" menggunakan fungsi INDIRECT!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IF(E22='99_KUNCI_JAWABAN'!F60,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Label</t>
        </is>
      </c>
      <c r="C28" s="14" t="inlineStr">
        <is>
          <t>Data</t>
        </is>
      </c>
      <c r="E28" s="27" t="inlineStr">
        <is>
          <t>Persoalan Tes #2: Ambil isi sel berdasarkan teks alamat "C29" menggunakan fungsi INDIRECT!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IF(E30='99_KUNCI_JAWABAN'!F61,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Label</t>
        </is>
      </c>
      <c r="C36" s="14" t="inlineStr">
        <is>
          <t>Data</t>
        </is>
      </c>
      <c r="E36" s="27" t="inlineStr">
        <is>
          <t>Persoalan Tes #3: Ambil isi sel berdasarkan teks alamat "C37" menggunakan fungsi INDIRECT!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IF(E38='99_KUNCI_JAWABAN'!F62,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Label</t>
        </is>
      </c>
      <c r="C44" s="14" t="inlineStr">
        <is>
          <t>Data</t>
        </is>
      </c>
      <c r="E44" s="27" t="inlineStr">
        <is>
          <t>Persoalan Tes #4: Ambil isi sel berdasarkan teks alamat "C45" menggunakan fungsi INDIRECT!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IF(E46='99_KUNCI_JAWABAN'!F63,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Label</t>
        </is>
      </c>
      <c r="C52" s="14" t="inlineStr">
        <is>
          <t>Data</t>
        </is>
      </c>
      <c r="E52" s="27" t="inlineStr">
        <is>
          <t>Persoalan Tes #5: Ambil isi sel berdasarkan teks alamat "C53" menggunakan fungsi INDIRECT!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IF(E54='99_KUNCI_JAWABAN'!F64,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#013 — RUMUS EXCEL: LEFT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(LEFT)</t>
        </is>
      </c>
    </row>
    <row r="5" ht="21" customHeight="1">
      <c r="B5" s="14" t="inlineStr">
        <is>
          <t>Nama Rumus Excel</t>
        </is>
      </c>
      <c r="C5" s="15">
        <f>LEFT(...)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LEFT(teks, jumlah_karakter)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Memotong dan mengambil sejumlah huruf dari sebelah KIRI (awal kata/kode barang).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LEFT DI SINI)</t>
        </is>
      </c>
    </row>
    <row r="10">
      <c r="B10" s="18" t="inlineStr">
        <is>
          <t>Nama Gudang</t>
        </is>
      </c>
      <c r="C10" s="18" t="inlineStr">
        <is>
          <t>Kode SKU Barang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JKT-105-A</t>
        </is>
      </c>
      <c r="E11" s="20" t="inlineStr">
        <is>
          <t>Contoh Soal:</t>
        </is>
      </c>
      <c r="F11" s="21" t="inlineStr">
        <is>
          <t>Ekstrak 3 karakter dari kode SKU di sel C11 ("JKT-105-A") menggunakan fungsi teks LEFT!</t>
        </is>
      </c>
      <c r="G11" s="5" t="n"/>
    </row>
    <row r="12">
      <c r="B12" s="19" t="inlineStr">
        <is>
          <t>Simulasi Unit B</t>
        </is>
      </c>
      <c r="C12" s="19" t="inlineStr">
        <is>
          <t>BDG-205-B</t>
        </is>
      </c>
      <c r="E12" s="20" t="inlineStr">
        <is>
          <t>Contoh Rumus Benar:</t>
        </is>
      </c>
      <c r="F12" s="22" t="inlineStr">
        <is>
          <t>'=LEFT(C11, 3)</t>
        </is>
      </c>
      <c r="G12" s="5" t="n"/>
    </row>
    <row r="13">
      <c r="B13" s="19" t="inlineStr">
        <is>
          <t>Simulasi Unit C</t>
        </is>
      </c>
      <c r="C13" s="19" t="inlineStr">
        <is>
          <t>SBY-310-C</t>
        </is>
      </c>
      <c r="E13" s="20" t="inlineStr">
        <is>
          <t>Contoh Hasil Benar:</t>
        </is>
      </c>
      <c r="F13" s="23">
        <f>LEFT(C11, 3)</f>
        <v/>
      </c>
      <c r="G13" s="5" t="n"/>
    </row>
    <row r="14">
      <c r="B14" s="19" t="inlineStr">
        <is>
          <t>Simulasi Unit D</t>
        </is>
      </c>
      <c r="C14" s="19" t="inlineStr">
        <is>
          <t>MDN-415-D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Gudang</t>
        </is>
      </c>
      <c r="C20" s="14" t="inlineStr">
        <is>
          <t>Kode SKU Barang</t>
        </is>
      </c>
      <c r="E20" s="27" t="inlineStr">
        <is>
          <t>Persoalan Tes #1: Ekstrak 3 karakter dari kode SKU di sel C21 ("JKT-100-A") menggunakan fungsi teks LEFT!</t>
        </is>
      </c>
    </row>
    <row r="21">
      <c r="B21" s="19" t="inlineStr">
        <is>
          <t>Cabang Jakarta</t>
        </is>
      </c>
      <c r="C21" s="19" t="inlineStr">
        <is>
          <t>JKT-100-A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BDG-205-B</t>
        </is>
      </c>
      <c r="E22" s="28" t="n"/>
      <c r="F22" s="29">
        <f>IF(ISBLANK(E22), "⏳ Belum Diisi (Ketik Rumus di Sel Kuning E22)", IF(E22='99_KUNCI_JAWABAN'!F65,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SBY-310-C</t>
        </is>
      </c>
    </row>
    <row r="24">
      <c r="B24" s="19" t="inlineStr">
        <is>
          <t>Cabang Medan</t>
        </is>
      </c>
      <c r="C24" s="19" t="inlineStr">
        <is>
          <t>MDN-415-D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Gudang</t>
        </is>
      </c>
      <c r="C28" s="14" t="inlineStr">
        <is>
          <t>Kode SKU Barang</t>
        </is>
      </c>
      <c r="E28" s="27" t="inlineStr">
        <is>
          <t>Persoalan Tes #2: Ekstrak 3 karakter dari kode SKU di sel C29 ("JKT-101-A") menggunakan fungsi teks LEFT!</t>
        </is>
      </c>
    </row>
    <row r="29">
      <c r="B29" s="19" t="inlineStr">
        <is>
          <t>Budi Santoso</t>
        </is>
      </c>
      <c r="C29" s="19" t="inlineStr">
        <is>
          <t>JKT-101-A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BDG-205-B</t>
        </is>
      </c>
      <c r="E30" s="28" t="n"/>
      <c r="F30" s="29">
        <f>IF(ISBLANK(E30), "⏳ Belum Diisi (Ketik Rumus di Sel Kuning E30)", IF(E30='99_KUNCI_JAWABAN'!F66,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SBY-310-C</t>
        </is>
      </c>
    </row>
    <row r="32">
      <c r="B32" s="19" t="inlineStr">
        <is>
          <t>Rina Wijaya</t>
        </is>
      </c>
      <c r="C32" s="19" t="inlineStr">
        <is>
          <t>MDN-415-D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Gudang</t>
        </is>
      </c>
      <c r="C36" s="14" t="inlineStr">
        <is>
          <t>Kode SKU Barang</t>
        </is>
      </c>
      <c r="E36" s="27" t="inlineStr">
        <is>
          <t>Persoalan Tes #3: Ekstrak 3 karakter dari kode SKU di sel C37 ("JKT-102-A") menggunakan fungsi teks LEFT!</t>
        </is>
      </c>
    </row>
    <row r="37">
      <c r="B37" s="19" t="inlineStr">
        <is>
          <t>Gudang Blok A</t>
        </is>
      </c>
      <c r="C37" s="19" t="inlineStr">
        <is>
          <t>JKT-102-A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BDG-205-B</t>
        </is>
      </c>
      <c r="E38" s="28" t="n"/>
      <c r="F38" s="29">
        <f>IF(ISBLANK(E38), "⏳ Belum Diisi (Ketik Rumus di Sel Kuning E38)", IF(E38='99_KUNCI_JAWABAN'!F67,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SBY-310-C</t>
        </is>
      </c>
    </row>
    <row r="40">
      <c r="B40" s="19" t="inlineStr">
        <is>
          <t>Gudang Blok D</t>
        </is>
      </c>
      <c r="C40" s="19" t="inlineStr">
        <is>
          <t>MDN-415-D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Gudang</t>
        </is>
      </c>
      <c r="C44" s="14" t="inlineStr">
        <is>
          <t>Kode SKU Barang</t>
        </is>
      </c>
      <c r="E44" s="27" t="inlineStr">
        <is>
          <t>Persoalan Tes #4: Ekstrak 3 karakter dari kode SKU di sel C45 ("JKT-103-A") menggunakan fungsi teks LEFT!</t>
        </is>
      </c>
    </row>
    <row r="45">
      <c r="B45" s="19" t="inlineStr">
        <is>
          <t>Toko Elektronik</t>
        </is>
      </c>
      <c r="C45" s="19" t="inlineStr">
        <is>
          <t>JKT-103-A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BDG-205-B</t>
        </is>
      </c>
      <c r="E46" s="28" t="n"/>
      <c r="F46" s="29">
        <f>IF(ISBLANK(E46), "⏳ Belum Diisi (Ketik Rumus di Sel Kuning E46)", IF(E46='99_KUNCI_JAWABAN'!F68,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SBY-310-C</t>
        </is>
      </c>
    </row>
    <row r="48">
      <c r="B48" s="19" t="inlineStr">
        <is>
          <t>Toko Servis</t>
        </is>
      </c>
      <c r="C48" s="19" t="inlineStr">
        <is>
          <t>MDN-415-D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Gudang</t>
        </is>
      </c>
      <c r="C52" s="14" t="inlineStr">
        <is>
          <t>Kode SKU Barang</t>
        </is>
      </c>
      <c r="E52" s="27" t="inlineStr">
        <is>
          <t>Persoalan Tes #5: Ekstrak 3 karakter dari kode SKU di sel C53 ("JKT-104-A") menggunakan fungsi teks LEFT!</t>
        </is>
      </c>
    </row>
    <row r="53">
      <c r="B53" s="19" t="inlineStr">
        <is>
          <t>Kelas 10 IPA</t>
        </is>
      </c>
      <c r="C53" s="19" t="inlineStr">
        <is>
          <t>JKT-104-A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BDG-205-B</t>
        </is>
      </c>
      <c r="E54" s="28" t="n"/>
      <c r="F54" s="29">
        <f>IF(ISBLANK(E54), "⏳ Belum Diisi (Ketik Rumus di Sel Kuning E54)", IF(E54='99_KUNCI_JAWABAN'!F69,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SBY-310-C</t>
        </is>
      </c>
    </row>
    <row r="56">
      <c r="B56" s="19" t="inlineStr">
        <is>
          <t>Kelas Unggulan</t>
        </is>
      </c>
      <c r="C56" s="19" t="inlineStr">
        <is>
          <t>MDN-415-D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#014 — RUMUS EXCEL: RIGHT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(RIGHT)</t>
        </is>
      </c>
    </row>
    <row r="5" ht="21" customHeight="1">
      <c r="B5" s="14" t="inlineStr">
        <is>
          <t>Nama Rumus Excel</t>
        </is>
      </c>
      <c r="C5" s="15">
        <f>RIGHT(...)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RIGHT(teks, jumlah_karakter)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Memotong dan mengambil sejumlah huruf dari sebelah KANAN (ujung belakang kata/kode barang).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RIGHT DI SINI)</t>
        </is>
      </c>
    </row>
    <row r="10">
      <c r="B10" s="18" t="inlineStr">
        <is>
          <t>Nama Gudang</t>
        </is>
      </c>
      <c r="C10" s="18" t="inlineStr">
        <is>
          <t>Kode SKU Barang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JKT-105-A</t>
        </is>
      </c>
      <c r="E11" s="20" t="inlineStr">
        <is>
          <t>Contoh Soal:</t>
        </is>
      </c>
      <c r="F11" s="21" t="inlineStr">
        <is>
          <t>Ekstrak 3 karakter dari kode SKU di sel C11 ("JKT-105-A") menggunakan fungsi teks RIGHT!</t>
        </is>
      </c>
      <c r="G11" s="5" t="n"/>
    </row>
    <row r="12">
      <c r="B12" s="19" t="inlineStr">
        <is>
          <t>Simulasi Unit B</t>
        </is>
      </c>
      <c r="C12" s="19" t="inlineStr">
        <is>
          <t>BDG-205-B</t>
        </is>
      </c>
      <c r="E12" s="20" t="inlineStr">
        <is>
          <t>Contoh Rumus Benar:</t>
        </is>
      </c>
      <c r="F12" s="22" t="inlineStr">
        <is>
          <t>'=RIGHT(C11, 3)</t>
        </is>
      </c>
      <c r="G12" s="5" t="n"/>
    </row>
    <row r="13">
      <c r="B13" s="19" t="inlineStr">
        <is>
          <t>Simulasi Unit C</t>
        </is>
      </c>
      <c r="C13" s="19" t="inlineStr">
        <is>
          <t>SBY-310-C</t>
        </is>
      </c>
      <c r="E13" s="20" t="inlineStr">
        <is>
          <t>Contoh Hasil Benar:</t>
        </is>
      </c>
      <c r="F13" s="23">
        <f>RIGHT(C11, 3)</f>
        <v/>
      </c>
      <c r="G13" s="5" t="n"/>
    </row>
    <row r="14">
      <c r="B14" s="19" t="inlineStr">
        <is>
          <t>Simulasi Unit D</t>
        </is>
      </c>
      <c r="C14" s="19" t="inlineStr">
        <is>
          <t>MDN-415-D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Gudang</t>
        </is>
      </c>
      <c r="C20" s="14" t="inlineStr">
        <is>
          <t>Kode SKU Barang</t>
        </is>
      </c>
      <c r="E20" s="27" t="inlineStr">
        <is>
          <t>Persoalan Tes #1: Ekstrak 3 karakter dari kode SKU di sel C21 ("JKT-100-A") menggunakan fungsi teks RIGHT!</t>
        </is>
      </c>
    </row>
    <row r="21">
      <c r="B21" s="19" t="inlineStr">
        <is>
          <t>Cabang Jakarta</t>
        </is>
      </c>
      <c r="C21" s="19" t="inlineStr">
        <is>
          <t>JKT-100-A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BDG-205-B</t>
        </is>
      </c>
      <c r="E22" s="28" t="n"/>
      <c r="F22" s="29">
        <f>IF(ISBLANK(E22), "⏳ Belum Diisi (Ketik Rumus di Sel Kuning E22)", IF(E22='99_KUNCI_JAWABAN'!F70,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SBY-310-C</t>
        </is>
      </c>
    </row>
    <row r="24">
      <c r="B24" s="19" t="inlineStr">
        <is>
          <t>Cabang Medan</t>
        </is>
      </c>
      <c r="C24" s="19" t="inlineStr">
        <is>
          <t>MDN-415-D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Gudang</t>
        </is>
      </c>
      <c r="C28" s="14" t="inlineStr">
        <is>
          <t>Kode SKU Barang</t>
        </is>
      </c>
      <c r="E28" s="27" t="inlineStr">
        <is>
          <t>Persoalan Tes #2: Ekstrak 3 karakter dari kode SKU di sel C29 ("JKT-101-A") menggunakan fungsi teks RIGHT!</t>
        </is>
      </c>
    </row>
    <row r="29">
      <c r="B29" s="19" t="inlineStr">
        <is>
          <t>Budi Santoso</t>
        </is>
      </c>
      <c r="C29" s="19" t="inlineStr">
        <is>
          <t>JKT-101-A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BDG-205-B</t>
        </is>
      </c>
      <c r="E30" s="28" t="n"/>
      <c r="F30" s="29">
        <f>IF(ISBLANK(E30), "⏳ Belum Diisi (Ketik Rumus di Sel Kuning E30)", IF(E30='99_KUNCI_JAWABAN'!F71,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SBY-310-C</t>
        </is>
      </c>
    </row>
    <row r="32">
      <c r="B32" s="19" t="inlineStr">
        <is>
          <t>Rina Wijaya</t>
        </is>
      </c>
      <c r="C32" s="19" t="inlineStr">
        <is>
          <t>MDN-415-D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Gudang</t>
        </is>
      </c>
      <c r="C36" s="14" t="inlineStr">
        <is>
          <t>Kode SKU Barang</t>
        </is>
      </c>
      <c r="E36" s="27" t="inlineStr">
        <is>
          <t>Persoalan Tes #3: Ekstrak 3 karakter dari kode SKU di sel C37 ("JKT-102-A") menggunakan fungsi teks RIGHT!</t>
        </is>
      </c>
    </row>
    <row r="37">
      <c r="B37" s="19" t="inlineStr">
        <is>
          <t>Gudang Blok A</t>
        </is>
      </c>
      <c r="C37" s="19" t="inlineStr">
        <is>
          <t>JKT-102-A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BDG-205-B</t>
        </is>
      </c>
      <c r="E38" s="28" t="n"/>
      <c r="F38" s="29">
        <f>IF(ISBLANK(E38), "⏳ Belum Diisi (Ketik Rumus di Sel Kuning E38)", IF(E38='99_KUNCI_JAWABAN'!F72,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SBY-310-C</t>
        </is>
      </c>
    </row>
    <row r="40">
      <c r="B40" s="19" t="inlineStr">
        <is>
          <t>Gudang Blok D</t>
        </is>
      </c>
      <c r="C40" s="19" t="inlineStr">
        <is>
          <t>MDN-415-D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Gudang</t>
        </is>
      </c>
      <c r="C44" s="14" t="inlineStr">
        <is>
          <t>Kode SKU Barang</t>
        </is>
      </c>
      <c r="E44" s="27" t="inlineStr">
        <is>
          <t>Persoalan Tes #4: Ekstrak 3 karakter dari kode SKU di sel C45 ("JKT-103-A") menggunakan fungsi teks RIGHT!</t>
        </is>
      </c>
    </row>
    <row r="45">
      <c r="B45" s="19" t="inlineStr">
        <is>
          <t>Toko Elektronik</t>
        </is>
      </c>
      <c r="C45" s="19" t="inlineStr">
        <is>
          <t>JKT-103-A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BDG-205-B</t>
        </is>
      </c>
      <c r="E46" s="28" t="n"/>
      <c r="F46" s="29">
        <f>IF(ISBLANK(E46), "⏳ Belum Diisi (Ketik Rumus di Sel Kuning E46)", IF(E46='99_KUNCI_JAWABAN'!F73,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SBY-310-C</t>
        </is>
      </c>
    </row>
    <row r="48">
      <c r="B48" s="19" t="inlineStr">
        <is>
          <t>Toko Servis</t>
        </is>
      </c>
      <c r="C48" s="19" t="inlineStr">
        <is>
          <t>MDN-415-D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Gudang</t>
        </is>
      </c>
      <c r="C52" s="14" t="inlineStr">
        <is>
          <t>Kode SKU Barang</t>
        </is>
      </c>
      <c r="E52" s="27" t="inlineStr">
        <is>
          <t>Persoalan Tes #5: Ekstrak 3 karakter dari kode SKU di sel C53 ("JKT-104-A") menggunakan fungsi teks RIGHT!</t>
        </is>
      </c>
    </row>
    <row r="53">
      <c r="B53" s="19" t="inlineStr">
        <is>
          <t>Kelas 10 IPA</t>
        </is>
      </c>
      <c r="C53" s="19" t="inlineStr">
        <is>
          <t>JKT-104-A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BDG-205-B</t>
        </is>
      </c>
      <c r="E54" s="28" t="n"/>
      <c r="F54" s="29">
        <f>IF(ISBLANK(E54), "⏳ Belum Diisi (Ketik Rumus di Sel Kuning E54)", IF(E54='99_KUNCI_JAWABAN'!F74,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SBY-310-C</t>
        </is>
      </c>
    </row>
    <row r="56">
      <c r="B56" s="19" t="inlineStr">
        <is>
          <t>Kelas Unggulan</t>
        </is>
      </c>
      <c r="C56" s="19" t="inlineStr">
        <is>
          <t>MDN-415-D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#015 — RUMUS EXCEL: MID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(MID)</t>
        </is>
      </c>
    </row>
    <row r="5" ht="21" customHeight="1">
      <c r="B5" s="14" t="inlineStr">
        <is>
          <t>Nama Rumus Excel</t>
        </is>
      </c>
      <c r="C5" s="15">
        <f>MID(...)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MID(teks, posisi_mulai, jumlah_karakter)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Mengambil huruf dari bagian TENGAH teks, dimulai dari urutan huruf tertentu sebanyak beberapa karakter.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MID DI SINI)</t>
        </is>
      </c>
    </row>
    <row r="10">
      <c r="B10" s="18" t="inlineStr">
        <is>
          <t>Transaksi</t>
        </is>
      </c>
      <c r="C10" s="18" t="inlineStr">
        <is>
          <t>Nomor Invoice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INV-2026-06</t>
        </is>
      </c>
      <c r="E11" s="20" t="inlineStr">
        <is>
          <t>Contoh Soal:</t>
        </is>
      </c>
      <c r="F11" s="21" t="inlineStr">
        <is>
          <t>Ambil 4 karakter angka tahun dari nomor invoice di sel C11 ("INV-2026-06") mulai karakter ke-5 menggunakan fungsi MID!</t>
        </is>
      </c>
      <c r="G11" s="5" t="n"/>
    </row>
    <row r="12">
      <c r="B12" s="19" t="inlineStr">
        <is>
          <t>Simulasi Unit B</t>
        </is>
      </c>
      <c r="C12" s="19" t="inlineStr">
        <is>
          <t>INV-2025-09</t>
        </is>
      </c>
      <c r="E12" s="20" t="inlineStr">
        <is>
          <t>Contoh Rumus Benar:</t>
        </is>
      </c>
      <c r="F12" s="22" t="inlineStr">
        <is>
          <t>'=MID(C11, 5, 4)</t>
        </is>
      </c>
      <c r="G12" s="5" t="n"/>
    </row>
    <row r="13">
      <c r="B13" s="19" t="inlineStr">
        <is>
          <t>Simulasi Unit C</t>
        </is>
      </c>
      <c r="C13" s="19" t="inlineStr">
        <is>
          <t>INV-2024-11</t>
        </is>
      </c>
      <c r="E13" s="20" t="inlineStr">
        <is>
          <t>Contoh Hasil Benar:</t>
        </is>
      </c>
      <c r="F13" s="23">
        <f>MID(C11, 5, 4)</f>
        <v/>
      </c>
      <c r="G13" s="5" t="n"/>
    </row>
    <row r="14">
      <c r="B14" s="19" t="inlineStr">
        <is>
          <t>Simulasi Unit D</t>
        </is>
      </c>
      <c r="C14" s="19" t="inlineStr">
        <is>
          <t>INV-2026-12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Transaksi</t>
        </is>
      </c>
      <c r="C20" s="14" t="inlineStr">
        <is>
          <t>Nomor Invoice</t>
        </is>
      </c>
      <c r="E20" s="27" t="inlineStr">
        <is>
          <t>Persoalan Tes #1: Ambil 4 karakter angka tahun dari nomor invoice di sel C21 ("INV-2021-01") mulai karakter ke-5 menggunakan fungsi MID!</t>
        </is>
      </c>
    </row>
    <row r="21">
      <c r="B21" s="19" t="inlineStr">
        <is>
          <t>Cabang Jakarta</t>
        </is>
      </c>
      <c r="C21" s="19" t="inlineStr">
        <is>
          <t>INV-2021-01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INV-2025-09</t>
        </is>
      </c>
      <c r="E22" s="28" t="n"/>
      <c r="F22" s="29">
        <f>IF(ISBLANK(E22), "⏳ Belum Diisi (Ketik Rumus di Sel Kuning E22)", IF(E22='99_KUNCI_JAWABAN'!F75,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INV-2024-11</t>
        </is>
      </c>
    </row>
    <row r="24">
      <c r="B24" s="19" t="inlineStr">
        <is>
          <t>Cabang Medan</t>
        </is>
      </c>
      <c r="C24" s="19" t="inlineStr">
        <is>
          <t>INV-2026-12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Transaksi</t>
        </is>
      </c>
      <c r="C28" s="14" t="inlineStr">
        <is>
          <t>Nomor Invoice</t>
        </is>
      </c>
      <c r="E28" s="27" t="inlineStr">
        <is>
          <t>Persoalan Tes #2: Ambil 4 karakter angka tahun dari nomor invoice di sel C29 ("INV-2022-02") mulai karakter ke-5 menggunakan fungsi MID!</t>
        </is>
      </c>
    </row>
    <row r="29">
      <c r="B29" s="19" t="inlineStr">
        <is>
          <t>Budi Santoso</t>
        </is>
      </c>
      <c r="C29" s="19" t="inlineStr">
        <is>
          <t>INV-2022-02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INV-2025-09</t>
        </is>
      </c>
      <c r="E30" s="28" t="n"/>
      <c r="F30" s="29">
        <f>IF(ISBLANK(E30), "⏳ Belum Diisi (Ketik Rumus di Sel Kuning E30)", IF(E30='99_KUNCI_JAWABAN'!F76,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INV-2024-11</t>
        </is>
      </c>
    </row>
    <row r="32">
      <c r="B32" s="19" t="inlineStr">
        <is>
          <t>Rina Wijaya</t>
        </is>
      </c>
      <c r="C32" s="19" t="inlineStr">
        <is>
          <t>INV-2026-12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Transaksi</t>
        </is>
      </c>
      <c r="C36" s="14" t="inlineStr">
        <is>
          <t>Nomor Invoice</t>
        </is>
      </c>
      <c r="E36" s="27" t="inlineStr">
        <is>
          <t>Persoalan Tes #3: Ambil 4 karakter angka tahun dari nomor invoice di sel C37 ("INV-2023-03") mulai karakter ke-5 menggunakan fungsi MID!</t>
        </is>
      </c>
    </row>
    <row r="37">
      <c r="B37" s="19" t="inlineStr">
        <is>
          <t>Gudang Blok A</t>
        </is>
      </c>
      <c r="C37" s="19" t="inlineStr">
        <is>
          <t>INV-2023-03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INV-2025-09</t>
        </is>
      </c>
      <c r="E38" s="28" t="n"/>
      <c r="F38" s="29">
        <f>IF(ISBLANK(E38), "⏳ Belum Diisi (Ketik Rumus di Sel Kuning E38)", IF(E38='99_KUNCI_JAWABAN'!F77,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INV-2024-11</t>
        </is>
      </c>
    </row>
    <row r="40">
      <c r="B40" s="19" t="inlineStr">
        <is>
          <t>Gudang Blok D</t>
        </is>
      </c>
      <c r="C40" s="19" t="inlineStr">
        <is>
          <t>INV-2026-12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Transaksi</t>
        </is>
      </c>
      <c r="C44" s="14" t="inlineStr">
        <is>
          <t>Nomor Invoice</t>
        </is>
      </c>
      <c r="E44" s="27" t="inlineStr">
        <is>
          <t>Persoalan Tes #4: Ambil 4 karakter angka tahun dari nomor invoice di sel C45 ("INV-2024-04") mulai karakter ke-5 menggunakan fungsi MID!</t>
        </is>
      </c>
    </row>
    <row r="45">
      <c r="B45" s="19" t="inlineStr">
        <is>
          <t>Toko Elektronik</t>
        </is>
      </c>
      <c r="C45" s="19" t="inlineStr">
        <is>
          <t>INV-2024-04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INV-2025-09</t>
        </is>
      </c>
      <c r="E46" s="28" t="n"/>
      <c r="F46" s="29">
        <f>IF(ISBLANK(E46), "⏳ Belum Diisi (Ketik Rumus di Sel Kuning E46)", IF(E46='99_KUNCI_JAWABAN'!F78,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INV-2024-11</t>
        </is>
      </c>
    </row>
    <row r="48">
      <c r="B48" s="19" t="inlineStr">
        <is>
          <t>Toko Servis</t>
        </is>
      </c>
      <c r="C48" s="19" t="inlineStr">
        <is>
          <t>INV-2026-12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Transaksi</t>
        </is>
      </c>
      <c r="C52" s="14" t="inlineStr">
        <is>
          <t>Nomor Invoice</t>
        </is>
      </c>
      <c r="E52" s="27" t="inlineStr">
        <is>
          <t>Persoalan Tes #5: Ambil 4 karakter angka tahun dari nomor invoice di sel C53 ("INV-2025-05") mulai karakter ke-5 menggunakan fungsi MID!</t>
        </is>
      </c>
    </row>
    <row r="53">
      <c r="B53" s="19" t="inlineStr">
        <is>
          <t>Kelas 10 IPA</t>
        </is>
      </c>
      <c r="C53" s="19" t="inlineStr">
        <is>
          <t>INV-2025-05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INV-2025-09</t>
        </is>
      </c>
      <c r="E54" s="28" t="n"/>
      <c r="F54" s="29">
        <f>IF(ISBLANK(E54), "⏳ Belum Diisi (Ketik Rumus di Sel Kuning E54)", IF(E54='99_KUNCI_JAWABAN'!F79,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INV-2024-11</t>
        </is>
      </c>
    </row>
    <row r="56">
      <c r="B56" s="19" t="inlineStr">
        <is>
          <t>Kelas Unggulan</t>
        </is>
      </c>
      <c r="C56" s="19" t="inlineStr">
        <is>
          <t>INV-2026-12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#016 — RUMUS EXCEL: LEN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(LEN)</t>
        </is>
      </c>
    </row>
    <row r="5" ht="21" customHeight="1">
      <c r="B5" s="14" t="inlineStr">
        <is>
          <t>Nama Rumus Excel</t>
        </is>
      </c>
      <c r="C5" s="15">
        <f>LEN(...)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LEN(teks)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total panjang karakter (jumlah huruf, angka, dan spasi) di dalam sebuah sel. Wajib untuk validasi panjang NIK 16 digit!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LEN DI SINI)</t>
        </is>
      </c>
    </row>
    <row r="10">
      <c r="B10" s="18" t="inlineStr">
        <is>
          <t>Data Asal</t>
        </is>
      </c>
      <c r="C10" s="18" t="inlineStr">
        <is>
          <t>Teks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hendra wijaya</t>
        </is>
      </c>
      <c r="E11" s="20" t="inlineStr">
        <is>
          <t>Contoh Soal:</t>
        </is>
      </c>
      <c r="F11" s="21" t="inlineStr">
        <is>
          <t>Olahlah teks pada sel C11 ("hendra wijaya") menggunakan fungsi teks LEN!</t>
        </is>
      </c>
      <c r="G11" s="5" t="n"/>
    </row>
    <row r="12">
      <c r="B12" s="19" t="inlineStr">
        <is>
          <t>Simulasi Unit B</t>
        </is>
      </c>
      <c r="C12" s="19" t="inlineStr">
        <is>
          <t>jakarta pusat</t>
        </is>
      </c>
      <c r="E12" s="20" t="inlineStr">
        <is>
          <t>Contoh Rumus Benar:</t>
        </is>
      </c>
      <c r="F12" s="22" t="inlineStr">
        <is>
          <t>'=LEN(C11)</t>
        </is>
      </c>
      <c r="G12" s="5" t="n"/>
    </row>
    <row r="13">
      <c r="B13" s="19" t="inlineStr">
        <is>
          <t>Simulasi Unit C</t>
        </is>
      </c>
      <c r="C13" s="19" t="inlineStr">
        <is>
          <t>surabaya timur</t>
        </is>
      </c>
      <c r="E13" s="20" t="inlineStr">
        <is>
          <t>Contoh Hasil Benar:</t>
        </is>
      </c>
      <c r="F13" s="23">
        <f>LEN(C11)</f>
        <v/>
      </c>
      <c r="G13" s="5" t="n"/>
    </row>
    <row r="14">
      <c r="B14" s="19" t="inlineStr">
        <is>
          <t>Simulasi Unit D</t>
        </is>
      </c>
      <c r="C14" s="19" t="inlineStr">
        <is>
          <t>medan kota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Asal</t>
        </is>
      </c>
      <c r="C20" s="14" t="inlineStr">
        <is>
          <t>Teks Input</t>
        </is>
      </c>
      <c r="E20" s="27" t="inlineStr">
        <is>
          <t>Persoalan Tes #1: Olahlah teks pada sel C21 ("budi santoso") menggunakan fungsi teks LEN!</t>
        </is>
      </c>
    </row>
    <row r="21">
      <c r="B21" s="19" t="inlineStr">
        <is>
          <t>Cabang Jakarta</t>
        </is>
      </c>
      <c r="C21" s="19" t="inlineStr">
        <is>
          <t>budi santoso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jakarta pusat</t>
        </is>
      </c>
      <c r="E22" s="28" t="n"/>
      <c r="F22" s="29">
        <f>IF(ISBLANK(E22), "⏳ Belum Diisi (Ketik Rumus di Sel Kuning E22)", IF(E22='99_KUNCI_JAWABAN'!F80,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surabaya timur</t>
        </is>
      </c>
    </row>
    <row r="24">
      <c r="B24" s="19" t="inlineStr">
        <is>
          <t>Cabang Medan</t>
        </is>
      </c>
      <c r="C24" s="19" t="inlineStr">
        <is>
          <t>medan kota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Asal</t>
        </is>
      </c>
      <c r="C28" s="14" t="inlineStr">
        <is>
          <t>Teks Input</t>
        </is>
      </c>
      <c r="E28" s="27" t="inlineStr">
        <is>
          <t>Persoalan Tes #2: Olahlah teks pada sel C29 ("siti aminah") menggunakan fungsi teks LEN!</t>
        </is>
      </c>
    </row>
    <row r="29">
      <c r="B29" s="19" t="inlineStr">
        <is>
          <t>Budi Santoso</t>
        </is>
      </c>
      <c r="C29" s="19" t="inlineStr">
        <is>
          <t>siti aminah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jakarta pusat</t>
        </is>
      </c>
      <c r="E30" s="28" t="n"/>
      <c r="F30" s="29">
        <f>IF(ISBLANK(E30), "⏳ Belum Diisi (Ketik Rumus di Sel Kuning E30)", IF(E30='99_KUNCI_JAWABAN'!F81,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surabaya timur</t>
        </is>
      </c>
    </row>
    <row r="32">
      <c r="B32" s="19" t="inlineStr">
        <is>
          <t>Rina Wijaya</t>
        </is>
      </c>
      <c r="C32" s="19" t="inlineStr">
        <is>
          <t>medan kota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Asal</t>
        </is>
      </c>
      <c r="C36" s="14" t="inlineStr">
        <is>
          <t>Teks Input</t>
        </is>
      </c>
      <c r="E36" s="27" t="inlineStr">
        <is>
          <t>Persoalan Tes #3: Olahlah teks pada sel C37 ("andi pratama") menggunakan fungsi teks LEN!</t>
        </is>
      </c>
    </row>
    <row r="37">
      <c r="B37" s="19" t="inlineStr">
        <is>
          <t>Gudang Blok A</t>
        </is>
      </c>
      <c r="C37" s="19" t="inlineStr">
        <is>
          <t>andi pratama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jakarta pusat</t>
        </is>
      </c>
      <c r="E38" s="28" t="n"/>
      <c r="F38" s="29">
        <f>IF(ISBLANK(E38), "⏳ Belum Diisi (Ketik Rumus di Sel Kuning E38)", IF(E38='99_KUNCI_JAWABAN'!F82,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surabaya timur</t>
        </is>
      </c>
    </row>
    <row r="40">
      <c r="B40" s="19" t="inlineStr">
        <is>
          <t>Gudang Blok D</t>
        </is>
      </c>
      <c r="C40" s="19" t="inlineStr">
        <is>
          <t>medan kota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Asal</t>
        </is>
      </c>
      <c r="C44" s="14" t="inlineStr">
        <is>
          <t>Teks Input</t>
        </is>
      </c>
      <c r="E44" s="27" t="inlineStr">
        <is>
          <t>Persoalan Tes #4: Olahlah teks pada sel C45 ("rina wijaya") menggunakan fungsi teks LEN!</t>
        </is>
      </c>
    </row>
    <row r="45">
      <c r="B45" s="19" t="inlineStr">
        <is>
          <t>Toko Elektronik</t>
        </is>
      </c>
      <c r="C45" s="19" t="inlineStr">
        <is>
          <t>rina wijaya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jakarta pusat</t>
        </is>
      </c>
      <c r="E46" s="28" t="n"/>
      <c r="F46" s="29">
        <f>IF(ISBLANK(E46), "⏳ Belum Diisi (Ketik Rumus di Sel Kuning E46)", IF(E46='99_KUNCI_JAWABAN'!F83,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surabaya timur</t>
        </is>
      </c>
    </row>
    <row r="48">
      <c r="B48" s="19" t="inlineStr">
        <is>
          <t>Toko Servis</t>
        </is>
      </c>
      <c r="C48" s="19" t="inlineStr">
        <is>
          <t>medan kota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Asal</t>
        </is>
      </c>
      <c r="C52" s="14" t="inlineStr">
        <is>
          <t>Teks Input</t>
        </is>
      </c>
      <c r="E52" s="27" t="inlineStr">
        <is>
          <t>Persoalan Tes #5: Olahlah teks pada sel C53 ("dewi lestari") menggunakan fungsi teks LEN!</t>
        </is>
      </c>
    </row>
    <row r="53">
      <c r="B53" s="19" t="inlineStr">
        <is>
          <t>Kelas 10 IPA</t>
        </is>
      </c>
      <c r="C53" s="19" t="inlineStr">
        <is>
          <t>dewi lestari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jakarta pusat</t>
        </is>
      </c>
      <c r="E54" s="28" t="n"/>
      <c r="F54" s="29">
        <f>IF(ISBLANK(E54), "⏳ Belum Diisi (Ketik Rumus di Sel Kuning E54)", IF(E54='99_KUNCI_JAWABAN'!F84,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surabaya timur</t>
        </is>
      </c>
    </row>
    <row r="56">
      <c r="B56" s="19" t="inlineStr">
        <is>
          <t>Kelas Unggulan</t>
        </is>
      </c>
      <c r="C56" s="19" t="inlineStr">
        <is>
          <t>medan kota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#017 — RUMUS EXCEL: TRIM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(TRIM)</t>
        </is>
      </c>
    </row>
    <row r="5" ht="21" customHeight="1">
      <c r="B5" s="14" t="inlineStr">
        <is>
          <t>Nama Rumus Excel</t>
        </is>
      </c>
      <c r="C5" s="15">
        <f>TRIM(...)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TRIM(teks)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Sapu pembersih spasi! Menghapus spasi ganda yang berantakan di awal, tengah, atau akhir kalimat sehingga rapi.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TRIM DI SINI)</t>
        </is>
      </c>
    </row>
    <row r="10">
      <c r="B10" s="18" t="inlineStr">
        <is>
          <t>Data Kotor</t>
        </is>
      </c>
      <c r="C10" s="18" t="inlineStr">
        <is>
          <t>Teks Berantakan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 xml:space="preserve">  Simulasi Unit A   Data  </t>
        </is>
      </c>
      <c r="E11" s="20" t="inlineStr">
        <is>
          <t>Contoh Soal:</t>
        </is>
      </c>
      <c r="F11" s="21" t="inlineStr">
        <is>
          <t>Bersihkan spasi berlebih pada teks di sel C11 menggunakan fungsi TRIM!</t>
        </is>
      </c>
      <c r="G11" s="5" t="n"/>
    </row>
    <row r="12">
      <c r="B12" s="19" t="inlineStr">
        <is>
          <t>Simulasi Unit B</t>
        </is>
      </c>
      <c r="C12" s="19" t="inlineStr">
        <is>
          <t xml:space="preserve">  Siti  Aminah </t>
        </is>
      </c>
      <c r="E12" s="20" t="inlineStr">
        <is>
          <t>Contoh Rumus Benar:</t>
        </is>
      </c>
      <c r="F12" s="22" t="inlineStr">
        <is>
          <t>'=TRIM(C11)</t>
        </is>
      </c>
      <c r="G12" s="5" t="n"/>
    </row>
    <row r="13">
      <c r="B13" s="19" t="inlineStr">
        <is>
          <t>Simulasi Unit C</t>
        </is>
      </c>
      <c r="C13" s="19" t="inlineStr">
        <is>
          <t xml:space="preserve"> Andi   Pratama </t>
        </is>
      </c>
      <c r="E13" s="20" t="inlineStr">
        <is>
          <t>Contoh Hasil Benar:</t>
        </is>
      </c>
      <c r="F13" s="23">
        <f>TRIM(C11)</f>
        <v/>
      </c>
      <c r="G13" s="5" t="n"/>
    </row>
    <row r="14">
      <c r="B14" s="19" t="inlineStr">
        <is>
          <t>Simulasi Unit D</t>
        </is>
      </c>
      <c r="C14" s="19" t="inlineStr">
        <is>
          <t xml:space="preserve"> Rina  Wijaya 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Kotor</t>
        </is>
      </c>
      <c r="C20" s="14" t="inlineStr">
        <is>
          <t>Teks Berantakan</t>
        </is>
      </c>
      <c r="E20" s="27" t="inlineStr">
        <is>
          <t>Persoalan Tes #1: Bersihkan spasi berlebih pada teks di sel C21 menggunakan fungsi TRIM!</t>
        </is>
      </c>
    </row>
    <row r="21">
      <c r="B21" s="19" t="inlineStr">
        <is>
          <t>Cabang Jakarta</t>
        </is>
      </c>
      <c r="C21" s="19" t="inlineStr">
        <is>
          <t xml:space="preserve">  Cabang Jakarta   Data  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 xml:space="preserve">  Siti  Aminah </t>
        </is>
      </c>
      <c r="E22" s="28" t="n"/>
      <c r="F22" s="29">
        <f>IF(ISBLANK(E22), "⏳ Belum Diisi (Ketik Rumus di Sel Kuning E22)", IF(E22='99_KUNCI_JAWABAN'!F85,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 xml:space="preserve"> Andi   Pratama </t>
        </is>
      </c>
    </row>
    <row r="24">
      <c r="B24" s="19" t="inlineStr">
        <is>
          <t>Cabang Medan</t>
        </is>
      </c>
      <c r="C24" s="19" t="inlineStr">
        <is>
          <t xml:space="preserve"> Rina  Wijaya 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Kotor</t>
        </is>
      </c>
      <c r="C28" s="14" t="inlineStr">
        <is>
          <t>Teks Berantakan</t>
        </is>
      </c>
      <c r="E28" s="27" t="inlineStr">
        <is>
          <t>Persoalan Tes #2: Bersihkan spasi berlebih pada teks di sel C29 menggunakan fungsi TRIM!</t>
        </is>
      </c>
    </row>
    <row r="29">
      <c r="B29" s="19" t="inlineStr">
        <is>
          <t>Budi Santoso</t>
        </is>
      </c>
      <c r="C29" s="19" t="inlineStr">
        <is>
          <t xml:space="preserve">  Budi Santoso   Data  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 xml:space="preserve">  Siti  Aminah </t>
        </is>
      </c>
      <c r="E30" s="28" t="n"/>
      <c r="F30" s="29">
        <f>IF(ISBLANK(E30), "⏳ Belum Diisi (Ketik Rumus di Sel Kuning E30)", IF(E30='99_KUNCI_JAWABAN'!F86,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 xml:space="preserve"> Andi   Pratama </t>
        </is>
      </c>
    </row>
    <row r="32">
      <c r="B32" s="19" t="inlineStr">
        <is>
          <t>Rina Wijaya</t>
        </is>
      </c>
      <c r="C32" s="19" t="inlineStr">
        <is>
          <t xml:space="preserve"> Rina  Wijaya 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Kotor</t>
        </is>
      </c>
      <c r="C36" s="14" t="inlineStr">
        <is>
          <t>Teks Berantakan</t>
        </is>
      </c>
      <c r="E36" s="27" t="inlineStr">
        <is>
          <t>Persoalan Tes #3: Bersihkan spasi berlebih pada teks di sel C37 menggunakan fungsi TRIM!</t>
        </is>
      </c>
    </row>
    <row r="37">
      <c r="B37" s="19" t="inlineStr">
        <is>
          <t>Gudang Blok A</t>
        </is>
      </c>
      <c r="C37" s="19" t="inlineStr">
        <is>
          <t xml:space="preserve">  Gudang Blok A   Data  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 xml:space="preserve">  Siti  Aminah </t>
        </is>
      </c>
      <c r="E38" s="28" t="n"/>
      <c r="F38" s="29">
        <f>IF(ISBLANK(E38), "⏳ Belum Diisi (Ketik Rumus di Sel Kuning E38)", IF(E38='99_KUNCI_JAWABAN'!F87,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 xml:space="preserve"> Andi   Pratama </t>
        </is>
      </c>
    </row>
    <row r="40">
      <c r="B40" s="19" t="inlineStr">
        <is>
          <t>Gudang Blok D</t>
        </is>
      </c>
      <c r="C40" s="19" t="inlineStr">
        <is>
          <t xml:space="preserve"> Rina  Wijaya 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Kotor</t>
        </is>
      </c>
      <c r="C44" s="14" t="inlineStr">
        <is>
          <t>Teks Berantakan</t>
        </is>
      </c>
      <c r="E44" s="27" t="inlineStr">
        <is>
          <t>Persoalan Tes #4: Bersihkan spasi berlebih pada teks di sel C45 menggunakan fungsi TRIM!</t>
        </is>
      </c>
    </row>
    <row r="45">
      <c r="B45" s="19" t="inlineStr">
        <is>
          <t>Toko Elektronik</t>
        </is>
      </c>
      <c r="C45" s="19" t="inlineStr">
        <is>
          <t xml:space="preserve">  Toko Elektronik   Data  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 xml:space="preserve">  Siti  Aminah </t>
        </is>
      </c>
      <c r="E46" s="28" t="n"/>
      <c r="F46" s="29">
        <f>IF(ISBLANK(E46), "⏳ Belum Diisi (Ketik Rumus di Sel Kuning E46)", IF(E46='99_KUNCI_JAWABAN'!F88,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 xml:space="preserve"> Andi   Pratama </t>
        </is>
      </c>
    </row>
    <row r="48">
      <c r="B48" s="19" t="inlineStr">
        <is>
          <t>Toko Servis</t>
        </is>
      </c>
      <c r="C48" s="19" t="inlineStr">
        <is>
          <t xml:space="preserve"> Rina  Wijaya 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Kotor</t>
        </is>
      </c>
      <c r="C52" s="14" t="inlineStr">
        <is>
          <t>Teks Berantakan</t>
        </is>
      </c>
      <c r="E52" s="27" t="inlineStr">
        <is>
          <t>Persoalan Tes #5: Bersihkan spasi berlebih pada teks di sel C53 menggunakan fungsi TRIM!</t>
        </is>
      </c>
    </row>
    <row r="53">
      <c r="B53" s="19" t="inlineStr">
        <is>
          <t>Kelas 10 IPA</t>
        </is>
      </c>
      <c r="C53" s="19" t="inlineStr">
        <is>
          <t xml:space="preserve">  Kelas 10 IPA   Data  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 xml:space="preserve">  Siti  Aminah </t>
        </is>
      </c>
      <c r="E54" s="28" t="n"/>
      <c r="F54" s="29">
        <f>IF(ISBLANK(E54), "⏳ Belum Diisi (Ketik Rumus di Sel Kuning E54)", IF(E54='99_KUNCI_JAWABAN'!F89,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 xml:space="preserve"> Andi   Pratama </t>
        </is>
      </c>
    </row>
    <row r="56">
      <c r="B56" s="19" t="inlineStr">
        <is>
          <t>Kelas Unggulan</t>
        </is>
      </c>
      <c r="C56" s="19" t="inlineStr">
        <is>
          <t xml:space="preserve"> Rina  Wijaya 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#018 — RUMUS EXCEL: CLEAN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(CLEAN)</t>
        </is>
      </c>
    </row>
    <row r="5" ht="21" customHeight="1">
      <c r="B5" s="14" t="inlineStr">
        <is>
          <t>Nama Rumus Excel</t>
        </is>
      </c>
      <c r="C5" s="15">
        <f>CLEAN(...)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CLEAN(teks)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Membersihkan karakter aneh tak terlihat (non-printable characters) hasil copy-paste dari web atau sistem database.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CLEAN DI SINI)</t>
        </is>
      </c>
    </row>
    <row r="10">
      <c r="B10" s="18" t="inlineStr">
        <is>
          <t>Data Asal</t>
        </is>
      </c>
      <c r="C10" s="18" t="inlineStr">
        <is>
          <t>Teks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hendra wijaya</t>
        </is>
      </c>
      <c r="E11" s="20" t="inlineStr">
        <is>
          <t>Contoh Soal:</t>
        </is>
      </c>
      <c r="F11" s="21" t="inlineStr">
        <is>
          <t>Olahlah teks pada sel C11 ("hendra wijaya") menggunakan fungsi teks CLEAN!</t>
        </is>
      </c>
      <c r="G11" s="5" t="n"/>
    </row>
    <row r="12">
      <c r="B12" s="19" t="inlineStr">
        <is>
          <t>Simulasi Unit B</t>
        </is>
      </c>
      <c r="C12" s="19" t="inlineStr">
        <is>
          <t>jakarta pusat</t>
        </is>
      </c>
      <c r="E12" s="20" t="inlineStr">
        <is>
          <t>Contoh Rumus Benar:</t>
        </is>
      </c>
      <c r="F12" s="22" t="inlineStr">
        <is>
          <t>'=CLEAN(C11)</t>
        </is>
      </c>
      <c r="G12" s="5" t="n"/>
    </row>
    <row r="13">
      <c r="B13" s="19" t="inlineStr">
        <is>
          <t>Simulasi Unit C</t>
        </is>
      </c>
      <c r="C13" s="19" t="inlineStr">
        <is>
          <t>surabaya timur</t>
        </is>
      </c>
      <c r="E13" s="20" t="inlineStr">
        <is>
          <t>Contoh Hasil Benar:</t>
        </is>
      </c>
      <c r="F13" s="23">
        <f>CLEAN(C11)</f>
        <v/>
      </c>
      <c r="G13" s="5" t="n"/>
    </row>
    <row r="14">
      <c r="B14" s="19" t="inlineStr">
        <is>
          <t>Simulasi Unit D</t>
        </is>
      </c>
      <c r="C14" s="19" t="inlineStr">
        <is>
          <t>medan kota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Asal</t>
        </is>
      </c>
      <c r="C20" s="14" t="inlineStr">
        <is>
          <t>Teks Input</t>
        </is>
      </c>
      <c r="E20" s="27" t="inlineStr">
        <is>
          <t>Persoalan Tes #1: Olahlah teks pada sel C21 ("budi santoso") menggunakan fungsi teks CLEAN!</t>
        </is>
      </c>
    </row>
    <row r="21">
      <c r="B21" s="19" t="inlineStr">
        <is>
          <t>Cabang Jakarta</t>
        </is>
      </c>
      <c r="C21" s="19" t="inlineStr">
        <is>
          <t>budi santoso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jakarta pusat</t>
        </is>
      </c>
      <c r="E22" s="28" t="n"/>
      <c r="F22" s="29">
        <f>IF(ISBLANK(E22), "⏳ Belum Diisi (Ketik Rumus di Sel Kuning E22)", IF(E22='99_KUNCI_JAWABAN'!F90,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surabaya timur</t>
        </is>
      </c>
    </row>
    <row r="24">
      <c r="B24" s="19" t="inlineStr">
        <is>
          <t>Cabang Medan</t>
        </is>
      </c>
      <c r="C24" s="19" t="inlineStr">
        <is>
          <t>medan kota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Asal</t>
        </is>
      </c>
      <c r="C28" s="14" t="inlineStr">
        <is>
          <t>Teks Input</t>
        </is>
      </c>
      <c r="E28" s="27" t="inlineStr">
        <is>
          <t>Persoalan Tes #2: Olahlah teks pada sel C29 ("siti aminah") menggunakan fungsi teks CLEAN!</t>
        </is>
      </c>
    </row>
    <row r="29">
      <c r="B29" s="19" t="inlineStr">
        <is>
          <t>Budi Santoso</t>
        </is>
      </c>
      <c r="C29" s="19" t="inlineStr">
        <is>
          <t>siti aminah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jakarta pusat</t>
        </is>
      </c>
      <c r="E30" s="28" t="n"/>
      <c r="F30" s="29">
        <f>IF(ISBLANK(E30), "⏳ Belum Diisi (Ketik Rumus di Sel Kuning E30)", IF(E30='99_KUNCI_JAWABAN'!F91,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surabaya timur</t>
        </is>
      </c>
    </row>
    <row r="32">
      <c r="B32" s="19" t="inlineStr">
        <is>
          <t>Rina Wijaya</t>
        </is>
      </c>
      <c r="C32" s="19" t="inlineStr">
        <is>
          <t>medan kota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Asal</t>
        </is>
      </c>
      <c r="C36" s="14" t="inlineStr">
        <is>
          <t>Teks Input</t>
        </is>
      </c>
      <c r="E36" s="27" t="inlineStr">
        <is>
          <t>Persoalan Tes #3: Olahlah teks pada sel C37 ("andi pratama") menggunakan fungsi teks CLEAN!</t>
        </is>
      </c>
    </row>
    <row r="37">
      <c r="B37" s="19" t="inlineStr">
        <is>
          <t>Gudang Blok A</t>
        </is>
      </c>
      <c r="C37" s="19" t="inlineStr">
        <is>
          <t>andi pratama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jakarta pusat</t>
        </is>
      </c>
      <c r="E38" s="28" t="n"/>
      <c r="F38" s="29">
        <f>IF(ISBLANK(E38), "⏳ Belum Diisi (Ketik Rumus di Sel Kuning E38)", IF(E38='99_KUNCI_JAWABAN'!F92,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surabaya timur</t>
        </is>
      </c>
    </row>
    <row r="40">
      <c r="B40" s="19" t="inlineStr">
        <is>
          <t>Gudang Blok D</t>
        </is>
      </c>
      <c r="C40" s="19" t="inlineStr">
        <is>
          <t>medan kota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Asal</t>
        </is>
      </c>
      <c r="C44" s="14" t="inlineStr">
        <is>
          <t>Teks Input</t>
        </is>
      </c>
      <c r="E44" s="27" t="inlineStr">
        <is>
          <t>Persoalan Tes #4: Olahlah teks pada sel C45 ("rina wijaya") menggunakan fungsi teks CLEAN!</t>
        </is>
      </c>
    </row>
    <row r="45">
      <c r="B45" s="19" t="inlineStr">
        <is>
          <t>Toko Elektronik</t>
        </is>
      </c>
      <c r="C45" s="19" t="inlineStr">
        <is>
          <t>rina wijaya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jakarta pusat</t>
        </is>
      </c>
      <c r="E46" s="28" t="n"/>
      <c r="F46" s="29">
        <f>IF(ISBLANK(E46), "⏳ Belum Diisi (Ketik Rumus di Sel Kuning E46)", IF(E46='99_KUNCI_JAWABAN'!F93,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surabaya timur</t>
        </is>
      </c>
    </row>
    <row r="48">
      <c r="B48" s="19" t="inlineStr">
        <is>
          <t>Toko Servis</t>
        </is>
      </c>
      <c r="C48" s="19" t="inlineStr">
        <is>
          <t>medan kota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Asal</t>
        </is>
      </c>
      <c r="C52" s="14" t="inlineStr">
        <is>
          <t>Teks Input</t>
        </is>
      </c>
      <c r="E52" s="27" t="inlineStr">
        <is>
          <t>Persoalan Tes #5: Olahlah teks pada sel C53 ("dewi lestari") menggunakan fungsi teks CLEAN!</t>
        </is>
      </c>
    </row>
    <row r="53">
      <c r="B53" s="19" t="inlineStr">
        <is>
          <t>Kelas 10 IPA</t>
        </is>
      </c>
      <c r="C53" s="19" t="inlineStr">
        <is>
          <t>dewi lestari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jakarta pusat</t>
        </is>
      </c>
      <c r="E54" s="28" t="n"/>
      <c r="F54" s="29">
        <f>IF(ISBLANK(E54), "⏳ Belum Diisi (Ketik Rumus di Sel Kuning E54)", IF(E54='99_KUNCI_JAWABAN'!F94,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surabaya timur</t>
        </is>
      </c>
    </row>
    <row r="56">
      <c r="B56" s="19" t="inlineStr">
        <is>
          <t>Kelas Unggulan</t>
        </is>
      </c>
      <c r="C56" s="19" t="inlineStr">
        <is>
          <t>medan kota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#019 — RUMUS EXCEL: UPPER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(UPPER)</t>
        </is>
      </c>
    </row>
    <row r="5" ht="21" customHeight="1">
      <c r="B5" s="14" t="inlineStr">
        <is>
          <t>Nama Rumus Excel</t>
        </is>
      </c>
      <c r="C5" s="15">
        <f>UPPER(...)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UPPER(teks)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Mengubah seluruh huruf di dalam sel menjadi HURUF BESAR (KAPITAL) semua.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UPPER DI SINI)</t>
        </is>
      </c>
    </row>
    <row r="10">
      <c r="B10" s="18" t="inlineStr">
        <is>
          <t>Data Asal</t>
        </is>
      </c>
      <c r="C10" s="18" t="inlineStr">
        <is>
          <t>Teks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hendra wijaya</t>
        </is>
      </c>
      <c r="E11" s="20" t="inlineStr">
        <is>
          <t>Contoh Soal:</t>
        </is>
      </c>
      <c r="F11" s="21" t="inlineStr">
        <is>
          <t>Olahlah teks pada sel C11 ("hendra wijaya") menggunakan fungsi teks UPPER!</t>
        </is>
      </c>
      <c r="G11" s="5" t="n"/>
    </row>
    <row r="12">
      <c r="B12" s="19" t="inlineStr">
        <is>
          <t>Simulasi Unit B</t>
        </is>
      </c>
      <c r="C12" s="19" t="inlineStr">
        <is>
          <t>jakarta pusat</t>
        </is>
      </c>
      <c r="E12" s="20" t="inlineStr">
        <is>
          <t>Contoh Rumus Benar:</t>
        </is>
      </c>
      <c r="F12" s="22" t="inlineStr">
        <is>
          <t>'=UPPER(C11)</t>
        </is>
      </c>
      <c r="G12" s="5" t="n"/>
    </row>
    <row r="13">
      <c r="B13" s="19" t="inlineStr">
        <is>
          <t>Simulasi Unit C</t>
        </is>
      </c>
      <c r="C13" s="19" t="inlineStr">
        <is>
          <t>surabaya timur</t>
        </is>
      </c>
      <c r="E13" s="20" t="inlineStr">
        <is>
          <t>Contoh Hasil Benar:</t>
        </is>
      </c>
      <c r="F13" s="23">
        <f>UPPER(C11)</f>
        <v/>
      </c>
      <c r="G13" s="5" t="n"/>
    </row>
    <row r="14">
      <c r="B14" s="19" t="inlineStr">
        <is>
          <t>Simulasi Unit D</t>
        </is>
      </c>
      <c r="C14" s="19" t="inlineStr">
        <is>
          <t>medan kota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Asal</t>
        </is>
      </c>
      <c r="C20" s="14" t="inlineStr">
        <is>
          <t>Teks Input</t>
        </is>
      </c>
      <c r="E20" s="27" t="inlineStr">
        <is>
          <t>Persoalan Tes #1: Olahlah teks pada sel C21 ("budi santoso") menggunakan fungsi teks UPPER!</t>
        </is>
      </c>
    </row>
    <row r="21">
      <c r="B21" s="19" t="inlineStr">
        <is>
          <t>Cabang Jakarta</t>
        </is>
      </c>
      <c r="C21" s="19" t="inlineStr">
        <is>
          <t>budi santoso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jakarta pusat</t>
        </is>
      </c>
      <c r="E22" s="28" t="n"/>
      <c r="F22" s="29">
        <f>IF(ISBLANK(E22), "⏳ Belum Diisi (Ketik Rumus di Sel Kuning E22)", IF(E22='99_KUNCI_JAWABAN'!F95,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surabaya timur</t>
        </is>
      </c>
    </row>
    <row r="24">
      <c r="B24" s="19" t="inlineStr">
        <is>
          <t>Cabang Medan</t>
        </is>
      </c>
      <c r="C24" s="19" t="inlineStr">
        <is>
          <t>medan kota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Asal</t>
        </is>
      </c>
      <c r="C28" s="14" t="inlineStr">
        <is>
          <t>Teks Input</t>
        </is>
      </c>
      <c r="E28" s="27" t="inlineStr">
        <is>
          <t>Persoalan Tes #2: Olahlah teks pada sel C29 ("siti aminah") menggunakan fungsi teks UPPER!</t>
        </is>
      </c>
    </row>
    <row r="29">
      <c r="B29" s="19" t="inlineStr">
        <is>
          <t>Budi Santoso</t>
        </is>
      </c>
      <c r="C29" s="19" t="inlineStr">
        <is>
          <t>siti aminah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jakarta pusat</t>
        </is>
      </c>
      <c r="E30" s="28" t="n"/>
      <c r="F30" s="29">
        <f>IF(ISBLANK(E30), "⏳ Belum Diisi (Ketik Rumus di Sel Kuning E30)", IF(E30='99_KUNCI_JAWABAN'!F96,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surabaya timur</t>
        </is>
      </c>
    </row>
    <row r="32">
      <c r="B32" s="19" t="inlineStr">
        <is>
          <t>Rina Wijaya</t>
        </is>
      </c>
      <c r="C32" s="19" t="inlineStr">
        <is>
          <t>medan kota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Asal</t>
        </is>
      </c>
      <c r="C36" s="14" t="inlineStr">
        <is>
          <t>Teks Input</t>
        </is>
      </c>
      <c r="E36" s="27" t="inlineStr">
        <is>
          <t>Persoalan Tes #3: Olahlah teks pada sel C37 ("andi pratama") menggunakan fungsi teks UPPER!</t>
        </is>
      </c>
    </row>
    <row r="37">
      <c r="B37" s="19" t="inlineStr">
        <is>
          <t>Gudang Blok A</t>
        </is>
      </c>
      <c r="C37" s="19" t="inlineStr">
        <is>
          <t>andi pratama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jakarta pusat</t>
        </is>
      </c>
      <c r="E38" s="28" t="n"/>
      <c r="F38" s="29">
        <f>IF(ISBLANK(E38), "⏳ Belum Diisi (Ketik Rumus di Sel Kuning E38)", IF(E38='99_KUNCI_JAWABAN'!F97,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surabaya timur</t>
        </is>
      </c>
    </row>
    <row r="40">
      <c r="B40" s="19" t="inlineStr">
        <is>
          <t>Gudang Blok D</t>
        </is>
      </c>
      <c r="C40" s="19" t="inlineStr">
        <is>
          <t>medan kota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Asal</t>
        </is>
      </c>
      <c r="C44" s="14" t="inlineStr">
        <is>
          <t>Teks Input</t>
        </is>
      </c>
      <c r="E44" s="27" t="inlineStr">
        <is>
          <t>Persoalan Tes #4: Olahlah teks pada sel C45 ("rina wijaya") menggunakan fungsi teks UPPER!</t>
        </is>
      </c>
    </row>
    <row r="45">
      <c r="B45" s="19" t="inlineStr">
        <is>
          <t>Toko Elektronik</t>
        </is>
      </c>
      <c r="C45" s="19" t="inlineStr">
        <is>
          <t>rina wijaya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jakarta pusat</t>
        </is>
      </c>
      <c r="E46" s="28" t="n"/>
      <c r="F46" s="29">
        <f>IF(ISBLANK(E46), "⏳ Belum Diisi (Ketik Rumus di Sel Kuning E46)", IF(E46='99_KUNCI_JAWABAN'!F98,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surabaya timur</t>
        </is>
      </c>
    </row>
    <row r="48">
      <c r="B48" s="19" t="inlineStr">
        <is>
          <t>Toko Servis</t>
        </is>
      </c>
      <c r="C48" s="19" t="inlineStr">
        <is>
          <t>medan kota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Asal</t>
        </is>
      </c>
      <c r="C52" s="14" t="inlineStr">
        <is>
          <t>Teks Input</t>
        </is>
      </c>
      <c r="E52" s="27" t="inlineStr">
        <is>
          <t>Persoalan Tes #5: Olahlah teks pada sel C53 ("dewi lestari") menggunakan fungsi teks UPPER!</t>
        </is>
      </c>
    </row>
    <row r="53">
      <c r="B53" s="19" t="inlineStr">
        <is>
          <t>Kelas 10 IPA</t>
        </is>
      </c>
      <c r="C53" s="19" t="inlineStr">
        <is>
          <t>dewi lestari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jakarta pusat</t>
        </is>
      </c>
      <c r="E54" s="28" t="n"/>
      <c r="F54" s="29">
        <f>IF(ISBLANK(E54), "⏳ Belum Diisi (Ketik Rumus di Sel Kuning E54)", IF(E54='99_KUNCI_JAWABAN'!F99,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surabaya timur</t>
        </is>
      </c>
    </row>
    <row r="56">
      <c r="B56" s="19" t="inlineStr">
        <is>
          <t>Kelas Unggulan</t>
        </is>
      </c>
      <c r="C56" s="19" t="inlineStr">
        <is>
          <t>medan kota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#020 — RUMUS EXCEL: LOWER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(LOWER)</t>
        </is>
      </c>
    </row>
    <row r="5" ht="21" customHeight="1">
      <c r="B5" s="14" t="inlineStr">
        <is>
          <t>Nama Rumus Excel</t>
        </is>
      </c>
      <c r="C5" s="15">
        <f>LOWER(...)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LOWER(teks)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Mengubah seluruh huruf di dalam sel menjadi huruf kecil semua (cocok untuk merapikan alamat email).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LOWER DI SINI)</t>
        </is>
      </c>
    </row>
    <row r="10">
      <c r="B10" s="18" t="inlineStr">
        <is>
          <t>Data Asal</t>
        </is>
      </c>
      <c r="C10" s="18" t="inlineStr">
        <is>
          <t>Teks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hendra wijaya</t>
        </is>
      </c>
      <c r="E11" s="20" t="inlineStr">
        <is>
          <t>Contoh Soal:</t>
        </is>
      </c>
      <c r="F11" s="21" t="inlineStr">
        <is>
          <t>Olahlah teks pada sel C11 ("hendra wijaya") menggunakan fungsi teks LOWER!</t>
        </is>
      </c>
      <c r="G11" s="5" t="n"/>
    </row>
    <row r="12">
      <c r="B12" s="19" t="inlineStr">
        <is>
          <t>Simulasi Unit B</t>
        </is>
      </c>
      <c r="C12" s="19" t="inlineStr">
        <is>
          <t>jakarta pusat</t>
        </is>
      </c>
      <c r="E12" s="20" t="inlineStr">
        <is>
          <t>Contoh Rumus Benar:</t>
        </is>
      </c>
      <c r="F12" s="22" t="inlineStr">
        <is>
          <t>'=LOWER(C11)</t>
        </is>
      </c>
      <c r="G12" s="5" t="n"/>
    </row>
    <row r="13">
      <c r="B13" s="19" t="inlineStr">
        <is>
          <t>Simulasi Unit C</t>
        </is>
      </c>
      <c r="C13" s="19" t="inlineStr">
        <is>
          <t>surabaya timur</t>
        </is>
      </c>
      <c r="E13" s="20" t="inlineStr">
        <is>
          <t>Contoh Hasil Benar:</t>
        </is>
      </c>
      <c r="F13" s="23">
        <f>LOWER(C11)</f>
        <v/>
      </c>
      <c r="G13" s="5" t="n"/>
    </row>
    <row r="14">
      <c r="B14" s="19" t="inlineStr">
        <is>
          <t>Simulasi Unit D</t>
        </is>
      </c>
      <c r="C14" s="19" t="inlineStr">
        <is>
          <t>medan kota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Asal</t>
        </is>
      </c>
      <c r="C20" s="14" t="inlineStr">
        <is>
          <t>Teks Input</t>
        </is>
      </c>
      <c r="E20" s="27" t="inlineStr">
        <is>
          <t>Persoalan Tes #1: Olahlah teks pada sel C21 ("budi santoso") menggunakan fungsi teks LOWER!</t>
        </is>
      </c>
    </row>
    <row r="21">
      <c r="B21" s="19" t="inlineStr">
        <is>
          <t>Cabang Jakarta</t>
        </is>
      </c>
      <c r="C21" s="19" t="inlineStr">
        <is>
          <t>budi santoso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jakarta pusat</t>
        </is>
      </c>
      <c r="E22" s="28" t="n"/>
      <c r="F22" s="29">
        <f>IF(ISBLANK(E22), "⏳ Belum Diisi (Ketik Rumus di Sel Kuning E22)", IF(E22='99_KUNCI_JAWABAN'!F100,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surabaya timur</t>
        </is>
      </c>
    </row>
    <row r="24">
      <c r="B24" s="19" t="inlineStr">
        <is>
          <t>Cabang Medan</t>
        </is>
      </c>
      <c r="C24" s="19" t="inlineStr">
        <is>
          <t>medan kota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Asal</t>
        </is>
      </c>
      <c r="C28" s="14" t="inlineStr">
        <is>
          <t>Teks Input</t>
        </is>
      </c>
      <c r="E28" s="27" t="inlineStr">
        <is>
          <t>Persoalan Tes #2: Olahlah teks pada sel C29 ("siti aminah") menggunakan fungsi teks LOWER!</t>
        </is>
      </c>
    </row>
    <row r="29">
      <c r="B29" s="19" t="inlineStr">
        <is>
          <t>Budi Santoso</t>
        </is>
      </c>
      <c r="C29" s="19" t="inlineStr">
        <is>
          <t>siti aminah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jakarta pusat</t>
        </is>
      </c>
      <c r="E30" s="28" t="n"/>
      <c r="F30" s="29">
        <f>IF(ISBLANK(E30), "⏳ Belum Diisi (Ketik Rumus di Sel Kuning E30)", IF(E30='99_KUNCI_JAWABAN'!F101,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surabaya timur</t>
        </is>
      </c>
    </row>
    <row r="32">
      <c r="B32" s="19" t="inlineStr">
        <is>
          <t>Rina Wijaya</t>
        </is>
      </c>
      <c r="C32" s="19" t="inlineStr">
        <is>
          <t>medan kota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Asal</t>
        </is>
      </c>
      <c r="C36" s="14" t="inlineStr">
        <is>
          <t>Teks Input</t>
        </is>
      </c>
      <c r="E36" s="27" t="inlineStr">
        <is>
          <t>Persoalan Tes #3: Olahlah teks pada sel C37 ("andi pratama") menggunakan fungsi teks LOWER!</t>
        </is>
      </c>
    </row>
    <row r="37">
      <c r="B37" s="19" t="inlineStr">
        <is>
          <t>Gudang Blok A</t>
        </is>
      </c>
      <c r="C37" s="19" t="inlineStr">
        <is>
          <t>andi pratama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jakarta pusat</t>
        </is>
      </c>
      <c r="E38" s="28" t="n"/>
      <c r="F38" s="29">
        <f>IF(ISBLANK(E38), "⏳ Belum Diisi (Ketik Rumus di Sel Kuning E38)", IF(E38='99_KUNCI_JAWABAN'!F102,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surabaya timur</t>
        </is>
      </c>
    </row>
    <row r="40">
      <c r="B40" s="19" t="inlineStr">
        <is>
          <t>Gudang Blok D</t>
        </is>
      </c>
      <c r="C40" s="19" t="inlineStr">
        <is>
          <t>medan kota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Asal</t>
        </is>
      </c>
      <c r="C44" s="14" t="inlineStr">
        <is>
          <t>Teks Input</t>
        </is>
      </c>
      <c r="E44" s="27" t="inlineStr">
        <is>
          <t>Persoalan Tes #4: Olahlah teks pada sel C45 ("rina wijaya") menggunakan fungsi teks LOWER!</t>
        </is>
      </c>
    </row>
    <row r="45">
      <c r="B45" s="19" t="inlineStr">
        <is>
          <t>Toko Elektronik</t>
        </is>
      </c>
      <c r="C45" s="19" t="inlineStr">
        <is>
          <t>rina wijaya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jakarta pusat</t>
        </is>
      </c>
      <c r="E46" s="28" t="n"/>
      <c r="F46" s="29">
        <f>IF(ISBLANK(E46), "⏳ Belum Diisi (Ketik Rumus di Sel Kuning E46)", IF(E46='99_KUNCI_JAWABAN'!F103,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surabaya timur</t>
        </is>
      </c>
    </row>
    <row r="48">
      <c r="B48" s="19" t="inlineStr">
        <is>
          <t>Toko Servis</t>
        </is>
      </c>
      <c r="C48" s="19" t="inlineStr">
        <is>
          <t>medan kota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Asal</t>
        </is>
      </c>
      <c r="C52" s="14" t="inlineStr">
        <is>
          <t>Teks Input</t>
        </is>
      </c>
      <c r="E52" s="27" t="inlineStr">
        <is>
          <t>Persoalan Tes #5: Olahlah teks pada sel C53 ("dewi lestari") menggunakan fungsi teks LOWER!</t>
        </is>
      </c>
    </row>
    <row r="53">
      <c r="B53" s="19" t="inlineStr">
        <is>
          <t>Kelas 10 IPA</t>
        </is>
      </c>
      <c r="C53" s="19" t="inlineStr">
        <is>
          <t>dewi lestari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jakarta pusat</t>
        </is>
      </c>
      <c r="E54" s="28" t="n"/>
      <c r="F54" s="29">
        <f>IF(ISBLANK(E54), "⏳ Belum Diisi (Ketik Rumus di Sel Kuning E54)", IF(E54='99_KUNCI_JAWABAN'!F104,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surabaya timur</t>
        </is>
      </c>
    </row>
    <row r="56">
      <c r="B56" s="19" t="inlineStr">
        <is>
          <t>Kelas Unggulan</t>
        </is>
      </c>
      <c r="C56" s="19" t="inlineStr">
        <is>
          <t>medan kota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#021 — RUMUS EXCEL: PROPER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(PROPER)</t>
        </is>
      </c>
    </row>
    <row r="5" ht="21" customHeight="1">
      <c r="B5" s="14" t="inlineStr">
        <is>
          <t>Nama Rumus Excel</t>
        </is>
      </c>
      <c r="C5" s="15">
        <f>PROPER(...)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PROPER(teks)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Mengubah huruf pertama di setiap awal kata menjadi Huruf Besar (Title Case), sangat cocok untuk merapikan daftar Nama Lengkap!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PROPER DI SINI)</t>
        </is>
      </c>
    </row>
    <row r="10">
      <c r="B10" s="18" t="inlineStr">
        <is>
          <t>Data Asal</t>
        </is>
      </c>
      <c r="C10" s="18" t="inlineStr">
        <is>
          <t>Teks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hendra wijaya</t>
        </is>
      </c>
      <c r="E11" s="20" t="inlineStr">
        <is>
          <t>Contoh Soal:</t>
        </is>
      </c>
      <c r="F11" s="21" t="inlineStr">
        <is>
          <t>Olahlah teks pada sel C11 ("hendra wijaya") menggunakan fungsi teks PROPER!</t>
        </is>
      </c>
      <c r="G11" s="5" t="n"/>
    </row>
    <row r="12">
      <c r="B12" s="19" t="inlineStr">
        <is>
          <t>Simulasi Unit B</t>
        </is>
      </c>
      <c r="C12" s="19" t="inlineStr">
        <is>
          <t>jakarta pusat</t>
        </is>
      </c>
      <c r="E12" s="20" t="inlineStr">
        <is>
          <t>Contoh Rumus Benar:</t>
        </is>
      </c>
      <c r="F12" s="22" t="inlineStr">
        <is>
          <t>'=PROPER(C11)</t>
        </is>
      </c>
      <c r="G12" s="5" t="n"/>
    </row>
    <row r="13">
      <c r="B13" s="19" t="inlineStr">
        <is>
          <t>Simulasi Unit C</t>
        </is>
      </c>
      <c r="C13" s="19" t="inlineStr">
        <is>
          <t>surabaya timur</t>
        </is>
      </c>
      <c r="E13" s="20" t="inlineStr">
        <is>
          <t>Contoh Hasil Benar:</t>
        </is>
      </c>
      <c r="F13" s="23">
        <f>PROPER(C11)</f>
        <v/>
      </c>
      <c r="G13" s="5" t="n"/>
    </row>
    <row r="14">
      <c r="B14" s="19" t="inlineStr">
        <is>
          <t>Simulasi Unit D</t>
        </is>
      </c>
      <c r="C14" s="19" t="inlineStr">
        <is>
          <t>medan kota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Asal</t>
        </is>
      </c>
      <c r="C20" s="14" t="inlineStr">
        <is>
          <t>Teks Input</t>
        </is>
      </c>
      <c r="E20" s="27" t="inlineStr">
        <is>
          <t>Persoalan Tes #1: Olahlah teks pada sel C21 ("budi santoso") menggunakan fungsi teks PROPER!</t>
        </is>
      </c>
    </row>
    <row r="21">
      <c r="B21" s="19" t="inlineStr">
        <is>
          <t>Cabang Jakarta</t>
        </is>
      </c>
      <c r="C21" s="19" t="inlineStr">
        <is>
          <t>budi santoso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jakarta pusat</t>
        </is>
      </c>
      <c r="E22" s="28" t="n"/>
      <c r="F22" s="29">
        <f>IF(ISBLANK(E22), "⏳ Belum Diisi (Ketik Rumus di Sel Kuning E22)", IF(E22='99_KUNCI_JAWABAN'!F105,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surabaya timur</t>
        </is>
      </c>
    </row>
    <row r="24">
      <c r="B24" s="19" t="inlineStr">
        <is>
          <t>Cabang Medan</t>
        </is>
      </c>
      <c r="C24" s="19" t="inlineStr">
        <is>
          <t>medan kota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Asal</t>
        </is>
      </c>
      <c r="C28" s="14" t="inlineStr">
        <is>
          <t>Teks Input</t>
        </is>
      </c>
      <c r="E28" s="27" t="inlineStr">
        <is>
          <t>Persoalan Tes #2: Olahlah teks pada sel C29 ("siti aminah") menggunakan fungsi teks PROPER!</t>
        </is>
      </c>
    </row>
    <row r="29">
      <c r="B29" s="19" t="inlineStr">
        <is>
          <t>Budi Santoso</t>
        </is>
      </c>
      <c r="C29" s="19" t="inlineStr">
        <is>
          <t>siti aminah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jakarta pusat</t>
        </is>
      </c>
      <c r="E30" s="28" t="n"/>
      <c r="F30" s="29">
        <f>IF(ISBLANK(E30), "⏳ Belum Diisi (Ketik Rumus di Sel Kuning E30)", IF(E30='99_KUNCI_JAWABAN'!F106,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surabaya timur</t>
        </is>
      </c>
    </row>
    <row r="32">
      <c r="B32" s="19" t="inlineStr">
        <is>
          <t>Rina Wijaya</t>
        </is>
      </c>
      <c r="C32" s="19" t="inlineStr">
        <is>
          <t>medan kota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Asal</t>
        </is>
      </c>
      <c r="C36" s="14" t="inlineStr">
        <is>
          <t>Teks Input</t>
        </is>
      </c>
      <c r="E36" s="27" t="inlineStr">
        <is>
          <t>Persoalan Tes #3: Olahlah teks pada sel C37 ("andi pratama") menggunakan fungsi teks PROPER!</t>
        </is>
      </c>
    </row>
    <row r="37">
      <c r="B37" s="19" t="inlineStr">
        <is>
          <t>Gudang Blok A</t>
        </is>
      </c>
      <c r="C37" s="19" t="inlineStr">
        <is>
          <t>andi pratama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jakarta pusat</t>
        </is>
      </c>
      <c r="E38" s="28" t="n"/>
      <c r="F38" s="29">
        <f>IF(ISBLANK(E38), "⏳ Belum Diisi (Ketik Rumus di Sel Kuning E38)", IF(E38='99_KUNCI_JAWABAN'!F107,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surabaya timur</t>
        </is>
      </c>
    </row>
    <row r="40">
      <c r="B40" s="19" t="inlineStr">
        <is>
          <t>Gudang Blok D</t>
        </is>
      </c>
      <c r="C40" s="19" t="inlineStr">
        <is>
          <t>medan kota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Asal</t>
        </is>
      </c>
      <c r="C44" s="14" t="inlineStr">
        <is>
          <t>Teks Input</t>
        </is>
      </c>
      <c r="E44" s="27" t="inlineStr">
        <is>
          <t>Persoalan Tes #4: Olahlah teks pada sel C45 ("rina wijaya") menggunakan fungsi teks PROPER!</t>
        </is>
      </c>
    </row>
    <row r="45">
      <c r="B45" s="19" t="inlineStr">
        <is>
          <t>Toko Elektronik</t>
        </is>
      </c>
      <c r="C45" s="19" t="inlineStr">
        <is>
          <t>rina wijaya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jakarta pusat</t>
        </is>
      </c>
      <c r="E46" s="28" t="n"/>
      <c r="F46" s="29">
        <f>IF(ISBLANK(E46), "⏳ Belum Diisi (Ketik Rumus di Sel Kuning E46)", IF(E46='99_KUNCI_JAWABAN'!F108,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surabaya timur</t>
        </is>
      </c>
    </row>
    <row r="48">
      <c r="B48" s="19" t="inlineStr">
        <is>
          <t>Toko Servis</t>
        </is>
      </c>
      <c r="C48" s="19" t="inlineStr">
        <is>
          <t>medan kota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Asal</t>
        </is>
      </c>
      <c r="C52" s="14" t="inlineStr">
        <is>
          <t>Teks Input</t>
        </is>
      </c>
      <c r="E52" s="27" t="inlineStr">
        <is>
          <t>Persoalan Tes #5: Olahlah teks pada sel C53 ("dewi lestari") menggunakan fungsi teks PROPER!</t>
        </is>
      </c>
    </row>
    <row r="53">
      <c r="B53" s="19" t="inlineStr">
        <is>
          <t>Kelas 10 IPA</t>
        </is>
      </c>
      <c r="C53" s="19" t="inlineStr">
        <is>
          <t>dewi lestari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jakarta pusat</t>
        </is>
      </c>
      <c r="E54" s="28" t="n"/>
      <c r="F54" s="29">
        <f>IF(ISBLANK(E54), "⏳ Belum Diisi (Ketik Rumus di Sel Kuning E54)", IF(E54='99_KUNCI_JAWABAN'!F109,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surabaya timur</t>
        </is>
      </c>
    </row>
    <row r="56">
      <c r="B56" s="19" t="inlineStr">
        <is>
          <t>Kelas Unggulan</t>
        </is>
      </c>
      <c r="C56" s="19" t="inlineStr">
        <is>
          <t>medan kota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#022 — RUMUS EXCEL: CONCATENATE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(CONCATENATE)</t>
        </is>
      </c>
    </row>
    <row r="5" ht="21" customHeight="1">
      <c r="B5" s="14" t="inlineStr">
        <is>
          <t>Nama Rumus Excel</t>
        </is>
      </c>
      <c r="C5" s="15">
        <f>CONCATENATE(...)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CONCATENATE(teks1, teks2, ...)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Lem perekat teks! Menggabungkan isi dari beberapa sel terpisah (misal Nama Depan dan Nama Belakang) menjadi satu kalimat utuh.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CONCATENATE DI SINI)</t>
        </is>
      </c>
    </row>
    <row r="10">
      <c r="B10" s="18" t="inlineStr">
        <is>
          <t>Teks Pertama (B)</t>
        </is>
      </c>
      <c r="C10" s="18" t="inlineStr">
        <is>
          <t>Teks Kedua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</t>
        </is>
      </c>
      <c r="C11" s="19" t="inlineStr">
        <is>
          <t>Simulasi</t>
        </is>
      </c>
      <c r="E11" s="20" t="inlineStr">
        <is>
          <t>Contoh Soal:</t>
        </is>
      </c>
      <c r="F11" s="21" t="inlineStr">
        <is>
          <t>Gabungkan teks di sel B11, pemisah " - ", dan teks di sel C11 menggunakan fungsi CONCATENATE!</t>
        </is>
      </c>
      <c r="G11" s="5" t="n"/>
    </row>
    <row r="12">
      <c r="B12" s="19" t="inlineStr">
        <is>
          <t>Siti</t>
        </is>
      </c>
      <c r="C12" s="19" t="inlineStr">
        <is>
          <t>Aminah</t>
        </is>
      </c>
      <c r="E12" s="20" t="inlineStr">
        <is>
          <t>Contoh Rumus Benar:</t>
        </is>
      </c>
      <c r="F12" s="22" t="inlineStr">
        <is>
          <t>'=CONCATENATE(B11, " - ", C11)</t>
        </is>
      </c>
      <c r="G12" s="5" t="n"/>
    </row>
    <row r="13">
      <c r="B13" s="19" t="inlineStr">
        <is>
          <t>Andi</t>
        </is>
      </c>
      <c r="C13" s="19" t="inlineStr">
        <is>
          <t>Pratama</t>
        </is>
      </c>
      <c r="E13" s="20" t="inlineStr">
        <is>
          <t>Contoh Hasil Benar:</t>
        </is>
      </c>
      <c r="F13" s="23">
        <f>CONCATENATE(B11, " - ", C11)</f>
        <v/>
      </c>
      <c r="G13" s="5" t="n"/>
    </row>
    <row r="14">
      <c r="B14" s="19" t="inlineStr">
        <is>
          <t>Rina</t>
        </is>
      </c>
      <c r="C14" s="19" t="inlineStr">
        <is>
          <t>Wijaya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Teks Pertama (B)</t>
        </is>
      </c>
      <c r="C20" s="14" t="inlineStr">
        <is>
          <t>Teks Kedua (C)</t>
        </is>
      </c>
      <c r="E20" s="27" t="inlineStr">
        <is>
          <t>Persoalan Tes #1: Gabungkan teks di sel B21, pemisah " - ", dan teks di sel C21 menggunakan fungsi CONCATENATE!</t>
        </is>
      </c>
    </row>
    <row r="21">
      <c r="B21" s="19" t="inlineStr">
        <is>
          <t>Cabang</t>
        </is>
      </c>
      <c r="C21" s="19" t="inlineStr">
        <is>
          <t>Cabang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Siti</t>
        </is>
      </c>
      <c r="C22" s="19" t="inlineStr">
        <is>
          <t>Aminah</t>
        </is>
      </c>
      <c r="E22" s="28" t="n"/>
      <c r="F22" s="29">
        <f>IF(ISBLANK(E22), "⏳ Belum Diisi (Ketik Rumus di Sel Kuning E22)", IF(E22='99_KUNCI_JAWABAN'!F110, "✅ BENAR! JAWABAN TES TEPAT!", "❌ Belum Tepat (Cek Sheet Akhir: 99_KUNCI_JAWABAN)"))</f>
        <v/>
      </c>
      <c r="G22" s="5" t="n"/>
    </row>
    <row r="23">
      <c r="B23" s="19" t="inlineStr">
        <is>
          <t>Andi</t>
        </is>
      </c>
      <c r="C23" s="19" t="inlineStr">
        <is>
          <t>Pratama</t>
        </is>
      </c>
    </row>
    <row r="24">
      <c r="B24" s="19" t="inlineStr">
        <is>
          <t>Rina</t>
        </is>
      </c>
      <c r="C24" s="19" t="inlineStr">
        <is>
          <t>Wijaya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Teks Pertama (B)</t>
        </is>
      </c>
      <c r="C28" s="14" t="inlineStr">
        <is>
          <t>Teks Kedua (C)</t>
        </is>
      </c>
      <c r="E28" s="27" t="inlineStr">
        <is>
          <t>Persoalan Tes #2: Gabungkan teks di sel B29, pemisah " - ", dan teks di sel C29 menggunakan fungsi CONCATENATE!</t>
        </is>
      </c>
    </row>
    <row r="29">
      <c r="B29" s="19" t="inlineStr">
        <is>
          <t>Budi</t>
        </is>
      </c>
      <c r="C29" s="19" t="inlineStr">
        <is>
          <t>Budi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</t>
        </is>
      </c>
      <c r="C30" s="19" t="inlineStr">
        <is>
          <t>Aminah</t>
        </is>
      </c>
      <c r="E30" s="28" t="n"/>
      <c r="F30" s="29">
        <f>IF(ISBLANK(E30), "⏳ Belum Diisi (Ketik Rumus di Sel Kuning E30)", IF(E30='99_KUNCI_JAWABAN'!F111, "✅ BENAR! JAWABAN TES TEPAT!", "❌ Belum Tepat (Cek Sheet Akhir: 99_KUNCI_JAWABAN)"))</f>
        <v/>
      </c>
      <c r="G30" s="5" t="n"/>
    </row>
    <row r="31">
      <c r="B31" s="19" t="inlineStr">
        <is>
          <t>Andi</t>
        </is>
      </c>
      <c r="C31" s="19" t="inlineStr">
        <is>
          <t>Pratama</t>
        </is>
      </c>
    </row>
    <row r="32">
      <c r="B32" s="19" t="inlineStr">
        <is>
          <t>Rina</t>
        </is>
      </c>
      <c r="C32" s="19" t="inlineStr">
        <is>
          <t>Wijaya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Teks Pertama (B)</t>
        </is>
      </c>
      <c r="C36" s="14" t="inlineStr">
        <is>
          <t>Teks Kedua (C)</t>
        </is>
      </c>
      <c r="E36" s="27" t="inlineStr">
        <is>
          <t>Persoalan Tes #3: Gabungkan teks di sel B37, pemisah " - ", dan teks di sel C37 menggunakan fungsi CONCATENATE!</t>
        </is>
      </c>
    </row>
    <row r="37">
      <c r="B37" s="19" t="inlineStr">
        <is>
          <t>Gudang</t>
        </is>
      </c>
      <c r="C37" s="19" t="inlineStr">
        <is>
          <t>Gudang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Siti</t>
        </is>
      </c>
      <c r="C38" s="19" t="inlineStr">
        <is>
          <t>Aminah</t>
        </is>
      </c>
      <c r="E38" s="28" t="n"/>
      <c r="F38" s="29">
        <f>IF(ISBLANK(E38), "⏳ Belum Diisi (Ketik Rumus di Sel Kuning E38)", IF(E38='99_KUNCI_JAWABAN'!F112, "✅ BENAR! JAWABAN TES TEPAT!", "❌ Belum Tepat (Cek Sheet Akhir: 99_KUNCI_JAWABAN)"))</f>
        <v/>
      </c>
      <c r="G38" s="5" t="n"/>
    </row>
    <row r="39">
      <c r="B39" s="19" t="inlineStr">
        <is>
          <t>Andi</t>
        </is>
      </c>
      <c r="C39" s="19" t="inlineStr">
        <is>
          <t>Pratama</t>
        </is>
      </c>
    </row>
    <row r="40">
      <c r="B40" s="19" t="inlineStr">
        <is>
          <t>Rina</t>
        </is>
      </c>
      <c r="C40" s="19" t="inlineStr">
        <is>
          <t>Wijaya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Teks Pertama (B)</t>
        </is>
      </c>
      <c r="C44" s="14" t="inlineStr">
        <is>
          <t>Teks Kedua (C)</t>
        </is>
      </c>
      <c r="E44" s="27" t="inlineStr">
        <is>
          <t>Persoalan Tes #4: Gabungkan teks di sel B45, pemisah " - ", dan teks di sel C45 menggunakan fungsi CONCATENATE!</t>
        </is>
      </c>
    </row>
    <row r="45">
      <c r="B45" s="19" t="inlineStr">
        <is>
          <t>Toko</t>
        </is>
      </c>
      <c r="C45" s="19" t="inlineStr">
        <is>
          <t>Toko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Siti</t>
        </is>
      </c>
      <c r="C46" s="19" t="inlineStr">
        <is>
          <t>Aminah</t>
        </is>
      </c>
      <c r="E46" s="28" t="n"/>
      <c r="F46" s="29">
        <f>IF(ISBLANK(E46), "⏳ Belum Diisi (Ketik Rumus di Sel Kuning E46)", IF(E46='99_KUNCI_JAWABAN'!F113, "✅ BENAR! JAWABAN TES TEPAT!", "❌ Belum Tepat (Cek Sheet Akhir: 99_KUNCI_JAWABAN)"))</f>
        <v/>
      </c>
      <c r="G46" s="5" t="n"/>
    </row>
    <row r="47">
      <c r="B47" s="19" t="inlineStr">
        <is>
          <t>Andi</t>
        </is>
      </c>
      <c r="C47" s="19" t="inlineStr">
        <is>
          <t>Pratama</t>
        </is>
      </c>
    </row>
    <row r="48">
      <c r="B48" s="19" t="inlineStr">
        <is>
          <t>Rina</t>
        </is>
      </c>
      <c r="C48" s="19" t="inlineStr">
        <is>
          <t>Wijaya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Teks Pertama (B)</t>
        </is>
      </c>
      <c r="C52" s="14" t="inlineStr">
        <is>
          <t>Teks Kedua (C)</t>
        </is>
      </c>
      <c r="E52" s="27" t="inlineStr">
        <is>
          <t>Persoalan Tes #5: Gabungkan teks di sel B53, pemisah " - ", dan teks di sel C53 menggunakan fungsi CONCATENATE!</t>
        </is>
      </c>
    </row>
    <row r="53">
      <c r="B53" s="19" t="inlineStr">
        <is>
          <t>Kelas</t>
        </is>
      </c>
      <c r="C53" s="19" t="inlineStr">
        <is>
          <t>Kelas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Siti</t>
        </is>
      </c>
      <c r="C54" s="19" t="inlineStr">
        <is>
          <t>Aminah</t>
        </is>
      </c>
      <c r="E54" s="28" t="n"/>
      <c r="F54" s="29">
        <f>IF(ISBLANK(E54), "⏳ Belum Diisi (Ketik Rumus di Sel Kuning E54)", IF(E54='99_KUNCI_JAWABAN'!F114, "✅ BENAR! JAWABAN TES TEPAT!", "❌ Belum Tepat (Cek Sheet Akhir: 99_KUNCI_JAWABAN)"))</f>
        <v/>
      </c>
      <c r="G54" s="5" t="n"/>
    </row>
    <row r="55">
      <c r="B55" s="19" t="inlineStr">
        <is>
          <t>Andi</t>
        </is>
      </c>
      <c r="C55" s="19" t="inlineStr">
        <is>
          <t>Pratama</t>
        </is>
      </c>
    </row>
    <row r="56">
      <c r="B56" s="19" t="inlineStr">
        <is>
          <t>Rina</t>
        </is>
      </c>
      <c r="C56" s="19" t="inlineStr">
        <is>
          <t>Wijaya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#023 — RUMUS EXCEL: EXACT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(EXACT)</t>
        </is>
      </c>
    </row>
    <row r="5" ht="21" customHeight="1">
      <c r="B5" s="14" t="inlineStr">
        <is>
          <t>Nama Rumus Excel</t>
        </is>
      </c>
      <c r="C5" s="15">
        <f>EXACT(...)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EXACT(teks1, teks2)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Detektor kembar identik! Membandingkan apakah dua teks sama persis sampai ke huruf besar-kecilnya (Case-Sensitive).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EXACT DI SINI)</t>
        </is>
      </c>
    </row>
    <row r="10">
      <c r="B10" s="18" t="inlineStr">
        <is>
          <t>Teks Pertama (B)</t>
        </is>
      </c>
      <c r="C10" s="18" t="inlineStr">
        <is>
          <t>Teks Kedua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</t>
        </is>
      </c>
      <c r="C11" s="19" t="inlineStr">
        <is>
          <t>Simulasi</t>
        </is>
      </c>
      <c r="E11" s="20" t="inlineStr">
        <is>
          <t>Contoh Soal:</t>
        </is>
      </c>
      <c r="F11" s="21" t="inlineStr">
        <is>
          <t>Periksa apakah teks di sel B11 sama persis dengan teks di sel C11 menggunakan fungsi EXACT!</t>
        </is>
      </c>
      <c r="G11" s="5" t="n"/>
    </row>
    <row r="12">
      <c r="B12" s="19" t="inlineStr">
        <is>
          <t>Siti</t>
        </is>
      </c>
      <c r="C12" s="19" t="inlineStr">
        <is>
          <t>Aminah</t>
        </is>
      </c>
      <c r="E12" s="20" t="inlineStr">
        <is>
          <t>Contoh Rumus Benar:</t>
        </is>
      </c>
      <c r="F12" s="22" t="inlineStr">
        <is>
          <t>'=EXACT(B11, C11)</t>
        </is>
      </c>
      <c r="G12" s="5" t="n"/>
    </row>
    <row r="13">
      <c r="B13" s="19" t="inlineStr">
        <is>
          <t>Andi</t>
        </is>
      </c>
      <c r="C13" s="19" t="inlineStr">
        <is>
          <t>Pratama</t>
        </is>
      </c>
      <c r="E13" s="20" t="inlineStr">
        <is>
          <t>Contoh Hasil Benar:</t>
        </is>
      </c>
      <c r="F13" s="23">
        <f>EXACT(B11, C11)</f>
        <v/>
      </c>
      <c r="G13" s="5" t="n"/>
    </row>
    <row r="14">
      <c r="B14" s="19" t="inlineStr">
        <is>
          <t>Rina</t>
        </is>
      </c>
      <c r="C14" s="19" t="inlineStr">
        <is>
          <t>Wijaya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Teks Pertama (B)</t>
        </is>
      </c>
      <c r="C20" s="14" t="inlineStr">
        <is>
          <t>Teks Kedua (C)</t>
        </is>
      </c>
      <c r="E20" s="27" t="inlineStr">
        <is>
          <t>Persoalan Tes #1: Periksa apakah teks di sel B21 sama persis dengan teks di sel C21 menggunakan fungsi EXACT!</t>
        </is>
      </c>
    </row>
    <row r="21">
      <c r="B21" s="19" t="inlineStr">
        <is>
          <t>Cabang</t>
        </is>
      </c>
      <c r="C21" s="19" t="inlineStr">
        <is>
          <t>Cabang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Siti</t>
        </is>
      </c>
      <c r="C22" s="19" t="inlineStr">
        <is>
          <t>Aminah</t>
        </is>
      </c>
      <c r="E22" s="28" t="n"/>
      <c r="F22" s="29">
        <f>IF(ISBLANK(E22), "⏳ Belum Diisi (Ketik Rumus di Sel Kuning E22)", IF(E22='99_KUNCI_JAWABAN'!F115, "✅ BENAR! JAWABAN TES TEPAT!", "❌ Belum Tepat (Cek Sheet Akhir: 99_KUNCI_JAWABAN)"))</f>
        <v/>
      </c>
      <c r="G22" s="5" t="n"/>
    </row>
    <row r="23">
      <c r="B23" s="19" t="inlineStr">
        <is>
          <t>Andi</t>
        </is>
      </c>
      <c r="C23" s="19" t="inlineStr">
        <is>
          <t>Pratama</t>
        </is>
      </c>
    </row>
    <row r="24">
      <c r="B24" s="19" t="inlineStr">
        <is>
          <t>Rina</t>
        </is>
      </c>
      <c r="C24" s="19" t="inlineStr">
        <is>
          <t>Wijaya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Teks Pertama (B)</t>
        </is>
      </c>
      <c r="C28" s="14" t="inlineStr">
        <is>
          <t>Teks Kedua (C)</t>
        </is>
      </c>
      <c r="E28" s="27" t="inlineStr">
        <is>
          <t>Persoalan Tes #2: Periksa apakah teks di sel B29 sama persis dengan teks di sel C29 menggunakan fungsi EXACT!</t>
        </is>
      </c>
    </row>
    <row r="29">
      <c r="B29" s="19" t="inlineStr">
        <is>
          <t>Budi</t>
        </is>
      </c>
      <c r="C29" s="19" t="inlineStr">
        <is>
          <t>Budi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</t>
        </is>
      </c>
      <c r="C30" s="19" t="inlineStr">
        <is>
          <t>Aminah</t>
        </is>
      </c>
      <c r="E30" s="28" t="n"/>
      <c r="F30" s="29">
        <f>IF(ISBLANK(E30), "⏳ Belum Diisi (Ketik Rumus di Sel Kuning E30)", IF(E30='99_KUNCI_JAWABAN'!F116, "✅ BENAR! JAWABAN TES TEPAT!", "❌ Belum Tepat (Cek Sheet Akhir: 99_KUNCI_JAWABAN)"))</f>
        <v/>
      </c>
      <c r="G30" s="5" t="n"/>
    </row>
    <row r="31">
      <c r="B31" s="19" t="inlineStr">
        <is>
          <t>Andi</t>
        </is>
      </c>
      <c r="C31" s="19" t="inlineStr">
        <is>
          <t>Pratama</t>
        </is>
      </c>
    </row>
    <row r="32">
      <c r="B32" s="19" t="inlineStr">
        <is>
          <t>Rina</t>
        </is>
      </c>
      <c r="C32" s="19" t="inlineStr">
        <is>
          <t>Wijaya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Teks Pertama (B)</t>
        </is>
      </c>
      <c r="C36" s="14" t="inlineStr">
        <is>
          <t>Teks Kedua (C)</t>
        </is>
      </c>
      <c r="E36" s="27" t="inlineStr">
        <is>
          <t>Persoalan Tes #3: Periksa apakah teks di sel B37 sama persis dengan teks di sel C37 menggunakan fungsi EXACT!</t>
        </is>
      </c>
    </row>
    <row r="37">
      <c r="B37" s="19" t="inlineStr">
        <is>
          <t>Gudang</t>
        </is>
      </c>
      <c r="C37" s="19" t="inlineStr">
        <is>
          <t>Gudang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Siti</t>
        </is>
      </c>
      <c r="C38" s="19" t="inlineStr">
        <is>
          <t>Aminah</t>
        </is>
      </c>
      <c r="E38" s="28" t="n"/>
      <c r="F38" s="29">
        <f>IF(ISBLANK(E38), "⏳ Belum Diisi (Ketik Rumus di Sel Kuning E38)", IF(E38='99_KUNCI_JAWABAN'!F117, "✅ BENAR! JAWABAN TES TEPAT!", "❌ Belum Tepat (Cek Sheet Akhir: 99_KUNCI_JAWABAN)"))</f>
        <v/>
      </c>
      <c r="G38" s="5" t="n"/>
    </row>
    <row r="39">
      <c r="B39" s="19" t="inlineStr">
        <is>
          <t>Andi</t>
        </is>
      </c>
      <c r="C39" s="19" t="inlineStr">
        <is>
          <t>Pratama</t>
        </is>
      </c>
    </row>
    <row r="40">
      <c r="B40" s="19" t="inlineStr">
        <is>
          <t>Rina</t>
        </is>
      </c>
      <c r="C40" s="19" t="inlineStr">
        <is>
          <t>Wijaya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Teks Pertama (B)</t>
        </is>
      </c>
      <c r="C44" s="14" t="inlineStr">
        <is>
          <t>Teks Kedua (C)</t>
        </is>
      </c>
      <c r="E44" s="27" t="inlineStr">
        <is>
          <t>Persoalan Tes #4: Periksa apakah teks di sel B45 sama persis dengan teks di sel C45 menggunakan fungsi EXACT!</t>
        </is>
      </c>
    </row>
    <row r="45">
      <c r="B45" s="19" t="inlineStr">
        <is>
          <t>Toko</t>
        </is>
      </c>
      <c r="C45" s="19" t="inlineStr">
        <is>
          <t>Toko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Siti</t>
        </is>
      </c>
      <c r="C46" s="19" t="inlineStr">
        <is>
          <t>Aminah</t>
        </is>
      </c>
      <c r="E46" s="28" t="n"/>
      <c r="F46" s="29">
        <f>IF(ISBLANK(E46), "⏳ Belum Diisi (Ketik Rumus di Sel Kuning E46)", IF(E46='99_KUNCI_JAWABAN'!F118, "✅ BENAR! JAWABAN TES TEPAT!", "❌ Belum Tepat (Cek Sheet Akhir: 99_KUNCI_JAWABAN)"))</f>
        <v/>
      </c>
      <c r="G46" s="5" t="n"/>
    </row>
    <row r="47">
      <c r="B47" s="19" t="inlineStr">
        <is>
          <t>Andi</t>
        </is>
      </c>
      <c r="C47" s="19" t="inlineStr">
        <is>
          <t>Pratama</t>
        </is>
      </c>
    </row>
    <row r="48">
      <c r="B48" s="19" t="inlineStr">
        <is>
          <t>Rina</t>
        </is>
      </c>
      <c r="C48" s="19" t="inlineStr">
        <is>
          <t>Wijaya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Teks Pertama (B)</t>
        </is>
      </c>
      <c r="C52" s="14" t="inlineStr">
        <is>
          <t>Teks Kedua (C)</t>
        </is>
      </c>
      <c r="E52" s="27" t="inlineStr">
        <is>
          <t>Persoalan Tes #5: Periksa apakah teks di sel B53 sama persis dengan teks di sel C53 menggunakan fungsi EXACT!</t>
        </is>
      </c>
    </row>
    <row r="53">
      <c r="B53" s="19" t="inlineStr">
        <is>
          <t>Kelas</t>
        </is>
      </c>
      <c r="C53" s="19" t="inlineStr">
        <is>
          <t>Kelas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Siti</t>
        </is>
      </c>
      <c r="C54" s="19" t="inlineStr">
        <is>
          <t>Aminah</t>
        </is>
      </c>
      <c r="E54" s="28" t="n"/>
      <c r="F54" s="29">
        <f>IF(ISBLANK(E54), "⏳ Belum Diisi (Ketik Rumus di Sel Kuning E54)", IF(E54='99_KUNCI_JAWABAN'!F119, "✅ BENAR! JAWABAN TES TEPAT!", "❌ Belum Tepat (Cek Sheet Akhir: 99_KUNCI_JAWABAN)"))</f>
        <v/>
      </c>
      <c r="G54" s="5" t="n"/>
    </row>
    <row r="55">
      <c r="B55" s="19" t="inlineStr">
        <is>
          <t>Andi</t>
        </is>
      </c>
      <c r="C55" s="19" t="inlineStr">
        <is>
          <t>Pratama</t>
        </is>
      </c>
    </row>
    <row r="56">
      <c r="B56" s="19" t="inlineStr">
        <is>
          <t>Rina</t>
        </is>
      </c>
      <c r="C56" s="19" t="inlineStr">
        <is>
          <t>Wijaya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#024 — RUMUS EXCEL: FIND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(FIND)</t>
        </is>
      </c>
    </row>
    <row r="5" ht="21" customHeight="1">
      <c r="B5" s="14" t="inlineStr">
        <is>
          <t>Nama Rumus Excel</t>
        </is>
      </c>
      <c r="C5" s="15">
        <f>FIND(...)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FIND(teks_dicari, di_dalam_teks)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tahu suatu huruf atau simbol berada pada urutan karakter ke berapa (membedakan huruf besar dan kecil).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FIND DI SINI)</t>
        </is>
      </c>
    </row>
    <row r="10">
      <c r="B10" s="18" t="inlineStr">
        <is>
          <t>Cabang</t>
        </is>
      </c>
      <c r="C10" s="18" t="inlineStr">
        <is>
          <t>Kode Nomor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KODE6-001</t>
        </is>
      </c>
      <c r="E11" s="20" t="inlineStr">
        <is>
          <t>Contoh Soal:</t>
        </is>
      </c>
      <c r="F11" s="21" t="inlineStr">
        <is>
          <t>Cari nomor urut posisi karakter strip "-" di dalam sel C11 menggunakan fungsi FIND!</t>
        </is>
      </c>
      <c r="G11" s="5" t="n"/>
    </row>
    <row r="12">
      <c r="B12" s="19" t="inlineStr">
        <is>
          <t>Simulasi Unit B</t>
        </is>
      </c>
      <c r="C12" s="19" t="inlineStr">
        <is>
          <t>BDG-002</t>
        </is>
      </c>
      <c r="E12" s="20" t="inlineStr">
        <is>
          <t>Contoh Rumus Benar:</t>
        </is>
      </c>
      <c r="F12" s="22" t="inlineStr">
        <is>
          <t>'=FIND("-", C11)</t>
        </is>
      </c>
      <c r="G12" s="5" t="n"/>
    </row>
    <row r="13">
      <c r="B13" s="19" t="inlineStr">
        <is>
          <t>Simulasi Unit C</t>
        </is>
      </c>
      <c r="C13" s="19" t="inlineStr">
        <is>
          <t>SBY-003</t>
        </is>
      </c>
      <c r="E13" s="20" t="inlineStr">
        <is>
          <t>Contoh Hasil Benar:</t>
        </is>
      </c>
      <c r="F13" s="23">
        <f>FIND("-", C11)</f>
        <v/>
      </c>
      <c r="G13" s="5" t="n"/>
    </row>
    <row r="14">
      <c r="B14" s="19" t="inlineStr">
        <is>
          <t>Simulasi Unit D</t>
        </is>
      </c>
      <c r="C14" s="19" t="inlineStr">
        <is>
          <t>MDN-004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Cabang</t>
        </is>
      </c>
      <c r="C20" s="14" t="inlineStr">
        <is>
          <t>Kode Nomor</t>
        </is>
      </c>
      <c r="E20" s="27" t="inlineStr">
        <is>
          <t>Persoalan Tes #1: Cari nomor urut posisi karakter strip "-" di dalam sel C21 menggunakan fungsi FIND!</t>
        </is>
      </c>
    </row>
    <row r="21">
      <c r="B21" s="19" t="inlineStr">
        <is>
          <t>Cabang Jakarta</t>
        </is>
      </c>
      <c r="C21" s="19" t="inlineStr">
        <is>
          <t>KODE1-001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BDG-002</t>
        </is>
      </c>
      <c r="E22" s="28" t="n"/>
      <c r="F22" s="29">
        <f>IF(ISBLANK(E22), "⏳ Belum Diisi (Ketik Rumus di Sel Kuning E22)", IF(E22='99_KUNCI_JAWABAN'!F120,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SBY-003</t>
        </is>
      </c>
    </row>
    <row r="24">
      <c r="B24" s="19" t="inlineStr">
        <is>
          <t>Cabang Medan</t>
        </is>
      </c>
      <c r="C24" s="19" t="inlineStr">
        <is>
          <t>MDN-004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Cabang</t>
        </is>
      </c>
      <c r="C28" s="14" t="inlineStr">
        <is>
          <t>Kode Nomor</t>
        </is>
      </c>
      <c r="E28" s="27" t="inlineStr">
        <is>
          <t>Persoalan Tes #2: Cari nomor urut posisi karakter strip "-" di dalam sel C29 menggunakan fungsi FIND!</t>
        </is>
      </c>
    </row>
    <row r="29">
      <c r="B29" s="19" t="inlineStr">
        <is>
          <t>Budi Santoso</t>
        </is>
      </c>
      <c r="C29" s="19" t="inlineStr">
        <is>
          <t>KODE2-001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BDG-002</t>
        </is>
      </c>
      <c r="E30" s="28" t="n"/>
      <c r="F30" s="29">
        <f>IF(ISBLANK(E30), "⏳ Belum Diisi (Ketik Rumus di Sel Kuning E30)", IF(E30='99_KUNCI_JAWABAN'!F121,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SBY-003</t>
        </is>
      </c>
    </row>
    <row r="32">
      <c r="B32" s="19" t="inlineStr">
        <is>
          <t>Rina Wijaya</t>
        </is>
      </c>
      <c r="C32" s="19" t="inlineStr">
        <is>
          <t>MDN-004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Cabang</t>
        </is>
      </c>
      <c r="C36" s="14" t="inlineStr">
        <is>
          <t>Kode Nomor</t>
        </is>
      </c>
      <c r="E36" s="27" t="inlineStr">
        <is>
          <t>Persoalan Tes #3: Cari nomor urut posisi karakter strip "-" di dalam sel C37 menggunakan fungsi FIND!</t>
        </is>
      </c>
    </row>
    <row r="37">
      <c r="B37" s="19" t="inlineStr">
        <is>
          <t>Gudang Blok A</t>
        </is>
      </c>
      <c r="C37" s="19" t="inlineStr">
        <is>
          <t>KODE3-001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BDG-002</t>
        </is>
      </c>
      <c r="E38" s="28" t="n"/>
      <c r="F38" s="29">
        <f>IF(ISBLANK(E38), "⏳ Belum Diisi (Ketik Rumus di Sel Kuning E38)", IF(E38='99_KUNCI_JAWABAN'!F122,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SBY-003</t>
        </is>
      </c>
    </row>
    <row r="40">
      <c r="B40" s="19" t="inlineStr">
        <is>
          <t>Gudang Blok D</t>
        </is>
      </c>
      <c r="C40" s="19" t="inlineStr">
        <is>
          <t>MDN-004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Cabang</t>
        </is>
      </c>
      <c r="C44" s="14" t="inlineStr">
        <is>
          <t>Kode Nomor</t>
        </is>
      </c>
      <c r="E44" s="27" t="inlineStr">
        <is>
          <t>Persoalan Tes #4: Cari nomor urut posisi karakter strip "-" di dalam sel C45 menggunakan fungsi FIND!</t>
        </is>
      </c>
    </row>
    <row r="45">
      <c r="B45" s="19" t="inlineStr">
        <is>
          <t>Toko Elektronik</t>
        </is>
      </c>
      <c r="C45" s="19" t="inlineStr">
        <is>
          <t>KODE4-001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BDG-002</t>
        </is>
      </c>
      <c r="E46" s="28" t="n"/>
      <c r="F46" s="29">
        <f>IF(ISBLANK(E46), "⏳ Belum Diisi (Ketik Rumus di Sel Kuning E46)", IF(E46='99_KUNCI_JAWABAN'!F123,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SBY-003</t>
        </is>
      </c>
    </row>
    <row r="48">
      <c r="B48" s="19" t="inlineStr">
        <is>
          <t>Toko Servis</t>
        </is>
      </c>
      <c r="C48" s="19" t="inlineStr">
        <is>
          <t>MDN-004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Cabang</t>
        </is>
      </c>
      <c r="C52" s="14" t="inlineStr">
        <is>
          <t>Kode Nomor</t>
        </is>
      </c>
      <c r="E52" s="27" t="inlineStr">
        <is>
          <t>Persoalan Tes #5: Cari nomor urut posisi karakter strip "-" di dalam sel C53 menggunakan fungsi FIND!</t>
        </is>
      </c>
    </row>
    <row r="53">
      <c r="B53" s="19" t="inlineStr">
        <is>
          <t>Kelas 10 IPA</t>
        </is>
      </c>
      <c r="C53" s="19" t="inlineStr">
        <is>
          <t>KODE5-001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BDG-002</t>
        </is>
      </c>
      <c r="E54" s="28" t="n"/>
      <c r="F54" s="29">
        <f>IF(ISBLANK(E54), "⏳ Belum Diisi (Ketik Rumus di Sel Kuning E54)", IF(E54='99_KUNCI_JAWABAN'!F124,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SBY-003</t>
        </is>
      </c>
    </row>
    <row r="56">
      <c r="B56" s="19" t="inlineStr">
        <is>
          <t>Kelas Unggulan</t>
        </is>
      </c>
      <c r="C56" s="19" t="inlineStr">
        <is>
          <t>MDN-004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#025 — RUMUS EXCEL: SEARCH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(SEARCH)</t>
        </is>
      </c>
    </row>
    <row r="5" ht="21" customHeight="1">
      <c r="B5" s="14" t="inlineStr">
        <is>
          <t>Nama Rumus Excel</t>
        </is>
      </c>
      <c r="C5" s="15">
        <f>SEARCH(...)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SEARCH(teks_dicari, di_dalam_teks)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Sama seperti FIND (mencari posisi urutan huruf), tetapi TIDAK membedakan huruf besar maupun kecil!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SEARCH DI SINI)</t>
        </is>
      </c>
    </row>
    <row r="10">
      <c r="B10" s="18" t="inlineStr">
        <is>
          <t>Cabang</t>
        </is>
      </c>
      <c r="C10" s="18" t="inlineStr">
        <is>
          <t>Kode Nomor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KODE6-001</t>
        </is>
      </c>
      <c r="E11" s="20" t="inlineStr">
        <is>
          <t>Contoh Soal:</t>
        </is>
      </c>
      <c r="F11" s="21" t="inlineStr">
        <is>
          <t>Cari nomor urut posisi karakter strip "-" di dalam sel C11 menggunakan fungsi SEARCH!</t>
        </is>
      </c>
      <c r="G11" s="5" t="n"/>
    </row>
    <row r="12">
      <c r="B12" s="19" t="inlineStr">
        <is>
          <t>Simulasi Unit B</t>
        </is>
      </c>
      <c r="C12" s="19" t="inlineStr">
        <is>
          <t>BDG-002</t>
        </is>
      </c>
      <c r="E12" s="20" t="inlineStr">
        <is>
          <t>Contoh Rumus Benar:</t>
        </is>
      </c>
      <c r="F12" s="22" t="inlineStr">
        <is>
          <t>'=SEARCH("-", C11)</t>
        </is>
      </c>
      <c r="G12" s="5" t="n"/>
    </row>
    <row r="13">
      <c r="B13" s="19" t="inlineStr">
        <is>
          <t>Simulasi Unit C</t>
        </is>
      </c>
      <c r="C13" s="19" t="inlineStr">
        <is>
          <t>SBY-003</t>
        </is>
      </c>
      <c r="E13" s="20" t="inlineStr">
        <is>
          <t>Contoh Hasil Benar:</t>
        </is>
      </c>
      <c r="F13" s="23">
        <f>SEARCH("-", C11)</f>
        <v/>
      </c>
      <c r="G13" s="5" t="n"/>
    </row>
    <row r="14">
      <c r="B14" s="19" t="inlineStr">
        <is>
          <t>Simulasi Unit D</t>
        </is>
      </c>
      <c r="C14" s="19" t="inlineStr">
        <is>
          <t>MDN-004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Cabang</t>
        </is>
      </c>
      <c r="C20" s="14" t="inlineStr">
        <is>
          <t>Kode Nomor</t>
        </is>
      </c>
      <c r="E20" s="27" t="inlineStr">
        <is>
          <t>Persoalan Tes #1: Cari nomor urut posisi karakter strip "-" di dalam sel C21 menggunakan fungsi SEARCH!</t>
        </is>
      </c>
    </row>
    <row r="21">
      <c r="B21" s="19" t="inlineStr">
        <is>
          <t>Cabang Jakarta</t>
        </is>
      </c>
      <c r="C21" s="19" t="inlineStr">
        <is>
          <t>KODE1-001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BDG-002</t>
        </is>
      </c>
      <c r="E22" s="28" t="n"/>
      <c r="F22" s="29">
        <f>IF(ISBLANK(E22), "⏳ Belum Diisi (Ketik Rumus di Sel Kuning E22)", IF(E22='99_KUNCI_JAWABAN'!F125,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SBY-003</t>
        </is>
      </c>
    </row>
    <row r="24">
      <c r="B24" s="19" t="inlineStr">
        <is>
          <t>Cabang Medan</t>
        </is>
      </c>
      <c r="C24" s="19" t="inlineStr">
        <is>
          <t>MDN-004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Cabang</t>
        </is>
      </c>
      <c r="C28" s="14" t="inlineStr">
        <is>
          <t>Kode Nomor</t>
        </is>
      </c>
      <c r="E28" s="27" t="inlineStr">
        <is>
          <t>Persoalan Tes #2: Cari nomor urut posisi karakter strip "-" di dalam sel C29 menggunakan fungsi SEARCH!</t>
        </is>
      </c>
    </row>
    <row r="29">
      <c r="B29" s="19" t="inlineStr">
        <is>
          <t>Budi Santoso</t>
        </is>
      </c>
      <c r="C29" s="19" t="inlineStr">
        <is>
          <t>KODE2-001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BDG-002</t>
        </is>
      </c>
      <c r="E30" s="28" t="n"/>
      <c r="F30" s="29">
        <f>IF(ISBLANK(E30), "⏳ Belum Diisi (Ketik Rumus di Sel Kuning E30)", IF(E30='99_KUNCI_JAWABAN'!F126,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SBY-003</t>
        </is>
      </c>
    </row>
    <row r="32">
      <c r="B32" s="19" t="inlineStr">
        <is>
          <t>Rina Wijaya</t>
        </is>
      </c>
      <c r="C32" s="19" t="inlineStr">
        <is>
          <t>MDN-004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Cabang</t>
        </is>
      </c>
      <c r="C36" s="14" t="inlineStr">
        <is>
          <t>Kode Nomor</t>
        </is>
      </c>
      <c r="E36" s="27" t="inlineStr">
        <is>
          <t>Persoalan Tes #3: Cari nomor urut posisi karakter strip "-" di dalam sel C37 menggunakan fungsi SEARCH!</t>
        </is>
      </c>
    </row>
    <row r="37">
      <c r="B37" s="19" t="inlineStr">
        <is>
          <t>Gudang Blok A</t>
        </is>
      </c>
      <c r="C37" s="19" t="inlineStr">
        <is>
          <t>KODE3-001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BDG-002</t>
        </is>
      </c>
      <c r="E38" s="28" t="n"/>
      <c r="F38" s="29">
        <f>IF(ISBLANK(E38), "⏳ Belum Diisi (Ketik Rumus di Sel Kuning E38)", IF(E38='99_KUNCI_JAWABAN'!F127,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SBY-003</t>
        </is>
      </c>
    </row>
    <row r="40">
      <c r="B40" s="19" t="inlineStr">
        <is>
          <t>Gudang Blok D</t>
        </is>
      </c>
      <c r="C40" s="19" t="inlineStr">
        <is>
          <t>MDN-004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Cabang</t>
        </is>
      </c>
      <c r="C44" s="14" t="inlineStr">
        <is>
          <t>Kode Nomor</t>
        </is>
      </c>
      <c r="E44" s="27" t="inlineStr">
        <is>
          <t>Persoalan Tes #4: Cari nomor urut posisi karakter strip "-" di dalam sel C45 menggunakan fungsi SEARCH!</t>
        </is>
      </c>
    </row>
    <row r="45">
      <c r="B45" s="19" t="inlineStr">
        <is>
          <t>Toko Elektronik</t>
        </is>
      </c>
      <c r="C45" s="19" t="inlineStr">
        <is>
          <t>KODE4-001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BDG-002</t>
        </is>
      </c>
      <c r="E46" s="28" t="n"/>
      <c r="F46" s="29">
        <f>IF(ISBLANK(E46), "⏳ Belum Diisi (Ketik Rumus di Sel Kuning E46)", IF(E46='99_KUNCI_JAWABAN'!F128,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SBY-003</t>
        </is>
      </c>
    </row>
    <row r="48">
      <c r="B48" s="19" t="inlineStr">
        <is>
          <t>Toko Servis</t>
        </is>
      </c>
      <c r="C48" s="19" t="inlineStr">
        <is>
          <t>MDN-004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Cabang</t>
        </is>
      </c>
      <c r="C52" s="14" t="inlineStr">
        <is>
          <t>Kode Nomor</t>
        </is>
      </c>
      <c r="E52" s="27" t="inlineStr">
        <is>
          <t>Persoalan Tes #5: Cari nomor urut posisi karakter strip "-" di dalam sel C53 menggunakan fungsi SEARCH!</t>
        </is>
      </c>
    </row>
    <row r="53">
      <c r="B53" s="19" t="inlineStr">
        <is>
          <t>Kelas 10 IPA</t>
        </is>
      </c>
      <c r="C53" s="19" t="inlineStr">
        <is>
          <t>KODE5-001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BDG-002</t>
        </is>
      </c>
      <c r="E54" s="28" t="n"/>
      <c r="F54" s="29">
        <f>IF(ISBLANK(E54), "⏳ Belum Diisi (Ketik Rumus di Sel Kuning E54)", IF(E54='99_KUNCI_JAWABAN'!F129,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SBY-003</t>
        </is>
      </c>
    </row>
    <row r="56">
      <c r="B56" s="19" t="inlineStr">
        <is>
          <t>Kelas Unggulan</t>
        </is>
      </c>
      <c r="C56" s="19" t="inlineStr">
        <is>
          <t>MDN-004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#026 — RUMUS EXCEL: SUBSTITUTE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(SUBSTITUTE)</t>
        </is>
      </c>
    </row>
    <row r="5" ht="21" customHeight="1">
      <c r="B5" s="14" t="inlineStr">
        <is>
          <t>Nama Rumus Excel</t>
        </is>
      </c>
      <c r="C5" s="15">
        <f>SUBSTITUTE(...)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SUBSTITUTE(teks, teks_lama, teks_baru)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Mengganti kata atau simbol tertentu di dalam sel dengan kata/simbol baru secara otomatis (misal ganti tanda '-' menjadi '/').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SUBSTITUTE DI SINI)</t>
        </is>
      </c>
    </row>
    <row r="10">
      <c r="B10" s="18" t="inlineStr">
        <is>
          <t>Dokumen</t>
        </is>
      </c>
      <c r="C10" s="18" t="inlineStr">
        <is>
          <t>Tanggal Teks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2026-06-12</t>
        </is>
      </c>
      <c r="E11" s="20" t="inlineStr">
        <is>
          <t>Contoh Soal:</t>
        </is>
      </c>
      <c r="F11" s="21" t="inlineStr">
        <is>
          <t>Ubah seluruh tanda strip "-" menjadi garis miring "/" pada sel C11 menggunakan fungsi SUBSTITUTE!</t>
        </is>
      </c>
      <c r="G11" s="5" t="n"/>
    </row>
    <row r="12">
      <c r="B12" s="19" t="inlineStr">
        <is>
          <t>Simulasi Unit B</t>
        </is>
      </c>
      <c r="C12" s="19" t="inlineStr">
        <is>
          <t>2026-11-01</t>
        </is>
      </c>
      <c r="E12" s="20" t="inlineStr">
        <is>
          <t>Contoh Rumus Benar:</t>
        </is>
      </c>
      <c r="F12" s="22" t="inlineStr">
        <is>
          <t>'=SUBSTITUTE(C11, "-", "/")</t>
        </is>
      </c>
      <c r="G12" s="5" t="n"/>
    </row>
    <row r="13">
      <c r="B13" s="19" t="inlineStr">
        <is>
          <t>Simulasi Unit C</t>
        </is>
      </c>
      <c r="C13" s="19" t="inlineStr">
        <is>
          <t>2026-12-15</t>
        </is>
      </c>
      <c r="E13" s="20" t="inlineStr">
        <is>
          <t>Contoh Hasil Benar:</t>
        </is>
      </c>
      <c r="F13" s="23">
        <f>SUBSTITUTE(C11, "-", "/")</f>
        <v/>
      </c>
      <c r="G13" s="5" t="n"/>
    </row>
    <row r="14">
      <c r="B14" s="19" t="inlineStr">
        <is>
          <t>Simulasi Unit D</t>
        </is>
      </c>
      <c r="C14" s="19" t="inlineStr">
        <is>
          <t>2026-08-17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Dokumen</t>
        </is>
      </c>
      <c r="C20" s="14" t="inlineStr">
        <is>
          <t>Tanggal Teks</t>
        </is>
      </c>
      <c r="E20" s="27" t="inlineStr">
        <is>
          <t>Persoalan Tes #1: Ubah seluruh tanda strip "-" menjadi garis miring "/" pada sel C21 menggunakan fungsi SUBSTITUTE!</t>
        </is>
      </c>
    </row>
    <row r="21">
      <c r="B21" s="19" t="inlineStr">
        <is>
          <t>Cabang Jakarta</t>
        </is>
      </c>
      <c r="C21" s="19" t="inlineStr">
        <is>
          <t>2026-01-12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2026-11-01</t>
        </is>
      </c>
      <c r="E22" s="28" t="n"/>
      <c r="F22" s="29">
        <f>IF(ISBLANK(E22), "⏳ Belum Diisi (Ketik Rumus di Sel Kuning E22)", IF(E22='99_KUNCI_JAWABAN'!F130,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2026-12-15</t>
        </is>
      </c>
    </row>
    <row r="24">
      <c r="B24" s="19" t="inlineStr">
        <is>
          <t>Cabang Medan</t>
        </is>
      </c>
      <c r="C24" s="19" t="inlineStr">
        <is>
          <t>2026-08-17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Dokumen</t>
        </is>
      </c>
      <c r="C28" s="14" t="inlineStr">
        <is>
          <t>Tanggal Teks</t>
        </is>
      </c>
      <c r="E28" s="27" t="inlineStr">
        <is>
          <t>Persoalan Tes #2: Ubah seluruh tanda strip "-" menjadi garis miring "/" pada sel C29 menggunakan fungsi SUBSTITUTE!</t>
        </is>
      </c>
    </row>
    <row r="29">
      <c r="B29" s="19" t="inlineStr">
        <is>
          <t>Budi Santoso</t>
        </is>
      </c>
      <c r="C29" s="19" t="inlineStr">
        <is>
          <t>2026-02-12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2026-11-01</t>
        </is>
      </c>
      <c r="E30" s="28" t="n"/>
      <c r="F30" s="29">
        <f>IF(ISBLANK(E30), "⏳ Belum Diisi (Ketik Rumus di Sel Kuning E30)", IF(E30='99_KUNCI_JAWABAN'!F131,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2026-12-15</t>
        </is>
      </c>
    </row>
    <row r="32">
      <c r="B32" s="19" t="inlineStr">
        <is>
          <t>Rina Wijaya</t>
        </is>
      </c>
      <c r="C32" s="19" t="inlineStr">
        <is>
          <t>2026-08-17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Dokumen</t>
        </is>
      </c>
      <c r="C36" s="14" t="inlineStr">
        <is>
          <t>Tanggal Teks</t>
        </is>
      </c>
      <c r="E36" s="27" t="inlineStr">
        <is>
          <t>Persoalan Tes #3: Ubah seluruh tanda strip "-" menjadi garis miring "/" pada sel C37 menggunakan fungsi SUBSTITUTE!</t>
        </is>
      </c>
    </row>
    <row r="37">
      <c r="B37" s="19" t="inlineStr">
        <is>
          <t>Gudang Blok A</t>
        </is>
      </c>
      <c r="C37" s="19" t="inlineStr">
        <is>
          <t>2026-03-12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2026-11-01</t>
        </is>
      </c>
      <c r="E38" s="28" t="n"/>
      <c r="F38" s="29">
        <f>IF(ISBLANK(E38), "⏳ Belum Diisi (Ketik Rumus di Sel Kuning E38)", IF(E38='99_KUNCI_JAWABAN'!F132,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2026-12-15</t>
        </is>
      </c>
    </row>
    <row r="40">
      <c r="B40" s="19" t="inlineStr">
        <is>
          <t>Gudang Blok D</t>
        </is>
      </c>
      <c r="C40" s="19" t="inlineStr">
        <is>
          <t>2026-08-17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Dokumen</t>
        </is>
      </c>
      <c r="C44" s="14" t="inlineStr">
        <is>
          <t>Tanggal Teks</t>
        </is>
      </c>
      <c r="E44" s="27" t="inlineStr">
        <is>
          <t>Persoalan Tes #4: Ubah seluruh tanda strip "-" menjadi garis miring "/" pada sel C45 menggunakan fungsi SUBSTITUTE!</t>
        </is>
      </c>
    </row>
    <row r="45">
      <c r="B45" s="19" t="inlineStr">
        <is>
          <t>Toko Elektronik</t>
        </is>
      </c>
      <c r="C45" s="19" t="inlineStr">
        <is>
          <t>2026-04-12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2026-11-01</t>
        </is>
      </c>
      <c r="E46" s="28" t="n"/>
      <c r="F46" s="29">
        <f>IF(ISBLANK(E46), "⏳ Belum Diisi (Ketik Rumus di Sel Kuning E46)", IF(E46='99_KUNCI_JAWABAN'!F133,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2026-12-15</t>
        </is>
      </c>
    </row>
    <row r="48">
      <c r="B48" s="19" t="inlineStr">
        <is>
          <t>Toko Servis</t>
        </is>
      </c>
      <c r="C48" s="19" t="inlineStr">
        <is>
          <t>2026-08-17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Dokumen</t>
        </is>
      </c>
      <c r="C52" s="14" t="inlineStr">
        <is>
          <t>Tanggal Teks</t>
        </is>
      </c>
      <c r="E52" s="27" t="inlineStr">
        <is>
          <t>Persoalan Tes #5: Ubah seluruh tanda strip "-" menjadi garis miring "/" pada sel C53 menggunakan fungsi SUBSTITUTE!</t>
        </is>
      </c>
    </row>
    <row r="53">
      <c r="B53" s="19" t="inlineStr">
        <is>
          <t>Kelas 10 IPA</t>
        </is>
      </c>
      <c r="C53" s="19" t="inlineStr">
        <is>
          <t>2026-05-12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2026-11-01</t>
        </is>
      </c>
      <c r="E54" s="28" t="n"/>
      <c r="F54" s="29">
        <f>IF(ISBLANK(E54), "⏳ Belum Diisi (Ketik Rumus di Sel Kuning E54)", IF(E54='99_KUNCI_JAWABAN'!F134,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2026-12-15</t>
        </is>
      </c>
    </row>
    <row r="56">
      <c r="B56" s="19" t="inlineStr">
        <is>
          <t>Kelas Unggulan</t>
        </is>
      </c>
      <c r="C56" s="19" t="inlineStr">
        <is>
          <t>2026-08-17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#027 — RUMUS EXCEL: REPLACE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(REPLACE)</t>
        </is>
      </c>
    </row>
    <row r="5" ht="21" customHeight="1">
      <c r="B5" s="14" t="inlineStr">
        <is>
          <t>Nama Rumus Excel</t>
        </is>
      </c>
      <c r="C5" s="15">
        <f>REPLACE(...)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REPLACE(teks_lama, posisi_mulai, jumlah_diganti, teks_baru)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Mengganti sebagian isi teks berdasarkan posisi nomor urut karakter dan panjang huruf yang ingin ditimpa.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REPLACE DI SINI)</t>
        </is>
      </c>
    </row>
    <row r="10">
      <c r="B10" s="18" t="inlineStr">
        <is>
          <t>Wilayah</t>
        </is>
      </c>
      <c r="C10" s="18" t="inlineStr">
        <is>
          <t>Kode Lama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ID-10555</t>
        </is>
      </c>
      <c r="E11" s="20" t="inlineStr">
        <is>
          <t>Contoh Soal:</t>
        </is>
      </c>
      <c r="F11" s="21" t="inlineStr">
        <is>
          <t>Ganti 2 karakter pertama mulai posisi ke-1 pada sel C11 dengan teks "INA" menggunakan fungsi REPLACE!</t>
        </is>
      </c>
      <c r="G11" s="5" t="n"/>
    </row>
    <row r="12">
      <c r="B12" s="19" t="inlineStr">
        <is>
          <t>Simulasi Unit B</t>
        </is>
      </c>
      <c r="C12" s="19" t="inlineStr">
        <is>
          <t>ID-67890</t>
        </is>
      </c>
      <c r="E12" s="20" t="inlineStr">
        <is>
          <t>Contoh Rumus Benar:</t>
        </is>
      </c>
      <c r="F12" s="22" t="inlineStr">
        <is>
          <t>'=REPLACE(C11, 1, 2, "INA")</t>
        </is>
      </c>
      <c r="G12" s="5" t="n"/>
    </row>
    <row r="13">
      <c r="B13" s="19" t="inlineStr">
        <is>
          <t>Simulasi Unit C</t>
        </is>
      </c>
      <c r="C13" s="19" t="inlineStr">
        <is>
          <t>ID-54321</t>
        </is>
      </c>
      <c r="E13" s="20" t="inlineStr">
        <is>
          <t>Contoh Hasil Benar:</t>
        </is>
      </c>
      <c r="F13" s="23">
        <f>REPLACE(C11, 1, 2, "INA")</f>
        <v/>
      </c>
      <c r="G13" s="5" t="n"/>
    </row>
    <row r="14">
      <c r="B14" s="19" t="inlineStr">
        <is>
          <t>Simulasi Unit D</t>
        </is>
      </c>
      <c r="C14" s="19" t="inlineStr">
        <is>
          <t>ID-98765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Wilayah</t>
        </is>
      </c>
      <c r="C20" s="14" t="inlineStr">
        <is>
          <t>Kode Lama</t>
        </is>
      </c>
      <c r="E20" s="27" t="inlineStr">
        <is>
          <t>Persoalan Tes #1: Ganti 2 karakter pertama mulai posisi ke-1 pada sel C21 dengan teks "INA" menggunakan fungsi REPLACE!</t>
        </is>
      </c>
    </row>
    <row r="21">
      <c r="B21" s="19" t="inlineStr">
        <is>
          <t>Cabang Jakarta</t>
        </is>
      </c>
      <c r="C21" s="19" t="inlineStr">
        <is>
          <t>ID-10000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ID-67890</t>
        </is>
      </c>
      <c r="E22" s="28" t="n"/>
      <c r="F22" s="29">
        <f>IF(ISBLANK(E22), "⏳ Belum Diisi (Ketik Rumus di Sel Kuning E22)", IF(E22='99_KUNCI_JAWABAN'!F135,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ID-54321</t>
        </is>
      </c>
    </row>
    <row r="24">
      <c r="B24" s="19" t="inlineStr">
        <is>
          <t>Cabang Medan</t>
        </is>
      </c>
      <c r="C24" s="19" t="inlineStr">
        <is>
          <t>ID-98765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Wilayah</t>
        </is>
      </c>
      <c r="C28" s="14" t="inlineStr">
        <is>
          <t>Kode Lama</t>
        </is>
      </c>
      <c r="E28" s="27" t="inlineStr">
        <is>
          <t>Persoalan Tes #2: Ganti 2 karakter pertama mulai posisi ke-1 pada sel C29 dengan teks "INA" menggunakan fungsi REPLACE!</t>
        </is>
      </c>
    </row>
    <row r="29">
      <c r="B29" s="19" t="inlineStr">
        <is>
          <t>Budi Santoso</t>
        </is>
      </c>
      <c r="C29" s="19" t="inlineStr">
        <is>
          <t>ID-10111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ID-67890</t>
        </is>
      </c>
      <c r="E30" s="28" t="n"/>
      <c r="F30" s="29">
        <f>IF(ISBLANK(E30), "⏳ Belum Diisi (Ketik Rumus di Sel Kuning E30)", IF(E30='99_KUNCI_JAWABAN'!F136,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ID-54321</t>
        </is>
      </c>
    </row>
    <row r="32">
      <c r="B32" s="19" t="inlineStr">
        <is>
          <t>Rina Wijaya</t>
        </is>
      </c>
      <c r="C32" s="19" t="inlineStr">
        <is>
          <t>ID-98765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Wilayah</t>
        </is>
      </c>
      <c r="C36" s="14" t="inlineStr">
        <is>
          <t>Kode Lama</t>
        </is>
      </c>
      <c r="E36" s="27" t="inlineStr">
        <is>
          <t>Persoalan Tes #3: Ganti 2 karakter pertama mulai posisi ke-1 pada sel C37 dengan teks "INA" menggunakan fungsi REPLACE!</t>
        </is>
      </c>
    </row>
    <row r="37">
      <c r="B37" s="19" t="inlineStr">
        <is>
          <t>Gudang Blok A</t>
        </is>
      </c>
      <c r="C37" s="19" t="inlineStr">
        <is>
          <t>ID-10222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ID-67890</t>
        </is>
      </c>
      <c r="E38" s="28" t="n"/>
      <c r="F38" s="29">
        <f>IF(ISBLANK(E38), "⏳ Belum Diisi (Ketik Rumus di Sel Kuning E38)", IF(E38='99_KUNCI_JAWABAN'!F137,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ID-54321</t>
        </is>
      </c>
    </row>
    <row r="40">
      <c r="B40" s="19" t="inlineStr">
        <is>
          <t>Gudang Blok D</t>
        </is>
      </c>
      <c r="C40" s="19" t="inlineStr">
        <is>
          <t>ID-98765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Wilayah</t>
        </is>
      </c>
      <c r="C44" s="14" t="inlineStr">
        <is>
          <t>Kode Lama</t>
        </is>
      </c>
      <c r="E44" s="27" t="inlineStr">
        <is>
          <t>Persoalan Tes #4: Ganti 2 karakter pertama mulai posisi ke-1 pada sel C45 dengan teks "INA" menggunakan fungsi REPLACE!</t>
        </is>
      </c>
    </row>
    <row r="45">
      <c r="B45" s="19" t="inlineStr">
        <is>
          <t>Toko Elektronik</t>
        </is>
      </c>
      <c r="C45" s="19" t="inlineStr">
        <is>
          <t>ID-10333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ID-67890</t>
        </is>
      </c>
      <c r="E46" s="28" t="n"/>
      <c r="F46" s="29">
        <f>IF(ISBLANK(E46), "⏳ Belum Diisi (Ketik Rumus di Sel Kuning E46)", IF(E46='99_KUNCI_JAWABAN'!F138,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ID-54321</t>
        </is>
      </c>
    </row>
    <row r="48">
      <c r="B48" s="19" t="inlineStr">
        <is>
          <t>Toko Servis</t>
        </is>
      </c>
      <c r="C48" s="19" t="inlineStr">
        <is>
          <t>ID-98765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Wilayah</t>
        </is>
      </c>
      <c r="C52" s="14" t="inlineStr">
        <is>
          <t>Kode Lama</t>
        </is>
      </c>
      <c r="E52" s="27" t="inlineStr">
        <is>
          <t>Persoalan Tes #5: Ganti 2 karakter pertama mulai posisi ke-1 pada sel C53 dengan teks "INA" menggunakan fungsi REPLACE!</t>
        </is>
      </c>
    </row>
    <row r="53">
      <c r="B53" s="19" t="inlineStr">
        <is>
          <t>Kelas 10 IPA</t>
        </is>
      </c>
      <c r="C53" s="19" t="inlineStr">
        <is>
          <t>ID-10444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ID-67890</t>
        </is>
      </c>
      <c r="E54" s="28" t="n"/>
      <c r="F54" s="29">
        <f>IF(ISBLANK(E54), "⏳ Belum Diisi (Ketik Rumus di Sel Kuning E54)", IF(E54='99_KUNCI_JAWABAN'!F139,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ID-54321</t>
        </is>
      </c>
    </row>
    <row r="56">
      <c r="B56" s="19" t="inlineStr">
        <is>
          <t>Kelas Unggulan</t>
        </is>
      </c>
      <c r="C56" s="19" t="inlineStr">
        <is>
          <t>ID-98765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#028 — RUMUS EXCEL: REPT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(REPT)</t>
        </is>
      </c>
    </row>
    <row r="5" ht="21" customHeight="1">
      <c r="B5" s="14" t="inlineStr">
        <is>
          <t>Nama Rumus Excel</t>
        </is>
      </c>
      <c r="C5" s="15">
        <f>REPT(...)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REPT(teks, jumlah_ulang)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Mengulang teks atau simbol berkali-kali (sering dipakai membuat grafik bintang ⭐⭐⭐⭐⭐ langsung di dalam sel Excel!).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REPT DI SINI)</t>
        </is>
      </c>
    </row>
    <row r="10">
      <c r="B10" s="18" t="inlineStr">
        <is>
          <t>Karyawan</t>
        </is>
      </c>
      <c r="C10" s="18" t="inlineStr">
        <is>
          <t>Rating Bintang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2</v>
      </c>
      <c r="E11" s="20" t="inlineStr">
        <is>
          <t>Contoh Soal:</t>
        </is>
      </c>
      <c r="F11" s="21" t="inlineStr">
        <is>
          <t>Ulang simbol bintang "*" sebanyak angka rating di sel C11 (2) menggunakan fungsi REPT!</t>
        </is>
      </c>
      <c r="G11" s="5" t="n"/>
    </row>
    <row r="12">
      <c r="B12" s="19" t="inlineStr">
        <is>
          <t>Simulasi Unit B</t>
        </is>
      </c>
      <c r="C12" s="19" t="n">
        <v>4</v>
      </c>
      <c r="E12" s="20" t="inlineStr">
        <is>
          <t>Contoh Rumus Benar:</t>
        </is>
      </c>
      <c r="F12" s="22" t="inlineStr">
        <is>
          <t>'=REPT("*", C11)</t>
        </is>
      </c>
      <c r="G12" s="5" t="n"/>
    </row>
    <row r="13">
      <c r="B13" s="19" t="inlineStr">
        <is>
          <t>Simulasi Unit C</t>
        </is>
      </c>
      <c r="C13" s="19" t="n">
        <v>5</v>
      </c>
      <c r="E13" s="20" t="inlineStr">
        <is>
          <t>Contoh Hasil Benar:</t>
        </is>
      </c>
      <c r="F13" s="23">
        <f>REPT("*", C11)</f>
        <v/>
      </c>
      <c r="G13" s="5" t="n"/>
    </row>
    <row r="14">
      <c r="B14" s="19" t="inlineStr">
        <is>
          <t>Simulasi Unit D</t>
        </is>
      </c>
      <c r="C14" s="19" t="n">
        <v>2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Karyawan</t>
        </is>
      </c>
      <c r="C20" s="14" t="inlineStr">
        <is>
          <t>Rating Bintang</t>
        </is>
      </c>
      <c r="E20" s="27" t="inlineStr">
        <is>
          <t>Persoalan Tes #1: Ulang simbol bintang "*" sebanyak angka rating di sel C21 (2) menggunakan fungsi REPT!</t>
        </is>
      </c>
    </row>
    <row r="21">
      <c r="B21" s="19" t="inlineStr">
        <is>
          <t>Cabang Jakarta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4</v>
      </c>
      <c r="E22" s="28" t="n"/>
      <c r="F22" s="29">
        <f>IF(ISBLANK(E22), "⏳ Belum Diisi (Ketik Rumus di Sel Kuning E22)", IF(E22='99_KUNCI_JAWABAN'!F140,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5</v>
      </c>
    </row>
    <row r="24">
      <c r="B24" s="19" t="inlineStr">
        <is>
          <t>Cabang Medan</t>
        </is>
      </c>
      <c r="C24" s="19" t="n">
        <v>2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Karyawan</t>
        </is>
      </c>
      <c r="C28" s="14" t="inlineStr">
        <is>
          <t>Rating Bintang</t>
        </is>
      </c>
      <c r="E28" s="27" t="inlineStr">
        <is>
          <t>Persoalan Tes #2: Ulang simbol bintang "*" sebanyak angka rating di sel C29 (3) menggunakan fungsi REPT!</t>
        </is>
      </c>
    </row>
    <row r="29">
      <c r="B29" s="19" t="inlineStr">
        <is>
          <t>Budi Santoso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4</v>
      </c>
      <c r="E30" s="28" t="n"/>
      <c r="F30" s="29">
        <f>IF(ISBLANK(E30), "⏳ Belum Diisi (Ketik Rumus di Sel Kuning E30)", IF(E30='99_KUNCI_JAWABAN'!F141,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5</v>
      </c>
    </row>
    <row r="32">
      <c r="B32" s="19" t="inlineStr">
        <is>
          <t>Rina Wijaya</t>
        </is>
      </c>
      <c r="C32" s="19" t="n">
        <v>2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Karyawan</t>
        </is>
      </c>
      <c r="C36" s="14" t="inlineStr">
        <is>
          <t>Rating Bintang</t>
        </is>
      </c>
      <c r="E36" s="27" t="inlineStr">
        <is>
          <t>Persoalan Tes #3: Ulang simbol bintang "*" sebanyak angka rating di sel C37 (4) menggunakan fungsi REPT!</t>
        </is>
      </c>
    </row>
    <row r="37">
      <c r="B37" s="19" t="inlineStr">
        <is>
          <t>Gudang Blok A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4</v>
      </c>
      <c r="E38" s="28" t="n"/>
      <c r="F38" s="29">
        <f>IF(ISBLANK(E38), "⏳ Belum Diisi (Ketik Rumus di Sel Kuning E38)", IF(E38='99_KUNCI_JAWABAN'!F142,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5</v>
      </c>
    </row>
    <row r="40">
      <c r="B40" s="19" t="inlineStr">
        <is>
          <t>Gudang Blok D</t>
        </is>
      </c>
      <c r="C40" s="19" t="n">
        <v>2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Karyawan</t>
        </is>
      </c>
      <c r="C44" s="14" t="inlineStr">
        <is>
          <t>Rating Bintang</t>
        </is>
      </c>
      <c r="E44" s="27" t="inlineStr">
        <is>
          <t>Persoalan Tes #4: Ulang simbol bintang "*" sebanyak angka rating di sel C45 (5) menggunakan fungsi REPT!</t>
        </is>
      </c>
    </row>
    <row r="45">
      <c r="B45" s="19" t="inlineStr">
        <is>
          <t>Toko Elektronik</t>
        </is>
      </c>
      <c r="C45" s="19" t="n">
        <v>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4</v>
      </c>
      <c r="E46" s="28" t="n"/>
      <c r="F46" s="29">
        <f>IF(ISBLANK(E46), "⏳ Belum Diisi (Ketik Rumus di Sel Kuning E46)", IF(E46='99_KUNCI_JAWABAN'!F143,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5</v>
      </c>
    </row>
    <row r="48">
      <c r="B48" s="19" t="inlineStr">
        <is>
          <t>Toko Servis</t>
        </is>
      </c>
      <c r="C48" s="19" t="n">
        <v>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Karyawan</t>
        </is>
      </c>
      <c r="C52" s="14" t="inlineStr">
        <is>
          <t>Rating Bintang</t>
        </is>
      </c>
      <c r="E52" s="27" t="inlineStr">
        <is>
          <t>Persoalan Tes #5: Ulang simbol bintang "*" sebanyak angka rating di sel C53 (6) menggunakan fungsi REPT!</t>
        </is>
      </c>
    </row>
    <row r="53">
      <c r="B53" s="19" t="inlineStr">
        <is>
          <t>Kelas 10 IPA</t>
        </is>
      </c>
      <c r="C53" s="19" t="n">
        <v>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4</v>
      </c>
      <c r="E54" s="28" t="n"/>
      <c r="F54" s="29">
        <f>IF(ISBLANK(E54), "⏳ Belum Diisi (Ketik Rumus di Sel Kuning E54)", IF(E54='99_KUNCI_JAWABAN'!F144,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5</v>
      </c>
    </row>
    <row r="56">
      <c r="B56" s="19" t="inlineStr">
        <is>
          <t>Kelas Unggulan</t>
        </is>
      </c>
      <c r="C56" s="19" t="n">
        <v>2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#029 — RUMUS EXCEL: VALUE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(VALUE)</t>
        </is>
      </c>
    </row>
    <row r="5" ht="21" customHeight="1">
      <c r="B5" s="14" t="inlineStr">
        <is>
          <t>Nama Rumus Excel</t>
        </is>
      </c>
      <c r="C5" s="15">
        <f>VALUE(...)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VALUE(teks_angka)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Mengubah angka yang berstatus 'Teks' (biasanya rata kiri dan tidak bisa di-SUM) kembali menjadi Angka Murni yang bisa dihitung!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VALUE DI SINI)</t>
        </is>
      </c>
    </row>
    <row r="10">
      <c r="B10" s="18" t="inlineStr">
        <is>
          <t>Item</t>
        </is>
      </c>
      <c r="C10" s="18" t="inlineStr">
        <is>
          <t>Teks Angka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inlineStr">
        <is>
          <t>3250</t>
        </is>
      </c>
      <c r="E11" s="20" t="inlineStr">
        <is>
          <t>Contoh Soal:</t>
        </is>
      </c>
      <c r="F11" s="21" t="inlineStr">
        <is>
          <t>Konversikan teks angka pada sel C11 menjadi tipe data angka murni menggunakan fungsi VALUE!</t>
        </is>
      </c>
      <c r="G11" s="5" t="n"/>
    </row>
    <row r="12">
      <c r="B12" s="19" t="inlineStr">
        <is>
          <t>Simulasi Unit B</t>
        </is>
      </c>
      <c r="C12" s="19" t="inlineStr">
        <is>
          <t>2500</t>
        </is>
      </c>
      <c r="E12" s="20" t="inlineStr">
        <is>
          <t>Contoh Rumus Benar:</t>
        </is>
      </c>
      <c r="F12" s="22" t="inlineStr">
        <is>
          <t>'=VALUE(C11)</t>
        </is>
      </c>
      <c r="G12" s="5" t="n"/>
    </row>
    <row r="13">
      <c r="B13" s="19" t="inlineStr">
        <is>
          <t>Simulasi Unit C</t>
        </is>
      </c>
      <c r="C13" s="19" t="inlineStr">
        <is>
          <t>3500</t>
        </is>
      </c>
      <c r="E13" s="20" t="inlineStr">
        <is>
          <t>Contoh Hasil Benar:</t>
        </is>
      </c>
      <c r="F13" s="23">
        <f>VALUE(C11)</f>
        <v/>
      </c>
      <c r="G13" s="5" t="n"/>
    </row>
    <row r="14">
      <c r="B14" s="19" t="inlineStr">
        <is>
          <t>Simulasi Unit D</t>
        </is>
      </c>
      <c r="C14" s="19" t="inlineStr">
        <is>
          <t>4500</t>
        </is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Item</t>
        </is>
      </c>
      <c r="C20" s="14" t="inlineStr">
        <is>
          <t>Teks Angka</t>
        </is>
      </c>
      <c r="E20" s="27" t="inlineStr">
        <is>
          <t>Persoalan Tes #1: Konversikan teks angka pada sel C21 menjadi tipe data angka murni menggunakan fungsi VALUE!</t>
        </is>
      </c>
    </row>
    <row r="21">
      <c r="B21" s="19" t="inlineStr">
        <is>
          <t>Cabang Jakarta</t>
        </is>
      </c>
      <c r="C21" s="19" t="inlineStr">
        <is>
          <t>1500</t>
        </is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>
        <is>
          <t>2500</t>
        </is>
      </c>
      <c r="E22" s="28" t="n"/>
      <c r="F22" s="29">
        <f>IF(ISBLANK(E22), "⏳ Belum Diisi (Ketik Rumus di Sel Kuning E22)", IF(E22='99_KUNCI_JAWABAN'!F145,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inlineStr">
        <is>
          <t>3500</t>
        </is>
      </c>
    </row>
    <row r="24">
      <c r="B24" s="19" t="inlineStr">
        <is>
          <t>Cabang Medan</t>
        </is>
      </c>
      <c r="C24" s="19" t="inlineStr">
        <is>
          <t>4500</t>
        </is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Item</t>
        </is>
      </c>
      <c r="C28" s="14" t="inlineStr">
        <is>
          <t>Teks Angka</t>
        </is>
      </c>
      <c r="E28" s="27" t="inlineStr">
        <is>
          <t>Persoalan Tes #2: Konversikan teks angka pada sel C29 menjadi tipe data angka murni menggunakan fungsi VALUE!</t>
        </is>
      </c>
    </row>
    <row r="29">
      <c r="B29" s="19" t="inlineStr">
        <is>
          <t>Budi Santoso</t>
        </is>
      </c>
      <c r="C29" s="19" t="inlineStr">
        <is>
          <t>1850</t>
        </is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>
        <is>
          <t>2500</t>
        </is>
      </c>
      <c r="E30" s="28" t="n"/>
      <c r="F30" s="29">
        <f>IF(ISBLANK(E30), "⏳ Belum Diisi (Ketik Rumus di Sel Kuning E30)", IF(E30='99_KUNCI_JAWABAN'!F146,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inlineStr">
        <is>
          <t>3500</t>
        </is>
      </c>
    </row>
    <row r="32">
      <c r="B32" s="19" t="inlineStr">
        <is>
          <t>Rina Wijaya</t>
        </is>
      </c>
      <c r="C32" s="19" t="inlineStr">
        <is>
          <t>4500</t>
        </is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Item</t>
        </is>
      </c>
      <c r="C36" s="14" t="inlineStr">
        <is>
          <t>Teks Angka</t>
        </is>
      </c>
      <c r="E36" s="27" t="inlineStr">
        <is>
          <t>Persoalan Tes #3: Konversikan teks angka pada sel C37 menjadi tipe data angka murni menggunakan fungsi VALUE!</t>
        </is>
      </c>
    </row>
    <row r="37">
      <c r="B37" s="19" t="inlineStr">
        <is>
          <t>Gudang Blok A</t>
        </is>
      </c>
      <c r="C37" s="19" t="inlineStr">
        <is>
          <t>2200</t>
        </is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>
        <is>
          <t>2500</t>
        </is>
      </c>
      <c r="E38" s="28" t="n"/>
      <c r="F38" s="29">
        <f>IF(ISBLANK(E38), "⏳ Belum Diisi (Ketik Rumus di Sel Kuning E38)", IF(E38='99_KUNCI_JAWABAN'!F147,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inlineStr">
        <is>
          <t>3500</t>
        </is>
      </c>
    </row>
    <row r="40">
      <c r="B40" s="19" t="inlineStr">
        <is>
          <t>Gudang Blok D</t>
        </is>
      </c>
      <c r="C40" s="19" t="inlineStr">
        <is>
          <t>4500</t>
        </is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Item</t>
        </is>
      </c>
      <c r="C44" s="14" t="inlineStr">
        <is>
          <t>Teks Angka</t>
        </is>
      </c>
      <c r="E44" s="27" t="inlineStr">
        <is>
          <t>Persoalan Tes #4: Konversikan teks angka pada sel C45 menjadi tipe data angka murni menggunakan fungsi VALUE!</t>
        </is>
      </c>
    </row>
    <row r="45">
      <c r="B45" s="19" t="inlineStr">
        <is>
          <t>Toko Elektronik</t>
        </is>
      </c>
      <c r="C45" s="19" t="inlineStr">
        <is>
          <t>2550</t>
        </is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>
        <is>
          <t>2500</t>
        </is>
      </c>
      <c r="E46" s="28" t="n"/>
      <c r="F46" s="29">
        <f>IF(ISBLANK(E46), "⏳ Belum Diisi (Ketik Rumus di Sel Kuning E46)", IF(E46='99_KUNCI_JAWABAN'!F148,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inlineStr">
        <is>
          <t>3500</t>
        </is>
      </c>
    </row>
    <row r="48">
      <c r="B48" s="19" t="inlineStr">
        <is>
          <t>Toko Servis</t>
        </is>
      </c>
      <c r="C48" s="19" t="inlineStr">
        <is>
          <t>4500</t>
        </is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Item</t>
        </is>
      </c>
      <c r="C52" s="14" t="inlineStr">
        <is>
          <t>Teks Angka</t>
        </is>
      </c>
      <c r="E52" s="27" t="inlineStr">
        <is>
          <t>Persoalan Tes #5: Konversikan teks angka pada sel C53 menjadi tipe data angka murni menggunakan fungsi VALUE!</t>
        </is>
      </c>
    </row>
    <row r="53">
      <c r="B53" s="19" t="inlineStr">
        <is>
          <t>Kelas 10 IPA</t>
        </is>
      </c>
      <c r="C53" s="19" t="inlineStr">
        <is>
          <t>2900</t>
        </is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>
        <is>
          <t>2500</t>
        </is>
      </c>
      <c r="E54" s="28" t="n"/>
      <c r="F54" s="29">
        <f>IF(ISBLANK(E54), "⏳ Belum Diisi (Ketik Rumus di Sel Kuning E54)", IF(E54='99_KUNCI_JAWABAN'!F149,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inlineStr">
        <is>
          <t>3500</t>
        </is>
      </c>
    </row>
    <row r="56">
      <c r="B56" s="19" t="inlineStr">
        <is>
          <t>Kelas Unggulan</t>
        </is>
      </c>
      <c r="C56" s="19" t="inlineStr">
        <is>
          <t>4500</t>
        </is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#030 — RUMUS EXCEL: TEXT   |   Kategori: 4. Pengolahan Teks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(TEXT)</t>
        </is>
      </c>
    </row>
    <row r="5" ht="21" customHeight="1">
      <c r="B5" s="14" t="inlineStr">
        <is>
          <t>Nama Rumus Excel</t>
        </is>
      </c>
      <c r="C5" s="15">
        <f>TEXT(...)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TEXT(nilai, format_tampilan)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Mengubah angka atau tanggal menjadi teks dengan format tampilan cantik sesuai keinginan (misal "#,##0").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TEXT DI SINI)</t>
        </is>
      </c>
    </row>
    <row r="10">
      <c r="B10" s="18" t="inlineStr">
        <is>
          <t>Pegawai</t>
        </is>
      </c>
      <c r="C10" s="18" t="inlineStr">
        <is>
          <t>Gaji Pokok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2750000</v>
      </c>
      <c r="E11" s="20" t="inlineStr">
        <is>
          <t>Contoh Soal:</t>
        </is>
      </c>
      <c r="F11" s="21" t="inlineStr">
        <is>
          <t>Format nilai angka di sel C11 ke dalam pola ribuan "#,##0" menggunakan fungsi TEXT!</t>
        </is>
      </c>
      <c r="G11" s="5" t="n"/>
    </row>
    <row r="12">
      <c r="B12" s="19" t="inlineStr">
        <is>
          <t>Simulasi Unit B</t>
        </is>
      </c>
      <c r="C12" s="19" t="n">
        <v>2500000</v>
      </c>
      <c r="E12" s="20" t="inlineStr">
        <is>
          <t>Contoh Rumus Benar:</t>
        </is>
      </c>
      <c r="F12" s="22" t="inlineStr">
        <is>
          <t>'=TEXT(C11, "#,##0")</t>
        </is>
      </c>
      <c r="G12" s="5" t="n"/>
    </row>
    <row r="13">
      <c r="B13" s="19" t="inlineStr">
        <is>
          <t>Simulasi Unit C</t>
        </is>
      </c>
      <c r="C13" s="19" t="n">
        <v>3200000</v>
      </c>
      <c r="E13" s="20" t="inlineStr">
        <is>
          <t>Contoh Hasil Benar:</t>
        </is>
      </c>
      <c r="F13" s="23">
        <f>TEXT(C11, "#,##0")</f>
        <v/>
      </c>
      <c r="G13" s="5" t="n"/>
    </row>
    <row r="14">
      <c r="B14" s="19" t="inlineStr">
        <is>
          <t>Simulasi Unit D</t>
        </is>
      </c>
      <c r="C14" s="19" t="n">
        <v>4100000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Pegawai</t>
        </is>
      </c>
      <c r="C20" s="14" t="inlineStr">
        <is>
          <t>Gaji Pokok</t>
        </is>
      </c>
      <c r="E20" s="27" t="inlineStr">
        <is>
          <t>Persoalan Tes #1: Format nilai angka di sel C21 ke dalam pola ribuan "#,##0" menggunakan fungsi TEXT!</t>
        </is>
      </c>
    </row>
    <row r="21">
      <c r="B21" s="19" t="inlineStr">
        <is>
          <t>Cabang Jakarta</t>
        </is>
      </c>
      <c r="C21" s="19" t="n">
        <v>1500000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2500000</v>
      </c>
      <c r="E22" s="28" t="n"/>
      <c r="F22" s="29">
        <f>IF(ISBLANK(E22), "⏳ Belum Diisi (Ketik Rumus di Sel Kuning E22)", IF(E22='99_KUNCI_JAWABAN'!F150,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3200000</v>
      </c>
    </row>
    <row r="24">
      <c r="B24" s="19" t="inlineStr">
        <is>
          <t>Cabang Medan</t>
        </is>
      </c>
      <c r="C24" s="19" t="n">
        <v>4100000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Pegawai</t>
        </is>
      </c>
      <c r="C28" s="14" t="inlineStr">
        <is>
          <t>Gaji Pokok</t>
        </is>
      </c>
      <c r="E28" s="27" t="inlineStr">
        <is>
          <t>Persoalan Tes #2: Format nilai angka di sel C29 ke dalam pola ribuan "#,##0" menggunakan fungsi TEXT!</t>
        </is>
      </c>
    </row>
    <row r="29">
      <c r="B29" s="19" t="inlineStr">
        <is>
          <t>Budi Santoso</t>
        </is>
      </c>
      <c r="C29" s="19" t="n">
        <v>1750000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2500000</v>
      </c>
      <c r="E30" s="28" t="n"/>
      <c r="F30" s="29">
        <f>IF(ISBLANK(E30), "⏳ Belum Diisi (Ketik Rumus di Sel Kuning E30)", IF(E30='99_KUNCI_JAWABAN'!F151,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3200000</v>
      </c>
    </row>
    <row r="32">
      <c r="B32" s="19" t="inlineStr">
        <is>
          <t>Rina Wijaya</t>
        </is>
      </c>
      <c r="C32" s="19" t="n">
        <v>4100000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Pegawai</t>
        </is>
      </c>
      <c r="C36" s="14" t="inlineStr">
        <is>
          <t>Gaji Pokok</t>
        </is>
      </c>
      <c r="E36" s="27" t="inlineStr">
        <is>
          <t>Persoalan Tes #3: Format nilai angka di sel C37 ke dalam pola ribuan "#,##0" menggunakan fungsi TEXT!</t>
        </is>
      </c>
    </row>
    <row r="37">
      <c r="B37" s="19" t="inlineStr">
        <is>
          <t>Gudang Blok A</t>
        </is>
      </c>
      <c r="C37" s="19" t="n">
        <v>2000000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2500000</v>
      </c>
      <c r="E38" s="28" t="n"/>
      <c r="F38" s="29">
        <f>IF(ISBLANK(E38), "⏳ Belum Diisi (Ketik Rumus di Sel Kuning E38)", IF(E38='99_KUNCI_JAWABAN'!F152,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3200000</v>
      </c>
    </row>
    <row r="40">
      <c r="B40" s="19" t="inlineStr">
        <is>
          <t>Gudang Blok D</t>
        </is>
      </c>
      <c r="C40" s="19" t="n">
        <v>4100000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Pegawai</t>
        </is>
      </c>
      <c r="C44" s="14" t="inlineStr">
        <is>
          <t>Gaji Pokok</t>
        </is>
      </c>
      <c r="E44" s="27" t="inlineStr">
        <is>
          <t>Persoalan Tes #4: Format nilai angka di sel C45 ke dalam pola ribuan "#,##0" menggunakan fungsi TEXT!</t>
        </is>
      </c>
    </row>
    <row r="45">
      <c r="B45" s="19" t="inlineStr">
        <is>
          <t>Toko Elektronik</t>
        </is>
      </c>
      <c r="C45" s="19" t="n">
        <v>2250000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2500000</v>
      </c>
      <c r="E46" s="28" t="n"/>
      <c r="F46" s="29">
        <f>IF(ISBLANK(E46), "⏳ Belum Diisi (Ketik Rumus di Sel Kuning E46)", IF(E46='99_KUNCI_JAWABAN'!F153,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3200000</v>
      </c>
    </row>
    <row r="48">
      <c r="B48" s="19" t="inlineStr">
        <is>
          <t>Toko Servis</t>
        </is>
      </c>
      <c r="C48" s="19" t="n">
        <v>4100000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Pegawai</t>
        </is>
      </c>
      <c r="C52" s="14" t="inlineStr">
        <is>
          <t>Gaji Pokok</t>
        </is>
      </c>
      <c r="E52" s="27" t="inlineStr">
        <is>
          <t>Persoalan Tes #5: Format nilai angka di sel C53 ke dalam pola ribuan "#,##0" menggunakan fungsi TEXT!</t>
        </is>
      </c>
    </row>
    <row r="53">
      <c r="B53" s="19" t="inlineStr">
        <is>
          <t>Kelas 10 IPA</t>
        </is>
      </c>
      <c r="C53" s="19" t="n">
        <v>2500000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2500000</v>
      </c>
      <c r="E54" s="28" t="n"/>
      <c r="F54" s="29">
        <f>IF(ISBLANK(E54), "⏳ Belum Diisi (Ketik Rumus di Sel Kuning E54)", IF(E54='99_KUNCI_JAWABAN'!F154,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3200000</v>
      </c>
    </row>
    <row r="56">
      <c r="B56" s="19" t="inlineStr">
        <is>
          <t>Kelas Unggulan</t>
        </is>
      </c>
      <c r="C56" s="19" t="n">
        <v>4100000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#031 — RUMUS EXCEL: DATE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(DATE)</t>
        </is>
      </c>
    </row>
    <row r="5" ht="21" customHeight="1">
      <c r="B5" s="14" t="inlineStr">
        <is>
          <t>Nama Rumus Excel</t>
        </is>
      </c>
      <c r="C5" s="15">
        <f>DATE(...)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DATE(tahun, bulan, tanggal)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Merakit 3 angka terpisah (Tahun, Bulan, Hari) menjadi satu Tanggal Resmi Excel yang valid!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DATE DI SINI)</t>
        </is>
      </c>
    </row>
    <row r="10">
      <c r="B10" s="18" t="inlineStr">
        <is>
          <t>Tahun (B)</t>
        </is>
      </c>
      <c r="C10" s="18" t="inlineStr">
        <is>
          <t>Bulan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2026</v>
      </c>
      <c r="C11" s="19" t="n">
        <v>6</v>
      </c>
      <c r="E11" s="20" t="inlineStr">
        <is>
          <t>Contoh Soal:</t>
        </is>
      </c>
      <c r="F11" s="21" t="inlineStr">
        <is>
          <t>Susun tanggal resmi dari angka Tahun di B11, angka Bulan di C11, dan hari ke-15 menggunakan fungsi DATE!</t>
        </is>
      </c>
      <c r="G11" s="5" t="n"/>
    </row>
    <row r="12">
      <c r="B12" s="19" t="n">
        <v>2025</v>
      </c>
      <c r="C12" s="19" t="n">
        <v>6</v>
      </c>
      <c r="E12" s="20" t="inlineStr">
        <is>
          <t>Contoh Rumus Benar:</t>
        </is>
      </c>
      <c r="F12" s="22" t="inlineStr">
        <is>
          <t>'=DATE(B11, C11, 15)</t>
        </is>
      </c>
      <c r="G12" s="5" t="n"/>
    </row>
    <row r="13">
      <c r="B13" s="19" t="n">
        <v>2024</v>
      </c>
      <c r="C13" s="19" t="n">
        <v>8</v>
      </c>
      <c r="E13" s="20" t="inlineStr">
        <is>
          <t>Contoh Hasil Benar:</t>
        </is>
      </c>
      <c r="F13" s="23">
        <f>DATE(B11, C11, 15)</f>
        <v/>
      </c>
      <c r="G13" s="5" t="n"/>
    </row>
    <row r="14">
      <c r="B14" s="19" t="n">
        <v>2023</v>
      </c>
      <c r="C14" s="19" t="n">
        <v>12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Tahun (B)</t>
        </is>
      </c>
      <c r="C20" s="14" t="inlineStr">
        <is>
          <t>Bulan (C)</t>
        </is>
      </c>
      <c r="E20" s="27" t="inlineStr">
        <is>
          <t>Persoalan Tes #1: Susun tanggal resmi dari angka Tahun di B21, angka Bulan di C21, dan hari ke-15 menggunakan fungsi DATE!</t>
        </is>
      </c>
    </row>
    <row r="21">
      <c r="B21" s="19" t="n">
        <v>2021</v>
      </c>
      <c r="C21" s="19" t="n">
        <v>1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2025</v>
      </c>
      <c r="C22" s="19" t="n">
        <v>6</v>
      </c>
      <c r="E22" s="28" t="n"/>
      <c r="F22" s="29">
        <f>IF(ISBLANK(E22), "⏳ Belum Diisi (Ketik Rumus di Sel Kuning E22)", IF(E22='99_KUNCI_JAWABAN'!F155, "✅ BENAR! JAWABAN TES TEPAT!", "❌ Belum Tepat (Cek Sheet Akhir: 99_KUNCI_JAWABAN)"))</f>
        <v/>
      </c>
      <c r="G22" s="5" t="n"/>
    </row>
    <row r="23">
      <c r="B23" s="19" t="n">
        <v>2024</v>
      </c>
      <c r="C23" s="19" t="n">
        <v>8</v>
      </c>
    </row>
    <row r="24">
      <c r="B24" s="19" t="n">
        <v>2023</v>
      </c>
      <c r="C24" s="19" t="n">
        <v>12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Tahun (B)</t>
        </is>
      </c>
      <c r="C28" s="14" t="inlineStr">
        <is>
          <t>Bulan (C)</t>
        </is>
      </c>
      <c r="E28" s="27" t="inlineStr">
        <is>
          <t>Persoalan Tes #2: Susun tanggal resmi dari angka Tahun di B29, angka Bulan di C29, dan hari ke-15 menggunakan fungsi DATE!</t>
        </is>
      </c>
    </row>
    <row r="29">
      <c r="B29" s="19" t="n">
        <v>2022</v>
      </c>
      <c r="C29" s="19" t="n">
        <v>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2025</v>
      </c>
      <c r="C30" s="19" t="n">
        <v>6</v>
      </c>
      <c r="E30" s="28" t="n"/>
      <c r="F30" s="29">
        <f>IF(ISBLANK(E30), "⏳ Belum Diisi (Ketik Rumus di Sel Kuning E30)", IF(E30='99_KUNCI_JAWABAN'!F156, "✅ BENAR! JAWABAN TES TEPAT!", "❌ Belum Tepat (Cek Sheet Akhir: 99_KUNCI_JAWABAN)"))</f>
        <v/>
      </c>
      <c r="G30" s="5" t="n"/>
    </row>
    <row r="31">
      <c r="B31" s="19" t="n">
        <v>2024</v>
      </c>
      <c r="C31" s="19" t="n">
        <v>8</v>
      </c>
    </row>
    <row r="32">
      <c r="B32" s="19" t="n">
        <v>2023</v>
      </c>
      <c r="C32" s="19" t="n">
        <v>12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Tahun (B)</t>
        </is>
      </c>
      <c r="C36" s="14" t="inlineStr">
        <is>
          <t>Bulan (C)</t>
        </is>
      </c>
      <c r="E36" s="27" t="inlineStr">
        <is>
          <t>Persoalan Tes #3: Susun tanggal resmi dari angka Tahun di B37, angka Bulan di C37, dan hari ke-15 menggunakan fungsi DATE!</t>
        </is>
      </c>
    </row>
    <row r="37">
      <c r="B37" s="19" t="n">
        <v>2023</v>
      </c>
      <c r="C37" s="19" t="n">
        <v>3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2025</v>
      </c>
      <c r="C38" s="19" t="n">
        <v>6</v>
      </c>
      <c r="E38" s="28" t="n"/>
      <c r="F38" s="29">
        <f>IF(ISBLANK(E38), "⏳ Belum Diisi (Ketik Rumus di Sel Kuning E38)", IF(E38='99_KUNCI_JAWABAN'!F157, "✅ BENAR! JAWABAN TES TEPAT!", "❌ Belum Tepat (Cek Sheet Akhir: 99_KUNCI_JAWABAN)"))</f>
        <v/>
      </c>
      <c r="G38" s="5" t="n"/>
    </row>
    <row r="39">
      <c r="B39" s="19" t="n">
        <v>2024</v>
      </c>
      <c r="C39" s="19" t="n">
        <v>8</v>
      </c>
    </row>
    <row r="40">
      <c r="B40" s="19" t="n">
        <v>2023</v>
      </c>
      <c r="C40" s="19" t="n">
        <v>12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Tahun (B)</t>
        </is>
      </c>
      <c r="C44" s="14" t="inlineStr">
        <is>
          <t>Bulan (C)</t>
        </is>
      </c>
      <c r="E44" s="27" t="inlineStr">
        <is>
          <t>Persoalan Tes #4: Susun tanggal resmi dari angka Tahun di B45, angka Bulan di C45, dan hari ke-15 menggunakan fungsi DATE!</t>
        </is>
      </c>
    </row>
    <row r="45">
      <c r="B45" s="19" t="n">
        <v>2024</v>
      </c>
      <c r="C45" s="19" t="n">
        <v>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2025</v>
      </c>
      <c r="C46" s="19" t="n">
        <v>6</v>
      </c>
      <c r="E46" s="28" t="n"/>
      <c r="F46" s="29">
        <f>IF(ISBLANK(E46), "⏳ Belum Diisi (Ketik Rumus di Sel Kuning E46)", IF(E46='99_KUNCI_JAWABAN'!F158, "✅ BENAR! JAWABAN TES TEPAT!", "❌ Belum Tepat (Cek Sheet Akhir: 99_KUNCI_JAWABAN)"))</f>
        <v/>
      </c>
      <c r="G46" s="5" t="n"/>
    </row>
    <row r="47">
      <c r="B47" s="19" t="n">
        <v>2024</v>
      </c>
      <c r="C47" s="19" t="n">
        <v>8</v>
      </c>
    </row>
    <row r="48">
      <c r="B48" s="19" t="n">
        <v>2023</v>
      </c>
      <c r="C48" s="19" t="n">
        <v>12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Tahun (B)</t>
        </is>
      </c>
      <c r="C52" s="14" t="inlineStr">
        <is>
          <t>Bulan (C)</t>
        </is>
      </c>
      <c r="E52" s="27" t="inlineStr">
        <is>
          <t>Persoalan Tes #5: Susun tanggal resmi dari angka Tahun di B53, angka Bulan di C53, dan hari ke-15 menggunakan fungsi DATE!</t>
        </is>
      </c>
    </row>
    <row r="53">
      <c r="B53" s="19" t="n">
        <v>2025</v>
      </c>
      <c r="C53" s="19" t="n">
        <v>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2025</v>
      </c>
      <c r="C54" s="19" t="n">
        <v>6</v>
      </c>
      <c r="E54" s="28" t="n"/>
      <c r="F54" s="29">
        <f>IF(ISBLANK(E54), "⏳ Belum Diisi (Ketik Rumus di Sel Kuning E54)", IF(E54='99_KUNCI_JAWABAN'!F159, "✅ BENAR! JAWABAN TES TEPAT!", "❌ Belum Tepat (Cek Sheet Akhir: 99_KUNCI_JAWABAN)"))</f>
        <v/>
      </c>
      <c r="G54" s="5" t="n"/>
    </row>
    <row r="55">
      <c r="B55" s="19" t="n">
        <v>2024</v>
      </c>
      <c r="C55" s="19" t="n">
        <v>8</v>
      </c>
    </row>
    <row r="56">
      <c r="B56" s="19" t="n">
        <v>2023</v>
      </c>
      <c r="C56" s="19" t="n">
        <v>12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#032 — RUMUS EXCEL: YEAR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(YEAR)</t>
        </is>
      </c>
    </row>
    <row r="5" ht="21" customHeight="1">
      <c r="B5" s="14" t="inlineStr">
        <is>
          <t>Nama Rumus Excel</t>
        </is>
      </c>
      <c r="C5" s="15">
        <f>YEAR(...)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YEAR(tanggal)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Mengambil angka TAHUN (4 digit, misal 2026) dari sebuah sel tanggal.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YEAR DI SINI)</t>
        </is>
      </c>
    </row>
    <row r="10">
      <c r="B10" s="18" t="inlineStr">
        <is>
          <t>Agenda Kantor</t>
        </is>
      </c>
      <c r="C10" s="18" t="inlineStr">
        <is>
          <t>Tanggal Kegiatan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0" t="n">
        <v>46188</v>
      </c>
      <c r="E11" s="20" t="inlineStr">
        <is>
          <t>Contoh Soal:</t>
        </is>
      </c>
      <c r="F11" s="21" t="inlineStr">
        <is>
          <t>Ambil nilai YEAR dari tanggal kegiatan di sel C11 menggunakan fungsi YEAR!</t>
        </is>
      </c>
      <c r="G11" s="5" t="n"/>
    </row>
    <row r="12">
      <c r="B12" s="19" t="inlineStr">
        <is>
          <t>Simulasi Unit B</t>
        </is>
      </c>
      <c r="C12" s="30" t="n">
        <v>46193</v>
      </c>
      <c r="E12" s="20" t="inlineStr">
        <is>
          <t>Contoh Rumus Benar:</t>
        </is>
      </c>
      <c r="F12" s="22" t="inlineStr">
        <is>
          <t>'=YEAR(C11)</t>
        </is>
      </c>
      <c r="G12" s="5" t="n"/>
    </row>
    <row r="13">
      <c r="B13" s="19" t="inlineStr">
        <is>
          <t>Simulasi Unit C</t>
        </is>
      </c>
      <c r="C13" s="30" t="n">
        <v>46251</v>
      </c>
      <c r="E13" s="20" t="inlineStr">
        <is>
          <t>Contoh Hasil Benar:</t>
        </is>
      </c>
      <c r="F13" s="23">
        <f>YEAR(C11)</f>
        <v/>
      </c>
      <c r="G13" s="5" t="n"/>
    </row>
    <row r="14">
      <c r="B14" s="19" t="inlineStr">
        <is>
          <t>Simulasi Unit D</t>
        </is>
      </c>
      <c r="C14" s="30" t="n">
        <v>46381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Agenda Kantor</t>
        </is>
      </c>
      <c r="C20" s="14" t="inlineStr">
        <is>
          <t>Tanggal Kegiatan</t>
        </is>
      </c>
      <c r="E20" s="27" t="inlineStr">
        <is>
          <t>Persoalan Tes #1: Ambil nilai YEAR dari tanggal kegiatan di sel C21 menggunakan fungsi YEAR!</t>
        </is>
      </c>
    </row>
    <row r="21">
      <c r="B21" s="19" t="inlineStr">
        <is>
          <t>Cabang Jakarta</t>
        </is>
      </c>
      <c r="C21" s="30" t="n">
        <v>46032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0" t="n">
        <v>46193</v>
      </c>
      <c r="E22" s="28" t="n"/>
      <c r="F22" s="29">
        <f>IF(ISBLANK(E22), "⏳ Belum Diisi (Ketik Rumus di Sel Kuning E22)", IF(E22='99_KUNCI_JAWABAN'!F160,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0" t="n">
        <v>46251</v>
      </c>
    </row>
    <row r="24">
      <c r="B24" s="19" t="inlineStr">
        <is>
          <t>Cabang Medan</t>
        </is>
      </c>
      <c r="C24" s="30" t="n">
        <v>46381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Agenda Kantor</t>
        </is>
      </c>
      <c r="C28" s="14" t="inlineStr">
        <is>
          <t>Tanggal Kegiatan</t>
        </is>
      </c>
      <c r="E28" s="27" t="inlineStr">
        <is>
          <t>Persoalan Tes #2: Ambil nilai YEAR dari tanggal kegiatan di sel C29 menggunakan fungsi YEAR!</t>
        </is>
      </c>
    </row>
    <row r="29">
      <c r="B29" s="19" t="inlineStr">
        <is>
          <t>Budi Santoso</t>
        </is>
      </c>
      <c r="C29" s="30" t="n">
        <v>46064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0" t="n">
        <v>46193</v>
      </c>
      <c r="E30" s="28" t="n"/>
      <c r="F30" s="29">
        <f>IF(ISBLANK(E30), "⏳ Belum Diisi (Ketik Rumus di Sel Kuning E30)", IF(E30='99_KUNCI_JAWABAN'!F161,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0" t="n">
        <v>46251</v>
      </c>
    </row>
    <row r="32">
      <c r="B32" s="19" t="inlineStr">
        <is>
          <t>Rina Wijaya</t>
        </is>
      </c>
      <c r="C32" s="30" t="n">
        <v>46381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Agenda Kantor</t>
        </is>
      </c>
      <c r="C36" s="14" t="inlineStr">
        <is>
          <t>Tanggal Kegiatan</t>
        </is>
      </c>
      <c r="E36" s="27" t="inlineStr">
        <is>
          <t>Persoalan Tes #3: Ambil nilai YEAR dari tanggal kegiatan di sel C37 menggunakan fungsi YEAR!</t>
        </is>
      </c>
    </row>
    <row r="37">
      <c r="B37" s="19" t="inlineStr">
        <is>
          <t>Gudang Blok A</t>
        </is>
      </c>
      <c r="C37" s="30" t="n">
        <v>46093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0" t="n">
        <v>46193</v>
      </c>
      <c r="E38" s="28" t="n"/>
      <c r="F38" s="29">
        <f>IF(ISBLANK(E38), "⏳ Belum Diisi (Ketik Rumus di Sel Kuning E38)", IF(E38='99_KUNCI_JAWABAN'!F162,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0" t="n">
        <v>46251</v>
      </c>
    </row>
    <row r="40">
      <c r="B40" s="19" t="inlineStr">
        <is>
          <t>Gudang Blok D</t>
        </is>
      </c>
      <c r="C40" s="30" t="n">
        <v>46381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Agenda Kantor</t>
        </is>
      </c>
      <c r="C44" s="14" t="inlineStr">
        <is>
          <t>Tanggal Kegiatan</t>
        </is>
      </c>
      <c r="E44" s="27" t="inlineStr">
        <is>
          <t>Persoalan Tes #4: Ambil nilai YEAR dari tanggal kegiatan di sel C45 menggunakan fungsi YEAR!</t>
        </is>
      </c>
    </row>
    <row r="45">
      <c r="B45" s="19" t="inlineStr">
        <is>
          <t>Toko Elektronik</t>
        </is>
      </c>
      <c r="C45" s="30" t="n">
        <v>46125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0" t="n">
        <v>46193</v>
      </c>
      <c r="E46" s="28" t="n"/>
      <c r="F46" s="29">
        <f>IF(ISBLANK(E46), "⏳ Belum Diisi (Ketik Rumus di Sel Kuning E46)", IF(E46='99_KUNCI_JAWABAN'!F163,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0" t="n">
        <v>46251</v>
      </c>
    </row>
    <row r="48">
      <c r="B48" s="19" t="inlineStr">
        <is>
          <t>Toko Servis</t>
        </is>
      </c>
      <c r="C48" s="30" t="n">
        <v>46381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Agenda Kantor</t>
        </is>
      </c>
      <c r="C52" s="14" t="inlineStr">
        <is>
          <t>Tanggal Kegiatan</t>
        </is>
      </c>
      <c r="E52" s="27" t="inlineStr">
        <is>
          <t>Persoalan Tes #5: Ambil nilai YEAR dari tanggal kegiatan di sel C53 menggunakan fungsi YEAR!</t>
        </is>
      </c>
    </row>
    <row r="53">
      <c r="B53" s="19" t="inlineStr">
        <is>
          <t>Kelas 10 IPA</t>
        </is>
      </c>
      <c r="C53" s="30" t="n">
        <v>46156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0" t="n">
        <v>46193</v>
      </c>
      <c r="E54" s="28" t="n"/>
      <c r="F54" s="29">
        <f>IF(ISBLANK(E54), "⏳ Belum Diisi (Ketik Rumus di Sel Kuning E54)", IF(E54='99_KUNCI_JAWABAN'!F164,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0" t="n">
        <v>46251</v>
      </c>
    </row>
    <row r="56">
      <c r="B56" s="19" t="inlineStr">
        <is>
          <t>Kelas Unggulan</t>
        </is>
      </c>
      <c r="C56" s="30" t="n">
        <v>46381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#033 — RUMUS EXCEL: MONTH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(MONTH)</t>
        </is>
      </c>
    </row>
    <row r="5" ht="21" customHeight="1">
      <c r="B5" s="14" t="inlineStr">
        <is>
          <t>Nama Rumus Excel</t>
        </is>
      </c>
      <c r="C5" s="15">
        <f>MONTH(...)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MONTH(tanggal)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Mengambil angka BULAN (1 sampai 12) dari sebuah sel tanggal.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MONTH DI SINI)</t>
        </is>
      </c>
    </row>
    <row r="10">
      <c r="B10" s="18" t="inlineStr">
        <is>
          <t>Agenda Kantor</t>
        </is>
      </c>
      <c r="C10" s="18" t="inlineStr">
        <is>
          <t>Tanggal Kegiatan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0" t="n">
        <v>46188</v>
      </c>
      <c r="E11" s="20" t="inlineStr">
        <is>
          <t>Contoh Soal:</t>
        </is>
      </c>
      <c r="F11" s="21" t="inlineStr">
        <is>
          <t>Ambil nilai MONTH dari tanggal kegiatan di sel C11 menggunakan fungsi MONTH!</t>
        </is>
      </c>
      <c r="G11" s="5" t="n"/>
    </row>
    <row r="12">
      <c r="B12" s="19" t="inlineStr">
        <is>
          <t>Simulasi Unit B</t>
        </is>
      </c>
      <c r="C12" s="30" t="n">
        <v>46193</v>
      </c>
      <c r="E12" s="20" t="inlineStr">
        <is>
          <t>Contoh Rumus Benar:</t>
        </is>
      </c>
      <c r="F12" s="22" t="inlineStr">
        <is>
          <t>'=MONTH(C11)</t>
        </is>
      </c>
      <c r="G12" s="5" t="n"/>
    </row>
    <row r="13">
      <c r="B13" s="19" t="inlineStr">
        <is>
          <t>Simulasi Unit C</t>
        </is>
      </c>
      <c r="C13" s="30" t="n">
        <v>46251</v>
      </c>
      <c r="E13" s="20" t="inlineStr">
        <is>
          <t>Contoh Hasil Benar:</t>
        </is>
      </c>
      <c r="F13" s="23">
        <f>MONTH(C11)</f>
        <v/>
      </c>
      <c r="G13" s="5" t="n"/>
    </row>
    <row r="14">
      <c r="B14" s="19" t="inlineStr">
        <is>
          <t>Simulasi Unit D</t>
        </is>
      </c>
      <c r="C14" s="30" t="n">
        <v>46381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Agenda Kantor</t>
        </is>
      </c>
      <c r="C20" s="14" t="inlineStr">
        <is>
          <t>Tanggal Kegiatan</t>
        </is>
      </c>
      <c r="E20" s="27" t="inlineStr">
        <is>
          <t>Persoalan Tes #1: Ambil nilai MONTH dari tanggal kegiatan di sel C21 menggunakan fungsi MONTH!</t>
        </is>
      </c>
    </row>
    <row r="21">
      <c r="B21" s="19" t="inlineStr">
        <is>
          <t>Cabang Jakarta</t>
        </is>
      </c>
      <c r="C21" s="30" t="n">
        <v>46032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0" t="n">
        <v>46193</v>
      </c>
      <c r="E22" s="28" t="n"/>
      <c r="F22" s="29">
        <f>IF(ISBLANK(E22), "⏳ Belum Diisi (Ketik Rumus di Sel Kuning E22)", IF(E22='99_KUNCI_JAWABAN'!F165,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0" t="n">
        <v>46251</v>
      </c>
    </row>
    <row r="24">
      <c r="B24" s="19" t="inlineStr">
        <is>
          <t>Cabang Medan</t>
        </is>
      </c>
      <c r="C24" s="30" t="n">
        <v>46381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Agenda Kantor</t>
        </is>
      </c>
      <c r="C28" s="14" t="inlineStr">
        <is>
          <t>Tanggal Kegiatan</t>
        </is>
      </c>
      <c r="E28" s="27" t="inlineStr">
        <is>
          <t>Persoalan Tes #2: Ambil nilai MONTH dari tanggal kegiatan di sel C29 menggunakan fungsi MONTH!</t>
        </is>
      </c>
    </row>
    <row r="29">
      <c r="B29" s="19" t="inlineStr">
        <is>
          <t>Budi Santoso</t>
        </is>
      </c>
      <c r="C29" s="30" t="n">
        <v>46064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0" t="n">
        <v>46193</v>
      </c>
      <c r="E30" s="28" t="n"/>
      <c r="F30" s="29">
        <f>IF(ISBLANK(E30), "⏳ Belum Diisi (Ketik Rumus di Sel Kuning E30)", IF(E30='99_KUNCI_JAWABAN'!F166,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0" t="n">
        <v>46251</v>
      </c>
    </row>
    <row r="32">
      <c r="B32" s="19" t="inlineStr">
        <is>
          <t>Rina Wijaya</t>
        </is>
      </c>
      <c r="C32" s="30" t="n">
        <v>46381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Agenda Kantor</t>
        </is>
      </c>
      <c r="C36" s="14" t="inlineStr">
        <is>
          <t>Tanggal Kegiatan</t>
        </is>
      </c>
      <c r="E36" s="27" t="inlineStr">
        <is>
          <t>Persoalan Tes #3: Ambil nilai MONTH dari tanggal kegiatan di sel C37 menggunakan fungsi MONTH!</t>
        </is>
      </c>
    </row>
    <row r="37">
      <c r="B37" s="19" t="inlineStr">
        <is>
          <t>Gudang Blok A</t>
        </is>
      </c>
      <c r="C37" s="30" t="n">
        <v>46093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0" t="n">
        <v>46193</v>
      </c>
      <c r="E38" s="28" t="n"/>
      <c r="F38" s="29">
        <f>IF(ISBLANK(E38), "⏳ Belum Diisi (Ketik Rumus di Sel Kuning E38)", IF(E38='99_KUNCI_JAWABAN'!F167,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0" t="n">
        <v>46251</v>
      </c>
    </row>
    <row r="40">
      <c r="B40" s="19" t="inlineStr">
        <is>
          <t>Gudang Blok D</t>
        </is>
      </c>
      <c r="C40" s="30" t="n">
        <v>46381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Agenda Kantor</t>
        </is>
      </c>
      <c r="C44" s="14" t="inlineStr">
        <is>
          <t>Tanggal Kegiatan</t>
        </is>
      </c>
      <c r="E44" s="27" t="inlineStr">
        <is>
          <t>Persoalan Tes #4: Ambil nilai MONTH dari tanggal kegiatan di sel C45 menggunakan fungsi MONTH!</t>
        </is>
      </c>
    </row>
    <row r="45">
      <c r="B45" s="19" t="inlineStr">
        <is>
          <t>Toko Elektronik</t>
        </is>
      </c>
      <c r="C45" s="30" t="n">
        <v>46125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0" t="n">
        <v>46193</v>
      </c>
      <c r="E46" s="28" t="n"/>
      <c r="F46" s="29">
        <f>IF(ISBLANK(E46), "⏳ Belum Diisi (Ketik Rumus di Sel Kuning E46)", IF(E46='99_KUNCI_JAWABAN'!F168,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0" t="n">
        <v>46251</v>
      </c>
    </row>
    <row r="48">
      <c r="B48" s="19" t="inlineStr">
        <is>
          <t>Toko Servis</t>
        </is>
      </c>
      <c r="C48" s="30" t="n">
        <v>46381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Agenda Kantor</t>
        </is>
      </c>
      <c r="C52" s="14" t="inlineStr">
        <is>
          <t>Tanggal Kegiatan</t>
        </is>
      </c>
      <c r="E52" s="27" t="inlineStr">
        <is>
          <t>Persoalan Tes #5: Ambil nilai MONTH dari tanggal kegiatan di sel C53 menggunakan fungsi MONTH!</t>
        </is>
      </c>
    </row>
    <row r="53">
      <c r="B53" s="19" t="inlineStr">
        <is>
          <t>Kelas 10 IPA</t>
        </is>
      </c>
      <c r="C53" s="30" t="n">
        <v>46156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0" t="n">
        <v>46193</v>
      </c>
      <c r="E54" s="28" t="n"/>
      <c r="F54" s="29">
        <f>IF(ISBLANK(E54), "⏳ Belum Diisi (Ketik Rumus di Sel Kuning E54)", IF(E54='99_KUNCI_JAWABAN'!F169,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0" t="n">
        <v>46251</v>
      </c>
    </row>
    <row r="56">
      <c r="B56" s="19" t="inlineStr">
        <is>
          <t>Kelas Unggulan</t>
        </is>
      </c>
      <c r="C56" s="30" t="n">
        <v>46381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#034 — RUMUS EXCEL: DAY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(DAY)</t>
        </is>
      </c>
    </row>
    <row r="5" ht="21" customHeight="1">
      <c r="B5" s="14" t="inlineStr">
        <is>
          <t>Nama Rumus Excel</t>
        </is>
      </c>
      <c r="C5" s="15">
        <f>DAY(...)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DAY(tanggal)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Mengambil angka HARI/TANGGAL (1 sampai 31) dari sebuah sel tanggal.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DAY DI SINI)</t>
        </is>
      </c>
    </row>
    <row r="10">
      <c r="B10" s="18" t="inlineStr">
        <is>
          <t>Agenda Kantor</t>
        </is>
      </c>
      <c r="C10" s="18" t="inlineStr">
        <is>
          <t>Tanggal Kegiatan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0" t="n">
        <v>46188</v>
      </c>
      <c r="E11" s="20" t="inlineStr">
        <is>
          <t>Contoh Soal:</t>
        </is>
      </c>
      <c r="F11" s="21" t="inlineStr">
        <is>
          <t>Ambil nilai DAY dari tanggal kegiatan di sel C11 menggunakan fungsi DAY!</t>
        </is>
      </c>
      <c r="G11" s="5" t="n"/>
    </row>
    <row r="12">
      <c r="B12" s="19" t="inlineStr">
        <is>
          <t>Simulasi Unit B</t>
        </is>
      </c>
      <c r="C12" s="30" t="n">
        <v>46193</v>
      </c>
      <c r="E12" s="20" t="inlineStr">
        <is>
          <t>Contoh Rumus Benar:</t>
        </is>
      </c>
      <c r="F12" s="22" t="inlineStr">
        <is>
          <t>'=DAY(C11)</t>
        </is>
      </c>
      <c r="G12" s="5" t="n"/>
    </row>
    <row r="13">
      <c r="B13" s="19" t="inlineStr">
        <is>
          <t>Simulasi Unit C</t>
        </is>
      </c>
      <c r="C13" s="30" t="n">
        <v>46251</v>
      </c>
      <c r="E13" s="20" t="inlineStr">
        <is>
          <t>Contoh Hasil Benar:</t>
        </is>
      </c>
      <c r="F13" s="23">
        <f>DAY(C11)</f>
        <v/>
      </c>
      <c r="G13" s="5" t="n"/>
    </row>
    <row r="14">
      <c r="B14" s="19" t="inlineStr">
        <is>
          <t>Simulasi Unit D</t>
        </is>
      </c>
      <c r="C14" s="30" t="n">
        <v>46381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Agenda Kantor</t>
        </is>
      </c>
      <c r="C20" s="14" t="inlineStr">
        <is>
          <t>Tanggal Kegiatan</t>
        </is>
      </c>
      <c r="E20" s="27" t="inlineStr">
        <is>
          <t>Persoalan Tes #1: Ambil nilai DAY dari tanggal kegiatan di sel C21 menggunakan fungsi DAY!</t>
        </is>
      </c>
    </row>
    <row r="21">
      <c r="B21" s="19" t="inlineStr">
        <is>
          <t>Cabang Jakarta</t>
        </is>
      </c>
      <c r="C21" s="30" t="n">
        <v>46032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0" t="n">
        <v>46193</v>
      </c>
      <c r="E22" s="28" t="n"/>
      <c r="F22" s="29">
        <f>IF(ISBLANK(E22), "⏳ Belum Diisi (Ketik Rumus di Sel Kuning E22)", IF(E22='99_KUNCI_JAWABAN'!F170,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0" t="n">
        <v>46251</v>
      </c>
    </row>
    <row r="24">
      <c r="B24" s="19" t="inlineStr">
        <is>
          <t>Cabang Medan</t>
        </is>
      </c>
      <c r="C24" s="30" t="n">
        <v>46381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Agenda Kantor</t>
        </is>
      </c>
      <c r="C28" s="14" t="inlineStr">
        <is>
          <t>Tanggal Kegiatan</t>
        </is>
      </c>
      <c r="E28" s="27" t="inlineStr">
        <is>
          <t>Persoalan Tes #2: Ambil nilai DAY dari tanggal kegiatan di sel C29 menggunakan fungsi DAY!</t>
        </is>
      </c>
    </row>
    <row r="29">
      <c r="B29" s="19" t="inlineStr">
        <is>
          <t>Budi Santoso</t>
        </is>
      </c>
      <c r="C29" s="30" t="n">
        <v>46064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0" t="n">
        <v>46193</v>
      </c>
      <c r="E30" s="28" t="n"/>
      <c r="F30" s="29">
        <f>IF(ISBLANK(E30), "⏳ Belum Diisi (Ketik Rumus di Sel Kuning E30)", IF(E30='99_KUNCI_JAWABAN'!F171,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0" t="n">
        <v>46251</v>
      </c>
    </row>
    <row r="32">
      <c r="B32" s="19" t="inlineStr">
        <is>
          <t>Rina Wijaya</t>
        </is>
      </c>
      <c r="C32" s="30" t="n">
        <v>46381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Agenda Kantor</t>
        </is>
      </c>
      <c r="C36" s="14" t="inlineStr">
        <is>
          <t>Tanggal Kegiatan</t>
        </is>
      </c>
      <c r="E36" s="27" t="inlineStr">
        <is>
          <t>Persoalan Tes #3: Ambil nilai DAY dari tanggal kegiatan di sel C37 menggunakan fungsi DAY!</t>
        </is>
      </c>
    </row>
    <row r="37">
      <c r="B37" s="19" t="inlineStr">
        <is>
          <t>Gudang Blok A</t>
        </is>
      </c>
      <c r="C37" s="30" t="n">
        <v>46093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0" t="n">
        <v>46193</v>
      </c>
      <c r="E38" s="28" t="n"/>
      <c r="F38" s="29">
        <f>IF(ISBLANK(E38), "⏳ Belum Diisi (Ketik Rumus di Sel Kuning E38)", IF(E38='99_KUNCI_JAWABAN'!F172,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0" t="n">
        <v>46251</v>
      </c>
    </row>
    <row r="40">
      <c r="B40" s="19" t="inlineStr">
        <is>
          <t>Gudang Blok D</t>
        </is>
      </c>
      <c r="C40" s="30" t="n">
        <v>46381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Agenda Kantor</t>
        </is>
      </c>
      <c r="C44" s="14" t="inlineStr">
        <is>
          <t>Tanggal Kegiatan</t>
        </is>
      </c>
      <c r="E44" s="27" t="inlineStr">
        <is>
          <t>Persoalan Tes #4: Ambil nilai DAY dari tanggal kegiatan di sel C45 menggunakan fungsi DAY!</t>
        </is>
      </c>
    </row>
    <row r="45">
      <c r="B45" s="19" t="inlineStr">
        <is>
          <t>Toko Elektronik</t>
        </is>
      </c>
      <c r="C45" s="30" t="n">
        <v>46125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0" t="n">
        <v>46193</v>
      </c>
      <c r="E46" s="28" t="n"/>
      <c r="F46" s="29">
        <f>IF(ISBLANK(E46), "⏳ Belum Diisi (Ketik Rumus di Sel Kuning E46)", IF(E46='99_KUNCI_JAWABAN'!F173,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0" t="n">
        <v>46251</v>
      </c>
    </row>
    <row r="48">
      <c r="B48" s="19" t="inlineStr">
        <is>
          <t>Toko Servis</t>
        </is>
      </c>
      <c r="C48" s="30" t="n">
        <v>46381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Agenda Kantor</t>
        </is>
      </c>
      <c r="C52" s="14" t="inlineStr">
        <is>
          <t>Tanggal Kegiatan</t>
        </is>
      </c>
      <c r="E52" s="27" t="inlineStr">
        <is>
          <t>Persoalan Tes #5: Ambil nilai DAY dari tanggal kegiatan di sel C53 menggunakan fungsi DAY!</t>
        </is>
      </c>
    </row>
    <row r="53">
      <c r="B53" s="19" t="inlineStr">
        <is>
          <t>Kelas 10 IPA</t>
        </is>
      </c>
      <c r="C53" s="30" t="n">
        <v>46156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0" t="n">
        <v>46193</v>
      </c>
      <c r="E54" s="28" t="n"/>
      <c r="F54" s="29">
        <f>IF(ISBLANK(E54), "⏳ Belum Diisi (Ketik Rumus di Sel Kuning E54)", IF(E54='99_KUNCI_JAWABAN'!F174,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0" t="n">
        <v>46251</v>
      </c>
    </row>
    <row r="56">
      <c r="B56" s="19" t="inlineStr">
        <is>
          <t>Kelas Unggulan</t>
        </is>
      </c>
      <c r="C56" s="30" t="n">
        <v>46381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#035 — RUMUS EXCEL: DAYS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(DAYS)</t>
        </is>
      </c>
    </row>
    <row r="5" ht="21" customHeight="1">
      <c r="B5" s="14" t="inlineStr">
        <is>
          <t>Nama Rumus Excel</t>
        </is>
      </c>
      <c r="C5" s="15">
        <f>DAYS(...)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DAYS(tanggal_akhir, tanggal_awal)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jumlah hari selisih antara Tanggal Akhir dan Tanggal Awal (misal lama keterlambatan proyek).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DAYS DI SINI)</t>
        </is>
      </c>
    </row>
    <row r="10">
      <c r="B10" s="18" t="inlineStr">
        <is>
          <t>Tanggal Awal (B)</t>
        </is>
      </c>
      <c r="C10" s="18" t="inlineStr">
        <is>
          <t>Tanggal Akhir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30" t="n">
        <v>46032</v>
      </c>
      <c r="C11" s="30" t="n">
        <v>46223</v>
      </c>
      <c r="E11" s="20" t="inlineStr">
        <is>
          <t>Contoh Soal:</t>
        </is>
      </c>
      <c r="F11" s="21" t="inlineStr">
        <is>
          <t>Hitung selisih hari dengan menempatkan Tanggal Akhir (C11) lalu Tanggal Awal (B11) menggunakan fungsi DAYS!</t>
        </is>
      </c>
      <c r="G11" s="5" t="n"/>
    </row>
    <row r="12">
      <c r="B12" s="30" t="n">
        <v>46054</v>
      </c>
      <c r="C12" s="30" t="n">
        <v>46096</v>
      </c>
      <c r="E12" s="20" t="inlineStr">
        <is>
          <t>Contoh Rumus Benar:</t>
        </is>
      </c>
      <c r="F12" s="22" t="inlineStr">
        <is>
          <t>'=DAYS(C11, B11)</t>
        </is>
      </c>
      <c r="G12" s="5" t="n"/>
    </row>
    <row r="13">
      <c r="B13" s="30" t="n">
        <v>46113</v>
      </c>
      <c r="C13" s="30" t="n">
        <v>46162</v>
      </c>
      <c r="E13" s="20" t="inlineStr">
        <is>
          <t>Contoh Hasil Benar:</t>
        </is>
      </c>
      <c r="F13" s="23">
        <f>DAYS(C11, B11)</f>
        <v/>
      </c>
      <c r="G13" s="5" t="n"/>
    </row>
    <row r="14">
      <c r="B14" s="30" t="n">
        <v>46174</v>
      </c>
      <c r="C14" s="30" t="n">
        <v>46244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Tanggal Awal (B)</t>
        </is>
      </c>
      <c r="C20" s="14" t="inlineStr">
        <is>
          <t>Tanggal Akhir (C)</t>
        </is>
      </c>
      <c r="E20" s="27" t="inlineStr">
        <is>
          <t>Persoalan Tes #1: Hitung selisih hari dengan menempatkan Tanggal Akhir (C21) lalu Tanggal Awal (B21) menggunakan fungsi DAYS!</t>
        </is>
      </c>
    </row>
    <row r="21">
      <c r="B21" s="30" t="n">
        <v>46032</v>
      </c>
      <c r="C21" s="30" t="n">
        <v>46073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30" t="n">
        <v>46054</v>
      </c>
      <c r="C22" s="30" t="n">
        <v>46096</v>
      </c>
      <c r="E22" s="28" t="n"/>
      <c r="F22" s="29">
        <f>IF(ISBLANK(E22), "⏳ Belum Diisi (Ketik Rumus di Sel Kuning E22)", IF(E22='99_KUNCI_JAWABAN'!F175, "✅ BENAR! JAWABAN TES TEPAT!", "❌ Belum Tepat (Cek Sheet Akhir: 99_KUNCI_JAWABAN)"))</f>
        <v/>
      </c>
      <c r="G22" s="5" t="n"/>
    </row>
    <row r="23">
      <c r="B23" s="30" t="n">
        <v>46113</v>
      </c>
      <c r="C23" s="30" t="n">
        <v>46162</v>
      </c>
    </row>
    <row r="24">
      <c r="B24" s="30" t="n">
        <v>46174</v>
      </c>
      <c r="C24" s="30" t="n">
        <v>46244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Tanggal Awal (B)</t>
        </is>
      </c>
      <c r="C28" s="14" t="inlineStr">
        <is>
          <t>Tanggal Akhir (C)</t>
        </is>
      </c>
      <c r="E28" s="27" t="inlineStr">
        <is>
          <t>Persoalan Tes #2: Hitung selisih hari dengan menempatkan Tanggal Akhir (C29) lalu Tanggal Awal (B29) menggunakan fungsi DAYS!</t>
        </is>
      </c>
    </row>
    <row r="29">
      <c r="B29" s="30" t="n">
        <v>46032</v>
      </c>
      <c r="C29" s="30" t="n">
        <v>46101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30" t="n">
        <v>46054</v>
      </c>
      <c r="C30" s="30" t="n">
        <v>46096</v>
      </c>
      <c r="E30" s="28" t="n"/>
      <c r="F30" s="29">
        <f>IF(ISBLANK(E30), "⏳ Belum Diisi (Ketik Rumus di Sel Kuning E30)", IF(E30='99_KUNCI_JAWABAN'!F176, "✅ BENAR! JAWABAN TES TEPAT!", "❌ Belum Tepat (Cek Sheet Akhir: 99_KUNCI_JAWABAN)"))</f>
        <v/>
      </c>
      <c r="G30" s="5" t="n"/>
    </row>
    <row r="31">
      <c r="B31" s="30" t="n">
        <v>46113</v>
      </c>
      <c r="C31" s="30" t="n">
        <v>46162</v>
      </c>
    </row>
    <row r="32">
      <c r="B32" s="30" t="n">
        <v>46174</v>
      </c>
      <c r="C32" s="30" t="n">
        <v>46244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Tanggal Awal (B)</t>
        </is>
      </c>
      <c r="C36" s="14" t="inlineStr">
        <is>
          <t>Tanggal Akhir (C)</t>
        </is>
      </c>
      <c r="E36" s="27" t="inlineStr">
        <is>
          <t>Persoalan Tes #3: Hitung selisih hari dengan menempatkan Tanggal Akhir (C37) lalu Tanggal Awal (B37) menggunakan fungsi DAYS!</t>
        </is>
      </c>
    </row>
    <row r="37">
      <c r="B37" s="30" t="n">
        <v>46032</v>
      </c>
      <c r="C37" s="30" t="n">
        <v>46132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30" t="n">
        <v>46054</v>
      </c>
      <c r="C38" s="30" t="n">
        <v>46096</v>
      </c>
      <c r="E38" s="28" t="n"/>
      <c r="F38" s="29">
        <f>IF(ISBLANK(E38), "⏳ Belum Diisi (Ketik Rumus di Sel Kuning E38)", IF(E38='99_KUNCI_JAWABAN'!F177, "✅ BENAR! JAWABAN TES TEPAT!", "❌ Belum Tepat (Cek Sheet Akhir: 99_KUNCI_JAWABAN)"))</f>
        <v/>
      </c>
      <c r="G38" s="5" t="n"/>
    </row>
    <row r="39">
      <c r="B39" s="30" t="n">
        <v>46113</v>
      </c>
      <c r="C39" s="30" t="n">
        <v>46162</v>
      </c>
    </row>
    <row r="40">
      <c r="B40" s="30" t="n">
        <v>46174</v>
      </c>
      <c r="C40" s="30" t="n">
        <v>46244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Tanggal Awal (B)</t>
        </is>
      </c>
      <c r="C44" s="14" t="inlineStr">
        <is>
          <t>Tanggal Akhir (C)</t>
        </is>
      </c>
      <c r="E44" s="27" t="inlineStr">
        <is>
          <t>Persoalan Tes #4: Hitung selisih hari dengan menempatkan Tanggal Akhir (C45) lalu Tanggal Awal (B45) menggunakan fungsi DAYS!</t>
        </is>
      </c>
    </row>
    <row r="45">
      <c r="B45" s="30" t="n">
        <v>46032</v>
      </c>
      <c r="C45" s="30" t="n">
        <v>46162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30" t="n">
        <v>46054</v>
      </c>
      <c r="C46" s="30" t="n">
        <v>46096</v>
      </c>
      <c r="E46" s="28" t="n"/>
      <c r="F46" s="29">
        <f>IF(ISBLANK(E46), "⏳ Belum Diisi (Ketik Rumus di Sel Kuning E46)", IF(E46='99_KUNCI_JAWABAN'!F178, "✅ BENAR! JAWABAN TES TEPAT!", "❌ Belum Tepat (Cek Sheet Akhir: 99_KUNCI_JAWABAN)"))</f>
        <v/>
      </c>
      <c r="G46" s="5" t="n"/>
    </row>
    <row r="47">
      <c r="B47" s="30" t="n">
        <v>46113</v>
      </c>
      <c r="C47" s="30" t="n">
        <v>46162</v>
      </c>
    </row>
    <row r="48">
      <c r="B48" s="30" t="n">
        <v>46174</v>
      </c>
      <c r="C48" s="30" t="n">
        <v>46244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Tanggal Awal (B)</t>
        </is>
      </c>
      <c r="C52" s="14" t="inlineStr">
        <is>
          <t>Tanggal Akhir (C)</t>
        </is>
      </c>
      <c r="E52" s="27" t="inlineStr">
        <is>
          <t>Persoalan Tes #5: Hitung selisih hari dengan menempatkan Tanggal Akhir (C53) lalu Tanggal Awal (B53) menggunakan fungsi DAYS!</t>
        </is>
      </c>
    </row>
    <row r="53">
      <c r="B53" s="30" t="n">
        <v>46032</v>
      </c>
      <c r="C53" s="30" t="n">
        <v>46193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30" t="n">
        <v>46054</v>
      </c>
      <c r="C54" s="30" t="n">
        <v>46096</v>
      </c>
      <c r="E54" s="28" t="n"/>
      <c r="F54" s="29">
        <f>IF(ISBLANK(E54), "⏳ Belum Diisi (Ketik Rumus di Sel Kuning E54)", IF(E54='99_KUNCI_JAWABAN'!F179, "✅ BENAR! JAWABAN TES TEPAT!", "❌ Belum Tepat (Cek Sheet Akhir: 99_KUNCI_JAWABAN)"))</f>
        <v/>
      </c>
      <c r="G54" s="5" t="n"/>
    </row>
    <row r="55">
      <c r="B55" s="30" t="n">
        <v>46113</v>
      </c>
      <c r="C55" s="30" t="n">
        <v>46162</v>
      </c>
    </row>
    <row r="56">
      <c r="B56" s="30" t="n">
        <v>46174</v>
      </c>
      <c r="C56" s="30" t="n">
        <v>46244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#036 — RUMUS EXCEL: DATEDIF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(DATEDIF)</t>
        </is>
      </c>
    </row>
    <row r="5" ht="21" customHeight="1">
      <c r="B5" s="14" t="inlineStr">
        <is>
          <t>Nama Rumus Excel</t>
        </is>
      </c>
      <c r="C5" s="15">
        <f>DATEDIF(...)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DATEDIF(tanggal_awal, tanggal_akhir, satuan)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Rumus legendaris HRD untuk menghitung Umur atau Masa Kerja karyawan dalam Tahun ("Y"), Bulan ("M"), atau Hari ("D").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DATEDIF DI SINI)</t>
        </is>
      </c>
    </row>
    <row r="10">
      <c r="B10" s="18" t="inlineStr">
        <is>
          <t>Tanggal Awal (B)</t>
        </is>
      </c>
      <c r="C10" s="18" t="inlineStr">
        <is>
          <t>Tanggal Akhir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30" t="n">
        <v>46032</v>
      </c>
      <c r="C11" s="30" t="n">
        <v>46223</v>
      </c>
      <c r="E11" s="20" t="inlineStr">
        <is>
          <t>Contoh Soal:</t>
        </is>
      </c>
      <c r="F11" s="21" t="inlineStr">
        <is>
          <t>Hitung selisih hari (satuan "D") dari Tanggal Awal B11 hingga Tanggal Akhir C11 menggunakan fungsi DATEDIF!</t>
        </is>
      </c>
      <c r="G11" s="5" t="n"/>
    </row>
    <row r="12">
      <c r="B12" s="30" t="n">
        <v>46054</v>
      </c>
      <c r="C12" s="30" t="n">
        <v>46096</v>
      </c>
      <c r="E12" s="20" t="inlineStr">
        <is>
          <t>Contoh Rumus Benar:</t>
        </is>
      </c>
      <c r="F12" s="22" t="inlineStr">
        <is>
          <t>'=DATEDIF(B11, C11, "D")</t>
        </is>
      </c>
      <c r="G12" s="5" t="n"/>
    </row>
    <row r="13">
      <c r="B13" s="30" t="n">
        <v>46113</v>
      </c>
      <c r="C13" s="30" t="n">
        <v>46162</v>
      </c>
      <c r="E13" s="20" t="inlineStr">
        <is>
          <t>Contoh Hasil Benar:</t>
        </is>
      </c>
      <c r="F13" s="23">
        <f>DATEDIF(B11, C11, "D")</f>
        <v/>
      </c>
      <c r="G13" s="5" t="n"/>
    </row>
    <row r="14">
      <c r="B14" s="30" t="n">
        <v>46174</v>
      </c>
      <c r="C14" s="30" t="n">
        <v>46244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Tanggal Awal (B)</t>
        </is>
      </c>
      <c r="C20" s="14" t="inlineStr">
        <is>
          <t>Tanggal Akhir (C)</t>
        </is>
      </c>
      <c r="E20" s="27" t="inlineStr">
        <is>
          <t>Persoalan Tes #1: Hitung selisih hari (satuan "D") dari Tanggal Awal B21 hingga Tanggal Akhir C21 menggunakan fungsi DATEDIF!</t>
        </is>
      </c>
    </row>
    <row r="21">
      <c r="B21" s="30" t="n">
        <v>46032</v>
      </c>
      <c r="C21" s="30" t="n">
        <v>46073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30" t="n">
        <v>46054</v>
      </c>
      <c r="C22" s="30" t="n">
        <v>46096</v>
      </c>
      <c r="E22" s="28" t="n"/>
      <c r="F22" s="29">
        <f>IF(ISBLANK(E22), "⏳ Belum Diisi (Ketik Rumus di Sel Kuning E22)", IF(E22='99_KUNCI_JAWABAN'!F180, "✅ BENAR! JAWABAN TES TEPAT!", "❌ Belum Tepat (Cek Sheet Akhir: 99_KUNCI_JAWABAN)"))</f>
        <v/>
      </c>
      <c r="G22" s="5" t="n"/>
    </row>
    <row r="23">
      <c r="B23" s="30" t="n">
        <v>46113</v>
      </c>
      <c r="C23" s="30" t="n">
        <v>46162</v>
      </c>
    </row>
    <row r="24">
      <c r="B24" s="30" t="n">
        <v>46174</v>
      </c>
      <c r="C24" s="30" t="n">
        <v>46244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Tanggal Awal (B)</t>
        </is>
      </c>
      <c r="C28" s="14" t="inlineStr">
        <is>
          <t>Tanggal Akhir (C)</t>
        </is>
      </c>
      <c r="E28" s="27" t="inlineStr">
        <is>
          <t>Persoalan Tes #2: Hitung selisih hari (satuan "D") dari Tanggal Awal B29 hingga Tanggal Akhir C29 menggunakan fungsi DATEDIF!</t>
        </is>
      </c>
    </row>
    <row r="29">
      <c r="B29" s="30" t="n">
        <v>46032</v>
      </c>
      <c r="C29" s="30" t="n">
        <v>46101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30" t="n">
        <v>46054</v>
      </c>
      <c r="C30" s="30" t="n">
        <v>46096</v>
      </c>
      <c r="E30" s="28" t="n"/>
      <c r="F30" s="29">
        <f>IF(ISBLANK(E30), "⏳ Belum Diisi (Ketik Rumus di Sel Kuning E30)", IF(E30='99_KUNCI_JAWABAN'!F181, "✅ BENAR! JAWABAN TES TEPAT!", "❌ Belum Tepat (Cek Sheet Akhir: 99_KUNCI_JAWABAN)"))</f>
        <v/>
      </c>
      <c r="G30" s="5" t="n"/>
    </row>
    <row r="31">
      <c r="B31" s="30" t="n">
        <v>46113</v>
      </c>
      <c r="C31" s="30" t="n">
        <v>46162</v>
      </c>
    </row>
    <row r="32">
      <c r="B32" s="30" t="n">
        <v>46174</v>
      </c>
      <c r="C32" s="30" t="n">
        <v>46244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Tanggal Awal (B)</t>
        </is>
      </c>
      <c r="C36" s="14" t="inlineStr">
        <is>
          <t>Tanggal Akhir (C)</t>
        </is>
      </c>
      <c r="E36" s="27" t="inlineStr">
        <is>
          <t>Persoalan Tes #3: Hitung selisih hari (satuan "D") dari Tanggal Awal B37 hingga Tanggal Akhir C37 menggunakan fungsi DATEDIF!</t>
        </is>
      </c>
    </row>
    <row r="37">
      <c r="B37" s="30" t="n">
        <v>46032</v>
      </c>
      <c r="C37" s="30" t="n">
        <v>46132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30" t="n">
        <v>46054</v>
      </c>
      <c r="C38" s="30" t="n">
        <v>46096</v>
      </c>
      <c r="E38" s="28" t="n"/>
      <c r="F38" s="29">
        <f>IF(ISBLANK(E38), "⏳ Belum Diisi (Ketik Rumus di Sel Kuning E38)", IF(E38='99_KUNCI_JAWABAN'!F182, "✅ BENAR! JAWABAN TES TEPAT!", "❌ Belum Tepat (Cek Sheet Akhir: 99_KUNCI_JAWABAN)"))</f>
        <v/>
      </c>
      <c r="G38" s="5" t="n"/>
    </row>
    <row r="39">
      <c r="B39" s="30" t="n">
        <v>46113</v>
      </c>
      <c r="C39" s="30" t="n">
        <v>46162</v>
      </c>
    </row>
    <row r="40">
      <c r="B40" s="30" t="n">
        <v>46174</v>
      </c>
      <c r="C40" s="30" t="n">
        <v>46244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Tanggal Awal (B)</t>
        </is>
      </c>
      <c r="C44" s="14" t="inlineStr">
        <is>
          <t>Tanggal Akhir (C)</t>
        </is>
      </c>
      <c r="E44" s="27" t="inlineStr">
        <is>
          <t>Persoalan Tes #4: Hitung selisih hari (satuan "D") dari Tanggal Awal B45 hingga Tanggal Akhir C45 menggunakan fungsi DATEDIF!</t>
        </is>
      </c>
    </row>
    <row r="45">
      <c r="B45" s="30" t="n">
        <v>46032</v>
      </c>
      <c r="C45" s="30" t="n">
        <v>46162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30" t="n">
        <v>46054</v>
      </c>
      <c r="C46" s="30" t="n">
        <v>46096</v>
      </c>
      <c r="E46" s="28" t="n"/>
      <c r="F46" s="29">
        <f>IF(ISBLANK(E46), "⏳ Belum Diisi (Ketik Rumus di Sel Kuning E46)", IF(E46='99_KUNCI_JAWABAN'!F183, "✅ BENAR! JAWABAN TES TEPAT!", "❌ Belum Tepat (Cek Sheet Akhir: 99_KUNCI_JAWABAN)"))</f>
        <v/>
      </c>
      <c r="G46" s="5" t="n"/>
    </row>
    <row r="47">
      <c r="B47" s="30" t="n">
        <v>46113</v>
      </c>
      <c r="C47" s="30" t="n">
        <v>46162</v>
      </c>
    </row>
    <row r="48">
      <c r="B48" s="30" t="n">
        <v>46174</v>
      </c>
      <c r="C48" s="30" t="n">
        <v>46244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Tanggal Awal (B)</t>
        </is>
      </c>
      <c r="C52" s="14" t="inlineStr">
        <is>
          <t>Tanggal Akhir (C)</t>
        </is>
      </c>
      <c r="E52" s="27" t="inlineStr">
        <is>
          <t>Persoalan Tes #5: Hitung selisih hari (satuan "D") dari Tanggal Awal B53 hingga Tanggal Akhir C53 menggunakan fungsi DATEDIF!</t>
        </is>
      </c>
    </row>
    <row r="53">
      <c r="B53" s="30" t="n">
        <v>46032</v>
      </c>
      <c r="C53" s="30" t="n">
        <v>46193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30" t="n">
        <v>46054</v>
      </c>
      <c r="C54" s="30" t="n">
        <v>46096</v>
      </c>
      <c r="E54" s="28" t="n"/>
      <c r="F54" s="29">
        <f>IF(ISBLANK(E54), "⏳ Belum Diisi (Ketik Rumus di Sel Kuning E54)", IF(E54='99_KUNCI_JAWABAN'!F184, "✅ BENAR! JAWABAN TES TEPAT!", "❌ Belum Tepat (Cek Sheet Akhir: 99_KUNCI_JAWABAN)"))</f>
        <v/>
      </c>
      <c r="G54" s="5" t="n"/>
    </row>
    <row r="55">
      <c r="B55" s="30" t="n">
        <v>46113</v>
      </c>
      <c r="C55" s="30" t="n">
        <v>46162</v>
      </c>
    </row>
    <row r="56">
      <c r="B56" s="30" t="n">
        <v>46174</v>
      </c>
      <c r="C56" s="30" t="n">
        <v>46244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#037 — RUMUS EXCEL: EDATE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(EDATE)</t>
        </is>
      </c>
    </row>
    <row r="5" ht="21" customHeight="1">
      <c r="B5" s="14" t="inlineStr">
        <is>
          <t>Nama Rumus Excel</t>
        </is>
      </c>
      <c r="C5" s="15">
        <f>EDATE(...)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EDATE(tanggal_awal, jumlah_bulan)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tanggal jatuh tempo yang berjarak sekian bulan persis dari tanggal awal (misal masa kontrak 3 bulan ke depan).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EDATE DI SINI)</t>
        </is>
      </c>
    </row>
    <row r="10">
      <c r="B10" s="18" t="inlineStr">
        <is>
          <t>Kontrak Proyek</t>
        </is>
      </c>
      <c r="C10" s="18" t="inlineStr">
        <is>
          <t>Tanggal Mulai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0" t="n">
        <v>46037</v>
      </c>
      <c r="E11" s="20" t="inlineStr">
        <is>
          <t>Contoh Soal:</t>
        </is>
      </c>
      <c r="F11" s="21" t="inlineStr">
        <is>
          <t>Tentukan tanggal hasil pergeseran dari tanggal awal di C11 sejauh 7 periode ke depan menggunakan fungsi EDATE!</t>
        </is>
      </c>
      <c r="G11" s="5" t="n"/>
    </row>
    <row r="12">
      <c r="B12" s="19" t="inlineStr">
        <is>
          <t>Simulasi Unit B</t>
        </is>
      </c>
      <c r="C12" s="30" t="n">
        <v>46091</v>
      </c>
      <c r="E12" s="20" t="inlineStr">
        <is>
          <t>Contoh Rumus Benar:</t>
        </is>
      </c>
      <c r="F12" s="22" t="inlineStr">
        <is>
          <t>'=EDATE(C11, 7)</t>
        </is>
      </c>
      <c r="G12" s="5" t="n"/>
    </row>
    <row r="13">
      <c r="B13" s="19" t="inlineStr">
        <is>
          <t>Simulasi Unit C</t>
        </is>
      </c>
      <c r="C13" s="30" t="n">
        <v>46162</v>
      </c>
      <c r="E13" s="20" t="inlineStr">
        <is>
          <t>Contoh Hasil Benar:</t>
        </is>
      </c>
      <c r="F13" s="23">
        <f>EDATE(C11, 7)</f>
        <v/>
      </c>
      <c r="G13" s="5" t="n"/>
    </row>
    <row r="14">
      <c r="B14" s="19" t="inlineStr">
        <is>
          <t>Simulasi Unit D</t>
        </is>
      </c>
      <c r="C14" s="30" t="n">
        <v>46208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Kontrak Proyek</t>
        </is>
      </c>
      <c r="C20" s="14" t="inlineStr">
        <is>
          <t>Tanggal Mulai</t>
        </is>
      </c>
      <c r="E20" s="27" t="inlineStr">
        <is>
          <t>Persoalan Tes #1: Tentukan tanggal hasil pergeseran dari tanggal awal di C21 sejauh 2 periode ke depan menggunakan fungsi EDATE!</t>
        </is>
      </c>
    </row>
    <row r="21">
      <c r="B21" s="19" t="inlineStr">
        <is>
          <t>Cabang Jakarta</t>
        </is>
      </c>
      <c r="C21" s="30" t="n">
        <v>46037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0" t="n">
        <v>46091</v>
      </c>
      <c r="E22" s="28" t="n"/>
      <c r="F22" s="29">
        <f>IF(ISBLANK(E22), "⏳ Belum Diisi (Ketik Rumus di Sel Kuning E22)", IF(E22='99_KUNCI_JAWABAN'!F185,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0" t="n">
        <v>46162</v>
      </c>
    </row>
    <row r="24">
      <c r="B24" s="19" t="inlineStr">
        <is>
          <t>Cabang Medan</t>
        </is>
      </c>
      <c r="C24" s="30" t="n">
        <v>46208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Kontrak Proyek</t>
        </is>
      </c>
      <c r="C28" s="14" t="inlineStr">
        <is>
          <t>Tanggal Mulai</t>
        </is>
      </c>
      <c r="E28" s="27" t="inlineStr">
        <is>
          <t>Persoalan Tes #2: Tentukan tanggal hasil pergeseran dari tanggal awal di C29 sejauh 3 periode ke depan menggunakan fungsi EDATE!</t>
        </is>
      </c>
    </row>
    <row r="29">
      <c r="B29" s="19" t="inlineStr">
        <is>
          <t>Budi Santoso</t>
        </is>
      </c>
      <c r="C29" s="30" t="n">
        <v>46037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0" t="n">
        <v>46091</v>
      </c>
      <c r="E30" s="28" t="n"/>
      <c r="F30" s="29">
        <f>IF(ISBLANK(E30), "⏳ Belum Diisi (Ketik Rumus di Sel Kuning E30)", IF(E30='99_KUNCI_JAWABAN'!F186,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0" t="n">
        <v>46162</v>
      </c>
    </row>
    <row r="32">
      <c r="B32" s="19" t="inlineStr">
        <is>
          <t>Rina Wijaya</t>
        </is>
      </c>
      <c r="C32" s="30" t="n">
        <v>46208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Kontrak Proyek</t>
        </is>
      </c>
      <c r="C36" s="14" t="inlineStr">
        <is>
          <t>Tanggal Mulai</t>
        </is>
      </c>
      <c r="E36" s="27" t="inlineStr">
        <is>
          <t>Persoalan Tes #3: Tentukan tanggal hasil pergeseran dari tanggal awal di C37 sejauh 4 periode ke depan menggunakan fungsi EDATE!</t>
        </is>
      </c>
    </row>
    <row r="37">
      <c r="B37" s="19" t="inlineStr">
        <is>
          <t>Gudang Blok A</t>
        </is>
      </c>
      <c r="C37" s="30" t="n">
        <v>46037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0" t="n">
        <v>46091</v>
      </c>
      <c r="E38" s="28" t="n"/>
      <c r="F38" s="29">
        <f>IF(ISBLANK(E38), "⏳ Belum Diisi (Ketik Rumus di Sel Kuning E38)", IF(E38='99_KUNCI_JAWABAN'!F187,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0" t="n">
        <v>46162</v>
      </c>
    </row>
    <row r="40">
      <c r="B40" s="19" t="inlineStr">
        <is>
          <t>Gudang Blok D</t>
        </is>
      </c>
      <c r="C40" s="30" t="n">
        <v>46208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Kontrak Proyek</t>
        </is>
      </c>
      <c r="C44" s="14" t="inlineStr">
        <is>
          <t>Tanggal Mulai</t>
        </is>
      </c>
      <c r="E44" s="27" t="inlineStr">
        <is>
          <t>Persoalan Tes #4: Tentukan tanggal hasil pergeseran dari tanggal awal di C45 sejauh 5 periode ke depan menggunakan fungsi EDATE!</t>
        </is>
      </c>
    </row>
    <row r="45">
      <c r="B45" s="19" t="inlineStr">
        <is>
          <t>Toko Elektronik</t>
        </is>
      </c>
      <c r="C45" s="30" t="n">
        <v>46037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0" t="n">
        <v>46091</v>
      </c>
      <c r="E46" s="28" t="n"/>
      <c r="F46" s="29">
        <f>IF(ISBLANK(E46), "⏳ Belum Diisi (Ketik Rumus di Sel Kuning E46)", IF(E46='99_KUNCI_JAWABAN'!F188,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0" t="n">
        <v>46162</v>
      </c>
    </row>
    <row r="48">
      <c r="B48" s="19" t="inlineStr">
        <is>
          <t>Toko Servis</t>
        </is>
      </c>
      <c r="C48" s="30" t="n">
        <v>46208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Kontrak Proyek</t>
        </is>
      </c>
      <c r="C52" s="14" t="inlineStr">
        <is>
          <t>Tanggal Mulai</t>
        </is>
      </c>
      <c r="E52" s="27" t="inlineStr">
        <is>
          <t>Persoalan Tes #5: Tentukan tanggal hasil pergeseran dari tanggal awal di C53 sejauh 6 periode ke depan menggunakan fungsi EDATE!</t>
        </is>
      </c>
    </row>
    <row r="53">
      <c r="B53" s="19" t="inlineStr">
        <is>
          <t>Kelas 10 IPA</t>
        </is>
      </c>
      <c r="C53" s="30" t="n">
        <v>46037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0" t="n">
        <v>46091</v>
      </c>
      <c r="E54" s="28" t="n"/>
      <c r="F54" s="29">
        <f>IF(ISBLANK(E54), "⏳ Belum Diisi (Ketik Rumus di Sel Kuning E54)", IF(E54='99_KUNCI_JAWABAN'!F189,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0" t="n">
        <v>46162</v>
      </c>
    </row>
    <row r="56">
      <c r="B56" s="19" t="inlineStr">
        <is>
          <t>Kelas Unggulan</t>
        </is>
      </c>
      <c r="C56" s="30" t="n">
        <v>46208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#038 — RUMUS EXCEL: EOMONTH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(EOMONTH)</t>
        </is>
      </c>
    </row>
    <row r="5" ht="21" customHeight="1">
      <c r="B5" s="14" t="inlineStr">
        <is>
          <t>Nama Rumus Excel</t>
        </is>
      </c>
      <c r="C5" s="15">
        <f>EOMONTH(...)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EOMONTH(tanggal_awal, jumlah_bulan)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tanggal TERAKHIR di suatu bulan (End of Month) — wajib untuk jadwal gajian akhir bulan atau tutup buku akuntansi!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EOMONTH DI SINI)</t>
        </is>
      </c>
    </row>
    <row r="10">
      <c r="B10" s="18" t="inlineStr">
        <is>
          <t>Kontrak Proyek</t>
        </is>
      </c>
      <c r="C10" s="18" t="inlineStr">
        <is>
          <t>Tanggal Mulai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0" t="n">
        <v>46037</v>
      </c>
      <c r="E11" s="20" t="inlineStr">
        <is>
          <t>Contoh Soal:</t>
        </is>
      </c>
      <c r="F11" s="21" t="inlineStr">
        <is>
          <t>Tentukan tanggal hasil pergeseran dari tanggal awal di C11 sejauh 7 periode ke depan menggunakan fungsi EOMONTH!</t>
        </is>
      </c>
      <c r="G11" s="5" t="n"/>
    </row>
    <row r="12">
      <c r="B12" s="19" t="inlineStr">
        <is>
          <t>Simulasi Unit B</t>
        </is>
      </c>
      <c r="C12" s="30" t="n">
        <v>46091</v>
      </c>
      <c r="E12" s="20" t="inlineStr">
        <is>
          <t>Contoh Rumus Benar:</t>
        </is>
      </c>
      <c r="F12" s="22" t="inlineStr">
        <is>
          <t>'=EOMONTH(C11, 7)</t>
        </is>
      </c>
      <c r="G12" s="5" t="n"/>
    </row>
    <row r="13">
      <c r="B13" s="19" t="inlineStr">
        <is>
          <t>Simulasi Unit C</t>
        </is>
      </c>
      <c r="C13" s="30" t="n">
        <v>46162</v>
      </c>
      <c r="E13" s="20" t="inlineStr">
        <is>
          <t>Contoh Hasil Benar:</t>
        </is>
      </c>
      <c r="F13" s="23">
        <f>EOMONTH(C11, 7)</f>
        <v/>
      </c>
      <c r="G13" s="5" t="n"/>
    </row>
    <row r="14">
      <c r="B14" s="19" t="inlineStr">
        <is>
          <t>Simulasi Unit D</t>
        </is>
      </c>
      <c r="C14" s="30" t="n">
        <v>46208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Kontrak Proyek</t>
        </is>
      </c>
      <c r="C20" s="14" t="inlineStr">
        <is>
          <t>Tanggal Mulai</t>
        </is>
      </c>
      <c r="E20" s="27" t="inlineStr">
        <is>
          <t>Persoalan Tes #1: Tentukan tanggal hasil pergeseran dari tanggal awal di C21 sejauh 2 periode ke depan menggunakan fungsi EOMONTH!</t>
        </is>
      </c>
    </row>
    <row r="21">
      <c r="B21" s="19" t="inlineStr">
        <is>
          <t>Cabang Jakarta</t>
        </is>
      </c>
      <c r="C21" s="30" t="n">
        <v>46037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0" t="n">
        <v>46091</v>
      </c>
      <c r="E22" s="28" t="n"/>
      <c r="F22" s="29">
        <f>IF(ISBLANK(E22), "⏳ Belum Diisi (Ketik Rumus di Sel Kuning E22)", IF(E22='99_KUNCI_JAWABAN'!F190,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0" t="n">
        <v>46162</v>
      </c>
    </row>
    <row r="24">
      <c r="B24" s="19" t="inlineStr">
        <is>
          <t>Cabang Medan</t>
        </is>
      </c>
      <c r="C24" s="30" t="n">
        <v>46208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Kontrak Proyek</t>
        </is>
      </c>
      <c r="C28" s="14" t="inlineStr">
        <is>
          <t>Tanggal Mulai</t>
        </is>
      </c>
      <c r="E28" s="27" t="inlineStr">
        <is>
          <t>Persoalan Tes #2: Tentukan tanggal hasil pergeseran dari tanggal awal di C29 sejauh 3 periode ke depan menggunakan fungsi EOMONTH!</t>
        </is>
      </c>
    </row>
    <row r="29">
      <c r="B29" s="19" t="inlineStr">
        <is>
          <t>Budi Santoso</t>
        </is>
      </c>
      <c r="C29" s="30" t="n">
        <v>46037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0" t="n">
        <v>46091</v>
      </c>
      <c r="E30" s="28" t="n"/>
      <c r="F30" s="29">
        <f>IF(ISBLANK(E30), "⏳ Belum Diisi (Ketik Rumus di Sel Kuning E30)", IF(E30='99_KUNCI_JAWABAN'!F191,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0" t="n">
        <v>46162</v>
      </c>
    </row>
    <row r="32">
      <c r="B32" s="19" t="inlineStr">
        <is>
          <t>Rina Wijaya</t>
        </is>
      </c>
      <c r="C32" s="30" t="n">
        <v>46208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Kontrak Proyek</t>
        </is>
      </c>
      <c r="C36" s="14" t="inlineStr">
        <is>
          <t>Tanggal Mulai</t>
        </is>
      </c>
      <c r="E36" s="27" t="inlineStr">
        <is>
          <t>Persoalan Tes #3: Tentukan tanggal hasil pergeseran dari tanggal awal di C37 sejauh 4 periode ke depan menggunakan fungsi EOMONTH!</t>
        </is>
      </c>
    </row>
    <row r="37">
      <c r="B37" s="19" t="inlineStr">
        <is>
          <t>Gudang Blok A</t>
        </is>
      </c>
      <c r="C37" s="30" t="n">
        <v>46037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0" t="n">
        <v>46091</v>
      </c>
      <c r="E38" s="28" t="n"/>
      <c r="F38" s="29">
        <f>IF(ISBLANK(E38), "⏳ Belum Diisi (Ketik Rumus di Sel Kuning E38)", IF(E38='99_KUNCI_JAWABAN'!F192,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0" t="n">
        <v>46162</v>
      </c>
    </row>
    <row r="40">
      <c r="B40" s="19" t="inlineStr">
        <is>
          <t>Gudang Blok D</t>
        </is>
      </c>
      <c r="C40" s="30" t="n">
        <v>46208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Kontrak Proyek</t>
        </is>
      </c>
      <c r="C44" s="14" t="inlineStr">
        <is>
          <t>Tanggal Mulai</t>
        </is>
      </c>
      <c r="E44" s="27" t="inlineStr">
        <is>
          <t>Persoalan Tes #4: Tentukan tanggal hasil pergeseran dari tanggal awal di C45 sejauh 5 periode ke depan menggunakan fungsi EOMONTH!</t>
        </is>
      </c>
    </row>
    <row r="45">
      <c r="B45" s="19" t="inlineStr">
        <is>
          <t>Toko Elektronik</t>
        </is>
      </c>
      <c r="C45" s="30" t="n">
        <v>46037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0" t="n">
        <v>46091</v>
      </c>
      <c r="E46" s="28" t="n"/>
      <c r="F46" s="29">
        <f>IF(ISBLANK(E46), "⏳ Belum Diisi (Ketik Rumus di Sel Kuning E46)", IF(E46='99_KUNCI_JAWABAN'!F193,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0" t="n">
        <v>46162</v>
      </c>
    </row>
    <row r="48">
      <c r="B48" s="19" t="inlineStr">
        <is>
          <t>Toko Servis</t>
        </is>
      </c>
      <c r="C48" s="30" t="n">
        <v>46208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Kontrak Proyek</t>
        </is>
      </c>
      <c r="C52" s="14" t="inlineStr">
        <is>
          <t>Tanggal Mulai</t>
        </is>
      </c>
      <c r="E52" s="27" t="inlineStr">
        <is>
          <t>Persoalan Tes #5: Tentukan tanggal hasil pergeseran dari tanggal awal di C53 sejauh 6 periode ke depan menggunakan fungsi EOMONTH!</t>
        </is>
      </c>
    </row>
    <row r="53">
      <c r="B53" s="19" t="inlineStr">
        <is>
          <t>Kelas 10 IPA</t>
        </is>
      </c>
      <c r="C53" s="30" t="n">
        <v>46037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0" t="n">
        <v>46091</v>
      </c>
      <c r="E54" s="28" t="n"/>
      <c r="F54" s="29">
        <f>IF(ISBLANK(E54), "⏳ Belum Diisi (Ketik Rumus di Sel Kuning E54)", IF(E54='99_KUNCI_JAWABAN'!F194,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0" t="n">
        <v>46162</v>
      </c>
    </row>
    <row r="56">
      <c r="B56" s="19" t="inlineStr">
        <is>
          <t>Kelas Unggulan</t>
        </is>
      </c>
      <c r="C56" s="30" t="n">
        <v>46208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#039 — RUMUS EXCEL: NETWORKDAYS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(NETWORKDAYS)</t>
        </is>
      </c>
    </row>
    <row r="5" ht="21" customHeight="1">
      <c r="B5" s="14" t="inlineStr">
        <is>
          <t>Nama Rumus Excel</t>
        </is>
      </c>
      <c r="C5" s="15">
        <f>NETWORKDAYS(...)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NETWORKDAYS(tanggal_awal, tanggal_akhir)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jumlah HARI KERJA EFEKTIF (Senin–Jumat) dan otomatis memotong hari libur Sabtu &amp; Minggu!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NETWORKDAYS DI SINI)</t>
        </is>
      </c>
    </row>
    <row r="10">
      <c r="B10" s="18" t="inlineStr">
        <is>
          <t>Tanggal Awal (B)</t>
        </is>
      </c>
      <c r="C10" s="18" t="inlineStr">
        <is>
          <t>Tanggal Akhir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30" t="n">
        <v>46032</v>
      </c>
      <c r="C11" s="30" t="n">
        <v>46223</v>
      </c>
      <c r="E11" s="20" t="inlineStr">
        <is>
          <t>Contoh Soal:</t>
        </is>
      </c>
      <c r="F11" s="21" t="inlineStr">
        <is>
          <t>Hitung jumlah hari kerja efektif dari Tanggal Awal B11 sampai Tanggal Akhir C11 menggunakan fungsi NETWORKDAYS!</t>
        </is>
      </c>
      <c r="G11" s="5" t="n"/>
    </row>
    <row r="12">
      <c r="B12" s="30" t="n">
        <v>46054</v>
      </c>
      <c r="C12" s="30" t="n">
        <v>46096</v>
      </c>
      <c r="E12" s="20" t="inlineStr">
        <is>
          <t>Contoh Rumus Benar:</t>
        </is>
      </c>
      <c r="F12" s="22" t="inlineStr">
        <is>
          <t>'=NETWORKDAYS(B11, C11)</t>
        </is>
      </c>
      <c r="G12" s="5" t="n"/>
    </row>
    <row r="13">
      <c r="B13" s="30" t="n">
        <v>46113</v>
      </c>
      <c r="C13" s="30" t="n">
        <v>46162</v>
      </c>
      <c r="E13" s="20" t="inlineStr">
        <is>
          <t>Contoh Hasil Benar:</t>
        </is>
      </c>
      <c r="F13" s="23">
        <f>NETWORKDAYS(B11, C11)</f>
        <v/>
      </c>
      <c r="G13" s="5" t="n"/>
    </row>
    <row r="14">
      <c r="B14" s="30" t="n">
        <v>46174</v>
      </c>
      <c r="C14" s="30" t="n">
        <v>46244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Tanggal Awal (B)</t>
        </is>
      </c>
      <c r="C20" s="14" t="inlineStr">
        <is>
          <t>Tanggal Akhir (C)</t>
        </is>
      </c>
      <c r="E20" s="27" t="inlineStr">
        <is>
          <t>Persoalan Tes #1: Hitung jumlah hari kerja efektif dari Tanggal Awal B21 sampai Tanggal Akhir C21 menggunakan fungsi NETWORKDAYS!</t>
        </is>
      </c>
    </row>
    <row r="21">
      <c r="B21" s="30" t="n">
        <v>46032</v>
      </c>
      <c r="C21" s="30" t="n">
        <v>46073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30" t="n">
        <v>46054</v>
      </c>
      <c r="C22" s="30" t="n">
        <v>46096</v>
      </c>
      <c r="E22" s="28" t="n"/>
      <c r="F22" s="29">
        <f>IF(ISBLANK(E22), "⏳ Belum Diisi (Ketik Rumus di Sel Kuning E22)", IF(E22='99_KUNCI_JAWABAN'!F195, "✅ BENAR! JAWABAN TES TEPAT!", "❌ Belum Tepat (Cek Sheet Akhir: 99_KUNCI_JAWABAN)"))</f>
        <v/>
      </c>
      <c r="G22" s="5" t="n"/>
    </row>
    <row r="23">
      <c r="B23" s="30" t="n">
        <v>46113</v>
      </c>
      <c r="C23" s="30" t="n">
        <v>46162</v>
      </c>
    </row>
    <row r="24">
      <c r="B24" s="30" t="n">
        <v>46174</v>
      </c>
      <c r="C24" s="30" t="n">
        <v>46244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Tanggal Awal (B)</t>
        </is>
      </c>
      <c r="C28" s="14" t="inlineStr">
        <is>
          <t>Tanggal Akhir (C)</t>
        </is>
      </c>
      <c r="E28" s="27" t="inlineStr">
        <is>
          <t>Persoalan Tes #2: Hitung jumlah hari kerja efektif dari Tanggal Awal B29 sampai Tanggal Akhir C29 menggunakan fungsi NETWORKDAYS!</t>
        </is>
      </c>
    </row>
    <row r="29">
      <c r="B29" s="30" t="n">
        <v>46032</v>
      </c>
      <c r="C29" s="30" t="n">
        <v>46101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30" t="n">
        <v>46054</v>
      </c>
      <c r="C30" s="30" t="n">
        <v>46096</v>
      </c>
      <c r="E30" s="28" t="n"/>
      <c r="F30" s="29">
        <f>IF(ISBLANK(E30), "⏳ Belum Diisi (Ketik Rumus di Sel Kuning E30)", IF(E30='99_KUNCI_JAWABAN'!F196, "✅ BENAR! JAWABAN TES TEPAT!", "❌ Belum Tepat (Cek Sheet Akhir: 99_KUNCI_JAWABAN)"))</f>
        <v/>
      </c>
      <c r="G30" s="5" t="n"/>
    </row>
    <row r="31">
      <c r="B31" s="30" t="n">
        <v>46113</v>
      </c>
      <c r="C31" s="30" t="n">
        <v>46162</v>
      </c>
    </row>
    <row r="32">
      <c r="B32" s="30" t="n">
        <v>46174</v>
      </c>
      <c r="C32" s="30" t="n">
        <v>46244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Tanggal Awal (B)</t>
        </is>
      </c>
      <c r="C36" s="14" t="inlineStr">
        <is>
          <t>Tanggal Akhir (C)</t>
        </is>
      </c>
      <c r="E36" s="27" t="inlineStr">
        <is>
          <t>Persoalan Tes #3: Hitung jumlah hari kerja efektif dari Tanggal Awal B37 sampai Tanggal Akhir C37 menggunakan fungsi NETWORKDAYS!</t>
        </is>
      </c>
    </row>
    <row r="37">
      <c r="B37" s="30" t="n">
        <v>46032</v>
      </c>
      <c r="C37" s="30" t="n">
        <v>46132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30" t="n">
        <v>46054</v>
      </c>
      <c r="C38" s="30" t="n">
        <v>46096</v>
      </c>
      <c r="E38" s="28" t="n"/>
      <c r="F38" s="29">
        <f>IF(ISBLANK(E38), "⏳ Belum Diisi (Ketik Rumus di Sel Kuning E38)", IF(E38='99_KUNCI_JAWABAN'!F197, "✅ BENAR! JAWABAN TES TEPAT!", "❌ Belum Tepat (Cek Sheet Akhir: 99_KUNCI_JAWABAN)"))</f>
        <v/>
      </c>
      <c r="G38" s="5" t="n"/>
    </row>
    <row r="39">
      <c r="B39" s="30" t="n">
        <v>46113</v>
      </c>
      <c r="C39" s="30" t="n">
        <v>46162</v>
      </c>
    </row>
    <row r="40">
      <c r="B40" s="30" t="n">
        <v>46174</v>
      </c>
      <c r="C40" s="30" t="n">
        <v>46244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Tanggal Awal (B)</t>
        </is>
      </c>
      <c r="C44" s="14" t="inlineStr">
        <is>
          <t>Tanggal Akhir (C)</t>
        </is>
      </c>
      <c r="E44" s="27" t="inlineStr">
        <is>
          <t>Persoalan Tes #4: Hitung jumlah hari kerja efektif dari Tanggal Awal B45 sampai Tanggal Akhir C45 menggunakan fungsi NETWORKDAYS!</t>
        </is>
      </c>
    </row>
    <row r="45">
      <c r="B45" s="30" t="n">
        <v>46032</v>
      </c>
      <c r="C45" s="30" t="n">
        <v>46162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30" t="n">
        <v>46054</v>
      </c>
      <c r="C46" s="30" t="n">
        <v>46096</v>
      </c>
      <c r="E46" s="28" t="n"/>
      <c r="F46" s="29">
        <f>IF(ISBLANK(E46), "⏳ Belum Diisi (Ketik Rumus di Sel Kuning E46)", IF(E46='99_KUNCI_JAWABAN'!F198, "✅ BENAR! JAWABAN TES TEPAT!", "❌ Belum Tepat (Cek Sheet Akhir: 99_KUNCI_JAWABAN)"))</f>
        <v/>
      </c>
      <c r="G46" s="5" t="n"/>
    </row>
    <row r="47">
      <c r="B47" s="30" t="n">
        <v>46113</v>
      </c>
      <c r="C47" s="30" t="n">
        <v>46162</v>
      </c>
    </row>
    <row r="48">
      <c r="B48" s="30" t="n">
        <v>46174</v>
      </c>
      <c r="C48" s="30" t="n">
        <v>46244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Tanggal Awal (B)</t>
        </is>
      </c>
      <c r="C52" s="14" t="inlineStr">
        <is>
          <t>Tanggal Akhir (C)</t>
        </is>
      </c>
      <c r="E52" s="27" t="inlineStr">
        <is>
          <t>Persoalan Tes #5: Hitung jumlah hari kerja efektif dari Tanggal Awal B53 sampai Tanggal Akhir C53 menggunakan fungsi NETWORKDAYS!</t>
        </is>
      </c>
    </row>
    <row r="53">
      <c r="B53" s="30" t="n">
        <v>46032</v>
      </c>
      <c r="C53" s="30" t="n">
        <v>46193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30" t="n">
        <v>46054</v>
      </c>
      <c r="C54" s="30" t="n">
        <v>46096</v>
      </c>
      <c r="E54" s="28" t="n"/>
      <c r="F54" s="29">
        <f>IF(ISBLANK(E54), "⏳ Belum Diisi (Ketik Rumus di Sel Kuning E54)", IF(E54='99_KUNCI_JAWABAN'!F199, "✅ BENAR! JAWABAN TES TEPAT!", "❌ Belum Tepat (Cek Sheet Akhir: 99_KUNCI_JAWABAN)"))</f>
        <v/>
      </c>
      <c r="G54" s="5" t="n"/>
    </row>
    <row r="55">
      <c r="B55" s="30" t="n">
        <v>46113</v>
      </c>
      <c r="C55" s="30" t="n">
        <v>46162</v>
      </c>
    </row>
    <row r="56">
      <c r="B56" s="30" t="n">
        <v>46174</v>
      </c>
      <c r="C56" s="30" t="n">
        <v>46244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#040 — RUMUS EXCEL: WORKDAY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(WORKDAY)</t>
        </is>
      </c>
    </row>
    <row r="5" ht="21" customHeight="1">
      <c r="B5" s="14" t="inlineStr">
        <is>
          <t>Nama Rumus Excel</t>
        </is>
      </c>
      <c r="C5" s="15">
        <f>WORKDAY(...)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WORKDAY(tanggal_awal, jumlah_hari_kerja)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tahu tanggal berapa proyek selesai jika dikerjakan selama N hari kerja efektif (tidak termasuk Sabtu &amp; Minggu).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WORKDAY DI SINI)</t>
        </is>
      </c>
    </row>
    <row r="10">
      <c r="B10" s="18" t="inlineStr">
        <is>
          <t>Kontrak Proyek</t>
        </is>
      </c>
      <c r="C10" s="18" t="inlineStr">
        <is>
          <t>Tanggal Mulai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0" t="n">
        <v>46037</v>
      </c>
      <c r="E11" s="20" t="inlineStr">
        <is>
          <t>Contoh Soal:</t>
        </is>
      </c>
      <c r="F11" s="21" t="inlineStr">
        <is>
          <t>Tentukan tanggal hasil pergeseran dari tanggal awal di C11 sejauh 7 periode ke depan menggunakan fungsi WORKDAY!</t>
        </is>
      </c>
      <c r="G11" s="5" t="n"/>
    </row>
    <row r="12">
      <c r="B12" s="19" t="inlineStr">
        <is>
          <t>Simulasi Unit B</t>
        </is>
      </c>
      <c r="C12" s="30" t="n">
        <v>46091</v>
      </c>
      <c r="E12" s="20" t="inlineStr">
        <is>
          <t>Contoh Rumus Benar:</t>
        </is>
      </c>
      <c r="F12" s="22" t="inlineStr">
        <is>
          <t>'=WORKDAY(C11, 7)</t>
        </is>
      </c>
      <c r="G12" s="5" t="n"/>
    </row>
    <row r="13">
      <c r="B13" s="19" t="inlineStr">
        <is>
          <t>Simulasi Unit C</t>
        </is>
      </c>
      <c r="C13" s="30" t="n">
        <v>46162</v>
      </c>
      <c r="E13" s="20" t="inlineStr">
        <is>
          <t>Contoh Hasil Benar:</t>
        </is>
      </c>
      <c r="F13" s="23">
        <f>WORKDAY(C11, 7)</f>
        <v/>
      </c>
      <c r="G13" s="5" t="n"/>
    </row>
    <row r="14">
      <c r="B14" s="19" t="inlineStr">
        <is>
          <t>Simulasi Unit D</t>
        </is>
      </c>
      <c r="C14" s="30" t="n">
        <v>46208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Kontrak Proyek</t>
        </is>
      </c>
      <c r="C20" s="14" t="inlineStr">
        <is>
          <t>Tanggal Mulai</t>
        </is>
      </c>
      <c r="E20" s="27" t="inlineStr">
        <is>
          <t>Persoalan Tes #1: Tentukan tanggal hasil pergeseran dari tanggal awal di C21 sejauh 2 periode ke depan menggunakan fungsi WORKDAY!</t>
        </is>
      </c>
    </row>
    <row r="21">
      <c r="B21" s="19" t="inlineStr">
        <is>
          <t>Cabang Jakarta</t>
        </is>
      </c>
      <c r="C21" s="30" t="n">
        <v>46037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0" t="n">
        <v>46091</v>
      </c>
      <c r="E22" s="28" t="n"/>
      <c r="F22" s="29">
        <f>IF(ISBLANK(E22), "⏳ Belum Diisi (Ketik Rumus di Sel Kuning E22)", IF(E22='99_KUNCI_JAWABAN'!F200,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0" t="n">
        <v>46162</v>
      </c>
    </row>
    <row r="24">
      <c r="B24" s="19" t="inlineStr">
        <is>
          <t>Cabang Medan</t>
        </is>
      </c>
      <c r="C24" s="30" t="n">
        <v>46208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Kontrak Proyek</t>
        </is>
      </c>
      <c r="C28" s="14" t="inlineStr">
        <is>
          <t>Tanggal Mulai</t>
        </is>
      </c>
      <c r="E28" s="27" t="inlineStr">
        <is>
          <t>Persoalan Tes #2: Tentukan tanggal hasil pergeseran dari tanggal awal di C29 sejauh 3 periode ke depan menggunakan fungsi WORKDAY!</t>
        </is>
      </c>
    </row>
    <row r="29">
      <c r="B29" s="19" t="inlineStr">
        <is>
          <t>Budi Santoso</t>
        </is>
      </c>
      <c r="C29" s="30" t="n">
        <v>46037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0" t="n">
        <v>46091</v>
      </c>
      <c r="E30" s="28" t="n"/>
      <c r="F30" s="29">
        <f>IF(ISBLANK(E30), "⏳ Belum Diisi (Ketik Rumus di Sel Kuning E30)", IF(E30='99_KUNCI_JAWABAN'!F201,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0" t="n">
        <v>46162</v>
      </c>
    </row>
    <row r="32">
      <c r="B32" s="19" t="inlineStr">
        <is>
          <t>Rina Wijaya</t>
        </is>
      </c>
      <c r="C32" s="30" t="n">
        <v>46208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Kontrak Proyek</t>
        </is>
      </c>
      <c r="C36" s="14" t="inlineStr">
        <is>
          <t>Tanggal Mulai</t>
        </is>
      </c>
      <c r="E36" s="27" t="inlineStr">
        <is>
          <t>Persoalan Tes #3: Tentukan tanggal hasil pergeseran dari tanggal awal di C37 sejauh 4 periode ke depan menggunakan fungsi WORKDAY!</t>
        </is>
      </c>
    </row>
    <row r="37">
      <c r="B37" s="19" t="inlineStr">
        <is>
          <t>Gudang Blok A</t>
        </is>
      </c>
      <c r="C37" s="30" t="n">
        <v>46037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0" t="n">
        <v>46091</v>
      </c>
      <c r="E38" s="28" t="n"/>
      <c r="F38" s="29">
        <f>IF(ISBLANK(E38), "⏳ Belum Diisi (Ketik Rumus di Sel Kuning E38)", IF(E38='99_KUNCI_JAWABAN'!F202,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0" t="n">
        <v>46162</v>
      </c>
    </row>
    <row r="40">
      <c r="B40" s="19" t="inlineStr">
        <is>
          <t>Gudang Blok D</t>
        </is>
      </c>
      <c r="C40" s="30" t="n">
        <v>46208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Kontrak Proyek</t>
        </is>
      </c>
      <c r="C44" s="14" t="inlineStr">
        <is>
          <t>Tanggal Mulai</t>
        </is>
      </c>
      <c r="E44" s="27" t="inlineStr">
        <is>
          <t>Persoalan Tes #4: Tentukan tanggal hasil pergeseran dari tanggal awal di C45 sejauh 5 periode ke depan menggunakan fungsi WORKDAY!</t>
        </is>
      </c>
    </row>
    <row r="45">
      <c r="B45" s="19" t="inlineStr">
        <is>
          <t>Toko Elektronik</t>
        </is>
      </c>
      <c r="C45" s="30" t="n">
        <v>46037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0" t="n">
        <v>46091</v>
      </c>
      <c r="E46" s="28" t="n"/>
      <c r="F46" s="29">
        <f>IF(ISBLANK(E46), "⏳ Belum Diisi (Ketik Rumus di Sel Kuning E46)", IF(E46='99_KUNCI_JAWABAN'!F203,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0" t="n">
        <v>46162</v>
      </c>
    </row>
    <row r="48">
      <c r="B48" s="19" t="inlineStr">
        <is>
          <t>Toko Servis</t>
        </is>
      </c>
      <c r="C48" s="30" t="n">
        <v>46208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Kontrak Proyek</t>
        </is>
      </c>
      <c r="C52" s="14" t="inlineStr">
        <is>
          <t>Tanggal Mulai</t>
        </is>
      </c>
      <c r="E52" s="27" t="inlineStr">
        <is>
          <t>Persoalan Tes #5: Tentukan tanggal hasil pergeseran dari tanggal awal di C53 sejauh 6 periode ke depan menggunakan fungsi WORKDAY!</t>
        </is>
      </c>
    </row>
    <row r="53">
      <c r="B53" s="19" t="inlineStr">
        <is>
          <t>Kelas 10 IPA</t>
        </is>
      </c>
      <c r="C53" s="30" t="n">
        <v>46037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0" t="n">
        <v>46091</v>
      </c>
      <c r="E54" s="28" t="n"/>
      <c r="F54" s="29">
        <f>IF(ISBLANK(E54), "⏳ Belum Diisi (Ketik Rumus di Sel Kuning E54)", IF(E54='99_KUNCI_JAWABAN'!F204,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0" t="n">
        <v>46162</v>
      </c>
    </row>
    <row r="56">
      <c r="B56" s="19" t="inlineStr">
        <is>
          <t>Kelas Unggulan</t>
        </is>
      </c>
      <c r="C56" s="30" t="n">
        <v>46208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#041 — RUMUS EXCEL: WEEKDAY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(WEEKDAY)</t>
        </is>
      </c>
    </row>
    <row r="5" ht="21" customHeight="1">
      <c r="B5" s="14" t="inlineStr">
        <is>
          <t>Nama Rumus Excel</t>
        </is>
      </c>
      <c r="C5" s="15">
        <f>WEEKDAY(...)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WEEKDAY(tanggal)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angka hari dalam seminggu (1 = Minggu, 2 = Senin, ..., 7 = Sabtu) untuk mengecek apakah transaksi jatuh di akhir pekan.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WEEKDAY DI SINI)</t>
        </is>
      </c>
    </row>
    <row r="10">
      <c r="B10" s="18" t="inlineStr">
        <is>
          <t>Agenda Kantor</t>
        </is>
      </c>
      <c r="C10" s="18" t="inlineStr">
        <is>
          <t>Tanggal Kegiatan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0" t="n">
        <v>46188</v>
      </c>
      <c r="E11" s="20" t="inlineStr">
        <is>
          <t>Contoh Soal:</t>
        </is>
      </c>
      <c r="F11" s="21" t="inlineStr">
        <is>
          <t>Ambil nilai WEEKDAY dari tanggal kegiatan di sel C11 menggunakan fungsi WEEKDAY!</t>
        </is>
      </c>
      <c r="G11" s="5" t="n"/>
    </row>
    <row r="12">
      <c r="B12" s="19" t="inlineStr">
        <is>
          <t>Simulasi Unit B</t>
        </is>
      </c>
      <c r="C12" s="30" t="n">
        <v>46193</v>
      </c>
      <c r="E12" s="20" t="inlineStr">
        <is>
          <t>Contoh Rumus Benar:</t>
        </is>
      </c>
      <c r="F12" s="22" t="inlineStr">
        <is>
          <t>'=WEEKDAY(C11)</t>
        </is>
      </c>
      <c r="G12" s="5" t="n"/>
    </row>
    <row r="13">
      <c r="B13" s="19" t="inlineStr">
        <is>
          <t>Simulasi Unit C</t>
        </is>
      </c>
      <c r="C13" s="30" t="n">
        <v>46251</v>
      </c>
      <c r="E13" s="20" t="inlineStr">
        <is>
          <t>Contoh Hasil Benar:</t>
        </is>
      </c>
      <c r="F13" s="23">
        <f>WEEKDAY(C11)</f>
        <v/>
      </c>
      <c r="G13" s="5" t="n"/>
    </row>
    <row r="14">
      <c r="B14" s="19" t="inlineStr">
        <is>
          <t>Simulasi Unit D</t>
        </is>
      </c>
      <c r="C14" s="30" t="n">
        <v>46381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Agenda Kantor</t>
        </is>
      </c>
      <c r="C20" s="14" t="inlineStr">
        <is>
          <t>Tanggal Kegiatan</t>
        </is>
      </c>
      <c r="E20" s="27" t="inlineStr">
        <is>
          <t>Persoalan Tes #1: Ambil nilai WEEKDAY dari tanggal kegiatan di sel C21 menggunakan fungsi WEEKDAY!</t>
        </is>
      </c>
    </row>
    <row r="21">
      <c r="B21" s="19" t="inlineStr">
        <is>
          <t>Cabang Jakarta</t>
        </is>
      </c>
      <c r="C21" s="30" t="n">
        <v>46032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0" t="n">
        <v>46193</v>
      </c>
      <c r="E22" s="28" t="n"/>
      <c r="F22" s="29">
        <f>IF(ISBLANK(E22), "⏳ Belum Diisi (Ketik Rumus di Sel Kuning E22)", IF(E22='99_KUNCI_JAWABAN'!F205,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0" t="n">
        <v>46251</v>
      </c>
    </row>
    <row r="24">
      <c r="B24" s="19" t="inlineStr">
        <is>
          <t>Cabang Medan</t>
        </is>
      </c>
      <c r="C24" s="30" t="n">
        <v>46381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Agenda Kantor</t>
        </is>
      </c>
      <c r="C28" s="14" t="inlineStr">
        <is>
          <t>Tanggal Kegiatan</t>
        </is>
      </c>
      <c r="E28" s="27" t="inlineStr">
        <is>
          <t>Persoalan Tes #2: Ambil nilai WEEKDAY dari tanggal kegiatan di sel C29 menggunakan fungsi WEEKDAY!</t>
        </is>
      </c>
    </row>
    <row r="29">
      <c r="B29" s="19" t="inlineStr">
        <is>
          <t>Budi Santoso</t>
        </is>
      </c>
      <c r="C29" s="30" t="n">
        <v>46064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0" t="n">
        <v>46193</v>
      </c>
      <c r="E30" s="28" t="n"/>
      <c r="F30" s="29">
        <f>IF(ISBLANK(E30), "⏳ Belum Diisi (Ketik Rumus di Sel Kuning E30)", IF(E30='99_KUNCI_JAWABAN'!F206,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0" t="n">
        <v>46251</v>
      </c>
    </row>
    <row r="32">
      <c r="B32" s="19" t="inlineStr">
        <is>
          <t>Rina Wijaya</t>
        </is>
      </c>
      <c r="C32" s="30" t="n">
        <v>46381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Agenda Kantor</t>
        </is>
      </c>
      <c r="C36" s="14" t="inlineStr">
        <is>
          <t>Tanggal Kegiatan</t>
        </is>
      </c>
      <c r="E36" s="27" t="inlineStr">
        <is>
          <t>Persoalan Tes #3: Ambil nilai WEEKDAY dari tanggal kegiatan di sel C37 menggunakan fungsi WEEKDAY!</t>
        </is>
      </c>
    </row>
    <row r="37">
      <c r="B37" s="19" t="inlineStr">
        <is>
          <t>Gudang Blok A</t>
        </is>
      </c>
      <c r="C37" s="30" t="n">
        <v>46093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0" t="n">
        <v>46193</v>
      </c>
      <c r="E38" s="28" t="n"/>
      <c r="F38" s="29">
        <f>IF(ISBLANK(E38), "⏳ Belum Diisi (Ketik Rumus di Sel Kuning E38)", IF(E38='99_KUNCI_JAWABAN'!F207,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0" t="n">
        <v>46251</v>
      </c>
    </row>
    <row r="40">
      <c r="B40" s="19" t="inlineStr">
        <is>
          <t>Gudang Blok D</t>
        </is>
      </c>
      <c r="C40" s="30" t="n">
        <v>46381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Agenda Kantor</t>
        </is>
      </c>
      <c r="C44" s="14" t="inlineStr">
        <is>
          <t>Tanggal Kegiatan</t>
        </is>
      </c>
      <c r="E44" s="27" t="inlineStr">
        <is>
          <t>Persoalan Tes #4: Ambil nilai WEEKDAY dari tanggal kegiatan di sel C45 menggunakan fungsi WEEKDAY!</t>
        </is>
      </c>
    </row>
    <row r="45">
      <c r="B45" s="19" t="inlineStr">
        <is>
          <t>Toko Elektronik</t>
        </is>
      </c>
      <c r="C45" s="30" t="n">
        <v>46125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0" t="n">
        <v>46193</v>
      </c>
      <c r="E46" s="28" t="n"/>
      <c r="F46" s="29">
        <f>IF(ISBLANK(E46), "⏳ Belum Diisi (Ketik Rumus di Sel Kuning E46)", IF(E46='99_KUNCI_JAWABAN'!F208,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0" t="n">
        <v>46251</v>
      </c>
    </row>
    <row r="48">
      <c r="B48" s="19" t="inlineStr">
        <is>
          <t>Toko Servis</t>
        </is>
      </c>
      <c r="C48" s="30" t="n">
        <v>46381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Agenda Kantor</t>
        </is>
      </c>
      <c r="C52" s="14" t="inlineStr">
        <is>
          <t>Tanggal Kegiatan</t>
        </is>
      </c>
      <c r="E52" s="27" t="inlineStr">
        <is>
          <t>Persoalan Tes #5: Ambil nilai WEEKDAY dari tanggal kegiatan di sel C53 menggunakan fungsi WEEKDAY!</t>
        </is>
      </c>
    </row>
    <row r="53">
      <c r="B53" s="19" t="inlineStr">
        <is>
          <t>Kelas 10 IPA</t>
        </is>
      </c>
      <c r="C53" s="30" t="n">
        <v>46156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0" t="n">
        <v>46193</v>
      </c>
      <c r="E54" s="28" t="n"/>
      <c r="F54" s="29">
        <f>IF(ISBLANK(E54), "⏳ Belum Diisi (Ketik Rumus di Sel Kuning E54)", IF(E54='99_KUNCI_JAWABAN'!F209,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0" t="n">
        <v>46251</v>
      </c>
    </row>
    <row r="56">
      <c r="B56" s="19" t="inlineStr">
        <is>
          <t>Kelas Unggulan</t>
        </is>
      </c>
      <c r="C56" s="30" t="n">
        <v>46381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#042 — RUMUS EXCEL: WEEKNUM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(WEEKNUM)</t>
        </is>
      </c>
    </row>
    <row r="5" ht="21" customHeight="1">
      <c r="B5" s="14" t="inlineStr">
        <is>
          <t>Nama Rumus Excel</t>
        </is>
      </c>
      <c r="C5" s="15">
        <f>WEEKNUM(...)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WEEKNUM(tanggal)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Memberitahu tanggal tersebut berada pada Minggu ke-berapa di dalam kalender tahun berjalan (Minggu 1 s/d 52).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WEEKNUM DI SINI)</t>
        </is>
      </c>
    </row>
    <row r="10">
      <c r="B10" s="18" t="inlineStr">
        <is>
          <t>Agenda Kantor</t>
        </is>
      </c>
      <c r="C10" s="18" t="inlineStr">
        <is>
          <t>Tanggal Kegiatan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0" t="n">
        <v>46188</v>
      </c>
      <c r="E11" s="20" t="inlineStr">
        <is>
          <t>Contoh Soal:</t>
        </is>
      </c>
      <c r="F11" s="21" t="inlineStr">
        <is>
          <t>Ambil nilai WEEKNUM dari tanggal kegiatan di sel C11 menggunakan fungsi WEEKNUM!</t>
        </is>
      </c>
      <c r="G11" s="5" t="n"/>
    </row>
    <row r="12">
      <c r="B12" s="19" t="inlineStr">
        <is>
          <t>Simulasi Unit B</t>
        </is>
      </c>
      <c r="C12" s="30" t="n">
        <v>46193</v>
      </c>
      <c r="E12" s="20" t="inlineStr">
        <is>
          <t>Contoh Rumus Benar:</t>
        </is>
      </c>
      <c r="F12" s="22" t="inlineStr">
        <is>
          <t>'=WEEKNUM(C11)</t>
        </is>
      </c>
      <c r="G12" s="5" t="n"/>
    </row>
    <row r="13">
      <c r="B13" s="19" t="inlineStr">
        <is>
          <t>Simulasi Unit C</t>
        </is>
      </c>
      <c r="C13" s="30" t="n">
        <v>46251</v>
      </c>
      <c r="E13" s="20" t="inlineStr">
        <is>
          <t>Contoh Hasil Benar:</t>
        </is>
      </c>
      <c r="F13" s="23">
        <f>WEEKNUM(C11)</f>
        <v/>
      </c>
      <c r="G13" s="5" t="n"/>
    </row>
    <row r="14">
      <c r="B14" s="19" t="inlineStr">
        <is>
          <t>Simulasi Unit D</t>
        </is>
      </c>
      <c r="C14" s="30" t="n">
        <v>46381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Agenda Kantor</t>
        </is>
      </c>
      <c r="C20" s="14" t="inlineStr">
        <is>
          <t>Tanggal Kegiatan</t>
        </is>
      </c>
      <c r="E20" s="27" t="inlineStr">
        <is>
          <t>Persoalan Tes #1: Ambil nilai WEEKNUM dari tanggal kegiatan di sel C21 menggunakan fungsi WEEKNUM!</t>
        </is>
      </c>
    </row>
    <row r="21">
      <c r="B21" s="19" t="inlineStr">
        <is>
          <t>Cabang Jakarta</t>
        </is>
      </c>
      <c r="C21" s="30" t="n">
        <v>46032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0" t="n">
        <v>46193</v>
      </c>
      <c r="E22" s="28" t="n"/>
      <c r="F22" s="29">
        <f>IF(ISBLANK(E22), "⏳ Belum Diisi (Ketik Rumus di Sel Kuning E22)", IF(E22='99_KUNCI_JAWABAN'!F210,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0" t="n">
        <v>46251</v>
      </c>
    </row>
    <row r="24">
      <c r="B24" s="19" t="inlineStr">
        <is>
          <t>Cabang Medan</t>
        </is>
      </c>
      <c r="C24" s="30" t="n">
        <v>46381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Agenda Kantor</t>
        </is>
      </c>
      <c r="C28" s="14" t="inlineStr">
        <is>
          <t>Tanggal Kegiatan</t>
        </is>
      </c>
      <c r="E28" s="27" t="inlineStr">
        <is>
          <t>Persoalan Tes #2: Ambil nilai WEEKNUM dari tanggal kegiatan di sel C29 menggunakan fungsi WEEKNUM!</t>
        </is>
      </c>
    </row>
    <row r="29">
      <c r="B29" s="19" t="inlineStr">
        <is>
          <t>Budi Santoso</t>
        </is>
      </c>
      <c r="C29" s="30" t="n">
        <v>46064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0" t="n">
        <v>46193</v>
      </c>
      <c r="E30" s="28" t="n"/>
      <c r="F30" s="29">
        <f>IF(ISBLANK(E30), "⏳ Belum Diisi (Ketik Rumus di Sel Kuning E30)", IF(E30='99_KUNCI_JAWABAN'!F211,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0" t="n">
        <v>46251</v>
      </c>
    </row>
    <row r="32">
      <c r="B32" s="19" t="inlineStr">
        <is>
          <t>Rina Wijaya</t>
        </is>
      </c>
      <c r="C32" s="30" t="n">
        <v>46381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Agenda Kantor</t>
        </is>
      </c>
      <c r="C36" s="14" t="inlineStr">
        <is>
          <t>Tanggal Kegiatan</t>
        </is>
      </c>
      <c r="E36" s="27" t="inlineStr">
        <is>
          <t>Persoalan Tes #3: Ambil nilai WEEKNUM dari tanggal kegiatan di sel C37 menggunakan fungsi WEEKNUM!</t>
        </is>
      </c>
    </row>
    <row r="37">
      <c r="B37" s="19" t="inlineStr">
        <is>
          <t>Gudang Blok A</t>
        </is>
      </c>
      <c r="C37" s="30" t="n">
        <v>46093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0" t="n">
        <v>46193</v>
      </c>
      <c r="E38" s="28" t="n"/>
      <c r="F38" s="29">
        <f>IF(ISBLANK(E38), "⏳ Belum Diisi (Ketik Rumus di Sel Kuning E38)", IF(E38='99_KUNCI_JAWABAN'!F212,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0" t="n">
        <v>46251</v>
      </c>
    </row>
    <row r="40">
      <c r="B40" s="19" t="inlineStr">
        <is>
          <t>Gudang Blok D</t>
        </is>
      </c>
      <c r="C40" s="30" t="n">
        <v>46381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Agenda Kantor</t>
        </is>
      </c>
      <c r="C44" s="14" t="inlineStr">
        <is>
          <t>Tanggal Kegiatan</t>
        </is>
      </c>
      <c r="E44" s="27" t="inlineStr">
        <is>
          <t>Persoalan Tes #4: Ambil nilai WEEKNUM dari tanggal kegiatan di sel C45 menggunakan fungsi WEEKNUM!</t>
        </is>
      </c>
    </row>
    <row r="45">
      <c r="B45" s="19" t="inlineStr">
        <is>
          <t>Toko Elektronik</t>
        </is>
      </c>
      <c r="C45" s="30" t="n">
        <v>46125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0" t="n">
        <v>46193</v>
      </c>
      <c r="E46" s="28" t="n"/>
      <c r="F46" s="29">
        <f>IF(ISBLANK(E46), "⏳ Belum Diisi (Ketik Rumus di Sel Kuning E46)", IF(E46='99_KUNCI_JAWABAN'!F213,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0" t="n">
        <v>46251</v>
      </c>
    </row>
    <row r="48">
      <c r="B48" s="19" t="inlineStr">
        <is>
          <t>Toko Servis</t>
        </is>
      </c>
      <c r="C48" s="30" t="n">
        <v>46381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Agenda Kantor</t>
        </is>
      </c>
      <c r="C52" s="14" t="inlineStr">
        <is>
          <t>Tanggal Kegiatan</t>
        </is>
      </c>
      <c r="E52" s="27" t="inlineStr">
        <is>
          <t>Persoalan Tes #5: Ambil nilai WEEKNUM dari tanggal kegiatan di sel C53 menggunakan fungsi WEEKNUM!</t>
        </is>
      </c>
    </row>
    <row r="53">
      <c r="B53" s="19" t="inlineStr">
        <is>
          <t>Kelas 10 IPA</t>
        </is>
      </c>
      <c r="C53" s="30" t="n">
        <v>46156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0" t="n">
        <v>46193</v>
      </c>
      <c r="E54" s="28" t="n"/>
      <c r="F54" s="29">
        <f>IF(ISBLANK(E54), "⏳ Belum Diisi (Ketik Rumus di Sel Kuning E54)", IF(E54='99_KUNCI_JAWABAN'!F214,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0" t="n">
        <v>46251</v>
      </c>
    </row>
    <row r="56">
      <c r="B56" s="19" t="inlineStr">
        <is>
          <t>Kelas Unggulan</t>
        </is>
      </c>
      <c r="C56" s="30" t="n">
        <v>46381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#043 — RUMUS EXCEL: HOUR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(HOUR)</t>
        </is>
      </c>
    </row>
    <row r="5" ht="21" customHeight="1">
      <c r="B5" s="14" t="inlineStr">
        <is>
          <t>Nama Rumus Excel</t>
        </is>
      </c>
      <c r="C5" s="15">
        <f>HOUR(...)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HOUR(waktu)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Mengambil angka JAM (0 sampai 23) dari data waktu absensi masuk/pulang.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HOUR DI SINI)</t>
        </is>
      </c>
    </row>
    <row r="10">
      <c r="B10" s="18" t="inlineStr">
        <is>
          <t>Nama Pegawai</t>
        </is>
      </c>
      <c r="C10" s="18" t="inlineStr">
        <is>
          <t>Waktu Absensi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1" t="n">
        <v>0.5282407407407408</v>
      </c>
      <c r="E11" s="20" t="inlineStr">
        <is>
          <t>Contoh Soal:</t>
        </is>
      </c>
      <c r="F11" s="21" t="inlineStr">
        <is>
          <t>Ekstrak komponen HOUR dari waktu absensi di sel C11 menggunakan fungsi HOUR!</t>
        </is>
      </c>
      <c r="G11" s="5" t="n"/>
    </row>
    <row r="12">
      <c r="B12" s="19" t="inlineStr">
        <is>
          <t>Simulasi Unit B</t>
        </is>
      </c>
      <c r="C12" s="31" t="n">
        <v>0.4063657407407407</v>
      </c>
      <c r="E12" s="20" t="inlineStr">
        <is>
          <t>Contoh Rumus Benar:</t>
        </is>
      </c>
      <c r="F12" s="22" t="inlineStr">
        <is>
          <t>'=HOUR(C11)</t>
        </is>
      </c>
      <c r="G12" s="5" t="n"/>
    </row>
    <row r="13">
      <c r="B13" s="19" t="inlineStr">
        <is>
          <t>Simulasi Unit C</t>
        </is>
      </c>
      <c r="C13" s="31" t="n">
        <v>0.5560763888888889</v>
      </c>
      <c r="E13" s="20" t="inlineStr">
        <is>
          <t>Contoh Hasil Benar:</t>
        </is>
      </c>
      <c r="F13" s="23">
        <f>HOUR(C11)</f>
        <v/>
      </c>
      <c r="G13" s="5" t="n"/>
    </row>
    <row r="14">
      <c r="B14" s="19" t="inlineStr">
        <is>
          <t>Simulasi Unit D</t>
        </is>
      </c>
      <c r="C14" s="31" t="n">
        <v>0.7118055555555556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Pegawai</t>
        </is>
      </c>
      <c r="C20" s="14" t="inlineStr">
        <is>
          <t>Waktu Absensi</t>
        </is>
      </c>
      <c r="E20" s="27" t="inlineStr">
        <is>
          <t>Persoalan Tes #1: Ekstrak komponen HOUR dari waktu absensi di sel C21 menggunakan fungsi HOUR!</t>
        </is>
      </c>
    </row>
    <row r="21">
      <c r="B21" s="19" t="inlineStr">
        <is>
          <t>Cabang Jakarta</t>
        </is>
      </c>
      <c r="C21" s="31" t="n">
        <v>0.2987847222222222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1" t="n">
        <v>0.4063657407407407</v>
      </c>
      <c r="E22" s="28" t="n"/>
      <c r="F22" s="29">
        <f>IF(ISBLANK(E22), "⏳ Belum Diisi (Ketik Rumus di Sel Kuning E22)", IF(E22='99_KUNCI_JAWABAN'!F215,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1" t="n">
        <v>0.5560763888888889</v>
      </c>
    </row>
    <row r="24">
      <c r="B24" s="19" t="inlineStr">
        <is>
          <t>Cabang Medan</t>
        </is>
      </c>
      <c r="C24" s="31" t="n">
        <v>0.7118055555555556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Pegawai</t>
        </is>
      </c>
      <c r="C28" s="14" t="inlineStr">
        <is>
          <t>Waktu Absensi</t>
        </is>
      </c>
      <c r="E28" s="27" t="inlineStr">
        <is>
          <t>Persoalan Tes #2: Ekstrak komponen HOUR dari waktu absensi di sel C29 menggunakan fungsi HOUR!</t>
        </is>
      </c>
    </row>
    <row r="29">
      <c r="B29" s="19" t="inlineStr">
        <is>
          <t>Budi Santoso</t>
        </is>
      </c>
      <c r="C29" s="31" t="n">
        <v>0.3446759259259259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1" t="n">
        <v>0.4063657407407407</v>
      </c>
      <c r="E30" s="28" t="n"/>
      <c r="F30" s="29">
        <f>IF(ISBLANK(E30), "⏳ Belum Diisi (Ketik Rumus di Sel Kuning E30)", IF(E30='99_KUNCI_JAWABAN'!F216,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1" t="n">
        <v>0.5560763888888889</v>
      </c>
    </row>
    <row r="32">
      <c r="B32" s="19" t="inlineStr">
        <is>
          <t>Rina Wijaya</t>
        </is>
      </c>
      <c r="C32" s="31" t="n">
        <v>0.7118055555555556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Pegawai</t>
        </is>
      </c>
      <c r="C36" s="14" t="inlineStr">
        <is>
          <t>Waktu Absensi</t>
        </is>
      </c>
      <c r="E36" s="27" t="inlineStr">
        <is>
          <t>Persoalan Tes #3: Ekstrak komponen HOUR dari waktu absensi di sel C37 menggunakan fungsi HOUR!</t>
        </is>
      </c>
    </row>
    <row r="37">
      <c r="B37" s="19" t="inlineStr">
        <is>
          <t>Gudang Blok A</t>
        </is>
      </c>
      <c r="C37" s="31" t="n">
        <v>0.3905671296296296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1" t="n">
        <v>0.4063657407407407</v>
      </c>
      <c r="E38" s="28" t="n"/>
      <c r="F38" s="29">
        <f>IF(ISBLANK(E38), "⏳ Belum Diisi (Ketik Rumus di Sel Kuning E38)", IF(E38='99_KUNCI_JAWABAN'!F217,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1" t="n">
        <v>0.5560763888888889</v>
      </c>
    </row>
    <row r="40">
      <c r="B40" s="19" t="inlineStr">
        <is>
          <t>Gudang Blok D</t>
        </is>
      </c>
      <c r="C40" s="31" t="n">
        <v>0.7118055555555556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Pegawai</t>
        </is>
      </c>
      <c r="C44" s="14" t="inlineStr">
        <is>
          <t>Waktu Absensi</t>
        </is>
      </c>
      <c r="E44" s="27" t="inlineStr">
        <is>
          <t>Persoalan Tes #4: Ekstrak komponen HOUR dari waktu absensi di sel C45 menggunakan fungsi HOUR!</t>
        </is>
      </c>
    </row>
    <row r="45">
      <c r="B45" s="19" t="inlineStr">
        <is>
          <t>Toko Elektronik</t>
        </is>
      </c>
      <c r="C45" s="31" t="n">
        <v>0.4364583333333333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1" t="n">
        <v>0.4063657407407407</v>
      </c>
      <c r="E46" s="28" t="n"/>
      <c r="F46" s="29">
        <f>IF(ISBLANK(E46), "⏳ Belum Diisi (Ketik Rumus di Sel Kuning E46)", IF(E46='99_KUNCI_JAWABAN'!F218,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1" t="n">
        <v>0.5560763888888889</v>
      </c>
    </row>
    <row r="48">
      <c r="B48" s="19" t="inlineStr">
        <is>
          <t>Toko Servis</t>
        </is>
      </c>
      <c r="C48" s="31" t="n">
        <v>0.7118055555555556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Pegawai</t>
        </is>
      </c>
      <c r="C52" s="14" t="inlineStr">
        <is>
          <t>Waktu Absensi</t>
        </is>
      </c>
      <c r="E52" s="27" t="inlineStr">
        <is>
          <t>Persoalan Tes #5: Ekstrak komponen HOUR dari waktu absensi di sel C53 menggunakan fungsi HOUR!</t>
        </is>
      </c>
    </row>
    <row r="53">
      <c r="B53" s="19" t="inlineStr">
        <is>
          <t>Kelas 10 IPA</t>
        </is>
      </c>
      <c r="C53" s="31" t="n">
        <v>0.482349537037037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1" t="n">
        <v>0.4063657407407407</v>
      </c>
      <c r="E54" s="28" t="n"/>
      <c r="F54" s="29">
        <f>IF(ISBLANK(E54), "⏳ Belum Diisi (Ketik Rumus di Sel Kuning E54)", IF(E54='99_KUNCI_JAWABAN'!F219,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1" t="n">
        <v>0.5560763888888889</v>
      </c>
    </row>
    <row r="56">
      <c r="B56" s="19" t="inlineStr">
        <is>
          <t>Kelas Unggulan</t>
        </is>
      </c>
      <c r="C56" s="31" t="n">
        <v>0.7118055555555556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#044 — RUMUS EXCEL: MINUTE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(MINUTE)</t>
        </is>
      </c>
    </row>
    <row r="5" ht="21" customHeight="1">
      <c r="B5" s="14" t="inlineStr">
        <is>
          <t>Nama Rumus Excel</t>
        </is>
      </c>
      <c r="C5" s="15">
        <f>MINUTE(...)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MINUTE(waktu)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Mengambil angka MENIT (0 sampai 59) dari data waktu absensi untuk menghitung menit keterlambatan.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MINUTE DI SINI)</t>
        </is>
      </c>
    </row>
    <row r="10">
      <c r="B10" s="18" t="inlineStr">
        <is>
          <t>Nama Pegawai</t>
        </is>
      </c>
      <c r="C10" s="18" t="inlineStr">
        <is>
          <t>Waktu Absensi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1" t="n">
        <v>0.5282407407407408</v>
      </c>
      <c r="E11" s="20" t="inlineStr">
        <is>
          <t>Contoh Soal:</t>
        </is>
      </c>
      <c r="F11" s="21" t="inlineStr">
        <is>
          <t>Ekstrak komponen MINUTE dari waktu absensi di sel C11 menggunakan fungsi MINUTE!</t>
        </is>
      </c>
      <c r="G11" s="5" t="n"/>
    </row>
    <row r="12">
      <c r="B12" s="19" t="inlineStr">
        <is>
          <t>Simulasi Unit B</t>
        </is>
      </c>
      <c r="C12" s="31" t="n">
        <v>0.4063657407407407</v>
      </c>
      <c r="E12" s="20" t="inlineStr">
        <is>
          <t>Contoh Rumus Benar:</t>
        </is>
      </c>
      <c r="F12" s="22" t="inlineStr">
        <is>
          <t>'=MINUTE(C11)</t>
        </is>
      </c>
      <c r="G12" s="5" t="n"/>
    </row>
    <row r="13">
      <c r="B13" s="19" t="inlineStr">
        <is>
          <t>Simulasi Unit C</t>
        </is>
      </c>
      <c r="C13" s="31" t="n">
        <v>0.5560763888888889</v>
      </c>
      <c r="E13" s="20" t="inlineStr">
        <is>
          <t>Contoh Hasil Benar:</t>
        </is>
      </c>
      <c r="F13" s="23">
        <f>MINUTE(C11)</f>
        <v/>
      </c>
      <c r="G13" s="5" t="n"/>
    </row>
    <row r="14">
      <c r="B14" s="19" t="inlineStr">
        <is>
          <t>Simulasi Unit D</t>
        </is>
      </c>
      <c r="C14" s="31" t="n">
        <v>0.7118055555555556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Pegawai</t>
        </is>
      </c>
      <c r="C20" s="14" t="inlineStr">
        <is>
          <t>Waktu Absensi</t>
        </is>
      </c>
      <c r="E20" s="27" t="inlineStr">
        <is>
          <t>Persoalan Tes #1: Ekstrak komponen MINUTE dari waktu absensi di sel C21 menggunakan fungsi MINUTE!</t>
        </is>
      </c>
    </row>
    <row r="21">
      <c r="B21" s="19" t="inlineStr">
        <is>
          <t>Cabang Jakarta</t>
        </is>
      </c>
      <c r="C21" s="31" t="n">
        <v>0.2987847222222222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1" t="n">
        <v>0.4063657407407407</v>
      </c>
      <c r="E22" s="28" t="n"/>
      <c r="F22" s="29">
        <f>IF(ISBLANK(E22), "⏳ Belum Diisi (Ketik Rumus di Sel Kuning E22)", IF(E22='99_KUNCI_JAWABAN'!F220,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1" t="n">
        <v>0.5560763888888889</v>
      </c>
    </row>
    <row r="24">
      <c r="B24" s="19" t="inlineStr">
        <is>
          <t>Cabang Medan</t>
        </is>
      </c>
      <c r="C24" s="31" t="n">
        <v>0.7118055555555556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Pegawai</t>
        </is>
      </c>
      <c r="C28" s="14" t="inlineStr">
        <is>
          <t>Waktu Absensi</t>
        </is>
      </c>
      <c r="E28" s="27" t="inlineStr">
        <is>
          <t>Persoalan Tes #2: Ekstrak komponen MINUTE dari waktu absensi di sel C29 menggunakan fungsi MINUTE!</t>
        </is>
      </c>
    </row>
    <row r="29">
      <c r="B29" s="19" t="inlineStr">
        <is>
          <t>Budi Santoso</t>
        </is>
      </c>
      <c r="C29" s="31" t="n">
        <v>0.3446759259259259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1" t="n">
        <v>0.4063657407407407</v>
      </c>
      <c r="E30" s="28" t="n"/>
      <c r="F30" s="29">
        <f>IF(ISBLANK(E30), "⏳ Belum Diisi (Ketik Rumus di Sel Kuning E30)", IF(E30='99_KUNCI_JAWABAN'!F221,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1" t="n">
        <v>0.5560763888888889</v>
      </c>
    </row>
    <row r="32">
      <c r="B32" s="19" t="inlineStr">
        <is>
          <t>Rina Wijaya</t>
        </is>
      </c>
      <c r="C32" s="31" t="n">
        <v>0.7118055555555556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Pegawai</t>
        </is>
      </c>
      <c r="C36" s="14" t="inlineStr">
        <is>
          <t>Waktu Absensi</t>
        </is>
      </c>
      <c r="E36" s="27" t="inlineStr">
        <is>
          <t>Persoalan Tes #3: Ekstrak komponen MINUTE dari waktu absensi di sel C37 menggunakan fungsi MINUTE!</t>
        </is>
      </c>
    </row>
    <row r="37">
      <c r="B37" s="19" t="inlineStr">
        <is>
          <t>Gudang Blok A</t>
        </is>
      </c>
      <c r="C37" s="31" t="n">
        <v>0.3905671296296296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1" t="n">
        <v>0.4063657407407407</v>
      </c>
      <c r="E38" s="28" t="n"/>
      <c r="F38" s="29">
        <f>IF(ISBLANK(E38), "⏳ Belum Diisi (Ketik Rumus di Sel Kuning E38)", IF(E38='99_KUNCI_JAWABAN'!F222,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1" t="n">
        <v>0.5560763888888889</v>
      </c>
    </row>
    <row r="40">
      <c r="B40" s="19" t="inlineStr">
        <is>
          <t>Gudang Blok D</t>
        </is>
      </c>
      <c r="C40" s="31" t="n">
        <v>0.7118055555555556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Pegawai</t>
        </is>
      </c>
      <c r="C44" s="14" t="inlineStr">
        <is>
          <t>Waktu Absensi</t>
        </is>
      </c>
      <c r="E44" s="27" t="inlineStr">
        <is>
          <t>Persoalan Tes #4: Ekstrak komponen MINUTE dari waktu absensi di sel C45 menggunakan fungsi MINUTE!</t>
        </is>
      </c>
    </row>
    <row r="45">
      <c r="B45" s="19" t="inlineStr">
        <is>
          <t>Toko Elektronik</t>
        </is>
      </c>
      <c r="C45" s="31" t="n">
        <v>0.4364583333333333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1" t="n">
        <v>0.4063657407407407</v>
      </c>
      <c r="E46" s="28" t="n"/>
      <c r="F46" s="29">
        <f>IF(ISBLANK(E46), "⏳ Belum Diisi (Ketik Rumus di Sel Kuning E46)", IF(E46='99_KUNCI_JAWABAN'!F223,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1" t="n">
        <v>0.5560763888888889</v>
      </c>
    </row>
    <row r="48">
      <c r="B48" s="19" t="inlineStr">
        <is>
          <t>Toko Servis</t>
        </is>
      </c>
      <c r="C48" s="31" t="n">
        <v>0.7118055555555556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Pegawai</t>
        </is>
      </c>
      <c r="C52" s="14" t="inlineStr">
        <is>
          <t>Waktu Absensi</t>
        </is>
      </c>
      <c r="E52" s="27" t="inlineStr">
        <is>
          <t>Persoalan Tes #5: Ekstrak komponen MINUTE dari waktu absensi di sel C53 menggunakan fungsi MINUTE!</t>
        </is>
      </c>
    </row>
    <row r="53">
      <c r="B53" s="19" t="inlineStr">
        <is>
          <t>Kelas 10 IPA</t>
        </is>
      </c>
      <c r="C53" s="31" t="n">
        <v>0.482349537037037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1" t="n">
        <v>0.4063657407407407</v>
      </c>
      <c r="E54" s="28" t="n"/>
      <c r="F54" s="29">
        <f>IF(ISBLANK(E54), "⏳ Belum Diisi (Ketik Rumus di Sel Kuning E54)", IF(E54='99_KUNCI_JAWABAN'!F224,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1" t="n">
        <v>0.5560763888888889</v>
      </c>
    </row>
    <row r="56">
      <c r="B56" s="19" t="inlineStr">
        <is>
          <t>Kelas Unggulan</t>
        </is>
      </c>
      <c r="C56" s="31" t="n">
        <v>0.7118055555555556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#045 — RUMUS EXCEL: SECOND   |   Kategori: 5. Tanggal &amp; Waktu HRD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(SECOND)</t>
        </is>
      </c>
    </row>
    <row r="5" ht="21" customHeight="1">
      <c r="B5" s="14" t="inlineStr">
        <is>
          <t>Nama Rumus Excel</t>
        </is>
      </c>
      <c r="C5" s="15">
        <f>SECOND(...)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SECOND(waktu)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Mengambil angka DETIK (0 sampai 59) dari catatan waktu.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SECOND DI SINI)</t>
        </is>
      </c>
    </row>
    <row r="10">
      <c r="B10" s="18" t="inlineStr">
        <is>
          <t>Nama Pegawai</t>
        </is>
      </c>
      <c r="C10" s="18" t="inlineStr">
        <is>
          <t>Waktu Absensi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31" t="n">
        <v>0.5282407407407408</v>
      </c>
      <c r="E11" s="20" t="inlineStr">
        <is>
          <t>Contoh Soal:</t>
        </is>
      </c>
      <c r="F11" s="21" t="inlineStr">
        <is>
          <t>Ekstrak komponen SECOND dari waktu absensi di sel C11 menggunakan fungsi SECOND!</t>
        </is>
      </c>
      <c r="G11" s="5" t="n"/>
    </row>
    <row r="12">
      <c r="B12" s="19" t="inlineStr">
        <is>
          <t>Simulasi Unit B</t>
        </is>
      </c>
      <c r="C12" s="31" t="n">
        <v>0.4063657407407407</v>
      </c>
      <c r="E12" s="20" t="inlineStr">
        <is>
          <t>Contoh Rumus Benar:</t>
        </is>
      </c>
      <c r="F12" s="22" t="inlineStr">
        <is>
          <t>'=SECOND(C11)</t>
        </is>
      </c>
      <c r="G12" s="5" t="n"/>
    </row>
    <row r="13">
      <c r="B13" s="19" t="inlineStr">
        <is>
          <t>Simulasi Unit C</t>
        </is>
      </c>
      <c r="C13" s="31" t="n">
        <v>0.5560763888888889</v>
      </c>
      <c r="E13" s="20" t="inlineStr">
        <is>
          <t>Contoh Hasil Benar:</t>
        </is>
      </c>
      <c r="F13" s="23">
        <f>SECOND(C11)</f>
        <v/>
      </c>
      <c r="G13" s="5" t="n"/>
    </row>
    <row r="14">
      <c r="B14" s="19" t="inlineStr">
        <is>
          <t>Simulasi Unit D</t>
        </is>
      </c>
      <c r="C14" s="31" t="n">
        <v>0.7118055555555556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Pegawai</t>
        </is>
      </c>
      <c r="C20" s="14" t="inlineStr">
        <is>
          <t>Waktu Absensi</t>
        </is>
      </c>
      <c r="E20" s="27" t="inlineStr">
        <is>
          <t>Persoalan Tes #1: Ekstrak komponen SECOND dari waktu absensi di sel C21 menggunakan fungsi SECOND!</t>
        </is>
      </c>
    </row>
    <row r="21">
      <c r="B21" s="19" t="inlineStr">
        <is>
          <t>Cabang Jakarta</t>
        </is>
      </c>
      <c r="C21" s="31" t="n">
        <v>0.2987847222222222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31" t="n">
        <v>0.4063657407407407</v>
      </c>
      <c r="E22" s="28" t="n"/>
      <c r="F22" s="29">
        <f>IF(ISBLANK(E22), "⏳ Belum Diisi (Ketik Rumus di Sel Kuning E22)", IF(E22='99_KUNCI_JAWABAN'!F225,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31" t="n">
        <v>0.5560763888888889</v>
      </c>
    </row>
    <row r="24">
      <c r="B24" s="19" t="inlineStr">
        <is>
          <t>Cabang Medan</t>
        </is>
      </c>
      <c r="C24" s="31" t="n">
        <v>0.7118055555555556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Pegawai</t>
        </is>
      </c>
      <c r="C28" s="14" t="inlineStr">
        <is>
          <t>Waktu Absensi</t>
        </is>
      </c>
      <c r="E28" s="27" t="inlineStr">
        <is>
          <t>Persoalan Tes #2: Ekstrak komponen SECOND dari waktu absensi di sel C29 menggunakan fungsi SECOND!</t>
        </is>
      </c>
    </row>
    <row r="29">
      <c r="B29" s="19" t="inlineStr">
        <is>
          <t>Budi Santoso</t>
        </is>
      </c>
      <c r="C29" s="31" t="n">
        <v>0.3446759259259259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31" t="n">
        <v>0.4063657407407407</v>
      </c>
      <c r="E30" s="28" t="n"/>
      <c r="F30" s="29">
        <f>IF(ISBLANK(E30), "⏳ Belum Diisi (Ketik Rumus di Sel Kuning E30)", IF(E30='99_KUNCI_JAWABAN'!F226,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31" t="n">
        <v>0.5560763888888889</v>
      </c>
    </row>
    <row r="32">
      <c r="B32" s="19" t="inlineStr">
        <is>
          <t>Rina Wijaya</t>
        </is>
      </c>
      <c r="C32" s="31" t="n">
        <v>0.7118055555555556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Pegawai</t>
        </is>
      </c>
      <c r="C36" s="14" t="inlineStr">
        <is>
          <t>Waktu Absensi</t>
        </is>
      </c>
      <c r="E36" s="27" t="inlineStr">
        <is>
          <t>Persoalan Tes #3: Ekstrak komponen SECOND dari waktu absensi di sel C37 menggunakan fungsi SECOND!</t>
        </is>
      </c>
    </row>
    <row r="37">
      <c r="B37" s="19" t="inlineStr">
        <is>
          <t>Gudang Blok A</t>
        </is>
      </c>
      <c r="C37" s="31" t="n">
        <v>0.3905671296296296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31" t="n">
        <v>0.4063657407407407</v>
      </c>
      <c r="E38" s="28" t="n"/>
      <c r="F38" s="29">
        <f>IF(ISBLANK(E38), "⏳ Belum Diisi (Ketik Rumus di Sel Kuning E38)", IF(E38='99_KUNCI_JAWABAN'!F227,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31" t="n">
        <v>0.5560763888888889</v>
      </c>
    </row>
    <row r="40">
      <c r="B40" s="19" t="inlineStr">
        <is>
          <t>Gudang Blok D</t>
        </is>
      </c>
      <c r="C40" s="31" t="n">
        <v>0.7118055555555556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Pegawai</t>
        </is>
      </c>
      <c r="C44" s="14" t="inlineStr">
        <is>
          <t>Waktu Absensi</t>
        </is>
      </c>
      <c r="E44" s="27" t="inlineStr">
        <is>
          <t>Persoalan Tes #4: Ekstrak komponen SECOND dari waktu absensi di sel C45 menggunakan fungsi SECOND!</t>
        </is>
      </c>
    </row>
    <row r="45">
      <c r="B45" s="19" t="inlineStr">
        <is>
          <t>Toko Elektronik</t>
        </is>
      </c>
      <c r="C45" s="31" t="n">
        <v>0.4364583333333333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31" t="n">
        <v>0.4063657407407407</v>
      </c>
      <c r="E46" s="28" t="n"/>
      <c r="F46" s="29">
        <f>IF(ISBLANK(E46), "⏳ Belum Diisi (Ketik Rumus di Sel Kuning E46)", IF(E46='99_KUNCI_JAWABAN'!F228,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31" t="n">
        <v>0.5560763888888889</v>
      </c>
    </row>
    <row r="48">
      <c r="B48" s="19" t="inlineStr">
        <is>
          <t>Toko Servis</t>
        </is>
      </c>
      <c r="C48" s="31" t="n">
        <v>0.7118055555555556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Pegawai</t>
        </is>
      </c>
      <c r="C52" s="14" t="inlineStr">
        <is>
          <t>Waktu Absensi</t>
        </is>
      </c>
      <c r="E52" s="27" t="inlineStr">
        <is>
          <t>Persoalan Tes #5: Ekstrak komponen SECOND dari waktu absensi di sel C53 menggunakan fungsi SECOND!</t>
        </is>
      </c>
    </row>
    <row r="53">
      <c r="B53" s="19" t="inlineStr">
        <is>
          <t>Kelas 10 IPA</t>
        </is>
      </c>
      <c r="C53" s="31" t="n">
        <v>0.482349537037037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31" t="n">
        <v>0.4063657407407407</v>
      </c>
      <c r="E54" s="28" t="n"/>
      <c r="F54" s="29">
        <f>IF(ISBLANK(E54), "⏳ Belum Diisi (Ketik Rumus di Sel Kuning E54)", IF(E54='99_KUNCI_JAWABAN'!F229,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31" t="n">
        <v>0.5560763888888889</v>
      </c>
    </row>
    <row r="56">
      <c r="B56" s="19" t="inlineStr">
        <is>
          <t>Kelas Unggulan</t>
        </is>
      </c>
      <c r="C56" s="31" t="n">
        <v>0.7118055555555556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6" customWidth="1" min="4" max="4"/>
    <col width="44" customWidth="1" min="5" max="5"/>
    <col width="28" customWidth="1" min="6" max="6"/>
    <col width="65" customWidth="1" min="7" max="7"/>
  </cols>
  <sheetData>
    <row r="1" ht="32" customHeight="1">
      <c r="A1" s="1" t="inlineStr">
        <is>
          <t>🔑 KUNCI JAWABAN LENGKAP SELURUH SOAL TES (45 RUMUS × 5 SOAL TES = 225 SOAL)</t>
        </is>
      </c>
    </row>
    <row r="2" ht="22" customHeight="1">
      <c r="A2" s="2" t="inlineStr">
        <is>
          <t>Gunakan halaman paling terakhir ini untuk memeriksa Kunci Rumus &amp; Hasil Jawaban Benar setelah Anda selesai mengerjakan Soal Tes di masing-masing sheet!</t>
        </is>
      </c>
      <c r="G2" s="12" t="inlineStr">
        <is>
          <t>⬅️ Kembali ke 00_DAFTAR_ISI</t>
        </is>
      </c>
    </row>
    <row r="4" ht="24" customHeight="1">
      <c r="A4" s="32" t="inlineStr">
        <is>
          <t>No</t>
        </is>
      </c>
      <c r="B4" s="32" t="inlineStr">
        <is>
          <t>Nama Rumus (Sheet)</t>
        </is>
      </c>
      <c r="C4" s="32" t="inlineStr">
        <is>
          <t>Nomor Soal Tes</t>
        </is>
      </c>
      <c r="D4" s="32" t="inlineStr">
        <is>
          <t>Sel Kotak Kuning</t>
        </is>
      </c>
      <c r="E4" s="32" t="inlineStr">
        <is>
          <t>🔑 KUNCI RUMUS (YANG HARUS DIKETIK)</t>
        </is>
      </c>
      <c r="F4" s="32" t="inlineStr">
        <is>
          <t>🎯 HASIL JAWABAN BENAR</t>
        </is>
      </c>
      <c r="G4" s="32" t="inlineStr">
        <is>
          <t>Ringkasan Persoalan Tes</t>
        </is>
      </c>
    </row>
    <row r="5">
      <c r="A5" s="5" t="n">
        <v>1</v>
      </c>
      <c r="B5" s="8" t="inlineStr">
        <is>
          <t>VLOOKUP</t>
        </is>
      </c>
      <c r="C5" s="6" t="inlineStr">
        <is>
          <t>Soal Tes #1</t>
        </is>
      </c>
      <c r="D5" s="33" t="inlineStr">
        <is>
          <t>VLOOKUP!E22</t>
        </is>
      </c>
      <c r="E5" s="22" t="inlineStr">
        <is>
          <t>'=VLOOKUP("K01", B21:C24, 2, FALSE)</t>
        </is>
      </c>
      <c r="F5" s="34">
        <f>VLOOKUP("K01", 'VLOOKUP'!B21:C24, 2, FALSE)</f>
        <v/>
      </c>
      <c r="G5" s="19" t="inlineStr">
        <is>
          <t>Cari harga untuk kode "K01" pada tabel referensi B21:C24 (ambil kolom ke-2 dengan pencocokan eksak FALSE) menggunakan fungsi VLOOKUP!</t>
        </is>
      </c>
    </row>
    <row r="6">
      <c r="A6" s="5" t="n">
        <v>2</v>
      </c>
      <c r="B6" s="8" t="inlineStr">
        <is>
          <t>VLOOKUP</t>
        </is>
      </c>
      <c r="C6" s="6" t="inlineStr">
        <is>
          <t>Soal Tes #2</t>
        </is>
      </c>
      <c r="D6" s="33" t="inlineStr">
        <is>
          <t>VLOOKUP!E30</t>
        </is>
      </c>
      <c r="E6" s="22" t="inlineStr">
        <is>
          <t>'=VLOOKUP("K02", B29:C32, 2, FALSE)</t>
        </is>
      </c>
      <c r="F6" s="34">
        <f>VLOOKUP("K02", 'VLOOKUP'!B29:C32, 2, FALSE)</f>
        <v/>
      </c>
      <c r="G6" s="19" t="inlineStr">
        <is>
          <t>Cari harga untuk kode "K02" pada tabel referensi B29:C32 (ambil kolom ke-2 dengan pencocokan eksak FALSE) menggunakan fungsi VLOOKUP!</t>
        </is>
      </c>
    </row>
    <row r="7">
      <c r="A7" s="5" t="n">
        <v>3</v>
      </c>
      <c r="B7" s="8" t="inlineStr">
        <is>
          <t>VLOOKUP</t>
        </is>
      </c>
      <c r="C7" s="6" t="inlineStr">
        <is>
          <t>Soal Tes #3</t>
        </is>
      </c>
      <c r="D7" s="33" t="inlineStr">
        <is>
          <t>VLOOKUP!E38</t>
        </is>
      </c>
      <c r="E7" s="22" t="inlineStr">
        <is>
          <t>'=VLOOKUP("K03", B37:C40, 2, FALSE)</t>
        </is>
      </c>
      <c r="F7" s="34">
        <f>VLOOKUP("K03", 'VLOOKUP'!B37:C40, 2, FALSE)</f>
        <v/>
      </c>
      <c r="G7" s="19" t="inlineStr">
        <is>
          <t>Cari harga untuk kode "K03" pada tabel referensi B37:C40 (ambil kolom ke-2 dengan pencocokan eksak FALSE) menggunakan fungsi VLOOKUP!</t>
        </is>
      </c>
    </row>
    <row r="8">
      <c r="A8" s="5" t="n">
        <v>4</v>
      </c>
      <c r="B8" s="8" t="inlineStr">
        <is>
          <t>VLOOKUP</t>
        </is>
      </c>
      <c r="C8" s="6" t="inlineStr">
        <is>
          <t>Soal Tes #4</t>
        </is>
      </c>
      <c r="D8" s="33" t="inlineStr">
        <is>
          <t>VLOOKUP!E46</t>
        </is>
      </c>
      <c r="E8" s="22" t="inlineStr">
        <is>
          <t>'=VLOOKUP("K04", B45:C48, 2, FALSE)</t>
        </is>
      </c>
      <c r="F8" s="34">
        <f>VLOOKUP("K04", 'VLOOKUP'!B45:C48, 2, FALSE)</f>
        <v/>
      </c>
      <c r="G8" s="19" t="inlineStr">
        <is>
          <t>Cari harga untuk kode "K04" pada tabel referensi B45:C48 (ambil kolom ke-2 dengan pencocokan eksak FALSE) menggunakan fungsi VLOOKUP!</t>
        </is>
      </c>
    </row>
    <row r="9">
      <c r="A9" s="5" t="n">
        <v>5</v>
      </c>
      <c r="B9" s="8" t="inlineStr">
        <is>
          <t>VLOOKUP</t>
        </is>
      </c>
      <c r="C9" s="6" t="inlineStr">
        <is>
          <t>Soal Tes #5</t>
        </is>
      </c>
      <c r="D9" s="33" t="inlineStr">
        <is>
          <t>VLOOKUP!E54</t>
        </is>
      </c>
      <c r="E9" s="22" t="inlineStr">
        <is>
          <t>'=VLOOKUP("K01", B53:C56, 2, FALSE)</t>
        </is>
      </c>
      <c r="F9" s="34">
        <f>VLOOKUP("K01", 'VLOOKUP'!B53:C56, 2, FALSE)</f>
        <v/>
      </c>
      <c r="G9" s="19" t="inlineStr">
        <is>
          <t>Cari harga untuk kode "K01" pada tabel referensi B53:C56 (ambil kolom ke-2 dengan pencocokan eksak FALSE) menggunakan fungsi VLOOKUP!</t>
        </is>
      </c>
    </row>
    <row r="10">
      <c r="A10" s="5" t="n">
        <v>6</v>
      </c>
      <c r="B10" s="8" t="inlineStr">
        <is>
          <t>HLOOKUP</t>
        </is>
      </c>
      <c r="C10" s="6" t="inlineStr">
        <is>
          <t>Soal Tes #1</t>
        </is>
      </c>
      <c r="D10" s="33" t="inlineStr">
        <is>
          <t>HLOOKUP!E22</t>
        </is>
      </c>
      <c r="E10" s="22" t="inlineStr">
        <is>
          <t>'=HLOOKUP(C21, C21:C24, 2, FALSE)</t>
        </is>
      </c>
      <c r="F10" s="34">
        <f>HLOOKUP('HLOOKUP'!C21, 'HLOOKUP'!C21:C24, 2, FALSE)</f>
        <v/>
      </c>
      <c r="G10" s="19" t="inlineStr">
        <is>
          <t>Cari nilai sel C21 pada blok C21:C24 lalu ambil baris ke-2 secara eksak (FALSE) menggunakan fungsi HLOOKUP!</t>
        </is>
      </c>
    </row>
    <row r="11">
      <c r="A11" s="5" t="n">
        <v>7</v>
      </c>
      <c r="B11" s="8" t="inlineStr">
        <is>
          <t>HLOOKUP</t>
        </is>
      </c>
      <c r="C11" s="6" t="inlineStr">
        <is>
          <t>Soal Tes #2</t>
        </is>
      </c>
      <c r="D11" s="33" t="inlineStr">
        <is>
          <t>HLOOKUP!E30</t>
        </is>
      </c>
      <c r="E11" s="22" t="inlineStr">
        <is>
          <t>'=HLOOKUP(C29, C29:C32, 2, FALSE)</t>
        </is>
      </c>
      <c r="F11" s="34">
        <f>HLOOKUP('HLOOKUP'!C29, 'HLOOKUP'!C29:C32, 2, FALSE)</f>
        <v/>
      </c>
      <c r="G11" s="19" t="inlineStr">
        <is>
          <t>Cari nilai sel C29 pada blok C29:C32 lalu ambil baris ke-2 secara eksak (FALSE) menggunakan fungsi HLOOKUP!</t>
        </is>
      </c>
    </row>
    <row r="12">
      <c r="A12" s="5" t="n">
        <v>8</v>
      </c>
      <c r="B12" s="8" t="inlineStr">
        <is>
          <t>HLOOKUP</t>
        </is>
      </c>
      <c r="C12" s="6" t="inlineStr">
        <is>
          <t>Soal Tes #3</t>
        </is>
      </c>
      <c r="D12" s="33" t="inlineStr">
        <is>
          <t>HLOOKUP!E38</t>
        </is>
      </c>
      <c r="E12" s="22" t="inlineStr">
        <is>
          <t>'=HLOOKUP(C37, C37:C40, 2, FALSE)</t>
        </is>
      </c>
      <c r="F12" s="34">
        <f>HLOOKUP('HLOOKUP'!C37, 'HLOOKUP'!C37:C40, 2, FALSE)</f>
        <v/>
      </c>
      <c r="G12" s="19" t="inlineStr">
        <is>
          <t>Cari nilai sel C37 pada blok C37:C40 lalu ambil baris ke-2 secara eksak (FALSE) menggunakan fungsi HLOOKUP!</t>
        </is>
      </c>
    </row>
    <row r="13">
      <c r="A13" s="5" t="n">
        <v>9</v>
      </c>
      <c r="B13" s="8" t="inlineStr">
        <is>
          <t>HLOOKUP</t>
        </is>
      </c>
      <c r="C13" s="6" t="inlineStr">
        <is>
          <t>Soal Tes #4</t>
        </is>
      </c>
      <c r="D13" s="33" t="inlineStr">
        <is>
          <t>HLOOKUP!E46</t>
        </is>
      </c>
      <c r="E13" s="22" t="inlineStr">
        <is>
          <t>'=HLOOKUP(C45, C45:C48, 2, FALSE)</t>
        </is>
      </c>
      <c r="F13" s="34">
        <f>HLOOKUP('HLOOKUP'!C45, 'HLOOKUP'!C45:C48, 2, FALSE)</f>
        <v/>
      </c>
      <c r="G13" s="19" t="inlineStr">
        <is>
          <t>Cari nilai sel C45 pada blok C45:C48 lalu ambil baris ke-2 secara eksak (FALSE) menggunakan fungsi HLOOKUP!</t>
        </is>
      </c>
    </row>
    <row r="14">
      <c r="A14" s="5" t="n">
        <v>10</v>
      </c>
      <c r="B14" s="8" t="inlineStr">
        <is>
          <t>HLOOKUP</t>
        </is>
      </c>
      <c r="C14" s="6" t="inlineStr">
        <is>
          <t>Soal Tes #5</t>
        </is>
      </c>
      <c r="D14" s="33" t="inlineStr">
        <is>
          <t>HLOOKUP!E54</t>
        </is>
      </c>
      <c r="E14" s="22" t="inlineStr">
        <is>
          <t>'=HLOOKUP(C53, C53:C56, 2, FALSE)</t>
        </is>
      </c>
      <c r="F14" s="34">
        <f>HLOOKUP('HLOOKUP'!C53, 'HLOOKUP'!C53:C56, 2, FALSE)</f>
        <v/>
      </c>
      <c r="G14" s="19" t="inlineStr">
        <is>
          <t>Cari nilai sel C53 pada blok C53:C56 lalu ambil baris ke-2 secara eksak (FALSE) menggunakan fungsi HLOOKUP!</t>
        </is>
      </c>
    </row>
    <row r="15">
      <c r="A15" s="5" t="n">
        <v>11</v>
      </c>
      <c r="B15" s="8" t="inlineStr">
        <is>
          <t>INDEX</t>
        </is>
      </c>
      <c r="C15" s="6" t="inlineStr">
        <is>
          <t>Soal Tes #1</t>
        </is>
      </c>
      <c r="D15" s="33" t="inlineStr">
        <is>
          <t>INDEX!E22</t>
        </is>
      </c>
      <c r="E15" s="22" t="inlineStr">
        <is>
          <t>'=INDEX(C21:C24, 1)</t>
        </is>
      </c>
      <c r="F15" s="34">
        <f>INDEX('INDEX'!C21:C24, 1)</f>
        <v/>
      </c>
      <c r="G15" s="19" t="inlineStr">
        <is>
          <t>Ambil data yang berada pada urutan baris ke-1 dari rentang C21:C24 menggunakan fungsi INDEX!</t>
        </is>
      </c>
    </row>
    <row r="16">
      <c r="A16" s="5" t="n">
        <v>12</v>
      </c>
      <c r="B16" s="8" t="inlineStr">
        <is>
          <t>INDEX</t>
        </is>
      </c>
      <c r="C16" s="6" t="inlineStr">
        <is>
          <t>Soal Tes #2</t>
        </is>
      </c>
      <c r="D16" s="33" t="inlineStr">
        <is>
          <t>INDEX!E30</t>
        </is>
      </c>
      <c r="E16" s="22" t="inlineStr">
        <is>
          <t>'=INDEX(C29:C32, 2)</t>
        </is>
      </c>
      <c r="F16" s="34">
        <f>INDEX('INDEX'!C29:C32, 2)</f>
        <v/>
      </c>
      <c r="G16" s="19" t="inlineStr">
        <is>
          <t>Ambil data yang berada pada urutan baris ke-2 dari rentang C29:C32 menggunakan fungsi INDEX!</t>
        </is>
      </c>
    </row>
    <row r="17">
      <c r="A17" s="5" t="n">
        <v>13</v>
      </c>
      <c r="B17" s="8" t="inlineStr">
        <is>
          <t>INDEX</t>
        </is>
      </c>
      <c r="C17" s="6" t="inlineStr">
        <is>
          <t>Soal Tes #3</t>
        </is>
      </c>
      <c r="D17" s="33" t="inlineStr">
        <is>
          <t>INDEX!E38</t>
        </is>
      </c>
      <c r="E17" s="22" t="inlineStr">
        <is>
          <t>'=INDEX(C37:C40, 3)</t>
        </is>
      </c>
      <c r="F17" s="34">
        <f>INDEX('INDEX'!C37:C40, 3)</f>
        <v/>
      </c>
      <c r="G17" s="19" t="inlineStr">
        <is>
          <t>Ambil data yang berada pada urutan baris ke-3 dari rentang C37:C40 menggunakan fungsi INDEX!</t>
        </is>
      </c>
    </row>
    <row r="18">
      <c r="A18" s="5" t="n">
        <v>14</v>
      </c>
      <c r="B18" s="8" t="inlineStr">
        <is>
          <t>INDEX</t>
        </is>
      </c>
      <c r="C18" s="6" t="inlineStr">
        <is>
          <t>Soal Tes #4</t>
        </is>
      </c>
      <c r="D18" s="33" t="inlineStr">
        <is>
          <t>INDEX!E46</t>
        </is>
      </c>
      <c r="E18" s="22" t="inlineStr">
        <is>
          <t>'=INDEX(C45:C48, 4)</t>
        </is>
      </c>
      <c r="F18" s="34">
        <f>INDEX('INDEX'!C45:C48, 4)</f>
        <v/>
      </c>
      <c r="G18" s="19" t="inlineStr">
        <is>
          <t>Ambil data yang berada pada urutan baris ke-4 dari rentang C45:C48 menggunakan fungsi INDEX!</t>
        </is>
      </c>
    </row>
    <row r="19">
      <c r="A19" s="5" t="n">
        <v>15</v>
      </c>
      <c r="B19" s="8" t="inlineStr">
        <is>
          <t>INDEX</t>
        </is>
      </c>
      <c r="C19" s="6" t="inlineStr">
        <is>
          <t>Soal Tes #5</t>
        </is>
      </c>
      <c r="D19" s="33" t="inlineStr">
        <is>
          <t>INDEX!E54</t>
        </is>
      </c>
      <c r="E19" s="22" t="inlineStr">
        <is>
          <t>'=INDEX(C53:C56, 1)</t>
        </is>
      </c>
      <c r="F19" s="34">
        <f>INDEX('INDEX'!C53:C56, 1)</f>
        <v/>
      </c>
      <c r="G19" s="19" t="inlineStr">
        <is>
          <t>Ambil data yang berada pada urutan baris ke-1 dari rentang C53:C56 menggunakan fungsi INDEX!</t>
        </is>
      </c>
    </row>
    <row r="20">
      <c r="A20" s="5" t="n">
        <v>16</v>
      </c>
      <c r="B20" s="8" t="inlineStr">
        <is>
          <t>MATCH</t>
        </is>
      </c>
      <c r="C20" s="6" t="inlineStr">
        <is>
          <t>Soal Tes #1</t>
        </is>
      </c>
      <c r="D20" s="33" t="inlineStr">
        <is>
          <t>MATCH!E22</t>
        </is>
      </c>
      <c r="E20" s="22" t="inlineStr">
        <is>
          <t>'=MATCH("Cabang Jakarta", B21:B24, 0)</t>
        </is>
      </c>
      <c r="F20" s="34">
        <f>MATCH("Cabang Jakarta", 'MATCH'!B21:B24, 0)</f>
        <v/>
      </c>
      <c r="G20" s="19" t="inlineStr">
        <is>
          <t>Temukan nomor urut baris dari teks "Cabang Jakarta" di dalam rentang B21:B24 (tipe pencocokan eksak 0) menggunakan fungsi MATCH!</t>
        </is>
      </c>
    </row>
    <row r="21">
      <c r="A21" s="5" t="n">
        <v>17</v>
      </c>
      <c r="B21" s="8" t="inlineStr">
        <is>
          <t>MATCH</t>
        </is>
      </c>
      <c r="C21" s="6" t="inlineStr">
        <is>
          <t>Soal Tes #2</t>
        </is>
      </c>
      <c r="D21" s="33" t="inlineStr">
        <is>
          <t>MATCH!E30</t>
        </is>
      </c>
      <c r="E21" s="22" t="inlineStr">
        <is>
          <t>'=MATCH("Siti Aminah", B29:B32, 0)</t>
        </is>
      </c>
      <c r="F21" s="34">
        <f>MATCH("Siti Aminah", 'MATCH'!B29:B32, 0)</f>
        <v/>
      </c>
      <c r="G21" s="19" t="inlineStr">
        <is>
          <t>Temukan nomor urut baris dari teks "Siti Aminah" di dalam rentang B29:B32 (tipe pencocokan eksak 0) menggunakan fungsi MATCH!</t>
        </is>
      </c>
    </row>
    <row r="22">
      <c r="A22" s="5" t="n">
        <v>18</v>
      </c>
      <c r="B22" s="8" t="inlineStr">
        <is>
          <t>MATCH</t>
        </is>
      </c>
      <c r="C22" s="6" t="inlineStr">
        <is>
          <t>Soal Tes #3</t>
        </is>
      </c>
      <c r="D22" s="33" t="inlineStr">
        <is>
          <t>MATCH!E38</t>
        </is>
      </c>
      <c r="E22" s="22" t="inlineStr">
        <is>
          <t>'=MATCH("Gudang Blok C", B37:B40, 0)</t>
        </is>
      </c>
      <c r="F22" s="34">
        <f>MATCH("Gudang Blok C", 'MATCH'!B37:B40, 0)</f>
        <v/>
      </c>
      <c r="G22" s="19" t="inlineStr">
        <is>
          <t>Temukan nomor urut baris dari teks "Gudang Blok C" di dalam rentang B37:B40 (tipe pencocokan eksak 0) menggunakan fungsi MATCH!</t>
        </is>
      </c>
    </row>
    <row r="23">
      <c r="A23" s="5" t="n">
        <v>19</v>
      </c>
      <c r="B23" s="8" t="inlineStr">
        <is>
          <t>MATCH</t>
        </is>
      </c>
      <c r="C23" s="6" t="inlineStr">
        <is>
          <t>Soal Tes #4</t>
        </is>
      </c>
      <c r="D23" s="33" t="inlineStr">
        <is>
          <t>MATCH!E46</t>
        </is>
      </c>
      <c r="E23" s="22" t="inlineStr">
        <is>
          <t>'=MATCH("Toko Servis", B45:B48, 0)</t>
        </is>
      </c>
      <c r="F23" s="34">
        <f>MATCH("Toko Servis", 'MATCH'!B45:B48, 0)</f>
        <v/>
      </c>
      <c r="G23" s="19" t="inlineStr">
        <is>
          <t>Temukan nomor urut baris dari teks "Toko Servis" di dalam rentang B45:B48 (tipe pencocokan eksak 0) menggunakan fungsi MATCH!</t>
        </is>
      </c>
    </row>
    <row r="24">
      <c r="A24" s="5" t="n">
        <v>20</v>
      </c>
      <c r="B24" s="8" t="inlineStr">
        <is>
          <t>MATCH</t>
        </is>
      </c>
      <c r="C24" s="6" t="inlineStr">
        <is>
          <t>Soal Tes #5</t>
        </is>
      </c>
      <c r="D24" s="33" t="inlineStr">
        <is>
          <t>MATCH!E54</t>
        </is>
      </c>
      <c r="E24" s="22" t="inlineStr">
        <is>
          <t>'=MATCH("Kelas 10 IPA", B53:B56, 0)</t>
        </is>
      </c>
      <c r="F24" s="34">
        <f>MATCH("Kelas 10 IPA", 'MATCH'!B53:B56, 0)</f>
        <v/>
      </c>
      <c r="G24" s="19" t="inlineStr">
        <is>
          <t>Temukan nomor urut baris dari teks "Kelas 10 IPA" di dalam rentang B53:B56 (tipe pencocokan eksak 0) menggunakan fungsi MATCH!</t>
        </is>
      </c>
    </row>
    <row r="25">
      <c r="A25" s="5" t="n">
        <v>21</v>
      </c>
      <c r="B25" s="8" t="inlineStr">
        <is>
          <t>CHOOSE</t>
        </is>
      </c>
      <c r="C25" s="6" t="inlineStr">
        <is>
          <t>Soal Tes #1</t>
        </is>
      </c>
      <c r="D25" s="33" t="inlineStr">
        <is>
          <t>CHOOSE!E22</t>
        </is>
      </c>
      <c r="E25" s="22" t="inlineStr">
        <is>
          <t>'=CHOOSE(1, C21, C22, C23)</t>
        </is>
      </c>
      <c r="F25" s="34">
        <f>CHOOSE(1, 'CHOOSE'!C21, 'CHOOSE'!C22, 'CHOOSE'!C23)</f>
        <v/>
      </c>
      <c r="G25" s="19" t="inlineStr">
        <is>
          <t>Pilih opsi urutan ke-1 dari tiga kandidat sel berurutan C21, C22, dan C23 menggunakan fungsi CHOOSE!</t>
        </is>
      </c>
    </row>
    <row r="26">
      <c r="A26" s="5" t="n">
        <v>22</v>
      </c>
      <c r="B26" s="8" t="inlineStr">
        <is>
          <t>CHOOSE</t>
        </is>
      </c>
      <c r="C26" s="6" t="inlineStr">
        <is>
          <t>Soal Tes #2</t>
        </is>
      </c>
      <c r="D26" s="33" t="inlineStr">
        <is>
          <t>CHOOSE!E30</t>
        </is>
      </c>
      <c r="E26" s="22" t="inlineStr">
        <is>
          <t>'=CHOOSE(2, C29, C30, C31)</t>
        </is>
      </c>
      <c r="F26" s="34">
        <f>CHOOSE(2, 'CHOOSE'!C29, 'CHOOSE'!C30, 'CHOOSE'!C31)</f>
        <v/>
      </c>
      <c r="G26" s="19" t="inlineStr">
        <is>
          <t>Pilih opsi urutan ke-2 dari tiga kandidat sel berurutan C29, C30, dan C31 menggunakan fungsi CHOOSE!</t>
        </is>
      </c>
    </row>
    <row r="27">
      <c r="A27" s="5" t="n">
        <v>23</v>
      </c>
      <c r="B27" s="8" t="inlineStr">
        <is>
          <t>CHOOSE</t>
        </is>
      </c>
      <c r="C27" s="6" t="inlineStr">
        <is>
          <t>Soal Tes #3</t>
        </is>
      </c>
      <c r="D27" s="33" t="inlineStr">
        <is>
          <t>CHOOSE!E38</t>
        </is>
      </c>
      <c r="E27" s="22" t="inlineStr">
        <is>
          <t>'=CHOOSE(3, C37, C38, C39)</t>
        </is>
      </c>
      <c r="F27" s="34">
        <f>CHOOSE(3, 'CHOOSE'!C37, 'CHOOSE'!C38, 'CHOOSE'!C39)</f>
        <v/>
      </c>
      <c r="G27" s="19" t="inlineStr">
        <is>
          <t>Pilih opsi urutan ke-3 dari tiga kandidat sel berurutan C37, C38, dan C39 menggunakan fungsi CHOOSE!</t>
        </is>
      </c>
    </row>
    <row r="28">
      <c r="A28" s="5" t="n">
        <v>24</v>
      </c>
      <c r="B28" s="8" t="inlineStr">
        <is>
          <t>CHOOSE</t>
        </is>
      </c>
      <c r="C28" s="6" t="inlineStr">
        <is>
          <t>Soal Tes #4</t>
        </is>
      </c>
      <c r="D28" s="33" t="inlineStr">
        <is>
          <t>CHOOSE!E46</t>
        </is>
      </c>
      <c r="E28" s="22" t="inlineStr">
        <is>
          <t>'=CHOOSE(1, C45, C46, C47)</t>
        </is>
      </c>
      <c r="F28" s="34">
        <f>CHOOSE(1, 'CHOOSE'!C45, 'CHOOSE'!C46, 'CHOOSE'!C47)</f>
        <v/>
      </c>
      <c r="G28" s="19" t="inlineStr">
        <is>
          <t>Pilih opsi urutan ke-1 dari tiga kandidat sel berurutan C45, C46, dan C47 menggunakan fungsi CHOOSE!</t>
        </is>
      </c>
    </row>
    <row r="29">
      <c r="A29" s="5" t="n">
        <v>25</v>
      </c>
      <c r="B29" s="8" t="inlineStr">
        <is>
          <t>CHOOSE</t>
        </is>
      </c>
      <c r="C29" s="6" t="inlineStr">
        <is>
          <t>Soal Tes #5</t>
        </is>
      </c>
      <c r="D29" s="33" t="inlineStr">
        <is>
          <t>CHOOSE!E54</t>
        </is>
      </c>
      <c r="E29" s="22" t="inlineStr">
        <is>
          <t>'=CHOOSE(2, C53, C54, C55)</t>
        </is>
      </c>
      <c r="F29" s="34">
        <f>CHOOSE(2, 'CHOOSE'!C53, 'CHOOSE'!C54, 'CHOOSE'!C55)</f>
        <v/>
      </c>
      <c r="G29" s="19" t="inlineStr">
        <is>
          <t>Pilih opsi urutan ke-2 dari tiga kandidat sel berurutan C53, C54, dan C55 menggunakan fungsi CHOOSE!</t>
        </is>
      </c>
    </row>
    <row r="30">
      <c r="A30" s="5" t="n">
        <v>26</v>
      </c>
      <c r="B30" s="8" t="inlineStr">
        <is>
          <t>ROW</t>
        </is>
      </c>
      <c r="C30" s="6" t="inlineStr">
        <is>
          <t>Soal Tes #1</t>
        </is>
      </c>
      <c r="D30" s="33" t="inlineStr">
        <is>
          <t>ROW!E22</t>
        </is>
      </c>
      <c r="E30" s="22" t="inlineStr">
        <is>
          <t>'=ROW(C21)</t>
        </is>
      </c>
      <c r="F30" s="34">
        <f>ROW('ROW'!C21)</f>
        <v/>
      </c>
      <c r="G30" s="19" t="inlineStr">
        <is>
          <t>Periksa nomor urut posisi sel C21 menggunakan fungsi referensi ROW!</t>
        </is>
      </c>
    </row>
    <row r="31">
      <c r="A31" s="5" t="n">
        <v>27</v>
      </c>
      <c r="B31" s="8" t="inlineStr">
        <is>
          <t>ROW</t>
        </is>
      </c>
      <c r="C31" s="6" t="inlineStr">
        <is>
          <t>Soal Tes #2</t>
        </is>
      </c>
      <c r="D31" s="33" t="inlineStr">
        <is>
          <t>ROW!E30</t>
        </is>
      </c>
      <c r="E31" s="22" t="inlineStr">
        <is>
          <t>'=ROW(C29)</t>
        </is>
      </c>
      <c r="F31" s="34">
        <f>ROW('ROW'!C29)</f>
        <v/>
      </c>
      <c r="G31" s="19" t="inlineStr">
        <is>
          <t>Periksa nomor urut posisi sel C29 menggunakan fungsi referensi ROW!</t>
        </is>
      </c>
    </row>
    <row r="32">
      <c r="A32" s="5" t="n">
        <v>28</v>
      </c>
      <c r="B32" s="8" t="inlineStr">
        <is>
          <t>ROW</t>
        </is>
      </c>
      <c r="C32" s="6" t="inlineStr">
        <is>
          <t>Soal Tes #3</t>
        </is>
      </c>
      <c r="D32" s="33" t="inlineStr">
        <is>
          <t>ROW!E38</t>
        </is>
      </c>
      <c r="E32" s="22" t="inlineStr">
        <is>
          <t>'=ROW(C37)</t>
        </is>
      </c>
      <c r="F32" s="34">
        <f>ROW('ROW'!C37)</f>
        <v/>
      </c>
      <c r="G32" s="19" t="inlineStr">
        <is>
          <t>Periksa nomor urut posisi sel C37 menggunakan fungsi referensi ROW!</t>
        </is>
      </c>
    </row>
    <row r="33">
      <c r="A33" s="5" t="n">
        <v>29</v>
      </c>
      <c r="B33" s="8" t="inlineStr">
        <is>
          <t>ROW</t>
        </is>
      </c>
      <c r="C33" s="6" t="inlineStr">
        <is>
          <t>Soal Tes #4</t>
        </is>
      </c>
      <c r="D33" s="33" t="inlineStr">
        <is>
          <t>ROW!E46</t>
        </is>
      </c>
      <c r="E33" s="22" t="inlineStr">
        <is>
          <t>'=ROW(C45)</t>
        </is>
      </c>
      <c r="F33" s="34">
        <f>ROW('ROW'!C45)</f>
        <v/>
      </c>
      <c r="G33" s="19" t="inlineStr">
        <is>
          <t>Periksa nomor urut posisi sel C45 menggunakan fungsi referensi ROW!</t>
        </is>
      </c>
    </row>
    <row r="34">
      <c r="A34" s="5" t="n">
        <v>30</v>
      </c>
      <c r="B34" s="8" t="inlineStr">
        <is>
          <t>ROW</t>
        </is>
      </c>
      <c r="C34" s="6" t="inlineStr">
        <is>
          <t>Soal Tes #5</t>
        </is>
      </c>
      <c r="D34" s="33" t="inlineStr">
        <is>
          <t>ROW!E54</t>
        </is>
      </c>
      <c r="E34" s="22" t="inlineStr">
        <is>
          <t>'=ROW(C53)</t>
        </is>
      </c>
      <c r="F34" s="34">
        <f>ROW('ROW'!C53)</f>
        <v/>
      </c>
      <c r="G34" s="19" t="inlineStr">
        <is>
          <t>Periksa nomor urut posisi sel C53 menggunakan fungsi referensi ROW!</t>
        </is>
      </c>
    </row>
    <row r="35">
      <c r="A35" s="5" t="n">
        <v>31</v>
      </c>
      <c r="B35" s="8" t="inlineStr">
        <is>
          <t>COLUMN</t>
        </is>
      </c>
      <c r="C35" s="6" t="inlineStr">
        <is>
          <t>Soal Tes #1</t>
        </is>
      </c>
      <c r="D35" s="33" t="inlineStr">
        <is>
          <t>COLUMN!E22</t>
        </is>
      </c>
      <c r="E35" s="22" t="inlineStr">
        <is>
          <t>'=COLUMN(C21)</t>
        </is>
      </c>
      <c r="F35" s="34">
        <f>COLUMN('COLUMN'!C21)</f>
        <v/>
      </c>
      <c r="G35" s="19" t="inlineStr">
        <is>
          <t>Periksa nomor urut posisi sel C21 menggunakan fungsi referensi COLUMN!</t>
        </is>
      </c>
    </row>
    <row r="36">
      <c r="A36" s="5" t="n">
        <v>32</v>
      </c>
      <c r="B36" s="8" t="inlineStr">
        <is>
          <t>COLUMN</t>
        </is>
      </c>
      <c r="C36" s="6" t="inlineStr">
        <is>
          <t>Soal Tes #2</t>
        </is>
      </c>
      <c r="D36" s="33" t="inlineStr">
        <is>
          <t>COLUMN!E30</t>
        </is>
      </c>
      <c r="E36" s="22" t="inlineStr">
        <is>
          <t>'=COLUMN(C29)</t>
        </is>
      </c>
      <c r="F36" s="34">
        <f>COLUMN('COLUMN'!C29)</f>
        <v/>
      </c>
      <c r="G36" s="19" t="inlineStr">
        <is>
          <t>Periksa nomor urut posisi sel C29 menggunakan fungsi referensi COLUMN!</t>
        </is>
      </c>
    </row>
    <row r="37">
      <c r="A37" s="5" t="n">
        <v>33</v>
      </c>
      <c r="B37" s="8" t="inlineStr">
        <is>
          <t>COLUMN</t>
        </is>
      </c>
      <c r="C37" s="6" t="inlineStr">
        <is>
          <t>Soal Tes #3</t>
        </is>
      </c>
      <c r="D37" s="33" t="inlineStr">
        <is>
          <t>COLUMN!E38</t>
        </is>
      </c>
      <c r="E37" s="22" t="inlineStr">
        <is>
          <t>'=COLUMN(C37)</t>
        </is>
      </c>
      <c r="F37" s="34">
        <f>COLUMN('COLUMN'!C37)</f>
        <v/>
      </c>
      <c r="G37" s="19" t="inlineStr">
        <is>
          <t>Periksa nomor urut posisi sel C37 menggunakan fungsi referensi COLUMN!</t>
        </is>
      </c>
    </row>
    <row r="38">
      <c r="A38" s="5" t="n">
        <v>34</v>
      </c>
      <c r="B38" s="8" t="inlineStr">
        <is>
          <t>COLUMN</t>
        </is>
      </c>
      <c r="C38" s="6" t="inlineStr">
        <is>
          <t>Soal Tes #4</t>
        </is>
      </c>
      <c r="D38" s="33" t="inlineStr">
        <is>
          <t>COLUMN!E46</t>
        </is>
      </c>
      <c r="E38" s="22" t="inlineStr">
        <is>
          <t>'=COLUMN(C45)</t>
        </is>
      </c>
      <c r="F38" s="34">
        <f>COLUMN('COLUMN'!C45)</f>
        <v/>
      </c>
      <c r="G38" s="19" t="inlineStr">
        <is>
          <t>Periksa nomor urut posisi sel C45 menggunakan fungsi referensi COLUMN!</t>
        </is>
      </c>
    </row>
    <row r="39">
      <c r="A39" s="5" t="n">
        <v>35</v>
      </c>
      <c r="B39" s="8" t="inlineStr">
        <is>
          <t>COLUMN</t>
        </is>
      </c>
      <c r="C39" s="6" t="inlineStr">
        <is>
          <t>Soal Tes #5</t>
        </is>
      </c>
      <c r="D39" s="33" t="inlineStr">
        <is>
          <t>COLUMN!E54</t>
        </is>
      </c>
      <c r="E39" s="22" t="inlineStr">
        <is>
          <t>'=COLUMN(C53)</t>
        </is>
      </c>
      <c r="F39" s="34">
        <f>COLUMN('COLUMN'!C53)</f>
        <v/>
      </c>
      <c r="G39" s="19" t="inlineStr">
        <is>
          <t>Periksa nomor urut posisi sel C53 menggunakan fungsi referensi COLUMN!</t>
        </is>
      </c>
    </row>
    <row r="40">
      <c r="A40" s="5" t="n">
        <v>36</v>
      </c>
      <c r="B40" s="8" t="inlineStr">
        <is>
          <t>ROWS</t>
        </is>
      </c>
      <c r="C40" s="6" t="inlineStr">
        <is>
          <t>Soal Tes #1</t>
        </is>
      </c>
      <c r="D40" s="33" t="inlineStr">
        <is>
          <t>ROWS!E22</t>
        </is>
      </c>
      <c r="E40" s="22" t="inlineStr">
        <is>
          <t>'=ROWS(B21:C24)</t>
        </is>
      </c>
      <c r="F40" s="34">
        <f>ROWS('ROWS'!B21:C24)</f>
        <v/>
      </c>
      <c r="G40" s="19" t="inlineStr">
        <is>
          <t>Hitung jumlah dimensi blok tabel B21:C24 menggunakan fungsi ROWS!</t>
        </is>
      </c>
    </row>
    <row r="41">
      <c r="A41" s="5" t="n">
        <v>37</v>
      </c>
      <c r="B41" s="8" t="inlineStr">
        <is>
          <t>ROWS</t>
        </is>
      </c>
      <c r="C41" s="6" t="inlineStr">
        <is>
          <t>Soal Tes #2</t>
        </is>
      </c>
      <c r="D41" s="33" t="inlineStr">
        <is>
          <t>ROWS!E30</t>
        </is>
      </c>
      <c r="E41" s="22" t="inlineStr">
        <is>
          <t>'=ROWS(B29:C32)</t>
        </is>
      </c>
      <c r="F41" s="34">
        <f>ROWS('ROWS'!B29:C32)</f>
        <v/>
      </c>
      <c r="G41" s="19" t="inlineStr">
        <is>
          <t>Hitung jumlah dimensi blok tabel B29:C32 menggunakan fungsi ROWS!</t>
        </is>
      </c>
    </row>
    <row r="42">
      <c r="A42" s="5" t="n">
        <v>38</v>
      </c>
      <c r="B42" s="8" t="inlineStr">
        <is>
          <t>ROWS</t>
        </is>
      </c>
      <c r="C42" s="6" t="inlineStr">
        <is>
          <t>Soal Tes #3</t>
        </is>
      </c>
      <c r="D42" s="33" t="inlineStr">
        <is>
          <t>ROWS!E38</t>
        </is>
      </c>
      <c r="E42" s="22" t="inlineStr">
        <is>
          <t>'=ROWS(B37:C40)</t>
        </is>
      </c>
      <c r="F42" s="34">
        <f>ROWS('ROWS'!B37:C40)</f>
        <v/>
      </c>
      <c r="G42" s="19" t="inlineStr">
        <is>
          <t>Hitung jumlah dimensi blok tabel B37:C40 menggunakan fungsi ROWS!</t>
        </is>
      </c>
    </row>
    <row r="43">
      <c r="A43" s="5" t="n">
        <v>39</v>
      </c>
      <c r="B43" s="8" t="inlineStr">
        <is>
          <t>ROWS</t>
        </is>
      </c>
      <c r="C43" s="6" t="inlineStr">
        <is>
          <t>Soal Tes #4</t>
        </is>
      </c>
      <c r="D43" s="33" t="inlineStr">
        <is>
          <t>ROWS!E46</t>
        </is>
      </c>
      <c r="E43" s="22" t="inlineStr">
        <is>
          <t>'=ROWS(B45:C48)</t>
        </is>
      </c>
      <c r="F43" s="34">
        <f>ROWS('ROWS'!B45:C48)</f>
        <v/>
      </c>
      <c r="G43" s="19" t="inlineStr">
        <is>
          <t>Hitung jumlah dimensi blok tabel B45:C48 menggunakan fungsi ROWS!</t>
        </is>
      </c>
    </row>
    <row r="44">
      <c r="A44" s="5" t="n">
        <v>40</v>
      </c>
      <c r="B44" s="8" t="inlineStr">
        <is>
          <t>ROWS</t>
        </is>
      </c>
      <c r="C44" s="6" t="inlineStr">
        <is>
          <t>Soal Tes #5</t>
        </is>
      </c>
      <c r="D44" s="33" t="inlineStr">
        <is>
          <t>ROWS!E54</t>
        </is>
      </c>
      <c r="E44" s="22" t="inlineStr">
        <is>
          <t>'=ROWS(B53:C56)</t>
        </is>
      </c>
      <c r="F44" s="34">
        <f>ROWS('ROWS'!B53:C56)</f>
        <v/>
      </c>
      <c r="G44" s="19" t="inlineStr">
        <is>
          <t>Hitung jumlah dimensi blok tabel B53:C56 menggunakan fungsi ROWS!</t>
        </is>
      </c>
    </row>
    <row r="45">
      <c r="A45" s="5" t="n">
        <v>41</v>
      </c>
      <c r="B45" s="8" t="inlineStr">
        <is>
          <t>COLUMNS</t>
        </is>
      </c>
      <c r="C45" s="6" t="inlineStr">
        <is>
          <t>Soal Tes #1</t>
        </is>
      </c>
      <c r="D45" s="33" t="inlineStr">
        <is>
          <t>COLUMNS!E22</t>
        </is>
      </c>
      <c r="E45" s="22" t="inlineStr">
        <is>
          <t>'=COLUMNS(B21:C24)</t>
        </is>
      </c>
      <c r="F45" s="34">
        <f>COLUMNS('COLUMNS'!B21:C24)</f>
        <v/>
      </c>
      <c r="G45" s="19" t="inlineStr">
        <is>
          <t>Hitung jumlah dimensi blok tabel B21:C24 menggunakan fungsi COLUMNS!</t>
        </is>
      </c>
    </row>
    <row r="46">
      <c r="A46" s="5" t="n">
        <v>42</v>
      </c>
      <c r="B46" s="8" t="inlineStr">
        <is>
          <t>COLUMNS</t>
        </is>
      </c>
      <c r="C46" s="6" t="inlineStr">
        <is>
          <t>Soal Tes #2</t>
        </is>
      </c>
      <c r="D46" s="33" t="inlineStr">
        <is>
          <t>COLUMNS!E30</t>
        </is>
      </c>
      <c r="E46" s="22" t="inlineStr">
        <is>
          <t>'=COLUMNS(B29:C32)</t>
        </is>
      </c>
      <c r="F46" s="34">
        <f>COLUMNS('COLUMNS'!B29:C32)</f>
        <v/>
      </c>
      <c r="G46" s="19" t="inlineStr">
        <is>
          <t>Hitung jumlah dimensi blok tabel B29:C32 menggunakan fungsi COLUMNS!</t>
        </is>
      </c>
    </row>
    <row r="47">
      <c r="A47" s="5" t="n">
        <v>43</v>
      </c>
      <c r="B47" s="8" t="inlineStr">
        <is>
          <t>COLUMNS</t>
        </is>
      </c>
      <c r="C47" s="6" t="inlineStr">
        <is>
          <t>Soal Tes #3</t>
        </is>
      </c>
      <c r="D47" s="33" t="inlineStr">
        <is>
          <t>COLUMNS!E38</t>
        </is>
      </c>
      <c r="E47" s="22" t="inlineStr">
        <is>
          <t>'=COLUMNS(B37:C40)</t>
        </is>
      </c>
      <c r="F47" s="34">
        <f>COLUMNS('COLUMNS'!B37:C40)</f>
        <v/>
      </c>
      <c r="G47" s="19" t="inlineStr">
        <is>
          <t>Hitung jumlah dimensi blok tabel B37:C40 menggunakan fungsi COLUMNS!</t>
        </is>
      </c>
    </row>
    <row r="48">
      <c r="A48" s="5" t="n">
        <v>44</v>
      </c>
      <c r="B48" s="8" t="inlineStr">
        <is>
          <t>COLUMNS</t>
        </is>
      </c>
      <c r="C48" s="6" t="inlineStr">
        <is>
          <t>Soal Tes #4</t>
        </is>
      </c>
      <c r="D48" s="33" t="inlineStr">
        <is>
          <t>COLUMNS!E46</t>
        </is>
      </c>
      <c r="E48" s="22" t="inlineStr">
        <is>
          <t>'=COLUMNS(B45:C48)</t>
        </is>
      </c>
      <c r="F48" s="34">
        <f>COLUMNS('COLUMNS'!B45:C48)</f>
        <v/>
      </c>
      <c r="G48" s="19" t="inlineStr">
        <is>
          <t>Hitung jumlah dimensi blok tabel B45:C48 menggunakan fungsi COLUMNS!</t>
        </is>
      </c>
    </row>
    <row r="49">
      <c r="A49" s="5" t="n">
        <v>45</v>
      </c>
      <c r="B49" s="8" t="inlineStr">
        <is>
          <t>COLUMNS</t>
        </is>
      </c>
      <c r="C49" s="6" t="inlineStr">
        <is>
          <t>Soal Tes #5</t>
        </is>
      </c>
      <c r="D49" s="33" t="inlineStr">
        <is>
          <t>COLUMNS!E54</t>
        </is>
      </c>
      <c r="E49" s="22" t="inlineStr">
        <is>
          <t>'=COLUMNS(B53:C56)</t>
        </is>
      </c>
      <c r="F49" s="34">
        <f>COLUMNS('COLUMNS'!B53:C56)</f>
        <v/>
      </c>
      <c r="G49" s="19" t="inlineStr">
        <is>
          <t>Hitung jumlah dimensi blok tabel B53:C56 menggunakan fungsi COLUMNS!</t>
        </is>
      </c>
    </row>
    <row r="50">
      <c r="A50" s="5" t="n">
        <v>46</v>
      </c>
      <c r="B50" s="8" t="inlineStr">
        <is>
          <t>ADDRESS</t>
        </is>
      </c>
      <c r="C50" s="6" t="inlineStr">
        <is>
          <t>Soal Tes #1</t>
        </is>
      </c>
      <c r="D50" s="33" t="inlineStr">
        <is>
          <t>ADDRESS!E22</t>
        </is>
      </c>
      <c r="E50" s="22" t="inlineStr">
        <is>
          <t>'=ADDRESS(21, 3)</t>
        </is>
      </c>
      <c r="F50" s="34">
        <f>ADDRESS(21, 3)</f>
        <v/>
      </c>
      <c r="G50" s="19" t="inlineStr">
        <is>
          <t>Bentuk teks alamat koordinat sel untuk nomor baris 21 dan nomor kolom 3 menggunakan fungsi ADDRESS!</t>
        </is>
      </c>
    </row>
    <row r="51">
      <c r="A51" s="5" t="n">
        <v>47</v>
      </c>
      <c r="B51" s="8" t="inlineStr">
        <is>
          <t>ADDRESS</t>
        </is>
      </c>
      <c r="C51" s="6" t="inlineStr">
        <is>
          <t>Soal Tes #2</t>
        </is>
      </c>
      <c r="D51" s="33" t="inlineStr">
        <is>
          <t>ADDRESS!E30</t>
        </is>
      </c>
      <c r="E51" s="22" t="inlineStr">
        <is>
          <t>'=ADDRESS(29, 3)</t>
        </is>
      </c>
      <c r="F51" s="34">
        <f>ADDRESS(29, 3)</f>
        <v/>
      </c>
      <c r="G51" s="19" t="inlineStr">
        <is>
          <t>Bentuk teks alamat koordinat sel untuk nomor baris 29 dan nomor kolom 3 menggunakan fungsi ADDRESS!</t>
        </is>
      </c>
    </row>
    <row r="52">
      <c r="A52" s="5" t="n">
        <v>48</v>
      </c>
      <c r="B52" s="8" t="inlineStr">
        <is>
          <t>ADDRESS</t>
        </is>
      </c>
      <c r="C52" s="6" t="inlineStr">
        <is>
          <t>Soal Tes #3</t>
        </is>
      </c>
      <c r="D52" s="33" t="inlineStr">
        <is>
          <t>ADDRESS!E38</t>
        </is>
      </c>
      <c r="E52" s="22" t="inlineStr">
        <is>
          <t>'=ADDRESS(37, 3)</t>
        </is>
      </c>
      <c r="F52" s="34">
        <f>ADDRESS(37, 3)</f>
        <v/>
      </c>
      <c r="G52" s="19" t="inlineStr">
        <is>
          <t>Bentuk teks alamat koordinat sel untuk nomor baris 37 dan nomor kolom 3 menggunakan fungsi ADDRESS!</t>
        </is>
      </c>
    </row>
    <row r="53">
      <c r="A53" s="5" t="n">
        <v>49</v>
      </c>
      <c r="B53" s="8" t="inlineStr">
        <is>
          <t>ADDRESS</t>
        </is>
      </c>
      <c r="C53" s="6" t="inlineStr">
        <is>
          <t>Soal Tes #4</t>
        </is>
      </c>
      <c r="D53" s="33" t="inlineStr">
        <is>
          <t>ADDRESS!E46</t>
        </is>
      </c>
      <c r="E53" s="22" t="inlineStr">
        <is>
          <t>'=ADDRESS(45, 3)</t>
        </is>
      </c>
      <c r="F53" s="34">
        <f>ADDRESS(45, 3)</f>
        <v/>
      </c>
      <c r="G53" s="19" t="inlineStr">
        <is>
          <t>Bentuk teks alamat koordinat sel untuk nomor baris 45 dan nomor kolom 3 menggunakan fungsi ADDRESS!</t>
        </is>
      </c>
    </row>
    <row r="54">
      <c r="A54" s="5" t="n">
        <v>50</v>
      </c>
      <c r="B54" s="8" t="inlineStr">
        <is>
          <t>ADDRESS</t>
        </is>
      </c>
      <c r="C54" s="6" t="inlineStr">
        <is>
          <t>Soal Tes #5</t>
        </is>
      </c>
      <c r="D54" s="33" t="inlineStr">
        <is>
          <t>ADDRESS!E54</t>
        </is>
      </c>
      <c r="E54" s="22" t="inlineStr">
        <is>
          <t>'=ADDRESS(53, 3)</t>
        </is>
      </c>
      <c r="F54" s="34">
        <f>ADDRESS(53, 3)</f>
        <v/>
      </c>
      <c r="G54" s="19" t="inlineStr">
        <is>
          <t>Bentuk teks alamat koordinat sel untuk nomor baris 53 dan nomor kolom 3 menggunakan fungsi ADDRESS!</t>
        </is>
      </c>
    </row>
    <row r="55">
      <c r="A55" s="5" t="n">
        <v>51</v>
      </c>
      <c r="B55" s="8" t="inlineStr">
        <is>
          <t>OFFSET</t>
        </is>
      </c>
      <c r="C55" s="6" t="inlineStr">
        <is>
          <t>Soal Tes #1</t>
        </is>
      </c>
      <c r="D55" s="33" t="inlineStr">
        <is>
          <t>OFFSET!E22</t>
        </is>
      </c>
      <c r="E55" s="22" t="inlineStr">
        <is>
          <t>'=OFFSET(C21, 1, 0)</t>
        </is>
      </c>
      <c r="F55" s="34">
        <f>OFFSET('OFFSET'!C21, 1, 0)</f>
        <v/>
      </c>
      <c r="G55" s="19" t="inlineStr">
        <is>
          <t>Ambil nilai sel yang bergeser 1 baris ke bawah dan 0 kolom ke samping dari titik awal C21 menggunakan fungsi OFFSET!</t>
        </is>
      </c>
    </row>
    <row r="56">
      <c r="A56" s="5" t="n">
        <v>52</v>
      </c>
      <c r="B56" s="8" t="inlineStr">
        <is>
          <t>OFFSET</t>
        </is>
      </c>
      <c r="C56" s="6" t="inlineStr">
        <is>
          <t>Soal Tes #2</t>
        </is>
      </c>
      <c r="D56" s="33" t="inlineStr">
        <is>
          <t>OFFSET!E30</t>
        </is>
      </c>
      <c r="E56" s="22" t="inlineStr">
        <is>
          <t>'=OFFSET(C29, 1, 0)</t>
        </is>
      </c>
      <c r="F56" s="34">
        <f>OFFSET('OFFSET'!C29, 1, 0)</f>
        <v/>
      </c>
      <c r="G56" s="19" t="inlineStr">
        <is>
          <t>Ambil nilai sel yang bergeser 1 baris ke bawah dan 0 kolom ke samping dari titik awal C29 menggunakan fungsi OFFSET!</t>
        </is>
      </c>
    </row>
    <row r="57">
      <c r="A57" s="5" t="n">
        <v>53</v>
      </c>
      <c r="B57" s="8" t="inlineStr">
        <is>
          <t>OFFSET</t>
        </is>
      </c>
      <c r="C57" s="6" t="inlineStr">
        <is>
          <t>Soal Tes #3</t>
        </is>
      </c>
      <c r="D57" s="33" t="inlineStr">
        <is>
          <t>OFFSET!E38</t>
        </is>
      </c>
      <c r="E57" s="22" t="inlineStr">
        <is>
          <t>'=OFFSET(C37, 1, 0)</t>
        </is>
      </c>
      <c r="F57" s="34">
        <f>OFFSET('OFFSET'!C37, 1, 0)</f>
        <v/>
      </c>
      <c r="G57" s="19" t="inlineStr">
        <is>
          <t>Ambil nilai sel yang bergeser 1 baris ke bawah dan 0 kolom ke samping dari titik awal C37 menggunakan fungsi OFFSET!</t>
        </is>
      </c>
    </row>
    <row r="58">
      <c r="A58" s="5" t="n">
        <v>54</v>
      </c>
      <c r="B58" s="8" t="inlineStr">
        <is>
          <t>OFFSET</t>
        </is>
      </c>
      <c r="C58" s="6" t="inlineStr">
        <is>
          <t>Soal Tes #4</t>
        </is>
      </c>
      <c r="D58" s="33" t="inlineStr">
        <is>
          <t>OFFSET!E46</t>
        </is>
      </c>
      <c r="E58" s="22" t="inlineStr">
        <is>
          <t>'=OFFSET(C45, 1, 0)</t>
        </is>
      </c>
      <c r="F58" s="34">
        <f>OFFSET('OFFSET'!C45, 1, 0)</f>
        <v/>
      </c>
      <c r="G58" s="19" t="inlineStr">
        <is>
          <t>Ambil nilai sel yang bergeser 1 baris ke bawah dan 0 kolom ke samping dari titik awal C45 menggunakan fungsi OFFSET!</t>
        </is>
      </c>
    </row>
    <row r="59">
      <c r="A59" s="5" t="n">
        <v>55</v>
      </c>
      <c r="B59" s="8" t="inlineStr">
        <is>
          <t>OFFSET</t>
        </is>
      </c>
      <c r="C59" s="6" t="inlineStr">
        <is>
          <t>Soal Tes #5</t>
        </is>
      </c>
      <c r="D59" s="33" t="inlineStr">
        <is>
          <t>OFFSET!E54</t>
        </is>
      </c>
      <c r="E59" s="22" t="inlineStr">
        <is>
          <t>'=OFFSET(C53, 1, 0)</t>
        </is>
      </c>
      <c r="F59" s="34">
        <f>OFFSET('OFFSET'!C53, 1, 0)</f>
        <v/>
      </c>
      <c r="G59" s="19" t="inlineStr">
        <is>
          <t>Ambil nilai sel yang bergeser 1 baris ke bawah dan 0 kolom ke samping dari titik awal C53 menggunakan fungsi OFFSET!</t>
        </is>
      </c>
    </row>
    <row r="60">
      <c r="A60" s="5" t="n">
        <v>56</v>
      </c>
      <c r="B60" s="8" t="inlineStr">
        <is>
          <t>INDIRECT</t>
        </is>
      </c>
      <c r="C60" s="6" t="inlineStr">
        <is>
          <t>Soal Tes #1</t>
        </is>
      </c>
      <c r="D60" s="33" t="inlineStr">
        <is>
          <t>INDIRECT!E22</t>
        </is>
      </c>
      <c r="E60" s="22" t="inlineStr">
        <is>
          <t>'=INDIRECT("C21")</t>
        </is>
      </c>
      <c r="F60" s="34">
        <f>INDIRECT("'INDIRECT'!C21")</f>
        <v/>
      </c>
      <c r="G60" s="19" t="inlineStr">
        <is>
          <t>Ambil isi sel berdasarkan teks alamat "C21" menggunakan fungsi INDIRECT!</t>
        </is>
      </c>
    </row>
    <row r="61">
      <c r="A61" s="5" t="n">
        <v>57</v>
      </c>
      <c r="B61" s="8" t="inlineStr">
        <is>
          <t>INDIRECT</t>
        </is>
      </c>
      <c r="C61" s="6" t="inlineStr">
        <is>
          <t>Soal Tes #2</t>
        </is>
      </c>
      <c r="D61" s="33" t="inlineStr">
        <is>
          <t>INDIRECT!E30</t>
        </is>
      </c>
      <c r="E61" s="22" t="inlineStr">
        <is>
          <t>'=INDIRECT("C29")</t>
        </is>
      </c>
      <c r="F61" s="34">
        <f>INDIRECT("'INDIRECT'!C29")</f>
        <v/>
      </c>
      <c r="G61" s="19" t="inlineStr">
        <is>
          <t>Ambil isi sel berdasarkan teks alamat "C29" menggunakan fungsi INDIRECT!</t>
        </is>
      </c>
    </row>
    <row r="62">
      <c r="A62" s="5" t="n">
        <v>58</v>
      </c>
      <c r="B62" s="8" t="inlineStr">
        <is>
          <t>INDIRECT</t>
        </is>
      </c>
      <c r="C62" s="6" t="inlineStr">
        <is>
          <t>Soal Tes #3</t>
        </is>
      </c>
      <c r="D62" s="33" t="inlineStr">
        <is>
          <t>INDIRECT!E38</t>
        </is>
      </c>
      <c r="E62" s="22" t="inlineStr">
        <is>
          <t>'=INDIRECT("C37")</t>
        </is>
      </c>
      <c r="F62" s="34">
        <f>INDIRECT("'INDIRECT'!C37")</f>
        <v/>
      </c>
      <c r="G62" s="19" t="inlineStr">
        <is>
          <t>Ambil isi sel berdasarkan teks alamat "C37" menggunakan fungsi INDIRECT!</t>
        </is>
      </c>
    </row>
    <row r="63">
      <c r="A63" s="5" t="n">
        <v>59</v>
      </c>
      <c r="B63" s="8" t="inlineStr">
        <is>
          <t>INDIRECT</t>
        </is>
      </c>
      <c r="C63" s="6" t="inlineStr">
        <is>
          <t>Soal Tes #4</t>
        </is>
      </c>
      <c r="D63" s="33" t="inlineStr">
        <is>
          <t>INDIRECT!E46</t>
        </is>
      </c>
      <c r="E63" s="22" t="inlineStr">
        <is>
          <t>'=INDIRECT("C45")</t>
        </is>
      </c>
      <c r="F63" s="34">
        <f>INDIRECT("'INDIRECT'!C45")</f>
        <v/>
      </c>
      <c r="G63" s="19" t="inlineStr">
        <is>
          <t>Ambil isi sel berdasarkan teks alamat "C45" menggunakan fungsi INDIRECT!</t>
        </is>
      </c>
    </row>
    <row r="64">
      <c r="A64" s="5" t="n">
        <v>60</v>
      </c>
      <c r="B64" s="8" t="inlineStr">
        <is>
          <t>INDIRECT</t>
        </is>
      </c>
      <c r="C64" s="6" t="inlineStr">
        <is>
          <t>Soal Tes #5</t>
        </is>
      </c>
      <c r="D64" s="33" t="inlineStr">
        <is>
          <t>INDIRECT!E54</t>
        </is>
      </c>
      <c r="E64" s="22" t="inlineStr">
        <is>
          <t>'=INDIRECT("C53")</t>
        </is>
      </c>
      <c r="F64" s="34">
        <f>INDIRECT("'INDIRECT'!C53")</f>
        <v/>
      </c>
      <c r="G64" s="19" t="inlineStr">
        <is>
          <t>Ambil isi sel berdasarkan teks alamat "C53" menggunakan fungsi INDIRECT!</t>
        </is>
      </c>
    </row>
    <row r="65">
      <c r="A65" s="5" t="n">
        <v>61</v>
      </c>
      <c r="B65" s="8" t="inlineStr">
        <is>
          <t>LEFT</t>
        </is>
      </c>
      <c r="C65" s="6" t="inlineStr">
        <is>
          <t>Soal Tes #1</t>
        </is>
      </c>
      <c r="D65" s="33" t="inlineStr">
        <is>
          <t>LEFT!E22</t>
        </is>
      </c>
      <c r="E65" s="22" t="inlineStr">
        <is>
          <t>'=LEFT(C21, 3)</t>
        </is>
      </c>
      <c r="F65" s="34">
        <f>LEFT('LEFT'!C21, 3)</f>
        <v/>
      </c>
      <c r="G65" s="19" t="inlineStr">
        <is>
          <t>Ekstrak 3 karakter dari kode SKU di sel C21 ("JKT-100-A") menggunakan fungsi teks LEFT!</t>
        </is>
      </c>
    </row>
    <row r="66">
      <c r="A66" s="5" t="n">
        <v>62</v>
      </c>
      <c r="B66" s="8" t="inlineStr">
        <is>
          <t>LEFT</t>
        </is>
      </c>
      <c r="C66" s="6" t="inlineStr">
        <is>
          <t>Soal Tes #2</t>
        </is>
      </c>
      <c r="D66" s="33" t="inlineStr">
        <is>
          <t>LEFT!E30</t>
        </is>
      </c>
      <c r="E66" s="22" t="inlineStr">
        <is>
          <t>'=LEFT(C29, 3)</t>
        </is>
      </c>
      <c r="F66" s="34">
        <f>LEFT('LEFT'!C29, 3)</f>
        <v/>
      </c>
      <c r="G66" s="19" t="inlineStr">
        <is>
          <t>Ekstrak 3 karakter dari kode SKU di sel C29 ("JKT-101-A") menggunakan fungsi teks LEFT!</t>
        </is>
      </c>
    </row>
    <row r="67">
      <c r="A67" s="5" t="n">
        <v>63</v>
      </c>
      <c r="B67" s="8" t="inlineStr">
        <is>
          <t>LEFT</t>
        </is>
      </c>
      <c r="C67" s="6" t="inlineStr">
        <is>
          <t>Soal Tes #3</t>
        </is>
      </c>
      <c r="D67" s="33" t="inlineStr">
        <is>
          <t>LEFT!E38</t>
        </is>
      </c>
      <c r="E67" s="22" t="inlineStr">
        <is>
          <t>'=LEFT(C37, 3)</t>
        </is>
      </c>
      <c r="F67" s="34">
        <f>LEFT('LEFT'!C37, 3)</f>
        <v/>
      </c>
      <c r="G67" s="19" t="inlineStr">
        <is>
          <t>Ekstrak 3 karakter dari kode SKU di sel C37 ("JKT-102-A") menggunakan fungsi teks LEFT!</t>
        </is>
      </c>
    </row>
    <row r="68">
      <c r="A68" s="5" t="n">
        <v>64</v>
      </c>
      <c r="B68" s="8" t="inlineStr">
        <is>
          <t>LEFT</t>
        </is>
      </c>
      <c r="C68" s="6" t="inlineStr">
        <is>
          <t>Soal Tes #4</t>
        </is>
      </c>
      <c r="D68" s="33" t="inlineStr">
        <is>
          <t>LEFT!E46</t>
        </is>
      </c>
      <c r="E68" s="22" t="inlineStr">
        <is>
          <t>'=LEFT(C45, 3)</t>
        </is>
      </c>
      <c r="F68" s="34">
        <f>LEFT('LEFT'!C45, 3)</f>
        <v/>
      </c>
      <c r="G68" s="19" t="inlineStr">
        <is>
          <t>Ekstrak 3 karakter dari kode SKU di sel C45 ("JKT-103-A") menggunakan fungsi teks LEFT!</t>
        </is>
      </c>
    </row>
    <row r="69">
      <c r="A69" s="5" t="n">
        <v>65</v>
      </c>
      <c r="B69" s="8" t="inlineStr">
        <is>
          <t>LEFT</t>
        </is>
      </c>
      <c r="C69" s="6" t="inlineStr">
        <is>
          <t>Soal Tes #5</t>
        </is>
      </c>
      <c r="D69" s="33" t="inlineStr">
        <is>
          <t>LEFT!E54</t>
        </is>
      </c>
      <c r="E69" s="22" t="inlineStr">
        <is>
          <t>'=LEFT(C53, 3)</t>
        </is>
      </c>
      <c r="F69" s="34">
        <f>LEFT('LEFT'!C53, 3)</f>
        <v/>
      </c>
      <c r="G69" s="19" t="inlineStr">
        <is>
          <t>Ekstrak 3 karakter dari kode SKU di sel C53 ("JKT-104-A") menggunakan fungsi teks LEFT!</t>
        </is>
      </c>
    </row>
    <row r="70">
      <c r="A70" s="5" t="n">
        <v>66</v>
      </c>
      <c r="B70" s="8" t="inlineStr">
        <is>
          <t>RIGHT</t>
        </is>
      </c>
      <c r="C70" s="6" t="inlineStr">
        <is>
          <t>Soal Tes #1</t>
        </is>
      </c>
      <c r="D70" s="33" t="inlineStr">
        <is>
          <t>RIGHT!E22</t>
        </is>
      </c>
      <c r="E70" s="22" t="inlineStr">
        <is>
          <t>'=RIGHT(C21, 3)</t>
        </is>
      </c>
      <c r="F70" s="34">
        <f>RIGHT('RIGHT'!C21, 3)</f>
        <v/>
      </c>
      <c r="G70" s="19" t="inlineStr">
        <is>
          <t>Ekstrak 3 karakter dari kode SKU di sel C21 ("JKT-100-A") menggunakan fungsi teks RIGHT!</t>
        </is>
      </c>
    </row>
    <row r="71">
      <c r="A71" s="5" t="n">
        <v>67</v>
      </c>
      <c r="B71" s="8" t="inlineStr">
        <is>
          <t>RIGHT</t>
        </is>
      </c>
      <c r="C71" s="6" t="inlineStr">
        <is>
          <t>Soal Tes #2</t>
        </is>
      </c>
      <c r="D71" s="33" t="inlineStr">
        <is>
          <t>RIGHT!E30</t>
        </is>
      </c>
      <c r="E71" s="22" t="inlineStr">
        <is>
          <t>'=RIGHT(C29, 3)</t>
        </is>
      </c>
      <c r="F71" s="34">
        <f>RIGHT('RIGHT'!C29, 3)</f>
        <v/>
      </c>
      <c r="G71" s="19" t="inlineStr">
        <is>
          <t>Ekstrak 3 karakter dari kode SKU di sel C29 ("JKT-101-A") menggunakan fungsi teks RIGHT!</t>
        </is>
      </c>
    </row>
    <row r="72">
      <c r="A72" s="5" t="n">
        <v>68</v>
      </c>
      <c r="B72" s="8" t="inlineStr">
        <is>
          <t>RIGHT</t>
        </is>
      </c>
      <c r="C72" s="6" t="inlineStr">
        <is>
          <t>Soal Tes #3</t>
        </is>
      </c>
      <c r="D72" s="33" t="inlineStr">
        <is>
          <t>RIGHT!E38</t>
        </is>
      </c>
      <c r="E72" s="22" t="inlineStr">
        <is>
          <t>'=RIGHT(C37, 3)</t>
        </is>
      </c>
      <c r="F72" s="34">
        <f>RIGHT('RIGHT'!C37, 3)</f>
        <v/>
      </c>
      <c r="G72" s="19" t="inlineStr">
        <is>
          <t>Ekstrak 3 karakter dari kode SKU di sel C37 ("JKT-102-A") menggunakan fungsi teks RIGHT!</t>
        </is>
      </c>
    </row>
    <row r="73">
      <c r="A73" s="5" t="n">
        <v>69</v>
      </c>
      <c r="B73" s="8" t="inlineStr">
        <is>
          <t>RIGHT</t>
        </is>
      </c>
      <c r="C73" s="6" t="inlineStr">
        <is>
          <t>Soal Tes #4</t>
        </is>
      </c>
      <c r="D73" s="33" t="inlineStr">
        <is>
          <t>RIGHT!E46</t>
        </is>
      </c>
      <c r="E73" s="22" t="inlineStr">
        <is>
          <t>'=RIGHT(C45, 3)</t>
        </is>
      </c>
      <c r="F73" s="34">
        <f>RIGHT('RIGHT'!C45, 3)</f>
        <v/>
      </c>
      <c r="G73" s="19" t="inlineStr">
        <is>
          <t>Ekstrak 3 karakter dari kode SKU di sel C45 ("JKT-103-A") menggunakan fungsi teks RIGHT!</t>
        </is>
      </c>
    </row>
    <row r="74">
      <c r="A74" s="5" t="n">
        <v>70</v>
      </c>
      <c r="B74" s="8" t="inlineStr">
        <is>
          <t>RIGHT</t>
        </is>
      </c>
      <c r="C74" s="6" t="inlineStr">
        <is>
          <t>Soal Tes #5</t>
        </is>
      </c>
      <c r="D74" s="33" t="inlineStr">
        <is>
          <t>RIGHT!E54</t>
        </is>
      </c>
      <c r="E74" s="22" t="inlineStr">
        <is>
          <t>'=RIGHT(C53, 3)</t>
        </is>
      </c>
      <c r="F74" s="34">
        <f>RIGHT('RIGHT'!C53, 3)</f>
        <v/>
      </c>
      <c r="G74" s="19" t="inlineStr">
        <is>
          <t>Ekstrak 3 karakter dari kode SKU di sel C53 ("JKT-104-A") menggunakan fungsi teks RIGHT!</t>
        </is>
      </c>
    </row>
    <row r="75">
      <c r="A75" s="5" t="n">
        <v>71</v>
      </c>
      <c r="B75" s="8" t="inlineStr">
        <is>
          <t>MID</t>
        </is>
      </c>
      <c r="C75" s="6" t="inlineStr">
        <is>
          <t>Soal Tes #1</t>
        </is>
      </c>
      <c r="D75" s="33" t="inlineStr">
        <is>
          <t>MID!E22</t>
        </is>
      </c>
      <c r="E75" s="22" t="inlineStr">
        <is>
          <t>'=MID(C21, 5, 4)</t>
        </is>
      </c>
      <c r="F75" s="34">
        <f>MID('MID'!C21, 5, 4)</f>
        <v/>
      </c>
      <c r="G75" s="19" t="inlineStr">
        <is>
          <t>Ambil 4 karakter angka tahun dari nomor invoice di sel C21 ("INV-2021-01") mulai karakter ke-5 menggunakan fungsi MID!</t>
        </is>
      </c>
    </row>
    <row r="76">
      <c r="A76" s="5" t="n">
        <v>72</v>
      </c>
      <c r="B76" s="8" t="inlineStr">
        <is>
          <t>MID</t>
        </is>
      </c>
      <c r="C76" s="6" t="inlineStr">
        <is>
          <t>Soal Tes #2</t>
        </is>
      </c>
      <c r="D76" s="33" t="inlineStr">
        <is>
          <t>MID!E30</t>
        </is>
      </c>
      <c r="E76" s="22" t="inlineStr">
        <is>
          <t>'=MID(C29, 5, 4)</t>
        </is>
      </c>
      <c r="F76" s="34">
        <f>MID('MID'!C29, 5, 4)</f>
        <v/>
      </c>
      <c r="G76" s="19" t="inlineStr">
        <is>
          <t>Ambil 4 karakter angka tahun dari nomor invoice di sel C29 ("INV-2022-02") mulai karakter ke-5 menggunakan fungsi MID!</t>
        </is>
      </c>
    </row>
    <row r="77">
      <c r="A77" s="5" t="n">
        <v>73</v>
      </c>
      <c r="B77" s="8" t="inlineStr">
        <is>
          <t>MID</t>
        </is>
      </c>
      <c r="C77" s="6" t="inlineStr">
        <is>
          <t>Soal Tes #3</t>
        </is>
      </c>
      <c r="D77" s="33" t="inlineStr">
        <is>
          <t>MID!E38</t>
        </is>
      </c>
      <c r="E77" s="22" t="inlineStr">
        <is>
          <t>'=MID(C37, 5, 4)</t>
        </is>
      </c>
      <c r="F77" s="34">
        <f>MID('MID'!C37, 5, 4)</f>
        <v/>
      </c>
      <c r="G77" s="19" t="inlineStr">
        <is>
          <t>Ambil 4 karakter angka tahun dari nomor invoice di sel C37 ("INV-2023-03") mulai karakter ke-5 menggunakan fungsi MID!</t>
        </is>
      </c>
    </row>
    <row r="78">
      <c r="A78" s="5" t="n">
        <v>74</v>
      </c>
      <c r="B78" s="8" t="inlineStr">
        <is>
          <t>MID</t>
        </is>
      </c>
      <c r="C78" s="6" t="inlineStr">
        <is>
          <t>Soal Tes #4</t>
        </is>
      </c>
      <c r="D78" s="33" t="inlineStr">
        <is>
          <t>MID!E46</t>
        </is>
      </c>
      <c r="E78" s="22" t="inlineStr">
        <is>
          <t>'=MID(C45, 5, 4)</t>
        </is>
      </c>
      <c r="F78" s="34">
        <f>MID('MID'!C45, 5, 4)</f>
        <v/>
      </c>
      <c r="G78" s="19" t="inlineStr">
        <is>
          <t>Ambil 4 karakter angka tahun dari nomor invoice di sel C45 ("INV-2024-04") mulai karakter ke-5 menggunakan fungsi MID!</t>
        </is>
      </c>
    </row>
    <row r="79">
      <c r="A79" s="5" t="n">
        <v>75</v>
      </c>
      <c r="B79" s="8" t="inlineStr">
        <is>
          <t>MID</t>
        </is>
      </c>
      <c r="C79" s="6" t="inlineStr">
        <is>
          <t>Soal Tes #5</t>
        </is>
      </c>
      <c r="D79" s="33" t="inlineStr">
        <is>
          <t>MID!E54</t>
        </is>
      </c>
      <c r="E79" s="22" t="inlineStr">
        <is>
          <t>'=MID(C53, 5, 4)</t>
        </is>
      </c>
      <c r="F79" s="34">
        <f>MID('MID'!C53, 5, 4)</f>
        <v/>
      </c>
      <c r="G79" s="19" t="inlineStr">
        <is>
          <t>Ambil 4 karakter angka tahun dari nomor invoice di sel C53 ("INV-2025-05") mulai karakter ke-5 menggunakan fungsi MID!</t>
        </is>
      </c>
    </row>
    <row r="80">
      <c r="A80" s="5" t="n">
        <v>76</v>
      </c>
      <c r="B80" s="8" t="inlineStr">
        <is>
          <t>LEN</t>
        </is>
      </c>
      <c r="C80" s="6" t="inlineStr">
        <is>
          <t>Soal Tes #1</t>
        </is>
      </c>
      <c r="D80" s="33" t="inlineStr">
        <is>
          <t>LEN!E22</t>
        </is>
      </c>
      <c r="E80" s="22" t="inlineStr">
        <is>
          <t>'=LEN(C21)</t>
        </is>
      </c>
      <c r="F80" s="34">
        <f>LEN('LEN'!C21)</f>
        <v/>
      </c>
      <c r="G80" s="19" t="inlineStr">
        <is>
          <t>Olahlah teks pada sel C21 ("budi santoso") menggunakan fungsi teks LEN!</t>
        </is>
      </c>
    </row>
    <row r="81">
      <c r="A81" s="5" t="n">
        <v>77</v>
      </c>
      <c r="B81" s="8" t="inlineStr">
        <is>
          <t>LEN</t>
        </is>
      </c>
      <c r="C81" s="6" t="inlineStr">
        <is>
          <t>Soal Tes #2</t>
        </is>
      </c>
      <c r="D81" s="33" t="inlineStr">
        <is>
          <t>LEN!E30</t>
        </is>
      </c>
      <c r="E81" s="22" t="inlineStr">
        <is>
          <t>'=LEN(C29)</t>
        </is>
      </c>
      <c r="F81" s="34">
        <f>LEN('LEN'!C29)</f>
        <v/>
      </c>
      <c r="G81" s="19" t="inlineStr">
        <is>
          <t>Olahlah teks pada sel C29 ("siti aminah") menggunakan fungsi teks LEN!</t>
        </is>
      </c>
    </row>
    <row r="82">
      <c r="A82" s="5" t="n">
        <v>78</v>
      </c>
      <c r="B82" s="8" t="inlineStr">
        <is>
          <t>LEN</t>
        </is>
      </c>
      <c r="C82" s="6" t="inlineStr">
        <is>
          <t>Soal Tes #3</t>
        </is>
      </c>
      <c r="D82" s="33" t="inlineStr">
        <is>
          <t>LEN!E38</t>
        </is>
      </c>
      <c r="E82" s="22" t="inlineStr">
        <is>
          <t>'=LEN(C37)</t>
        </is>
      </c>
      <c r="F82" s="34">
        <f>LEN('LEN'!C37)</f>
        <v/>
      </c>
      <c r="G82" s="19" t="inlineStr">
        <is>
          <t>Olahlah teks pada sel C37 ("andi pratama") menggunakan fungsi teks LEN!</t>
        </is>
      </c>
    </row>
    <row r="83">
      <c r="A83" s="5" t="n">
        <v>79</v>
      </c>
      <c r="B83" s="8" t="inlineStr">
        <is>
          <t>LEN</t>
        </is>
      </c>
      <c r="C83" s="6" t="inlineStr">
        <is>
          <t>Soal Tes #4</t>
        </is>
      </c>
      <c r="D83" s="33" t="inlineStr">
        <is>
          <t>LEN!E46</t>
        </is>
      </c>
      <c r="E83" s="22" t="inlineStr">
        <is>
          <t>'=LEN(C45)</t>
        </is>
      </c>
      <c r="F83" s="34">
        <f>LEN('LEN'!C45)</f>
        <v/>
      </c>
      <c r="G83" s="19" t="inlineStr">
        <is>
          <t>Olahlah teks pada sel C45 ("rina wijaya") menggunakan fungsi teks LEN!</t>
        </is>
      </c>
    </row>
    <row r="84">
      <c r="A84" s="5" t="n">
        <v>80</v>
      </c>
      <c r="B84" s="8" t="inlineStr">
        <is>
          <t>LEN</t>
        </is>
      </c>
      <c r="C84" s="6" t="inlineStr">
        <is>
          <t>Soal Tes #5</t>
        </is>
      </c>
      <c r="D84" s="33" t="inlineStr">
        <is>
          <t>LEN!E54</t>
        </is>
      </c>
      <c r="E84" s="22" t="inlineStr">
        <is>
          <t>'=LEN(C53)</t>
        </is>
      </c>
      <c r="F84" s="34">
        <f>LEN('LEN'!C53)</f>
        <v/>
      </c>
      <c r="G84" s="19" t="inlineStr">
        <is>
          <t>Olahlah teks pada sel C53 ("dewi lestari") menggunakan fungsi teks LEN!</t>
        </is>
      </c>
    </row>
    <row r="85">
      <c r="A85" s="5" t="n">
        <v>81</v>
      </c>
      <c r="B85" s="8" t="inlineStr">
        <is>
          <t>TRIM</t>
        </is>
      </c>
      <c r="C85" s="6" t="inlineStr">
        <is>
          <t>Soal Tes #1</t>
        </is>
      </c>
      <c r="D85" s="33" t="inlineStr">
        <is>
          <t>TRIM!E22</t>
        </is>
      </c>
      <c r="E85" s="22" t="inlineStr">
        <is>
          <t>'=TRIM(C21)</t>
        </is>
      </c>
      <c r="F85" s="34">
        <f>TRIM('TRIM'!C21)</f>
        <v/>
      </c>
      <c r="G85" s="19" t="inlineStr">
        <is>
          <t>Bersihkan spasi berlebih pada teks di sel C21 menggunakan fungsi TRIM!</t>
        </is>
      </c>
    </row>
    <row r="86">
      <c r="A86" s="5" t="n">
        <v>82</v>
      </c>
      <c r="B86" s="8" t="inlineStr">
        <is>
          <t>TRIM</t>
        </is>
      </c>
      <c r="C86" s="6" t="inlineStr">
        <is>
          <t>Soal Tes #2</t>
        </is>
      </c>
      <c r="D86" s="33" t="inlineStr">
        <is>
          <t>TRIM!E30</t>
        </is>
      </c>
      <c r="E86" s="22" t="inlineStr">
        <is>
          <t>'=TRIM(C29)</t>
        </is>
      </c>
      <c r="F86" s="34">
        <f>TRIM('TRIM'!C29)</f>
        <v/>
      </c>
      <c r="G86" s="19" t="inlineStr">
        <is>
          <t>Bersihkan spasi berlebih pada teks di sel C29 menggunakan fungsi TRIM!</t>
        </is>
      </c>
    </row>
    <row r="87">
      <c r="A87" s="5" t="n">
        <v>83</v>
      </c>
      <c r="B87" s="8" t="inlineStr">
        <is>
          <t>TRIM</t>
        </is>
      </c>
      <c r="C87" s="6" t="inlineStr">
        <is>
          <t>Soal Tes #3</t>
        </is>
      </c>
      <c r="D87" s="33" t="inlineStr">
        <is>
          <t>TRIM!E38</t>
        </is>
      </c>
      <c r="E87" s="22" t="inlineStr">
        <is>
          <t>'=TRIM(C37)</t>
        </is>
      </c>
      <c r="F87" s="34">
        <f>TRIM('TRIM'!C37)</f>
        <v/>
      </c>
      <c r="G87" s="19" t="inlineStr">
        <is>
          <t>Bersihkan spasi berlebih pada teks di sel C37 menggunakan fungsi TRIM!</t>
        </is>
      </c>
    </row>
    <row r="88">
      <c r="A88" s="5" t="n">
        <v>84</v>
      </c>
      <c r="B88" s="8" t="inlineStr">
        <is>
          <t>TRIM</t>
        </is>
      </c>
      <c r="C88" s="6" t="inlineStr">
        <is>
          <t>Soal Tes #4</t>
        </is>
      </c>
      <c r="D88" s="33" t="inlineStr">
        <is>
          <t>TRIM!E46</t>
        </is>
      </c>
      <c r="E88" s="22" t="inlineStr">
        <is>
          <t>'=TRIM(C45)</t>
        </is>
      </c>
      <c r="F88" s="34">
        <f>TRIM('TRIM'!C45)</f>
        <v/>
      </c>
      <c r="G88" s="19" t="inlineStr">
        <is>
          <t>Bersihkan spasi berlebih pada teks di sel C45 menggunakan fungsi TRIM!</t>
        </is>
      </c>
    </row>
    <row r="89">
      <c r="A89" s="5" t="n">
        <v>85</v>
      </c>
      <c r="B89" s="8" t="inlineStr">
        <is>
          <t>TRIM</t>
        </is>
      </c>
      <c r="C89" s="6" t="inlineStr">
        <is>
          <t>Soal Tes #5</t>
        </is>
      </c>
      <c r="D89" s="33" t="inlineStr">
        <is>
          <t>TRIM!E54</t>
        </is>
      </c>
      <c r="E89" s="22" t="inlineStr">
        <is>
          <t>'=TRIM(C53)</t>
        </is>
      </c>
      <c r="F89" s="34">
        <f>TRIM('TRIM'!C53)</f>
        <v/>
      </c>
      <c r="G89" s="19" t="inlineStr">
        <is>
          <t>Bersihkan spasi berlebih pada teks di sel C53 menggunakan fungsi TRIM!</t>
        </is>
      </c>
    </row>
    <row r="90">
      <c r="A90" s="5" t="n">
        <v>86</v>
      </c>
      <c r="B90" s="8" t="inlineStr">
        <is>
          <t>CLEAN</t>
        </is>
      </c>
      <c r="C90" s="6" t="inlineStr">
        <is>
          <t>Soal Tes #1</t>
        </is>
      </c>
      <c r="D90" s="33" t="inlineStr">
        <is>
          <t>CLEAN!E22</t>
        </is>
      </c>
      <c r="E90" s="22" t="inlineStr">
        <is>
          <t>'=CLEAN(C21)</t>
        </is>
      </c>
      <c r="F90" s="34">
        <f>CLEAN('CLEAN'!C21)</f>
        <v/>
      </c>
      <c r="G90" s="19" t="inlineStr">
        <is>
          <t>Olahlah teks pada sel C21 ("budi santoso") menggunakan fungsi teks CLEAN!</t>
        </is>
      </c>
    </row>
    <row r="91">
      <c r="A91" s="5" t="n">
        <v>87</v>
      </c>
      <c r="B91" s="8" t="inlineStr">
        <is>
          <t>CLEAN</t>
        </is>
      </c>
      <c r="C91" s="6" t="inlineStr">
        <is>
          <t>Soal Tes #2</t>
        </is>
      </c>
      <c r="D91" s="33" t="inlineStr">
        <is>
          <t>CLEAN!E30</t>
        </is>
      </c>
      <c r="E91" s="22" t="inlineStr">
        <is>
          <t>'=CLEAN(C29)</t>
        </is>
      </c>
      <c r="F91" s="34">
        <f>CLEAN('CLEAN'!C29)</f>
        <v/>
      </c>
      <c r="G91" s="19" t="inlineStr">
        <is>
          <t>Olahlah teks pada sel C29 ("siti aminah") menggunakan fungsi teks CLEAN!</t>
        </is>
      </c>
    </row>
    <row r="92">
      <c r="A92" s="5" t="n">
        <v>88</v>
      </c>
      <c r="B92" s="8" t="inlineStr">
        <is>
          <t>CLEAN</t>
        </is>
      </c>
      <c r="C92" s="6" t="inlineStr">
        <is>
          <t>Soal Tes #3</t>
        </is>
      </c>
      <c r="D92" s="33" t="inlineStr">
        <is>
          <t>CLEAN!E38</t>
        </is>
      </c>
      <c r="E92" s="22" t="inlineStr">
        <is>
          <t>'=CLEAN(C37)</t>
        </is>
      </c>
      <c r="F92" s="34">
        <f>CLEAN('CLEAN'!C37)</f>
        <v/>
      </c>
      <c r="G92" s="19" t="inlineStr">
        <is>
          <t>Olahlah teks pada sel C37 ("andi pratama") menggunakan fungsi teks CLEAN!</t>
        </is>
      </c>
    </row>
    <row r="93">
      <c r="A93" s="5" t="n">
        <v>89</v>
      </c>
      <c r="B93" s="8" t="inlineStr">
        <is>
          <t>CLEAN</t>
        </is>
      </c>
      <c r="C93" s="6" t="inlineStr">
        <is>
          <t>Soal Tes #4</t>
        </is>
      </c>
      <c r="D93" s="33" t="inlineStr">
        <is>
          <t>CLEAN!E46</t>
        </is>
      </c>
      <c r="E93" s="22" t="inlineStr">
        <is>
          <t>'=CLEAN(C45)</t>
        </is>
      </c>
      <c r="F93" s="34">
        <f>CLEAN('CLEAN'!C45)</f>
        <v/>
      </c>
      <c r="G93" s="19" t="inlineStr">
        <is>
          <t>Olahlah teks pada sel C45 ("rina wijaya") menggunakan fungsi teks CLEAN!</t>
        </is>
      </c>
    </row>
    <row r="94">
      <c r="A94" s="5" t="n">
        <v>90</v>
      </c>
      <c r="B94" s="8" t="inlineStr">
        <is>
          <t>CLEAN</t>
        </is>
      </c>
      <c r="C94" s="6" t="inlineStr">
        <is>
          <t>Soal Tes #5</t>
        </is>
      </c>
      <c r="D94" s="33" t="inlineStr">
        <is>
          <t>CLEAN!E54</t>
        </is>
      </c>
      <c r="E94" s="22" t="inlineStr">
        <is>
          <t>'=CLEAN(C53)</t>
        </is>
      </c>
      <c r="F94" s="34">
        <f>CLEAN('CLEAN'!C53)</f>
        <v/>
      </c>
      <c r="G94" s="19" t="inlineStr">
        <is>
          <t>Olahlah teks pada sel C53 ("dewi lestari") menggunakan fungsi teks CLEAN!</t>
        </is>
      </c>
    </row>
    <row r="95">
      <c r="A95" s="5" t="n">
        <v>91</v>
      </c>
      <c r="B95" s="8" t="inlineStr">
        <is>
          <t>UPPER</t>
        </is>
      </c>
      <c r="C95" s="6" t="inlineStr">
        <is>
          <t>Soal Tes #1</t>
        </is>
      </c>
      <c r="D95" s="33" t="inlineStr">
        <is>
          <t>UPPER!E22</t>
        </is>
      </c>
      <c r="E95" s="22" t="inlineStr">
        <is>
          <t>'=UPPER(C21)</t>
        </is>
      </c>
      <c r="F95" s="34">
        <f>UPPER('UPPER'!C21)</f>
        <v/>
      </c>
      <c r="G95" s="19" t="inlineStr">
        <is>
          <t>Olahlah teks pada sel C21 ("budi santoso") menggunakan fungsi teks UPPER!</t>
        </is>
      </c>
    </row>
    <row r="96">
      <c r="A96" s="5" t="n">
        <v>92</v>
      </c>
      <c r="B96" s="8" t="inlineStr">
        <is>
          <t>UPPER</t>
        </is>
      </c>
      <c r="C96" s="6" t="inlineStr">
        <is>
          <t>Soal Tes #2</t>
        </is>
      </c>
      <c r="D96" s="33" t="inlineStr">
        <is>
          <t>UPPER!E30</t>
        </is>
      </c>
      <c r="E96" s="22" t="inlineStr">
        <is>
          <t>'=UPPER(C29)</t>
        </is>
      </c>
      <c r="F96" s="34">
        <f>UPPER('UPPER'!C29)</f>
        <v/>
      </c>
      <c r="G96" s="19" t="inlineStr">
        <is>
          <t>Olahlah teks pada sel C29 ("siti aminah") menggunakan fungsi teks UPPER!</t>
        </is>
      </c>
    </row>
    <row r="97">
      <c r="A97" s="5" t="n">
        <v>93</v>
      </c>
      <c r="B97" s="8" t="inlineStr">
        <is>
          <t>UPPER</t>
        </is>
      </c>
      <c r="C97" s="6" t="inlineStr">
        <is>
          <t>Soal Tes #3</t>
        </is>
      </c>
      <c r="D97" s="33" t="inlineStr">
        <is>
          <t>UPPER!E38</t>
        </is>
      </c>
      <c r="E97" s="22" t="inlineStr">
        <is>
          <t>'=UPPER(C37)</t>
        </is>
      </c>
      <c r="F97" s="34">
        <f>UPPER('UPPER'!C37)</f>
        <v/>
      </c>
      <c r="G97" s="19" t="inlineStr">
        <is>
          <t>Olahlah teks pada sel C37 ("andi pratama") menggunakan fungsi teks UPPER!</t>
        </is>
      </c>
    </row>
    <row r="98">
      <c r="A98" s="5" t="n">
        <v>94</v>
      </c>
      <c r="B98" s="8" t="inlineStr">
        <is>
          <t>UPPER</t>
        </is>
      </c>
      <c r="C98" s="6" t="inlineStr">
        <is>
          <t>Soal Tes #4</t>
        </is>
      </c>
      <c r="D98" s="33" t="inlineStr">
        <is>
          <t>UPPER!E46</t>
        </is>
      </c>
      <c r="E98" s="22" t="inlineStr">
        <is>
          <t>'=UPPER(C45)</t>
        </is>
      </c>
      <c r="F98" s="34">
        <f>UPPER('UPPER'!C45)</f>
        <v/>
      </c>
      <c r="G98" s="19" t="inlineStr">
        <is>
          <t>Olahlah teks pada sel C45 ("rina wijaya") menggunakan fungsi teks UPPER!</t>
        </is>
      </c>
    </row>
    <row r="99">
      <c r="A99" s="5" t="n">
        <v>95</v>
      </c>
      <c r="B99" s="8" t="inlineStr">
        <is>
          <t>UPPER</t>
        </is>
      </c>
      <c r="C99" s="6" t="inlineStr">
        <is>
          <t>Soal Tes #5</t>
        </is>
      </c>
      <c r="D99" s="33" t="inlineStr">
        <is>
          <t>UPPER!E54</t>
        </is>
      </c>
      <c r="E99" s="22" t="inlineStr">
        <is>
          <t>'=UPPER(C53)</t>
        </is>
      </c>
      <c r="F99" s="34">
        <f>UPPER('UPPER'!C53)</f>
        <v/>
      </c>
      <c r="G99" s="19" t="inlineStr">
        <is>
          <t>Olahlah teks pada sel C53 ("dewi lestari") menggunakan fungsi teks UPPER!</t>
        </is>
      </c>
    </row>
    <row r="100">
      <c r="A100" s="5" t="n">
        <v>96</v>
      </c>
      <c r="B100" s="8" t="inlineStr">
        <is>
          <t>LOWER</t>
        </is>
      </c>
      <c r="C100" s="6" t="inlineStr">
        <is>
          <t>Soal Tes #1</t>
        </is>
      </c>
      <c r="D100" s="33" t="inlineStr">
        <is>
          <t>LOWER!E22</t>
        </is>
      </c>
      <c r="E100" s="22" t="inlineStr">
        <is>
          <t>'=LOWER(C21)</t>
        </is>
      </c>
      <c r="F100" s="34">
        <f>LOWER('LOWER'!C21)</f>
        <v/>
      </c>
      <c r="G100" s="19" t="inlineStr">
        <is>
          <t>Olahlah teks pada sel C21 ("budi santoso") menggunakan fungsi teks LOWER!</t>
        </is>
      </c>
    </row>
    <row r="101">
      <c r="A101" s="5" t="n">
        <v>97</v>
      </c>
      <c r="B101" s="8" t="inlineStr">
        <is>
          <t>LOWER</t>
        </is>
      </c>
      <c r="C101" s="6" t="inlineStr">
        <is>
          <t>Soal Tes #2</t>
        </is>
      </c>
      <c r="D101" s="33" t="inlineStr">
        <is>
          <t>LOWER!E30</t>
        </is>
      </c>
      <c r="E101" s="22" t="inlineStr">
        <is>
          <t>'=LOWER(C29)</t>
        </is>
      </c>
      <c r="F101" s="34">
        <f>LOWER('LOWER'!C29)</f>
        <v/>
      </c>
      <c r="G101" s="19" t="inlineStr">
        <is>
          <t>Olahlah teks pada sel C29 ("siti aminah") menggunakan fungsi teks LOWER!</t>
        </is>
      </c>
    </row>
    <row r="102">
      <c r="A102" s="5" t="n">
        <v>98</v>
      </c>
      <c r="B102" s="8" t="inlineStr">
        <is>
          <t>LOWER</t>
        </is>
      </c>
      <c r="C102" s="6" t="inlineStr">
        <is>
          <t>Soal Tes #3</t>
        </is>
      </c>
      <c r="D102" s="33" t="inlineStr">
        <is>
          <t>LOWER!E38</t>
        </is>
      </c>
      <c r="E102" s="22" t="inlineStr">
        <is>
          <t>'=LOWER(C37)</t>
        </is>
      </c>
      <c r="F102" s="34">
        <f>LOWER('LOWER'!C37)</f>
        <v/>
      </c>
      <c r="G102" s="19" t="inlineStr">
        <is>
          <t>Olahlah teks pada sel C37 ("andi pratama") menggunakan fungsi teks LOWER!</t>
        </is>
      </c>
    </row>
    <row r="103">
      <c r="A103" s="5" t="n">
        <v>99</v>
      </c>
      <c r="B103" s="8" t="inlineStr">
        <is>
          <t>LOWER</t>
        </is>
      </c>
      <c r="C103" s="6" t="inlineStr">
        <is>
          <t>Soal Tes #4</t>
        </is>
      </c>
      <c r="D103" s="33" t="inlineStr">
        <is>
          <t>LOWER!E46</t>
        </is>
      </c>
      <c r="E103" s="22" t="inlineStr">
        <is>
          <t>'=LOWER(C45)</t>
        </is>
      </c>
      <c r="F103" s="34">
        <f>LOWER('LOWER'!C45)</f>
        <v/>
      </c>
      <c r="G103" s="19" t="inlineStr">
        <is>
          <t>Olahlah teks pada sel C45 ("rina wijaya") menggunakan fungsi teks LOWER!</t>
        </is>
      </c>
    </row>
    <row r="104">
      <c r="A104" s="5" t="n">
        <v>100</v>
      </c>
      <c r="B104" s="8" t="inlineStr">
        <is>
          <t>LOWER</t>
        </is>
      </c>
      <c r="C104" s="6" t="inlineStr">
        <is>
          <t>Soal Tes #5</t>
        </is>
      </c>
      <c r="D104" s="33" t="inlineStr">
        <is>
          <t>LOWER!E54</t>
        </is>
      </c>
      <c r="E104" s="22" t="inlineStr">
        <is>
          <t>'=LOWER(C53)</t>
        </is>
      </c>
      <c r="F104" s="34">
        <f>LOWER('LOWER'!C53)</f>
        <v/>
      </c>
      <c r="G104" s="19" t="inlineStr">
        <is>
          <t>Olahlah teks pada sel C53 ("dewi lestari") menggunakan fungsi teks LOWER!</t>
        </is>
      </c>
    </row>
    <row r="105">
      <c r="A105" s="5" t="n">
        <v>101</v>
      </c>
      <c r="B105" s="8" t="inlineStr">
        <is>
          <t>PROPER</t>
        </is>
      </c>
      <c r="C105" s="6" t="inlineStr">
        <is>
          <t>Soal Tes #1</t>
        </is>
      </c>
      <c r="D105" s="33" t="inlineStr">
        <is>
          <t>PROPER!E22</t>
        </is>
      </c>
      <c r="E105" s="22" t="inlineStr">
        <is>
          <t>'=PROPER(C21)</t>
        </is>
      </c>
      <c r="F105" s="34">
        <f>PROPER('PROPER'!C21)</f>
        <v/>
      </c>
      <c r="G105" s="19" t="inlineStr">
        <is>
          <t>Olahlah teks pada sel C21 ("budi santoso") menggunakan fungsi teks PROPER!</t>
        </is>
      </c>
    </row>
    <row r="106">
      <c r="A106" s="5" t="n">
        <v>102</v>
      </c>
      <c r="B106" s="8" t="inlineStr">
        <is>
          <t>PROPER</t>
        </is>
      </c>
      <c r="C106" s="6" t="inlineStr">
        <is>
          <t>Soal Tes #2</t>
        </is>
      </c>
      <c r="D106" s="33" t="inlineStr">
        <is>
          <t>PROPER!E30</t>
        </is>
      </c>
      <c r="E106" s="22" t="inlineStr">
        <is>
          <t>'=PROPER(C29)</t>
        </is>
      </c>
      <c r="F106" s="34">
        <f>PROPER('PROPER'!C29)</f>
        <v/>
      </c>
      <c r="G106" s="19" t="inlineStr">
        <is>
          <t>Olahlah teks pada sel C29 ("siti aminah") menggunakan fungsi teks PROPER!</t>
        </is>
      </c>
    </row>
    <row r="107">
      <c r="A107" s="5" t="n">
        <v>103</v>
      </c>
      <c r="B107" s="8" t="inlineStr">
        <is>
          <t>PROPER</t>
        </is>
      </c>
      <c r="C107" s="6" t="inlineStr">
        <is>
          <t>Soal Tes #3</t>
        </is>
      </c>
      <c r="D107" s="33" t="inlineStr">
        <is>
          <t>PROPER!E38</t>
        </is>
      </c>
      <c r="E107" s="22" t="inlineStr">
        <is>
          <t>'=PROPER(C37)</t>
        </is>
      </c>
      <c r="F107" s="34">
        <f>PROPER('PROPER'!C37)</f>
        <v/>
      </c>
      <c r="G107" s="19" t="inlineStr">
        <is>
          <t>Olahlah teks pada sel C37 ("andi pratama") menggunakan fungsi teks PROPER!</t>
        </is>
      </c>
    </row>
    <row r="108">
      <c r="A108" s="5" t="n">
        <v>104</v>
      </c>
      <c r="B108" s="8" t="inlineStr">
        <is>
          <t>PROPER</t>
        </is>
      </c>
      <c r="C108" s="6" t="inlineStr">
        <is>
          <t>Soal Tes #4</t>
        </is>
      </c>
      <c r="D108" s="33" t="inlineStr">
        <is>
          <t>PROPER!E46</t>
        </is>
      </c>
      <c r="E108" s="22" t="inlineStr">
        <is>
          <t>'=PROPER(C45)</t>
        </is>
      </c>
      <c r="F108" s="34">
        <f>PROPER('PROPER'!C45)</f>
        <v/>
      </c>
      <c r="G108" s="19" t="inlineStr">
        <is>
          <t>Olahlah teks pada sel C45 ("rina wijaya") menggunakan fungsi teks PROPER!</t>
        </is>
      </c>
    </row>
    <row r="109">
      <c r="A109" s="5" t="n">
        <v>105</v>
      </c>
      <c r="B109" s="8" t="inlineStr">
        <is>
          <t>PROPER</t>
        </is>
      </c>
      <c r="C109" s="6" t="inlineStr">
        <is>
          <t>Soal Tes #5</t>
        </is>
      </c>
      <c r="D109" s="33" t="inlineStr">
        <is>
          <t>PROPER!E54</t>
        </is>
      </c>
      <c r="E109" s="22" t="inlineStr">
        <is>
          <t>'=PROPER(C53)</t>
        </is>
      </c>
      <c r="F109" s="34">
        <f>PROPER('PROPER'!C53)</f>
        <v/>
      </c>
      <c r="G109" s="19" t="inlineStr">
        <is>
          <t>Olahlah teks pada sel C53 ("dewi lestari") menggunakan fungsi teks PROPER!</t>
        </is>
      </c>
    </row>
    <row r="110">
      <c r="A110" s="5" t="n">
        <v>106</v>
      </c>
      <c r="B110" s="8" t="inlineStr">
        <is>
          <t>CONCATENATE</t>
        </is>
      </c>
      <c r="C110" s="6" t="inlineStr">
        <is>
          <t>Soal Tes #1</t>
        </is>
      </c>
      <c r="D110" s="33" t="inlineStr">
        <is>
          <t>CONCATENATE!E22</t>
        </is>
      </c>
      <c r="E110" s="22" t="inlineStr">
        <is>
          <t>'=CONCATENATE(B21, " - ", C21)</t>
        </is>
      </c>
      <c r="F110" s="34">
        <f>CONCATENATE('CONCATENATE'!B21, " - ", 'CONCATENATE'!C21)</f>
        <v/>
      </c>
      <c r="G110" s="19" t="inlineStr">
        <is>
          <t>Gabungkan teks di sel B21, pemisah " - ", dan teks di sel C21 menggunakan fungsi CONCATENATE!</t>
        </is>
      </c>
    </row>
    <row r="111">
      <c r="A111" s="5" t="n">
        <v>107</v>
      </c>
      <c r="B111" s="8" t="inlineStr">
        <is>
          <t>CONCATENATE</t>
        </is>
      </c>
      <c r="C111" s="6" t="inlineStr">
        <is>
          <t>Soal Tes #2</t>
        </is>
      </c>
      <c r="D111" s="33" t="inlineStr">
        <is>
          <t>CONCATENATE!E30</t>
        </is>
      </c>
      <c r="E111" s="22" t="inlineStr">
        <is>
          <t>'=CONCATENATE(B29, " - ", C29)</t>
        </is>
      </c>
      <c r="F111" s="34">
        <f>CONCATENATE('CONCATENATE'!B29, " - ", 'CONCATENATE'!C29)</f>
        <v/>
      </c>
      <c r="G111" s="19" t="inlineStr">
        <is>
          <t>Gabungkan teks di sel B29, pemisah " - ", dan teks di sel C29 menggunakan fungsi CONCATENATE!</t>
        </is>
      </c>
    </row>
    <row r="112">
      <c r="A112" s="5" t="n">
        <v>108</v>
      </c>
      <c r="B112" s="8" t="inlineStr">
        <is>
          <t>CONCATENATE</t>
        </is>
      </c>
      <c r="C112" s="6" t="inlineStr">
        <is>
          <t>Soal Tes #3</t>
        </is>
      </c>
      <c r="D112" s="33" t="inlineStr">
        <is>
          <t>CONCATENATE!E38</t>
        </is>
      </c>
      <c r="E112" s="22" t="inlineStr">
        <is>
          <t>'=CONCATENATE(B37, " - ", C37)</t>
        </is>
      </c>
      <c r="F112" s="34">
        <f>CONCATENATE('CONCATENATE'!B37, " - ", 'CONCATENATE'!C37)</f>
        <v/>
      </c>
      <c r="G112" s="19" t="inlineStr">
        <is>
          <t>Gabungkan teks di sel B37, pemisah " - ", dan teks di sel C37 menggunakan fungsi CONCATENATE!</t>
        </is>
      </c>
    </row>
    <row r="113">
      <c r="A113" s="5" t="n">
        <v>109</v>
      </c>
      <c r="B113" s="8" t="inlineStr">
        <is>
          <t>CONCATENATE</t>
        </is>
      </c>
      <c r="C113" s="6" t="inlineStr">
        <is>
          <t>Soal Tes #4</t>
        </is>
      </c>
      <c r="D113" s="33" t="inlineStr">
        <is>
          <t>CONCATENATE!E46</t>
        </is>
      </c>
      <c r="E113" s="22" t="inlineStr">
        <is>
          <t>'=CONCATENATE(B45, " - ", C45)</t>
        </is>
      </c>
      <c r="F113" s="34">
        <f>CONCATENATE('CONCATENATE'!B45, " - ", 'CONCATENATE'!C45)</f>
        <v/>
      </c>
      <c r="G113" s="19" t="inlineStr">
        <is>
          <t>Gabungkan teks di sel B45, pemisah " - ", dan teks di sel C45 menggunakan fungsi CONCATENATE!</t>
        </is>
      </c>
    </row>
    <row r="114">
      <c r="A114" s="5" t="n">
        <v>110</v>
      </c>
      <c r="B114" s="8" t="inlineStr">
        <is>
          <t>CONCATENATE</t>
        </is>
      </c>
      <c r="C114" s="6" t="inlineStr">
        <is>
          <t>Soal Tes #5</t>
        </is>
      </c>
      <c r="D114" s="33" t="inlineStr">
        <is>
          <t>CONCATENATE!E54</t>
        </is>
      </c>
      <c r="E114" s="22" t="inlineStr">
        <is>
          <t>'=CONCATENATE(B53, " - ", C53)</t>
        </is>
      </c>
      <c r="F114" s="34">
        <f>CONCATENATE('CONCATENATE'!B53, " - ", 'CONCATENATE'!C53)</f>
        <v/>
      </c>
      <c r="G114" s="19" t="inlineStr">
        <is>
          <t>Gabungkan teks di sel B53, pemisah " - ", dan teks di sel C53 menggunakan fungsi CONCATENATE!</t>
        </is>
      </c>
    </row>
    <row r="115">
      <c r="A115" s="5" t="n">
        <v>111</v>
      </c>
      <c r="B115" s="8" t="inlineStr">
        <is>
          <t>EXACT</t>
        </is>
      </c>
      <c r="C115" s="6" t="inlineStr">
        <is>
          <t>Soal Tes #1</t>
        </is>
      </c>
      <c r="D115" s="33" t="inlineStr">
        <is>
          <t>EXACT!E22</t>
        </is>
      </c>
      <c r="E115" s="22" t="inlineStr">
        <is>
          <t>'=EXACT(B21, C21)</t>
        </is>
      </c>
      <c r="F115" s="34">
        <f>EXACT('EXACT'!B21, 'EXACT'!C21)</f>
        <v/>
      </c>
      <c r="G115" s="19" t="inlineStr">
        <is>
          <t>Periksa apakah teks di sel B21 sama persis dengan teks di sel C21 menggunakan fungsi EXACT!</t>
        </is>
      </c>
    </row>
    <row r="116">
      <c r="A116" s="5" t="n">
        <v>112</v>
      </c>
      <c r="B116" s="8" t="inlineStr">
        <is>
          <t>EXACT</t>
        </is>
      </c>
      <c r="C116" s="6" t="inlineStr">
        <is>
          <t>Soal Tes #2</t>
        </is>
      </c>
      <c r="D116" s="33" t="inlineStr">
        <is>
          <t>EXACT!E30</t>
        </is>
      </c>
      <c r="E116" s="22" t="inlineStr">
        <is>
          <t>'=EXACT(B29, C29)</t>
        </is>
      </c>
      <c r="F116" s="34">
        <f>EXACT('EXACT'!B29, 'EXACT'!C29)</f>
        <v/>
      </c>
      <c r="G116" s="19" t="inlineStr">
        <is>
          <t>Periksa apakah teks di sel B29 sama persis dengan teks di sel C29 menggunakan fungsi EXACT!</t>
        </is>
      </c>
    </row>
    <row r="117">
      <c r="A117" s="5" t="n">
        <v>113</v>
      </c>
      <c r="B117" s="8" t="inlineStr">
        <is>
          <t>EXACT</t>
        </is>
      </c>
      <c r="C117" s="6" t="inlineStr">
        <is>
          <t>Soal Tes #3</t>
        </is>
      </c>
      <c r="D117" s="33" t="inlineStr">
        <is>
          <t>EXACT!E38</t>
        </is>
      </c>
      <c r="E117" s="22" t="inlineStr">
        <is>
          <t>'=EXACT(B37, C37)</t>
        </is>
      </c>
      <c r="F117" s="34">
        <f>EXACT('EXACT'!B37, 'EXACT'!C37)</f>
        <v/>
      </c>
      <c r="G117" s="19" t="inlineStr">
        <is>
          <t>Periksa apakah teks di sel B37 sama persis dengan teks di sel C37 menggunakan fungsi EXACT!</t>
        </is>
      </c>
    </row>
    <row r="118">
      <c r="A118" s="5" t="n">
        <v>114</v>
      </c>
      <c r="B118" s="8" t="inlineStr">
        <is>
          <t>EXACT</t>
        </is>
      </c>
      <c r="C118" s="6" t="inlineStr">
        <is>
          <t>Soal Tes #4</t>
        </is>
      </c>
      <c r="D118" s="33" t="inlineStr">
        <is>
          <t>EXACT!E46</t>
        </is>
      </c>
      <c r="E118" s="22" t="inlineStr">
        <is>
          <t>'=EXACT(B45, C45)</t>
        </is>
      </c>
      <c r="F118" s="34">
        <f>EXACT('EXACT'!B45, 'EXACT'!C45)</f>
        <v/>
      </c>
      <c r="G118" s="19" t="inlineStr">
        <is>
          <t>Periksa apakah teks di sel B45 sama persis dengan teks di sel C45 menggunakan fungsi EXACT!</t>
        </is>
      </c>
    </row>
    <row r="119">
      <c r="A119" s="5" t="n">
        <v>115</v>
      </c>
      <c r="B119" s="8" t="inlineStr">
        <is>
          <t>EXACT</t>
        </is>
      </c>
      <c r="C119" s="6" t="inlineStr">
        <is>
          <t>Soal Tes #5</t>
        </is>
      </c>
      <c r="D119" s="33" t="inlineStr">
        <is>
          <t>EXACT!E54</t>
        </is>
      </c>
      <c r="E119" s="22" t="inlineStr">
        <is>
          <t>'=EXACT(B53, C53)</t>
        </is>
      </c>
      <c r="F119" s="34">
        <f>EXACT('EXACT'!B53, 'EXACT'!C53)</f>
        <v/>
      </c>
      <c r="G119" s="19" t="inlineStr">
        <is>
          <t>Periksa apakah teks di sel B53 sama persis dengan teks di sel C53 menggunakan fungsi EXACT!</t>
        </is>
      </c>
    </row>
    <row r="120">
      <c r="A120" s="5" t="n">
        <v>116</v>
      </c>
      <c r="B120" s="8" t="inlineStr">
        <is>
          <t>FIND</t>
        </is>
      </c>
      <c r="C120" s="6" t="inlineStr">
        <is>
          <t>Soal Tes #1</t>
        </is>
      </c>
      <c r="D120" s="33" t="inlineStr">
        <is>
          <t>FIND!E22</t>
        </is>
      </c>
      <c r="E120" s="22" t="inlineStr">
        <is>
          <t>'=FIND("-", C21)</t>
        </is>
      </c>
      <c r="F120" s="34">
        <f>FIND("-", 'FIND'!C21)</f>
        <v/>
      </c>
      <c r="G120" s="19" t="inlineStr">
        <is>
          <t>Cari nomor urut posisi karakter strip "-" di dalam sel C21 menggunakan fungsi FIND!</t>
        </is>
      </c>
    </row>
    <row r="121">
      <c r="A121" s="5" t="n">
        <v>117</v>
      </c>
      <c r="B121" s="8" t="inlineStr">
        <is>
          <t>FIND</t>
        </is>
      </c>
      <c r="C121" s="6" t="inlineStr">
        <is>
          <t>Soal Tes #2</t>
        </is>
      </c>
      <c r="D121" s="33" t="inlineStr">
        <is>
          <t>FIND!E30</t>
        </is>
      </c>
      <c r="E121" s="22" t="inlineStr">
        <is>
          <t>'=FIND("-", C29)</t>
        </is>
      </c>
      <c r="F121" s="34">
        <f>FIND("-", 'FIND'!C29)</f>
        <v/>
      </c>
      <c r="G121" s="19" t="inlineStr">
        <is>
          <t>Cari nomor urut posisi karakter strip "-" di dalam sel C29 menggunakan fungsi FIND!</t>
        </is>
      </c>
    </row>
    <row r="122">
      <c r="A122" s="5" t="n">
        <v>118</v>
      </c>
      <c r="B122" s="8" t="inlineStr">
        <is>
          <t>FIND</t>
        </is>
      </c>
      <c r="C122" s="6" t="inlineStr">
        <is>
          <t>Soal Tes #3</t>
        </is>
      </c>
      <c r="D122" s="33" t="inlineStr">
        <is>
          <t>FIND!E38</t>
        </is>
      </c>
      <c r="E122" s="22" t="inlineStr">
        <is>
          <t>'=FIND("-", C37)</t>
        </is>
      </c>
      <c r="F122" s="34">
        <f>FIND("-", 'FIND'!C37)</f>
        <v/>
      </c>
      <c r="G122" s="19" t="inlineStr">
        <is>
          <t>Cari nomor urut posisi karakter strip "-" di dalam sel C37 menggunakan fungsi FIND!</t>
        </is>
      </c>
    </row>
    <row r="123">
      <c r="A123" s="5" t="n">
        <v>119</v>
      </c>
      <c r="B123" s="8" t="inlineStr">
        <is>
          <t>FIND</t>
        </is>
      </c>
      <c r="C123" s="6" t="inlineStr">
        <is>
          <t>Soal Tes #4</t>
        </is>
      </c>
      <c r="D123" s="33" t="inlineStr">
        <is>
          <t>FIND!E46</t>
        </is>
      </c>
      <c r="E123" s="22" t="inlineStr">
        <is>
          <t>'=FIND("-", C45)</t>
        </is>
      </c>
      <c r="F123" s="34">
        <f>FIND("-", 'FIND'!C45)</f>
        <v/>
      </c>
      <c r="G123" s="19" t="inlineStr">
        <is>
          <t>Cari nomor urut posisi karakter strip "-" di dalam sel C45 menggunakan fungsi FIND!</t>
        </is>
      </c>
    </row>
    <row r="124">
      <c r="A124" s="5" t="n">
        <v>120</v>
      </c>
      <c r="B124" s="8" t="inlineStr">
        <is>
          <t>FIND</t>
        </is>
      </c>
      <c r="C124" s="6" t="inlineStr">
        <is>
          <t>Soal Tes #5</t>
        </is>
      </c>
      <c r="D124" s="33" t="inlineStr">
        <is>
          <t>FIND!E54</t>
        </is>
      </c>
      <c r="E124" s="22" t="inlineStr">
        <is>
          <t>'=FIND("-", C53)</t>
        </is>
      </c>
      <c r="F124" s="34">
        <f>FIND("-", 'FIND'!C53)</f>
        <v/>
      </c>
      <c r="G124" s="19" t="inlineStr">
        <is>
          <t>Cari nomor urut posisi karakter strip "-" di dalam sel C53 menggunakan fungsi FIND!</t>
        </is>
      </c>
    </row>
    <row r="125">
      <c r="A125" s="5" t="n">
        <v>121</v>
      </c>
      <c r="B125" s="8" t="inlineStr">
        <is>
          <t>SEARCH</t>
        </is>
      </c>
      <c r="C125" s="6" t="inlineStr">
        <is>
          <t>Soal Tes #1</t>
        </is>
      </c>
      <c r="D125" s="33" t="inlineStr">
        <is>
          <t>SEARCH!E22</t>
        </is>
      </c>
      <c r="E125" s="22" t="inlineStr">
        <is>
          <t>'=SEARCH("-", C21)</t>
        </is>
      </c>
      <c r="F125" s="34">
        <f>SEARCH("-", 'SEARCH'!C21)</f>
        <v/>
      </c>
      <c r="G125" s="19" t="inlineStr">
        <is>
          <t>Cari nomor urut posisi karakter strip "-" di dalam sel C21 menggunakan fungsi SEARCH!</t>
        </is>
      </c>
    </row>
    <row r="126">
      <c r="A126" s="5" t="n">
        <v>122</v>
      </c>
      <c r="B126" s="8" t="inlineStr">
        <is>
          <t>SEARCH</t>
        </is>
      </c>
      <c r="C126" s="6" t="inlineStr">
        <is>
          <t>Soal Tes #2</t>
        </is>
      </c>
      <c r="D126" s="33" t="inlineStr">
        <is>
          <t>SEARCH!E30</t>
        </is>
      </c>
      <c r="E126" s="22" t="inlineStr">
        <is>
          <t>'=SEARCH("-", C29)</t>
        </is>
      </c>
      <c r="F126" s="34">
        <f>SEARCH("-", 'SEARCH'!C29)</f>
        <v/>
      </c>
      <c r="G126" s="19" t="inlineStr">
        <is>
          <t>Cari nomor urut posisi karakter strip "-" di dalam sel C29 menggunakan fungsi SEARCH!</t>
        </is>
      </c>
    </row>
    <row r="127">
      <c r="A127" s="5" t="n">
        <v>123</v>
      </c>
      <c r="B127" s="8" t="inlineStr">
        <is>
          <t>SEARCH</t>
        </is>
      </c>
      <c r="C127" s="6" t="inlineStr">
        <is>
          <t>Soal Tes #3</t>
        </is>
      </c>
      <c r="D127" s="33" t="inlineStr">
        <is>
          <t>SEARCH!E38</t>
        </is>
      </c>
      <c r="E127" s="22" t="inlineStr">
        <is>
          <t>'=SEARCH("-", C37)</t>
        </is>
      </c>
      <c r="F127" s="34">
        <f>SEARCH("-", 'SEARCH'!C37)</f>
        <v/>
      </c>
      <c r="G127" s="19" t="inlineStr">
        <is>
          <t>Cari nomor urut posisi karakter strip "-" di dalam sel C37 menggunakan fungsi SEARCH!</t>
        </is>
      </c>
    </row>
    <row r="128">
      <c r="A128" s="5" t="n">
        <v>124</v>
      </c>
      <c r="B128" s="8" t="inlineStr">
        <is>
          <t>SEARCH</t>
        </is>
      </c>
      <c r="C128" s="6" t="inlineStr">
        <is>
          <t>Soal Tes #4</t>
        </is>
      </c>
      <c r="D128" s="33" t="inlineStr">
        <is>
          <t>SEARCH!E46</t>
        </is>
      </c>
      <c r="E128" s="22" t="inlineStr">
        <is>
          <t>'=SEARCH("-", C45)</t>
        </is>
      </c>
      <c r="F128" s="34">
        <f>SEARCH("-", 'SEARCH'!C45)</f>
        <v/>
      </c>
      <c r="G128" s="19" t="inlineStr">
        <is>
          <t>Cari nomor urut posisi karakter strip "-" di dalam sel C45 menggunakan fungsi SEARCH!</t>
        </is>
      </c>
    </row>
    <row r="129">
      <c r="A129" s="5" t="n">
        <v>125</v>
      </c>
      <c r="B129" s="8" t="inlineStr">
        <is>
          <t>SEARCH</t>
        </is>
      </c>
      <c r="C129" s="6" t="inlineStr">
        <is>
          <t>Soal Tes #5</t>
        </is>
      </c>
      <c r="D129" s="33" t="inlineStr">
        <is>
          <t>SEARCH!E54</t>
        </is>
      </c>
      <c r="E129" s="22" t="inlineStr">
        <is>
          <t>'=SEARCH("-", C53)</t>
        </is>
      </c>
      <c r="F129" s="34">
        <f>SEARCH("-", 'SEARCH'!C53)</f>
        <v/>
      </c>
      <c r="G129" s="19" t="inlineStr">
        <is>
          <t>Cari nomor urut posisi karakter strip "-" di dalam sel C53 menggunakan fungsi SEARCH!</t>
        </is>
      </c>
    </row>
    <row r="130">
      <c r="A130" s="5" t="n">
        <v>126</v>
      </c>
      <c r="B130" s="8" t="inlineStr">
        <is>
          <t>SUBSTITUTE</t>
        </is>
      </c>
      <c r="C130" s="6" t="inlineStr">
        <is>
          <t>Soal Tes #1</t>
        </is>
      </c>
      <c r="D130" s="33" t="inlineStr">
        <is>
          <t>SUBSTITUTE!E22</t>
        </is>
      </c>
      <c r="E130" s="22" t="inlineStr">
        <is>
          <t>'=SUBSTITUTE(C21, "-", "/")</t>
        </is>
      </c>
      <c r="F130" s="34">
        <f>SUBSTITUTE('SUBSTITUTE'!C21, "-", "/")</f>
        <v/>
      </c>
      <c r="G130" s="19" t="inlineStr">
        <is>
          <t>Ubah seluruh tanda strip "-" menjadi garis miring "/" pada sel C21 menggunakan fungsi SUBSTITUTE!</t>
        </is>
      </c>
    </row>
    <row r="131">
      <c r="A131" s="5" t="n">
        <v>127</v>
      </c>
      <c r="B131" s="8" t="inlineStr">
        <is>
          <t>SUBSTITUTE</t>
        </is>
      </c>
      <c r="C131" s="6" t="inlineStr">
        <is>
          <t>Soal Tes #2</t>
        </is>
      </c>
      <c r="D131" s="33" t="inlineStr">
        <is>
          <t>SUBSTITUTE!E30</t>
        </is>
      </c>
      <c r="E131" s="22" t="inlineStr">
        <is>
          <t>'=SUBSTITUTE(C29, "-", "/")</t>
        </is>
      </c>
      <c r="F131" s="34">
        <f>SUBSTITUTE('SUBSTITUTE'!C29, "-", "/")</f>
        <v/>
      </c>
      <c r="G131" s="19" t="inlineStr">
        <is>
          <t>Ubah seluruh tanda strip "-" menjadi garis miring "/" pada sel C29 menggunakan fungsi SUBSTITUTE!</t>
        </is>
      </c>
    </row>
    <row r="132">
      <c r="A132" s="5" t="n">
        <v>128</v>
      </c>
      <c r="B132" s="8" t="inlineStr">
        <is>
          <t>SUBSTITUTE</t>
        </is>
      </c>
      <c r="C132" s="6" t="inlineStr">
        <is>
          <t>Soal Tes #3</t>
        </is>
      </c>
      <c r="D132" s="33" t="inlineStr">
        <is>
          <t>SUBSTITUTE!E38</t>
        </is>
      </c>
      <c r="E132" s="22" t="inlineStr">
        <is>
          <t>'=SUBSTITUTE(C37, "-", "/")</t>
        </is>
      </c>
      <c r="F132" s="34">
        <f>SUBSTITUTE('SUBSTITUTE'!C37, "-", "/")</f>
        <v/>
      </c>
      <c r="G132" s="19" t="inlineStr">
        <is>
          <t>Ubah seluruh tanda strip "-" menjadi garis miring "/" pada sel C37 menggunakan fungsi SUBSTITUTE!</t>
        </is>
      </c>
    </row>
    <row r="133">
      <c r="A133" s="5" t="n">
        <v>129</v>
      </c>
      <c r="B133" s="8" t="inlineStr">
        <is>
          <t>SUBSTITUTE</t>
        </is>
      </c>
      <c r="C133" s="6" t="inlineStr">
        <is>
          <t>Soal Tes #4</t>
        </is>
      </c>
      <c r="D133" s="33" t="inlineStr">
        <is>
          <t>SUBSTITUTE!E46</t>
        </is>
      </c>
      <c r="E133" s="22" t="inlineStr">
        <is>
          <t>'=SUBSTITUTE(C45, "-", "/")</t>
        </is>
      </c>
      <c r="F133" s="34">
        <f>SUBSTITUTE('SUBSTITUTE'!C45, "-", "/")</f>
        <v/>
      </c>
      <c r="G133" s="19" t="inlineStr">
        <is>
          <t>Ubah seluruh tanda strip "-" menjadi garis miring "/" pada sel C45 menggunakan fungsi SUBSTITUTE!</t>
        </is>
      </c>
    </row>
    <row r="134">
      <c r="A134" s="5" t="n">
        <v>130</v>
      </c>
      <c r="B134" s="8" t="inlineStr">
        <is>
          <t>SUBSTITUTE</t>
        </is>
      </c>
      <c r="C134" s="6" t="inlineStr">
        <is>
          <t>Soal Tes #5</t>
        </is>
      </c>
      <c r="D134" s="33" t="inlineStr">
        <is>
          <t>SUBSTITUTE!E54</t>
        </is>
      </c>
      <c r="E134" s="22" t="inlineStr">
        <is>
          <t>'=SUBSTITUTE(C53, "-", "/")</t>
        </is>
      </c>
      <c r="F134" s="34">
        <f>SUBSTITUTE('SUBSTITUTE'!C53, "-", "/")</f>
        <v/>
      </c>
      <c r="G134" s="19" t="inlineStr">
        <is>
          <t>Ubah seluruh tanda strip "-" menjadi garis miring "/" pada sel C53 menggunakan fungsi SUBSTITUTE!</t>
        </is>
      </c>
    </row>
    <row r="135">
      <c r="A135" s="5" t="n">
        <v>131</v>
      </c>
      <c r="B135" s="8" t="inlineStr">
        <is>
          <t>REPLACE</t>
        </is>
      </c>
      <c r="C135" s="6" t="inlineStr">
        <is>
          <t>Soal Tes #1</t>
        </is>
      </c>
      <c r="D135" s="33" t="inlineStr">
        <is>
          <t>REPLACE!E22</t>
        </is>
      </c>
      <c r="E135" s="22" t="inlineStr">
        <is>
          <t>'=REPLACE(C21, 1, 2, "INA")</t>
        </is>
      </c>
      <c r="F135" s="34">
        <f>REPLACE('REPLACE'!C21, 1, 2, "INA")</f>
        <v/>
      </c>
      <c r="G135" s="19" t="inlineStr">
        <is>
          <t>Ganti 2 karakter pertama mulai posisi ke-1 pada sel C21 dengan teks "INA" menggunakan fungsi REPLACE!</t>
        </is>
      </c>
    </row>
    <row r="136">
      <c r="A136" s="5" t="n">
        <v>132</v>
      </c>
      <c r="B136" s="8" t="inlineStr">
        <is>
          <t>REPLACE</t>
        </is>
      </c>
      <c r="C136" s="6" t="inlineStr">
        <is>
          <t>Soal Tes #2</t>
        </is>
      </c>
      <c r="D136" s="33" t="inlineStr">
        <is>
          <t>REPLACE!E30</t>
        </is>
      </c>
      <c r="E136" s="22" t="inlineStr">
        <is>
          <t>'=REPLACE(C29, 1, 2, "INA")</t>
        </is>
      </c>
      <c r="F136" s="34">
        <f>REPLACE('REPLACE'!C29, 1, 2, "INA")</f>
        <v/>
      </c>
      <c r="G136" s="19" t="inlineStr">
        <is>
          <t>Ganti 2 karakter pertama mulai posisi ke-1 pada sel C29 dengan teks "INA" menggunakan fungsi REPLACE!</t>
        </is>
      </c>
    </row>
    <row r="137">
      <c r="A137" s="5" t="n">
        <v>133</v>
      </c>
      <c r="B137" s="8" t="inlineStr">
        <is>
          <t>REPLACE</t>
        </is>
      </c>
      <c r="C137" s="6" t="inlineStr">
        <is>
          <t>Soal Tes #3</t>
        </is>
      </c>
      <c r="D137" s="33" t="inlineStr">
        <is>
          <t>REPLACE!E38</t>
        </is>
      </c>
      <c r="E137" s="22" t="inlineStr">
        <is>
          <t>'=REPLACE(C37, 1, 2, "INA")</t>
        </is>
      </c>
      <c r="F137" s="34">
        <f>REPLACE('REPLACE'!C37, 1, 2, "INA")</f>
        <v/>
      </c>
      <c r="G137" s="19" t="inlineStr">
        <is>
          <t>Ganti 2 karakter pertama mulai posisi ke-1 pada sel C37 dengan teks "INA" menggunakan fungsi REPLACE!</t>
        </is>
      </c>
    </row>
    <row r="138">
      <c r="A138" s="5" t="n">
        <v>134</v>
      </c>
      <c r="B138" s="8" t="inlineStr">
        <is>
          <t>REPLACE</t>
        </is>
      </c>
      <c r="C138" s="6" t="inlineStr">
        <is>
          <t>Soal Tes #4</t>
        </is>
      </c>
      <c r="D138" s="33" t="inlineStr">
        <is>
          <t>REPLACE!E46</t>
        </is>
      </c>
      <c r="E138" s="22" t="inlineStr">
        <is>
          <t>'=REPLACE(C45, 1, 2, "INA")</t>
        </is>
      </c>
      <c r="F138" s="34">
        <f>REPLACE('REPLACE'!C45, 1, 2, "INA")</f>
        <v/>
      </c>
      <c r="G138" s="19" t="inlineStr">
        <is>
          <t>Ganti 2 karakter pertama mulai posisi ke-1 pada sel C45 dengan teks "INA" menggunakan fungsi REPLACE!</t>
        </is>
      </c>
    </row>
    <row r="139">
      <c r="A139" s="5" t="n">
        <v>135</v>
      </c>
      <c r="B139" s="8" t="inlineStr">
        <is>
          <t>REPLACE</t>
        </is>
      </c>
      <c r="C139" s="6" t="inlineStr">
        <is>
          <t>Soal Tes #5</t>
        </is>
      </c>
      <c r="D139" s="33" t="inlineStr">
        <is>
          <t>REPLACE!E54</t>
        </is>
      </c>
      <c r="E139" s="22" t="inlineStr">
        <is>
          <t>'=REPLACE(C53, 1, 2, "INA")</t>
        </is>
      </c>
      <c r="F139" s="34">
        <f>REPLACE('REPLACE'!C53, 1, 2, "INA")</f>
        <v/>
      </c>
      <c r="G139" s="19" t="inlineStr">
        <is>
          <t>Ganti 2 karakter pertama mulai posisi ke-1 pada sel C53 dengan teks "INA" menggunakan fungsi REPLACE!</t>
        </is>
      </c>
    </row>
    <row r="140">
      <c r="A140" s="5" t="n">
        <v>136</v>
      </c>
      <c r="B140" s="8" t="inlineStr">
        <is>
          <t>REPT</t>
        </is>
      </c>
      <c r="C140" s="6" t="inlineStr">
        <is>
          <t>Soal Tes #1</t>
        </is>
      </c>
      <c r="D140" s="33" t="inlineStr">
        <is>
          <t>REPT!E22</t>
        </is>
      </c>
      <c r="E140" s="22" t="inlineStr">
        <is>
          <t>'=REPT("*", C21)</t>
        </is>
      </c>
      <c r="F140" s="34">
        <f>REPT("*", 'REPT'!C21)</f>
        <v/>
      </c>
      <c r="G140" s="19" t="inlineStr">
        <is>
          <t>Ulang simbol bintang "*" sebanyak angka rating di sel C21 (2) menggunakan fungsi REPT!</t>
        </is>
      </c>
    </row>
    <row r="141">
      <c r="A141" s="5" t="n">
        <v>137</v>
      </c>
      <c r="B141" s="8" t="inlineStr">
        <is>
          <t>REPT</t>
        </is>
      </c>
      <c r="C141" s="6" t="inlineStr">
        <is>
          <t>Soal Tes #2</t>
        </is>
      </c>
      <c r="D141" s="33" t="inlineStr">
        <is>
          <t>REPT!E30</t>
        </is>
      </c>
      <c r="E141" s="22" t="inlineStr">
        <is>
          <t>'=REPT("*", C29)</t>
        </is>
      </c>
      <c r="F141" s="34">
        <f>REPT("*", 'REPT'!C29)</f>
        <v/>
      </c>
      <c r="G141" s="19" t="inlineStr">
        <is>
          <t>Ulang simbol bintang "*" sebanyak angka rating di sel C29 (3) menggunakan fungsi REPT!</t>
        </is>
      </c>
    </row>
    <row r="142">
      <c r="A142" s="5" t="n">
        <v>138</v>
      </c>
      <c r="B142" s="8" t="inlineStr">
        <is>
          <t>REPT</t>
        </is>
      </c>
      <c r="C142" s="6" t="inlineStr">
        <is>
          <t>Soal Tes #3</t>
        </is>
      </c>
      <c r="D142" s="33" t="inlineStr">
        <is>
          <t>REPT!E38</t>
        </is>
      </c>
      <c r="E142" s="22" t="inlineStr">
        <is>
          <t>'=REPT("*", C37)</t>
        </is>
      </c>
      <c r="F142" s="34">
        <f>REPT("*", 'REPT'!C37)</f>
        <v/>
      </c>
      <c r="G142" s="19" t="inlineStr">
        <is>
          <t>Ulang simbol bintang "*" sebanyak angka rating di sel C37 (4) menggunakan fungsi REPT!</t>
        </is>
      </c>
    </row>
    <row r="143">
      <c r="A143" s="5" t="n">
        <v>139</v>
      </c>
      <c r="B143" s="8" t="inlineStr">
        <is>
          <t>REPT</t>
        </is>
      </c>
      <c r="C143" s="6" t="inlineStr">
        <is>
          <t>Soal Tes #4</t>
        </is>
      </c>
      <c r="D143" s="33" t="inlineStr">
        <is>
          <t>REPT!E46</t>
        </is>
      </c>
      <c r="E143" s="22" t="inlineStr">
        <is>
          <t>'=REPT("*", C45)</t>
        </is>
      </c>
      <c r="F143" s="34">
        <f>REPT("*", 'REPT'!C45)</f>
        <v/>
      </c>
      <c r="G143" s="19" t="inlineStr">
        <is>
          <t>Ulang simbol bintang "*" sebanyak angka rating di sel C45 (5) menggunakan fungsi REPT!</t>
        </is>
      </c>
    </row>
    <row r="144">
      <c r="A144" s="5" t="n">
        <v>140</v>
      </c>
      <c r="B144" s="8" t="inlineStr">
        <is>
          <t>REPT</t>
        </is>
      </c>
      <c r="C144" s="6" t="inlineStr">
        <is>
          <t>Soal Tes #5</t>
        </is>
      </c>
      <c r="D144" s="33" t="inlineStr">
        <is>
          <t>REPT!E54</t>
        </is>
      </c>
      <c r="E144" s="22" t="inlineStr">
        <is>
          <t>'=REPT("*", C53)</t>
        </is>
      </c>
      <c r="F144" s="34">
        <f>REPT("*", 'REPT'!C53)</f>
        <v/>
      </c>
      <c r="G144" s="19" t="inlineStr">
        <is>
          <t>Ulang simbol bintang "*" sebanyak angka rating di sel C53 (6) menggunakan fungsi REPT!</t>
        </is>
      </c>
    </row>
    <row r="145">
      <c r="A145" s="5" t="n">
        <v>141</v>
      </c>
      <c r="B145" s="8" t="inlineStr">
        <is>
          <t>VALUE</t>
        </is>
      </c>
      <c r="C145" s="6" t="inlineStr">
        <is>
          <t>Soal Tes #1</t>
        </is>
      </c>
      <c r="D145" s="33" t="inlineStr">
        <is>
          <t>VALUE!E22</t>
        </is>
      </c>
      <c r="E145" s="22" t="inlineStr">
        <is>
          <t>'=VALUE(C21)</t>
        </is>
      </c>
      <c r="F145" s="34">
        <f>VALUE('VALUE'!C21)</f>
        <v/>
      </c>
      <c r="G145" s="19" t="inlineStr">
        <is>
          <t>Konversikan teks angka pada sel C21 menjadi tipe data angka murni menggunakan fungsi VALUE!</t>
        </is>
      </c>
    </row>
    <row r="146">
      <c r="A146" s="5" t="n">
        <v>142</v>
      </c>
      <c r="B146" s="8" t="inlineStr">
        <is>
          <t>VALUE</t>
        </is>
      </c>
      <c r="C146" s="6" t="inlineStr">
        <is>
          <t>Soal Tes #2</t>
        </is>
      </c>
      <c r="D146" s="33" t="inlineStr">
        <is>
          <t>VALUE!E30</t>
        </is>
      </c>
      <c r="E146" s="22" t="inlineStr">
        <is>
          <t>'=VALUE(C29)</t>
        </is>
      </c>
      <c r="F146" s="34">
        <f>VALUE('VALUE'!C29)</f>
        <v/>
      </c>
      <c r="G146" s="19" t="inlineStr">
        <is>
          <t>Konversikan teks angka pada sel C29 menjadi tipe data angka murni menggunakan fungsi VALUE!</t>
        </is>
      </c>
    </row>
    <row r="147">
      <c r="A147" s="5" t="n">
        <v>143</v>
      </c>
      <c r="B147" s="8" t="inlineStr">
        <is>
          <t>VALUE</t>
        </is>
      </c>
      <c r="C147" s="6" t="inlineStr">
        <is>
          <t>Soal Tes #3</t>
        </is>
      </c>
      <c r="D147" s="33" t="inlineStr">
        <is>
          <t>VALUE!E38</t>
        </is>
      </c>
      <c r="E147" s="22" t="inlineStr">
        <is>
          <t>'=VALUE(C37)</t>
        </is>
      </c>
      <c r="F147" s="34">
        <f>VALUE('VALUE'!C37)</f>
        <v/>
      </c>
      <c r="G147" s="19" t="inlineStr">
        <is>
          <t>Konversikan teks angka pada sel C37 menjadi tipe data angka murni menggunakan fungsi VALUE!</t>
        </is>
      </c>
    </row>
    <row r="148">
      <c r="A148" s="5" t="n">
        <v>144</v>
      </c>
      <c r="B148" s="8" t="inlineStr">
        <is>
          <t>VALUE</t>
        </is>
      </c>
      <c r="C148" s="6" t="inlineStr">
        <is>
          <t>Soal Tes #4</t>
        </is>
      </c>
      <c r="D148" s="33" t="inlineStr">
        <is>
          <t>VALUE!E46</t>
        </is>
      </c>
      <c r="E148" s="22" t="inlineStr">
        <is>
          <t>'=VALUE(C45)</t>
        </is>
      </c>
      <c r="F148" s="34">
        <f>VALUE('VALUE'!C45)</f>
        <v/>
      </c>
      <c r="G148" s="19" t="inlineStr">
        <is>
          <t>Konversikan teks angka pada sel C45 menjadi tipe data angka murni menggunakan fungsi VALUE!</t>
        </is>
      </c>
    </row>
    <row r="149">
      <c r="A149" s="5" t="n">
        <v>145</v>
      </c>
      <c r="B149" s="8" t="inlineStr">
        <is>
          <t>VALUE</t>
        </is>
      </c>
      <c r="C149" s="6" t="inlineStr">
        <is>
          <t>Soal Tes #5</t>
        </is>
      </c>
      <c r="D149" s="33" t="inlineStr">
        <is>
          <t>VALUE!E54</t>
        </is>
      </c>
      <c r="E149" s="22" t="inlineStr">
        <is>
          <t>'=VALUE(C53)</t>
        </is>
      </c>
      <c r="F149" s="34">
        <f>VALUE('VALUE'!C53)</f>
        <v/>
      </c>
      <c r="G149" s="19" t="inlineStr">
        <is>
          <t>Konversikan teks angka pada sel C53 menjadi tipe data angka murni menggunakan fungsi VALUE!</t>
        </is>
      </c>
    </row>
    <row r="150">
      <c r="A150" s="5" t="n">
        <v>146</v>
      </c>
      <c r="B150" s="8" t="inlineStr">
        <is>
          <t>TEXT</t>
        </is>
      </c>
      <c r="C150" s="6" t="inlineStr">
        <is>
          <t>Soal Tes #1</t>
        </is>
      </c>
      <c r="D150" s="33" t="inlineStr">
        <is>
          <t>TEXT!E22</t>
        </is>
      </c>
      <c r="E150" s="22" t="inlineStr">
        <is>
          <t>'=TEXT(C21, "#,##0")</t>
        </is>
      </c>
      <c r="F150" s="34">
        <f>TEXT('TEXT'!C21, "#,##0")</f>
        <v/>
      </c>
      <c r="G150" s="19" t="inlineStr">
        <is>
          <t>Format nilai angka di sel C21 ke dalam pola ribuan "#,##0" menggunakan fungsi TEXT!</t>
        </is>
      </c>
    </row>
    <row r="151">
      <c r="A151" s="5" t="n">
        <v>147</v>
      </c>
      <c r="B151" s="8" t="inlineStr">
        <is>
          <t>TEXT</t>
        </is>
      </c>
      <c r="C151" s="6" t="inlineStr">
        <is>
          <t>Soal Tes #2</t>
        </is>
      </c>
      <c r="D151" s="33" t="inlineStr">
        <is>
          <t>TEXT!E30</t>
        </is>
      </c>
      <c r="E151" s="22" t="inlineStr">
        <is>
          <t>'=TEXT(C29, "#,##0")</t>
        </is>
      </c>
      <c r="F151" s="34">
        <f>TEXT('TEXT'!C29, "#,##0")</f>
        <v/>
      </c>
      <c r="G151" s="19" t="inlineStr">
        <is>
          <t>Format nilai angka di sel C29 ke dalam pola ribuan "#,##0" menggunakan fungsi TEXT!</t>
        </is>
      </c>
    </row>
    <row r="152">
      <c r="A152" s="5" t="n">
        <v>148</v>
      </c>
      <c r="B152" s="8" t="inlineStr">
        <is>
          <t>TEXT</t>
        </is>
      </c>
      <c r="C152" s="6" t="inlineStr">
        <is>
          <t>Soal Tes #3</t>
        </is>
      </c>
      <c r="D152" s="33" t="inlineStr">
        <is>
          <t>TEXT!E38</t>
        </is>
      </c>
      <c r="E152" s="22" t="inlineStr">
        <is>
          <t>'=TEXT(C37, "#,##0")</t>
        </is>
      </c>
      <c r="F152" s="34">
        <f>TEXT('TEXT'!C37, "#,##0")</f>
        <v/>
      </c>
      <c r="G152" s="19" t="inlineStr">
        <is>
          <t>Format nilai angka di sel C37 ke dalam pola ribuan "#,##0" menggunakan fungsi TEXT!</t>
        </is>
      </c>
    </row>
    <row r="153">
      <c r="A153" s="5" t="n">
        <v>149</v>
      </c>
      <c r="B153" s="8" t="inlineStr">
        <is>
          <t>TEXT</t>
        </is>
      </c>
      <c r="C153" s="6" t="inlineStr">
        <is>
          <t>Soal Tes #4</t>
        </is>
      </c>
      <c r="D153" s="33" t="inlineStr">
        <is>
          <t>TEXT!E46</t>
        </is>
      </c>
      <c r="E153" s="22" t="inlineStr">
        <is>
          <t>'=TEXT(C45, "#,##0")</t>
        </is>
      </c>
      <c r="F153" s="34">
        <f>TEXT('TEXT'!C45, "#,##0")</f>
        <v/>
      </c>
      <c r="G153" s="19" t="inlineStr">
        <is>
          <t>Format nilai angka di sel C45 ke dalam pola ribuan "#,##0" menggunakan fungsi TEXT!</t>
        </is>
      </c>
    </row>
    <row r="154">
      <c r="A154" s="5" t="n">
        <v>150</v>
      </c>
      <c r="B154" s="8" t="inlineStr">
        <is>
          <t>TEXT</t>
        </is>
      </c>
      <c r="C154" s="6" t="inlineStr">
        <is>
          <t>Soal Tes #5</t>
        </is>
      </c>
      <c r="D154" s="33" t="inlineStr">
        <is>
          <t>TEXT!E54</t>
        </is>
      </c>
      <c r="E154" s="22" t="inlineStr">
        <is>
          <t>'=TEXT(C53, "#,##0")</t>
        </is>
      </c>
      <c r="F154" s="34">
        <f>TEXT('TEXT'!C53, "#,##0")</f>
        <v/>
      </c>
      <c r="G154" s="19" t="inlineStr">
        <is>
          <t>Format nilai angka di sel C53 ke dalam pola ribuan "#,##0" menggunakan fungsi TEXT!</t>
        </is>
      </c>
    </row>
    <row r="155">
      <c r="A155" s="5" t="n">
        <v>151</v>
      </c>
      <c r="B155" s="8" t="inlineStr">
        <is>
          <t>DATE</t>
        </is>
      </c>
      <c r="C155" s="6" t="inlineStr">
        <is>
          <t>Soal Tes #1</t>
        </is>
      </c>
      <c r="D155" s="33" t="inlineStr">
        <is>
          <t>DATE!E22</t>
        </is>
      </c>
      <c r="E155" s="22" t="inlineStr">
        <is>
          <t>'=DATE(B21, C21, 15)</t>
        </is>
      </c>
      <c r="F155" s="34">
        <f>DATE('DATE'!B21, 'DATE'!C21, 15)</f>
        <v/>
      </c>
      <c r="G155" s="19" t="inlineStr">
        <is>
          <t>Susun tanggal resmi dari angka Tahun di B21, angka Bulan di C21, dan hari ke-15 menggunakan fungsi DATE!</t>
        </is>
      </c>
    </row>
    <row r="156">
      <c r="A156" s="5" t="n">
        <v>152</v>
      </c>
      <c r="B156" s="8" t="inlineStr">
        <is>
          <t>DATE</t>
        </is>
      </c>
      <c r="C156" s="6" t="inlineStr">
        <is>
          <t>Soal Tes #2</t>
        </is>
      </c>
      <c r="D156" s="33" t="inlineStr">
        <is>
          <t>DATE!E30</t>
        </is>
      </c>
      <c r="E156" s="22" t="inlineStr">
        <is>
          <t>'=DATE(B29, C29, 15)</t>
        </is>
      </c>
      <c r="F156" s="34">
        <f>DATE('DATE'!B29, 'DATE'!C29, 15)</f>
        <v/>
      </c>
      <c r="G156" s="19" t="inlineStr">
        <is>
          <t>Susun tanggal resmi dari angka Tahun di B29, angka Bulan di C29, dan hari ke-15 menggunakan fungsi DATE!</t>
        </is>
      </c>
    </row>
    <row r="157">
      <c r="A157" s="5" t="n">
        <v>153</v>
      </c>
      <c r="B157" s="8" t="inlineStr">
        <is>
          <t>DATE</t>
        </is>
      </c>
      <c r="C157" s="6" t="inlineStr">
        <is>
          <t>Soal Tes #3</t>
        </is>
      </c>
      <c r="D157" s="33" t="inlineStr">
        <is>
          <t>DATE!E38</t>
        </is>
      </c>
      <c r="E157" s="22" t="inlineStr">
        <is>
          <t>'=DATE(B37, C37, 15)</t>
        </is>
      </c>
      <c r="F157" s="34">
        <f>DATE('DATE'!B37, 'DATE'!C37, 15)</f>
        <v/>
      </c>
      <c r="G157" s="19" t="inlineStr">
        <is>
          <t>Susun tanggal resmi dari angka Tahun di B37, angka Bulan di C37, dan hari ke-15 menggunakan fungsi DATE!</t>
        </is>
      </c>
    </row>
    <row r="158">
      <c r="A158" s="5" t="n">
        <v>154</v>
      </c>
      <c r="B158" s="8" t="inlineStr">
        <is>
          <t>DATE</t>
        </is>
      </c>
      <c r="C158" s="6" t="inlineStr">
        <is>
          <t>Soal Tes #4</t>
        </is>
      </c>
      <c r="D158" s="33" t="inlineStr">
        <is>
          <t>DATE!E46</t>
        </is>
      </c>
      <c r="E158" s="22" t="inlineStr">
        <is>
          <t>'=DATE(B45, C45, 15)</t>
        </is>
      </c>
      <c r="F158" s="34">
        <f>DATE('DATE'!B45, 'DATE'!C45, 15)</f>
        <v/>
      </c>
      <c r="G158" s="19" t="inlineStr">
        <is>
          <t>Susun tanggal resmi dari angka Tahun di B45, angka Bulan di C45, dan hari ke-15 menggunakan fungsi DATE!</t>
        </is>
      </c>
    </row>
    <row r="159">
      <c r="A159" s="5" t="n">
        <v>155</v>
      </c>
      <c r="B159" s="8" t="inlineStr">
        <is>
          <t>DATE</t>
        </is>
      </c>
      <c r="C159" s="6" t="inlineStr">
        <is>
          <t>Soal Tes #5</t>
        </is>
      </c>
      <c r="D159" s="33" t="inlineStr">
        <is>
          <t>DATE!E54</t>
        </is>
      </c>
      <c r="E159" s="22" t="inlineStr">
        <is>
          <t>'=DATE(B53, C53, 15)</t>
        </is>
      </c>
      <c r="F159" s="34">
        <f>DATE('DATE'!B53, 'DATE'!C53, 15)</f>
        <v/>
      </c>
      <c r="G159" s="19" t="inlineStr">
        <is>
          <t>Susun tanggal resmi dari angka Tahun di B53, angka Bulan di C53, dan hari ke-15 menggunakan fungsi DATE!</t>
        </is>
      </c>
    </row>
    <row r="160">
      <c r="A160" s="5" t="n">
        <v>156</v>
      </c>
      <c r="B160" s="8" t="inlineStr">
        <is>
          <t>YEAR</t>
        </is>
      </c>
      <c r="C160" s="6" t="inlineStr">
        <is>
          <t>Soal Tes #1</t>
        </is>
      </c>
      <c r="D160" s="33" t="inlineStr">
        <is>
          <t>YEAR!E22</t>
        </is>
      </c>
      <c r="E160" s="22" t="inlineStr">
        <is>
          <t>'=YEAR(C21)</t>
        </is>
      </c>
      <c r="F160" s="34">
        <f>YEAR('YEAR'!C21)</f>
        <v/>
      </c>
      <c r="G160" s="19" t="inlineStr">
        <is>
          <t>Ambil nilai YEAR dari tanggal kegiatan di sel C21 menggunakan fungsi YEAR!</t>
        </is>
      </c>
    </row>
    <row r="161">
      <c r="A161" s="5" t="n">
        <v>157</v>
      </c>
      <c r="B161" s="8" t="inlineStr">
        <is>
          <t>YEAR</t>
        </is>
      </c>
      <c r="C161" s="6" t="inlineStr">
        <is>
          <t>Soal Tes #2</t>
        </is>
      </c>
      <c r="D161" s="33" t="inlineStr">
        <is>
          <t>YEAR!E30</t>
        </is>
      </c>
      <c r="E161" s="22" t="inlineStr">
        <is>
          <t>'=YEAR(C29)</t>
        </is>
      </c>
      <c r="F161" s="34">
        <f>YEAR('YEAR'!C29)</f>
        <v/>
      </c>
      <c r="G161" s="19" t="inlineStr">
        <is>
          <t>Ambil nilai YEAR dari tanggal kegiatan di sel C29 menggunakan fungsi YEAR!</t>
        </is>
      </c>
    </row>
    <row r="162">
      <c r="A162" s="5" t="n">
        <v>158</v>
      </c>
      <c r="B162" s="8" t="inlineStr">
        <is>
          <t>YEAR</t>
        </is>
      </c>
      <c r="C162" s="6" t="inlineStr">
        <is>
          <t>Soal Tes #3</t>
        </is>
      </c>
      <c r="D162" s="33" t="inlineStr">
        <is>
          <t>YEAR!E38</t>
        </is>
      </c>
      <c r="E162" s="22" t="inlineStr">
        <is>
          <t>'=YEAR(C37)</t>
        </is>
      </c>
      <c r="F162" s="34">
        <f>YEAR('YEAR'!C37)</f>
        <v/>
      </c>
      <c r="G162" s="19" t="inlineStr">
        <is>
          <t>Ambil nilai YEAR dari tanggal kegiatan di sel C37 menggunakan fungsi YEAR!</t>
        </is>
      </c>
    </row>
    <row r="163">
      <c r="A163" s="5" t="n">
        <v>159</v>
      </c>
      <c r="B163" s="8" t="inlineStr">
        <is>
          <t>YEAR</t>
        </is>
      </c>
      <c r="C163" s="6" t="inlineStr">
        <is>
          <t>Soal Tes #4</t>
        </is>
      </c>
      <c r="D163" s="33" t="inlineStr">
        <is>
          <t>YEAR!E46</t>
        </is>
      </c>
      <c r="E163" s="22" t="inlineStr">
        <is>
          <t>'=YEAR(C45)</t>
        </is>
      </c>
      <c r="F163" s="34">
        <f>YEAR('YEAR'!C45)</f>
        <v/>
      </c>
      <c r="G163" s="19" t="inlineStr">
        <is>
          <t>Ambil nilai YEAR dari tanggal kegiatan di sel C45 menggunakan fungsi YEAR!</t>
        </is>
      </c>
    </row>
    <row r="164">
      <c r="A164" s="5" t="n">
        <v>160</v>
      </c>
      <c r="B164" s="8" t="inlineStr">
        <is>
          <t>YEAR</t>
        </is>
      </c>
      <c r="C164" s="6" t="inlineStr">
        <is>
          <t>Soal Tes #5</t>
        </is>
      </c>
      <c r="D164" s="33" t="inlineStr">
        <is>
          <t>YEAR!E54</t>
        </is>
      </c>
      <c r="E164" s="22" t="inlineStr">
        <is>
          <t>'=YEAR(C53)</t>
        </is>
      </c>
      <c r="F164" s="34">
        <f>YEAR('YEAR'!C53)</f>
        <v/>
      </c>
      <c r="G164" s="19" t="inlineStr">
        <is>
          <t>Ambil nilai YEAR dari tanggal kegiatan di sel C53 menggunakan fungsi YEAR!</t>
        </is>
      </c>
    </row>
    <row r="165">
      <c r="A165" s="5" t="n">
        <v>161</v>
      </c>
      <c r="B165" s="8" t="inlineStr">
        <is>
          <t>MONTH</t>
        </is>
      </c>
      <c r="C165" s="6" t="inlineStr">
        <is>
          <t>Soal Tes #1</t>
        </is>
      </c>
      <c r="D165" s="33" t="inlineStr">
        <is>
          <t>MONTH!E22</t>
        </is>
      </c>
      <c r="E165" s="22" t="inlineStr">
        <is>
          <t>'=MONTH(C21)</t>
        </is>
      </c>
      <c r="F165" s="34">
        <f>MONTH('MONTH'!C21)</f>
        <v/>
      </c>
      <c r="G165" s="19" t="inlineStr">
        <is>
          <t>Ambil nilai MONTH dari tanggal kegiatan di sel C21 menggunakan fungsi MONTH!</t>
        </is>
      </c>
    </row>
    <row r="166">
      <c r="A166" s="5" t="n">
        <v>162</v>
      </c>
      <c r="B166" s="8" t="inlineStr">
        <is>
          <t>MONTH</t>
        </is>
      </c>
      <c r="C166" s="6" t="inlineStr">
        <is>
          <t>Soal Tes #2</t>
        </is>
      </c>
      <c r="D166" s="33" t="inlineStr">
        <is>
          <t>MONTH!E30</t>
        </is>
      </c>
      <c r="E166" s="22" t="inlineStr">
        <is>
          <t>'=MONTH(C29)</t>
        </is>
      </c>
      <c r="F166" s="34">
        <f>MONTH('MONTH'!C29)</f>
        <v/>
      </c>
      <c r="G166" s="19" t="inlineStr">
        <is>
          <t>Ambil nilai MONTH dari tanggal kegiatan di sel C29 menggunakan fungsi MONTH!</t>
        </is>
      </c>
    </row>
    <row r="167">
      <c r="A167" s="5" t="n">
        <v>163</v>
      </c>
      <c r="B167" s="8" t="inlineStr">
        <is>
          <t>MONTH</t>
        </is>
      </c>
      <c r="C167" s="6" t="inlineStr">
        <is>
          <t>Soal Tes #3</t>
        </is>
      </c>
      <c r="D167" s="33" t="inlineStr">
        <is>
          <t>MONTH!E38</t>
        </is>
      </c>
      <c r="E167" s="22" t="inlineStr">
        <is>
          <t>'=MONTH(C37)</t>
        </is>
      </c>
      <c r="F167" s="34">
        <f>MONTH('MONTH'!C37)</f>
        <v/>
      </c>
      <c r="G167" s="19" t="inlineStr">
        <is>
          <t>Ambil nilai MONTH dari tanggal kegiatan di sel C37 menggunakan fungsi MONTH!</t>
        </is>
      </c>
    </row>
    <row r="168">
      <c r="A168" s="5" t="n">
        <v>164</v>
      </c>
      <c r="B168" s="8" t="inlineStr">
        <is>
          <t>MONTH</t>
        </is>
      </c>
      <c r="C168" s="6" t="inlineStr">
        <is>
          <t>Soal Tes #4</t>
        </is>
      </c>
      <c r="D168" s="33" t="inlineStr">
        <is>
          <t>MONTH!E46</t>
        </is>
      </c>
      <c r="E168" s="22" t="inlineStr">
        <is>
          <t>'=MONTH(C45)</t>
        </is>
      </c>
      <c r="F168" s="34">
        <f>MONTH('MONTH'!C45)</f>
        <v/>
      </c>
      <c r="G168" s="19" t="inlineStr">
        <is>
          <t>Ambil nilai MONTH dari tanggal kegiatan di sel C45 menggunakan fungsi MONTH!</t>
        </is>
      </c>
    </row>
    <row r="169">
      <c r="A169" s="5" t="n">
        <v>165</v>
      </c>
      <c r="B169" s="8" t="inlineStr">
        <is>
          <t>MONTH</t>
        </is>
      </c>
      <c r="C169" s="6" t="inlineStr">
        <is>
          <t>Soal Tes #5</t>
        </is>
      </c>
      <c r="D169" s="33" t="inlineStr">
        <is>
          <t>MONTH!E54</t>
        </is>
      </c>
      <c r="E169" s="22" t="inlineStr">
        <is>
          <t>'=MONTH(C53)</t>
        </is>
      </c>
      <c r="F169" s="34">
        <f>MONTH('MONTH'!C53)</f>
        <v/>
      </c>
      <c r="G169" s="19" t="inlineStr">
        <is>
          <t>Ambil nilai MONTH dari tanggal kegiatan di sel C53 menggunakan fungsi MONTH!</t>
        </is>
      </c>
    </row>
    <row r="170">
      <c r="A170" s="5" t="n">
        <v>166</v>
      </c>
      <c r="B170" s="8" t="inlineStr">
        <is>
          <t>DAY</t>
        </is>
      </c>
      <c r="C170" s="6" t="inlineStr">
        <is>
          <t>Soal Tes #1</t>
        </is>
      </c>
      <c r="D170" s="33" t="inlineStr">
        <is>
          <t>DAY!E22</t>
        </is>
      </c>
      <c r="E170" s="22" t="inlineStr">
        <is>
          <t>'=DAY(C21)</t>
        </is>
      </c>
      <c r="F170" s="34">
        <f>DAY('DAY'!C21)</f>
        <v/>
      </c>
      <c r="G170" s="19" t="inlineStr">
        <is>
          <t>Ambil nilai DAY dari tanggal kegiatan di sel C21 menggunakan fungsi DAY!</t>
        </is>
      </c>
    </row>
    <row r="171">
      <c r="A171" s="5" t="n">
        <v>167</v>
      </c>
      <c r="B171" s="8" t="inlineStr">
        <is>
          <t>DAY</t>
        </is>
      </c>
      <c r="C171" s="6" t="inlineStr">
        <is>
          <t>Soal Tes #2</t>
        </is>
      </c>
      <c r="D171" s="33" t="inlineStr">
        <is>
          <t>DAY!E30</t>
        </is>
      </c>
      <c r="E171" s="22" t="inlineStr">
        <is>
          <t>'=DAY(C29)</t>
        </is>
      </c>
      <c r="F171" s="34">
        <f>DAY('DAY'!C29)</f>
        <v/>
      </c>
      <c r="G171" s="19" t="inlineStr">
        <is>
          <t>Ambil nilai DAY dari tanggal kegiatan di sel C29 menggunakan fungsi DAY!</t>
        </is>
      </c>
    </row>
    <row r="172">
      <c r="A172" s="5" t="n">
        <v>168</v>
      </c>
      <c r="B172" s="8" t="inlineStr">
        <is>
          <t>DAY</t>
        </is>
      </c>
      <c r="C172" s="6" t="inlineStr">
        <is>
          <t>Soal Tes #3</t>
        </is>
      </c>
      <c r="D172" s="33" t="inlineStr">
        <is>
          <t>DAY!E38</t>
        </is>
      </c>
      <c r="E172" s="22" t="inlineStr">
        <is>
          <t>'=DAY(C37)</t>
        </is>
      </c>
      <c r="F172" s="34">
        <f>DAY('DAY'!C37)</f>
        <v/>
      </c>
      <c r="G172" s="19" t="inlineStr">
        <is>
          <t>Ambil nilai DAY dari tanggal kegiatan di sel C37 menggunakan fungsi DAY!</t>
        </is>
      </c>
    </row>
    <row r="173">
      <c r="A173" s="5" t="n">
        <v>169</v>
      </c>
      <c r="B173" s="8" t="inlineStr">
        <is>
          <t>DAY</t>
        </is>
      </c>
      <c r="C173" s="6" t="inlineStr">
        <is>
          <t>Soal Tes #4</t>
        </is>
      </c>
      <c r="D173" s="33" t="inlineStr">
        <is>
          <t>DAY!E46</t>
        </is>
      </c>
      <c r="E173" s="22" t="inlineStr">
        <is>
          <t>'=DAY(C45)</t>
        </is>
      </c>
      <c r="F173" s="34">
        <f>DAY('DAY'!C45)</f>
        <v/>
      </c>
      <c r="G173" s="19" t="inlineStr">
        <is>
          <t>Ambil nilai DAY dari tanggal kegiatan di sel C45 menggunakan fungsi DAY!</t>
        </is>
      </c>
    </row>
    <row r="174">
      <c r="A174" s="5" t="n">
        <v>170</v>
      </c>
      <c r="B174" s="8" t="inlineStr">
        <is>
          <t>DAY</t>
        </is>
      </c>
      <c r="C174" s="6" t="inlineStr">
        <is>
          <t>Soal Tes #5</t>
        </is>
      </c>
      <c r="D174" s="33" t="inlineStr">
        <is>
          <t>DAY!E54</t>
        </is>
      </c>
      <c r="E174" s="22" t="inlineStr">
        <is>
          <t>'=DAY(C53)</t>
        </is>
      </c>
      <c r="F174" s="34">
        <f>DAY('DAY'!C53)</f>
        <v/>
      </c>
      <c r="G174" s="19" t="inlineStr">
        <is>
          <t>Ambil nilai DAY dari tanggal kegiatan di sel C53 menggunakan fungsi DAY!</t>
        </is>
      </c>
    </row>
    <row r="175">
      <c r="A175" s="5" t="n">
        <v>171</v>
      </c>
      <c r="B175" s="8" t="inlineStr">
        <is>
          <t>DAYS</t>
        </is>
      </c>
      <c r="C175" s="6" t="inlineStr">
        <is>
          <t>Soal Tes #1</t>
        </is>
      </c>
      <c r="D175" s="33" t="inlineStr">
        <is>
          <t>DAYS!E22</t>
        </is>
      </c>
      <c r="E175" s="22" t="inlineStr">
        <is>
          <t>'=DAYS(C21, B21)</t>
        </is>
      </c>
      <c r="F175" s="34">
        <f>DAYS('DAYS'!C21, 'DAYS'!B21)</f>
        <v/>
      </c>
      <c r="G175" s="19" t="inlineStr">
        <is>
          <t>Hitung selisih hari dengan menempatkan Tanggal Akhir (C21) lalu Tanggal Awal (B21) menggunakan fungsi DAYS!</t>
        </is>
      </c>
    </row>
    <row r="176">
      <c r="A176" s="5" t="n">
        <v>172</v>
      </c>
      <c r="B176" s="8" t="inlineStr">
        <is>
          <t>DAYS</t>
        </is>
      </c>
      <c r="C176" s="6" t="inlineStr">
        <is>
          <t>Soal Tes #2</t>
        </is>
      </c>
      <c r="D176" s="33" t="inlineStr">
        <is>
          <t>DAYS!E30</t>
        </is>
      </c>
      <c r="E176" s="22" t="inlineStr">
        <is>
          <t>'=DAYS(C29, B29)</t>
        </is>
      </c>
      <c r="F176" s="34">
        <f>DAYS('DAYS'!C29, 'DAYS'!B29)</f>
        <v/>
      </c>
      <c r="G176" s="19" t="inlineStr">
        <is>
          <t>Hitung selisih hari dengan menempatkan Tanggal Akhir (C29) lalu Tanggal Awal (B29) menggunakan fungsi DAYS!</t>
        </is>
      </c>
    </row>
    <row r="177">
      <c r="A177" s="5" t="n">
        <v>173</v>
      </c>
      <c r="B177" s="8" t="inlineStr">
        <is>
          <t>DAYS</t>
        </is>
      </c>
      <c r="C177" s="6" t="inlineStr">
        <is>
          <t>Soal Tes #3</t>
        </is>
      </c>
      <c r="D177" s="33" t="inlineStr">
        <is>
          <t>DAYS!E38</t>
        </is>
      </c>
      <c r="E177" s="22" t="inlineStr">
        <is>
          <t>'=DAYS(C37, B37)</t>
        </is>
      </c>
      <c r="F177" s="34">
        <f>DAYS('DAYS'!C37, 'DAYS'!B37)</f>
        <v/>
      </c>
      <c r="G177" s="19" t="inlineStr">
        <is>
          <t>Hitung selisih hari dengan menempatkan Tanggal Akhir (C37) lalu Tanggal Awal (B37) menggunakan fungsi DAYS!</t>
        </is>
      </c>
    </row>
    <row r="178">
      <c r="A178" s="5" t="n">
        <v>174</v>
      </c>
      <c r="B178" s="8" t="inlineStr">
        <is>
          <t>DAYS</t>
        </is>
      </c>
      <c r="C178" s="6" t="inlineStr">
        <is>
          <t>Soal Tes #4</t>
        </is>
      </c>
      <c r="D178" s="33" t="inlineStr">
        <is>
          <t>DAYS!E46</t>
        </is>
      </c>
      <c r="E178" s="22" t="inlineStr">
        <is>
          <t>'=DAYS(C45, B45)</t>
        </is>
      </c>
      <c r="F178" s="34">
        <f>DAYS('DAYS'!C45, 'DAYS'!B45)</f>
        <v/>
      </c>
      <c r="G178" s="19" t="inlineStr">
        <is>
          <t>Hitung selisih hari dengan menempatkan Tanggal Akhir (C45) lalu Tanggal Awal (B45) menggunakan fungsi DAYS!</t>
        </is>
      </c>
    </row>
    <row r="179">
      <c r="A179" s="5" t="n">
        <v>175</v>
      </c>
      <c r="B179" s="8" t="inlineStr">
        <is>
          <t>DAYS</t>
        </is>
      </c>
      <c r="C179" s="6" t="inlineStr">
        <is>
          <t>Soal Tes #5</t>
        </is>
      </c>
      <c r="D179" s="33" t="inlineStr">
        <is>
          <t>DAYS!E54</t>
        </is>
      </c>
      <c r="E179" s="22" t="inlineStr">
        <is>
          <t>'=DAYS(C53, B53)</t>
        </is>
      </c>
      <c r="F179" s="34">
        <f>DAYS('DAYS'!C53, 'DAYS'!B53)</f>
        <v/>
      </c>
      <c r="G179" s="19" t="inlineStr">
        <is>
          <t>Hitung selisih hari dengan menempatkan Tanggal Akhir (C53) lalu Tanggal Awal (B53) menggunakan fungsi DAYS!</t>
        </is>
      </c>
    </row>
    <row r="180">
      <c r="A180" s="5" t="n">
        <v>176</v>
      </c>
      <c r="B180" s="8" t="inlineStr">
        <is>
          <t>DATEDIF</t>
        </is>
      </c>
      <c r="C180" s="6" t="inlineStr">
        <is>
          <t>Soal Tes #1</t>
        </is>
      </c>
      <c r="D180" s="33" t="inlineStr">
        <is>
          <t>DATEDIF!E22</t>
        </is>
      </c>
      <c r="E180" s="22" t="inlineStr">
        <is>
          <t>'=DATEDIF(B21, C21, "D")</t>
        </is>
      </c>
      <c r="F180" s="34">
        <f>DATEDIF('DATEDIF'!B21, 'DATEDIF'!C21, "D")</f>
        <v/>
      </c>
      <c r="G180" s="19" t="inlineStr">
        <is>
          <t>Hitung selisih hari (satuan "D") dari Tanggal Awal B21 hingga Tanggal Akhir C21 menggunakan fungsi DATEDIF!</t>
        </is>
      </c>
    </row>
    <row r="181">
      <c r="A181" s="5" t="n">
        <v>177</v>
      </c>
      <c r="B181" s="8" t="inlineStr">
        <is>
          <t>DATEDIF</t>
        </is>
      </c>
      <c r="C181" s="6" t="inlineStr">
        <is>
          <t>Soal Tes #2</t>
        </is>
      </c>
      <c r="D181" s="33" t="inlineStr">
        <is>
          <t>DATEDIF!E30</t>
        </is>
      </c>
      <c r="E181" s="22" t="inlineStr">
        <is>
          <t>'=DATEDIF(B29, C29, "D")</t>
        </is>
      </c>
      <c r="F181" s="34">
        <f>DATEDIF('DATEDIF'!B29, 'DATEDIF'!C29, "D")</f>
        <v/>
      </c>
      <c r="G181" s="19" t="inlineStr">
        <is>
          <t>Hitung selisih hari (satuan "D") dari Tanggal Awal B29 hingga Tanggal Akhir C29 menggunakan fungsi DATEDIF!</t>
        </is>
      </c>
    </row>
    <row r="182">
      <c r="A182" s="5" t="n">
        <v>178</v>
      </c>
      <c r="B182" s="8" t="inlineStr">
        <is>
          <t>DATEDIF</t>
        </is>
      </c>
      <c r="C182" s="6" t="inlineStr">
        <is>
          <t>Soal Tes #3</t>
        </is>
      </c>
      <c r="D182" s="33" t="inlineStr">
        <is>
          <t>DATEDIF!E38</t>
        </is>
      </c>
      <c r="E182" s="22" t="inlineStr">
        <is>
          <t>'=DATEDIF(B37, C37, "D")</t>
        </is>
      </c>
      <c r="F182" s="34">
        <f>DATEDIF('DATEDIF'!B37, 'DATEDIF'!C37, "D")</f>
        <v/>
      </c>
      <c r="G182" s="19" t="inlineStr">
        <is>
          <t>Hitung selisih hari (satuan "D") dari Tanggal Awal B37 hingga Tanggal Akhir C37 menggunakan fungsi DATEDIF!</t>
        </is>
      </c>
    </row>
    <row r="183">
      <c r="A183" s="5" t="n">
        <v>179</v>
      </c>
      <c r="B183" s="8" t="inlineStr">
        <is>
          <t>DATEDIF</t>
        </is>
      </c>
      <c r="C183" s="6" t="inlineStr">
        <is>
          <t>Soal Tes #4</t>
        </is>
      </c>
      <c r="D183" s="33" t="inlineStr">
        <is>
          <t>DATEDIF!E46</t>
        </is>
      </c>
      <c r="E183" s="22" t="inlineStr">
        <is>
          <t>'=DATEDIF(B45, C45, "D")</t>
        </is>
      </c>
      <c r="F183" s="34">
        <f>DATEDIF('DATEDIF'!B45, 'DATEDIF'!C45, "D")</f>
        <v/>
      </c>
      <c r="G183" s="19" t="inlineStr">
        <is>
          <t>Hitung selisih hari (satuan "D") dari Tanggal Awal B45 hingga Tanggal Akhir C45 menggunakan fungsi DATEDIF!</t>
        </is>
      </c>
    </row>
    <row r="184">
      <c r="A184" s="5" t="n">
        <v>180</v>
      </c>
      <c r="B184" s="8" t="inlineStr">
        <is>
          <t>DATEDIF</t>
        </is>
      </c>
      <c r="C184" s="6" t="inlineStr">
        <is>
          <t>Soal Tes #5</t>
        </is>
      </c>
      <c r="D184" s="33" t="inlineStr">
        <is>
          <t>DATEDIF!E54</t>
        </is>
      </c>
      <c r="E184" s="22" t="inlineStr">
        <is>
          <t>'=DATEDIF(B53, C53, "D")</t>
        </is>
      </c>
      <c r="F184" s="34">
        <f>DATEDIF('DATEDIF'!B53, 'DATEDIF'!C53, "D")</f>
        <v/>
      </c>
      <c r="G184" s="19" t="inlineStr">
        <is>
          <t>Hitung selisih hari (satuan "D") dari Tanggal Awal B53 hingga Tanggal Akhir C53 menggunakan fungsi DATEDIF!</t>
        </is>
      </c>
    </row>
    <row r="185">
      <c r="A185" s="5" t="n">
        <v>181</v>
      </c>
      <c r="B185" s="8" t="inlineStr">
        <is>
          <t>EDATE</t>
        </is>
      </c>
      <c r="C185" s="6" t="inlineStr">
        <is>
          <t>Soal Tes #1</t>
        </is>
      </c>
      <c r="D185" s="33" t="inlineStr">
        <is>
          <t>EDATE!E22</t>
        </is>
      </c>
      <c r="E185" s="22" t="inlineStr">
        <is>
          <t>'=EDATE(C21, 2)</t>
        </is>
      </c>
      <c r="F185" s="34">
        <f>EDATE('EDATE'!C21, 2)</f>
        <v/>
      </c>
      <c r="G185" s="19" t="inlineStr">
        <is>
          <t>Tentukan tanggal hasil pergeseran dari tanggal awal di C21 sejauh 2 periode ke depan menggunakan fungsi EDATE!</t>
        </is>
      </c>
    </row>
    <row r="186">
      <c r="A186" s="5" t="n">
        <v>182</v>
      </c>
      <c r="B186" s="8" t="inlineStr">
        <is>
          <t>EDATE</t>
        </is>
      </c>
      <c r="C186" s="6" t="inlineStr">
        <is>
          <t>Soal Tes #2</t>
        </is>
      </c>
      <c r="D186" s="33" t="inlineStr">
        <is>
          <t>EDATE!E30</t>
        </is>
      </c>
      <c r="E186" s="22" t="inlineStr">
        <is>
          <t>'=EDATE(C29, 3)</t>
        </is>
      </c>
      <c r="F186" s="34">
        <f>EDATE('EDATE'!C29, 3)</f>
        <v/>
      </c>
      <c r="G186" s="19" t="inlineStr">
        <is>
          <t>Tentukan tanggal hasil pergeseran dari tanggal awal di C29 sejauh 3 periode ke depan menggunakan fungsi EDATE!</t>
        </is>
      </c>
    </row>
    <row r="187">
      <c r="A187" s="5" t="n">
        <v>183</v>
      </c>
      <c r="B187" s="8" t="inlineStr">
        <is>
          <t>EDATE</t>
        </is>
      </c>
      <c r="C187" s="6" t="inlineStr">
        <is>
          <t>Soal Tes #3</t>
        </is>
      </c>
      <c r="D187" s="33" t="inlineStr">
        <is>
          <t>EDATE!E38</t>
        </is>
      </c>
      <c r="E187" s="22" t="inlineStr">
        <is>
          <t>'=EDATE(C37, 4)</t>
        </is>
      </c>
      <c r="F187" s="34">
        <f>EDATE('EDATE'!C37, 4)</f>
        <v/>
      </c>
      <c r="G187" s="19" t="inlineStr">
        <is>
          <t>Tentukan tanggal hasil pergeseran dari tanggal awal di C37 sejauh 4 periode ke depan menggunakan fungsi EDATE!</t>
        </is>
      </c>
    </row>
    <row r="188">
      <c r="A188" s="5" t="n">
        <v>184</v>
      </c>
      <c r="B188" s="8" t="inlineStr">
        <is>
          <t>EDATE</t>
        </is>
      </c>
      <c r="C188" s="6" t="inlineStr">
        <is>
          <t>Soal Tes #4</t>
        </is>
      </c>
      <c r="D188" s="33" t="inlineStr">
        <is>
          <t>EDATE!E46</t>
        </is>
      </c>
      <c r="E188" s="22" t="inlineStr">
        <is>
          <t>'=EDATE(C45, 5)</t>
        </is>
      </c>
      <c r="F188" s="34">
        <f>EDATE('EDATE'!C45, 5)</f>
        <v/>
      </c>
      <c r="G188" s="19" t="inlineStr">
        <is>
          <t>Tentukan tanggal hasil pergeseran dari tanggal awal di C45 sejauh 5 periode ke depan menggunakan fungsi EDATE!</t>
        </is>
      </c>
    </row>
    <row r="189">
      <c r="A189" s="5" t="n">
        <v>185</v>
      </c>
      <c r="B189" s="8" t="inlineStr">
        <is>
          <t>EDATE</t>
        </is>
      </c>
      <c r="C189" s="6" t="inlineStr">
        <is>
          <t>Soal Tes #5</t>
        </is>
      </c>
      <c r="D189" s="33" t="inlineStr">
        <is>
          <t>EDATE!E54</t>
        </is>
      </c>
      <c r="E189" s="22" t="inlineStr">
        <is>
          <t>'=EDATE(C53, 6)</t>
        </is>
      </c>
      <c r="F189" s="34">
        <f>EDATE('EDATE'!C53, 6)</f>
        <v/>
      </c>
      <c r="G189" s="19" t="inlineStr">
        <is>
          <t>Tentukan tanggal hasil pergeseran dari tanggal awal di C53 sejauh 6 periode ke depan menggunakan fungsi EDATE!</t>
        </is>
      </c>
    </row>
    <row r="190">
      <c r="A190" s="5" t="n">
        <v>186</v>
      </c>
      <c r="B190" s="8" t="inlineStr">
        <is>
          <t>EOMONTH</t>
        </is>
      </c>
      <c r="C190" s="6" t="inlineStr">
        <is>
          <t>Soal Tes #1</t>
        </is>
      </c>
      <c r="D190" s="33" t="inlineStr">
        <is>
          <t>EOMONTH!E22</t>
        </is>
      </c>
      <c r="E190" s="22" t="inlineStr">
        <is>
          <t>'=EOMONTH(C21, 2)</t>
        </is>
      </c>
      <c r="F190" s="34">
        <f>EOMONTH('EOMONTH'!C21, 2)</f>
        <v/>
      </c>
      <c r="G190" s="19" t="inlineStr">
        <is>
          <t>Tentukan tanggal hasil pergeseran dari tanggal awal di C21 sejauh 2 periode ke depan menggunakan fungsi EOMONTH!</t>
        </is>
      </c>
    </row>
    <row r="191">
      <c r="A191" s="5" t="n">
        <v>187</v>
      </c>
      <c r="B191" s="8" t="inlineStr">
        <is>
          <t>EOMONTH</t>
        </is>
      </c>
      <c r="C191" s="6" t="inlineStr">
        <is>
          <t>Soal Tes #2</t>
        </is>
      </c>
      <c r="D191" s="33" t="inlineStr">
        <is>
          <t>EOMONTH!E30</t>
        </is>
      </c>
      <c r="E191" s="22" t="inlineStr">
        <is>
          <t>'=EOMONTH(C29, 3)</t>
        </is>
      </c>
      <c r="F191" s="34">
        <f>EOMONTH('EOMONTH'!C29, 3)</f>
        <v/>
      </c>
      <c r="G191" s="19" t="inlineStr">
        <is>
          <t>Tentukan tanggal hasil pergeseran dari tanggal awal di C29 sejauh 3 periode ke depan menggunakan fungsi EOMONTH!</t>
        </is>
      </c>
    </row>
    <row r="192">
      <c r="A192" s="5" t="n">
        <v>188</v>
      </c>
      <c r="B192" s="8" t="inlineStr">
        <is>
          <t>EOMONTH</t>
        </is>
      </c>
      <c r="C192" s="6" t="inlineStr">
        <is>
          <t>Soal Tes #3</t>
        </is>
      </c>
      <c r="D192" s="33" t="inlineStr">
        <is>
          <t>EOMONTH!E38</t>
        </is>
      </c>
      <c r="E192" s="22" t="inlineStr">
        <is>
          <t>'=EOMONTH(C37, 4)</t>
        </is>
      </c>
      <c r="F192" s="34">
        <f>EOMONTH('EOMONTH'!C37, 4)</f>
        <v/>
      </c>
      <c r="G192" s="19" t="inlineStr">
        <is>
          <t>Tentukan tanggal hasil pergeseran dari tanggal awal di C37 sejauh 4 periode ke depan menggunakan fungsi EOMONTH!</t>
        </is>
      </c>
    </row>
    <row r="193">
      <c r="A193" s="5" t="n">
        <v>189</v>
      </c>
      <c r="B193" s="8" t="inlineStr">
        <is>
          <t>EOMONTH</t>
        </is>
      </c>
      <c r="C193" s="6" t="inlineStr">
        <is>
          <t>Soal Tes #4</t>
        </is>
      </c>
      <c r="D193" s="33" t="inlineStr">
        <is>
          <t>EOMONTH!E46</t>
        </is>
      </c>
      <c r="E193" s="22" t="inlineStr">
        <is>
          <t>'=EOMONTH(C45, 5)</t>
        </is>
      </c>
      <c r="F193" s="34">
        <f>EOMONTH('EOMONTH'!C45, 5)</f>
        <v/>
      </c>
      <c r="G193" s="19" t="inlineStr">
        <is>
          <t>Tentukan tanggal hasil pergeseran dari tanggal awal di C45 sejauh 5 periode ke depan menggunakan fungsi EOMONTH!</t>
        </is>
      </c>
    </row>
    <row r="194">
      <c r="A194" s="5" t="n">
        <v>190</v>
      </c>
      <c r="B194" s="8" t="inlineStr">
        <is>
          <t>EOMONTH</t>
        </is>
      </c>
      <c r="C194" s="6" t="inlineStr">
        <is>
          <t>Soal Tes #5</t>
        </is>
      </c>
      <c r="D194" s="33" t="inlineStr">
        <is>
          <t>EOMONTH!E54</t>
        </is>
      </c>
      <c r="E194" s="22" t="inlineStr">
        <is>
          <t>'=EOMONTH(C53, 6)</t>
        </is>
      </c>
      <c r="F194" s="34">
        <f>EOMONTH('EOMONTH'!C53, 6)</f>
        <v/>
      </c>
      <c r="G194" s="19" t="inlineStr">
        <is>
          <t>Tentukan tanggal hasil pergeseran dari tanggal awal di C53 sejauh 6 periode ke depan menggunakan fungsi EOMONTH!</t>
        </is>
      </c>
    </row>
    <row r="195">
      <c r="A195" s="5" t="n">
        <v>191</v>
      </c>
      <c r="B195" s="8" t="inlineStr">
        <is>
          <t>NETWORKDAYS</t>
        </is>
      </c>
      <c r="C195" s="6" t="inlineStr">
        <is>
          <t>Soal Tes #1</t>
        </is>
      </c>
      <c r="D195" s="33" t="inlineStr">
        <is>
          <t>NETWORKDAYS!E22</t>
        </is>
      </c>
      <c r="E195" s="22" t="inlineStr">
        <is>
          <t>'=NETWORKDAYS(B21, C21)</t>
        </is>
      </c>
      <c r="F195" s="34">
        <f>NETWORKDAYS('NETWORKDAYS'!B21, 'NETWORKDAYS'!C21)</f>
        <v/>
      </c>
      <c r="G195" s="19" t="inlineStr">
        <is>
          <t>Hitung jumlah hari kerja efektif dari Tanggal Awal B21 sampai Tanggal Akhir C21 menggunakan fungsi NETWORKDAYS!</t>
        </is>
      </c>
    </row>
    <row r="196">
      <c r="A196" s="5" t="n">
        <v>192</v>
      </c>
      <c r="B196" s="8" t="inlineStr">
        <is>
          <t>NETWORKDAYS</t>
        </is>
      </c>
      <c r="C196" s="6" t="inlineStr">
        <is>
          <t>Soal Tes #2</t>
        </is>
      </c>
      <c r="D196" s="33" t="inlineStr">
        <is>
          <t>NETWORKDAYS!E30</t>
        </is>
      </c>
      <c r="E196" s="22" t="inlineStr">
        <is>
          <t>'=NETWORKDAYS(B29, C29)</t>
        </is>
      </c>
      <c r="F196" s="34">
        <f>NETWORKDAYS('NETWORKDAYS'!B29, 'NETWORKDAYS'!C29)</f>
        <v/>
      </c>
      <c r="G196" s="19" t="inlineStr">
        <is>
          <t>Hitung jumlah hari kerja efektif dari Tanggal Awal B29 sampai Tanggal Akhir C29 menggunakan fungsi NETWORKDAYS!</t>
        </is>
      </c>
    </row>
    <row r="197">
      <c r="A197" s="5" t="n">
        <v>193</v>
      </c>
      <c r="B197" s="8" t="inlineStr">
        <is>
          <t>NETWORKDAYS</t>
        </is>
      </c>
      <c r="C197" s="6" t="inlineStr">
        <is>
          <t>Soal Tes #3</t>
        </is>
      </c>
      <c r="D197" s="33" t="inlineStr">
        <is>
          <t>NETWORKDAYS!E38</t>
        </is>
      </c>
      <c r="E197" s="22" t="inlineStr">
        <is>
          <t>'=NETWORKDAYS(B37, C37)</t>
        </is>
      </c>
      <c r="F197" s="34">
        <f>NETWORKDAYS('NETWORKDAYS'!B37, 'NETWORKDAYS'!C37)</f>
        <v/>
      </c>
      <c r="G197" s="19" t="inlineStr">
        <is>
          <t>Hitung jumlah hari kerja efektif dari Tanggal Awal B37 sampai Tanggal Akhir C37 menggunakan fungsi NETWORKDAYS!</t>
        </is>
      </c>
    </row>
    <row r="198">
      <c r="A198" s="5" t="n">
        <v>194</v>
      </c>
      <c r="B198" s="8" t="inlineStr">
        <is>
          <t>NETWORKDAYS</t>
        </is>
      </c>
      <c r="C198" s="6" t="inlineStr">
        <is>
          <t>Soal Tes #4</t>
        </is>
      </c>
      <c r="D198" s="33" t="inlineStr">
        <is>
          <t>NETWORKDAYS!E46</t>
        </is>
      </c>
      <c r="E198" s="22" t="inlineStr">
        <is>
          <t>'=NETWORKDAYS(B45, C45)</t>
        </is>
      </c>
      <c r="F198" s="34">
        <f>NETWORKDAYS('NETWORKDAYS'!B45, 'NETWORKDAYS'!C45)</f>
        <v/>
      </c>
      <c r="G198" s="19" t="inlineStr">
        <is>
          <t>Hitung jumlah hari kerja efektif dari Tanggal Awal B45 sampai Tanggal Akhir C45 menggunakan fungsi NETWORKDAYS!</t>
        </is>
      </c>
    </row>
    <row r="199">
      <c r="A199" s="5" t="n">
        <v>195</v>
      </c>
      <c r="B199" s="8" t="inlineStr">
        <is>
          <t>NETWORKDAYS</t>
        </is>
      </c>
      <c r="C199" s="6" t="inlineStr">
        <is>
          <t>Soal Tes #5</t>
        </is>
      </c>
      <c r="D199" s="33" t="inlineStr">
        <is>
          <t>NETWORKDAYS!E54</t>
        </is>
      </c>
      <c r="E199" s="22" t="inlineStr">
        <is>
          <t>'=NETWORKDAYS(B53, C53)</t>
        </is>
      </c>
      <c r="F199" s="34">
        <f>NETWORKDAYS('NETWORKDAYS'!B53, 'NETWORKDAYS'!C53)</f>
        <v/>
      </c>
      <c r="G199" s="19" t="inlineStr">
        <is>
          <t>Hitung jumlah hari kerja efektif dari Tanggal Awal B53 sampai Tanggal Akhir C53 menggunakan fungsi NETWORKDAYS!</t>
        </is>
      </c>
    </row>
    <row r="200">
      <c r="A200" s="5" t="n">
        <v>196</v>
      </c>
      <c r="B200" s="8" t="inlineStr">
        <is>
          <t>WORKDAY</t>
        </is>
      </c>
      <c r="C200" s="6" t="inlineStr">
        <is>
          <t>Soal Tes #1</t>
        </is>
      </c>
      <c r="D200" s="33" t="inlineStr">
        <is>
          <t>WORKDAY!E22</t>
        </is>
      </c>
      <c r="E200" s="22" t="inlineStr">
        <is>
          <t>'=WORKDAY(C21, 2)</t>
        </is>
      </c>
      <c r="F200" s="34">
        <f>WORKDAY('WORKDAY'!C21, 2)</f>
        <v/>
      </c>
      <c r="G200" s="19" t="inlineStr">
        <is>
          <t>Tentukan tanggal hasil pergeseran dari tanggal awal di C21 sejauh 2 periode ke depan menggunakan fungsi WORKDAY!</t>
        </is>
      </c>
    </row>
    <row r="201">
      <c r="A201" s="5" t="n">
        <v>197</v>
      </c>
      <c r="B201" s="8" t="inlineStr">
        <is>
          <t>WORKDAY</t>
        </is>
      </c>
      <c r="C201" s="6" t="inlineStr">
        <is>
          <t>Soal Tes #2</t>
        </is>
      </c>
      <c r="D201" s="33" t="inlineStr">
        <is>
          <t>WORKDAY!E30</t>
        </is>
      </c>
      <c r="E201" s="22" t="inlineStr">
        <is>
          <t>'=WORKDAY(C29, 3)</t>
        </is>
      </c>
      <c r="F201" s="34">
        <f>WORKDAY('WORKDAY'!C29, 3)</f>
        <v/>
      </c>
      <c r="G201" s="19" t="inlineStr">
        <is>
          <t>Tentukan tanggal hasil pergeseran dari tanggal awal di C29 sejauh 3 periode ke depan menggunakan fungsi WORKDAY!</t>
        </is>
      </c>
    </row>
    <row r="202">
      <c r="A202" s="5" t="n">
        <v>198</v>
      </c>
      <c r="B202" s="8" t="inlineStr">
        <is>
          <t>WORKDAY</t>
        </is>
      </c>
      <c r="C202" s="6" t="inlineStr">
        <is>
          <t>Soal Tes #3</t>
        </is>
      </c>
      <c r="D202" s="33" t="inlineStr">
        <is>
          <t>WORKDAY!E38</t>
        </is>
      </c>
      <c r="E202" s="22" t="inlineStr">
        <is>
          <t>'=WORKDAY(C37, 4)</t>
        </is>
      </c>
      <c r="F202" s="34">
        <f>WORKDAY('WORKDAY'!C37, 4)</f>
        <v/>
      </c>
      <c r="G202" s="19" t="inlineStr">
        <is>
          <t>Tentukan tanggal hasil pergeseran dari tanggal awal di C37 sejauh 4 periode ke depan menggunakan fungsi WORKDAY!</t>
        </is>
      </c>
    </row>
    <row r="203">
      <c r="A203" s="5" t="n">
        <v>199</v>
      </c>
      <c r="B203" s="8" t="inlineStr">
        <is>
          <t>WORKDAY</t>
        </is>
      </c>
      <c r="C203" s="6" t="inlineStr">
        <is>
          <t>Soal Tes #4</t>
        </is>
      </c>
      <c r="D203" s="33" t="inlineStr">
        <is>
          <t>WORKDAY!E46</t>
        </is>
      </c>
      <c r="E203" s="22" t="inlineStr">
        <is>
          <t>'=WORKDAY(C45, 5)</t>
        </is>
      </c>
      <c r="F203" s="34">
        <f>WORKDAY('WORKDAY'!C45, 5)</f>
        <v/>
      </c>
      <c r="G203" s="19" t="inlineStr">
        <is>
          <t>Tentukan tanggal hasil pergeseran dari tanggal awal di C45 sejauh 5 periode ke depan menggunakan fungsi WORKDAY!</t>
        </is>
      </c>
    </row>
    <row r="204">
      <c r="A204" s="5" t="n">
        <v>200</v>
      </c>
      <c r="B204" s="8" t="inlineStr">
        <is>
          <t>WORKDAY</t>
        </is>
      </c>
      <c r="C204" s="6" t="inlineStr">
        <is>
          <t>Soal Tes #5</t>
        </is>
      </c>
      <c r="D204" s="33" t="inlineStr">
        <is>
          <t>WORKDAY!E54</t>
        </is>
      </c>
      <c r="E204" s="22" t="inlineStr">
        <is>
          <t>'=WORKDAY(C53, 6)</t>
        </is>
      </c>
      <c r="F204" s="34">
        <f>WORKDAY('WORKDAY'!C53, 6)</f>
        <v/>
      </c>
      <c r="G204" s="19" t="inlineStr">
        <is>
          <t>Tentukan tanggal hasil pergeseran dari tanggal awal di C53 sejauh 6 periode ke depan menggunakan fungsi WORKDAY!</t>
        </is>
      </c>
    </row>
    <row r="205">
      <c r="A205" s="5" t="n">
        <v>201</v>
      </c>
      <c r="B205" s="8" t="inlineStr">
        <is>
          <t>WEEKDAY</t>
        </is>
      </c>
      <c r="C205" s="6" t="inlineStr">
        <is>
          <t>Soal Tes #1</t>
        </is>
      </c>
      <c r="D205" s="33" t="inlineStr">
        <is>
          <t>WEEKDAY!E22</t>
        </is>
      </c>
      <c r="E205" s="22" t="inlineStr">
        <is>
          <t>'=WEEKDAY(C21)</t>
        </is>
      </c>
      <c r="F205" s="34">
        <f>WEEKDAY('WEEKDAY'!C21)</f>
        <v/>
      </c>
      <c r="G205" s="19" t="inlineStr">
        <is>
          <t>Ambil nilai WEEKDAY dari tanggal kegiatan di sel C21 menggunakan fungsi WEEKDAY!</t>
        </is>
      </c>
    </row>
    <row r="206">
      <c r="A206" s="5" t="n">
        <v>202</v>
      </c>
      <c r="B206" s="8" t="inlineStr">
        <is>
          <t>WEEKDAY</t>
        </is>
      </c>
      <c r="C206" s="6" t="inlineStr">
        <is>
          <t>Soal Tes #2</t>
        </is>
      </c>
      <c r="D206" s="33" t="inlineStr">
        <is>
          <t>WEEKDAY!E30</t>
        </is>
      </c>
      <c r="E206" s="22" t="inlineStr">
        <is>
          <t>'=WEEKDAY(C29)</t>
        </is>
      </c>
      <c r="F206" s="34">
        <f>WEEKDAY('WEEKDAY'!C29)</f>
        <v/>
      </c>
      <c r="G206" s="19" t="inlineStr">
        <is>
          <t>Ambil nilai WEEKDAY dari tanggal kegiatan di sel C29 menggunakan fungsi WEEKDAY!</t>
        </is>
      </c>
    </row>
    <row r="207">
      <c r="A207" s="5" t="n">
        <v>203</v>
      </c>
      <c r="B207" s="8" t="inlineStr">
        <is>
          <t>WEEKDAY</t>
        </is>
      </c>
      <c r="C207" s="6" t="inlineStr">
        <is>
          <t>Soal Tes #3</t>
        </is>
      </c>
      <c r="D207" s="33" t="inlineStr">
        <is>
          <t>WEEKDAY!E38</t>
        </is>
      </c>
      <c r="E207" s="22" t="inlineStr">
        <is>
          <t>'=WEEKDAY(C37)</t>
        </is>
      </c>
      <c r="F207" s="34">
        <f>WEEKDAY('WEEKDAY'!C37)</f>
        <v/>
      </c>
      <c r="G207" s="19" t="inlineStr">
        <is>
          <t>Ambil nilai WEEKDAY dari tanggal kegiatan di sel C37 menggunakan fungsi WEEKDAY!</t>
        </is>
      </c>
    </row>
    <row r="208">
      <c r="A208" s="5" t="n">
        <v>204</v>
      </c>
      <c r="B208" s="8" t="inlineStr">
        <is>
          <t>WEEKDAY</t>
        </is>
      </c>
      <c r="C208" s="6" t="inlineStr">
        <is>
          <t>Soal Tes #4</t>
        </is>
      </c>
      <c r="D208" s="33" t="inlineStr">
        <is>
          <t>WEEKDAY!E46</t>
        </is>
      </c>
      <c r="E208" s="22" t="inlineStr">
        <is>
          <t>'=WEEKDAY(C45)</t>
        </is>
      </c>
      <c r="F208" s="34">
        <f>WEEKDAY('WEEKDAY'!C45)</f>
        <v/>
      </c>
      <c r="G208" s="19" t="inlineStr">
        <is>
          <t>Ambil nilai WEEKDAY dari tanggal kegiatan di sel C45 menggunakan fungsi WEEKDAY!</t>
        </is>
      </c>
    </row>
    <row r="209">
      <c r="A209" s="5" t="n">
        <v>205</v>
      </c>
      <c r="B209" s="8" t="inlineStr">
        <is>
          <t>WEEKDAY</t>
        </is>
      </c>
      <c r="C209" s="6" t="inlineStr">
        <is>
          <t>Soal Tes #5</t>
        </is>
      </c>
      <c r="D209" s="33" t="inlineStr">
        <is>
          <t>WEEKDAY!E54</t>
        </is>
      </c>
      <c r="E209" s="22" t="inlineStr">
        <is>
          <t>'=WEEKDAY(C53)</t>
        </is>
      </c>
      <c r="F209" s="34">
        <f>WEEKDAY('WEEKDAY'!C53)</f>
        <v/>
      </c>
      <c r="G209" s="19" t="inlineStr">
        <is>
          <t>Ambil nilai WEEKDAY dari tanggal kegiatan di sel C53 menggunakan fungsi WEEKDAY!</t>
        </is>
      </c>
    </row>
    <row r="210">
      <c r="A210" s="5" t="n">
        <v>206</v>
      </c>
      <c r="B210" s="8" t="inlineStr">
        <is>
          <t>WEEKNUM</t>
        </is>
      </c>
      <c r="C210" s="6" t="inlineStr">
        <is>
          <t>Soal Tes #1</t>
        </is>
      </c>
      <c r="D210" s="33" t="inlineStr">
        <is>
          <t>WEEKNUM!E22</t>
        </is>
      </c>
      <c r="E210" s="22" t="inlineStr">
        <is>
          <t>'=WEEKNUM(C21)</t>
        </is>
      </c>
      <c r="F210" s="34">
        <f>WEEKNUM('WEEKNUM'!C21)</f>
        <v/>
      </c>
      <c r="G210" s="19" t="inlineStr">
        <is>
          <t>Ambil nilai WEEKNUM dari tanggal kegiatan di sel C21 menggunakan fungsi WEEKNUM!</t>
        </is>
      </c>
    </row>
    <row r="211">
      <c r="A211" s="5" t="n">
        <v>207</v>
      </c>
      <c r="B211" s="8" t="inlineStr">
        <is>
          <t>WEEKNUM</t>
        </is>
      </c>
      <c r="C211" s="6" t="inlineStr">
        <is>
          <t>Soal Tes #2</t>
        </is>
      </c>
      <c r="D211" s="33" t="inlineStr">
        <is>
          <t>WEEKNUM!E30</t>
        </is>
      </c>
      <c r="E211" s="22" t="inlineStr">
        <is>
          <t>'=WEEKNUM(C29)</t>
        </is>
      </c>
      <c r="F211" s="34">
        <f>WEEKNUM('WEEKNUM'!C29)</f>
        <v/>
      </c>
      <c r="G211" s="19" t="inlineStr">
        <is>
          <t>Ambil nilai WEEKNUM dari tanggal kegiatan di sel C29 menggunakan fungsi WEEKNUM!</t>
        </is>
      </c>
    </row>
    <row r="212">
      <c r="A212" s="5" t="n">
        <v>208</v>
      </c>
      <c r="B212" s="8" t="inlineStr">
        <is>
          <t>WEEKNUM</t>
        </is>
      </c>
      <c r="C212" s="6" t="inlineStr">
        <is>
          <t>Soal Tes #3</t>
        </is>
      </c>
      <c r="D212" s="33" t="inlineStr">
        <is>
          <t>WEEKNUM!E38</t>
        </is>
      </c>
      <c r="E212" s="22" t="inlineStr">
        <is>
          <t>'=WEEKNUM(C37)</t>
        </is>
      </c>
      <c r="F212" s="34">
        <f>WEEKNUM('WEEKNUM'!C37)</f>
        <v/>
      </c>
      <c r="G212" s="19" t="inlineStr">
        <is>
          <t>Ambil nilai WEEKNUM dari tanggal kegiatan di sel C37 menggunakan fungsi WEEKNUM!</t>
        </is>
      </c>
    </row>
    <row r="213">
      <c r="A213" s="5" t="n">
        <v>209</v>
      </c>
      <c r="B213" s="8" t="inlineStr">
        <is>
          <t>WEEKNUM</t>
        </is>
      </c>
      <c r="C213" s="6" t="inlineStr">
        <is>
          <t>Soal Tes #4</t>
        </is>
      </c>
      <c r="D213" s="33" t="inlineStr">
        <is>
          <t>WEEKNUM!E46</t>
        </is>
      </c>
      <c r="E213" s="22" t="inlineStr">
        <is>
          <t>'=WEEKNUM(C45)</t>
        </is>
      </c>
      <c r="F213" s="34">
        <f>WEEKNUM('WEEKNUM'!C45)</f>
        <v/>
      </c>
      <c r="G213" s="19" t="inlineStr">
        <is>
          <t>Ambil nilai WEEKNUM dari tanggal kegiatan di sel C45 menggunakan fungsi WEEKNUM!</t>
        </is>
      </c>
    </row>
    <row r="214">
      <c r="A214" s="5" t="n">
        <v>210</v>
      </c>
      <c r="B214" s="8" t="inlineStr">
        <is>
          <t>WEEKNUM</t>
        </is>
      </c>
      <c r="C214" s="6" t="inlineStr">
        <is>
          <t>Soal Tes #5</t>
        </is>
      </c>
      <c r="D214" s="33" t="inlineStr">
        <is>
          <t>WEEKNUM!E54</t>
        </is>
      </c>
      <c r="E214" s="22" t="inlineStr">
        <is>
          <t>'=WEEKNUM(C53)</t>
        </is>
      </c>
      <c r="F214" s="34">
        <f>WEEKNUM('WEEKNUM'!C53)</f>
        <v/>
      </c>
      <c r="G214" s="19" t="inlineStr">
        <is>
          <t>Ambil nilai WEEKNUM dari tanggal kegiatan di sel C53 menggunakan fungsi WEEKNUM!</t>
        </is>
      </c>
    </row>
    <row r="215">
      <c r="A215" s="5" t="n">
        <v>211</v>
      </c>
      <c r="B215" s="8" t="inlineStr">
        <is>
          <t>HOUR</t>
        </is>
      </c>
      <c r="C215" s="6" t="inlineStr">
        <is>
          <t>Soal Tes #1</t>
        </is>
      </c>
      <c r="D215" s="33" t="inlineStr">
        <is>
          <t>HOUR!E22</t>
        </is>
      </c>
      <c r="E215" s="22" t="inlineStr">
        <is>
          <t>'=HOUR(C21)</t>
        </is>
      </c>
      <c r="F215" s="34">
        <f>HOUR('HOUR'!C21)</f>
        <v/>
      </c>
      <c r="G215" s="19" t="inlineStr">
        <is>
          <t>Ekstrak komponen HOUR dari waktu absensi di sel C21 menggunakan fungsi HOUR!</t>
        </is>
      </c>
    </row>
    <row r="216">
      <c r="A216" s="5" t="n">
        <v>212</v>
      </c>
      <c r="B216" s="8" t="inlineStr">
        <is>
          <t>HOUR</t>
        </is>
      </c>
      <c r="C216" s="6" t="inlineStr">
        <is>
          <t>Soal Tes #2</t>
        </is>
      </c>
      <c r="D216" s="33" t="inlineStr">
        <is>
          <t>HOUR!E30</t>
        </is>
      </c>
      <c r="E216" s="22" t="inlineStr">
        <is>
          <t>'=HOUR(C29)</t>
        </is>
      </c>
      <c r="F216" s="34">
        <f>HOUR('HOUR'!C29)</f>
        <v/>
      </c>
      <c r="G216" s="19" t="inlineStr">
        <is>
          <t>Ekstrak komponen HOUR dari waktu absensi di sel C29 menggunakan fungsi HOUR!</t>
        </is>
      </c>
    </row>
    <row r="217">
      <c r="A217" s="5" t="n">
        <v>213</v>
      </c>
      <c r="B217" s="8" t="inlineStr">
        <is>
          <t>HOUR</t>
        </is>
      </c>
      <c r="C217" s="6" t="inlineStr">
        <is>
          <t>Soal Tes #3</t>
        </is>
      </c>
      <c r="D217" s="33" t="inlineStr">
        <is>
          <t>HOUR!E38</t>
        </is>
      </c>
      <c r="E217" s="22" t="inlineStr">
        <is>
          <t>'=HOUR(C37)</t>
        </is>
      </c>
      <c r="F217" s="34">
        <f>HOUR('HOUR'!C37)</f>
        <v/>
      </c>
      <c r="G217" s="19" t="inlineStr">
        <is>
          <t>Ekstrak komponen HOUR dari waktu absensi di sel C37 menggunakan fungsi HOUR!</t>
        </is>
      </c>
    </row>
    <row r="218">
      <c r="A218" s="5" t="n">
        <v>214</v>
      </c>
      <c r="B218" s="8" t="inlineStr">
        <is>
          <t>HOUR</t>
        </is>
      </c>
      <c r="C218" s="6" t="inlineStr">
        <is>
          <t>Soal Tes #4</t>
        </is>
      </c>
      <c r="D218" s="33" t="inlineStr">
        <is>
          <t>HOUR!E46</t>
        </is>
      </c>
      <c r="E218" s="22" t="inlineStr">
        <is>
          <t>'=HOUR(C45)</t>
        </is>
      </c>
      <c r="F218" s="34">
        <f>HOUR('HOUR'!C45)</f>
        <v/>
      </c>
      <c r="G218" s="19" t="inlineStr">
        <is>
          <t>Ekstrak komponen HOUR dari waktu absensi di sel C45 menggunakan fungsi HOUR!</t>
        </is>
      </c>
    </row>
    <row r="219">
      <c r="A219" s="5" t="n">
        <v>215</v>
      </c>
      <c r="B219" s="8" t="inlineStr">
        <is>
          <t>HOUR</t>
        </is>
      </c>
      <c r="C219" s="6" t="inlineStr">
        <is>
          <t>Soal Tes #5</t>
        </is>
      </c>
      <c r="D219" s="33" t="inlineStr">
        <is>
          <t>HOUR!E54</t>
        </is>
      </c>
      <c r="E219" s="22" t="inlineStr">
        <is>
          <t>'=HOUR(C53)</t>
        </is>
      </c>
      <c r="F219" s="34">
        <f>HOUR('HOUR'!C53)</f>
        <v/>
      </c>
      <c r="G219" s="19" t="inlineStr">
        <is>
          <t>Ekstrak komponen HOUR dari waktu absensi di sel C53 menggunakan fungsi HOUR!</t>
        </is>
      </c>
    </row>
    <row r="220">
      <c r="A220" s="5" t="n">
        <v>216</v>
      </c>
      <c r="B220" s="8" t="inlineStr">
        <is>
          <t>MINUTE</t>
        </is>
      </c>
      <c r="C220" s="6" t="inlineStr">
        <is>
          <t>Soal Tes #1</t>
        </is>
      </c>
      <c r="D220" s="33" t="inlineStr">
        <is>
          <t>MINUTE!E22</t>
        </is>
      </c>
      <c r="E220" s="22" t="inlineStr">
        <is>
          <t>'=MINUTE(C21)</t>
        </is>
      </c>
      <c r="F220" s="34">
        <f>MINUTE('MINUTE'!C21)</f>
        <v/>
      </c>
      <c r="G220" s="19" t="inlineStr">
        <is>
          <t>Ekstrak komponen MINUTE dari waktu absensi di sel C21 menggunakan fungsi MINUTE!</t>
        </is>
      </c>
    </row>
    <row r="221">
      <c r="A221" s="5" t="n">
        <v>217</v>
      </c>
      <c r="B221" s="8" t="inlineStr">
        <is>
          <t>MINUTE</t>
        </is>
      </c>
      <c r="C221" s="6" t="inlineStr">
        <is>
          <t>Soal Tes #2</t>
        </is>
      </c>
      <c r="D221" s="33" t="inlineStr">
        <is>
          <t>MINUTE!E30</t>
        </is>
      </c>
      <c r="E221" s="22" t="inlineStr">
        <is>
          <t>'=MINUTE(C29)</t>
        </is>
      </c>
      <c r="F221" s="34">
        <f>MINUTE('MINUTE'!C29)</f>
        <v/>
      </c>
      <c r="G221" s="19" t="inlineStr">
        <is>
          <t>Ekstrak komponen MINUTE dari waktu absensi di sel C29 menggunakan fungsi MINUTE!</t>
        </is>
      </c>
    </row>
    <row r="222">
      <c r="A222" s="5" t="n">
        <v>218</v>
      </c>
      <c r="B222" s="8" t="inlineStr">
        <is>
          <t>MINUTE</t>
        </is>
      </c>
      <c r="C222" s="6" t="inlineStr">
        <is>
          <t>Soal Tes #3</t>
        </is>
      </c>
      <c r="D222" s="33" t="inlineStr">
        <is>
          <t>MINUTE!E38</t>
        </is>
      </c>
      <c r="E222" s="22" t="inlineStr">
        <is>
          <t>'=MINUTE(C37)</t>
        </is>
      </c>
      <c r="F222" s="34">
        <f>MINUTE('MINUTE'!C37)</f>
        <v/>
      </c>
      <c r="G222" s="19" t="inlineStr">
        <is>
          <t>Ekstrak komponen MINUTE dari waktu absensi di sel C37 menggunakan fungsi MINUTE!</t>
        </is>
      </c>
    </row>
    <row r="223">
      <c r="A223" s="5" t="n">
        <v>219</v>
      </c>
      <c r="B223" s="8" t="inlineStr">
        <is>
          <t>MINUTE</t>
        </is>
      </c>
      <c r="C223" s="6" t="inlineStr">
        <is>
          <t>Soal Tes #4</t>
        </is>
      </c>
      <c r="D223" s="33" t="inlineStr">
        <is>
          <t>MINUTE!E46</t>
        </is>
      </c>
      <c r="E223" s="22" t="inlineStr">
        <is>
          <t>'=MINUTE(C45)</t>
        </is>
      </c>
      <c r="F223" s="34">
        <f>MINUTE('MINUTE'!C45)</f>
        <v/>
      </c>
      <c r="G223" s="19" t="inlineStr">
        <is>
          <t>Ekstrak komponen MINUTE dari waktu absensi di sel C45 menggunakan fungsi MINUTE!</t>
        </is>
      </c>
    </row>
    <row r="224">
      <c r="A224" s="5" t="n">
        <v>220</v>
      </c>
      <c r="B224" s="8" t="inlineStr">
        <is>
          <t>MINUTE</t>
        </is>
      </c>
      <c r="C224" s="6" t="inlineStr">
        <is>
          <t>Soal Tes #5</t>
        </is>
      </c>
      <c r="D224" s="33" t="inlineStr">
        <is>
          <t>MINUTE!E54</t>
        </is>
      </c>
      <c r="E224" s="22" t="inlineStr">
        <is>
          <t>'=MINUTE(C53)</t>
        </is>
      </c>
      <c r="F224" s="34">
        <f>MINUTE('MINUTE'!C53)</f>
        <v/>
      </c>
      <c r="G224" s="19" t="inlineStr">
        <is>
          <t>Ekstrak komponen MINUTE dari waktu absensi di sel C53 menggunakan fungsi MINUTE!</t>
        </is>
      </c>
    </row>
    <row r="225">
      <c r="A225" s="5" t="n">
        <v>221</v>
      </c>
      <c r="B225" s="8" t="inlineStr">
        <is>
          <t>SECOND</t>
        </is>
      </c>
      <c r="C225" s="6" t="inlineStr">
        <is>
          <t>Soal Tes #1</t>
        </is>
      </c>
      <c r="D225" s="33" t="inlineStr">
        <is>
          <t>SECOND!E22</t>
        </is>
      </c>
      <c r="E225" s="22" t="inlineStr">
        <is>
          <t>'=SECOND(C21)</t>
        </is>
      </c>
      <c r="F225" s="34">
        <f>SECOND('SECOND'!C21)</f>
        <v/>
      </c>
      <c r="G225" s="19" t="inlineStr">
        <is>
          <t>Ekstrak komponen SECOND dari waktu absensi di sel C21 menggunakan fungsi SECOND!</t>
        </is>
      </c>
    </row>
    <row r="226">
      <c r="A226" s="5" t="n">
        <v>222</v>
      </c>
      <c r="B226" s="8" t="inlineStr">
        <is>
          <t>SECOND</t>
        </is>
      </c>
      <c r="C226" s="6" t="inlineStr">
        <is>
          <t>Soal Tes #2</t>
        </is>
      </c>
      <c r="D226" s="33" t="inlineStr">
        <is>
          <t>SECOND!E30</t>
        </is>
      </c>
      <c r="E226" s="22" t="inlineStr">
        <is>
          <t>'=SECOND(C29)</t>
        </is>
      </c>
      <c r="F226" s="34">
        <f>SECOND('SECOND'!C29)</f>
        <v/>
      </c>
      <c r="G226" s="19" t="inlineStr">
        <is>
          <t>Ekstrak komponen SECOND dari waktu absensi di sel C29 menggunakan fungsi SECOND!</t>
        </is>
      </c>
    </row>
    <row r="227">
      <c r="A227" s="5" t="n">
        <v>223</v>
      </c>
      <c r="B227" s="8" t="inlineStr">
        <is>
          <t>SECOND</t>
        </is>
      </c>
      <c r="C227" s="6" t="inlineStr">
        <is>
          <t>Soal Tes #3</t>
        </is>
      </c>
      <c r="D227" s="33" t="inlineStr">
        <is>
          <t>SECOND!E38</t>
        </is>
      </c>
      <c r="E227" s="22" t="inlineStr">
        <is>
          <t>'=SECOND(C37)</t>
        </is>
      </c>
      <c r="F227" s="34">
        <f>SECOND('SECOND'!C37)</f>
        <v/>
      </c>
      <c r="G227" s="19" t="inlineStr">
        <is>
          <t>Ekstrak komponen SECOND dari waktu absensi di sel C37 menggunakan fungsi SECOND!</t>
        </is>
      </c>
    </row>
    <row r="228">
      <c r="A228" s="5" t="n">
        <v>224</v>
      </c>
      <c r="B228" s="8" t="inlineStr">
        <is>
          <t>SECOND</t>
        </is>
      </c>
      <c r="C228" s="6" t="inlineStr">
        <is>
          <t>Soal Tes #4</t>
        </is>
      </c>
      <c r="D228" s="33" t="inlineStr">
        <is>
          <t>SECOND!E46</t>
        </is>
      </c>
      <c r="E228" s="22" t="inlineStr">
        <is>
          <t>'=SECOND(C45)</t>
        </is>
      </c>
      <c r="F228" s="34">
        <f>SECOND('SECOND'!C45)</f>
        <v/>
      </c>
      <c r="G228" s="19" t="inlineStr">
        <is>
          <t>Ekstrak komponen SECOND dari waktu absensi di sel C45 menggunakan fungsi SECOND!</t>
        </is>
      </c>
    </row>
    <row r="229">
      <c r="A229" s="5" t="n">
        <v>225</v>
      </c>
      <c r="B229" s="8" t="inlineStr">
        <is>
          <t>SECOND</t>
        </is>
      </c>
      <c r="C229" s="6" t="inlineStr">
        <is>
          <t>Soal Tes #5</t>
        </is>
      </c>
      <c r="D229" s="33" t="inlineStr">
        <is>
          <t>SECOND!E54</t>
        </is>
      </c>
      <c r="E229" s="22" t="inlineStr">
        <is>
          <t>'=SECOND(C53)</t>
        </is>
      </c>
      <c r="F229" s="34">
        <f>SECOND('SECOND'!C53)</f>
        <v/>
      </c>
      <c r="G229" s="19" t="inlineStr">
        <is>
          <t>Ekstrak komponen SECOND dari waktu absensi di sel C53 menggunakan fungsi SECOND!</t>
        </is>
      </c>
    </row>
  </sheetData>
  <mergeCells count="2">
    <mergeCell ref="A2:F2"/>
    <mergeCell ref="A1:G1"/>
  </mergeCells>
  <hyperlinks>
    <hyperlink xmlns:r="http://schemas.openxmlformats.org/officeDocument/2006/relationships" ref="G2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2026-10-13T04:17:58Z</dcterms:created>
  <dcterms:modified xmlns:dcterms="http://purl.org/dc/terms/" xmlns:xsi="http://www.w3.org/2001/XMLSchema-instance" xsi:type="dcterms:W3CDTF">2026-10-13T04:17:59Z</dcterms:modified>
</cp:coreProperties>
</file>